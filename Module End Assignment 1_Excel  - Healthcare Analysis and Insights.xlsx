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8_{795A62C6-EA1B-4681-84AB-4AF8061075E7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Customer Names" sheetId="3" r:id="rId1"/>
    <sheet name="Medical Examinations" sheetId="2" r:id="rId2"/>
    <sheet name="Sheet2" sheetId="5" r:id="rId3"/>
    <sheet name="Hospitalisation Details" sheetId="1" r:id="rId4"/>
    <sheet name="Analysis" sheetId="6" r:id="rId5"/>
    <sheet name="Health Care" sheetId="4" r:id="rId6"/>
  </sheets>
  <calcPr calcId="191029"/>
  <pivotCaches>
    <pivotCache cacheId="4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K2336" i="4"/>
  <c r="K2335" i="4"/>
  <c r="K2334" i="4"/>
  <c r="K2333" i="4"/>
  <c r="K2332" i="4"/>
  <c r="K2331" i="4"/>
  <c r="K2330" i="4"/>
  <c r="K2329" i="4"/>
  <c r="K2328" i="4"/>
  <c r="K2327" i="4"/>
  <c r="K2326" i="4"/>
  <c r="K2325" i="4"/>
  <c r="K2324" i="4"/>
  <c r="K2323" i="4"/>
  <c r="K2322" i="4"/>
  <c r="K2321" i="4"/>
  <c r="K2320" i="4"/>
  <c r="K2319" i="4"/>
  <c r="K2318" i="4"/>
  <c r="K2317" i="4"/>
  <c r="K2316" i="4"/>
  <c r="K2315" i="4"/>
  <c r="K2314" i="4"/>
  <c r="K2313" i="4"/>
  <c r="K2312" i="4"/>
  <c r="K2311" i="4"/>
  <c r="K2310" i="4"/>
  <c r="K2309" i="4"/>
  <c r="K2308" i="4"/>
  <c r="K2307" i="4"/>
  <c r="K2306" i="4"/>
  <c r="K2305" i="4"/>
  <c r="K2304" i="4"/>
  <c r="K2303" i="4"/>
  <c r="K2302" i="4"/>
  <c r="K2301" i="4"/>
  <c r="K2300" i="4"/>
  <c r="K2299" i="4"/>
  <c r="K2298" i="4"/>
  <c r="K2297" i="4"/>
  <c r="K2296" i="4"/>
  <c r="K2295" i="4"/>
  <c r="K2294" i="4"/>
  <c r="K2293" i="4"/>
  <c r="K2292" i="4"/>
  <c r="K2291" i="4"/>
  <c r="K2290" i="4"/>
  <c r="K2289" i="4"/>
  <c r="K2288" i="4"/>
  <c r="K2287" i="4"/>
  <c r="K2286" i="4"/>
  <c r="K2285" i="4"/>
  <c r="K2284" i="4"/>
  <c r="K2283" i="4"/>
  <c r="K2282" i="4"/>
  <c r="K2281" i="4"/>
  <c r="K2280" i="4"/>
  <c r="K2279" i="4"/>
  <c r="K2278" i="4"/>
  <c r="K2277" i="4"/>
  <c r="K2276" i="4"/>
  <c r="K2275" i="4"/>
  <c r="K2274" i="4"/>
  <c r="K2273" i="4"/>
  <c r="K2272" i="4"/>
  <c r="K2271" i="4"/>
  <c r="K2270" i="4"/>
  <c r="K2269" i="4"/>
  <c r="K2268" i="4"/>
  <c r="K2267" i="4"/>
  <c r="K2266" i="4"/>
  <c r="K2265" i="4"/>
  <c r="K2264" i="4"/>
  <c r="K2263" i="4"/>
  <c r="K2262" i="4"/>
  <c r="K2261" i="4"/>
  <c r="K2260" i="4"/>
  <c r="K2259" i="4"/>
  <c r="K2258" i="4"/>
  <c r="K2257" i="4"/>
  <c r="K2256" i="4"/>
  <c r="K2255" i="4"/>
  <c r="K2254" i="4"/>
  <c r="K2253" i="4"/>
  <c r="K2252" i="4"/>
  <c r="K2251" i="4"/>
  <c r="K2250" i="4"/>
  <c r="K2249" i="4"/>
  <c r="K2248" i="4"/>
  <c r="K2247" i="4"/>
  <c r="K2246" i="4"/>
  <c r="K2245" i="4"/>
  <c r="K2244" i="4"/>
  <c r="K2243" i="4"/>
  <c r="K2242" i="4"/>
  <c r="K2241" i="4"/>
  <c r="K2240" i="4"/>
  <c r="K2239" i="4"/>
  <c r="K2238" i="4"/>
  <c r="K2237" i="4"/>
  <c r="K2236" i="4"/>
  <c r="K2235" i="4"/>
  <c r="K2234" i="4"/>
  <c r="K2233" i="4"/>
  <c r="K2232" i="4"/>
  <c r="K2231" i="4"/>
  <c r="K2230" i="4"/>
  <c r="K2229" i="4"/>
  <c r="K2228" i="4"/>
  <c r="K2227" i="4"/>
  <c r="K2226" i="4"/>
  <c r="K2225" i="4"/>
  <c r="K2224" i="4"/>
  <c r="K2223" i="4"/>
  <c r="K2222" i="4"/>
  <c r="K2221" i="4"/>
  <c r="K2220" i="4"/>
  <c r="K2219" i="4"/>
  <c r="K2218" i="4"/>
  <c r="K2217" i="4"/>
  <c r="K2216" i="4"/>
  <c r="K2215" i="4"/>
  <c r="K2214" i="4"/>
  <c r="K2213" i="4"/>
  <c r="K2212" i="4"/>
  <c r="K2211" i="4"/>
  <c r="K2210" i="4"/>
  <c r="K2209" i="4"/>
  <c r="K2208" i="4"/>
  <c r="K2207" i="4"/>
  <c r="K2206" i="4"/>
  <c r="K2205" i="4"/>
  <c r="K2204" i="4"/>
  <c r="K2203" i="4"/>
  <c r="K2202" i="4"/>
  <c r="K2201" i="4"/>
  <c r="K2200" i="4"/>
  <c r="K2199" i="4"/>
  <c r="K2198" i="4"/>
  <c r="K2197" i="4"/>
  <c r="K2196" i="4"/>
  <c r="K2195" i="4"/>
  <c r="K2194" i="4"/>
  <c r="K2193" i="4"/>
  <c r="K2192" i="4"/>
  <c r="K2191" i="4"/>
  <c r="K2190" i="4"/>
  <c r="K2189" i="4"/>
  <c r="K2188" i="4"/>
  <c r="K2187" i="4"/>
  <c r="K2186" i="4"/>
  <c r="K2185" i="4"/>
  <c r="K2184" i="4"/>
  <c r="K2183" i="4"/>
  <c r="K2182" i="4"/>
  <c r="K2181" i="4"/>
  <c r="K2180" i="4"/>
  <c r="K2179" i="4"/>
  <c r="K2178" i="4"/>
  <c r="K2177" i="4"/>
  <c r="K2176" i="4"/>
  <c r="K2175" i="4"/>
  <c r="K2174" i="4"/>
  <c r="K2173" i="4"/>
  <c r="K2172" i="4"/>
  <c r="K2171" i="4"/>
  <c r="K2170" i="4"/>
  <c r="K2169" i="4"/>
  <c r="K2168" i="4"/>
  <c r="K2167" i="4"/>
  <c r="K2166" i="4"/>
  <c r="K2165" i="4"/>
  <c r="K2164" i="4"/>
  <c r="K2163" i="4"/>
  <c r="K2162" i="4"/>
  <c r="K2161" i="4"/>
  <c r="K2160" i="4"/>
  <c r="K2159" i="4"/>
  <c r="K2158" i="4"/>
  <c r="K2157" i="4"/>
  <c r="K2156" i="4"/>
  <c r="K2155" i="4"/>
  <c r="K2154" i="4"/>
  <c r="K2153" i="4"/>
  <c r="K2152" i="4"/>
  <c r="K2151" i="4"/>
  <c r="K2150" i="4"/>
  <c r="K2149" i="4"/>
  <c r="K2148" i="4"/>
  <c r="K2147" i="4"/>
  <c r="K2146" i="4"/>
  <c r="K2145" i="4"/>
  <c r="K2144" i="4"/>
  <c r="K2143" i="4"/>
  <c r="K2142" i="4"/>
  <c r="K2141" i="4"/>
  <c r="K2140" i="4"/>
  <c r="K2139" i="4"/>
  <c r="K2138" i="4"/>
  <c r="K2137" i="4"/>
  <c r="K2136" i="4"/>
  <c r="K2135" i="4"/>
  <c r="K2134" i="4"/>
  <c r="K2133" i="4"/>
  <c r="K2132" i="4"/>
  <c r="K2131" i="4"/>
  <c r="K2130" i="4"/>
  <c r="K2129" i="4"/>
  <c r="K2128" i="4"/>
  <c r="K2127" i="4"/>
  <c r="K2126" i="4"/>
  <c r="K2125" i="4"/>
  <c r="K2124" i="4"/>
  <c r="K2123" i="4"/>
  <c r="K2122" i="4"/>
  <c r="K2121" i="4"/>
  <c r="K2120" i="4"/>
  <c r="K2119" i="4"/>
  <c r="K2118" i="4"/>
  <c r="K2117" i="4"/>
  <c r="K2116" i="4"/>
  <c r="K2115" i="4"/>
  <c r="K2114" i="4"/>
  <c r="K2113" i="4"/>
  <c r="K2112" i="4"/>
  <c r="K2111" i="4"/>
  <c r="K2110" i="4"/>
  <c r="K2109" i="4"/>
  <c r="K2108" i="4"/>
  <c r="K2107" i="4"/>
  <c r="K2106" i="4"/>
  <c r="K2105" i="4"/>
  <c r="K2104" i="4"/>
  <c r="K2103" i="4"/>
  <c r="K2102" i="4"/>
  <c r="K2101" i="4"/>
  <c r="K2100" i="4"/>
  <c r="K2099" i="4"/>
  <c r="K2098" i="4"/>
  <c r="K2097" i="4"/>
  <c r="K2096" i="4"/>
  <c r="K2095" i="4"/>
  <c r="K2094" i="4"/>
  <c r="K2093" i="4"/>
  <c r="K2092" i="4"/>
  <c r="K2091" i="4"/>
  <c r="K2090" i="4"/>
  <c r="K2089" i="4"/>
  <c r="K2088" i="4"/>
  <c r="K2087" i="4"/>
  <c r="K2086" i="4"/>
  <c r="K2085" i="4"/>
  <c r="K2084" i="4"/>
  <c r="K2083" i="4"/>
  <c r="K2082" i="4"/>
  <c r="K2081" i="4"/>
  <c r="K2080" i="4"/>
  <c r="K2079" i="4"/>
  <c r="K2078" i="4"/>
  <c r="K2077" i="4"/>
  <c r="K2076" i="4"/>
  <c r="K2075" i="4"/>
  <c r="K2074" i="4"/>
  <c r="K2073" i="4"/>
  <c r="K2072" i="4"/>
  <c r="K2071" i="4"/>
  <c r="K2070" i="4"/>
  <c r="K2069" i="4"/>
  <c r="K2068" i="4"/>
  <c r="K2067" i="4"/>
  <c r="K2066" i="4"/>
  <c r="K2065" i="4"/>
  <c r="K2064" i="4"/>
  <c r="K2063" i="4"/>
  <c r="K2062" i="4"/>
  <c r="K2061" i="4"/>
  <c r="K2060" i="4"/>
  <c r="K2059" i="4"/>
  <c r="K2058" i="4"/>
  <c r="K2057" i="4"/>
  <c r="K2056" i="4"/>
  <c r="K2055" i="4"/>
  <c r="K2054" i="4"/>
  <c r="K2053" i="4"/>
  <c r="K2052" i="4"/>
  <c r="K2051" i="4"/>
  <c r="K2050" i="4"/>
  <c r="K2049" i="4"/>
  <c r="K2048" i="4"/>
  <c r="K2047" i="4"/>
  <c r="K2046" i="4"/>
  <c r="K2045" i="4"/>
  <c r="K2044" i="4"/>
  <c r="K2043" i="4"/>
  <c r="K2042" i="4"/>
  <c r="K2041" i="4"/>
  <c r="K2040" i="4"/>
  <c r="K2039" i="4"/>
  <c r="K2038" i="4"/>
  <c r="K2037" i="4"/>
  <c r="K2036" i="4"/>
  <c r="K2035" i="4"/>
  <c r="K2034" i="4"/>
  <c r="K2033" i="4"/>
  <c r="K2032" i="4"/>
  <c r="K2031" i="4"/>
  <c r="K2030" i="4"/>
  <c r="K2029" i="4"/>
  <c r="K2028" i="4"/>
  <c r="K2027" i="4"/>
  <c r="K2026" i="4"/>
  <c r="K2025" i="4"/>
  <c r="K2024" i="4"/>
  <c r="K2023" i="4"/>
  <c r="K2022" i="4"/>
  <c r="K2021" i="4"/>
  <c r="K2020" i="4"/>
  <c r="K2019" i="4"/>
  <c r="K2018" i="4"/>
  <c r="K2017" i="4"/>
  <c r="K2016" i="4"/>
  <c r="K2015" i="4"/>
  <c r="K2014" i="4"/>
  <c r="K2013" i="4"/>
  <c r="K2012" i="4"/>
  <c r="K2011" i="4"/>
  <c r="K2010" i="4"/>
  <c r="K2009" i="4"/>
  <c r="K2008" i="4"/>
  <c r="K2007" i="4"/>
  <c r="K2006" i="4"/>
  <c r="K2005" i="4"/>
  <c r="K2004" i="4"/>
  <c r="K2003" i="4"/>
  <c r="K2002" i="4"/>
  <c r="K2001" i="4"/>
  <c r="K2000" i="4"/>
  <c r="K1999" i="4"/>
  <c r="K1998" i="4"/>
  <c r="K1997" i="4"/>
  <c r="K1996" i="4"/>
  <c r="K1995" i="4"/>
  <c r="K1994" i="4"/>
  <c r="K1993" i="4"/>
  <c r="K1992" i="4"/>
  <c r="K1991" i="4"/>
  <c r="K1990" i="4"/>
  <c r="K1989" i="4"/>
  <c r="K1988" i="4"/>
  <c r="K1987" i="4"/>
  <c r="K1986" i="4"/>
  <c r="K1985" i="4"/>
  <c r="K1984" i="4"/>
  <c r="K1983" i="4"/>
  <c r="K1982" i="4"/>
  <c r="K1981" i="4"/>
  <c r="K1980" i="4"/>
  <c r="K1979" i="4"/>
  <c r="K1978" i="4"/>
  <c r="K1977" i="4"/>
  <c r="K1976" i="4"/>
  <c r="K1975" i="4"/>
  <c r="K1974" i="4"/>
  <c r="K1973" i="4"/>
  <c r="K1972" i="4"/>
  <c r="K1971" i="4"/>
  <c r="K1970" i="4"/>
  <c r="K1969" i="4"/>
  <c r="K1968" i="4"/>
  <c r="K1967" i="4"/>
  <c r="K1966" i="4"/>
  <c r="K1965" i="4"/>
  <c r="K1964" i="4"/>
  <c r="K1963" i="4"/>
  <c r="K1962" i="4"/>
  <c r="K1961" i="4"/>
  <c r="K1960" i="4"/>
  <c r="K1959" i="4"/>
  <c r="K1958" i="4"/>
  <c r="K1957" i="4"/>
  <c r="K1956" i="4"/>
  <c r="K1955" i="4"/>
  <c r="K1954" i="4"/>
  <c r="K1953" i="4"/>
  <c r="K1952" i="4"/>
  <c r="K1951" i="4"/>
  <c r="K1950" i="4"/>
  <c r="K1949" i="4"/>
  <c r="K1948" i="4"/>
  <c r="K1947" i="4"/>
  <c r="K1946" i="4"/>
  <c r="K1945" i="4"/>
  <c r="K1944" i="4"/>
  <c r="K1943" i="4"/>
  <c r="K1942" i="4"/>
  <c r="K1941" i="4"/>
  <c r="K1940" i="4"/>
  <c r="K1939" i="4"/>
  <c r="K1938" i="4"/>
  <c r="K1937" i="4"/>
  <c r="K1936" i="4"/>
  <c r="K1935" i="4"/>
  <c r="K1934" i="4"/>
  <c r="K1933" i="4"/>
  <c r="K1932" i="4"/>
  <c r="K1931" i="4"/>
  <c r="K1930" i="4"/>
  <c r="K1929" i="4"/>
  <c r="K1928" i="4"/>
  <c r="K1927" i="4"/>
  <c r="K1926" i="4"/>
  <c r="K1925" i="4"/>
  <c r="K1924" i="4"/>
  <c r="K1923" i="4"/>
  <c r="K1922" i="4"/>
  <c r="K1921" i="4"/>
  <c r="K1920" i="4"/>
  <c r="K1919" i="4"/>
  <c r="K1918" i="4"/>
  <c r="K1917" i="4"/>
  <c r="K1916" i="4"/>
  <c r="K1915" i="4"/>
  <c r="K1914" i="4"/>
  <c r="K1913" i="4"/>
  <c r="K1912" i="4"/>
  <c r="K1911" i="4"/>
  <c r="K1910" i="4"/>
  <c r="K1909" i="4"/>
  <c r="K1908" i="4"/>
  <c r="K1907" i="4"/>
  <c r="K1906" i="4"/>
  <c r="K1905" i="4"/>
  <c r="K1904" i="4"/>
  <c r="K1903" i="4"/>
  <c r="K1902" i="4"/>
  <c r="K1901" i="4"/>
  <c r="K1900" i="4"/>
  <c r="K1899" i="4"/>
  <c r="K1898" i="4"/>
  <c r="K1897" i="4"/>
  <c r="K1896" i="4"/>
  <c r="K1895" i="4"/>
  <c r="K1894" i="4"/>
  <c r="K1893" i="4"/>
  <c r="K1892" i="4"/>
  <c r="K1891" i="4"/>
  <c r="K1890" i="4"/>
  <c r="K1889" i="4"/>
  <c r="K1888" i="4"/>
  <c r="K1887" i="4"/>
  <c r="K1886" i="4"/>
  <c r="K1885" i="4"/>
  <c r="K1884" i="4"/>
  <c r="K1883" i="4"/>
  <c r="K1882" i="4"/>
  <c r="K1881" i="4"/>
  <c r="K1880" i="4"/>
  <c r="K1879" i="4"/>
  <c r="K1878" i="4"/>
  <c r="K1877" i="4"/>
  <c r="K1876" i="4"/>
  <c r="K1875" i="4"/>
  <c r="K1874" i="4"/>
  <c r="K1873" i="4"/>
  <c r="K1872" i="4"/>
  <c r="K1871" i="4"/>
  <c r="K1870" i="4"/>
  <c r="K1869" i="4"/>
  <c r="K1868" i="4"/>
  <c r="K1867" i="4"/>
  <c r="K1866" i="4"/>
  <c r="K1865" i="4"/>
  <c r="K1864" i="4"/>
  <c r="K1863" i="4"/>
  <c r="K1862" i="4"/>
  <c r="K1861" i="4"/>
  <c r="K1860" i="4"/>
  <c r="K1859" i="4"/>
  <c r="K1858" i="4"/>
  <c r="K1857" i="4"/>
  <c r="K1856" i="4"/>
  <c r="K1855" i="4"/>
  <c r="K1854" i="4"/>
  <c r="K1853" i="4"/>
  <c r="K1852" i="4"/>
  <c r="K1851" i="4"/>
  <c r="K1850" i="4"/>
  <c r="K1849" i="4"/>
  <c r="K1848" i="4"/>
  <c r="K1847" i="4"/>
  <c r="K1846" i="4"/>
  <c r="K1845" i="4"/>
  <c r="K1844" i="4"/>
  <c r="K1843" i="4"/>
  <c r="K1842" i="4"/>
  <c r="K1841" i="4"/>
  <c r="K1840" i="4"/>
  <c r="K1839" i="4"/>
  <c r="K1838" i="4"/>
  <c r="K1837" i="4"/>
  <c r="K1836" i="4"/>
  <c r="K1835" i="4"/>
  <c r="K1834" i="4"/>
  <c r="K1833" i="4"/>
  <c r="K1832" i="4"/>
  <c r="K1831" i="4"/>
  <c r="K1830" i="4"/>
  <c r="K1829" i="4"/>
  <c r="K1828" i="4"/>
  <c r="K1827" i="4"/>
  <c r="K1826" i="4"/>
  <c r="K1825" i="4"/>
  <c r="K1824" i="4"/>
  <c r="K1823" i="4"/>
  <c r="K1822" i="4"/>
  <c r="K1821" i="4"/>
  <c r="K1820" i="4"/>
  <c r="K1819" i="4"/>
  <c r="K1818" i="4"/>
  <c r="K1817" i="4"/>
  <c r="K1816" i="4"/>
  <c r="K1815" i="4"/>
  <c r="K1814" i="4"/>
  <c r="K1813" i="4"/>
  <c r="K1812" i="4"/>
  <c r="K1811" i="4"/>
  <c r="K1810" i="4"/>
  <c r="K1809" i="4"/>
  <c r="K1808" i="4"/>
  <c r="K1807" i="4"/>
  <c r="K1806" i="4"/>
  <c r="K1805" i="4"/>
  <c r="K1804" i="4"/>
  <c r="K1803" i="4"/>
  <c r="K1802" i="4"/>
  <c r="K1801" i="4"/>
  <c r="K1800" i="4"/>
  <c r="K1799" i="4"/>
  <c r="K1798" i="4"/>
  <c r="K1797" i="4"/>
  <c r="K1796" i="4"/>
  <c r="K1795" i="4"/>
  <c r="K1794" i="4"/>
  <c r="K1793" i="4"/>
  <c r="K1792" i="4"/>
  <c r="K1791" i="4"/>
  <c r="K1790" i="4"/>
  <c r="K1789" i="4"/>
  <c r="K1788" i="4"/>
  <c r="K1787" i="4"/>
  <c r="K1786" i="4"/>
  <c r="K1785" i="4"/>
  <c r="K1784" i="4"/>
  <c r="K1783" i="4"/>
  <c r="K1782" i="4"/>
  <c r="K1781" i="4"/>
  <c r="K1780" i="4"/>
  <c r="K1779" i="4"/>
  <c r="K1778" i="4"/>
  <c r="K1777" i="4"/>
  <c r="K1776" i="4"/>
  <c r="K1775" i="4"/>
  <c r="K1774" i="4"/>
  <c r="K1773" i="4"/>
  <c r="K1772" i="4"/>
  <c r="K1771" i="4"/>
  <c r="K1770" i="4"/>
  <c r="K1769" i="4"/>
  <c r="K1768" i="4"/>
  <c r="K1767" i="4"/>
  <c r="K1766" i="4"/>
  <c r="K1765" i="4"/>
  <c r="K1764" i="4"/>
  <c r="K1763" i="4"/>
  <c r="K1762" i="4"/>
  <c r="K1761" i="4"/>
  <c r="K1760" i="4"/>
  <c r="K1759" i="4"/>
  <c r="K1758" i="4"/>
  <c r="K1757" i="4"/>
  <c r="K1756" i="4"/>
  <c r="K1755" i="4"/>
  <c r="K1754" i="4"/>
  <c r="K1753" i="4"/>
  <c r="K1752" i="4"/>
  <c r="K1751" i="4"/>
  <c r="K1750" i="4"/>
  <c r="K1749" i="4"/>
  <c r="K1748" i="4"/>
  <c r="K1747" i="4"/>
  <c r="K1746" i="4"/>
  <c r="K1745" i="4"/>
  <c r="K1744" i="4"/>
  <c r="K1743" i="4"/>
  <c r="K1742" i="4"/>
  <c r="K1741" i="4"/>
  <c r="K1740" i="4"/>
  <c r="K1739" i="4"/>
  <c r="K1738" i="4"/>
  <c r="K1737" i="4"/>
  <c r="K1736" i="4"/>
  <c r="K1735" i="4"/>
  <c r="K1734" i="4"/>
  <c r="K1733" i="4"/>
  <c r="K1732" i="4"/>
  <c r="K1731" i="4"/>
  <c r="K1730" i="4"/>
  <c r="K1729" i="4"/>
  <c r="K1728" i="4"/>
  <c r="K1727" i="4"/>
  <c r="K1726" i="4"/>
  <c r="K1725" i="4"/>
  <c r="K1724" i="4"/>
  <c r="K1723" i="4"/>
  <c r="K1722" i="4"/>
  <c r="K1721" i="4"/>
  <c r="K1720" i="4"/>
  <c r="K1719" i="4"/>
  <c r="K1718" i="4"/>
  <c r="K1717" i="4"/>
  <c r="K1716" i="4"/>
  <c r="K1715" i="4"/>
  <c r="K1714" i="4"/>
  <c r="K1713" i="4"/>
  <c r="K1712" i="4"/>
  <c r="K1711" i="4"/>
  <c r="K1710" i="4"/>
  <c r="K1709" i="4"/>
  <c r="K1708" i="4"/>
  <c r="K1707" i="4"/>
  <c r="K1706" i="4"/>
  <c r="K1705" i="4"/>
  <c r="K1704" i="4"/>
  <c r="K1703" i="4"/>
  <c r="K1702" i="4"/>
  <c r="K1701" i="4"/>
  <c r="K1700" i="4"/>
  <c r="K1699" i="4"/>
  <c r="K1698" i="4"/>
  <c r="K1697" i="4"/>
  <c r="K1696" i="4"/>
  <c r="K1695" i="4"/>
  <c r="K1694" i="4"/>
  <c r="K1693" i="4"/>
  <c r="K1692" i="4"/>
  <c r="K1691" i="4"/>
  <c r="K1690" i="4"/>
  <c r="K1689" i="4"/>
  <c r="K1688" i="4"/>
  <c r="K1687" i="4"/>
  <c r="K1686" i="4"/>
  <c r="K1685" i="4"/>
  <c r="K1684" i="4"/>
  <c r="K1683" i="4"/>
  <c r="K1682" i="4"/>
  <c r="K1681" i="4"/>
  <c r="K1680" i="4"/>
  <c r="K1679" i="4"/>
  <c r="K1678" i="4"/>
  <c r="K1677" i="4"/>
  <c r="K1676" i="4"/>
  <c r="K1675" i="4"/>
  <c r="K1674" i="4"/>
  <c r="K1673" i="4"/>
  <c r="K1672" i="4"/>
  <c r="K1671" i="4"/>
  <c r="K1670" i="4"/>
  <c r="K1669" i="4"/>
  <c r="K1668" i="4"/>
  <c r="K1667" i="4"/>
  <c r="K1666" i="4"/>
  <c r="K1665" i="4"/>
  <c r="K1664" i="4"/>
  <c r="K1663" i="4"/>
  <c r="K1662" i="4"/>
  <c r="K1661" i="4"/>
  <c r="K1660" i="4"/>
  <c r="K1659" i="4"/>
  <c r="K1658" i="4"/>
  <c r="K1657" i="4"/>
  <c r="K1656" i="4"/>
  <c r="K1655" i="4"/>
  <c r="K1654" i="4"/>
  <c r="K1653" i="4"/>
  <c r="K1652" i="4"/>
  <c r="K1651" i="4"/>
  <c r="K1650" i="4"/>
  <c r="K1649" i="4"/>
  <c r="K1648" i="4"/>
  <c r="K1647" i="4"/>
  <c r="K1646" i="4"/>
  <c r="K1645" i="4"/>
  <c r="K1644" i="4"/>
  <c r="K1643" i="4"/>
  <c r="K1642" i="4"/>
  <c r="K1641" i="4"/>
  <c r="K1640" i="4"/>
  <c r="K1639" i="4"/>
  <c r="K1638" i="4"/>
  <c r="K1637" i="4"/>
  <c r="K1636" i="4"/>
  <c r="K1635" i="4"/>
  <c r="K1634" i="4"/>
  <c r="K1633" i="4"/>
  <c r="K1632" i="4"/>
  <c r="K1631" i="4"/>
  <c r="K1630" i="4"/>
  <c r="K1629" i="4"/>
  <c r="K1628" i="4"/>
  <c r="K1627" i="4"/>
  <c r="K1626" i="4"/>
  <c r="K1625" i="4"/>
  <c r="K1624" i="4"/>
  <c r="K1623" i="4"/>
  <c r="K1622" i="4"/>
  <c r="K1621" i="4"/>
  <c r="K1620" i="4"/>
  <c r="K1619" i="4"/>
  <c r="K1618" i="4"/>
  <c r="K1617" i="4"/>
  <c r="K1616" i="4"/>
  <c r="K1615" i="4"/>
  <c r="K1614" i="4"/>
  <c r="K1613" i="4"/>
  <c r="K1612" i="4"/>
  <c r="K1611" i="4"/>
  <c r="K1610" i="4"/>
  <c r="K1609" i="4"/>
  <c r="K1608" i="4"/>
  <c r="K1607" i="4"/>
  <c r="K1606" i="4"/>
  <c r="K1605" i="4"/>
  <c r="K1604" i="4"/>
  <c r="K1603" i="4"/>
  <c r="K1602" i="4"/>
  <c r="K1601" i="4"/>
  <c r="K1600" i="4"/>
  <c r="K1599" i="4"/>
  <c r="K1598" i="4"/>
  <c r="K1597" i="4"/>
  <c r="K1596" i="4"/>
  <c r="K1595" i="4"/>
  <c r="K1594" i="4"/>
  <c r="K1593" i="4"/>
  <c r="K1592" i="4"/>
  <c r="K1591" i="4"/>
  <c r="K1590" i="4"/>
  <c r="K1589" i="4"/>
  <c r="K1588" i="4"/>
  <c r="K1587" i="4"/>
  <c r="K1586" i="4"/>
  <c r="K1585" i="4"/>
  <c r="K1584" i="4"/>
  <c r="K1583" i="4"/>
  <c r="K1582" i="4"/>
  <c r="K1581" i="4"/>
  <c r="K1580" i="4"/>
  <c r="K1579" i="4"/>
  <c r="K1578" i="4"/>
  <c r="K1577" i="4"/>
  <c r="K1576" i="4"/>
  <c r="K1575" i="4"/>
  <c r="K1574" i="4"/>
  <c r="K1573" i="4"/>
  <c r="K1572" i="4"/>
  <c r="K1571" i="4"/>
  <c r="K1570" i="4"/>
  <c r="K1569" i="4"/>
  <c r="K1568" i="4"/>
  <c r="K1567" i="4"/>
  <c r="K1566" i="4"/>
  <c r="K1565" i="4"/>
  <c r="K1564" i="4"/>
  <c r="K1563" i="4"/>
  <c r="K1562" i="4"/>
  <c r="K1561" i="4"/>
  <c r="K1560" i="4"/>
  <c r="K1559" i="4"/>
  <c r="K1558" i="4"/>
  <c r="K1557" i="4"/>
  <c r="K1556" i="4"/>
  <c r="K1555" i="4"/>
  <c r="K1554" i="4"/>
  <c r="K1553" i="4"/>
  <c r="K1552" i="4"/>
  <c r="K1551" i="4"/>
  <c r="K1550" i="4"/>
  <c r="K1549" i="4"/>
  <c r="K1548" i="4"/>
  <c r="K1547" i="4"/>
  <c r="K1546" i="4"/>
  <c r="K1545" i="4"/>
  <c r="K1544" i="4"/>
  <c r="K1543" i="4"/>
  <c r="K1542" i="4"/>
  <c r="K1541" i="4"/>
  <c r="K1540" i="4"/>
  <c r="K1539" i="4"/>
  <c r="K1538" i="4"/>
  <c r="K1537" i="4"/>
  <c r="K1536" i="4"/>
  <c r="K1535" i="4"/>
  <c r="K1534" i="4"/>
  <c r="K1533" i="4"/>
  <c r="K1532" i="4"/>
  <c r="K1531" i="4"/>
  <c r="K1530" i="4"/>
  <c r="K1529" i="4"/>
  <c r="K1528" i="4"/>
  <c r="K1527" i="4"/>
  <c r="K1526" i="4"/>
  <c r="K1525" i="4"/>
  <c r="K1524" i="4"/>
  <c r="K1523" i="4"/>
  <c r="K1522" i="4"/>
  <c r="K1521" i="4"/>
  <c r="K1520" i="4"/>
  <c r="K1519" i="4"/>
  <c r="K1518" i="4"/>
  <c r="K1517" i="4"/>
  <c r="K1516" i="4"/>
  <c r="K1515" i="4"/>
  <c r="K1514" i="4"/>
  <c r="K1513" i="4"/>
  <c r="K1512" i="4"/>
  <c r="K1511" i="4"/>
  <c r="K1510" i="4"/>
  <c r="K1509" i="4"/>
  <c r="K1508" i="4"/>
  <c r="K1507" i="4"/>
  <c r="K1506" i="4"/>
  <c r="K1505" i="4"/>
  <c r="K1504" i="4"/>
  <c r="K1503" i="4"/>
  <c r="K1502" i="4"/>
  <c r="K1501" i="4"/>
  <c r="K1500" i="4"/>
  <c r="K1499" i="4"/>
  <c r="K1498" i="4"/>
  <c r="K1497" i="4"/>
  <c r="K1496" i="4"/>
  <c r="K1495" i="4"/>
  <c r="K1494" i="4"/>
  <c r="K1493" i="4"/>
  <c r="K1492" i="4"/>
  <c r="K1491" i="4"/>
  <c r="K1490" i="4"/>
  <c r="K1489" i="4"/>
  <c r="K1488" i="4"/>
  <c r="K1487" i="4"/>
  <c r="K1486" i="4"/>
  <c r="K1485" i="4"/>
  <c r="K1484" i="4"/>
  <c r="K1483" i="4"/>
  <c r="K1482" i="4"/>
  <c r="K1481" i="4"/>
  <c r="K1480" i="4"/>
  <c r="K1479" i="4"/>
  <c r="K1478" i="4"/>
  <c r="K1477" i="4"/>
  <c r="K1476" i="4"/>
  <c r="K1475" i="4"/>
  <c r="K1474" i="4"/>
  <c r="K1473" i="4"/>
  <c r="K1472" i="4"/>
  <c r="K1471" i="4"/>
  <c r="K1470" i="4"/>
  <c r="K1469" i="4"/>
  <c r="K1468" i="4"/>
  <c r="K1467" i="4"/>
  <c r="K1466" i="4"/>
  <c r="K1465" i="4"/>
  <c r="K1464" i="4"/>
  <c r="K1463" i="4"/>
  <c r="K1462" i="4"/>
  <c r="K1461" i="4"/>
  <c r="K1460" i="4"/>
  <c r="K1459" i="4"/>
  <c r="K1458" i="4"/>
  <c r="K1457" i="4"/>
  <c r="K1456" i="4"/>
  <c r="K1455" i="4"/>
  <c r="K1454" i="4"/>
  <c r="K1453" i="4"/>
  <c r="K1452" i="4"/>
  <c r="K1451" i="4"/>
  <c r="K1450" i="4"/>
  <c r="K1449" i="4"/>
  <c r="K1448" i="4"/>
  <c r="K1447" i="4"/>
  <c r="K1446" i="4"/>
  <c r="K1445" i="4"/>
  <c r="K1444" i="4"/>
  <c r="K1443" i="4"/>
  <c r="K1442" i="4"/>
  <c r="K1441" i="4"/>
  <c r="K1440" i="4"/>
  <c r="K1439" i="4"/>
  <c r="K1438" i="4"/>
  <c r="K1437" i="4"/>
  <c r="K1436" i="4"/>
  <c r="K1435" i="4"/>
  <c r="K1434" i="4"/>
  <c r="K1433" i="4"/>
  <c r="K1432" i="4"/>
  <c r="K1431" i="4"/>
  <c r="K1430" i="4"/>
  <c r="K1429" i="4"/>
  <c r="K1428" i="4"/>
  <c r="K1427" i="4"/>
  <c r="K1426" i="4"/>
  <c r="K1425" i="4"/>
  <c r="K1424" i="4"/>
  <c r="K1423" i="4"/>
  <c r="K1422" i="4"/>
  <c r="K1421" i="4"/>
  <c r="K1420" i="4"/>
  <c r="K1419" i="4"/>
  <c r="K1418" i="4"/>
  <c r="K1417" i="4"/>
  <c r="K1416" i="4"/>
  <c r="K1415" i="4"/>
  <c r="K1414" i="4"/>
  <c r="K1413" i="4"/>
  <c r="K1412" i="4"/>
  <c r="K1411" i="4"/>
  <c r="K1410" i="4"/>
  <c r="K1409" i="4"/>
  <c r="K1408" i="4"/>
  <c r="K1407" i="4"/>
  <c r="K1406" i="4"/>
  <c r="K1405" i="4"/>
  <c r="K1404" i="4"/>
  <c r="K1403" i="4"/>
  <c r="K1402" i="4"/>
  <c r="K1401" i="4"/>
  <c r="K1400" i="4"/>
  <c r="K1399" i="4"/>
  <c r="K1398" i="4"/>
  <c r="K1397" i="4"/>
  <c r="K1396" i="4"/>
  <c r="K1395" i="4"/>
  <c r="K1394" i="4"/>
  <c r="K1393" i="4"/>
  <c r="K1392" i="4"/>
  <c r="K1391" i="4"/>
  <c r="K1390" i="4"/>
  <c r="K1389" i="4"/>
  <c r="K1388" i="4"/>
  <c r="K1387" i="4"/>
  <c r="K1386" i="4"/>
  <c r="K1385" i="4"/>
  <c r="K1384" i="4"/>
  <c r="K1383" i="4"/>
  <c r="K1382" i="4"/>
  <c r="K1381" i="4"/>
  <c r="K1380" i="4"/>
  <c r="K1379" i="4"/>
  <c r="K1378" i="4"/>
  <c r="K1377" i="4"/>
  <c r="K1376" i="4"/>
  <c r="K1375" i="4"/>
  <c r="K1374" i="4"/>
  <c r="K1373" i="4"/>
  <c r="K1372" i="4"/>
  <c r="K1371" i="4"/>
  <c r="K1370" i="4"/>
  <c r="K1369" i="4"/>
  <c r="K1368" i="4"/>
  <c r="K1367" i="4"/>
  <c r="K1366" i="4"/>
  <c r="K1365" i="4"/>
  <c r="K1364" i="4"/>
  <c r="K1363" i="4"/>
  <c r="K1362" i="4"/>
  <c r="K1361" i="4"/>
  <c r="K1360" i="4"/>
  <c r="K1359" i="4"/>
  <c r="K1358" i="4"/>
  <c r="K1357" i="4"/>
  <c r="K1356" i="4"/>
  <c r="K1355" i="4"/>
  <c r="K1354" i="4"/>
  <c r="K1353" i="4"/>
  <c r="K1352" i="4"/>
  <c r="K1351" i="4"/>
  <c r="K1350" i="4"/>
  <c r="K1349" i="4"/>
  <c r="K1348" i="4"/>
  <c r="K1347" i="4"/>
  <c r="K1346" i="4"/>
  <c r="K1345" i="4"/>
  <c r="K1344" i="4"/>
  <c r="K1343" i="4"/>
  <c r="K1342" i="4"/>
  <c r="K1341" i="4"/>
  <c r="K1340" i="4"/>
  <c r="K1339" i="4"/>
  <c r="K1338" i="4"/>
  <c r="K1337" i="4"/>
  <c r="K1336" i="4"/>
  <c r="K1335" i="4"/>
  <c r="K1334" i="4"/>
  <c r="K1333" i="4"/>
  <c r="K1332" i="4"/>
  <c r="K1331" i="4"/>
  <c r="K1330" i="4"/>
  <c r="K1329" i="4"/>
  <c r="K1328" i="4"/>
  <c r="K1327" i="4"/>
  <c r="K1326" i="4"/>
  <c r="K1325" i="4"/>
  <c r="K1324" i="4"/>
  <c r="K1323" i="4"/>
  <c r="K1322" i="4"/>
  <c r="K1321" i="4"/>
  <c r="K1320" i="4"/>
  <c r="K1319" i="4"/>
  <c r="K1318" i="4"/>
  <c r="K1317" i="4"/>
  <c r="K1316" i="4"/>
  <c r="K1315" i="4"/>
  <c r="K1314" i="4"/>
  <c r="K1313" i="4"/>
  <c r="K1312" i="4"/>
  <c r="K1311" i="4"/>
  <c r="K1310" i="4"/>
  <c r="K1309" i="4"/>
  <c r="K1308" i="4"/>
  <c r="K1307" i="4"/>
  <c r="K1306" i="4"/>
  <c r="K1305" i="4"/>
  <c r="K1304" i="4"/>
  <c r="K1303" i="4"/>
  <c r="K1302" i="4"/>
  <c r="K1301" i="4"/>
  <c r="K1300" i="4"/>
  <c r="K1299" i="4"/>
  <c r="K1298" i="4"/>
  <c r="K1297" i="4"/>
  <c r="K1296" i="4"/>
  <c r="K1295" i="4"/>
  <c r="K1294" i="4"/>
  <c r="K1293" i="4"/>
  <c r="K1292" i="4"/>
  <c r="K1291" i="4"/>
  <c r="K1290" i="4"/>
  <c r="K1289" i="4"/>
  <c r="K1288" i="4"/>
  <c r="K1287" i="4"/>
  <c r="K1286" i="4"/>
  <c r="K1285" i="4"/>
  <c r="K1284" i="4"/>
  <c r="K1283" i="4"/>
  <c r="K1282" i="4"/>
  <c r="K1281" i="4"/>
  <c r="K1280" i="4"/>
  <c r="K1279" i="4"/>
  <c r="K1278" i="4"/>
  <c r="K1277" i="4"/>
  <c r="K1276" i="4"/>
  <c r="K1275" i="4"/>
  <c r="K1274" i="4"/>
  <c r="K1273" i="4"/>
  <c r="K1272" i="4"/>
  <c r="K1271" i="4"/>
  <c r="K1270" i="4"/>
  <c r="K1269" i="4"/>
  <c r="K1268" i="4"/>
  <c r="K1267" i="4"/>
  <c r="K1266" i="4"/>
  <c r="K1265" i="4"/>
  <c r="K1264" i="4"/>
  <c r="K1263" i="4"/>
  <c r="K1262" i="4"/>
  <c r="K1261" i="4"/>
  <c r="K1260" i="4"/>
  <c r="K1259" i="4"/>
  <c r="K1258" i="4"/>
  <c r="K1257" i="4"/>
  <c r="K1256" i="4"/>
  <c r="K1255" i="4"/>
  <c r="K1254" i="4"/>
  <c r="K1253" i="4"/>
  <c r="K1252" i="4"/>
  <c r="K1251" i="4"/>
  <c r="K1250" i="4"/>
  <c r="K1249" i="4"/>
  <c r="K1248" i="4"/>
  <c r="K1247" i="4"/>
  <c r="K1246" i="4"/>
  <c r="K1245" i="4"/>
  <c r="K1244" i="4"/>
  <c r="K1243" i="4"/>
  <c r="K1242" i="4"/>
  <c r="K1241" i="4"/>
  <c r="K1240" i="4"/>
  <c r="K1239" i="4"/>
  <c r="K1238" i="4"/>
  <c r="K1237" i="4"/>
  <c r="K1236" i="4"/>
  <c r="K1235" i="4"/>
  <c r="K1234" i="4"/>
  <c r="K1233" i="4"/>
  <c r="K1232" i="4"/>
  <c r="K1231" i="4"/>
  <c r="K1230" i="4"/>
  <c r="K1229" i="4"/>
  <c r="K1228" i="4"/>
  <c r="K1227" i="4"/>
  <c r="K1226" i="4"/>
  <c r="K1225" i="4"/>
  <c r="K1224" i="4"/>
  <c r="K1223" i="4"/>
  <c r="K1222" i="4"/>
  <c r="K1221" i="4"/>
  <c r="K1220" i="4"/>
  <c r="K1219" i="4"/>
  <c r="K1218" i="4"/>
  <c r="K1217" i="4"/>
  <c r="K1216" i="4"/>
  <c r="K1215" i="4"/>
  <c r="K1214" i="4"/>
  <c r="K1213" i="4"/>
  <c r="K1212" i="4"/>
  <c r="K1211" i="4"/>
  <c r="K1210" i="4"/>
  <c r="K1209" i="4"/>
  <c r="K1208" i="4"/>
  <c r="K1207" i="4"/>
  <c r="K1206" i="4"/>
  <c r="K1205" i="4"/>
  <c r="K1204" i="4"/>
  <c r="K1203" i="4"/>
  <c r="K1202" i="4"/>
  <c r="K1201" i="4"/>
  <c r="K1200" i="4"/>
  <c r="K1199" i="4"/>
  <c r="K1198" i="4"/>
  <c r="K1197" i="4"/>
  <c r="K1196" i="4"/>
  <c r="K1195" i="4"/>
  <c r="K1194" i="4"/>
  <c r="K1193" i="4"/>
  <c r="K1192" i="4"/>
  <c r="K1191" i="4"/>
  <c r="K1190" i="4"/>
  <c r="K1189" i="4"/>
  <c r="K1188" i="4"/>
  <c r="K1187" i="4"/>
  <c r="K1186" i="4"/>
  <c r="K1185" i="4"/>
  <c r="K1184" i="4"/>
  <c r="K1183" i="4"/>
  <c r="K1182" i="4"/>
  <c r="K1181" i="4"/>
  <c r="K1180" i="4"/>
  <c r="K1179" i="4"/>
  <c r="K1178" i="4"/>
  <c r="K1177" i="4"/>
  <c r="K1176" i="4"/>
  <c r="K1175" i="4"/>
  <c r="K1174" i="4"/>
  <c r="K1173" i="4"/>
  <c r="K1172" i="4"/>
  <c r="K1171" i="4"/>
  <c r="K1170" i="4"/>
  <c r="K1169" i="4"/>
  <c r="K1168" i="4"/>
  <c r="K1167" i="4"/>
  <c r="K1166" i="4"/>
  <c r="K1165" i="4"/>
  <c r="K1164" i="4"/>
  <c r="K1163" i="4"/>
  <c r="K1162" i="4"/>
  <c r="K1161" i="4"/>
  <c r="K1160" i="4"/>
  <c r="K1159" i="4"/>
  <c r="K1158" i="4"/>
  <c r="K1157" i="4"/>
  <c r="K1156" i="4"/>
  <c r="K1155" i="4"/>
  <c r="K1154" i="4"/>
  <c r="K1153" i="4"/>
  <c r="K1152" i="4"/>
  <c r="K1151" i="4"/>
  <c r="K1150" i="4"/>
  <c r="K1149" i="4"/>
  <c r="K1148" i="4"/>
  <c r="K1147" i="4"/>
  <c r="K1146" i="4"/>
  <c r="K1145" i="4"/>
  <c r="K1144" i="4"/>
  <c r="K1143" i="4"/>
  <c r="K1142" i="4"/>
  <c r="K1141" i="4"/>
  <c r="K1140" i="4"/>
  <c r="K1139" i="4"/>
  <c r="K1138" i="4"/>
  <c r="K1137" i="4"/>
  <c r="K1136" i="4"/>
  <c r="K1135" i="4"/>
  <c r="K1134" i="4"/>
  <c r="K1133" i="4"/>
  <c r="K1132" i="4"/>
  <c r="K1131" i="4"/>
  <c r="K1130" i="4"/>
  <c r="K1129" i="4"/>
  <c r="K1128" i="4"/>
  <c r="K1127" i="4"/>
  <c r="K1126" i="4"/>
  <c r="K1125" i="4"/>
  <c r="K1124" i="4"/>
  <c r="K1123" i="4"/>
  <c r="K1122" i="4"/>
  <c r="K1121" i="4"/>
  <c r="K1120" i="4"/>
  <c r="K1119" i="4"/>
  <c r="K1118" i="4"/>
  <c r="K1117" i="4"/>
  <c r="K1116" i="4"/>
  <c r="K1115" i="4"/>
  <c r="K1114" i="4"/>
  <c r="K1113" i="4"/>
  <c r="K1112" i="4"/>
  <c r="K1111" i="4"/>
  <c r="K1110" i="4"/>
  <c r="K1109" i="4"/>
  <c r="K1108" i="4"/>
  <c r="K1107" i="4"/>
  <c r="K1106" i="4"/>
  <c r="K1105" i="4"/>
  <c r="K1104" i="4"/>
  <c r="K1103" i="4"/>
  <c r="K1102" i="4"/>
  <c r="K1101" i="4"/>
  <c r="K1100" i="4"/>
  <c r="K1099" i="4"/>
  <c r="K1098" i="4"/>
  <c r="K1097" i="4"/>
  <c r="K1096" i="4"/>
  <c r="K1095" i="4"/>
  <c r="K1094" i="4"/>
  <c r="K1093" i="4"/>
  <c r="K1092" i="4"/>
  <c r="K1091" i="4"/>
  <c r="K1090" i="4"/>
  <c r="K1089" i="4"/>
  <c r="K1088" i="4"/>
  <c r="K1087" i="4"/>
  <c r="K1086" i="4"/>
  <c r="K1085" i="4"/>
  <c r="K1084" i="4"/>
  <c r="K1083" i="4"/>
  <c r="K1082" i="4"/>
  <c r="K1081" i="4"/>
  <c r="K1080" i="4"/>
  <c r="K1079" i="4"/>
  <c r="K1078" i="4"/>
  <c r="K1077" i="4"/>
  <c r="K1076" i="4"/>
  <c r="K1075" i="4"/>
  <c r="K1074" i="4"/>
  <c r="K1073" i="4"/>
  <c r="K1072" i="4"/>
  <c r="K1071" i="4"/>
  <c r="K1070" i="4"/>
  <c r="K1069" i="4"/>
  <c r="K1068" i="4"/>
  <c r="K1067" i="4"/>
  <c r="K1066" i="4"/>
  <c r="K1065" i="4"/>
  <c r="K1064" i="4"/>
  <c r="K1063" i="4"/>
  <c r="K1062" i="4"/>
  <c r="K1061" i="4"/>
  <c r="K1060" i="4"/>
  <c r="K1059" i="4"/>
  <c r="K1058" i="4"/>
  <c r="K1057" i="4"/>
  <c r="K1056" i="4"/>
  <c r="K1055" i="4"/>
  <c r="K1054" i="4"/>
  <c r="K1053" i="4"/>
  <c r="K1052" i="4"/>
  <c r="K1051" i="4"/>
  <c r="K1050" i="4"/>
  <c r="K1049" i="4"/>
  <c r="K1048" i="4"/>
  <c r="K1047" i="4"/>
  <c r="K1046" i="4"/>
  <c r="K1045" i="4"/>
  <c r="K1044" i="4"/>
  <c r="K1043" i="4"/>
  <c r="K1042" i="4"/>
  <c r="K1041" i="4"/>
  <c r="K1040" i="4"/>
  <c r="K1039" i="4"/>
  <c r="K1038" i="4"/>
  <c r="K1037" i="4"/>
  <c r="K1036" i="4"/>
  <c r="K1035" i="4"/>
  <c r="K1034" i="4"/>
  <c r="K1033" i="4"/>
  <c r="K1032" i="4"/>
  <c r="K1031" i="4"/>
  <c r="K1030" i="4"/>
  <c r="K1029" i="4"/>
  <c r="K1028" i="4"/>
  <c r="K1027" i="4"/>
  <c r="K1026" i="4"/>
  <c r="K1025" i="4"/>
  <c r="K1024" i="4"/>
  <c r="K1023" i="4"/>
  <c r="K1022" i="4"/>
  <c r="K1021" i="4"/>
  <c r="K1020" i="4"/>
  <c r="K1019" i="4"/>
  <c r="K1018" i="4"/>
  <c r="K1017" i="4"/>
  <c r="K1016" i="4"/>
  <c r="K1015" i="4"/>
  <c r="K1014" i="4"/>
  <c r="K1013" i="4"/>
  <c r="K1012" i="4"/>
  <c r="K1011" i="4"/>
  <c r="K1010" i="4"/>
  <c r="K1009" i="4"/>
  <c r="K1008" i="4"/>
  <c r="K1007" i="4"/>
  <c r="K1006" i="4"/>
  <c r="K1005" i="4"/>
  <c r="K1004" i="4"/>
  <c r="K1003" i="4"/>
  <c r="K1002" i="4"/>
  <c r="K1001" i="4"/>
  <c r="K1000" i="4"/>
  <c r="K999" i="4"/>
  <c r="K998" i="4"/>
  <c r="K997" i="4"/>
  <c r="K996" i="4"/>
  <c r="K995" i="4"/>
  <c r="K994" i="4"/>
  <c r="K993" i="4"/>
  <c r="K992" i="4"/>
  <c r="K991" i="4"/>
  <c r="K990" i="4"/>
  <c r="K989" i="4"/>
  <c r="K988" i="4"/>
  <c r="K987" i="4"/>
  <c r="K986" i="4"/>
  <c r="K985" i="4"/>
  <c r="K984" i="4"/>
  <c r="K983" i="4"/>
  <c r="K982" i="4"/>
  <c r="K981" i="4"/>
  <c r="K980" i="4"/>
  <c r="K979" i="4"/>
  <c r="K978" i="4"/>
  <c r="K977" i="4"/>
  <c r="K976" i="4"/>
  <c r="K975" i="4"/>
  <c r="K974" i="4"/>
  <c r="K973" i="4"/>
  <c r="K972" i="4"/>
  <c r="K971" i="4"/>
  <c r="K970" i="4"/>
  <c r="K969" i="4"/>
  <c r="K968" i="4"/>
  <c r="K967" i="4"/>
  <c r="K966" i="4"/>
  <c r="K965" i="4"/>
  <c r="K964" i="4"/>
  <c r="K963" i="4"/>
  <c r="K962" i="4"/>
  <c r="K961" i="4"/>
  <c r="K960" i="4"/>
  <c r="K959" i="4"/>
  <c r="K958" i="4"/>
  <c r="K957" i="4"/>
  <c r="K956" i="4"/>
  <c r="K955" i="4"/>
  <c r="K954" i="4"/>
  <c r="K953" i="4"/>
  <c r="K952" i="4"/>
  <c r="K951" i="4"/>
  <c r="K950" i="4"/>
  <c r="K949" i="4"/>
  <c r="K948" i="4"/>
  <c r="K947" i="4"/>
  <c r="K946" i="4"/>
  <c r="K945" i="4"/>
  <c r="K944" i="4"/>
  <c r="K943" i="4"/>
  <c r="K942" i="4"/>
  <c r="K941" i="4"/>
  <c r="K940" i="4"/>
  <c r="K939" i="4"/>
  <c r="K938" i="4"/>
  <c r="K937" i="4"/>
  <c r="K936" i="4"/>
  <c r="K935" i="4"/>
  <c r="K934" i="4"/>
  <c r="K933" i="4"/>
  <c r="K932" i="4"/>
  <c r="K931" i="4"/>
  <c r="K930" i="4"/>
  <c r="K929" i="4"/>
  <c r="K928" i="4"/>
  <c r="K927" i="4"/>
  <c r="K926" i="4"/>
  <c r="K925" i="4"/>
  <c r="K924" i="4"/>
  <c r="K923" i="4"/>
  <c r="K922" i="4"/>
  <c r="K921" i="4"/>
  <c r="K920" i="4"/>
  <c r="K919" i="4"/>
  <c r="K918" i="4"/>
  <c r="K917" i="4"/>
  <c r="K916" i="4"/>
  <c r="K915" i="4"/>
  <c r="K914" i="4"/>
  <c r="K913" i="4"/>
  <c r="K912" i="4"/>
  <c r="K911" i="4"/>
  <c r="K910" i="4"/>
  <c r="K909" i="4"/>
  <c r="K908" i="4"/>
  <c r="K907" i="4"/>
  <c r="K906" i="4"/>
  <c r="K905" i="4"/>
  <c r="K904" i="4"/>
  <c r="K903" i="4"/>
  <c r="K902" i="4"/>
  <c r="K901" i="4"/>
  <c r="K900" i="4"/>
  <c r="K899" i="4"/>
  <c r="K898" i="4"/>
  <c r="K897" i="4"/>
  <c r="K896" i="4"/>
  <c r="K895" i="4"/>
  <c r="K894" i="4"/>
  <c r="K893" i="4"/>
  <c r="K892" i="4"/>
  <c r="K891" i="4"/>
  <c r="K890" i="4"/>
  <c r="K889" i="4"/>
  <c r="K888" i="4"/>
  <c r="K887" i="4"/>
  <c r="K886" i="4"/>
  <c r="K885" i="4"/>
  <c r="K884" i="4"/>
  <c r="K883" i="4"/>
  <c r="K882" i="4"/>
  <c r="K881" i="4"/>
  <c r="K880" i="4"/>
  <c r="K879" i="4"/>
  <c r="K878" i="4"/>
  <c r="K877" i="4"/>
  <c r="K876" i="4"/>
  <c r="K875" i="4"/>
  <c r="K874" i="4"/>
  <c r="K873" i="4"/>
  <c r="K872" i="4"/>
  <c r="K871" i="4"/>
  <c r="K870" i="4"/>
  <c r="K869" i="4"/>
  <c r="K868" i="4"/>
  <c r="K867" i="4"/>
  <c r="K866" i="4"/>
  <c r="K865" i="4"/>
  <c r="K864" i="4"/>
  <c r="K863" i="4"/>
  <c r="K862" i="4"/>
  <c r="K861" i="4"/>
  <c r="K860" i="4"/>
  <c r="K859" i="4"/>
  <c r="K858" i="4"/>
  <c r="K857" i="4"/>
  <c r="K856" i="4"/>
  <c r="K855" i="4"/>
  <c r="K854" i="4"/>
  <c r="K853" i="4"/>
  <c r="K852" i="4"/>
  <c r="K851" i="4"/>
  <c r="K850" i="4"/>
  <c r="K849" i="4"/>
  <c r="K848" i="4"/>
  <c r="K847" i="4"/>
  <c r="K846" i="4"/>
  <c r="K845" i="4"/>
  <c r="K844" i="4"/>
  <c r="K843" i="4"/>
  <c r="K842" i="4"/>
  <c r="K841" i="4"/>
  <c r="K840" i="4"/>
  <c r="K839" i="4"/>
  <c r="K838" i="4"/>
  <c r="K837" i="4"/>
  <c r="K836" i="4"/>
  <c r="K835" i="4"/>
  <c r="K834" i="4"/>
  <c r="K833" i="4"/>
  <c r="K832" i="4"/>
  <c r="K831" i="4"/>
  <c r="K830" i="4"/>
  <c r="K829" i="4"/>
  <c r="K828" i="4"/>
  <c r="K827" i="4"/>
  <c r="K826" i="4"/>
  <c r="K825" i="4"/>
  <c r="K824" i="4"/>
  <c r="K823" i="4"/>
  <c r="K822" i="4"/>
  <c r="K821" i="4"/>
  <c r="K820" i="4"/>
  <c r="K819" i="4"/>
  <c r="K818" i="4"/>
  <c r="K817" i="4"/>
  <c r="K816" i="4"/>
  <c r="K815" i="4"/>
  <c r="K814" i="4"/>
  <c r="K813" i="4"/>
  <c r="K812" i="4"/>
  <c r="K811" i="4"/>
  <c r="K810" i="4"/>
  <c r="K809" i="4"/>
  <c r="K808" i="4"/>
  <c r="K807" i="4"/>
  <c r="K806" i="4"/>
  <c r="K805" i="4"/>
  <c r="K804" i="4"/>
  <c r="K803" i="4"/>
  <c r="K802" i="4"/>
  <c r="K801" i="4"/>
  <c r="K800" i="4"/>
  <c r="K799" i="4"/>
  <c r="K798" i="4"/>
  <c r="K797" i="4"/>
  <c r="K796" i="4"/>
  <c r="K795" i="4"/>
  <c r="K794" i="4"/>
  <c r="K793" i="4"/>
  <c r="K792" i="4"/>
  <c r="K791" i="4"/>
  <c r="K790" i="4"/>
  <c r="K789" i="4"/>
  <c r="K788" i="4"/>
  <c r="K787" i="4"/>
  <c r="K786" i="4"/>
  <c r="K785" i="4"/>
  <c r="K784" i="4"/>
  <c r="K783" i="4"/>
  <c r="K782" i="4"/>
  <c r="K781" i="4"/>
  <c r="K780" i="4"/>
  <c r="K779" i="4"/>
  <c r="K778" i="4"/>
  <c r="K777" i="4"/>
  <c r="K776" i="4"/>
  <c r="K775" i="4"/>
  <c r="K774" i="4"/>
  <c r="K773" i="4"/>
  <c r="K772" i="4"/>
  <c r="K771" i="4"/>
  <c r="K770" i="4"/>
  <c r="K769" i="4"/>
  <c r="K768" i="4"/>
  <c r="K767" i="4"/>
  <c r="K766" i="4"/>
  <c r="K765" i="4"/>
  <c r="K764" i="4"/>
  <c r="K763" i="4"/>
  <c r="K762" i="4"/>
  <c r="K761" i="4"/>
  <c r="K760" i="4"/>
  <c r="K759" i="4"/>
  <c r="K758" i="4"/>
  <c r="K757" i="4"/>
  <c r="K756" i="4"/>
  <c r="K755" i="4"/>
  <c r="K754" i="4"/>
  <c r="K753" i="4"/>
  <c r="K752" i="4"/>
  <c r="K751" i="4"/>
  <c r="K750" i="4"/>
  <c r="K749" i="4"/>
  <c r="K748" i="4"/>
  <c r="K747" i="4"/>
  <c r="K746" i="4"/>
  <c r="K745" i="4"/>
  <c r="K744" i="4"/>
  <c r="K743" i="4"/>
  <c r="K742" i="4"/>
  <c r="K741" i="4"/>
  <c r="K740" i="4"/>
  <c r="K739" i="4"/>
  <c r="K738" i="4"/>
  <c r="K737" i="4"/>
  <c r="K736" i="4"/>
  <c r="K735" i="4"/>
  <c r="K734" i="4"/>
  <c r="K733" i="4"/>
  <c r="K732" i="4"/>
  <c r="K731" i="4"/>
  <c r="K730" i="4"/>
  <c r="K729" i="4"/>
  <c r="K728" i="4"/>
  <c r="K727" i="4"/>
  <c r="K726" i="4"/>
  <c r="K725" i="4"/>
  <c r="K724" i="4"/>
  <c r="K723" i="4"/>
  <c r="K722" i="4"/>
  <c r="K721" i="4"/>
  <c r="K720" i="4"/>
  <c r="K719" i="4"/>
  <c r="K718" i="4"/>
  <c r="K717" i="4"/>
  <c r="K716" i="4"/>
  <c r="K715" i="4"/>
  <c r="K714" i="4"/>
  <c r="K713" i="4"/>
  <c r="K712" i="4"/>
  <c r="K711" i="4"/>
  <c r="K710" i="4"/>
  <c r="K709" i="4"/>
  <c r="K708" i="4"/>
  <c r="K707" i="4"/>
  <c r="K706" i="4"/>
  <c r="K705" i="4"/>
  <c r="K704" i="4"/>
  <c r="K703" i="4"/>
  <c r="K702" i="4"/>
  <c r="K701" i="4"/>
  <c r="K700" i="4"/>
  <c r="K699" i="4"/>
  <c r="K698" i="4"/>
  <c r="K697" i="4"/>
  <c r="K696" i="4"/>
  <c r="K695" i="4"/>
  <c r="K694" i="4"/>
  <c r="K693" i="4"/>
  <c r="K692" i="4"/>
  <c r="K691" i="4"/>
  <c r="K690" i="4"/>
  <c r="K689" i="4"/>
  <c r="K688" i="4"/>
  <c r="K687" i="4"/>
  <c r="K686" i="4"/>
  <c r="K685" i="4"/>
  <c r="K684" i="4"/>
  <c r="K683" i="4"/>
  <c r="K682" i="4"/>
  <c r="K681" i="4"/>
  <c r="K680" i="4"/>
  <c r="K679" i="4"/>
  <c r="K678" i="4"/>
  <c r="K677" i="4"/>
  <c r="K676" i="4"/>
  <c r="K675" i="4"/>
  <c r="K674" i="4"/>
  <c r="K673" i="4"/>
  <c r="K672" i="4"/>
  <c r="K671" i="4"/>
  <c r="K670" i="4"/>
  <c r="K669" i="4"/>
  <c r="K668" i="4"/>
  <c r="K667" i="4"/>
  <c r="K666" i="4"/>
  <c r="K665" i="4"/>
  <c r="K664" i="4"/>
  <c r="K663" i="4"/>
  <c r="K662" i="4"/>
  <c r="K661" i="4"/>
  <c r="K660" i="4"/>
  <c r="K659" i="4"/>
  <c r="K658" i="4"/>
  <c r="K657" i="4"/>
  <c r="K656" i="4"/>
  <c r="K655" i="4"/>
  <c r="K654" i="4"/>
  <c r="K653" i="4"/>
  <c r="K652" i="4"/>
  <c r="K651" i="4"/>
  <c r="K650" i="4"/>
  <c r="K649" i="4"/>
  <c r="K648" i="4"/>
  <c r="K647" i="4"/>
  <c r="K646" i="4"/>
  <c r="K645" i="4"/>
  <c r="K644" i="4"/>
  <c r="K643" i="4"/>
  <c r="K642" i="4"/>
  <c r="K641" i="4"/>
  <c r="K640" i="4"/>
  <c r="K639" i="4"/>
  <c r="K638" i="4"/>
  <c r="K637" i="4"/>
  <c r="K636" i="4"/>
  <c r="K635" i="4"/>
  <c r="K634" i="4"/>
  <c r="K633" i="4"/>
  <c r="K632" i="4"/>
  <c r="K631" i="4"/>
  <c r="K630" i="4"/>
  <c r="K629" i="4"/>
  <c r="K628" i="4"/>
  <c r="K627" i="4"/>
  <c r="K626" i="4"/>
  <c r="K625" i="4"/>
  <c r="K624" i="4"/>
  <c r="K623" i="4"/>
  <c r="K622" i="4"/>
  <c r="K621" i="4"/>
  <c r="K620" i="4"/>
  <c r="K619" i="4"/>
  <c r="K618" i="4"/>
  <c r="K617" i="4"/>
  <c r="K616" i="4"/>
  <c r="K615" i="4"/>
  <c r="K614" i="4"/>
  <c r="K613" i="4"/>
  <c r="K612" i="4"/>
  <c r="K611" i="4"/>
  <c r="K610" i="4"/>
  <c r="K609" i="4"/>
  <c r="K608" i="4"/>
  <c r="K607" i="4"/>
  <c r="K606" i="4"/>
  <c r="K605" i="4"/>
  <c r="K604" i="4"/>
  <c r="K603" i="4"/>
  <c r="K602" i="4"/>
  <c r="K601" i="4"/>
  <c r="K600" i="4"/>
  <c r="K599" i="4"/>
  <c r="K598" i="4"/>
  <c r="K597" i="4"/>
  <c r="K596" i="4"/>
  <c r="K595" i="4"/>
  <c r="K594" i="4"/>
  <c r="K593" i="4"/>
  <c r="K592" i="4"/>
  <c r="K591" i="4"/>
  <c r="K590" i="4"/>
  <c r="K589" i="4"/>
  <c r="K588" i="4"/>
  <c r="K587" i="4"/>
  <c r="K586" i="4"/>
  <c r="K585" i="4"/>
  <c r="K584" i="4"/>
  <c r="K583" i="4"/>
  <c r="K582" i="4"/>
  <c r="K581" i="4"/>
  <c r="K580" i="4"/>
  <c r="K579" i="4"/>
  <c r="K578" i="4"/>
  <c r="K577" i="4"/>
  <c r="K576" i="4"/>
  <c r="K575" i="4"/>
  <c r="K574" i="4"/>
  <c r="K573" i="4"/>
  <c r="K572" i="4"/>
  <c r="K571" i="4"/>
  <c r="K570" i="4"/>
  <c r="K569" i="4"/>
  <c r="K568" i="4"/>
  <c r="K567" i="4"/>
  <c r="K566" i="4"/>
  <c r="K565" i="4"/>
  <c r="K564" i="4"/>
  <c r="K563" i="4"/>
  <c r="K562" i="4"/>
  <c r="K561" i="4"/>
  <c r="K560" i="4"/>
  <c r="K559" i="4"/>
  <c r="K558" i="4"/>
  <c r="K557" i="4"/>
  <c r="K556" i="4"/>
  <c r="K555" i="4"/>
  <c r="K554" i="4"/>
  <c r="K553" i="4"/>
  <c r="K552" i="4"/>
  <c r="K551" i="4"/>
  <c r="K550" i="4"/>
  <c r="K549" i="4"/>
  <c r="K548" i="4"/>
  <c r="K547" i="4"/>
  <c r="K546" i="4"/>
  <c r="K545" i="4"/>
  <c r="K544" i="4"/>
  <c r="K543" i="4"/>
  <c r="K542" i="4"/>
  <c r="K541" i="4"/>
  <c r="K540" i="4"/>
  <c r="K539" i="4"/>
  <c r="K538" i="4"/>
  <c r="K537" i="4"/>
  <c r="K536" i="4"/>
  <c r="K535" i="4"/>
  <c r="K534" i="4"/>
  <c r="K533" i="4"/>
  <c r="K532" i="4"/>
  <c r="K531" i="4"/>
  <c r="K530" i="4"/>
  <c r="K529" i="4"/>
  <c r="K528" i="4"/>
  <c r="K527" i="4"/>
  <c r="K526" i="4"/>
  <c r="K525" i="4"/>
  <c r="K524" i="4"/>
  <c r="K523" i="4"/>
  <c r="K522" i="4"/>
  <c r="K521" i="4"/>
  <c r="K520" i="4"/>
  <c r="K519" i="4"/>
  <c r="K518" i="4"/>
  <c r="K517" i="4"/>
  <c r="K516" i="4"/>
  <c r="K515" i="4"/>
  <c r="K514" i="4"/>
  <c r="K513" i="4"/>
  <c r="K512" i="4"/>
  <c r="K511" i="4"/>
  <c r="K510" i="4"/>
  <c r="K509" i="4"/>
  <c r="K508" i="4"/>
  <c r="K507" i="4"/>
  <c r="K506" i="4"/>
  <c r="K505" i="4"/>
  <c r="K504" i="4"/>
  <c r="K503" i="4"/>
  <c r="K502" i="4"/>
  <c r="K501" i="4"/>
  <c r="K500" i="4"/>
  <c r="K499" i="4"/>
  <c r="K498" i="4"/>
  <c r="K497" i="4"/>
  <c r="K496" i="4"/>
  <c r="K495" i="4"/>
  <c r="K494" i="4"/>
  <c r="K493" i="4"/>
  <c r="K492" i="4"/>
  <c r="K491" i="4"/>
  <c r="K490" i="4"/>
  <c r="K489" i="4"/>
  <c r="K488" i="4"/>
  <c r="K487" i="4"/>
  <c r="K486" i="4"/>
  <c r="K485" i="4"/>
  <c r="K484" i="4"/>
  <c r="K483" i="4"/>
  <c r="K482" i="4"/>
  <c r="K481" i="4"/>
  <c r="K480" i="4"/>
  <c r="K479" i="4"/>
  <c r="K478" i="4"/>
  <c r="K477" i="4"/>
  <c r="K476" i="4"/>
  <c r="K475" i="4"/>
  <c r="K474" i="4"/>
  <c r="K473" i="4"/>
  <c r="K472" i="4"/>
  <c r="K471" i="4"/>
  <c r="K470" i="4"/>
  <c r="K469" i="4"/>
  <c r="K468" i="4"/>
  <c r="K467" i="4"/>
  <c r="K466" i="4"/>
  <c r="K465" i="4"/>
  <c r="K464" i="4"/>
  <c r="K463" i="4"/>
  <c r="K462" i="4"/>
  <c r="K461" i="4"/>
  <c r="K460" i="4"/>
  <c r="K459" i="4"/>
  <c r="K458" i="4"/>
  <c r="K457" i="4"/>
  <c r="K456" i="4"/>
  <c r="K455" i="4"/>
  <c r="K454" i="4"/>
  <c r="K453" i="4"/>
  <c r="K452" i="4"/>
  <c r="K451" i="4"/>
  <c r="K450" i="4"/>
  <c r="K449" i="4"/>
  <c r="K448" i="4"/>
  <c r="K447" i="4"/>
  <c r="K446" i="4"/>
  <c r="K445" i="4"/>
  <c r="K444" i="4"/>
  <c r="K443" i="4"/>
  <c r="K442" i="4"/>
  <c r="K441" i="4"/>
  <c r="K440" i="4"/>
  <c r="K439" i="4"/>
  <c r="K438" i="4"/>
  <c r="K437" i="4"/>
  <c r="K436" i="4"/>
  <c r="K435" i="4"/>
  <c r="K434" i="4"/>
  <c r="K433" i="4"/>
  <c r="K432" i="4"/>
  <c r="K431" i="4"/>
  <c r="K430" i="4"/>
  <c r="K429" i="4"/>
  <c r="K428" i="4"/>
  <c r="K427" i="4"/>
  <c r="K426" i="4"/>
  <c r="K425" i="4"/>
  <c r="K424" i="4"/>
  <c r="K423" i="4"/>
  <c r="K422" i="4"/>
  <c r="K421" i="4"/>
  <c r="K420" i="4"/>
  <c r="K419" i="4"/>
  <c r="K418" i="4"/>
  <c r="K417" i="4"/>
  <c r="K416" i="4"/>
  <c r="K415" i="4"/>
  <c r="K414" i="4"/>
  <c r="K413" i="4"/>
  <c r="K412" i="4"/>
  <c r="K411" i="4"/>
  <c r="K410" i="4"/>
  <c r="K409" i="4"/>
  <c r="K408" i="4"/>
  <c r="K407" i="4"/>
  <c r="K406" i="4"/>
  <c r="K405" i="4"/>
  <c r="K404" i="4"/>
  <c r="K403" i="4"/>
  <c r="K402" i="4"/>
  <c r="K401" i="4"/>
  <c r="K400" i="4"/>
  <c r="K399" i="4"/>
  <c r="K398" i="4"/>
  <c r="K397" i="4"/>
  <c r="K396" i="4"/>
  <c r="K395" i="4"/>
  <c r="K394" i="4"/>
  <c r="K393" i="4"/>
  <c r="K392" i="4"/>
  <c r="K391" i="4"/>
  <c r="K390" i="4"/>
  <c r="K389" i="4"/>
  <c r="K388" i="4"/>
  <c r="K387" i="4"/>
  <c r="K386" i="4"/>
  <c r="K385" i="4"/>
  <c r="K384" i="4"/>
  <c r="K383" i="4"/>
  <c r="K382" i="4"/>
  <c r="K381" i="4"/>
  <c r="K380" i="4"/>
  <c r="K379" i="4"/>
  <c r="K378" i="4"/>
  <c r="K377" i="4"/>
  <c r="K376" i="4"/>
  <c r="K375" i="4"/>
  <c r="K374" i="4"/>
  <c r="K373" i="4"/>
  <c r="K372" i="4"/>
  <c r="K371" i="4"/>
  <c r="K370" i="4"/>
  <c r="K369" i="4"/>
  <c r="K368" i="4"/>
  <c r="K367" i="4"/>
  <c r="K366" i="4"/>
  <c r="K365" i="4"/>
  <c r="K364" i="4"/>
  <c r="K363" i="4"/>
  <c r="K362" i="4"/>
  <c r="K361" i="4"/>
  <c r="K360" i="4"/>
  <c r="K359" i="4"/>
  <c r="K358" i="4"/>
  <c r="K357" i="4"/>
  <c r="K356" i="4"/>
  <c r="K355" i="4"/>
  <c r="K354" i="4"/>
  <c r="K353" i="4"/>
  <c r="K352" i="4"/>
  <c r="K351" i="4"/>
  <c r="K350" i="4"/>
  <c r="K349" i="4"/>
  <c r="K348" i="4"/>
  <c r="K347" i="4"/>
  <c r="K346" i="4"/>
  <c r="K345" i="4"/>
  <c r="K344" i="4"/>
  <c r="K343" i="4"/>
  <c r="K342" i="4"/>
  <c r="K341" i="4"/>
  <c r="K340" i="4"/>
  <c r="K339" i="4"/>
  <c r="K338" i="4"/>
  <c r="K337" i="4"/>
  <c r="K336" i="4"/>
  <c r="K335" i="4"/>
  <c r="K334" i="4"/>
  <c r="K333" i="4"/>
  <c r="K332" i="4"/>
  <c r="K331" i="4"/>
  <c r="K330" i="4"/>
  <c r="K329" i="4"/>
  <c r="K328" i="4"/>
  <c r="K327" i="4"/>
  <c r="K326" i="4"/>
  <c r="K325" i="4"/>
  <c r="K324" i="4"/>
  <c r="K323" i="4"/>
  <c r="K322" i="4"/>
  <c r="K321" i="4"/>
  <c r="K320" i="4"/>
  <c r="K319" i="4"/>
  <c r="K318" i="4"/>
  <c r="K317" i="4"/>
  <c r="K316" i="4"/>
  <c r="K315" i="4"/>
  <c r="K314" i="4"/>
  <c r="K313" i="4"/>
  <c r="K312" i="4"/>
  <c r="K311" i="4"/>
  <c r="K310" i="4"/>
  <c r="K309" i="4"/>
  <c r="K308" i="4"/>
  <c r="K307" i="4"/>
  <c r="K306" i="4"/>
  <c r="K305" i="4"/>
  <c r="K304" i="4"/>
  <c r="K303" i="4"/>
  <c r="K302" i="4"/>
  <c r="K301" i="4"/>
  <c r="K300" i="4"/>
  <c r="K299" i="4"/>
  <c r="K298" i="4"/>
  <c r="K297" i="4"/>
  <c r="K296" i="4"/>
  <c r="K295" i="4"/>
  <c r="K294" i="4"/>
  <c r="K293" i="4"/>
  <c r="K292" i="4"/>
  <c r="K291" i="4"/>
  <c r="K290" i="4"/>
  <c r="K289" i="4"/>
  <c r="K288" i="4"/>
  <c r="K287" i="4"/>
  <c r="K286" i="4"/>
  <c r="K285" i="4"/>
  <c r="K284" i="4"/>
  <c r="K283" i="4"/>
  <c r="K282" i="4"/>
  <c r="K281" i="4"/>
  <c r="K280" i="4"/>
  <c r="K279" i="4"/>
  <c r="K278" i="4"/>
  <c r="K277" i="4"/>
  <c r="K276" i="4"/>
  <c r="K275" i="4"/>
  <c r="K274" i="4"/>
  <c r="K273" i="4"/>
  <c r="K272" i="4"/>
  <c r="K271" i="4"/>
  <c r="K270" i="4"/>
  <c r="K269" i="4"/>
  <c r="K268" i="4"/>
  <c r="K267" i="4"/>
  <c r="K266" i="4"/>
  <c r="K265" i="4"/>
  <c r="K264" i="4"/>
  <c r="K263" i="4"/>
  <c r="K262" i="4"/>
  <c r="K261" i="4"/>
  <c r="K260" i="4"/>
  <c r="K259" i="4"/>
  <c r="K258" i="4"/>
  <c r="K257" i="4"/>
  <c r="K256" i="4"/>
  <c r="K255" i="4"/>
  <c r="K254" i="4"/>
  <c r="K253" i="4"/>
  <c r="K252" i="4"/>
  <c r="K251" i="4"/>
  <c r="K250" i="4"/>
  <c r="K249" i="4"/>
  <c r="K248" i="4"/>
  <c r="K247" i="4"/>
  <c r="K246" i="4"/>
  <c r="K245" i="4"/>
  <c r="K244" i="4"/>
  <c r="K243" i="4"/>
  <c r="K242" i="4"/>
  <c r="K241" i="4"/>
  <c r="K240" i="4"/>
  <c r="K239" i="4"/>
  <c r="K238" i="4"/>
  <c r="K237" i="4"/>
  <c r="K236" i="4"/>
  <c r="K235" i="4"/>
  <c r="K234" i="4"/>
  <c r="K233" i="4"/>
  <c r="K232" i="4"/>
  <c r="K231" i="4"/>
  <c r="K230" i="4"/>
  <c r="K229" i="4"/>
  <c r="K228" i="4"/>
  <c r="K227" i="4"/>
  <c r="K226" i="4"/>
  <c r="K225" i="4"/>
  <c r="K224" i="4"/>
  <c r="K223" i="4"/>
  <c r="K222" i="4"/>
  <c r="K221" i="4"/>
  <c r="K220" i="4"/>
  <c r="K219" i="4"/>
  <c r="K218" i="4"/>
  <c r="K217" i="4"/>
  <c r="K216" i="4"/>
  <c r="K215" i="4"/>
  <c r="K214" i="4"/>
  <c r="K213" i="4"/>
  <c r="K212" i="4"/>
  <c r="K211" i="4"/>
  <c r="K210" i="4"/>
  <c r="K209" i="4"/>
  <c r="K208" i="4"/>
  <c r="K207" i="4"/>
  <c r="K206" i="4"/>
  <c r="K205" i="4"/>
  <c r="K204" i="4"/>
  <c r="K203" i="4"/>
  <c r="K202" i="4"/>
  <c r="K201" i="4"/>
  <c r="K200" i="4"/>
  <c r="K199" i="4"/>
  <c r="K198" i="4"/>
  <c r="K197" i="4"/>
  <c r="K196" i="4"/>
  <c r="K195" i="4"/>
  <c r="K194" i="4"/>
  <c r="K193" i="4"/>
  <c r="K192" i="4"/>
  <c r="K191" i="4"/>
  <c r="K190" i="4"/>
  <c r="K189" i="4"/>
  <c r="K188" i="4"/>
  <c r="K187" i="4"/>
  <c r="K186" i="4"/>
  <c r="K185" i="4"/>
  <c r="K184" i="4"/>
  <c r="K183" i="4"/>
  <c r="K182" i="4"/>
  <c r="K181" i="4"/>
  <c r="K180" i="4"/>
  <c r="K179" i="4"/>
  <c r="K178" i="4"/>
  <c r="K177" i="4"/>
  <c r="K176" i="4"/>
  <c r="K175" i="4"/>
  <c r="K174" i="4"/>
  <c r="K173" i="4"/>
  <c r="K172" i="4"/>
  <c r="K171" i="4"/>
  <c r="K170" i="4"/>
  <c r="K169" i="4"/>
  <c r="K168" i="4"/>
  <c r="K167" i="4"/>
  <c r="K166" i="4"/>
  <c r="K165" i="4"/>
  <c r="K164" i="4"/>
  <c r="K163" i="4"/>
  <c r="K162" i="4"/>
  <c r="K161" i="4"/>
  <c r="K160" i="4"/>
  <c r="K159" i="4"/>
  <c r="K158" i="4"/>
  <c r="K157" i="4"/>
  <c r="K156" i="4"/>
  <c r="K155" i="4"/>
  <c r="K154" i="4"/>
  <c r="K153" i="4"/>
  <c r="K152" i="4"/>
  <c r="K151" i="4"/>
  <c r="K150" i="4"/>
  <c r="K149" i="4"/>
  <c r="K148" i="4"/>
  <c r="K147" i="4"/>
  <c r="K146" i="4"/>
  <c r="K145" i="4"/>
  <c r="K144" i="4"/>
  <c r="K143" i="4"/>
  <c r="K142" i="4"/>
  <c r="K141" i="4"/>
  <c r="K140" i="4"/>
  <c r="K139" i="4"/>
  <c r="K138" i="4"/>
  <c r="K137" i="4"/>
  <c r="K136" i="4"/>
  <c r="K135" i="4"/>
  <c r="K134" i="4"/>
  <c r="K133" i="4"/>
  <c r="K132" i="4"/>
  <c r="K131" i="4"/>
  <c r="K130" i="4"/>
  <c r="K129" i="4"/>
  <c r="K128" i="4"/>
  <c r="K127" i="4"/>
  <c r="K126" i="4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190" i="4"/>
  <c r="J2191" i="4"/>
  <c r="J2192" i="4"/>
  <c r="J2193" i="4"/>
  <c r="J2194" i="4"/>
  <c r="J2195" i="4"/>
  <c r="J2196" i="4"/>
  <c r="J2197" i="4"/>
  <c r="J2198" i="4"/>
  <c r="J2199" i="4"/>
  <c r="J2200" i="4"/>
  <c r="J2201" i="4"/>
  <c r="J2202" i="4"/>
  <c r="J2203" i="4"/>
  <c r="J2204" i="4"/>
  <c r="J2205" i="4"/>
  <c r="J2206" i="4"/>
  <c r="J2207" i="4"/>
  <c r="J2208" i="4"/>
  <c r="J2209" i="4"/>
  <c r="J2210" i="4"/>
  <c r="J2211" i="4"/>
  <c r="J2212" i="4"/>
  <c r="J2213" i="4"/>
  <c r="J2214" i="4"/>
  <c r="J2215" i="4"/>
  <c r="J2216" i="4"/>
  <c r="J2217" i="4"/>
  <c r="J2218" i="4"/>
  <c r="J2219" i="4"/>
  <c r="J2220" i="4"/>
  <c r="J2221" i="4"/>
  <c r="J2222" i="4"/>
  <c r="J2223" i="4"/>
  <c r="J2224" i="4"/>
  <c r="J2225" i="4"/>
  <c r="J2226" i="4"/>
  <c r="J2227" i="4"/>
  <c r="J2228" i="4"/>
  <c r="J2229" i="4"/>
  <c r="J2230" i="4"/>
  <c r="J2231" i="4"/>
  <c r="J2232" i="4"/>
  <c r="J2233" i="4"/>
  <c r="J2234" i="4"/>
  <c r="J2235" i="4"/>
  <c r="J2236" i="4"/>
  <c r="J2237" i="4"/>
  <c r="J2238" i="4"/>
  <c r="J2239" i="4"/>
  <c r="J2240" i="4"/>
  <c r="J2241" i="4"/>
  <c r="J2242" i="4"/>
  <c r="J2243" i="4"/>
  <c r="J2244" i="4"/>
  <c r="J2245" i="4"/>
  <c r="J2246" i="4"/>
  <c r="J2247" i="4"/>
  <c r="J2248" i="4"/>
  <c r="J2249" i="4"/>
  <c r="J2250" i="4"/>
  <c r="J2251" i="4"/>
  <c r="J2252" i="4"/>
  <c r="J2253" i="4"/>
  <c r="J2254" i="4"/>
  <c r="J2255" i="4"/>
  <c r="J2256" i="4"/>
  <c r="J2257" i="4"/>
  <c r="J2258" i="4"/>
  <c r="J2259" i="4"/>
  <c r="J2260" i="4"/>
  <c r="J2261" i="4"/>
  <c r="J2262" i="4"/>
  <c r="J2263" i="4"/>
  <c r="J2264" i="4"/>
  <c r="J2265" i="4"/>
  <c r="J2266" i="4"/>
  <c r="J2267" i="4"/>
  <c r="J2268" i="4"/>
  <c r="J2269" i="4"/>
  <c r="J2270" i="4"/>
  <c r="J2271" i="4"/>
  <c r="J2272" i="4"/>
  <c r="J2273" i="4"/>
  <c r="J2274" i="4"/>
  <c r="J2275" i="4"/>
  <c r="J2276" i="4"/>
  <c r="J2277" i="4"/>
  <c r="J2278" i="4"/>
  <c r="J2279" i="4"/>
  <c r="J2280" i="4"/>
  <c r="J2281" i="4"/>
  <c r="J2282" i="4"/>
  <c r="J2283" i="4"/>
  <c r="J2284" i="4"/>
  <c r="J2285" i="4"/>
  <c r="J2286" i="4"/>
  <c r="J2287" i="4"/>
  <c r="J2288" i="4"/>
  <c r="J2289" i="4"/>
  <c r="J2290" i="4"/>
  <c r="J2291" i="4"/>
  <c r="J2292" i="4"/>
  <c r="J2293" i="4"/>
  <c r="J2294" i="4"/>
  <c r="J2295" i="4"/>
  <c r="J2296" i="4"/>
  <c r="J2297" i="4"/>
  <c r="J2298" i="4"/>
  <c r="J2299" i="4"/>
  <c r="J2300" i="4"/>
  <c r="J2301" i="4"/>
  <c r="J2302" i="4"/>
  <c r="J2303" i="4"/>
  <c r="J2304" i="4"/>
  <c r="J2305" i="4"/>
  <c r="J2306" i="4"/>
  <c r="J2307" i="4"/>
  <c r="J2308" i="4"/>
  <c r="J2309" i="4"/>
  <c r="J2310" i="4"/>
  <c r="J2311" i="4"/>
  <c r="J2312" i="4"/>
  <c r="J2313" i="4"/>
  <c r="J2314" i="4"/>
  <c r="J2315" i="4"/>
  <c r="J2316" i="4"/>
  <c r="J2317" i="4"/>
  <c r="J2318" i="4"/>
  <c r="J2319" i="4"/>
  <c r="J2320" i="4"/>
  <c r="J2321" i="4"/>
  <c r="J2322" i="4"/>
  <c r="J2323" i="4"/>
  <c r="J2324" i="4"/>
  <c r="J2325" i="4"/>
  <c r="J2326" i="4"/>
  <c r="J2327" i="4"/>
  <c r="J2328" i="4"/>
  <c r="J2329" i="4"/>
  <c r="J2330" i="4"/>
  <c r="J2331" i="4"/>
  <c r="J2332" i="4"/>
  <c r="J2333" i="4"/>
  <c r="J2334" i="4"/>
  <c r="J2335" i="4"/>
  <c r="J2336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G1064" i="4"/>
  <c r="G1065" i="4"/>
  <c r="G1066" i="4"/>
  <c r="G1067" i="4"/>
  <c r="G1068" i="4"/>
  <c r="G1069" i="4"/>
  <c r="G1070" i="4"/>
  <c r="G1071" i="4"/>
  <c r="G1072" i="4"/>
  <c r="G1073" i="4"/>
  <c r="G1074" i="4"/>
  <c r="G1075" i="4"/>
  <c r="G1076" i="4"/>
  <c r="G1077" i="4"/>
  <c r="G1078" i="4"/>
  <c r="G1079" i="4"/>
  <c r="G1080" i="4"/>
  <c r="G1081" i="4"/>
  <c r="G1082" i="4"/>
  <c r="G1083" i="4"/>
  <c r="G1084" i="4"/>
  <c r="G1085" i="4"/>
  <c r="G1086" i="4"/>
  <c r="G1087" i="4"/>
  <c r="G1088" i="4"/>
  <c r="G1089" i="4"/>
  <c r="G1090" i="4"/>
  <c r="G1091" i="4"/>
  <c r="G1092" i="4"/>
  <c r="G1093" i="4"/>
  <c r="G1094" i="4"/>
  <c r="G1095" i="4"/>
  <c r="G1096" i="4"/>
  <c r="G1097" i="4"/>
  <c r="G1098" i="4"/>
  <c r="G1099" i="4"/>
  <c r="G1100" i="4"/>
  <c r="G1101" i="4"/>
  <c r="G1102" i="4"/>
  <c r="G1103" i="4"/>
  <c r="G1104" i="4"/>
  <c r="G1105" i="4"/>
  <c r="G1106" i="4"/>
  <c r="G1107" i="4"/>
  <c r="G1108" i="4"/>
  <c r="G1109" i="4"/>
  <c r="G1110" i="4"/>
  <c r="G1111" i="4"/>
  <c r="G1112" i="4"/>
  <c r="G1113" i="4"/>
  <c r="G1114" i="4"/>
  <c r="G1115" i="4"/>
  <c r="G1116" i="4"/>
  <c r="G1117" i="4"/>
  <c r="G1118" i="4"/>
  <c r="G1119" i="4"/>
  <c r="G1120" i="4"/>
  <c r="G1121" i="4"/>
  <c r="G1122" i="4"/>
  <c r="G1123" i="4"/>
  <c r="G1124" i="4"/>
  <c r="G1125" i="4"/>
  <c r="G1126" i="4"/>
  <c r="G1127" i="4"/>
  <c r="G1128" i="4"/>
  <c r="G1129" i="4"/>
  <c r="G1130" i="4"/>
  <c r="G1131" i="4"/>
  <c r="G1132" i="4"/>
  <c r="G1133" i="4"/>
  <c r="G1134" i="4"/>
  <c r="G1135" i="4"/>
  <c r="G1136" i="4"/>
  <c r="G1137" i="4"/>
  <c r="G1138" i="4"/>
  <c r="G1139" i="4"/>
  <c r="G1140" i="4"/>
  <c r="G1141" i="4"/>
  <c r="G1142" i="4"/>
  <c r="G1143" i="4"/>
  <c r="G1144" i="4"/>
  <c r="G1145" i="4"/>
  <c r="G1146" i="4"/>
  <c r="G1147" i="4"/>
  <c r="G1148" i="4"/>
  <c r="G1149" i="4"/>
  <c r="G1150" i="4"/>
  <c r="G1151" i="4"/>
  <c r="G1152" i="4"/>
  <c r="G1153" i="4"/>
  <c r="G1154" i="4"/>
  <c r="G1155" i="4"/>
  <c r="G1156" i="4"/>
  <c r="G1157" i="4"/>
  <c r="G1158" i="4"/>
  <c r="G1159" i="4"/>
  <c r="G1160" i="4"/>
  <c r="G1161" i="4"/>
  <c r="G1162" i="4"/>
  <c r="G1163" i="4"/>
  <c r="G1164" i="4"/>
  <c r="G1165" i="4"/>
  <c r="G1166" i="4"/>
  <c r="G1167" i="4"/>
  <c r="G1168" i="4"/>
  <c r="G1169" i="4"/>
  <c r="G1170" i="4"/>
  <c r="G1171" i="4"/>
  <c r="G1172" i="4"/>
  <c r="G1173" i="4"/>
  <c r="G1174" i="4"/>
  <c r="G1175" i="4"/>
  <c r="G1176" i="4"/>
  <c r="G1177" i="4"/>
  <c r="G1178" i="4"/>
  <c r="G1179" i="4"/>
  <c r="G1180" i="4"/>
  <c r="G1181" i="4"/>
  <c r="G1182" i="4"/>
  <c r="G1183" i="4"/>
  <c r="G1184" i="4"/>
  <c r="G1185" i="4"/>
  <c r="G1186" i="4"/>
  <c r="G1187" i="4"/>
  <c r="G1188" i="4"/>
  <c r="G1189" i="4"/>
  <c r="G1190" i="4"/>
  <c r="G1191" i="4"/>
  <c r="G1192" i="4"/>
  <c r="G1193" i="4"/>
  <c r="G1194" i="4"/>
  <c r="G1195" i="4"/>
  <c r="G1196" i="4"/>
  <c r="G1197" i="4"/>
  <c r="G1198" i="4"/>
  <c r="G1199" i="4"/>
  <c r="G1200" i="4"/>
  <c r="G1201" i="4"/>
  <c r="G1202" i="4"/>
  <c r="G1203" i="4"/>
  <c r="G1204" i="4"/>
  <c r="G1205" i="4"/>
  <c r="G1206" i="4"/>
  <c r="G1207" i="4"/>
  <c r="G1208" i="4"/>
  <c r="G1209" i="4"/>
  <c r="G1210" i="4"/>
  <c r="G1211" i="4"/>
  <c r="G1212" i="4"/>
  <c r="G1213" i="4"/>
  <c r="G1214" i="4"/>
  <c r="G1215" i="4"/>
  <c r="G1216" i="4"/>
  <c r="G1217" i="4"/>
  <c r="G1218" i="4"/>
  <c r="G1219" i="4"/>
  <c r="G1220" i="4"/>
  <c r="G1221" i="4"/>
  <c r="G1222" i="4"/>
  <c r="G1223" i="4"/>
  <c r="G1224" i="4"/>
  <c r="G1225" i="4"/>
  <c r="G1226" i="4"/>
  <c r="G1227" i="4"/>
  <c r="G1228" i="4"/>
  <c r="G1229" i="4"/>
  <c r="G1230" i="4"/>
  <c r="G1231" i="4"/>
  <c r="G1232" i="4"/>
  <c r="G1233" i="4"/>
  <c r="G1234" i="4"/>
  <c r="G1235" i="4"/>
  <c r="G1236" i="4"/>
  <c r="G1237" i="4"/>
  <c r="G1238" i="4"/>
  <c r="G1239" i="4"/>
  <c r="G1240" i="4"/>
  <c r="G1241" i="4"/>
  <c r="G1242" i="4"/>
  <c r="G1243" i="4"/>
  <c r="G1244" i="4"/>
  <c r="G1245" i="4"/>
  <c r="G1246" i="4"/>
  <c r="G1247" i="4"/>
  <c r="G1248" i="4"/>
  <c r="G1249" i="4"/>
  <c r="G1250" i="4"/>
  <c r="G1251" i="4"/>
  <c r="G1252" i="4"/>
  <c r="G1253" i="4"/>
  <c r="G1254" i="4"/>
  <c r="G1255" i="4"/>
  <c r="G1256" i="4"/>
  <c r="G1257" i="4"/>
  <c r="G1258" i="4"/>
  <c r="G1259" i="4"/>
  <c r="G1260" i="4"/>
  <c r="G1261" i="4"/>
  <c r="G1262" i="4"/>
  <c r="G1263" i="4"/>
  <c r="G1264" i="4"/>
  <c r="G1265" i="4"/>
  <c r="G1266" i="4"/>
  <c r="G1267" i="4"/>
  <c r="G1268" i="4"/>
  <c r="G1269" i="4"/>
  <c r="G1270" i="4"/>
  <c r="G1271" i="4"/>
  <c r="G1272" i="4"/>
  <c r="G1273" i="4"/>
  <c r="G1274" i="4"/>
  <c r="G1275" i="4"/>
  <c r="G1276" i="4"/>
  <c r="G1277" i="4"/>
  <c r="G1278" i="4"/>
  <c r="G1279" i="4"/>
  <c r="G1280" i="4"/>
  <c r="G1281" i="4"/>
  <c r="G1282" i="4"/>
  <c r="G1283" i="4"/>
  <c r="G1284" i="4"/>
  <c r="G1285" i="4"/>
  <c r="G1286" i="4"/>
  <c r="G1287" i="4"/>
  <c r="G1288" i="4"/>
  <c r="G1289" i="4"/>
  <c r="G1290" i="4"/>
  <c r="G1291" i="4"/>
  <c r="G1292" i="4"/>
  <c r="G1293" i="4"/>
  <c r="G1294" i="4"/>
  <c r="G1295" i="4"/>
  <c r="G1296" i="4"/>
  <c r="G1297" i="4"/>
  <c r="G1298" i="4"/>
  <c r="G1299" i="4"/>
  <c r="G1300" i="4"/>
  <c r="G1301" i="4"/>
  <c r="G1302" i="4"/>
  <c r="G130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3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G1383" i="4"/>
  <c r="G1384" i="4"/>
  <c r="G1385" i="4"/>
  <c r="G1386" i="4"/>
  <c r="G1387" i="4"/>
  <c r="G1388" i="4"/>
  <c r="G1389" i="4"/>
  <c r="G1390" i="4"/>
  <c r="G1391" i="4"/>
  <c r="G1392" i="4"/>
  <c r="G1393" i="4"/>
  <c r="G1394" i="4"/>
  <c r="G1395" i="4"/>
  <c r="G1396" i="4"/>
  <c r="G1397" i="4"/>
  <c r="G1398" i="4"/>
  <c r="G1399" i="4"/>
  <c r="G1400" i="4"/>
  <c r="G1401" i="4"/>
  <c r="G1402" i="4"/>
  <c r="G1403" i="4"/>
  <c r="G1404" i="4"/>
  <c r="G1405" i="4"/>
  <c r="G1406" i="4"/>
  <c r="G1407" i="4"/>
  <c r="G1408" i="4"/>
  <c r="G1409" i="4"/>
  <c r="G1410" i="4"/>
  <c r="G1411" i="4"/>
  <c r="G1412" i="4"/>
  <c r="G1413" i="4"/>
  <c r="G1414" i="4"/>
  <c r="G1415" i="4"/>
  <c r="G1416" i="4"/>
  <c r="G1417" i="4"/>
  <c r="G1418" i="4"/>
  <c r="G1419" i="4"/>
  <c r="G1420" i="4"/>
  <c r="G1421" i="4"/>
  <c r="G1422" i="4"/>
  <c r="G1423" i="4"/>
  <c r="G1424" i="4"/>
  <c r="G1425" i="4"/>
  <c r="G1426" i="4"/>
  <c r="G1427" i="4"/>
  <c r="G1428" i="4"/>
  <c r="G1429" i="4"/>
  <c r="G1430" i="4"/>
  <c r="G1431" i="4"/>
  <c r="G1432" i="4"/>
  <c r="G1433" i="4"/>
  <c r="G1434" i="4"/>
  <c r="G1435" i="4"/>
  <c r="G1436" i="4"/>
  <c r="G1437" i="4"/>
  <c r="G1438" i="4"/>
  <c r="G1439" i="4"/>
  <c r="G1440" i="4"/>
  <c r="G1441" i="4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  <c r="G1475" i="4"/>
  <c r="G1476" i="4"/>
  <c r="G1477" i="4"/>
  <c r="G1478" i="4"/>
  <c r="G1479" i="4"/>
  <c r="G1480" i="4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8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6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G1920" i="4"/>
  <c r="G1921" i="4"/>
  <c r="G1922" i="4"/>
  <c r="G1923" i="4"/>
  <c r="G1924" i="4"/>
  <c r="G1925" i="4"/>
  <c r="G1926" i="4"/>
  <c r="G1927" i="4"/>
  <c r="G1928" i="4"/>
  <c r="G1929" i="4"/>
  <c r="G1930" i="4"/>
  <c r="G1931" i="4"/>
  <c r="G1932" i="4"/>
  <c r="G1933" i="4"/>
  <c r="G1934" i="4"/>
  <c r="G1935" i="4"/>
  <c r="G1936" i="4"/>
  <c r="G1937" i="4"/>
  <c r="G1938" i="4"/>
  <c r="G1939" i="4"/>
  <c r="G1940" i="4"/>
  <c r="G1941" i="4"/>
  <c r="G1942" i="4"/>
  <c r="G1943" i="4"/>
  <c r="G1944" i="4"/>
  <c r="G1945" i="4"/>
  <c r="G1946" i="4"/>
  <c r="G1947" i="4"/>
  <c r="G1948" i="4"/>
  <c r="G1949" i="4"/>
  <c r="G1950" i="4"/>
  <c r="G1951" i="4"/>
  <c r="G1952" i="4"/>
  <c r="G1953" i="4"/>
  <c r="G1954" i="4"/>
  <c r="G1955" i="4"/>
  <c r="G1956" i="4"/>
  <c r="G1957" i="4"/>
  <c r="G1958" i="4"/>
  <c r="G1959" i="4"/>
  <c r="G1960" i="4"/>
  <c r="G1961" i="4"/>
  <c r="G1962" i="4"/>
  <c r="G1963" i="4"/>
  <c r="G1964" i="4"/>
  <c r="G1965" i="4"/>
  <c r="G1966" i="4"/>
  <c r="G1967" i="4"/>
  <c r="G1968" i="4"/>
  <c r="G1969" i="4"/>
  <c r="G1970" i="4"/>
  <c r="G1971" i="4"/>
  <c r="G1972" i="4"/>
  <c r="G1973" i="4"/>
  <c r="G1974" i="4"/>
  <c r="G1975" i="4"/>
  <c r="G1976" i="4"/>
  <c r="G1977" i="4"/>
  <c r="G1978" i="4"/>
  <c r="G1979" i="4"/>
  <c r="G1980" i="4"/>
  <c r="G1981" i="4"/>
  <c r="G1982" i="4"/>
  <c r="G1983" i="4"/>
  <c r="G1984" i="4"/>
  <c r="G1985" i="4"/>
  <c r="G1986" i="4"/>
  <c r="G1987" i="4"/>
  <c r="G1988" i="4"/>
  <c r="G1989" i="4"/>
  <c r="G1990" i="4"/>
  <c r="G1991" i="4"/>
  <c r="G1992" i="4"/>
  <c r="G1993" i="4"/>
  <c r="G1994" i="4"/>
  <c r="G1995" i="4"/>
  <c r="G1996" i="4"/>
  <c r="G1997" i="4"/>
  <c r="G1998" i="4"/>
  <c r="G1999" i="4"/>
  <c r="G2000" i="4"/>
  <c r="G2001" i="4"/>
  <c r="G2002" i="4"/>
  <c r="G2003" i="4"/>
  <c r="G2004" i="4"/>
  <c r="G2005" i="4"/>
  <c r="G2006" i="4"/>
  <c r="G2007" i="4"/>
  <c r="G2008" i="4"/>
  <c r="G2009" i="4"/>
  <c r="G2010" i="4"/>
  <c r="G2011" i="4"/>
  <c r="G2012" i="4"/>
  <c r="G2013" i="4"/>
  <c r="G2014" i="4"/>
  <c r="G2015" i="4"/>
  <c r="G2016" i="4"/>
  <c r="G2017" i="4"/>
  <c r="G2018" i="4"/>
  <c r="G2019" i="4"/>
  <c r="G2020" i="4"/>
  <c r="G2021" i="4"/>
  <c r="G2022" i="4"/>
  <c r="G2023" i="4"/>
  <c r="G2024" i="4"/>
  <c r="G2025" i="4"/>
  <c r="G2026" i="4"/>
  <c r="G2027" i="4"/>
  <c r="G2028" i="4"/>
  <c r="G2029" i="4"/>
  <c r="G2030" i="4"/>
  <c r="G2031" i="4"/>
  <c r="G2032" i="4"/>
  <c r="G2033" i="4"/>
  <c r="G2034" i="4"/>
  <c r="G2035" i="4"/>
  <c r="G2036" i="4"/>
  <c r="G2037" i="4"/>
  <c r="G2038" i="4"/>
  <c r="G2039" i="4"/>
  <c r="G2040" i="4"/>
  <c r="G2041" i="4"/>
  <c r="G2042" i="4"/>
  <c r="G2043" i="4"/>
  <c r="G2044" i="4"/>
  <c r="G2045" i="4"/>
  <c r="G2046" i="4"/>
  <c r="G2047" i="4"/>
  <c r="G2048" i="4"/>
  <c r="G2049" i="4"/>
  <c r="G2050" i="4"/>
  <c r="G2051" i="4"/>
  <c r="G2052" i="4"/>
  <c r="G2053" i="4"/>
  <c r="G2054" i="4"/>
  <c r="G2055" i="4"/>
  <c r="G2056" i="4"/>
  <c r="G2057" i="4"/>
  <c r="G2058" i="4"/>
  <c r="G2059" i="4"/>
  <c r="G2060" i="4"/>
  <c r="G2061" i="4"/>
  <c r="G2062" i="4"/>
  <c r="G2063" i="4"/>
  <c r="G2064" i="4"/>
  <c r="G2065" i="4"/>
  <c r="G2066" i="4"/>
  <c r="G2067" i="4"/>
  <c r="G2068" i="4"/>
  <c r="G2069" i="4"/>
  <c r="G2070" i="4"/>
  <c r="G2071" i="4"/>
  <c r="G2072" i="4"/>
  <c r="G2073" i="4"/>
  <c r="G2074" i="4"/>
  <c r="G2075" i="4"/>
  <c r="G2076" i="4"/>
  <c r="G2077" i="4"/>
  <c r="G2078" i="4"/>
  <c r="G2079" i="4"/>
  <c r="G2080" i="4"/>
  <c r="G2081" i="4"/>
  <c r="G2082" i="4"/>
  <c r="G2083" i="4"/>
  <c r="G2084" i="4"/>
  <c r="G2085" i="4"/>
  <c r="G2086" i="4"/>
  <c r="G2087" i="4"/>
  <c r="G2088" i="4"/>
  <c r="G2089" i="4"/>
  <c r="G2090" i="4"/>
  <c r="G2091" i="4"/>
  <c r="G2092" i="4"/>
  <c r="G2093" i="4"/>
  <c r="G2094" i="4"/>
  <c r="G2095" i="4"/>
  <c r="G2096" i="4"/>
  <c r="G2097" i="4"/>
  <c r="G2098" i="4"/>
  <c r="G2099" i="4"/>
  <c r="G2100" i="4"/>
  <c r="G2101" i="4"/>
  <c r="G2102" i="4"/>
  <c r="G2103" i="4"/>
  <c r="G2104" i="4"/>
  <c r="G2105" i="4"/>
  <c r="G2106" i="4"/>
  <c r="G2107" i="4"/>
  <c r="G2108" i="4"/>
  <c r="G2109" i="4"/>
  <c r="G2110" i="4"/>
  <c r="G2111" i="4"/>
  <c r="G2112" i="4"/>
  <c r="G2113" i="4"/>
  <c r="G2114" i="4"/>
  <c r="G2115" i="4"/>
  <c r="G2116" i="4"/>
  <c r="G2117" i="4"/>
  <c r="G2118" i="4"/>
  <c r="G2119" i="4"/>
  <c r="G2120" i="4"/>
  <c r="G2121" i="4"/>
  <c r="G2122" i="4"/>
  <c r="G2123" i="4"/>
  <c r="G2124" i="4"/>
  <c r="G2125" i="4"/>
  <c r="G2126" i="4"/>
  <c r="G2127" i="4"/>
  <c r="G2128" i="4"/>
  <c r="G2129" i="4"/>
  <c r="G2130" i="4"/>
  <c r="G2131" i="4"/>
  <c r="G2132" i="4"/>
  <c r="G2133" i="4"/>
  <c r="G2134" i="4"/>
  <c r="G2135" i="4"/>
  <c r="G2136" i="4"/>
  <c r="G2137" i="4"/>
  <c r="G2138" i="4"/>
  <c r="G2139" i="4"/>
  <c r="G2140" i="4"/>
  <c r="G2141" i="4"/>
  <c r="G2142" i="4"/>
  <c r="G2143" i="4"/>
  <c r="G2144" i="4"/>
  <c r="G2145" i="4"/>
  <c r="G2146" i="4"/>
  <c r="G2147" i="4"/>
  <c r="G2148" i="4"/>
  <c r="G2149" i="4"/>
  <c r="G2150" i="4"/>
  <c r="G2151" i="4"/>
  <c r="G2152" i="4"/>
  <c r="G2153" i="4"/>
  <c r="G2154" i="4"/>
  <c r="G2155" i="4"/>
  <c r="G2156" i="4"/>
  <c r="G2157" i="4"/>
  <c r="G2158" i="4"/>
  <c r="G2159" i="4"/>
  <c r="G2160" i="4"/>
  <c r="G2161" i="4"/>
  <c r="G2162" i="4"/>
  <c r="G2163" i="4"/>
  <c r="G2164" i="4"/>
  <c r="G2165" i="4"/>
  <c r="G2166" i="4"/>
  <c r="G2167" i="4"/>
  <c r="G2168" i="4"/>
  <c r="G2169" i="4"/>
  <c r="G2170" i="4"/>
  <c r="G2171" i="4"/>
  <c r="G2172" i="4"/>
  <c r="G2173" i="4"/>
  <c r="G2174" i="4"/>
  <c r="G2175" i="4"/>
  <c r="G2176" i="4"/>
  <c r="G2177" i="4"/>
  <c r="G2178" i="4"/>
  <c r="G2179" i="4"/>
  <c r="G2180" i="4"/>
  <c r="G2181" i="4"/>
  <c r="G2182" i="4"/>
  <c r="G2183" i="4"/>
  <c r="G2184" i="4"/>
  <c r="G2185" i="4"/>
  <c r="G2186" i="4"/>
  <c r="G2187" i="4"/>
  <c r="G2188" i="4"/>
  <c r="G2189" i="4"/>
  <c r="G2190" i="4"/>
  <c r="G2191" i="4"/>
  <c r="G2192" i="4"/>
  <c r="G2193" i="4"/>
  <c r="G2194" i="4"/>
  <c r="G2195" i="4"/>
  <c r="G2196" i="4"/>
  <c r="G2197" i="4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G2214" i="4"/>
  <c r="G2215" i="4"/>
  <c r="G2216" i="4"/>
  <c r="G2217" i="4"/>
  <c r="G2218" i="4"/>
  <c r="G2219" i="4"/>
  <c r="G2220" i="4"/>
  <c r="G2221" i="4"/>
  <c r="G2222" i="4"/>
  <c r="G2223" i="4"/>
  <c r="G2224" i="4"/>
  <c r="G2225" i="4"/>
  <c r="G2226" i="4"/>
  <c r="G2227" i="4"/>
  <c r="G2228" i="4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G2334" i="4"/>
  <c r="G2335" i="4"/>
  <c r="G2336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1302" i="4"/>
  <c r="F1303" i="4"/>
  <c r="F1304" i="4"/>
  <c r="F1305" i="4"/>
  <c r="F1306" i="4"/>
  <c r="F1307" i="4"/>
  <c r="F1308" i="4"/>
  <c r="F1309" i="4"/>
  <c r="F1310" i="4"/>
  <c r="F1311" i="4"/>
  <c r="F1312" i="4"/>
  <c r="F1313" i="4"/>
  <c r="F1314" i="4"/>
  <c r="F1315" i="4"/>
  <c r="F1316" i="4"/>
  <c r="F1317" i="4"/>
  <c r="F1318" i="4"/>
  <c r="F1319" i="4"/>
  <c r="F1320" i="4"/>
  <c r="F1321" i="4"/>
  <c r="F1322" i="4"/>
  <c r="F1323" i="4"/>
  <c r="F1324" i="4"/>
  <c r="F1325" i="4"/>
  <c r="F1326" i="4"/>
  <c r="F1327" i="4"/>
  <c r="F1328" i="4"/>
  <c r="F1329" i="4"/>
  <c r="F1330" i="4"/>
  <c r="F1331" i="4"/>
  <c r="F1332" i="4"/>
  <c r="F1333" i="4"/>
  <c r="F1334" i="4"/>
  <c r="F1335" i="4"/>
  <c r="F1336" i="4"/>
  <c r="F1337" i="4"/>
  <c r="F1338" i="4"/>
  <c r="F1339" i="4"/>
  <c r="F1340" i="4"/>
  <c r="F1341" i="4"/>
  <c r="F1342" i="4"/>
  <c r="F1343" i="4"/>
  <c r="F1344" i="4"/>
  <c r="F1345" i="4"/>
  <c r="F1346" i="4"/>
  <c r="F1347" i="4"/>
  <c r="F1348" i="4"/>
  <c r="F1349" i="4"/>
  <c r="F1350" i="4"/>
  <c r="F1351" i="4"/>
  <c r="F1352" i="4"/>
  <c r="F1353" i="4"/>
  <c r="F1354" i="4"/>
  <c r="F1355" i="4"/>
  <c r="F1356" i="4"/>
  <c r="F1357" i="4"/>
  <c r="F1358" i="4"/>
  <c r="F1359" i="4"/>
  <c r="F1360" i="4"/>
  <c r="F1361" i="4"/>
  <c r="F1362" i="4"/>
  <c r="F1363" i="4"/>
  <c r="F1364" i="4"/>
  <c r="F1365" i="4"/>
  <c r="F1366" i="4"/>
  <c r="F1367" i="4"/>
  <c r="F1368" i="4"/>
  <c r="F1369" i="4"/>
  <c r="F1370" i="4"/>
  <c r="F1371" i="4"/>
  <c r="F1372" i="4"/>
  <c r="F1373" i="4"/>
  <c r="F1374" i="4"/>
  <c r="F1375" i="4"/>
  <c r="F1376" i="4"/>
  <c r="F1377" i="4"/>
  <c r="F1378" i="4"/>
  <c r="F1379" i="4"/>
  <c r="F1380" i="4"/>
  <c r="F1381" i="4"/>
  <c r="F1382" i="4"/>
  <c r="F1383" i="4"/>
  <c r="F1384" i="4"/>
  <c r="F1385" i="4"/>
  <c r="F1386" i="4"/>
  <c r="F1387" i="4"/>
  <c r="F1388" i="4"/>
  <c r="F1389" i="4"/>
  <c r="F1390" i="4"/>
  <c r="F1391" i="4"/>
  <c r="F1392" i="4"/>
  <c r="F1393" i="4"/>
  <c r="F1394" i="4"/>
  <c r="F1395" i="4"/>
  <c r="F1396" i="4"/>
  <c r="F1397" i="4"/>
  <c r="F1398" i="4"/>
  <c r="F1399" i="4"/>
  <c r="F1400" i="4"/>
  <c r="F1401" i="4"/>
  <c r="F1402" i="4"/>
  <c r="F1403" i="4"/>
  <c r="F1404" i="4"/>
  <c r="F1405" i="4"/>
  <c r="F1406" i="4"/>
  <c r="F1407" i="4"/>
  <c r="F1408" i="4"/>
  <c r="F1409" i="4"/>
  <c r="F1410" i="4"/>
  <c r="F1411" i="4"/>
  <c r="F1412" i="4"/>
  <c r="F1413" i="4"/>
  <c r="F1414" i="4"/>
  <c r="F1415" i="4"/>
  <c r="F1416" i="4"/>
  <c r="F1417" i="4"/>
  <c r="F1418" i="4"/>
  <c r="F1419" i="4"/>
  <c r="F1420" i="4"/>
  <c r="F1421" i="4"/>
  <c r="F1422" i="4"/>
  <c r="F1423" i="4"/>
  <c r="F1424" i="4"/>
  <c r="F1425" i="4"/>
  <c r="F1426" i="4"/>
  <c r="F1427" i="4"/>
  <c r="F1428" i="4"/>
  <c r="F1429" i="4"/>
  <c r="F1430" i="4"/>
  <c r="F1431" i="4"/>
  <c r="F1432" i="4"/>
  <c r="F1433" i="4"/>
  <c r="F1434" i="4"/>
  <c r="F1435" i="4"/>
  <c r="F1436" i="4"/>
  <c r="F1437" i="4"/>
  <c r="F1438" i="4"/>
  <c r="F1439" i="4"/>
  <c r="F1440" i="4"/>
  <c r="F1441" i="4"/>
  <c r="F1442" i="4"/>
  <c r="F1443" i="4"/>
  <c r="F1444" i="4"/>
  <c r="F1445" i="4"/>
  <c r="F1446" i="4"/>
  <c r="F1447" i="4"/>
  <c r="F1448" i="4"/>
  <c r="F1449" i="4"/>
  <c r="F1450" i="4"/>
  <c r="F1451" i="4"/>
  <c r="F1452" i="4"/>
  <c r="F1453" i="4"/>
  <c r="F1454" i="4"/>
  <c r="F1455" i="4"/>
  <c r="F1456" i="4"/>
  <c r="F1457" i="4"/>
  <c r="F1458" i="4"/>
  <c r="F1459" i="4"/>
  <c r="F1460" i="4"/>
  <c r="F1461" i="4"/>
  <c r="F1462" i="4"/>
  <c r="F1463" i="4"/>
  <c r="F1464" i="4"/>
  <c r="F1465" i="4"/>
  <c r="F1466" i="4"/>
  <c r="F1467" i="4"/>
  <c r="F1468" i="4"/>
  <c r="F1469" i="4"/>
  <c r="F1470" i="4"/>
  <c r="F1471" i="4"/>
  <c r="F1472" i="4"/>
  <c r="F1473" i="4"/>
  <c r="F1474" i="4"/>
  <c r="F1475" i="4"/>
  <c r="F1476" i="4"/>
  <c r="F1477" i="4"/>
  <c r="F1478" i="4"/>
  <c r="F1479" i="4"/>
  <c r="F1480" i="4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4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F1829" i="4"/>
  <c r="F1830" i="4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F1920" i="4"/>
  <c r="F1921" i="4"/>
  <c r="F1922" i="4"/>
  <c r="F1923" i="4"/>
  <c r="F1924" i="4"/>
  <c r="F1925" i="4"/>
  <c r="F1926" i="4"/>
  <c r="F1927" i="4"/>
  <c r="F1928" i="4"/>
  <c r="F1929" i="4"/>
  <c r="F1930" i="4"/>
  <c r="F1931" i="4"/>
  <c r="F1932" i="4"/>
  <c r="F1933" i="4"/>
  <c r="F1934" i="4"/>
  <c r="F1935" i="4"/>
  <c r="F1936" i="4"/>
  <c r="F1937" i="4"/>
  <c r="F1938" i="4"/>
  <c r="F1939" i="4"/>
  <c r="F1940" i="4"/>
  <c r="F1941" i="4"/>
  <c r="F1942" i="4"/>
  <c r="F1943" i="4"/>
  <c r="F1944" i="4"/>
  <c r="F1945" i="4"/>
  <c r="F1946" i="4"/>
  <c r="F1947" i="4"/>
  <c r="F1948" i="4"/>
  <c r="F1949" i="4"/>
  <c r="F1950" i="4"/>
  <c r="F1951" i="4"/>
  <c r="F1952" i="4"/>
  <c r="F1953" i="4"/>
  <c r="F1954" i="4"/>
  <c r="F1955" i="4"/>
  <c r="F1956" i="4"/>
  <c r="F1957" i="4"/>
  <c r="F1958" i="4"/>
  <c r="F1959" i="4"/>
  <c r="F1960" i="4"/>
  <c r="F1961" i="4"/>
  <c r="F1962" i="4"/>
  <c r="F1963" i="4"/>
  <c r="F1964" i="4"/>
  <c r="F1965" i="4"/>
  <c r="F1966" i="4"/>
  <c r="F1967" i="4"/>
  <c r="F1968" i="4"/>
  <c r="F1969" i="4"/>
  <c r="F1970" i="4"/>
  <c r="F1971" i="4"/>
  <c r="F1972" i="4"/>
  <c r="F1973" i="4"/>
  <c r="F1974" i="4"/>
  <c r="F1975" i="4"/>
  <c r="F1976" i="4"/>
  <c r="F1977" i="4"/>
  <c r="F1978" i="4"/>
  <c r="F1979" i="4"/>
  <c r="F1980" i="4"/>
  <c r="F1981" i="4"/>
  <c r="F1982" i="4"/>
  <c r="F1983" i="4"/>
  <c r="F1984" i="4"/>
  <c r="F1985" i="4"/>
  <c r="F1986" i="4"/>
  <c r="F1987" i="4"/>
  <c r="F1988" i="4"/>
  <c r="F1989" i="4"/>
  <c r="F1990" i="4"/>
  <c r="F1991" i="4"/>
  <c r="F1992" i="4"/>
  <c r="F1993" i="4"/>
  <c r="F1994" i="4"/>
  <c r="F1995" i="4"/>
  <c r="F1996" i="4"/>
  <c r="F1997" i="4"/>
  <c r="F1998" i="4"/>
  <c r="F1999" i="4"/>
  <c r="F2000" i="4"/>
  <c r="F2001" i="4"/>
  <c r="F2002" i="4"/>
  <c r="F2003" i="4"/>
  <c r="F2004" i="4"/>
  <c r="F2005" i="4"/>
  <c r="F2006" i="4"/>
  <c r="F2007" i="4"/>
  <c r="F2008" i="4"/>
  <c r="F2009" i="4"/>
  <c r="F2010" i="4"/>
  <c r="F2011" i="4"/>
  <c r="F2012" i="4"/>
  <c r="F2013" i="4"/>
  <c r="F2014" i="4"/>
  <c r="F2015" i="4"/>
  <c r="F2016" i="4"/>
  <c r="F2017" i="4"/>
  <c r="F2018" i="4"/>
  <c r="F2019" i="4"/>
  <c r="F2020" i="4"/>
  <c r="F2021" i="4"/>
  <c r="F2022" i="4"/>
  <c r="F2023" i="4"/>
  <c r="F2024" i="4"/>
  <c r="F2025" i="4"/>
  <c r="F2026" i="4"/>
  <c r="F2027" i="4"/>
  <c r="F2028" i="4"/>
  <c r="F2029" i="4"/>
  <c r="F2030" i="4"/>
  <c r="F2031" i="4"/>
  <c r="F2032" i="4"/>
  <c r="F2033" i="4"/>
  <c r="F2034" i="4"/>
  <c r="F2035" i="4"/>
  <c r="F2036" i="4"/>
  <c r="F2037" i="4"/>
  <c r="F2038" i="4"/>
  <c r="F2039" i="4"/>
  <c r="F2040" i="4"/>
  <c r="F2041" i="4"/>
  <c r="F2042" i="4"/>
  <c r="F2043" i="4"/>
  <c r="F2044" i="4"/>
  <c r="F2045" i="4"/>
  <c r="F2046" i="4"/>
  <c r="F2047" i="4"/>
  <c r="F2048" i="4"/>
  <c r="F2049" i="4"/>
  <c r="F2050" i="4"/>
  <c r="F2051" i="4"/>
  <c r="F2052" i="4"/>
  <c r="F2053" i="4"/>
  <c r="F2054" i="4"/>
  <c r="F2055" i="4"/>
  <c r="F2056" i="4"/>
  <c r="F2057" i="4"/>
  <c r="F2058" i="4"/>
  <c r="F2059" i="4"/>
  <c r="F2060" i="4"/>
  <c r="F2061" i="4"/>
  <c r="F2062" i="4"/>
  <c r="F2063" i="4"/>
  <c r="F2064" i="4"/>
  <c r="F2065" i="4"/>
  <c r="F2066" i="4"/>
  <c r="F2067" i="4"/>
  <c r="F2068" i="4"/>
  <c r="F2069" i="4"/>
  <c r="F2070" i="4"/>
  <c r="F2071" i="4"/>
  <c r="F2072" i="4"/>
  <c r="F2073" i="4"/>
  <c r="F2074" i="4"/>
  <c r="F2075" i="4"/>
  <c r="F2076" i="4"/>
  <c r="F2077" i="4"/>
  <c r="F2078" i="4"/>
  <c r="F2079" i="4"/>
  <c r="F2080" i="4"/>
  <c r="F2081" i="4"/>
  <c r="F2082" i="4"/>
  <c r="F2083" i="4"/>
  <c r="F2084" i="4"/>
  <c r="F2085" i="4"/>
  <c r="F2086" i="4"/>
  <c r="F2087" i="4"/>
  <c r="F2088" i="4"/>
  <c r="F2089" i="4"/>
  <c r="F2090" i="4"/>
  <c r="F2091" i="4"/>
  <c r="F2092" i="4"/>
  <c r="F2093" i="4"/>
  <c r="F2094" i="4"/>
  <c r="F2095" i="4"/>
  <c r="F2096" i="4"/>
  <c r="F2097" i="4"/>
  <c r="F2098" i="4"/>
  <c r="F2099" i="4"/>
  <c r="F2100" i="4"/>
  <c r="F2101" i="4"/>
  <c r="F2102" i="4"/>
  <c r="F2103" i="4"/>
  <c r="F2104" i="4"/>
  <c r="F2105" i="4"/>
  <c r="F2106" i="4"/>
  <c r="F2107" i="4"/>
  <c r="F2108" i="4"/>
  <c r="F2109" i="4"/>
  <c r="F2110" i="4"/>
  <c r="F2111" i="4"/>
  <c r="F2112" i="4"/>
  <c r="F2113" i="4"/>
  <c r="F2114" i="4"/>
  <c r="F2115" i="4"/>
  <c r="F2116" i="4"/>
  <c r="F2117" i="4"/>
  <c r="F2118" i="4"/>
  <c r="F2119" i="4"/>
  <c r="F2120" i="4"/>
  <c r="F2121" i="4"/>
  <c r="F2122" i="4"/>
  <c r="F2123" i="4"/>
  <c r="F2124" i="4"/>
  <c r="F2125" i="4"/>
  <c r="F2126" i="4"/>
  <c r="F2127" i="4"/>
  <c r="F2128" i="4"/>
  <c r="F2129" i="4"/>
  <c r="F2130" i="4"/>
  <c r="F2131" i="4"/>
  <c r="F2132" i="4"/>
  <c r="F2133" i="4"/>
  <c r="F2134" i="4"/>
  <c r="F2135" i="4"/>
  <c r="F2136" i="4"/>
  <c r="F2137" i="4"/>
  <c r="F2138" i="4"/>
  <c r="F2139" i="4"/>
  <c r="F2140" i="4"/>
  <c r="F2141" i="4"/>
  <c r="F2142" i="4"/>
  <c r="F2143" i="4"/>
  <c r="F2144" i="4"/>
  <c r="F2145" i="4"/>
  <c r="F2146" i="4"/>
  <c r="F2147" i="4"/>
  <c r="F2148" i="4"/>
  <c r="F2149" i="4"/>
  <c r="F2150" i="4"/>
  <c r="F2151" i="4"/>
  <c r="F2152" i="4"/>
  <c r="F2153" i="4"/>
  <c r="F2154" i="4"/>
  <c r="F2155" i="4"/>
  <c r="F2156" i="4"/>
  <c r="F2157" i="4"/>
  <c r="F2158" i="4"/>
  <c r="F2159" i="4"/>
  <c r="F2160" i="4"/>
  <c r="F2161" i="4"/>
  <c r="F2162" i="4"/>
  <c r="F2163" i="4"/>
  <c r="F2164" i="4"/>
  <c r="F2165" i="4"/>
  <c r="F2166" i="4"/>
  <c r="F2167" i="4"/>
  <c r="F2168" i="4"/>
  <c r="F2169" i="4"/>
  <c r="F2170" i="4"/>
  <c r="F2171" i="4"/>
  <c r="F2172" i="4"/>
  <c r="F2173" i="4"/>
  <c r="F2174" i="4"/>
  <c r="F2175" i="4"/>
  <c r="F2176" i="4"/>
  <c r="F2177" i="4"/>
  <c r="F2178" i="4"/>
  <c r="F2179" i="4"/>
  <c r="F2180" i="4"/>
  <c r="F2181" i="4"/>
  <c r="F2182" i="4"/>
  <c r="F2183" i="4"/>
  <c r="F2184" i="4"/>
  <c r="F2185" i="4"/>
  <c r="F2186" i="4"/>
  <c r="F2187" i="4"/>
  <c r="F2188" i="4"/>
  <c r="F2189" i="4"/>
  <c r="F2190" i="4"/>
  <c r="F2191" i="4"/>
  <c r="F2192" i="4"/>
  <c r="F2193" i="4"/>
  <c r="F2194" i="4"/>
  <c r="F2195" i="4"/>
  <c r="F2196" i="4"/>
  <c r="F2197" i="4"/>
  <c r="F2198" i="4"/>
  <c r="F2199" i="4"/>
  <c r="F2200" i="4"/>
  <c r="F2201" i="4"/>
  <c r="F2202" i="4"/>
  <c r="F2203" i="4"/>
  <c r="F2204" i="4"/>
  <c r="F2205" i="4"/>
  <c r="F2206" i="4"/>
  <c r="F2207" i="4"/>
  <c r="F2208" i="4"/>
  <c r="F2209" i="4"/>
  <c r="F2210" i="4"/>
  <c r="F2211" i="4"/>
  <c r="F2212" i="4"/>
  <c r="F2213" i="4"/>
  <c r="F2214" i="4"/>
  <c r="F2215" i="4"/>
  <c r="F2216" i="4"/>
  <c r="F2217" i="4"/>
  <c r="F2218" i="4"/>
  <c r="F2219" i="4"/>
  <c r="F2220" i="4"/>
  <c r="F2221" i="4"/>
  <c r="F2222" i="4"/>
  <c r="F2223" i="4"/>
  <c r="F2224" i="4"/>
  <c r="F2225" i="4"/>
  <c r="F2226" i="4"/>
  <c r="F2227" i="4"/>
  <c r="F2228" i="4"/>
  <c r="F2229" i="4"/>
  <c r="F2230" i="4"/>
  <c r="F2231" i="4"/>
  <c r="F2232" i="4"/>
  <c r="F2233" i="4"/>
  <c r="F2234" i="4"/>
  <c r="F2235" i="4"/>
  <c r="F2236" i="4"/>
  <c r="F2237" i="4"/>
  <c r="F2238" i="4"/>
  <c r="F2239" i="4"/>
  <c r="F2240" i="4"/>
  <c r="F2241" i="4"/>
  <c r="F2242" i="4"/>
  <c r="F2243" i="4"/>
  <c r="F2244" i="4"/>
  <c r="F2245" i="4"/>
  <c r="F2246" i="4"/>
  <c r="F2247" i="4"/>
  <c r="F2248" i="4"/>
  <c r="F2249" i="4"/>
  <c r="F2250" i="4"/>
  <c r="F2251" i="4"/>
  <c r="F2252" i="4"/>
  <c r="F2253" i="4"/>
  <c r="F2254" i="4"/>
  <c r="F2255" i="4"/>
  <c r="F2256" i="4"/>
  <c r="F2257" i="4"/>
  <c r="F2258" i="4"/>
  <c r="F2259" i="4"/>
  <c r="F2260" i="4"/>
  <c r="F2261" i="4"/>
  <c r="F2262" i="4"/>
  <c r="F2263" i="4"/>
  <c r="F2264" i="4"/>
  <c r="F2265" i="4"/>
  <c r="F2266" i="4"/>
  <c r="F2267" i="4"/>
  <c r="F2268" i="4"/>
  <c r="F2269" i="4"/>
  <c r="F2270" i="4"/>
  <c r="F2271" i="4"/>
  <c r="F2272" i="4"/>
  <c r="F2273" i="4"/>
  <c r="F2274" i="4"/>
  <c r="F2275" i="4"/>
  <c r="F2276" i="4"/>
  <c r="F2277" i="4"/>
  <c r="F2278" i="4"/>
  <c r="F2279" i="4"/>
  <c r="F2280" i="4"/>
  <c r="F2281" i="4"/>
  <c r="F2282" i="4"/>
  <c r="F2283" i="4"/>
  <c r="F2284" i="4"/>
  <c r="F2285" i="4"/>
  <c r="F2286" i="4"/>
  <c r="F2287" i="4"/>
  <c r="F2288" i="4"/>
  <c r="F2289" i="4"/>
  <c r="F2290" i="4"/>
  <c r="F2291" i="4"/>
  <c r="F2292" i="4"/>
  <c r="F2293" i="4"/>
  <c r="F2294" i="4"/>
  <c r="F2295" i="4"/>
  <c r="F2296" i="4"/>
  <c r="F2297" i="4"/>
  <c r="F2298" i="4"/>
  <c r="F2299" i="4"/>
  <c r="F2300" i="4"/>
  <c r="F2301" i="4"/>
  <c r="F2302" i="4"/>
  <c r="F2303" i="4"/>
  <c r="F2304" i="4"/>
  <c r="F2305" i="4"/>
  <c r="F2306" i="4"/>
  <c r="F2307" i="4"/>
  <c r="F2308" i="4"/>
  <c r="F2309" i="4"/>
  <c r="F2310" i="4"/>
  <c r="F2311" i="4"/>
  <c r="F2312" i="4"/>
  <c r="F2313" i="4"/>
  <c r="F2314" i="4"/>
  <c r="F2315" i="4"/>
  <c r="F2316" i="4"/>
  <c r="F2317" i="4"/>
  <c r="F2318" i="4"/>
  <c r="F2319" i="4"/>
  <c r="F2320" i="4"/>
  <c r="F2321" i="4"/>
  <c r="F2322" i="4"/>
  <c r="F2323" i="4"/>
  <c r="F2324" i="4"/>
  <c r="F2325" i="4"/>
  <c r="F2326" i="4"/>
  <c r="F2327" i="4"/>
  <c r="F2328" i="4"/>
  <c r="F2329" i="4"/>
  <c r="F2330" i="4"/>
  <c r="F2331" i="4"/>
  <c r="F2332" i="4"/>
  <c r="F2333" i="4"/>
  <c r="F2334" i="4"/>
  <c r="F2335" i="4"/>
  <c r="F2336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" i="2"/>
  <c r="I2" i="2"/>
  <c r="S1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" i="1"/>
  <c r="L2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3" i="1"/>
  <c r="L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3" i="1"/>
  <c r="J4" i="1"/>
  <c r="J5" i="1"/>
  <c r="J6" i="1"/>
  <c r="J7" i="1"/>
  <c r="J8" i="1"/>
  <c r="J9" i="1"/>
  <c r="J10" i="1"/>
  <c r="J11" i="1"/>
  <c r="J12" i="1"/>
  <c r="J13" i="1"/>
  <c r="J14" i="1"/>
  <c r="J2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3" i="2"/>
  <c r="K2" i="2"/>
  <c r="S15" i="1" a="1"/>
  <c r="S15" i="1" s="1"/>
  <c r="S14" i="1" a="1"/>
  <c r="S14" i="1" s="1"/>
  <c r="O14" i="2" a="1"/>
  <c r="O14" i="2" s="1"/>
  <c r="S4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" i="1"/>
  <c r="U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3" i="1"/>
  <c r="E2" i="1"/>
  <c r="S10" i="1"/>
  <c r="S9" i="1"/>
  <c r="S8" i="1"/>
  <c r="S7" i="1"/>
  <c r="S6" i="1"/>
  <c r="S5" i="1"/>
  <c r="S3" i="1"/>
  <c r="O10" i="2"/>
  <c r="O9" i="2"/>
  <c r="O8" i="2"/>
  <c r="O7" i="2"/>
  <c r="O6" i="2"/>
  <c r="O5" i="2"/>
  <c r="O4" i="2"/>
  <c r="O3" i="2"/>
</calcChain>
</file>

<file path=xl/sharedStrings.xml><?xml version="1.0" encoding="utf-8"?>
<sst xmlns="http://schemas.openxmlformats.org/spreadsheetml/2006/main" count="36247" uniqueCount="6019">
  <si>
    <t>Customer ID</t>
  </si>
  <si>
    <t>year</t>
  </si>
  <si>
    <t>month</t>
  </si>
  <si>
    <t>date</t>
  </si>
  <si>
    <t>children</t>
  </si>
  <si>
    <t>charges</t>
  </si>
  <si>
    <t>Hospital tier</t>
  </si>
  <si>
    <t>City tier</t>
  </si>
  <si>
    <t>State ID</t>
  </si>
  <si>
    <t>Id2335</t>
  </si>
  <si>
    <t>Jul</t>
  </si>
  <si>
    <t>tier - 2</t>
  </si>
  <si>
    <t>tier - 3</t>
  </si>
  <si>
    <t>R1013</t>
  </si>
  <si>
    <t>Id2334</t>
  </si>
  <si>
    <t>Nov</t>
  </si>
  <si>
    <t>tier - 1</t>
  </si>
  <si>
    <t>Id2333</t>
  </si>
  <si>
    <t>Jun</t>
  </si>
  <si>
    <t>Id2332</t>
  </si>
  <si>
    <t>Sep</t>
  </si>
  <si>
    <t>Id2331</t>
  </si>
  <si>
    <t>Id2330</t>
  </si>
  <si>
    <t>R1012</t>
  </si>
  <si>
    <t>Id2329</t>
  </si>
  <si>
    <t>Id2328</t>
  </si>
  <si>
    <t>Id2327</t>
  </si>
  <si>
    <t>Id2326</t>
  </si>
  <si>
    <t>Id2325</t>
  </si>
  <si>
    <t>Id2324</t>
  </si>
  <si>
    <t>Dec</t>
  </si>
  <si>
    <t>?</t>
  </si>
  <si>
    <t>Id2323</t>
  </si>
  <si>
    <t>Id2322</t>
  </si>
  <si>
    <t>Id2321</t>
  </si>
  <si>
    <t>Aug</t>
  </si>
  <si>
    <t>Id2320</t>
  </si>
  <si>
    <t>Oct</t>
  </si>
  <si>
    <t>Id2319</t>
  </si>
  <si>
    <t>Id2318</t>
  </si>
  <si>
    <t>Id2317</t>
  </si>
  <si>
    <t>Id2316</t>
  </si>
  <si>
    <t>R1011</t>
  </si>
  <si>
    <t>Id2315</t>
  </si>
  <si>
    <t>Id2314</t>
  </si>
  <si>
    <t>Id2313</t>
  </si>
  <si>
    <t>Id2312</t>
  </si>
  <si>
    <t>Id2311</t>
  </si>
  <si>
    <t>Id2310</t>
  </si>
  <si>
    <t>Id2309</t>
  </si>
  <si>
    <t>Id2308</t>
  </si>
  <si>
    <t>Id2307</t>
  </si>
  <si>
    <t>Id2306</t>
  </si>
  <si>
    <t>Id2305</t>
  </si>
  <si>
    <t>Id2304</t>
  </si>
  <si>
    <t>Id2303</t>
  </si>
  <si>
    <t>Id2302</t>
  </si>
  <si>
    <t>Id2301</t>
  </si>
  <si>
    <t>Id2300</t>
  </si>
  <si>
    <t>Id2299</t>
  </si>
  <si>
    <t>Id2298</t>
  </si>
  <si>
    <t>Id2297</t>
  </si>
  <si>
    <t>Id2296</t>
  </si>
  <si>
    <t>Id2295</t>
  </si>
  <si>
    <t>Id2294</t>
  </si>
  <si>
    <t>Id2293</t>
  </si>
  <si>
    <t>Id2292</t>
  </si>
  <si>
    <t>Id2291</t>
  </si>
  <si>
    <t>Id2290</t>
  </si>
  <si>
    <t>Id2289</t>
  </si>
  <si>
    <t>Id2288</t>
  </si>
  <si>
    <t>Id2287</t>
  </si>
  <si>
    <t>Id2286</t>
  </si>
  <si>
    <t>Id2285</t>
  </si>
  <si>
    <t>Id2284</t>
  </si>
  <si>
    <t>Id2283</t>
  </si>
  <si>
    <t>Id2282</t>
  </si>
  <si>
    <t>Id2281</t>
  </si>
  <si>
    <t>Id2280</t>
  </si>
  <si>
    <t>Id2279</t>
  </si>
  <si>
    <t>Id2278</t>
  </si>
  <si>
    <t>Id2277</t>
  </si>
  <si>
    <t>Id2276</t>
  </si>
  <si>
    <t>Id2275</t>
  </si>
  <si>
    <t>Id2274</t>
  </si>
  <si>
    <t>Id2273</t>
  </si>
  <si>
    <t>Id2272</t>
  </si>
  <si>
    <t>Id2271</t>
  </si>
  <si>
    <t>Id2270</t>
  </si>
  <si>
    <t>Id2269</t>
  </si>
  <si>
    <t>Id2268</t>
  </si>
  <si>
    <t>Id2267</t>
  </si>
  <si>
    <t>Id2266</t>
  </si>
  <si>
    <t>Id2265</t>
  </si>
  <si>
    <t>Id2264</t>
  </si>
  <si>
    <t>Id2263</t>
  </si>
  <si>
    <t>Id2262</t>
  </si>
  <si>
    <t>Id2261</t>
  </si>
  <si>
    <t>Id2260</t>
  </si>
  <si>
    <t>Id2259</t>
  </si>
  <si>
    <t>Id2258</t>
  </si>
  <si>
    <t>Id2257</t>
  </si>
  <si>
    <t>Id2256</t>
  </si>
  <si>
    <t>Id2255</t>
  </si>
  <si>
    <t>Id2254</t>
  </si>
  <si>
    <t>Id2253</t>
  </si>
  <si>
    <t>Id2252</t>
  </si>
  <si>
    <t>Id2251</t>
  </si>
  <si>
    <t>Id2250</t>
  </si>
  <si>
    <t>Id2249</t>
  </si>
  <si>
    <t>Id2248</t>
  </si>
  <si>
    <t>Id2247</t>
  </si>
  <si>
    <t>Id2246</t>
  </si>
  <si>
    <t>Id2245</t>
  </si>
  <si>
    <t>Id2244</t>
  </si>
  <si>
    <t>Id2243</t>
  </si>
  <si>
    <t>Id2242</t>
  </si>
  <si>
    <t>Id2241</t>
  </si>
  <si>
    <t>Id2240</t>
  </si>
  <si>
    <t>Id2239</t>
  </si>
  <si>
    <t>Id2238</t>
  </si>
  <si>
    <t>Id2237</t>
  </si>
  <si>
    <t>Id2236</t>
  </si>
  <si>
    <t>Id2235</t>
  </si>
  <si>
    <t>Id2234</t>
  </si>
  <si>
    <t>Id2233</t>
  </si>
  <si>
    <t>Id2232</t>
  </si>
  <si>
    <t>Id2231</t>
  </si>
  <si>
    <t>Id2230</t>
  </si>
  <si>
    <t>Id2229</t>
  </si>
  <si>
    <t>Id2228</t>
  </si>
  <si>
    <t>Id2227</t>
  </si>
  <si>
    <t>Id2226</t>
  </si>
  <si>
    <t>Id2225</t>
  </si>
  <si>
    <t>Id2224</t>
  </si>
  <si>
    <t>Id2223</t>
  </si>
  <si>
    <t>Id2222</t>
  </si>
  <si>
    <t>Id2221</t>
  </si>
  <si>
    <t>Id2220</t>
  </si>
  <si>
    <t>Id2219</t>
  </si>
  <si>
    <t>Id2218</t>
  </si>
  <si>
    <t>Id2217</t>
  </si>
  <si>
    <t>Id2216</t>
  </si>
  <si>
    <t>Id2215</t>
  </si>
  <si>
    <t>Id2214</t>
  </si>
  <si>
    <t>Id2213</t>
  </si>
  <si>
    <t>Id2212</t>
  </si>
  <si>
    <t>Id2211</t>
  </si>
  <si>
    <t>Id2210</t>
  </si>
  <si>
    <t>Id2209</t>
  </si>
  <si>
    <t>Id2208</t>
  </si>
  <si>
    <t>Id2207</t>
  </si>
  <si>
    <t>Id2206</t>
  </si>
  <si>
    <t>Id2205</t>
  </si>
  <si>
    <t>Id2204</t>
  </si>
  <si>
    <t>Id2203</t>
  </si>
  <si>
    <t>Id2202</t>
  </si>
  <si>
    <t>Id2201</t>
  </si>
  <si>
    <t>Id2200</t>
  </si>
  <si>
    <t>Id2199</t>
  </si>
  <si>
    <t>Id2198</t>
  </si>
  <si>
    <t>Id2197</t>
  </si>
  <si>
    <t>Id2196</t>
  </si>
  <si>
    <t>Id2195</t>
  </si>
  <si>
    <t>R1015</t>
  </si>
  <si>
    <t>Id2194</t>
  </si>
  <si>
    <t>R1019</t>
  </si>
  <si>
    <t>Id2193</t>
  </si>
  <si>
    <t>R1016</t>
  </si>
  <si>
    <t>Id2192</t>
  </si>
  <si>
    <t>R1018</t>
  </si>
  <si>
    <t>Id2191</t>
  </si>
  <si>
    <t>Id2190</t>
  </si>
  <si>
    <t>Id2189</t>
  </si>
  <si>
    <t>Id2188</t>
  </si>
  <si>
    <t>Id2187</t>
  </si>
  <si>
    <t>Id2186</t>
  </si>
  <si>
    <t>Id2185</t>
  </si>
  <si>
    <t>Id2184</t>
  </si>
  <si>
    <t>Id2183</t>
  </si>
  <si>
    <t>Id2182</t>
  </si>
  <si>
    <t>Id2181</t>
  </si>
  <si>
    <t>Id2180</t>
  </si>
  <si>
    <t>Id2179</t>
  </si>
  <si>
    <t>Id2178</t>
  </si>
  <si>
    <t>Id2177</t>
  </si>
  <si>
    <t>Id2176</t>
  </si>
  <si>
    <t>Id2175</t>
  </si>
  <si>
    <t>Id2174</t>
  </si>
  <si>
    <t>Id2173</t>
  </si>
  <si>
    <t>Id2172</t>
  </si>
  <si>
    <t>Id2171</t>
  </si>
  <si>
    <t>Id2170</t>
  </si>
  <si>
    <t>Id2169</t>
  </si>
  <si>
    <t>Id2168</t>
  </si>
  <si>
    <t>Id2167</t>
  </si>
  <si>
    <t>Id2166</t>
  </si>
  <si>
    <t>Id2165</t>
  </si>
  <si>
    <t>Id2164</t>
  </si>
  <si>
    <t>Id2163</t>
  </si>
  <si>
    <t>R1025</t>
  </si>
  <si>
    <t>Id2162</t>
  </si>
  <si>
    <t>Id2161</t>
  </si>
  <si>
    <t>Id2160</t>
  </si>
  <si>
    <t>Id2159</t>
  </si>
  <si>
    <t>Id2158</t>
  </si>
  <si>
    <t>Id2157</t>
  </si>
  <si>
    <t>Id2156</t>
  </si>
  <si>
    <t>Id2155</t>
  </si>
  <si>
    <t>Id2154</t>
  </si>
  <si>
    <t>Id2153</t>
  </si>
  <si>
    <t>Id2152</t>
  </si>
  <si>
    <t>Id2151</t>
  </si>
  <si>
    <t>Id2150</t>
  </si>
  <si>
    <t>Id2149</t>
  </si>
  <si>
    <t>Id2148</t>
  </si>
  <si>
    <t>Id2147</t>
  </si>
  <si>
    <t>Id2146</t>
  </si>
  <si>
    <t>Id2145</t>
  </si>
  <si>
    <t>Id2144</t>
  </si>
  <si>
    <t>Id2143</t>
  </si>
  <si>
    <t>Id2142</t>
  </si>
  <si>
    <t>Id2141</t>
  </si>
  <si>
    <t>Id2140</t>
  </si>
  <si>
    <t>Id2139</t>
  </si>
  <si>
    <t>Id2138</t>
  </si>
  <si>
    <t>Id2137</t>
  </si>
  <si>
    <t>Id2136</t>
  </si>
  <si>
    <t>Id2135</t>
  </si>
  <si>
    <t>Id2134</t>
  </si>
  <si>
    <t>Id2133</t>
  </si>
  <si>
    <t>Id2132</t>
  </si>
  <si>
    <t>Id2131</t>
  </si>
  <si>
    <t>Id2130</t>
  </si>
  <si>
    <t>Id2129</t>
  </si>
  <si>
    <t>Id2128</t>
  </si>
  <si>
    <t>Id2127</t>
  </si>
  <si>
    <t>Id2126</t>
  </si>
  <si>
    <t>Id2125</t>
  </si>
  <si>
    <t>Id2124</t>
  </si>
  <si>
    <t>Id2123</t>
  </si>
  <si>
    <t>Id2122</t>
  </si>
  <si>
    <t>Id2121</t>
  </si>
  <si>
    <t>Id2120</t>
  </si>
  <si>
    <t>Id2119</t>
  </si>
  <si>
    <t>Id2118</t>
  </si>
  <si>
    <t>Id2117</t>
  </si>
  <si>
    <t>R1024</t>
  </si>
  <si>
    <t>Id2116</t>
  </si>
  <si>
    <t>R1023</t>
  </si>
  <si>
    <t>Id2115</t>
  </si>
  <si>
    <t>Id2114</t>
  </si>
  <si>
    <t>Id2113</t>
  </si>
  <si>
    <t>Id2112</t>
  </si>
  <si>
    <t>Id2111</t>
  </si>
  <si>
    <t>Id2110</t>
  </si>
  <si>
    <t>Id2109</t>
  </si>
  <si>
    <t>Id2108</t>
  </si>
  <si>
    <t>Id2107</t>
  </si>
  <si>
    <t>Id2106</t>
  </si>
  <si>
    <t>Id2105</t>
  </si>
  <si>
    <t>Id2104</t>
  </si>
  <si>
    <t>Id2103</t>
  </si>
  <si>
    <t>Id2102</t>
  </si>
  <si>
    <t>Id2101</t>
  </si>
  <si>
    <t>Id2100</t>
  </si>
  <si>
    <t>Id2099</t>
  </si>
  <si>
    <t>Id2098</t>
  </si>
  <si>
    <t>Id2097</t>
  </si>
  <si>
    <t>Id2096</t>
  </si>
  <si>
    <t>Id2095</t>
  </si>
  <si>
    <t>Id2094</t>
  </si>
  <si>
    <t>Id2093</t>
  </si>
  <si>
    <t>Id2092</t>
  </si>
  <si>
    <t>Id2091</t>
  </si>
  <si>
    <t>Id2090</t>
  </si>
  <si>
    <t>R1014</t>
  </si>
  <si>
    <t>Id2089</t>
  </si>
  <si>
    <t>Id2088</t>
  </si>
  <si>
    <t>Id2087</t>
  </si>
  <si>
    <t>Id2086</t>
  </si>
  <si>
    <t>Id2085</t>
  </si>
  <si>
    <t>Id2084</t>
  </si>
  <si>
    <t>Id2083</t>
  </si>
  <si>
    <t>Id2082</t>
  </si>
  <si>
    <t>Id2081</t>
  </si>
  <si>
    <t>Id2080</t>
  </si>
  <si>
    <t>Id2079</t>
  </si>
  <si>
    <t>Id2078</t>
  </si>
  <si>
    <t>Id2077</t>
  </si>
  <si>
    <t>Id2076</t>
  </si>
  <si>
    <t>Id2075</t>
  </si>
  <si>
    <t>Id2074</t>
  </si>
  <si>
    <t>Id2073</t>
  </si>
  <si>
    <t>Id2072</t>
  </si>
  <si>
    <t>Id2071</t>
  </si>
  <si>
    <t>Id2070</t>
  </si>
  <si>
    <t>Id2069</t>
  </si>
  <si>
    <t>Id2068</t>
  </si>
  <si>
    <t>Id2067</t>
  </si>
  <si>
    <t>R1021</t>
  </si>
  <si>
    <t>Id2066</t>
  </si>
  <si>
    <t>Id2065</t>
  </si>
  <si>
    <t>Id2064</t>
  </si>
  <si>
    <t>Id2063</t>
  </si>
  <si>
    <t>Id2062</t>
  </si>
  <si>
    <t>Id2061</t>
  </si>
  <si>
    <t>Id2060</t>
  </si>
  <si>
    <t>Id2059</t>
  </si>
  <si>
    <t>Id2058</t>
  </si>
  <si>
    <t>Id2057</t>
  </si>
  <si>
    <t>Id2056</t>
  </si>
  <si>
    <t>Id2055</t>
  </si>
  <si>
    <t>Id2054</t>
  </si>
  <si>
    <t>Id2053</t>
  </si>
  <si>
    <t>Id2052</t>
  </si>
  <si>
    <t>Id2051</t>
  </si>
  <si>
    <t>Id2050</t>
  </si>
  <si>
    <t>Id2049</t>
  </si>
  <si>
    <t>Id2048</t>
  </si>
  <si>
    <t>Id2047</t>
  </si>
  <si>
    <t>Id2046</t>
  </si>
  <si>
    <t>Id2045</t>
  </si>
  <si>
    <t>Id2044</t>
  </si>
  <si>
    <t>Id2043</t>
  </si>
  <si>
    <t>Id2042</t>
  </si>
  <si>
    <t>Id2041</t>
  </si>
  <si>
    <t>Id2040</t>
  </si>
  <si>
    <t>Id2039</t>
  </si>
  <si>
    <t>Id2038</t>
  </si>
  <si>
    <t>Id2037</t>
  </si>
  <si>
    <t>Id2036</t>
  </si>
  <si>
    <t>Id2035</t>
  </si>
  <si>
    <t>Id2034</t>
  </si>
  <si>
    <t>Id2033</t>
  </si>
  <si>
    <t>Id2032</t>
  </si>
  <si>
    <t>Id2031</t>
  </si>
  <si>
    <t>Id2030</t>
  </si>
  <si>
    <t>Id2029</t>
  </si>
  <si>
    <t>Id2028</t>
  </si>
  <si>
    <t>Id2027</t>
  </si>
  <si>
    <t>Id2026</t>
  </si>
  <si>
    <t>Id2025</t>
  </si>
  <si>
    <t>Id2024</t>
  </si>
  <si>
    <t>Id2023</t>
  </si>
  <si>
    <t>Id2022</t>
  </si>
  <si>
    <t>Id2021</t>
  </si>
  <si>
    <t>Id2020</t>
  </si>
  <si>
    <t>Id2019</t>
  </si>
  <si>
    <t>Id2018</t>
  </si>
  <si>
    <t>Id2017</t>
  </si>
  <si>
    <t>Id2016</t>
  </si>
  <si>
    <t>Id2015</t>
  </si>
  <si>
    <t>Id2014</t>
  </si>
  <si>
    <t>Id2013</t>
  </si>
  <si>
    <t>Id2012</t>
  </si>
  <si>
    <t>R1017</t>
  </si>
  <si>
    <t>Id2011</t>
  </si>
  <si>
    <t>Id2010</t>
  </si>
  <si>
    <t>Id2009</t>
  </si>
  <si>
    <t>Id2008</t>
  </si>
  <si>
    <t>Id2007</t>
  </si>
  <si>
    <t>Id2006</t>
  </si>
  <si>
    <t>Id2005</t>
  </si>
  <si>
    <t>Id2004</t>
  </si>
  <si>
    <t>Id2003</t>
  </si>
  <si>
    <t>Id2002</t>
  </si>
  <si>
    <t>Id2001</t>
  </si>
  <si>
    <t>Id2000</t>
  </si>
  <si>
    <t>Id1999</t>
  </si>
  <si>
    <t>Id1998</t>
  </si>
  <si>
    <t>Id1997</t>
  </si>
  <si>
    <t>Id1996</t>
  </si>
  <si>
    <t>Id1995</t>
  </si>
  <si>
    <t>Id1994</t>
  </si>
  <si>
    <t>Id1993</t>
  </si>
  <si>
    <t>Id1992</t>
  </si>
  <si>
    <t>Id1991</t>
  </si>
  <si>
    <t>Id1990</t>
  </si>
  <si>
    <t>Id1989</t>
  </si>
  <si>
    <t>Id1988</t>
  </si>
  <si>
    <t>Id1987</t>
  </si>
  <si>
    <t>Id1986</t>
  </si>
  <si>
    <t>Id1985</t>
  </si>
  <si>
    <t>Id1984</t>
  </si>
  <si>
    <t>Id1983</t>
  </si>
  <si>
    <t>Id1982</t>
  </si>
  <si>
    <t>Id1981</t>
  </si>
  <si>
    <t>Id1980</t>
  </si>
  <si>
    <t>Id1979</t>
  </si>
  <si>
    <t>Id1978</t>
  </si>
  <si>
    <t>Id1977</t>
  </si>
  <si>
    <t>Id1976</t>
  </si>
  <si>
    <t>Id1975</t>
  </si>
  <si>
    <t>Id1974</t>
  </si>
  <si>
    <t>Id1973</t>
  </si>
  <si>
    <t>Id1972</t>
  </si>
  <si>
    <t>Id1971</t>
  </si>
  <si>
    <t>Id1970</t>
  </si>
  <si>
    <t>Id1969</t>
  </si>
  <si>
    <t>Id1968</t>
  </si>
  <si>
    <t>Id1967</t>
  </si>
  <si>
    <t>Id1966</t>
  </si>
  <si>
    <t>Id1965</t>
  </si>
  <si>
    <t>Id1964</t>
  </si>
  <si>
    <t>Id1963</t>
  </si>
  <si>
    <t>Id1962</t>
  </si>
  <si>
    <t>Id1961</t>
  </si>
  <si>
    <t>Id1960</t>
  </si>
  <si>
    <t>Id1959</t>
  </si>
  <si>
    <t>Id1958</t>
  </si>
  <si>
    <t>Id1957</t>
  </si>
  <si>
    <t>Id1956</t>
  </si>
  <si>
    <t>Id1955</t>
  </si>
  <si>
    <t>Id1954</t>
  </si>
  <si>
    <t>Id1953</t>
  </si>
  <si>
    <t>Id1952</t>
  </si>
  <si>
    <t>Id1951</t>
  </si>
  <si>
    <t>Id1950</t>
  </si>
  <si>
    <t>Id1949</t>
  </si>
  <si>
    <t>Id1948</t>
  </si>
  <si>
    <t>Id1947</t>
  </si>
  <si>
    <t>Id1946</t>
  </si>
  <si>
    <t>Id1945</t>
  </si>
  <si>
    <t>Id1944</t>
  </si>
  <si>
    <t>Id1943</t>
  </si>
  <si>
    <t>Id1942</t>
  </si>
  <si>
    <t>Id1941</t>
  </si>
  <si>
    <t>Id1940</t>
  </si>
  <si>
    <t>Id1939</t>
  </si>
  <si>
    <t>Id1938</t>
  </si>
  <si>
    <t>Id1937</t>
  </si>
  <si>
    <t>Id1936</t>
  </si>
  <si>
    <t>Id1935</t>
  </si>
  <si>
    <t>Id1934</t>
  </si>
  <si>
    <t>Id1933</t>
  </si>
  <si>
    <t>Id1932</t>
  </si>
  <si>
    <t>Id1931</t>
  </si>
  <si>
    <t>Id1930</t>
  </si>
  <si>
    <t>Id1929</t>
  </si>
  <si>
    <t>Id1928</t>
  </si>
  <si>
    <t>Id1927</t>
  </si>
  <si>
    <t>Id1926</t>
  </si>
  <si>
    <t>Id1925</t>
  </si>
  <si>
    <t>Id1924</t>
  </si>
  <si>
    <t>Id1923</t>
  </si>
  <si>
    <t>Id1922</t>
  </si>
  <si>
    <t>Id1921</t>
  </si>
  <si>
    <t>Id1920</t>
  </si>
  <si>
    <t>Id1919</t>
  </si>
  <si>
    <t>Id1918</t>
  </si>
  <si>
    <t>Id1917</t>
  </si>
  <si>
    <t>Id1916</t>
  </si>
  <si>
    <t>Id1915</t>
  </si>
  <si>
    <t>Id1914</t>
  </si>
  <si>
    <t>Id1913</t>
  </si>
  <si>
    <t>Id1912</t>
  </si>
  <si>
    <t>Id1911</t>
  </si>
  <si>
    <t>Id1910</t>
  </si>
  <si>
    <t>Id1909</t>
  </si>
  <si>
    <t>Id1908</t>
  </si>
  <si>
    <t>Id1907</t>
  </si>
  <si>
    <t>Id1906</t>
  </si>
  <si>
    <t>Id1905</t>
  </si>
  <si>
    <t>Id1904</t>
  </si>
  <si>
    <t>Id1903</t>
  </si>
  <si>
    <t>Id1902</t>
  </si>
  <si>
    <t>Id1901</t>
  </si>
  <si>
    <t>Id1900</t>
  </si>
  <si>
    <t>Id1899</t>
  </si>
  <si>
    <t>Id1898</t>
  </si>
  <si>
    <t>Id1897</t>
  </si>
  <si>
    <t>Id1896</t>
  </si>
  <si>
    <t>Id1895</t>
  </si>
  <si>
    <t>Id1894</t>
  </si>
  <si>
    <t>Id1893</t>
  </si>
  <si>
    <t>Id1892</t>
  </si>
  <si>
    <t>Id1891</t>
  </si>
  <si>
    <t>Id1890</t>
  </si>
  <si>
    <t>Id1889</t>
  </si>
  <si>
    <t>Id1888</t>
  </si>
  <si>
    <t>Id1887</t>
  </si>
  <si>
    <t>Id1886</t>
  </si>
  <si>
    <t>Id1885</t>
  </si>
  <si>
    <t>Id1884</t>
  </si>
  <si>
    <t>Id1883</t>
  </si>
  <si>
    <t>Id1882</t>
  </si>
  <si>
    <t>Id1881</t>
  </si>
  <si>
    <t>Id1880</t>
  </si>
  <si>
    <t>Id1879</t>
  </si>
  <si>
    <t>Id1878</t>
  </si>
  <si>
    <t>Id1877</t>
  </si>
  <si>
    <t>Id1876</t>
  </si>
  <si>
    <t>Id1875</t>
  </si>
  <si>
    <t>Id1874</t>
  </si>
  <si>
    <t>Id1873</t>
  </si>
  <si>
    <t>Id1872</t>
  </si>
  <si>
    <t>Id1871</t>
  </si>
  <si>
    <t>Id1870</t>
  </si>
  <si>
    <t>Id1869</t>
  </si>
  <si>
    <t>Id1868</t>
  </si>
  <si>
    <t>Id1867</t>
  </si>
  <si>
    <t>Id1866</t>
  </si>
  <si>
    <t>Id1865</t>
  </si>
  <si>
    <t>Id1864</t>
  </si>
  <si>
    <t>Id1863</t>
  </si>
  <si>
    <t>Id1862</t>
  </si>
  <si>
    <t>Id1861</t>
  </si>
  <si>
    <t>Id1860</t>
  </si>
  <si>
    <t>Id1859</t>
  </si>
  <si>
    <t>Id1858</t>
  </si>
  <si>
    <t>Id1857</t>
  </si>
  <si>
    <t>Id1856</t>
  </si>
  <si>
    <t>Id1855</t>
  </si>
  <si>
    <t>Id1854</t>
  </si>
  <si>
    <t>Id1853</t>
  </si>
  <si>
    <t>R1020</t>
  </si>
  <si>
    <t>Id1852</t>
  </si>
  <si>
    <t>Id1851</t>
  </si>
  <si>
    <t>Id1850</t>
  </si>
  <si>
    <t>Id1849</t>
  </si>
  <si>
    <t>Id1848</t>
  </si>
  <si>
    <t>Id1847</t>
  </si>
  <si>
    <t>Id1846</t>
  </si>
  <si>
    <t>Id1845</t>
  </si>
  <si>
    <t>Id1844</t>
  </si>
  <si>
    <t>Id1843</t>
  </si>
  <si>
    <t>Id1842</t>
  </si>
  <si>
    <t>Id1841</t>
  </si>
  <si>
    <t>Id1840</t>
  </si>
  <si>
    <t>Id1839</t>
  </si>
  <si>
    <t>Id1838</t>
  </si>
  <si>
    <t>Id1837</t>
  </si>
  <si>
    <t>Id1836</t>
  </si>
  <si>
    <t>Id1835</t>
  </si>
  <si>
    <t>R1026</t>
  </si>
  <si>
    <t>Id1834</t>
  </si>
  <si>
    <t>Id1833</t>
  </si>
  <si>
    <t>Id1832</t>
  </si>
  <si>
    <t>Id1831</t>
  </si>
  <si>
    <t>Id1830</t>
  </si>
  <si>
    <t>Id1829</t>
  </si>
  <si>
    <t>Id1828</t>
  </si>
  <si>
    <t>Id1827</t>
  </si>
  <si>
    <t>Id1826</t>
  </si>
  <si>
    <t>Id1825</t>
  </si>
  <si>
    <t>Id1824</t>
  </si>
  <si>
    <t>Id1823</t>
  </si>
  <si>
    <t>Id1822</t>
  </si>
  <si>
    <t>Id1821</t>
  </si>
  <si>
    <t>Id1820</t>
  </si>
  <si>
    <t>Id1819</t>
  </si>
  <si>
    <t>Id1818</t>
  </si>
  <si>
    <t>Id1817</t>
  </si>
  <si>
    <t>Id1816</t>
  </si>
  <si>
    <t>Id1815</t>
  </si>
  <si>
    <t>Id1814</t>
  </si>
  <si>
    <t>Id1813</t>
  </si>
  <si>
    <t>Id1812</t>
  </si>
  <si>
    <t>Id1811</t>
  </si>
  <si>
    <t>Id1810</t>
  </si>
  <si>
    <t>Id1809</t>
  </si>
  <si>
    <t>Id1808</t>
  </si>
  <si>
    <t>Id1807</t>
  </si>
  <si>
    <t>Id1806</t>
  </si>
  <si>
    <t>Id1805</t>
  </si>
  <si>
    <t>Id1804</t>
  </si>
  <si>
    <t>Id1803</t>
  </si>
  <si>
    <t>Id1802</t>
  </si>
  <si>
    <t>Id1801</t>
  </si>
  <si>
    <t>Id1800</t>
  </si>
  <si>
    <t>Id1799</t>
  </si>
  <si>
    <t>Id1798</t>
  </si>
  <si>
    <t>Id1797</t>
  </si>
  <si>
    <t>Id1796</t>
  </si>
  <si>
    <t>Id1795</t>
  </si>
  <si>
    <t>Id1794</t>
  </si>
  <si>
    <t>Id1793</t>
  </si>
  <si>
    <t>Id1792</t>
  </si>
  <si>
    <t>Id1791</t>
  </si>
  <si>
    <t>Id1790</t>
  </si>
  <si>
    <t>Id1789</t>
  </si>
  <si>
    <t>Id1788</t>
  </si>
  <si>
    <t>Id1787</t>
  </si>
  <si>
    <t>Id1786</t>
  </si>
  <si>
    <t>Id1785</t>
  </si>
  <si>
    <t>Id1784</t>
  </si>
  <si>
    <t>Id1783</t>
  </si>
  <si>
    <t>Id1782</t>
  </si>
  <si>
    <t>Id1781</t>
  </si>
  <si>
    <t>Id1780</t>
  </si>
  <si>
    <t>Id1779</t>
  </si>
  <si>
    <t>Id1778</t>
  </si>
  <si>
    <t>Id1777</t>
  </si>
  <si>
    <t>Id1776</t>
  </si>
  <si>
    <t>Id1775</t>
  </si>
  <si>
    <t>Id1774</t>
  </si>
  <si>
    <t>Id1773</t>
  </si>
  <si>
    <t>Id1772</t>
  </si>
  <si>
    <t>Id1771</t>
  </si>
  <si>
    <t>Id1770</t>
  </si>
  <si>
    <t>Id1769</t>
  </si>
  <si>
    <t>Id1768</t>
  </si>
  <si>
    <t>Id1767</t>
  </si>
  <si>
    <t>Id1766</t>
  </si>
  <si>
    <t>Id1765</t>
  </si>
  <si>
    <t>Id1764</t>
  </si>
  <si>
    <t>Id1763</t>
  </si>
  <si>
    <t>Id1762</t>
  </si>
  <si>
    <t>Id1761</t>
  </si>
  <si>
    <t>Id1760</t>
  </si>
  <si>
    <t>Id1759</t>
  </si>
  <si>
    <t>Id1758</t>
  </si>
  <si>
    <t>Id1757</t>
  </si>
  <si>
    <t>Id1756</t>
  </si>
  <si>
    <t>Id1755</t>
  </si>
  <si>
    <t>Id1754</t>
  </si>
  <si>
    <t>Id1753</t>
  </si>
  <si>
    <t>Id1752</t>
  </si>
  <si>
    <t>Id1751</t>
  </si>
  <si>
    <t>Id1750</t>
  </si>
  <si>
    <t>Id1749</t>
  </si>
  <si>
    <t>Id1748</t>
  </si>
  <si>
    <t>Id1747</t>
  </si>
  <si>
    <t>Id1746</t>
  </si>
  <si>
    <t>Id1745</t>
  </si>
  <si>
    <t>Id1744</t>
  </si>
  <si>
    <t>Id1743</t>
  </si>
  <si>
    <t>Id1742</t>
  </si>
  <si>
    <t>Id1741</t>
  </si>
  <si>
    <t>Id1740</t>
  </si>
  <si>
    <t>Id1739</t>
  </si>
  <si>
    <t>R1022</t>
  </si>
  <si>
    <t>Id1738</t>
  </si>
  <si>
    <t>Id1737</t>
  </si>
  <si>
    <t>Id1736</t>
  </si>
  <si>
    <t>Id1735</t>
  </si>
  <si>
    <t>Id1734</t>
  </si>
  <si>
    <t>Id1733</t>
  </si>
  <si>
    <t>Id1732</t>
  </si>
  <si>
    <t>Id1731</t>
  </si>
  <si>
    <t>Id1730</t>
  </si>
  <si>
    <t>Id1729</t>
  </si>
  <si>
    <t>Id1728</t>
  </si>
  <si>
    <t>Id1727</t>
  </si>
  <si>
    <t>Id1726</t>
  </si>
  <si>
    <t>Id1725</t>
  </si>
  <si>
    <t>Id1724</t>
  </si>
  <si>
    <t>Id1723</t>
  </si>
  <si>
    <t>Id1722</t>
  </si>
  <si>
    <t>Id1721</t>
  </si>
  <si>
    <t>Id1720</t>
  </si>
  <si>
    <t>Id1719</t>
  </si>
  <si>
    <t>Id1718</t>
  </si>
  <si>
    <t>Id1717</t>
  </si>
  <si>
    <t>Id1716</t>
  </si>
  <si>
    <t>Id1715</t>
  </si>
  <si>
    <t>Id1714</t>
  </si>
  <si>
    <t>Id1713</t>
  </si>
  <si>
    <t>Id1712</t>
  </si>
  <si>
    <t>Id1711</t>
  </si>
  <si>
    <t>Id1710</t>
  </si>
  <si>
    <t>Id1709</t>
  </si>
  <si>
    <t>Id1708</t>
  </si>
  <si>
    <t>Id1707</t>
  </si>
  <si>
    <t>Id1706</t>
  </si>
  <si>
    <t>Id1705</t>
  </si>
  <si>
    <t>Id1704</t>
  </si>
  <si>
    <t>Id1703</t>
  </si>
  <si>
    <t>Id1702</t>
  </si>
  <si>
    <t>Id1701</t>
  </si>
  <si>
    <t>Id1700</t>
  </si>
  <si>
    <t>Id1699</t>
  </si>
  <si>
    <t>Id1698</t>
  </si>
  <si>
    <t>Id1697</t>
  </si>
  <si>
    <t>Id1696</t>
  </si>
  <si>
    <t>Id1695</t>
  </si>
  <si>
    <t>Id1694</t>
  </si>
  <si>
    <t>Id1693</t>
  </si>
  <si>
    <t>Id1692</t>
  </si>
  <si>
    <t>Id1691</t>
  </si>
  <si>
    <t>Id1690</t>
  </si>
  <si>
    <t>Id1689</t>
  </si>
  <si>
    <t>Id1688</t>
  </si>
  <si>
    <t>Id1687</t>
  </si>
  <si>
    <t>Id1686</t>
  </si>
  <si>
    <t>Id1685</t>
  </si>
  <si>
    <t>Id1684</t>
  </si>
  <si>
    <t>Id1683</t>
  </si>
  <si>
    <t>Id1682</t>
  </si>
  <si>
    <t>Id1681</t>
  </si>
  <si>
    <t>Id1680</t>
  </si>
  <si>
    <t>Id1679</t>
  </si>
  <si>
    <t>Id1678</t>
  </si>
  <si>
    <t>Id1677</t>
  </si>
  <si>
    <t>Id1676</t>
  </si>
  <si>
    <t>Id1675</t>
  </si>
  <si>
    <t>Id1674</t>
  </si>
  <si>
    <t>Id1673</t>
  </si>
  <si>
    <t>Id1672</t>
  </si>
  <si>
    <t>Id1671</t>
  </si>
  <si>
    <t>Id1670</t>
  </si>
  <si>
    <t>Id1669</t>
  </si>
  <si>
    <t>Id1668</t>
  </si>
  <si>
    <t>Id1667</t>
  </si>
  <si>
    <t>Id1666</t>
  </si>
  <si>
    <t>Id1665</t>
  </si>
  <si>
    <t>Id1664</t>
  </si>
  <si>
    <t>Id1663</t>
  </si>
  <si>
    <t>Id1662</t>
  </si>
  <si>
    <t>Id1661</t>
  </si>
  <si>
    <t>Id1660</t>
  </si>
  <si>
    <t>Id1659</t>
  </si>
  <si>
    <t>Id1658</t>
  </si>
  <si>
    <t>Id1657</t>
  </si>
  <si>
    <t>Id1656</t>
  </si>
  <si>
    <t>Id1655</t>
  </si>
  <si>
    <t>Id1654</t>
  </si>
  <si>
    <t>Id1653</t>
  </si>
  <si>
    <t>Id1652</t>
  </si>
  <si>
    <t>Id1651</t>
  </si>
  <si>
    <t>Id1650</t>
  </si>
  <si>
    <t>Id1649</t>
  </si>
  <si>
    <t>Id1648</t>
  </si>
  <si>
    <t>Id1647</t>
  </si>
  <si>
    <t>Id1646</t>
  </si>
  <si>
    <t>Id1645</t>
  </si>
  <si>
    <t>Id1644</t>
  </si>
  <si>
    <t>Id1643</t>
  </si>
  <si>
    <t>Id1642</t>
  </si>
  <si>
    <t>Id1641</t>
  </si>
  <si>
    <t>Id1640</t>
  </si>
  <si>
    <t>Id1639</t>
  </si>
  <si>
    <t>Id1638</t>
  </si>
  <si>
    <t>Id1637</t>
  </si>
  <si>
    <t>Id1636</t>
  </si>
  <si>
    <t>Id1635</t>
  </si>
  <si>
    <t>Id1634</t>
  </si>
  <si>
    <t>Id1633</t>
  </si>
  <si>
    <t>Id1632</t>
  </si>
  <si>
    <t>Id1631</t>
  </si>
  <si>
    <t>Id1630</t>
  </si>
  <si>
    <t>Id1629</t>
  </si>
  <si>
    <t>Id1628</t>
  </si>
  <si>
    <t>Id1627</t>
  </si>
  <si>
    <t>Id1626</t>
  </si>
  <si>
    <t>Id1625</t>
  </si>
  <si>
    <t>Id1624</t>
  </si>
  <si>
    <t>Id1623</t>
  </si>
  <si>
    <t>Id1622</t>
  </si>
  <si>
    <t>Id1621</t>
  </si>
  <si>
    <t>Id1620</t>
  </si>
  <si>
    <t>Id1619</t>
  </si>
  <si>
    <t>Id1618</t>
  </si>
  <si>
    <t>Id1617</t>
  </si>
  <si>
    <t>Id1616</t>
  </si>
  <si>
    <t>Id1615</t>
  </si>
  <si>
    <t>Id1614</t>
  </si>
  <si>
    <t>Id1613</t>
  </si>
  <si>
    <t>Id1612</t>
  </si>
  <si>
    <t>Id1611</t>
  </si>
  <si>
    <t>Id1610</t>
  </si>
  <si>
    <t>Id1609</t>
  </si>
  <si>
    <t>Id1608</t>
  </si>
  <si>
    <t>Id1607</t>
  </si>
  <si>
    <t>Id1606</t>
  </si>
  <si>
    <t>Id1605</t>
  </si>
  <si>
    <t>Id1604</t>
  </si>
  <si>
    <t>Id1603</t>
  </si>
  <si>
    <t>Id1602</t>
  </si>
  <si>
    <t>Id1601</t>
  </si>
  <si>
    <t>Id1600</t>
  </si>
  <si>
    <t>Id1599</t>
  </si>
  <si>
    <t>Id1598</t>
  </si>
  <si>
    <t>Id1597</t>
  </si>
  <si>
    <t>Id1596</t>
  </si>
  <si>
    <t>Id1595</t>
  </si>
  <si>
    <t>Id1594</t>
  </si>
  <si>
    <t>Id1593</t>
  </si>
  <si>
    <t>Id1592</t>
  </si>
  <si>
    <t>Id1591</t>
  </si>
  <si>
    <t>Id1590</t>
  </si>
  <si>
    <t>Id1589</t>
  </si>
  <si>
    <t>Id1588</t>
  </si>
  <si>
    <t>Id1587</t>
  </si>
  <si>
    <t>Id1586</t>
  </si>
  <si>
    <t>Id1585</t>
  </si>
  <si>
    <t>Id1584</t>
  </si>
  <si>
    <t>Id1583</t>
  </si>
  <si>
    <t>Id1582</t>
  </si>
  <si>
    <t>Id1581</t>
  </si>
  <si>
    <t>Id1580</t>
  </si>
  <si>
    <t>Id1579</t>
  </si>
  <si>
    <t>Id1578</t>
  </si>
  <si>
    <t>Id1577</t>
  </si>
  <si>
    <t>Id1576</t>
  </si>
  <si>
    <t>Id1575</t>
  </si>
  <si>
    <t>Id1574</t>
  </si>
  <si>
    <t>Id1573</t>
  </si>
  <si>
    <t>Id1572</t>
  </si>
  <si>
    <t>Id1571</t>
  </si>
  <si>
    <t>Id1570</t>
  </si>
  <si>
    <t>Id1569</t>
  </si>
  <si>
    <t>Id1568</t>
  </si>
  <si>
    <t>Id1567</t>
  </si>
  <si>
    <t>Id1566</t>
  </si>
  <si>
    <t>Id1565</t>
  </si>
  <si>
    <t>Id1564</t>
  </si>
  <si>
    <t>Id1563</t>
  </si>
  <si>
    <t>Id1562</t>
  </si>
  <si>
    <t>Id1561</t>
  </si>
  <si>
    <t>Id1560</t>
  </si>
  <si>
    <t>Id1559</t>
  </si>
  <si>
    <t>Id1558</t>
  </si>
  <si>
    <t>Id1557</t>
  </si>
  <si>
    <t>Id1556</t>
  </si>
  <si>
    <t>Id1555</t>
  </si>
  <si>
    <t>Id1554</t>
  </si>
  <si>
    <t>Id1553</t>
  </si>
  <si>
    <t>Id1552</t>
  </si>
  <si>
    <t>Id1551</t>
  </si>
  <si>
    <t>Id1550</t>
  </si>
  <si>
    <t>Id1549</t>
  </si>
  <si>
    <t>Id1548</t>
  </si>
  <si>
    <t>Id1547</t>
  </si>
  <si>
    <t>Id1546</t>
  </si>
  <si>
    <t>Id1545</t>
  </si>
  <si>
    <t>Id1544</t>
  </si>
  <si>
    <t>Id1543</t>
  </si>
  <si>
    <t>Id1542</t>
  </si>
  <si>
    <t>Id1541</t>
  </si>
  <si>
    <t>Id1540</t>
  </si>
  <si>
    <t>Id1539</t>
  </si>
  <si>
    <t>Id1538</t>
  </si>
  <si>
    <t>Id1537</t>
  </si>
  <si>
    <t>Id1536</t>
  </si>
  <si>
    <t>Id1535</t>
  </si>
  <si>
    <t>Id1534</t>
  </si>
  <si>
    <t>Id1533</t>
  </si>
  <si>
    <t>Id1532</t>
  </si>
  <si>
    <t>Id1531</t>
  </si>
  <si>
    <t>Id1530</t>
  </si>
  <si>
    <t>Id1529</t>
  </si>
  <si>
    <t>Id1528</t>
  </si>
  <si>
    <t>Id1527</t>
  </si>
  <si>
    <t>Id1526</t>
  </si>
  <si>
    <t>Id1525</t>
  </si>
  <si>
    <t>Id1524</t>
  </si>
  <si>
    <t>Id1523</t>
  </si>
  <si>
    <t>Id1522</t>
  </si>
  <si>
    <t>Id1521</t>
  </si>
  <si>
    <t>Id1520</t>
  </si>
  <si>
    <t>Id1519</t>
  </si>
  <si>
    <t>Id1518</t>
  </si>
  <si>
    <t>Id1517</t>
  </si>
  <si>
    <t>Id1516</t>
  </si>
  <si>
    <t>Id1515</t>
  </si>
  <si>
    <t>Id1514</t>
  </si>
  <si>
    <t>Id1513</t>
  </si>
  <si>
    <t>Id1512</t>
  </si>
  <si>
    <t>Id1511</t>
  </si>
  <si>
    <t>Id1510</t>
  </si>
  <si>
    <t>Id1509</t>
  </si>
  <si>
    <t>Id1508</t>
  </si>
  <si>
    <t>Id1507</t>
  </si>
  <si>
    <t>Id1506</t>
  </si>
  <si>
    <t>Id1505</t>
  </si>
  <si>
    <t>Id1504</t>
  </si>
  <si>
    <t>Id1503</t>
  </si>
  <si>
    <t>Id1502</t>
  </si>
  <si>
    <t>Id1501</t>
  </si>
  <si>
    <t>Id1500</t>
  </si>
  <si>
    <t>Id1499</t>
  </si>
  <si>
    <t>Id1498</t>
  </si>
  <si>
    <t>Id1497</t>
  </si>
  <si>
    <t>Id1496</t>
  </si>
  <si>
    <t>Id1495</t>
  </si>
  <si>
    <t>Id1494</t>
  </si>
  <si>
    <t>Id1493</t>
  </si>
  <si>
    <t>Id1492</t>
  </si>
  <si>
    <t>Id1491</t>
  </si>
  <si>
    <t>Id1490</t>
  </si>
  <si>
    <t>Id1489</t>
  </si>
  <si>
    <t>Id1488</t>
  </si>
  <si>
    <t>Id1487</t>
  </si>
  <si>
    <t>Id1486</t>
  </si>
  <si>
    <t>Id1485</t>
  </si>
  <si>
    <t>Id1484</t>
  </si>
  <si>
    <t>Id1483</t>
  </si>
  <si>
    <t>Id1482</t>
  </si>
  <si>
    <t>Id1481</t>
  </si>
  <si>
    <t>Id1480</t>
  </si>
  <si>
    <t>Id1479</t>
  </si>
  <si>
    <t>Id1478</t>
  </si>
  <si>
    <t>Id1477</t>
  </si>
  <si>
    <t>Id1476</t>
  </si>
  <si>
    <t>Id1475</t>
  </si>
  <si>
    <t>Id1474</t>
  </si>
  <si>
    <t>Id1473</t>
  </si>
  <si>
    <t>Id1472</t>
  </si>
  <si>
    <t>Id1471</t>
  </si>
  <si>
    <t>Id1470</t>
  </si>
  <si>
    <t>Id1469</t>
  </si>
  <si>
    <t>Id1468</t>
  </si>
  <si>
    <t>Id1467</t>
  </si>
  <si>
    <t>Id1466</t>
  </si>
  <si>
    <t>Id1465</t>
  </si>
  <si>
    <t>Id1464</t>
  </si>
  <si>
    <t>Id1463</t>
  </si>
  <si>
    <t>Id1462</t>
  </si>
  <si>
    <t>Id1461</t>
  </si>
  <si>
    <t>Id1460</t>
  </si>
  <si>
    <t>Id1459</t>
  </si>
  <si>
    <t>Id1458</t>
  </si>
  <si>
    <t>Id1457</t>
  </si>
  <si>
    <t>Id1456</t>
  </si>
  <si>
    <t>Id1455</t>
  </si>
  <si>
    <t>Id1454</t>
  </si>
  <si>
    <t>Id1453</t>
  </si>
  <si>
    <t>Id1452</t>
  </si>
  <si>
    <t>Id1451</t>
  </si>
  <si>
    <t>Id1450</t>
  </si>
  <si>
    <t>Id1449</t>
  </si>
  <si>
    <t>Id1448</t>
  </si>
  <si>
    <t>Id1447</t>
  </si>
  <si>
    <t>Id1446</t>
  </si>
  <si>
    <t>Id1445</t>
  </si>
  <si>
    <t>Id1444</t>
  </si>
  <si>
    <t>Id1443</t>
  </si>
  <si>
    <t>Id1442</t>
  </si>
  <si>
    <t>Id1441</t>
  </si>
  <si>
    <t>Id1440</t>
  </si>
  <si>
    <t>Id1439</t>
  </si>
  <si>
    <t>Id1438</t>
  </si>
  <si>
    <t>Id1437</t>
  </si>
  <si>
    <t>Id1436</t>
  </si>
  <si>
    <t>Id1435</t>
  </si>
  <si>
    <t>Id1434</t>
  </si>
  <si>
    <t>Id1433</t>
  </si>
  <si>
    <t>Id1432</t>
  </si>
  <si>
    <t>Id1431</t>
  </si>
  <si>
    <t>Id1430</t>
  </si>
  <si>
    <t>Id1429</t>
  </si>
  <si>
    <t>Id1428</t>
  </si>
  <si>
    <t>Id1427</t>
  </si>
  <si>
    <t>Id1426</t>
  </si>
  <si>
    <t>Id1425</t>
  </si>
  <si>
    <t>Id1424</t>
  </si>
  <si>
    <t>Id1423</t>
  </si>
  <si>
    <t>Id1422</t>
  </si>
  <si>
    <t>Id1421</t>
  </si>
  <si>
    <t>Id1420</t>
  </si>
  <si>
    <t>Id1419</t>
  </si>
  <si>
    <t>Id1418</t>
  </si>
  <si>
    <t>Id1417</t>
  </si>
  <si>
    <t>Id1416</t>
  </si>
  <si>
    <t>Id1415</t>
  </si>
  <si>
    <t>Id1414</t>
  </si>
  <si>
    <t>Id1413</t>
  </si>
  <si>
    <t>Id1412</t>
  </si>
  <si>
    <t>Id1411</t>
  </si>
  <si>
    <t>Id1410</t>
  </si>
  <si>
    <t>Id1409</t>
  </si>
  <si>
    <t>Id1408</t>
  </si>
  <si>
    <t>Id1407</t>
  </si>
  <si>
    <t>Id1406</t>
  </si>
  <si>
    <t>Id1405</t>
  </si>
  <si>
    <t>Id1404</t>
  </si>
  <si>
    <t>Id1403</t>
  </si>
  <si>
    <t>Id1402</t>
  </si>
  <si>
    <t>Id1401</t>
  </si>
  <si>
    <t>Id1400</t>
  </si>
  <si>
    <t>Id1399</t>
  </si>
  <si>
    <t>Id1398</t>
  </si>
  <si>
    <t>Id1397</t>
  </si>
  <si>
    <t>Id1396</t>
  </si>
  <si>
    <t>Id1395</t>
  </si>
  <si>
    <t>Id1394</t>
  </si>
  <si>
    <t>Id1393</t>
  </si>
  <si>
    <t>Id1392</t>
  </si>
  <si>
    <t>Id1391</t>
  </si>
  <si>
    <t>Id1390</t>
  </si>
  <si>
    <t>Id1389</t>
  </si>
  <si>
    <t>Id1388</t>
  </si>
  <si>
    <t>Id1387</t>
  </si>
  <si>
    <t>Id1386</t>
  </si>
  <si>
    <t>Id1385</t>
  </si>
  <si>
    <t>Id1384</t>
  </si>
  <si>
    <t>Id1383</t>
  </si>
  <si>
    <t>Id1382</t>
  </si>
  <si>
    <t>Id1381</t>
  </si>
  <si>
    <t>Id1380</t>
  </si>
  <si>
    <t>Id1379</t>
  </si>
  <si>
    <t>Id1378</t>
  </si>
  <si>
    <t>Id1377</t>
  </si>
  <si>
    <t>Id1376</t>
  </si>
  <si>
    <t>Id1375</t>
  </si>
  <si>
    <t>Id1374</t>
  </si>
  <si>
    <t>Id1373</t>
  </si>
  <si>
    <t>Id1372</t>
  </si>
  <si>
    <t>Id1371</t>
  </si>
  <si>
    <t>Id1370</t>
  </si>
  <si>
    <t>Id1369</t>
  </si>
  <si>
    <t>Id1368</t>
  </si>
  <si>
    <t>Id1367</t>
  </si>
  <si>
    <t>Id1366</t>
  </si>
  <si>
    <t>Id1365</t>
  </si>
  <si>
    <t>Id1364</t>
  </si>
  <si>
    <t>Id1363</t>
  </si>
  <si>
    <t>Id1362</t>
  </si>
  <si>
    <t>Id1361</t>
  </si>
  <si>
    <t>Id1360</t>
  </si>
  <si>
    <t>Id1359</t>
  </si>
  <si>
    <t>Id1358</t>
  </si>
  <si>
    <t>Id1357</t>
  </si>
  <si>
    <t>Id1356</t>
  </si>
  <si>
    <t>Id1355</t>
  </si>
  <si>
    <t>Id1354</t>
  </si>
  <si>
    <t>Id1353</t>
  </si>
  <si>
    <t>Id1352</t>
  </si>
  <si>
    <t>Id1351</t>
  </si>
  <si>
    <t>Id1350</t>
  </si>
  <si>
    <t>Id1349</t>
  </si>
  <si>
    <t>Id1348</t>
  </si>
  <si>
    <t>Id1347</t>
  </si>
  <si>
    <t>Id1346</t>
  </si>
  <si>
    <t>Id1345</t>
  </si>
  <si>
    <t>Id1344</t>
  </si>
  <si>
    <t>Id1343</t>
  </si>
  <si>
    <t>Id1342</t>
  </si>
  <si>
    <t>Id1341</t>
  </si>
  <si>
    <t>Id1340</t>
  </si>
  <si>
    <t>Id1339</t>
  </si>
  <si>
    <t>Id1338</t>
  </si>
  <si>
    <t>Id1337</t>
  </si>
  <si>
    <t>Id1336</t>
  </si>
  <si>
    <t>Id1335</t>
  </si>
  <si>
    <t>Id1334</t>
  </si>
  <si>
    <t>Id1333</t>
  </si>
  <si>
    <t>Id1332</t>
  </si>
  <si>
    <t>Id1331</t>
  </si>
  <si>
    <t>Id1330</t>
  </si>
  <si>
    <t>Id1329</t>
  </si>
  <si>
    <t>Id1328</t>
  </si>
  <si>
    <t>Id1327</t>
  </si>
  <si>
    <t>Id1326</t>
  </si>
  <si>
    <t>Id1325</t>
  </si>
  <si>
    <t>Id1324</t>
  </si>
  <si>
    <t>Id1323</t>
  </si>
  <si>
    <t>Id1322</t>
  </si>
  <si>
    <t>Id1321</t>
  </si>
  <si>
    <t>Id1320</t>
  </si>
  <si>
    <t>Id1319</t>
  </si>
  <si>
    <t>Id1318</t>
  </si>
  <si>
    <t>Id1317</t>
  </si>
  <si>
    <t>Id1316</t>
  </si>
  <si>
    <t>Id1315</t>
  </si>
  <si>
    <t>Id1314</t>
  </si>
  <si>
    <t>Id1313</t>
  </si>
  <si>
    <t>Id1312</t>
  </si>
  <si>
    <t>Id1311</t>
  </si>
  <si>
    <t>Id1310</t>
  </si>
  <si>
    <t>Id1309</t>
  </si>
  <si>
    <t>Id1308</t>
  </si>
  <si>
    <t>Id1307</t>
  </si>
  <si>
    <t>Id1306</t>
  </si>
  <si>
    <t>Id1305</t>
  </si>
  <si>
    <t>Id1304</t>
  </si>
  <si>
    <t>Id1303</t>
  </si>
  <si>
    <t>Id1302</t>
  </si>
  <si>
    <t>Id1301</t>
  </si>
  <si>
    <t>Id1300</t>
  </si>
  <si>
    <t>Id1299</t>
  </si>
  <si>
    <t>Id1298</t>
  </si>
  <si>
    <t>Id1297</t>
  </si>
  <si>
    <t>Id1296</t>
  </si>
  <si>
    <t>Id1295</t>
  </si>
  <si>
    <t>Id1294</t>
  </si>
  <si>
    <t>Id1293</t>
  </si>
  <si>
    <t>Id1292</t>
  </si>
  <si>
    <t>Id1291</t>
  </si>
  <si>
    <t>Id1290</t>
  </si>
  <si>
    <t>Id1289</t>
  </si>
  <si>
    <t>Id1288</t>
  </si>
  <si>
    <t>Id1287</t>
  </si>
  <si>
    <t>Id1286</t>
  </si>
  <si>
    <t>Id1285</t>
  </si>
  <si>
    <t>Id1284</t>
  </si>
  <si>
    <t>Id1283</t>
  </si>
  <si>
    <t>Id1282</t>
  </si>
  <si>
    <t>Id1281</t>
  </si>
  <si>
    <t>Id1280</t>
  </si>
  <si>
    <t>Id1279</t>
  </si>
  <si>
    <t>Id1278</t>
  </si>
  <si>
    <t>Id1277</t>
  </si>
  <si>
    <t>Id1276</t>
  </si>
  <si>
    <t>Id1275</t>
  </si>
  <si>
    <t>Id1274</t>
  </si>
  <si>
    <t>Id1273</t>
  </si>
  <si>
    <t>Id1272</t>
  </si>
  <si>
    <t>Id1271</t>
  </si>
  <si>
    <t>Id1270</t>
  </si>
  <si>
    <t>Id1269</t>
  </si>
  <si>
    <t>Id1268</t>
  </si>
  <si>
    <t>Id1267</t>
  </si>
  <si>
    <t>Id1266</t>
  </si>
  <si>
    <t>Id1265</t>
  </si>
  <si>
    <t>Id1264</t>
  </si>
  <si>
    <t>Id1263</t>
  </si>
  <si>
    <t>Id1262</t>
  </si>
  <si>
    <t>Id1261</t>
  </si>
  <si>
    <t>Id1260</t>
  </si>
  <si>
    <t>Id1259</t>
  </si>
  <si>
    <t>Id1258</t>
  </si>
  <si>
    <t>Id1257</t>
  </si>
  <si>
    <t>Id1256</t>
  </si>
  <si>
    <t>Id1255</t>
  </si>
  <si>
    <t>Id1254</t>
  </si>
  <si>
    <t>Id1253</t>
  </si>
  <si>
    <t>Id1252</t>
  </si>
  <si>
    <t>Id1251</t>
  </si>
  <si>
    <t>Id1250</t>
  </si>
  <si>
    <t>Id1249</t>
  </si>
  <si>
    <t>Id1248</t>
  </si>
  <si>
    <t>Id1247</t>
  </si>
  <si>
    <t>Id1246</t>
  </si>
  <si>
    <t>Id1245</t>
  </si>
  <si>
    <t>Id1244</t>
  </si>
  <si>
    <t>Id1243</t>
  </si>
  <si>
    <t>Id1242</t>
  </si>
  <si>
    <t>Id1241</t>
  </si>
  <si>
    <t>Id1240</t>
  </si>
  <si>
    <t>Id1239</t>
  </si>
  <si>
    <t>Id1238</t>
  </si>
  <si>
    <t>Id1237</t>
  </si>
  <si>
    <t>Id1236</t>
  </si>
  <si>
    <t>Id1235</t>
  </si>
  <si>
    <t>Id1234</t>
  </si>
  <si>
    <t>Id1233</t>
  </si>
  <si>
    <t>Id1232</t>
  </si>
  <si>
    <t>Id1231</t>
  </si>
  <si>
    <t>Id1230</t>
  </si>
  <si>
    <t>Id1229</t>
  </si>
  <si>
    <t>Id1228</t>
  </si>
  <si>
    <t>Id1227</t>
  </si>
  <si>
    <t>Id1226</t>
  </si>
  <si>
    <t>Id1225</t>
  </si>
  <si>
    <t>Id1224</t>
  </si>
  <si>
    <t>Id1223</t>
  </si>
  <si>
    <t>Id1222</t>
  </si>
  <si>
    <t>Id1221</t>
  </si>
  <si>
    <t>Id1220</t>
  </si>
  <si>
    <t>Id1219</t>
  </si>
  <si>
    <t>Id1218</t>
  </si>
  <si>
    <t>Id1217</t>
  </si>
  <si>
    <t>Id1216</t>
  </si>
  <si>
    <t>Id1215</t>
  </si>
  <si>
    <t>Id1214</t>
  </si>
  <si>
    <t>Id1213</t>
  </si>
  <si>
    <t>Id1212</t>
  </si>
  <si>
    <t>Id1211</t>
  </si>
  <si>
    <t>Id1210</t>
  </si>
  <si>
    <t>Id1209</t>
  </si>
  <si>
    <t>Id1208</t>
  </si>
  <si>
    <t>Id1207</t>
  </si>
  <si>
    <t>Id1206</t>
  </si>
  <si>
    <t>Id1205</t>
  </si>
  <si>
    <t>Id1204</t>
  </si>
  <si>
    <t>Id1203</t>
  </si>
  <si>
    <t>Id1202</t>
  </si>
  <si>
    <t>Id1201</t>
  </si>
  <si>
    <t>Id1200</t>
  </si>
  <si>
    <t>Id1199</t>
  </si>
  <si>
    <t>Id1198</t>
  </si>
  <si>
    <t>Id1197</t>
  </si>
  <si>
    <t>Id1196</t>
  </si>
  <si>
    <t>Id1195</t>
  </si>
  <si>
    <t>Id1194</t>
  </si>
  <si>
    <t>Id1193</t>
  </si>
  <si>
    <t>Id1192</t>
  </si>
  <si>
    <t>Id1191</t>
  </si>
  <si>
    <t>Id1190</t>
  </si>
  <si>
    <t>Id1189</t>
  </si>
  <si>
    <t>Id1188</t>
  </si>
  <si>
    <t>Id1187</t>
  </si>
  <si>
    <t>Id1186</t>
  </si>
  <si>
    <t>Id1185</t>
  </si>
  <si>
    <t>Id1184</t>
  </si>
  <si>
    <t>Id1183</t>
  </si>
  <si>
    <t>Id1182</t>
  </si>
  <si>
    <t>Id1181</t>
  </si>
  <si>
    <t>Id1180</t>
  </si>
  <si>
    <t>Id1179</t>
  </si>
  <si>
    <t>Id1178</t>
  </si>
  <si>
    <t>Id1177</t>
  </si>
  <si>
    <t>Id1176</t>
  </si>
  <si>
    <t>Id1175</t>
  </si>
  <si>
    <t>Id1174</t>
  </si>
  <si>
    <t>Id1173</t>
  </si>
  <si>
    <t>Id1172</t>
  </si>
  <si>
    <t>Id1171</t>
  </si>
  <si>
    <t>Id1170</t>
  </si>
  <si>
    <t>Id1169</t>
  </si>
  <si>
    <t>Id1168</t>
  </si>
  <si>
    <t>Id1167</t>
  </si>
  <si>
    <t>Id1166</t>
  </si>
  <si>
    <t>Id1165</t>
  </si>
  <si>
    <t>Id1164</t>
  </si>
  <si>
    <t>Id1163</t>
  </si>
  <si>
    <t>Id1162</t>
  </si>
  <si>
    <t>Id1161</t>
  </si>
  <si>
    <t>Id1160</t>
  </si>
  <si>
    <t>Id1159</t>
  </si>
  <si>
    <t>Id1158</t>
  </si>
  <si>
    <t>Id1157</t>
  </si>
  <si>
    <t>Id1156</t>
  </si>
  <si>
    <t>Id1155</t>
  </si>
  <si>
    <t>Id1154</t>
  </si>
  <si>
    <t>Id1153</t>
  </si>
  <si>
    <t>Id1152</t>
  </si>
  <si>
    <t>Id1151</t>
  </si>
  <si>
    <t>Id1150</t>
  </si>
  <si>
    <t>Id1149</t>
  </si>
  <si>
    <t>Id1148</t>
  </si>
  <si>
    <t>Id1147</t>
  </si>
  <si>
    <t>Id1146</t>
  </si>
  <si>
    <t>Id1145</t>
  </si>
  <si>
    <t>Id1144</t>
  </si>
  <si>
    <t>Id1143</t>
  </si>
  <si>
    <t>Id1142</t>
  </si>
  <si>
    <t>Id1141</t>
  </si>
  <si>
    <t>Id1140</t>
  </si>
  <si>
    <t>Id1139</t>
  </si>
  <si>
    <t>Id1138</t>
  </si>
  <si>
    <t>Id1137</t>
  </si>
  <si>
    <t>Id1136</t>
  </si>
  <si>
    <t>Id1135</t>
  </si>
  <si>
    <t>Id1134</t>
  </si>
  <si>
    <t>Id1133</t>
  </si>
  <si>
    <t>Id1132</t>
  </si>
  <si>
    <t>Id1131</t>
  </si>
  <si>
    <t>Id1130</t>
  </si>
  <si>
    <t>Id1129</t>
  </si>
  <si>
    <t>Id1128</t>
  </si>
  <si>
    <t>Id1127</t>
  </si>
  <si>
    <t>Id1126</t>
  </si>
  <si>
    <t>Id1125</t>
  </si>
  <si>
    <t>Id1124</t>
  </si>
  <si>
    <t>Id1123</t>
  </si>
  <si>
    <t>Id1122</t>
  </si>
  <si>
    <t>Id1121</t>
  </si>
  <si>
    <t>Id1120</t>
  </si>
  <si>
    <t>Id1119</t>
  </si>
  <si>
    <t>Id1118</t>
  </si>
  <si>
    <t>Id1117</t>
  </si>
  <si>
    <t>Id1116</t>
  </si>
  <si>
    <t>Id1115</t>
  </si>
  <si>
    <t>Id1114</t>
  </si>
  <si>
    <t>Id1113</t>
  </si>
  <si>
    <t>Id1112</t>
  </si>
  <si>
    <t>Id1111</t>
  </si>
  <si>
    <t>Id1110</t>
  </si>
  <si>
    <t>Id1109</t>
  </si>
  <si>
    <t>Id1108</t>
  </si>
  <si>
    <t>Id1107</t>
  </si>
  <si>
    <t>Id1106</t>
  </si>
  <si>
    <t>Id1105</t>
  </si>
  <si>
    <t>Id1104</t>
  </si>
  <si>
    <t>Id1103</t>
  </si>
  <si>
    <t>Id1102</t>
  </si>
  <si>
    <t>Id1101</t>
  </si>
  <si>
    <t>Id1100</t>
  </si>
  <si>
    <t>Id1099</t>
  </si>
  <si>
    <t>Id1098</t>
  </si>
  <si>
    <t>Id1097</t>
  </si>
  <si>
    <t>Id1096</t>
  </si>
  <si>
    <t>Id1095</t>
  </si>
  <si>
    <t>Id1094</t>
  </si>
  <si>
    <t>Id1093</t>
  </si>
  <si>
    <t>Id1092</t>
  </si>
  <si>
    <t>Id1091</t>
  </si>
  <si>
    <t>Id1090</t>
  </si>
  <si>
    <t>Id1089</t>
  </si>
  <si>
    <t>Id1088</t>
  </si>
  <si>
    <t>Id1087</t>
  </si>
  <si>
    <t>Id1086</t>
  </si>
  <si>
    <t>Id1085</t>
  </si>
  <si>
    <t>Id1084</t>
  </si>
  <si>
    <t>Id1083</t>
  </si>
  <si>
    <t>Id1082</t>
  </si>
  <si>
    <t>Id1081</t>
  </si>
  <si>
    <t>Id1080</t>
  </si>
  <si>
    <t>Id1079</t>
  </si>
  <si>
    <t>Id1078</t>
  </si>
  <si>
    <t>Id1077</t>
  </si>
  <si>
    <t>Id1076</t>
  </si>
  <si>
    <t>Id1075</t>
  </si>
  <si>
    <t>Id1074</t>
  </si>
  <si>
    <t>Id1073</t>
  </si>
  <si>
    <t>Id1072</t>
  </si>
  <si>
    <t>Id1071</t>
  </si>
  <si>
    <t>Id1070</t>
  </si>
  <si>
    <t>Id1069</t>
  </si>
  <si>
    <t>Id1068</t>
  </si>
  <si>
    <t>Id1067</t>
  </si>
  <si>
    <t>Id1066</t>
  </si>
  <si>
    <t>Id1065</t>
  </si>
  <si>
    <t>Id1064</t>
  </si>
  <si>
    <t>Id1063</t>
  </si>
  <si>
    <t>Id1062</t>
  </si>
  <si>
    <t>Id1061</t>
  </si>
  <si>
    <t>Id1060</t>
  </si>
  <si>
    <t>Id1059</t>
  </si>
  <si>
    <t>Id1058</t>
  </si>
  <si>
    <t>Id1057</t>
  </si>
  <si>
    <t>Id1056</t>
  </si>
  <si>
    <t>Id1055</t>
  </si>
  <si>
    <t>Id1054</t>
  </si>
  <si>
    <t>Id1053</t>
  </si>
  <si>
    <t>Id1052</t>
  </si>
  <si>
    <t>Id1051</t>
  </si>
  <si>
    <t>Id1050</t>
  </si>
  <si>
    <t>Id1049</t>
  </si>
  <si>
    <t>Id1048</t>
  </si>
  <si>
    <t>Id1047</t>
  </si>
  <si>
    <t>Id1046</t>
  </si>
  <si>
    <t>Id1045</t>
  </si>
  <si>
    <t>Id1044</t>
  </si>
  <si>
    <t>Id1043</t>
  </si>
  <si>
    <t>Id1042</t>
  </si>
  <si>
    <t>Id1041</t>
  </si>
  <si>
    <t>Id1040</t>
  </si>
  <si>
    <t>Id1039</t>
  </si>
  <si>
    <t>Id1038</t>
  </si>
  <si>
    <t>Id1037</t>
  </si>
  <si>
    <t>Id1036</t>
  </si>
  <si>
    <t>Id1035</t>
  </si>
  <si>
    <t>Id1034</t>
  </si>
  <si>
    <t>Id1033</t>
  </si>
  <si>
    <t>Id1032</t>
  </si>
  <si>
    <t>Id1031</t>
  </si>
  <si>
    <t>Id1030</t>
  </si>
  <si>
    <t>Id1029</t>
  </si>
  <si>
    <t>Id1028</t>
  </si>
  <si>
    <t>Id1027</t>
  </si>
  <si>
    <t>Id1026</t>
  </si>
  <si>
    <t>Id1025</t>
  </si>
  <si>
    <t>Id1024</t>
  </si>
  <si>
    <t>Id1023</t>
  </si>
  <si>
    <t>Id1022</t>
  </si>
  <si>
    <t>Id1021</t>
  </si>
  <si>
    <t>Id1020</t>
  </si>
  <si>
    <t>Id1019</t>
  </si>
  <si>
    <t>Id1018</t>
  </si>
  <si>
    <t>Id1017</t>
  </si>
  <si>
    <t>Id1016</t>
  </si>
  <si>
    <t>Id1015</t>
  </si>
  <si>
    <t>Id1014</t>
  </si>
  <si>
    <t>Id1013</t>
  </si>
  <si>
    <t>Id1012</t>
  </si>
  <si>
    <t>Id1011</t>
  </si>
  <si>
    <t>Id1010</t>
  </si>
  <si>
    <t>Id1009</t>
  </si>
  <si>
    <t>Id1008</t>
  </si>
  <si>
    <t>Id1007</t>
  </si>
  <si>
    <t>Id1006</t>
  </si>
  <si>
    <t>Id1005</t>
  </si>
  <si>
    <t>Id1004</t>
  </si>
  <si>
    <t>Id1003</t>
  </si>
  <si>
    <t>Id1002</t>
  </si>
  <si>
    <t>Id1001</t>
  </si>
  <si>
    <t>Id1000</t>
  </si>
  <si>
    <t>Id999</t>
  </si>
  <si>
    <t>Id998</t>
  </si>
  <si>
    <t>Id997</t>
  </si>
  <si>
    <t>Id996</t>
  </si>
  <si>
    <t>Id995</t>
  </si>
  <si>
    <t>Id994</t>
  </si>
  <si>
    <t>Id993</t>
  </si>
  <si>
    <t>Id992</t>
  </si>
  <si>
    <t>Id991</t>
  </si>
  <si>
    <t>Id990</t>
  </si>
  <si>
    <t>Id989</t>
  </si>
  <si>
    <t>Id988</t>
  </si>
  <si>
    <t>Id987</t>
  </si>
  <si>
    <t>Id986</t>
  </si>
  <si>
    <t>Id985</t>
  </si>
  <si>
    <t>Id984</t>
  </si>
  <si>
    <t>Id983</t>
  </si>
  <si>
    <t>Id982</t>
  </si>
  <si>
    <t>Id981</t>
  </si>
  <si>
    <t>Id980</t>
  </si>
  <si>
    <t>Id979</t>
  </si>
  <si>
    <t>Id978</t>
  </si>
  <si>
    <t>Id977</t>
  </si>
  <si>
    <t>Id976</t>
  </si>
  <si>
    <t>Id975</t>
  </si>
  <si>
    <t>Id974</t>
  </si>
  <si>
    <t>Id973</t>
  </si>
  <si>
    <t>Id972</t>
  </si>
  <si>
    <t>Id971</t>
  </si>
  <si>
    <t>Id970</t>
  </si>
  <si>
    <t>Id969</t>
  </si>
  <si>
    <t>Id968</t>
  </si>
  <si>
    <t>Id967</t>
  </si>
  <si>
    <t>Id966</t>
  </si>
  <si>
    <t>Id965</t>
  </si>
  <si>
    <t>Id964</t>
  </si>
  <si>
    <t>Id963</t>
  </si>
  <si>
    <t>Id962</t>
  </si>
  <si>
    <t>Id961</t>
  </si>
  <si>
    <t>Id960</t>
  </si>
  <si>
    <t>Id959</t>
  </si>
  <si>
    <t>Id958</t>
  </si>
  <si>
    <t>Id957</t>
  </si>
  <si>
    <t>Id956</t>
  </si>
  <si>
    <t>Id955</t>
  </si>
  <si>
    <t>Id954</t>
  </si>
  <si>
    <t>Id953</t>
  </si>
  <si>
    <t>Id952</t>
  </si>
  <si>
    <t>Id951</t>
  </si>
  <si>
    <t>Id950</t>
  </si>
  <si>
    <t>Id949</t>
  </si>
  <si>
    <t>Id948</t>
  </si>
  <si>
    <t>Id947</t>
  </si>
  <si>
    <t>Id946</t>
  </si>
  <si>
    <t>Id945</t>
  </si>
  <si>
    <t>Id944</t>
  </si>
  <si>
    <t>Id943</t>
  </si>
  <si>
    <t>Id942</t>
  </si>
  <si>
    <t>Id941</t>
  </si>
  <si>
    <t>Id940</t>
  </si>
  <si>
    <t>Id939</t>
  </si>
  <si>
    <t>Id938</t>
  </si>
  <si>
    <t>Id937</t>
  </si>
  <si>
    <t>Id936</t>
  </si>
  <si>
    <t>Id935</t>
  </si>
  <si>
    <t>Id934</t>
  </si>
  <si>
    <t>Id933</t>
  </si>
  <si>
    <t>Id932</t>
  </si>
  <si>
    <t>Id931</t>
  </si>
  <si>
    <t>Id930</t>
  </si>
  <si>
    <t>Id929</t>
  </si>
  <si>
    <t>Id928</t>
  </si>
  <si>
    <t>Id927</t>
  </si>
  <si>
    <t>Id926</t>
  </si>
  <si>
    <t>Id925</t>
  </si>
  <si>
    <t>Id924</t>
  </si>
  <si>
    <t>Id923</t>
  </si>
  <si>
    <t>Id922</t>
  </si>
  <si>
    <t>Id921</t>
  </si>
  <si>
    <t>Id920</t>
  </si>
  <si>
    <t>Id919</t>
  </si>
  <si>
    <t>Id918</t>
  </si>
  <si>
    <t>Id917</t>
  </si>
  <si>
    <t>Id916</t>
  </si>
  <si>
    <t>Id915</t>
  </si>
  <si>
    <t>Id914</t>
  </si>
  <si>
    <t>Id913</t>
  </si>
  <si>
    <t>Id912</t>
  </si>
  <si>
    <t>Id911</t>
  </si>
  <si>
    <t>Id910</t>
  </si>
  <si>
    <t>Id909</t>
  </si>
  <si>
    <t>Id908</t>
  </si>
  <si>
    <t>Id907</t>
  </si>
  <si>
    <t>Id906</t>
  </si>
  <si>
    <t>Id905</t>
  </si>
  <si>
    <t>Id904</t>
  </si>
  <si>
    <t>Id903</t>
  </si>
  <si>
    <t>Id902</t>
  </si>
  <si>
    <t>Id901</t>
  </si>
  <si>
    <t>Id900</t>
  </si>
  <si>
    <t>Id899</t>
  </si>
  <si>
    <t>Id898</t>
  </si>
  <si>
    <t>Id897</t>
  </si>
  <si>
    <t>Id896</t>
  </si>
  <si>
    <t>Id895</t>
  </si>
  <si>
    <t>Id894</t>
  </si>
  <si>
    <t>Id893</t>
  </si>
  <si>
    <t>Id892</t>
  </si>
  <si>
    <t>Id891</t>
  </si>
  <si>
    <t>Id890</t>
  </si>
  <si>
    <t>Id889</t>
  </si>
  <si>
    <t>Id888</t>
  </si>
  <si>
    <t>Id887</t>
  </si>
  <si>
    <t>Id886</t>
  </si>
  <si>
    <t>Id885</t>
  </si>
  <si>
    <t>Id884</t>
  </si>
  <si>
    <t>Id883</t>
  </si>
  <si>
    <t>Id882</t>
  </si>
  <si>
    <t>Id881</t>
  </si>
  <si>
    <t>Id880</t>
  </si>
  <si>
    <t>Id879</t>
  </si>
  <si>
    <t>Id878</t>
  </si>
  <si>
    <t>Id877</t>
  </si>
  <si>
    <t>Id876</t>
  </si>
  <si>
    <t>Id875</t>
  </si>
  <si>
    <t>Id874</t>
  </si>
  <si>
    <t>Id873</t>
  </si>
  <si>
    <t>Id872</t>
  </si>
  <si>
    <t>Id871</t>
  </si>
  <si>
    <t>Id870</t>
  </si>
  <si>
    <t>Id869</t>
  </si>
  <si>
    <t>Id868</t>
  </si>
  <si>
    <t>Id867</t>
  </si>
  <si>
    <t>Id866</t>
  </si>
  <si>
    <t>Id865</t>
  </si>
  <si>
    <t>Id864</t>
  </si>
  <si>
    <t>Id863</t>
  </si>
  <si>
    <t>Id862</t>
  </si>
  <si>
    <t>Id861</t>
  </si>
  <si>
    <t>Id860</t>
  </si>
  <si>
    <t>Id859</t>
  </si>
  <si>
    <t>Id858</t>
  </si>
  <si>
    <t>Id857</t>
  </si>
  <si>
    <t>Id856</t>
  </si>
  <si>
    <t>Id855</t>
  </si>
  <si>
    <t>Id854</t>
  </si>
  <si>
    <t>Id853</t>
  </si>
  <si>
    <t>Id852</t>
  </si>
  <si>
    <t>Id851</t>
  </si>
  <si>
    <t>Id850</t>
  </si>
  <si>
    <t>Id849</t>
  </si>
  <si>
    <t>Id848</t>
  </si>
  <si>
    <t>Id847</t>
  </si>
  <si>
    <t>Id846</t>
  </si>
  <si>
    <t>Id845</t>
  </si>
  <si>
    <t>Id844</t>
  </si>
  <si>
    <t>Id843</t>
  </si>
  <si>
    <t>Id842</t>
  </si>
  <si>
    <t>Id841</t>
  </si>
  <si>
    <t>Id840</t>
  </si>
  <si>
    <t>Id839</t>
  </si>
  <si>
    <t>Id838</t>
  </si>
  <si>
    <t>Id837</t>
  </si>
  <si>
    <t>Id836</t>
  </si>
  <si>
    <t>Id835</t>
  </si>
  <si>
    <t>Id834</t>
  </si>
  <si>
    <t>Id833</t>
  </si>
  <si>
    <t>Id832</t>
  </si>
  <si>
    <t>Id831</t>
  </si>
  <si>
    <t>Id830</t>
  </si>
  <si>
    <t>Id829</t>
  </si>
  <si>
    <t>Id828</t>
  </si>
  <si>
    <t>Id827</t>
  </si>
  <si>
    <t>Id826</t>
  </si>
  <si>
    <t>Id825</t>
  </si>
  <si>
    <t>Id824</t>
  </si>
  <si>
    <t>Id823</t>
  </si>
  <si>
    <t>Id822</t>
  </si>
  <si>
    <t>Id821</t>
  </si>
  <si>
    <t>Id820</t>
  </si>
  <si>
    <t>Id819</t>
  </si>
  <si>
    <t>Id818</t>
  </si>
  <si>
    <t>Id817</t>
  </si>
  <si>
    <t>Id816</t>
  </si>
  <si>
    <t>Id815</t>
  </si>
  <si>
    <t>Id814</t>
  </si>
  <si>
    <t>Id813</t>
  </si>
  <si>
    <t>Id812</t>
  </si>
  <si>
    <t>Id811</t>
  </si>
  <si>
    <t>Id810</t>
  </si>
  <si>
    <t>Id809</t>
  </si>
  <si>
    <t>Id808</t>
  </si>
  <si>
    <t>Id807</t>
  </si>
  <si>
    <t>Id806</t>
  </si>
  <si>
    <t>Id805</t>
  </si>
  <si>
    <t>Id804</t>
  </si>
  <si>
    <t>Id803</t>
  </si>
  <si>
    <t>Id802</t>
  </si>
  <si>
    <t>Id801</t>
  </si>
  <si>
    <t>Id800</t>
  </si>
  <si>
    <t>Id799</t>
  </si>
  <si>
    <t>Id798</t>
  </si>
  <si>
    <t>Id797</t>
  </si>
  <si>
    <t>Id796</t>
  </si>
  <si>
    <t>Id795</t>
  </si>
  <si>
    <t>Id794</t>
  </si>
  <si>
    <t>Id793</t>
  </si>
  <si>
    <t>Id792</t>
  </si>
  <si>
    <t>Id791</t>
  </si>
  <si>
    <t>Id790</t>
  </si>
  <si>
    <t>Id789</t>
  </si>
  <si>
    <t>Id788</t>
  </si>
  <si>
    <t>Id787</t>
  </si>
  <si>
    <t>Id786</t>
  </si>
  <si>
    <t>Id785</t>
  </si>
  <si>
    <t>Id784</t>
  </si>
  <si>
    <t>Id783</t>
  </si>
  <si>
    <t>Id782</t>
  </si>
  <si>
    <t>Id781</t>
  </si>
  <si>
    <t>Id780</t>
  </si>
  <si>
    <t>Id779</t>
  </si>
  <si>
    <t>Id778</t>
  </si>
  <si>
    <t>Id777</t>
  </si>
  <si>
    <t>Id776</t>
  </si>
  <si>
    <t>Id775</t>
  </si>
  <si>
    <t>Id774</t>
  </si>
  <si>
    <t>Id773</t>
  </si>
  <si>
    <t>Id772</t>
  </si>
  <si>
    <t>Id771</t>
  </si>
  <si>
    <t>Id770</t>
  </si>
  <si>
    <t>Id769</t>
  </si>
  <si>
    <t>Id768</t>
  </si>
  <si>
    <t>Id767</t>
  </si>
  <si>
    <t>Id766</t>
  </si>
  <si>
    <t>Id765</t>
  </si>
  <si>
    <t>Id764</t>
  </si>
  <si>
    <t>Id763</t>
  </si>
  <si>
    <t>Id762</t>
  </si>
  <si>
    <t>Id761</t>
  </si>
  <si>
    <t>Id760</t>
  </si>
  <si>
    <t>Id759</t>
  </si>
  <si>
    <t>Id758</t>
  </si>
  <si>
    <t>Id757</t>
  </si>
  <si>
    <t>Id756</t>
  </si>
  <si>
    <t>Id755</t>
  </si>
  <si>
    <t>Id754</t>
  </si>
  <si>
    <t>Id753</t>
  </si>
  <si>
    <t>Id752</t>
  </si>
  <si>
    <t>Id751</t>
  </si>
  <si>
    <t>Id750</t>
  </si>
  <si>
    <t>Id749</t>
  </si>
  <si>
    <t>Id748</t>
  </si>
  <si>
    <t>Id747</t>
  </si>
  <si>
    <t>Id746</t>
  </si>
  <si>
    <t>Id745</t>
  </si>
  <si>
    <t>Id744</t>
  </si>
  <si>
    <t>Id743</t>
  </si>
  <si>
    <t>Id742</t>
  </si>
  <si>
    <t>Id741</t>
  </si>
  <si>
    <t>Id740</t>
  </si>
  <si>
    <t>Id739</t>
  </si>
  <si>
    <t>Id738</t>
  </si>
  <si>
    <t>Id737</t>
  </si>
  <si>
    <t>Id736</t>
  </si>
  <si>
    <t>Id735</t>
  </si>
  <si>
    <t>Id734</t>
  </si>
  <si>
    <t>Id733</t>
  </si>
  <si>
    <t>Id732</t>
  </si>
  <si>
    <t>Id731</t>
  </si>
  <si>
    <t>Id730</t>
  </si>
  <si>
    <t>Id729</t>
  </si>
  <si>
    <t>Id728</t>
  </si>
  <si>
    <t>Id727</t>
  </si>
  <si>
    <t>Id726</t>
  </si>
  <si>
    <t>Id725</t>
  </si>
  <si>
    <t>Id724</t>
  </si>
  <si>
    <t>Id723</t>
  </si>
  <si>
    <t>Id722</t>
  </si>
  <si>
    <t>Id721</t>
  </si>
  <si>
    <t>Id720</t>
  </si>
  <si>
    <t>Id719</t>
  </si>
  <si>
    <t>Id718</t>
  </si>
  <si>
    <t>Id717</t>
  </si>
  <si>
    <t>Id716</t>
  </si>
  <si>
    <t>Id715</t>
  </si>
  <si>
    <t>Id714</t>
  </si>
  <si>
    <t>Id713</t>
  </si>
  <si>
    <t>Id712</t>
  </si>
  <si>
    <t>Id711</t>
  </si>
  <si>
    <t>Id710</t>
  </si>
  <si>
    <t>Id709</t>
  </si>
  <si>
    <t>Id708</t>
  </si>
  <si>
    <t>Id707</t>
  </si>
  <si>
    <t>Id706</t>
  </si>
  <si>
    <t>Id705</t>
  </si>
  <si>
    <t>Id704</t>
  </si>
  <si>
    <t>Id703</t>
  </si>
  <si>
    <t>Id702</t>
  </si>
  <si>
    <t>Id701</t>
  </si>
  <si>
    <t>Id700</t>
  </si>
  <si>
    <t>Id699</t>
  </si>
  <si>
    <t>Id698</t>
  </si>
  <si>
    <t>Id697</t>
  </si>
  <si>
    <t>Id696</t>
  </si>
  <si>
    <t>Id695</t>
  </si>
  <si>
    <t>Id694</t>
  </si>
  <si>
    <t>Id693</t>
  </si>
  <si>
    <t>Id692</t>
  </si>
  <si>
    <t>Id691</t>
  </si>
  <si>
    <t>Id690</t>
  </si>
  <si>
    <t>Id689</t>
  </si>
  <si>
    <t>Id688</t>
  </si>
  <si>
    <t>Id687</t>
  </si>
  <si>
    <t>Id686</t>
  </si>
  <si>
    <t>Id685</t>
  </si>
  <si>
    <t>Id684</t>
  </si>
  <si>
    <t>Id683</t>
  </si>
  <si>
    <t>Id682</t>
  </si>
  <si>
    <t>Id681</t>
  </si>
  <si>
    <t>Id680</t>
  </si>
  <si>
    <t>Id679</t>
  </si>
  <si>
    <t>Id678</t>
  </si>
  <si>
    <t>Id677</t>
  </si>
  <si>
    <t>Id676</t>
  </si>
  <si>
    <t>Id675</t>
  </si>
  <si>
    <t>Id674</t>
  </si>
  <si>
    <t>Id673</t>
  </si>
  <si>
    <t>Id672</t>
  </si>
  <si>
    <t>Id671</t>
  </si>
  <si>
    <t>Id670</t>
  </si>
  <si>
    <t>Id669</t>
  </si>
  <si>
    <t>Id668</t>
  </si>
  <si>
    <t>Id667</t>
  </si>
  <si>
    <t>Id666</t>
  </si>
  <si>
    <t>Id665</t>
  </si>
  <si>
    <t>Id664</t>
  </si>
  <si>
    <t>Id663</t>
  </si>
  <si>
    <t>Id662</t>
  </si>
  <si>
    <t>Id661</t>
  </si>
  <si>
    <t>Id660</t>
  </si>
  <si>
    <t>Id659</t>
  </si>
  <si>
    <t>Id658</t>
  </si>
  <si>
    <t>Id657</t>
  </si>
  <si>
    <t>Id656</t>
  </si>
  <si>
    <t>Id655</t>
  </si>
  <si>
    <t>Id654</t>
  </si>
  <si>
    <t>Id653</t>
  </si>
  <si>
    <t>Id652</t>
  </si>
  <si>
    <t>Id651</t>
  </si>
  <si>
    <t>Id650</t>
  </si>
  <si>
    <t>Id649</t>
  </si>
  <si>
    <t>Id648</t>
  </si>
  <si>
    <t>Id647</t>
  </si>
  <si>
    <t>Id646</t>
  </si>
  <si>
    <t>Id645</t>
  </si>
  <si>
    <t>Id644</t>
  </si>
  <si>
    <t>Id643</t>
  </si>
  <si>
    <t>Id642</t>
  </si>
  <si>
    <t>Id641</t>
  </si>
  <si>
    <t>Id640</t>
  </si>
  <si>
    <t>Id639</t>
  </si>
  <si>
    <t>Id638</t>
  </si>
  <si>
    <t>Id637</t>
  </si>
  <si>
    <t>Id636</t>
  </si>
  <si>
    <t>Id635</t>
  </si>
  <si>
    <t>Id634</t>
  </si>
  <si>
    <t>Id633</t>
  </si>
  <si>
    <t>Id632</t>
  </si>
  <si>
    <t>Id631</t>
  </si>
  <si>
    <t>Id630</t>
  </si>
  <si>
    <t>Id629</t>
  </si>
  <si>
    <t>Id628</t>
  </si>
  <si>
    <t>Id627</t>
  </si>
  <si>
    <t>Id626</t>
  </si>
  <si>
    <t>Id625</t>
  </si>
  <si>
    <t>Id624</t>
  </si>
  <si>
    <t>Id623</t>
  </si>
  <si>
    <t>Id622</t>
  </si>
  <si>
    <t>Id621</t>
  </si>
  <si>
    <t>Id620</t>
  </si>
  <si>
    <t>Id619</t>
  </si>
  <si>
    <t>Id618</t>
  </si>
  <si>
    <t>Id617</t>
  </si>
  <si>
    <t>Id616</t>
  </si>
  <si>
    <t>Id615</t>
  </si>
  <si>
    <t>Id614</t>
  </si>
  <si>
    <t>Id613</t>
  </si>
  <si>
    <t>Id612</t>
  </si>
  <si>
    <t>Id611</t>
  </si>
  <si>
    <t>Id610</t>
  </si>
  <si>
    <t>Id609</t>
  </si>
  <si>
    <t>Id608</t>
  </si>
  <si>
    <t>Id607</t>
  </si>
  <si>
    <t>Id606</t>
  </si>
  <si>
    <t>Id605</t>
  </si>
  <si>
    <t>Id604</t>
  </si>
  <si>
    <t>Id603</t>
  </si>
  <si>
    <t>Id602</t>
  </si>
  <si>
    <t>Id601</t>
  </si>
  <si>
    <t>Id600</t>
  </si>
  <si>
    <t>Id599</t>
  </si>
  <si>
    <t>Id598</t>
  </si>
  <si>
    <t>Id597</t>
  </si>
  <si>
    <t>Id596</t>
  </si>
  <si>
    <t>Id595</t>
  </si>
  <si>
    <t>Id594</t>
  </si>
  <si>
    <t>Id593</t>
  </si>
  <si>
    <t>Id592</t>
  </si>
  <si>
    <t>Id591</t>
  </si>
  <si>
    <t>Id590</t>
  </si>
  <si>
    <t>Id589</t>
  </si>
  <si>
    <t>Id588</t>
  </si>
  <si>
    <t>Id587</t>
  </si>
  <si>
    <t>Id586</t>
  </si>
  <si>
    <t>Id585</t>
  </si>
  <si>
    <t>Id584</t>
  </si>
  <si>
    <t>Id583</t>
  </si>
  <si>
    <t>Id582</t>
  </si>
  <si>
    <t>Id581</t>
  </si>
  <si>
    <t>Id580</t>
  </si>
  <si>
    <t>Id579</t>
  </si>
  <si>
    <t>Id578</t>
  </si>
  <si>
    <t>Id577</t>
  </si>
  <si>
    <t>Id576</t>
  </si>
  <si>
    <t>Id575</t>
  </si>
  <si>
    <t>Id574</t>
  </si>
  <si>
    <t>Id573</t>
  </si>
  <si>
    <t>Id572</t>
  </si>
  <si>
    <t>Id571</t>
  </si>
  <si>
    <t>Id570</t>
  </si>
  <si>
    <t>Id569</t>
  </si>
  <si>
    <t>Id568</t>
  </si>
  <si>
    <t>Id567</t>
  </si>
  <si>
    <t>Id566</t>
  </si>
  <si>
    <t>Id565</t>
  </si>
  <si>
    <t>Id564</t>
  </si>
  <si>
    <t>Id563</t>
  </si>
  <si>
    <t>Id562</t>
  </si>
  <si>
    <t>Id561</t>
  </si>
  <si>
    <t>Id560</t>
  </si>
  <si>
    <t>Id559</t>
  </si>
  <si>
    <t>Id558</t>
  </si>
  <si>
    <t>Id557</t>
  </si>
  <si>
    <t>Id556</t>
  </si>
  <si>
    <t>Id555</t>
  </si>
  <si>
    <t>Id554</t>
  </si>
  <si>
    <t>Id553</t>
  </si>
  <si>
    <t>Id552</t>
  </si>
  <si>
    <t>Id551</t>
  </si>
  <si>
    <t>Id550</t>
  </si>
  <si>
    <t>Id549</t>
  </si>
  <si>
    <t>Id548</t>
  </si>
  <si>
    <t>Id547</t>
  </si>
  <si>
    <t>Id546</t>
  </si>
  <si>
    <t>Id545</t>
  </si>
  <si>
    <t>Id544</t>
  </si>
  <si>
    <t>Id543</t>
  </si>
  <si>
    <t>Id542</t>
  </si>
  <si>
    <t>Id541</t>
  </si>
  <si>
    <t>Id540</t>
  </si>
  <si>
    <t>Id539</t>
  </si>
  <si>
    <t>Id538</t>
  </si>
  <si>
    <t>Id537</t>
  </si>
  <si>
    <t>Id536</t>
  </si>
  <si>
    <t>Id535</t>
  </si>
  <si>
    <t>Id534</t>
  </si>
  <si>
    <t>Id533</t>
  </si>
  <si>
    <t>Id532</t>
  </si>
  <si>
    <t>Id531</t>
  </si>
  <si>
    <t>Id530</t>
  </si>
  <si>
    <t>Id529</t>
  </si>
  <si>
    <t>Id528</t>
  </si>
  <si>
    <t>Id527</t>
  </si>
  <si>
    <t>Id526</t>
  </si>
  <si>
    <t>Id525</t>
  </si>
  <si>
    <t>Id524</t>
  </si>
  <si>
    <t>Id523</t>
  </si>
  <si>
    <t>Id522</t>
  </si>
  <si>
    <t>Id521</t>
  </si>
  <si>
    <t>Id520</t>
  </si>
  <si>
    <t>Id519</t>
  </si>
  <si>
    <t>Id518</t>
  </si>
  <si>
    <t>Id517</t>
  </si>
  <si>
    <t>Id516</t>
  </si>
  <si>
    <t>Id515</t>
  </si>
  <si>
    <t>Id514</t>
  </si>
  <si>
    <t>Id513</t>
  </si>
  <si>
    <t>Id512</t>
  </si>
  <si>
    <t>Id511</t>
  </si>
  <si>
    <t>Id510</t>
  </si>
  <si>
    <t>Id509</t>
  </si>
  <si>
    <t>Id508</t>
  </si>
  <si>
    <t>Id507</t>
  </si>
  <si>
    <t>Id506</t>
  </si>
  <si>
    <t>Id505</t>
  </si>
  <si>
    <t>Id504</t>
  </si>
  <si>
    <t>Id503</t>
  </si>
  <si>
    <t>Id502</t>
  </si>
  <si>
    <t>Id501</t>
  </si>
  <si>
    <t>Id500</t>
  </si>
  <si>
    <t>Id499</t>
  </si>
  <si>
    <t>Id498</t>
  </si>
  <si>
    <t>Id497</t>
  </si>
  <si>
    <t>Id496</t>
  </si>
  <si>
    <t>Id495</t>
  </si>
  <si>
    <t>Id494</t>
  </si>
  <si>
    <t>Id493</t>
  </si>
  <si>
    <t>Id492</t>
  </si>
  <si>
    <t>Id491</t>
  </si>
  <si>
    <t>Id490</t>
  </si>
  <si>
    <t>Id489</t>
  </si>
  <si>
    <t>Id488</t>
  </si>
  <si>
    <t>Id487</t>
  </si>
  <si>
    <t>Id486</t>
  </si>
  <si>
    <t>Id485</t>
  </si>
  <si>
    <t>Id484</t>
  </si>
  <si>
    <t>Id483</t>
  </si>
  <si>
    <t>Id482</t>
  </si>
  <si>
    <t>Id481</t>
  </si>
  <si>
    <t>Id480</t>
  </si>
  <si>
    <t>Id479</t>
  </si>
  <si>
    <t>Id478</t>
  </si>
  <si>
    <t>Id477</t>
  </si>
  <si>
    <t>Id476</t>
  </si>
  <si>
    <t>id2444</t>
  </si>
  <si>
    <t>Id475</t>
  </si>
  <si>
    <t>Id474</t>
  </si>
  <si>
    <t>Id473</t>
  </si>
  <si>
    <t>Id472</t>
  </si>
  <si>
    <t>Id471</t>
  </si>
  <si>
    <t>Id470</t>
  </si>
  <si>
    <t>Id469</t>
  </si>
  <si>
    <t>Id468</t>
  </si>
  <si>
    <t>Id467</t>
  </si>
  <si>
    <t>Id466</t>
  </si>
  <si>
    <t>Id465</t>
  </si>
  <si>
    <t>Id464</t>
  </si>
  <si>
    <t>Id463</t>
  </si>
  <si>
    <t>Id462</t>
  </si>
  <si>
    <t>Id461</t>
  </si>
  <si>
    <t>Id460</t>
  </si>
  <si>
    <t>Id459</t>
  </si>
  <si>
    <t>Id458</t>
  </si>
  <si>
    <t>Id457</t>
  </si>
  <si>
    <t>Id456</t>
  </si>
  <si>
    <t>Id455</t>
  </si>
  <si>
    <t>Id454</t>
  </si>
  <si>
    <t>Id453</t>
  </si>
  <si>
    <t>Id452</t>
  </si>
  <si>
    <t>Id451</t>
  </si>
  <si>
    <t>Id450</t>
  </si>
  <si>
    <t>Id449</t>
  </si>
  <si>
    <t>Id448</t>
  </si>
  <si>
    <t>Id447</t>
  </si>
  <si>
    <t>Id446</t>
  </si>
  <si>
    <t>Id445</t>
  </si>
  <si>
    <t>Id444</t>
  </si>
  <si>
    <t>Id443</t>
  </si>
  <si>
    <t>Id442</t>
  </si>
  <si>
    <t>Id441</t>
  </si>
  <si>
    <t>Id440</t>
  </si>
  <si>
    <t>Id439</t>
  </si>
  <si>
    <t>Id438</t>
  </si>
  <si>
    <t>Id437</t>
  </si>
  <si>
    <t>Id436</t>
  </si>
  <si>
    <t>Id435</t>
  </si>
  <si>
    <t>Id434</t>
  </si>
  <si>
    <t>Id433</t>
  </si>
  <si>
    <t>Id432</t>
  </si>
  <si>
    <t>Id431</t>
  </si>
  <si>
    <t>Id430</t>
  </si>
  <si>
    <t>Id429</t>
  </si>
  <si>
    <t>Id428</t>
  </si>
  <si>
    <t>Id427</t>
  </si>
  <si>
    <t>Id426</t>
  </si>
  <si>
    <t>Id425</t>
  </si>
  <si>
    <t>Id424</t>
  </si>
  <si>
    <t>Id423</t>
  </si>
  <si>
    <t>Id422</t>
  </si>
  <si>
    <t>Id421</t>
  </si>
  <si>
    <t>Id420</t>
  </si>
  <si>
    <t>Id419</t>
  </si>
  <si>
    <t>Id418</t>
  </si>
  <si>
    <t>Id417</t>
  </si>
  <si>
    <t>Id416</t>
  </si>
  <si>
    <t>Id415</t>
  </si>
  <si>
    <t>Id414</t>
  </si>
  <si>
    <t>Id413</t>
  </si>
  <si>
    <t>Id412</t>
  </si>
  <si>
    <t>Id411</t>
  </si>
  <si>
    <t>Id410</t>
  </si>
  <si>
    <t>Id409</t>
  </si>
  <si>
    <t>Id408</t>
  </si>
  <si>
    <t>Id407</t>
  </si>
  <si>
    <t>Id406</t>
  </si>
  <si>
    <t>Id405</t>
  </si>
  <si>
    <t>Id404</t>
  </si>
  <si>
    <t>Id403</t>
  </si>
  <si>
    <t>Id402</t>
  </si>
  <si>
    <t>Id401</t>
  </si>
  <si>
    <t>Id400</t>
  </si>
  <si>
    <t>Id399</t>
  </si>
  <si>
    <t>Id398</t>
  </si>
  <si>
    <t>Id397</t>
  </si>
  <si>
    <t>Id396</t>
  </si>
  <si>
    <t>Id395</t>
  </si>
  <si>
    <t>Id394</t>
  </si>
  <si>
    <t>Id393</t>
  </si>
  <si>
    <t>Id392</t>
  </si>
  <si>
    <t>Id391</t>
  </si>
  <si>
    <t>Id390</t>
  </si>
  <si>
    <t>Id389</t>
  </si>
  <si>
    <t>Id388</t>
  </si>
  <si>
    <t>Id387</t>
  </si>
  <si>
    <t>Id386</t>
  </si>
  <si>
    <t>Id385</t>
  </si>
  <si>
    <t>Id384</t>
  </si>
  <si>
    <t>Id383</t>
  </si>
  <si>
    <t>Id382</t>
  </si>
  <si>
    <t>Id381</t>
  </si>
  <si>
    <t>Id380</t>
  </si>
  <si>
    <t>Id379</t>
  </si>
  <si>
    <t>Id378</t>
  </si>
  <si>
    <t>Id377</t>
  </si>
  <si>
    <t>Id376</t>
  </si>
  <si>
    <t>Id375</t>
  </si>
  <si>
    <t>Id374</t>
  </si>
  <si>
    <t>Id373</t>
  </si>
  <si>
    <t>Id372</t>
  </si>
  <si>
    <t>Id371</t>
  </si>
  <si>
    <t>Id370</t>
  </si>
  <si>
    <t>Id369</t>
  </si>
  <si>
    <t>Id368</t>
  </si>
  <si>
    <t>Id367</t>
  </si>
  <si>
    <t>Id366</t>
  </si>
  <si>
    <t>Id365</t>
  </si>
  <si>
    <t>Id364</t>
  </si>
  <si>
    <t>Id363</t>
  </si>
  <si>
    <t>Id362</t>
  </si>
  <si>
    <t>Id361</t>
  </si>
  <si>
    <t>Id360</t>
  </si>
  <si>
    <t>Id359</t>
  </si>
  <si>
    <t>Id358</t>
  </si>
  <si>
    <t>Id357</t>
  </si>
  <si>
    <t>Id356</t>
  </si>
  <si>
    <t>Id355</t>
  </si>
  <si>
    <t>Id354</t>
  </si>
  <si>
    <t>Id353</t>
  </si>
  <si>
    <t>Id352</t>
  </si>
  <si>
    <t>Id351</t>
  </si>
  <si>
    <t>Id350</t>
  </si>
  <si>
    <t>Id349</t>
  </si>
  <si>
    <t>Id348</t>
  </si>
  <si>
    <t>Id347</t>
  </si>
  <si>
    <t>Id346</t>
  </si>
  <si>
    <t>Id345</t>
  </si>
  <si>
    <t>Id344</t>
  </si>
  <si>
    <t>Id343</t>
  </si>
  <si>
    <t>Id342</t>
  </si>
  <si>
    <t>Id341</t>
  </si>
  <si>
    <t>Id340</t>
  </si>
  <si>
    <t>Id339</t>
  </si>
  <si>
    <t>Id338</t>
  </si>
  <si>
    <t>Id337</t>
  </si>
  <si>
    <t>Id336</t>
  </si>
  <si>
    <t>Id335</t>
  </si>
  <si>
    <t>Id334</t>
  </si>
  <si>
    <t>Id333</t>
  </si>
  <si>
    <t>Id332</t>
  </si>
  <si>
    <t>Id331</t>
  </si>
  <si>
    <t>Id330</t>
  </si>
  <si>
    <t>Id329</t>
  </si>
  <si>
    <t>Id328</t>
  </si>
  <si>
    <t>Id327</t>
  </si>
  <si>
    <t>Id326</t>
  </si>
  <si>
    <t>Id325</t>
  </si>
  <si>
    <t>Id324</t>
  </si>
  <si>
    <t>Id323</t>
  </si>
  <si>
    <t>Id322</t>
  </si>
  <si>
    <t>Id321</t>
  </si>
  <si>
    <t>Id320</t>
  </si>
  <si>
    <t>Id319</t>
  </si>
  <si>
    <t>Id318</t>
  </si>
  <si>
    <t>Id317</t>
  </si>
  <si>
    <t>Id316</t>
  </si>
  <si>
    <t>Id315</t>
  </si>
  <si>
    <t>Id314</t>
  </si>
  <si>
    <t>Id313</t>
  </si>
  <si>
    <t>Id312</t>
  </si>
  <si>
    <t>Id311</t>
  </si>
  <si>
    <t>Id310</t>
  </si>
  <si>
    <t>Id309</t>
  </si>
  <si>
    <t>Id308</t>
  </si>
  <si>
    <t>Id307</t>
  </si>
  <si>
    <t>Id306</t>
  </si>
  <si>
    <t>Id305</t>
  </si>
  <si>
    <t>Id304</t>
  </si>
  <si>
    <t>Id303</t>
  </si>
  <si>
    <t>Id302</t>
  </si>
  <si>
    <t>Id301</t>
  </si>
  <si>
    <t>Id300</t>
  </si>
  <si>
    <t>Id299</t>
  </si>
  <si>
    <t>Id298</t>
  </si>
  <si>
    <t>Id297</t>
  </si>
  <si>
    <t>Id296</t>
  </si>
  <si>
    <t>Id295</t>
  </si>
  <si>
    <t>Id294</t>
  </si>
  <si>
    <t>Id293</t>
  </si>
  <si>
    <t>Id292</t>
  </si>
  <si>
    <t>Id291</t>
  </si>
  <si>
    <t>Id290</t>
  </si>
  <si>
    <t>Id289</t>
  </si>
  <si>
    <t>Id288</t>
  </si>
  <si>
    <t>Id287</t>
  </si>
  <si>
    <t>Id286</t>
  </si>
  <si>
    <t>Id285</t>
  </si>
  <si>
    <t>Id284</t>
  </si>
  <si>
    <t>Id283</t>
  </si>
  <si>
    <t>Id282</t>
  </si>
  <si>
    <t>Id281</t>
  </si>
  <si>
    <t>Id280</t>
  </si>
  <si>
    <t>Id279</t>
  </si>
  <si>
    <t>Id278</t>
  </si>
  <si>
    <t>Id277</t>
  </si>
  <si>
    <t>Id276</t>
  </si>
  <si>
    <t>Id275</t>
  </si>
  <si>
    <t>Id274</t>
  </si>
  <si>
    <t>Id273</t>
  </si>
  <si>
    <t>Id272</t>
  </si>
  <si>
    <t>Id271</t>
  </si>
  <si>
    <t>Id270</t>
  </si>
  <si>
    <t>Id269</t>
  </si>
  <si>
    <t>Id268</t>
  </si>
  <si>
    <t>Id267</t>
  </si>
  <si>
    <t>Id266</t>
  </si>
  <si>
    <t>Id265</t>
  </si>
  <si>
    <t>Id264</t>
  </si>
  <si>
    <t>Id263</t>
  </si>
  <si>
    <t>Id262</t>
  </si>
  <si>
    <t>Id261</t>
  </si>
  <si>
    <t>Id260</t>
  </si>
  <si>
    <t>Id259</t>
  </si>
  <si>
    <t>Id258</t>
  </si>
  <si>
    <t>Id257</t>
  </si>
  <si>
    <t>Id256</t>
  </si>
  <si>
    <t>Id255</t>
  </si>
  <si>
    <t>Id254</t>
  </si>
  <si>
    <t>Id253</t>
  </si>
  <si>
    <t>Id252</t>
  </si>
  <si>
    <t>Id251</t>
  </si>
  <si>
    <t>Id250</t>
  </si>
  <si>
    <t>Id249</t>
  </si>
  <si>
    <t>Id248</t>
  </si>
  <si>
    <t>Id247</t>
  </si>
  <si>
    <t>Id246</t>
  </si>
  <si>
    <t>Id245</t>
  </si>
  <si>
    <t>Id244</t>
  </si>
  <si>
    <t>Id243</t>
  </si>
  <si>
    <t>Id242</t>
  </si>
  <si>
    <t>id3444</t>
  </si>
  <si>
    <t>Id241</t>
  </si>
  <si>
    <t>Id240</t>
  </si>
  <si>
    <t>Id239</t>
  </si>
  <si>
    <t>Id238</t>
  </si>
  <si>
    <t>Id237</t>
  </si>
  <si>
    <t>Id236</t>
  </si>
  <si>
    <t>Id235</t>
  </si>
  <si>
    <t>Id234</t>
  </si>
  <si>
    <t>Id233</t>
  </si>
  <si>
    <t>Id232</t>
  </si>
  <si>
    <t>Id231</t>
  </si>
  <si>
    <t>Id230</t>
  </si>
  <si>
    <t>Id229</t>
  </si>
  <si>
    <t>Id228</t>
  </si>
  <si>
    <t>Id227</t>
  </si>
  <si>
    <t>Id226</t>
  </si>
  <si>
    <t>Id225</t>
  </si>
  <si>
    <t>Id224</t>
  </si>
  <si>
    <t>Id223</t>
  </si>
  <si>
    <t>Id222</t>
  </si>
  <si>
    <t>Id221</t>
  </si>
  <si>
    <t>Id220</t>
  </si>
  <si>
    <t>Id219</t>
  </si>
  <si>
    <t>Id218</t>
  </si>
  <si>
    <t>Id217</t>
  </si>
  <si>
    <t>Id216</t>
  </si>
  <si>
    <t>Id215</t>
  </si>
  <si>
    <t>Id214</t>
  </si>
  <si>
    <t>Id213</t>
  </si>
  <si>
    <t>Id212</t>
  </si>
  <si>
    <t>Id211</t>
  </si>
  <si>
    <t>Id210</t>
  </si>
  <si>
    <t>Id209</t>
  </si>
  <si>
    <t>Id208</t>
  </si>
  <si>
    <t>Id207</t>
  </si>
  <si>
    <t>Id206</t>
  </si>
  <si>
    <t>Id205</t>
  </si>
  <si>
    <t>Id204</t>
  </si>
  <si>
    <t>Id203</t>
  </si>
  <si>
    <t>Id202</t>
  </si>
  <si>
    <t>Id201</t>
  </si>
  <si>
    <t>Id200</t>
  </si>
  <si>
    <t>Id199</t>
  </si>
  <si>
    <t>Id198</t>
  </si>
  <si>
    <t>Id197</t>
  </si>
  <si>
    <t>Id196</t>
  </si>
  <si>
    <t>Id195</t>
  </si>
  <si>
    <t>Id194</t>
  </si>
  <si>
    <t>Id193</t>
  </si>
  <si>
    <t>Id192</t>
  </si>
  <si>
    <t>Id191</t>
  </si>
  <si>
    <t>Id190</t>
  </si>
  <si>
    <t>Id189</t>
  </si>
  <si>
    <t>Id188</t>
  </si>
  <si>
    <t>Id187</t>
  </si>
  <si>
    <t>Id186</t>
  </si>
  <si>
    <t>Id185</t>
  </si>
  <si>
    <t>Id184</t>
  </si>
  <si>
    <t>Id183</t>
  </si>
  <si>
    <t>Id182</t>
  </si>
  <si>
    <t>Id181</t>
  </si>
  <si>
    <t>Id180</t>
  </si>
  <si>
    <t>Id179</t>
  </si>
  <si>
    <t>Id178</t>
  </si>
  <si>
    <t>Id177</t>
  </si>
  <si>
    <t>Id176</t>
  </si>
  <si>
    <t>Id175</t>
  </si>
  <si>
    <t>Id174</t>
  </si>
  <si>
    <t>Id173</t>
  </si>
  <si>
    <t>Id172</t>
  </si>
  <si>
    <t>Id171</t>
  </si>
  <si>
    <t>Id170</t>
  </si>
  <si>
    <t>Id169</t>
  </si>
  <si>
    <t>Id168</t>
  </si>
  <si>
    <t>Id167</t>
  </si>
  <si>
    <t>Id166</t>
  </si>
  <si>
    <t>Id165</t>
  </si>
  <si>
    <t>Id164</t>
  </si>
  <si>
    <t>Id163</t>
  </si>
  <si>
    <t>Id162</t>
  </si>
  <si>
    <t>Id161</t>
  </si>
  <si>
    <t>Id160</t>
  </si>
  <si>
    <t>Id159</t>
  </si>
  <si>
    <t>Id158</t>
  </si>
  <si>
    <t>Id157</t>
  </si>
  <si>
    <t>Id156</t>
  </si>
  <si>
    <t>Id155</t>
  </si>
  <si>
    <t>Id154</t>
  </si>
  <si>
    <t>Id153</t>
  </si>
  <si>
    <t>Id152</t>
  </si>
  <si>
    <t>Id151</t>
  </si>
  <si>
    <t>Id150</t>
  </si>
  <si>
    <t>Id149</t>
  </si>
  <si>
    <t>Id148</t>
  </si>
  <si>
    <t>Id147</t>
  </si>
  <si>
    <t>Id146</t>
  </si>
  <si>
    <t>Id145</t>
  </si>
  <si>
    <t>Id144</t>
  </si>
  <si>
    <t>Id143</t>
  </si>
  <si>
    <t>Id142</t>
  </si>
  <si>
    <t>Id141</t>
  </si>
  <si>
    <t>Id140</t>
  </si>
  <si>
    <t>Id139</t>
  </si>
  <si>
    <t>Id138</t>
  </si>
  <si>
    <t>Id137</t>
  </si>
  <si>
    <t>Id136</t>
  </si>
  <si>
    <t>Id135</t>
  </si>
  <si>
    <t>Id134</t>
  </si>
  <si>
    <t>Id133</t>
  </si>
  <si>
    <t>Id132</t>
  </si>
  <si>
    <t>Id131</t>
  </si>
  <si>
    <t>Id130</t>
  </si>
  <si>
    <t>Id129</t>
  </si>
  <si>
    <t>Id128</t>
  </si>
  <si>
    <t>Id127</t>
  </si>
  <si>
    <t>Id126</t>
  </si>
  <si>
    <t>Id125</t>
  </si>
  <si>
    <t>Id124</t>
  </si>
  <si>
    <t>Id123</t>
  </si>
  <si>
    <t>Id122</t>
  </si>
  <si>
    <t>Id121</t>
  </si>
  <si>
    <t>Id120</t>
  </si>
  <si>
    <t>Id119</t>
  </si>
  <si>
    <t>Id118</t>
  </si>
  <si>
    <t>Id117</t>
  </si>
  <si>
    <t>Id116</t>
  </si>
  <si>
    <t>Id115</t>
  </si>
  <si>
    <t>Id114</t>
  </si>
  <si>
    <t>Id113</t>
  </si>
  <si>
    <t>Id112</t>
  </si>
  <si>
    <t>Id111</t>
  </si>
  <si>
    <t>Id110</t>
  </si>
  <si>
    <t>Id109</t>
  </si>
  <si>
    <t>Id108</t>
  </si>
  <si>
    <t>Id107</t>
  </si>
  <si>
    <t>Id106</t>
  </si>
  <si>
    <t>Id105</t>
  </si>
  <si>
    <t>Id104</t>
  </si>
  <si>
    <t>Id103</t>
  </si>
  <si>
    <t>Id102</t>
  </si>
  <si>
    <t>Id101</t>
  </si>
  <si>
    <t>Id100</t>
  </si>
  <si>
    <t>Id99</t>
  </si>
  <si>
    <t>Id98</t>
  </si>
  <si>
    <t>Id97</t>
  </si>
  <si>
    <t>Id96</t>
  </si>
  <si>
    <t>Id95</t>
  </si>
  <si>
    <t>Id94</t>
  </si>
  <si>
    <t>Id93</t>
  </si>
  <si>
    <t>Id92</t>
  </si>
  <si>
    <t>Id91</t>
  </si>
  <si>
    <t>Id90</t>
  </si>
  <si>
    <t>Id89</t>
  </si>
  <si>
    <t>Id88</t>
  </si>
  <si>
    <t>Id87</t>
  </si>
  <si>
    <t>Id86</t>
  </si>
  <si>
    <t>Id85</t>
  </si>
  <si>
    <t>Id84</t>
  </si>
  <si>
    <t>Id83</t>
  </si>
  <si>
    <t>Id82</t>
  </si>
  <si>
    <t>Id81</t>
  </si>
  <si>
    <t>Id80</t>
  </si>
  <si>
    <t>Id79</t>
  </si>
  <si>
    <t>Id78</t>
  </si>
  <si>
    <t>Id77</t>
  </si>
  <si>
    <t>Id76</t>
  </si>
  <si>
    <t>Id75</t>
  </si>
  <si>
    <t>Id74</t>
  </si>
  <si>
    <t>Id73</t>
  </si>
  <si>
    <t>Id72</t>
  </si>
  <si>
    <t>Id71</t>
  </si>
  <si>
    <t>Id70</t>
  </si>
  <si>
    <t>Id69</t>
  </si>
  <si>
    <t>Id68</t>
  </si>
  <si>
    <t>Id67</t>
  </si>
  <si>
    <t>Id66</t>
  </si>
  <si>
    <t>Id65</t>
  </si>
  <si>
    <t>Id64</t>
  </si>
  <si>
    <t>Id63</t>
  </si>
  <si>
    <t>Id62</t>
  </si>
  <si>
    <t>Id61</t>
  </si>
  <si>
    <t>Id60</t>
  </si>
  <si>
    <t>Id59</t>
  </si>
  <si>
    <t>Id58</t>
  </si>
  <si>
    <t>Id57</t>
  </si>
  <si>
    <t>Id56</t>
  </si>
  <si>
    <t>Id55</t>
  </si>
  <si>
    <t>Id54</t>
  </si>
  <si>
    <t>Id53</t>
  </si>
  <si>
    <t>Id52</t>
  </si>
  <si>
    <t>Id51</t>
  </si>
  <si>
    <t>Id50</t>
  </si>
  <si>
    <t>Id49</t>
  </si>
  <si>
    <t>Id48</t>
  </si>
  <si>
    <t>Id47</t>
  </si>
  <si>
    <t>Id46</t>
  </si>
  <si>
    <t>Id45</t>
  </si>
  <si>
    <t>Id44</t>
  </si>
  <si>
    <t>Id43</t>
  </si>
  <si>
    <t>Id42</t>
  </si>
  <si>
    <t>Id41</t>
  </si>
  <si>
    <t>Id40</t>
  </si>
  <si>
    <t>Id39</t>
  </si>
  <si>
    <t>Id38</t>
  </si>
  <si>
    <t>Id37</t>
  </si>
  <si>
    <t>Id36</t>
  </si>
  <si>
    <t>Id35</t>
  </si>
  <si>
    <t>Id34</t>
  </si>
  <si>
    <t>Id33</t>
  </si>
  <si>
    <t>Id32</t>
  </si>
  <si>
    <t>Id31</t>
  </si>
  <si>
    <t>Id30</t>
  </si>
  <si>
    <t>Id29</t>
  </si>
  <si>
    <t>Id28</t>
  </si>
  <si>
    <t>Id27</t>
  </si>
  <si>
    <t>Id26</t>
  </si>
  <si>
    <t>Id25</t>
  </si>
  <si>
    <t>Id24</t>
  </si>
  <si>
    <t>Id23</t>
  </si>
  <si>
    <t>Id22</t>
  </si>
  <si>
    <t>Id21</t>
  </si>
  <si>
    <t>Id20</t>
  </si>
  <si>
    <t>Id19</t>
  </si>
  <si>
    <t>Id18</t>
  </si>
  <si>
    <t>Id17</t>
  </si>
  <si>
    <t>Id16</t>
  </si>
  <si>
    <t>Id15</t>
  </si>
  <si>
    <t>Id14</t>
  </si>
  <si>
    <t>Id13</t>
  </si>
  <si>
    <t>Id12</t>
  </si>
  <si>
    <t>Id11</t>
  </si>
  <si>
    <t>Id10</t>
  </si>
  <si>
    <t>Id9</t>
  </si>
  <si>
    <t>Id8</t>
  </si>
  <si>
    <t>Id7</t>
  </si>
  <si>
    <t>Id6</t>
  </si>
  <si>
    <t>Id5</t>
  </si>
  <si>
    <t>Id4</t>
  </si>
  <si>
    <t>Id3</t>
  </si>
  <si>
    <t>Id2</t>
  </si>
  <si>
    <t>Id1</t>
  </si>
  <si>
    <t>BMI</t>
  </si>
  <si>
    <t>HBA1C</t>
  </si>
  <si>
    <t>Heart Issues</t>
  </si>
  <si>
    <t>Any Transplants</t>
  </si>
  <si>
    <t>Cancer history</t>
  </si>
  <si>
    <t>NumberOfMajorSurgeries</t>
  </si>
  <si>
    <t>smoker</t>
  </si>
  <si>
    <t>No</t>
  </si>
  <si>
    <t>No major surgery</t>
  </si>
  <si>
    <t>yes</t>
  </si>
  <si>
    <t>Yes</t>
  </si>
  <si>
    <t>Medical Examination</t>
  </si>
  <si>
    <t>Count"?"</t>
  </si>
  <si>
    <t>Hospitalisation details</t>
  </si>
  <si>
    <t>Cleaned Month</t>
  </si>
  <si>
    <t>Average of year</t>
  </si>
  <si>
    <t>Cleaned Year</t>
  </si>
  <si>
    <t>MODE</t>
  </si>
  <si>
    <t>Cleaned smoker</t>
  </si>
  <si>
    <t>Cleaned Hospital tier</t>
  </si>
  <si>
    <t>Cleaned City Tier</t>
  </si>
  <si>
    <t>Cleaned State ID</t>
  </si>
  <si>
    <t>Title</t>
  </si>
  <si>
    <t>First Name</t>
  </si>
  <si>
    <t>Last Name</t>
  </si>
  <si>
    <t>Hawks</t>
  </si>
  <si>
    <t xml:space="preserve"> Ms</t>
  </si>
  <si>
    <t xml:space="preserve">  Kelly</t>
  </si>
  <si>
    <t>Lehner</t>
  </si>
  <si>
    <t xml:space="preserve"> Mr</t>
  </si>
  <si>
    <t xml:space="preserve">  Matthew D</t>
  </si>
  <si>
    <t>Lu</t>
  </si>
  <si>
    <t xml:space="preserve">  Phil</t>
  </si>
  <si>
    <t>Osborne</t>
  </si>
  <si>
    <t xml:space="preserve">  Kelsey</t>
  </si>
  <si>
    <t>Kadala</t>
  </si>
  <si>
    <t xml:space="preserve">  Kristyn</t>
  </si>
  <si>
    <t>Baker</t>
  </si>
  <si>
    <t xml:space="preserve">  Russell B</t>
  </si>
  <si>
    <t>Macpherson</t>
  </si>
  <si>
    <t xml:space="preserve">  Scott</t>
  </si>
  <si>
    <t>Hallman</t>
  </si>
  <si>
    <t xml:space="preserve">  Stephen</t>
  </si>
  <si>
    <t>Moran</t>
  </si>
  <si>
    <t xml:space="preserve">  Patrick R</t>
  </si>
  <si>
    <t>Benner</t>
  </si>
  <si>
    <t xml:space="preserve">  Brooke N</t>
  </si>
  <si>
    <t>Fierro Vargas</t>
  </si>
  <si>
    <t xml:space="preserve">  Paola Andrea</t>
  </si>
  <si>
    <t>Franz</t>
  </si>
  <si>
    <t xml:space="preserve">  David</t>
  </si>
  <si>
    <t>Foster</t>
  </si>
  <si>
    <t xml:space="preserve">  Wade</t>
  </si>
  <si>
    <t>Tenorio</t>
  </si>
  <si>
    <t xml:space="preserve">  Franklin</t>
  </si>
  <si>
    <t>Rios</t>
  </si>
  <si>
    <t xml:space="preserve">  Leilani M</t>
  </si>
  <si>
    <t>Viau-Dupuis</t>
  </si>
  <si>
    <t xml:space="preserve">  Philippe</t>
  </si>
  <si>
    <t>Cronin</t>
  </si>
  <si>
    <t xml:space="preserve">  Jennifer A</t>
  </si>
  <si>
    <t>Noordstar</t>
  </si>
  <si>
    <t xml:space="preserve">  Christina M</t>
  </si>
  <si>
    <t>Boudalia</t>
  </si>
  <si>
    <t xml:space="preserve">  Said Sr</t>
  </si>
  <si>
    <t>Flor</t>
  </si>
  <si>
    <t xml:space="preserve">  John</t>
  </si>
  <si>
    <t>Fennon</t>
  </si>
  <si>
    <t xml:space="preserve">  Myles</t>
  </si>
  <si>
    <t>Hribar</t>
  </si>
  <si>
    <t xml:space="preserve">  Madelyn C</t>
  </si>
  <si>
    <t>Tassello</t>
  </si>
  <si>
    <t xml:space="preserve">  Nicole</t>
  </si>
  <si>
    <t>Mauricette</t>
  </si>
  <si>
    <t xml:space="preserve">  Eric A</t>
  </si>
  <si>
    <t>Garcia</t>
  </si>
  <si>
    <t xml:space="preserve">  Emiliano I</t>
  </si>
  <si>
    <t>Airoldi</t>
  </si>
  <si>
    <t xml:space="preserve">  Adam</t>
  </si>
  <si>
    <t>Cater-Cyker</t>
  </si>
  <si>
    <t xml:space="preserve">  Zach</t>
  </si>
  <si>
    <t>Hamm</t>
  </si>
  <si>
    <t xml:space="preserve">  Stephanie W</t>
  </si>
  <si>
    <t>Cox</t>
  </si>
  <si>
    <t>Sachrajda</t>
  </si>
  <si>
    <t xml:space="preserve">  Natalie</t>
  </si>
  <si>
    <t>Gareri</t>
  </si>
  <si>
    <t xml:space="preserve">  Nicole J</t>
  </si>
  <si>
    <t>Welch</t>
  </si>
  <si>
    <t xml:space="preserve">  Jefferson D</t>
  </si>
  <si>
    <t>Prindiville</t>
  </si>
  <si>
    <t xml:space="preserve">  Brendan D</t>
  </si>
  <si>
    <t>Kincaid</t>
  </si>
  <si>
    <t xml:space="preserve">  Courtney</t>
  </si>
  <si>
    <t>Bruestle</t>
  </si>
  <si>
    <t xml:space="preserve">  Sydney L</t>
  </si>
  <si>
    <t>Lachance</t>
  </si>
  <si>
    <t xml:space="preserve">  Julien</t>
  </si>
  <si>
    <t>Eason</t>
  </si>
  <si>
    <t xml:space="preserve">  Ryan M</t>
  </si>
  <si>
    <t>Grummon</t>
  </si>
  <si>
    <t xml:space="preserve">  Anna H</t>
  </si>
  <si>
    <t>Vanwechel</t>
  </si>
  <si>
    <t xml:space="preserve">  Samantha</t>
  </si>
  <si>
    <t>Fisher</t>
  </si>
  <si>
    <t xml:space="preserve">  Robert</t>
  </si>
  <si>
    <t>Jenkins</t>
  </si>
  <si>
    <t xml:space="preserve">  James R</t>
  </si>
  <si>
    <t>Peters</t>
  </si>
  <si>
    <t xml:space="preserve">  Roseann</t>
  </si>
  <si>
    <t>Aha</t>
  </si>
  <si>
    <t>McElwain</t>
  </si>
  <si>
    <t xml:space="preserve">  Spencer</t>
  </si>
  <si>
    <t>Januszewski</t>
  </si>
  <si>
    <t xml:space="preserve">  Eric W</t>
  </si>
  <si>
    <t>Rohne</t>
  </si>
  <si>
    <t xml:space="preserve">  Brianna L</t>
  </si>
  <si>
    <t>O'Grady</t>
  </si>
  <si>
    <t xml:space="preserve">  Thomas J</t>
  </si>
  <si>
    <t xml:space="preserve">  Melissa L</t>
  </si>
  <si>
    <t>De Simone</t>
  </si>
  <si>
    <t xml:space="preserve">  Flavio</t>
  </si>
  <si>
    <t>Beckett</t>
  </si>
  <si>
    <t xml:space="preserve">  Ryan</t>
  </si>
  <si>
    <t>Sobrilsky</t>
  </si>
  <si>
    <t xml:space="preserve">  Anthony J</t>
  </si>
  <si>
    <t>Wang</t>
  </si>
  <si>
    <t xml:space="preserve">  Alex</t>
  </si>
  <si>
    <t>Campa</t>
  </si>
  <si>
    <t>Clifford</t>
  </si>
  <si>
    <t xml:space="preserve">  Andrew B</t>
  </si>
  <si>
    <t>Dalmata</t>
  </si>
  <si>
    <t xml:space="preserve">  Dara E</t>
  </si>
  <si>
    <t>Vishik</t>
  </si>
  <si>
    <t xml:space="preserve">  Inna</t>
  </si>
  <si>
    <t>Schorr</t>
  </si>
  <si>
    <t xml:space="preserve">  Ari</t>
  </si>
  <si>
    <t>Lusardi</t>
  </si>
  <si>
    <t xml:space="preserve">  Lindsey</t>
  </si>
  <si>
    <t>Rayner</t>
  </si>
  <si>
    <t xml:space="preserve">  Kenny</t>
  </si>
  <si>
    <t>Voghel</t>
  </si>
  <si>
    <t xml:space="preserve">  Louise</t>
  </si>
  <si>
    <t>Rieth</t>
  </si>
  <si>
    <t xml:space="preserve">  Cameron</t>
  </si>
  <si>
    <t>Gollotto</t>
  </si>
  <si>
    <t xml:space="preserve">  Katie T</t>
  </si>
  <si>
    <t>Dunn</t>
  </si>
  <si>
    <t xml:space="preserve">  Casey</t>
  </si>
  <si>
    <t>Blitzer</t>
  </si>
  <si>
    <t>Smith</t>
  </si>
  <si>
    <t xml:space="preserve">  Bryson C</t>
  </si>
  <si>
    <t>Hyland</t>
  </si>
  <si>
    <t xml:space="preserve">  Megan</t>
  </si>
  <si>
    <t>Ducharme</t>
  </si>
  <si>
    <t xml:space="preserve">  Daniel</t>
  </si>
  <si>
    <t>Johnson</t>
  </si>
  <si>
    <t xml:space="preserve">  Steven M</t>
  </si>
  <si>
    <t>Mutz</t>
  </si>
  <si>
    <t xml:space="preserve">  Jenna L</t>
  </si>
  <si>
    <t>Lee</t>
  </si>
  <si>
    <t xml:space="preserve">  Freeman</t>
  </si>
  <si>
    <t>Turner</t>
  </si>
  <si>
    <t xml:space="preserve">  Jeff</t>
  </si>
  <si>
    <t>Rangel</t>
  </si>
  <si>
    <t xml:space="preserve">  Elenilton V</t>
  </si>
  <si>
    <t xml:space="preserve"> Sr</t>
  </si>
  <si>
    <t>Lacey</t>
  </si>
  <si>
    <t xml:space="preserve">  Maurya</t>
  </si>
  <si>
    <t>Stiger</t>
  </si>
  <si>
    <t xml:space="preserve">  Samantha C</t>
  </si>
  <si>
    <t>Caldwell</t>
  </si>
  <si>
    <t xml:space="preserve">  Bethany A</t>
  </si>
  <si>
    <t>Marmillod</t>
  </si>
  <si>
    <t xml:space="preserve">  Yves</t>
  </si>
  <si>
    <t>Cloutier-Simons</t>
  </si>
  <si>
    <t xml:space="preserve">  Danielle</t>
  </si>
  <si>
    <t>Vegas</t>
  </si>
  <si>
    <t xml:space="preserve">  Julia</t>
  </si>
  <si>
    <t>Cochran</t>
  </si>
  <si>
    <t xml:space="preserve">  Joshua</t>
  </si>
  <si>
    <t>Holtzapple</t>
  </si>
  <si>
    <t xml:space="preserve">  Jennifer</t>
  </si>
  <si>
    <t>Meyer</t>
  </si>
  <si>
    <t xml:space="preserve">  Gwen M</t>
  </si>
  <si>
    <t>Brickley</t>
  </si>
  <si>
    <t xml:space="preserve">  Patrick</t>
  </si>
  <si>
    <t>Magee</t>
  </si>
  <si>
    <t xml:space="preserve">  Kate</t>
  </si>
  <si>
    <t>Thoma</t>
  </si>
  <si>
    <t xml:space="preserve">  Kevin</t>
  </si>
  <si>
    <t>Heagy</t>
  </si>
  <si>
    <t xml:space="preserve">  Stephen II</t>
  </si>
  <si>
    <t>Regnier</t>
  </si>
  <si>
    <t xml:space="preserve">  Philip</t>
  </si>
  <si>
    <t>Parendo</t>
  </si>
  <si>
    <t xml:space="preserve">  Brett A</t>
  </si>
  <si>
    <t>Schell</t>
  </si>
  <si>
    <t xml:space="preserve">  Rebecca</t>
  </si>
  <si>
    <t>Driscoll</t>
  </si>
  <si>
    <t xml:space="preserve">  Kelley</t>
  </si>
  <si>
    <t>Mitchell</t>
  </si>
  <si>
    <t xml:space="preserve">  Abigail K</t>
  </si>
  <si>
    <t>Cutler</t>
  </si>
  <si>
    <t xml:space="preserve">  Hope</t>
  </si>
  <si>
    <t>Derian</t>
  </si>
  <si>
    <t xml:space="preserve">  Elyse M</t>
  </si>
  <si>
    <t>Farina</t>
  </si>
  <si>
    <t xml:space="preserve">  Nicholas</t>
  </si>
  <si>
    <t>Saunders</t>
  </si>
  <si>
    <t>Kratz</t>
  </si>
  <si>
    <t>Boland</t>
  </si>
  <si>
    <t xml:space="preserve">  Thomas</t>
  </si>
  <si>
    <t>Van Hout</t>
  </si>
  <si>
    <t xml:space="preserve">  Pamela J</t>
  </si>
  <si>
    <t>Ramsey</t>
  </si>
  <si>
    <t xml:space="preserve">  Jessica</t>
  </si>
  <si>
    <t>Gage</t>
  </si>
  <si>
    <t xml:space="preserve">  Ron N</t>
  </si>
  <si>
    <t>Gollins</t>
  </si>
  <si>
    <t>Benestad</t>
  </si>
  <si>
    <t xml:space="preserve">  Brian</t>
  </si>
  <si>
    <t>Aviv</t>
  </si>
  <si>
    <t xml:space="preserve">  Sari</t>
  </si>
  <si>
    <t>Burns</t>
  </si>
  <si>
    <t xml:space="preserve">  Robert M</t>
  </si>
  <si>
    <t>Maldonado</t>
  </si>
  <si>
    <t xml:space="preserve">  Ricardo</t>
  </si>
  <si>
    <t>Yitref</t>
  </si>
  <si>
    <t xml:space="preserve">  Gedion</t>
  </si>
  <si>
    <t>Loudon-Brown</t>
  </si>
  <si>
    <t xml:space="preserve">  Mark</t>
  </si>
  <si>
    <t>Sugathadasa</t>
  </si>
  <si>
    <t xml:space="preserve">  Gamini P</t>
  </si>
  <si>
    <t>Ganley</t>
  </si>
  <si>
    <t xml:space="preserve">  Emily J</t>
  </si>
  <si>
    <t>Potter</t>
  </si>
  <si>
    <t xml:space="preserve">  Amanda</t>
  </si>
  <si>
    <t>Rasmussen</t>
  </si>
  <si>
    <t>Robinson</t>
  </si>
  <si>
    <t xml:space="preserve">  Knox</t>
  </si>
  <si>
    <t>Antonopoulos</t>
  </si>
  <si>
    <t xml:space="preserve">  Yianna</t>
  </si>
  <si>
    <t>Groner</t>
  </si>
  <si>
    <t xml:space="preserve">  Roberta</t>
  </si>
  <si>
    <t>Zywicki</t>
  </si>
  <si>
    <t xml:space="preserve">  Benjamin P</t>
  </si>
  <si>
    <t>Cardinal</t>
  </si>
  <si>
    <t xml:space="preserve">  Craig</t>
  </si>
  <si>
    <t>Alleman</t>
  </si>
  <si>
    <t xml:space="preserve">  Ann</t>
  </si>
  <si>
    <t>Stroffolino</t>
  </si>
  <si>
    <t xml:space="preserve">  Jamie P</t>
  </si>
  <si>
    <t>Clubb</t>
  </si>
  <si>
    <t>McGoogan</t>
  </si>
  <si>
    <t xml:space="preserve">  Charlie</t>
  </si>
  <si>
    <t>Keflezighi</t>
  </si>
  <si>
    <t xml:space="preserve">  Meb</t>
  </si>
  <si>
    <t>Syed</t>
  </si>
  <si>
    <t xml:space="preserve">  Aaqib L</t>
  </si>
  <si>
    <t>Segal</t>
  </si>
  <si>
    <t xml:space="preserve">  Craig A</t>
  </si>
  <si>
    <t>Defranco</t>
  </si>
  <si>
    <t xml:space="preserve">  Meredith</t>
  </si>
  <si>
    <t>Kells</t>
  </si>
  <si>
    <t xml:space="preserve">  Doug</t>
  </si>
  <si>
    <t>Lawton</t>
  </si>
  <si>
    <t xml:space="preserve">  Elizabeth J</t>
  </si>
  <si>
    <t>Bejar</t>
  </si>
  <si>
    <t xml:space="preserve">  Matthew P</t>
  </si>
  <si>
    <t>Navarro Castro</t>
  </si>
  <si>
    <t xml:space="preserve">  Guillermo Sr</t>
  </si>
  <si>
    <t>Tice</t>
  </si>
  <si>
    <t xml:space="preserve">  Ryan C</t>
  </si>
  <si>
    <t>Wolf</t>
  </si>
  <si>
    <t xml:space="preserve">  Dane</t>
  </si>
  <si>
    <t>Oppedal</t>
  </si>
  <si>
    <t xml:space="preserve">  Jonas</t>
  </si>
  <si>
    <t>Wright</t>
  </si>
  <si>
    <t xml:space="preserve">  George E</t>
  </si>
  <si>
    <t>Ellis</t>
  </si>
  <si>
    <t xml:space="preserve">  Sara S</t>
  </si>
  <si>
    <t>Taormina</t>
  </si>
  <si>
    <t xml:space="preserve">  Nick</t>
  </si>
  <si>
    <t>Lynch</t>
  </si>
  <si>
    <t xml:space="preserve">  Timothy</t>
  </si>
  <si>
    <t>Tavella</t>
  </si>
  <si>
    <t xml:space="preserve">  Becky L</t>
  </si>
  <si>
    <t>Neufeld</t>
  </si>
  <si>
    <t xml:space="preserve">  Steph K</t>
  </si>
  <si>
    <t>Walhovd</t>
  </si>
  <si>
    <t xml:space="preserve">  Kristine B</t>
  </si>
  <si>
    <t>Washburn</t>
  </si>
  <si>
    <t xml:space="preserve">  Taylor B</t>
  </si>
  <si>
    <t>Mroz</t>
  </si>
  <si>
    <t xml:space="preserve">  William</t>
  </si>
  <si>
    <t>Canaday</t>
  </si>
  <si>
    <t xml:space="preserve">  Sage</t>
  </si>
  <si>
    <t>Atkins</t>
  </si>
  <si>
    <t xml:space="preserve">  Cole</t>
  </si>
  <si>
    <t>Kropelnicki</t>
  </si>
  <si>
    <t xml:space="preserve">  Jesse</t>
  </si>
  <si>
    <t>Braund</t>
  </si>
  <si>
    <t xml:space="preserve">  Tammi J</t>
  </si>
  <si>
    <t>Anderson</t>
  </si>
  <si>
    <t xml:space="preserve">  Matthew S</t>
  </si>
  <si>
    <t>Bilbrey</t>
  </si>
  <si>
    <t xml:space="preserve">  Eric</t>
  </si>
  <si>
    <t>Curtis</t>
  </si>
  <si>
    <t xml:space="preserve">  Valeria R</t>
  </si>
  <si>
    <t xml:space="preserve">  Michael P</t>
  </si>
  <si>
    <t>Bardeesy</t>
  </si>
  <si>
    <t xml:space="preserve">  Rami</t>
  </si>
  <si>
    <t>Shanahan</t>
  </si>
  <si>
    <t xml:space="preserve">  Denis</t>
  </si>
  <si>
    <t>Sutter</t>
  </si>
  <si>
    <t xml:space="preserve">  Brian E</t>
  </si>
  <si>
    <t>Yesian</t>
  </si>
  <si>
    <t xml:space="preserve">  Bonnie</t>
  </si>
  <si>
    <t>Meers</t>
  </si>
  <si>
    <t>Conlon</t>
  </si>
  <si>
    <t xml:space="preserve">  Paul</t>
  </si>
  <si>
    <t>Arnstein</t>
  </si>
  <si>
    <t xml:space="preserve">  Michael</t>
  </si>
  <si>
    <t>Jurek</t>
  </si>
  <si>
    <t xml:space="preserve">  Samuel</t>
  </si>
  <si>
    <t>Thill</t>
  </si>
  <si>
    <t xml:space="preserve">  Matthew</t>
  </si>
  <si>
    <t>Glaz</t>
  </si>
  <si>
    <t>Sampson</t>
  </si>
  <si>
    <t xml:space="preserve">  Syndy</t>
  </si>
  <si>
    <t>Duliba</t>
  </si>
  <si>
    <t xml:space="preserve">  Aleksandra</t>
  </si>
  <si>
    <t>Tanguay</t>
  </si>
  <si>
    <t xml:space="preserve">  Steeve T Sr</t>
  </si>
  <si>
    <t>McClelland</t>
  </si>
  <si>
    <t xml:space="preserve">  Richard</t>
  </si>
  <si>
    <t>Gorman</t>
  </si>
  <si>
    <t xml:space="preserve">  Aaron T</t>
  </si>
  <si>
    <t>Nishimura</t>
  </si>
  <si>
    <t xml:space="preserve">  Akira</t>
  </si>
  <si>
    <t>Brimble</t>
  </si>
  <si>
    <t xml:space="preserve">  Ben</t>
  </si>
  <si>
    <t>Trenk</t>
  </si>
  <si>
    <t xml:space="preserve">  Jana</t>
  </si>
  <si>
    <t>Wittmann</t>
  </si>
  <si>
    <t xml:space="preserve">  Jay T</t>
  </si>
  <si>
    <t>Tremblay</t>
  </si>
  <si>
    <t xml:space="preserve">  Marie-Helene</t>
  </si>
  <si>
    <t>Scofield</t>
  </si>
  <si>
    <t xml:space="preserve">  Bret R</t>
  </si>
  <si>
    <t>Yost</t>
  </si>
  <si>
    <t xml:space="preserve">  Gardner L</t>
  </si>
  <si>
    <t>Torphy</t>
  </si>
  <si>
    <t xml:space="preserve">  Bobby</t>
  </si>
  <si>
    <t>Busby</t>
  </si>
  <si>
    <t>Nguyen</t>
  </si>
  <si>
    <t xml:space="preserve">  Lina</t>
  </si>
  <si>
    <t>Hanley</t>
  </si>
  <si>
    <t xml:space="preserve">  Zebulon</t>
  </si>
  <si>
    <t>Scheer</t>
  </si>
  <si>
    <t>Rankin</t>
  </si>
  <si>
    <t xml:space="preserve">  Greg</t>
  </si>
  <si>
    <t>Ricardi</t>
  </si>
  <si>
    <t>Karkos</t>
  </si>
  <si>
    <t xml:space="preserve">  Kelsey A</t>
  </si>
  <si>
    <t>Price-Dierksen</t>
  </si>
  <si>
    <t xml:space="preserve">  Bronwen L</t>
  </si>
  <si>
    <t>Knispel</t>
  </si>
  <si>
    <t xml:space="preserve">  Manuela</t>
  </si>
  <si>
    <t>King</t>
  </si>
  <si>
    <t xml:space="preserve">  Jennifer L</t>
  </si>
  <si>
    <t>Samuelson</t>
  </si>
  <si>
    <t xml:space="preserve">  Abby W</t>
  </si>
  <si>
    <t>Fredsall</t>
  </si>
  <si>
    <t xml:space="preserve">  Tyler</t>
  </si>
  <si>
    <t>Eggleston</t>
  </si>
  <si>
    <t xml:space="preserve">  Jeffrey</t>
  </si>
  <si>
    <t>Palombaro</t>
  </si>
  <si>
    <t xml:space="preserve">  Matthew F</t>
  </si>
  <si>
    <t>Silva</t>
  </si>
  <si>
    <t xml:space="preserve">  Ryan J</t>
  </si>
  <si>
    <t>Bugala</t>
  </si>
  <si>
    <t xml:space="preserve">  Amy</t>
  </si>
  <si>
    <t>Dublin</t>
  </si>
  <si>
    <t xml:space="preserve">  Andrew P</t>
  </si>
  <si>
    <t>Cleland</t>
  </si>
  <si>
    <t xml:space="preserve">  George M</t>
  </si>
  <si>
    <t xml:space="preserve"> V</t>
  </si>
  <si>
    <t>Evans</t>
  </si>
  <si>
    <t xml:space="preserve">  Sarah</t>
  </si>
  <si>
    <t>Boyd</t>
  </si>
  <si>
    <t xml:space="preserve">  Lara</t>
  </si>
  <si>
    <t>Roulier</t>
  </si>
  <si>
    <t xml:space="preserve">  Sebastien</t>
  </si>
  <si>
    <t>Mullins</t>
  </si>
  <si>
    <t xml:space="preserve">  Padraig</t>
  </si>
  <si>
    <t>Hofmann</t>
  </si>
  <si>
    <t xml:space="preserve">  Heather</t>
  </si>
  <si>
    <t>Garcia Garcia</t>
  </si>
  <si>
    <t xml:space="preserve">  Jorge</t>
  </si>
  <si>
    <t>Klecker</t>
  </si>
  <si>
    <t xml:space="preserve">  Jack R</t>
  </si>
  <si>
    <t>Cancre</t>
  </si>
  <si>
    <t xml:space="preserve">  Felix</t>
  </si>
  <si>
    <t>Denucci</t>
  </si>
  <si>
    <t xml:space="preserve">  Christopher C</t>
  </si>
  <si>
    <t>Saldana</t>
  </si>
  <si>
    <t>Weinberg</t>
  </si>
  <si>
    <t xml:space="preserve">  Jill</t>
  </si>
  <si>
    <t>Walsh</t>
  </si>
  <si>
    <t>Pasten</t>
  </si>
  <si>
    <t xml:space="preserve">  Alejandro</t>
  </si>
  <si>
    <t>LaBelle</t>
  </si>
  <si>
    <t xml:space="preserve">  Ian E</t>
  </si>
  <si>
    <t>Guzman</t>
  </si>
  <si>
    <t xml:space="preserve">  Hector Sr</t>
  </si>
  <si>
    <t>Turnbull</t>
  </si>
  <si>
    <t>Aguero</t>
  </si>
  <si>
    <t xml:space="preserve">  Matt</t>
  </si>
  <si>
    <t>Woodward</t>
  </si>
  <si>
    <t xml:space="preserve">  Elizabeth H</t>
  </si>
  <si>
    <t>McElroy</t>
  </si>
  <si>
    <t xml:space="preserve">  Grace</t>
  </si>
  <si>
    <t>Lopez</t>
  </si>
  <si>
    <t xml:space="preserve">  Jaime</t>
  </si>
  <si>
    <t>Cardosi</t>
  </si>
  <si>
    <t xml:space="preserve">  Calesse</t>
  </si>
  <si>
    <t>Looney</t>
  </si>
  <si>
    <t xml:space="preserve">  Kate L</t>
  </si>
  <si>
    <t>Zyryanov</t>
  </si>
  <si>
    <t xml:space="preserve">  Sergey</t>
  </si>
  <si>
    <t>Gavin</t>
  </si>
  <si>
    <t xml:space="preserve">  Timothy V</t>
  </si>
  <si>
    <t>Littlefield</t>
  </si>
  <si>
    <t xml:space="preserve">  Andrew S</t>
  </si>
  <si>
    <t>Shearer</t>
  </si>
  <si>
    <t>Armstrong</t>
  </si>
  <si>
    <t>Warriner</t>
  </si>
  <si>
    <t xml:space="preserve">  Lawrence</t>
  </si>
  <si>
    <t>White</t>
  </si>
  <si>
    <t>Cordaro</t>
  </si>
  <si>
    <t>Hamilton</t>
  </si>
  <si>
    <t xml:space="preserve">  Gavin M</t>
  </si>
  <si>
    <t xml:space="preserve">  Rick E</t>
  </si>
  <si>
    <t>Duke</t>
  </si>
  <si>
    <t xml:space="preserve">  Andrea H</t>
  </si>
  <si>
    <t>Malatesta</t>
  </si>
  <si>
    <t xml:space="preserve">  Anthony S</t>
  </si>
  <si>
    <t>Hinrichsen</t>
  </si>
  <si>
    <t xml:space="preserve">  Erik</t>
  </si>
  <si>
    <t>Lucan</t>
  </si>
  <si>
    <t xml:space="preserve">  Kiley D</t>
  </si>
  <si>
    <t>Koch</t>
  </si>
  <si>
    <t xml:space="preserve">  Chris</t>
  </si>
  <si>
    <t>O'Connor</t>
  </si>
  <si>
    <t xml:space="preserve">  Marian M</t>
  </si>
  <si>
    <t>Kampwerth</t>
  </si>
  <si>
    <t xml:space="preserve">  Jeremy</t>
  </si>
  <si>
    <t>Federoff</t>
  </si>
  <si>
    <t xml:space="preserve">  Allison H</t>
  </si>
  <si>
    <t>Goya</t>
  </si>
  <si>
    <t xml:space="preserve">  Elizabeth</t>
  </si>
  <si>
    <t>Hodges</t>
  </si>
  <si>
    <t xml:space="preserve">  Andrew</t>
  </si>
  <si>
    <t>Erickson</t>
  </si>
  <si>
    <t xml:space="preserve">  Anders J</t>
  </si>
  <si>
    <t>Welleck</t>
  </si>
  <si>
    <t xml:space="preserve">  Sean</t>
  </si>
  <si>
    <t>Polen</t>
  </si>
  <si>
    <t xml:space="preserve">  Brian M</t>
  </si>
  <si>
    <t>Hufstader</t>
  </si>
  <si>
    <t xml:space="preserve">  Susannah</t>
  </si>
  <si>
    <t>Doak</t>
  </si>
  <si>
    <t xml:space="preserve">  Randy</t>
  </si>
  <si>
    <t>Noya</t>
  </si>
  <si>
    <t xml:space="preserve">  Leslie</t>
  </si>
  <si>
    <t>Heninger</t>
  </si>
  <si>
    <t xml:space="preserve">  Brittany L</t>
  </si>
  <si>
    <t>Richardson</t>
  </si>
  <si>
    <t xml:space="preserve">  Cassie J</t>
  </si>
  <si>
    <t>Deucher</t>
  </si>
  <si>
    <t xml:space="preserve">  Peter W</t>
  </si>
  <si>
    <t>Wilson</t>
  </si>
  <si>
    <t xml:space="preserve">  Douglas</t>
  </si>
  <si>
    <t>Hall</t>
  </si>
  <si>
    <t xml:space="preserve">  Dan</t>
  </si>
  <si>
    <t>Reed</t>
  </si>
  <si>
    <t xml:space="preserve">  Dan M</t>
  </si>
  <si>
    <t>Frome</t>
  </si>
  <si>
    <t xml:space="preserve">  Eric L</t>
  </si>
  <si>
    <t>Creasy</t>
  </si>
  <si>
    <t xml:space="preserve">  Les J</t>
  </si>
  <si>
    <t>Latimer</t>
  </si>
  <si>
    <t xml:space="preserve">  Stephanie</t>
  </si>
  <si>
    <t>Wei</t>
  </si>
  <si>
    <t xml:space="preserve">  Melissa Y</t>
  </si>
  <si>
    <t>Hayes</t>
  </si>
  <si>
    <t xml:space="preserve">  Ashley</t>
  </si>
  <si>
    <t>Velardo</t>
  </si>
  <si>
    <t xml:space="preserve">  Stephanie M</t>
  </si>
  <si>
    <t>Kastes</t>
  </si>
  <si>
    <t xml:space="preserve">  Kylie</t>
  </si>
  <si>
    <t>Escorcia</t>
  </si>
  <si>
    <t>Larscheid</t>
  </si>
  <si>
    <t xml:space="preserve">  Carrie</t>
  </si>
  <si>
    <t>O'Bannon</t>
  </si>
  <si>
    <t>Ridgway</t>
  </si>
  <si>
    <t xml:space="preserve">  Zach S</t>
  </si>
  <si>
    <t>Black</t>
  </si>
  <si>
    <t xml:space="preserve">  Alan</t>
  </si>
  <si>
    <t>Canton</t>
  </si>
  <si>
    <t xml:space="preserve">  Nate</t>
  </si>
  <si>
    <t>Fine</t>
  </si>
  <si>
    <t xml:space="preserve">  Jesse G</t>
  </si>
  <si>
    <t>Bui</t>
  </si>
  <si>
    <t xml:space="preserve">  Jason</t>
  </si>
  <si>
    <t>Riepma</t>
  </si>
  <si>
    <t xml:space="preserve">  Megan A</t>
  </si>
  <si>
    <t>Inman</t>
  </si>
  <si>
    <t xml:space="preserve">  Luke M</t>
  </si>
  <si>
    <t>Kruzel</t>
  </si>
  <si>
    <t xml:space="preserve">  Jacy D</t>
  </si>
  <si>
    <t>Lindsay</t>
  </si>
  <si>
    <t xml:space="preserve">  Simon G</t>
  </si>
  <si>
    <t>Land</t>
  </si>
  <si>
    <t xml:space="preserve">  Ainsley E</t>
  </si>
  <si>
    <t>Brecher</t>
  </si>
  <si>
    <t xml:space="preserve">  Erica A</t>
  </si>
  <si>
    <t>Debolt</t>
  </si>
  <si>
    <t>Oswalt</t>
  </si>
  <si>
    <t xml:space="preserve">  Erin C</t>
  </si>
  <si>
    <t xml:space="preserve">  Adrienne</t>
  </si>
  <si>
    <t>Bulewich</t>
  </si>
  <si>
    <t>Fukuda</t>
  </si>
  <si>
    <t xml:space="preserve">  Yutaka</t>
  </si>
  <si>
    <t>Phillips</t>
  </si>
  <si>
    <t xml:space="preserve">  Tyler M</t>
  </si>
  <si>
    <t>Maddison</t>
  </si>
  <si>
    <t>Lockwood</t>
  </si>
  <si>
    <t>Defilippi</t>
  </si>
  <si>
    <t xml:space="preserve">  James</t>
  </si>
  <si>
    <t>Jackson</t>
  </si>
  <si>
    <t xml:space="preserve">  Shawn P</t>
  </si>
  <si>
    <t>Ozahowski</t>
  </si>
  <si>
    <t>Guthals</t>
  </si>
  <si>
    <t xml:space="preserve">  Nathaniel</t>
  </si>
  <si>
    <t>Yates</t>
  </si>
  <si>
    <t xml:space="preserve">  Kevin D</t>
  </si>
  <si>
    <t xml:space="preserve">  Joan</t>
  </si>
  <si>
    <t>Lemos</t>
  </si>
  <si>
    <t xml:space="preserve">  Christopher A</t>
  </si>
  <si>
    <t>Seynders</t>
  </si>
  <si>
    <t xml:space="preserve">  Kacy L</t>
  </si>
  <si>
    <t xml:space="preserve">  Benjamin H</t>
  </si>
  <si>
    <t>Walker</t>
  </si>
  <si>
    <t xml:space="preserve">  Xaviour J</t>
  </si>
  <si>
    <t>Lam</t>
  </si>
  <si>
    <t xml:space="preserve">  Michael T</t>
  </si>
  <si>
    <t>Sweigart</t>
  </si>
  <si>
    <t xml:space="preserve">  Bradley</t>
  </si>
  <si>
    <t>Sieczkowski</t>
  </si>
  <si>
    <t xml:space="preserve">  Andrea</t>
  </si>
  <si>
    <t>Jurgens</t>
  </si>
  <si>
    <t xml:space="preserve">  Nancy M</t>
  </si>
  <si>
    <t>Hackman</t>
  </si>
  <si>
    <t>Klarich</t>
  </si>
  <si>
    <t xml:space="preserve">  Lee</t>
  </si>
  <si>
    <t>Schulten</t>
  </si>
  <si>
    <t>Fagerstrom</t>
  </si>
  <si>
    <t xml:space="preserve">  Erik T</t>
  </si>
  <si>
    <t>Bien</t>
  </si>
  <si>
    <t xml:space="preserve">  Rod W</t>
  </si>
  <si>
    <t>Hess</t>
  </si>
  <si>
    <t xml:space="preserve">  Joey</t>
  </si>
  <si>
    <t>Shaw</t>
  </si>
  <si>
    <t xml:space="preserve">  Hillary L</t>
  </si>
  <si>
    <t>Williams</t>
  </si>
  <si>
    <t xml:space="preserve">  Eric J</t>
  </si>
  <si>
    <t>Menzies</t>
  </si>
  <si>
    <t xml:space="preserve">  Nicolas</t>
  </si>
  <si>
    <t>Buehler</t>
  </si>
  <si>
    <t xml:space="preserve">  Marcel</t>
  </si>
  <si>
    <t>Degen</t>
  </si>
  <si>
    <t xml:space="preserve">  Ashley N</t>
  </si>
  <si>
    <t>Arsenault</t>
  </si>
  <si>
    <t xml:space="preserve">  Evan D</t>
  </si>
  <si>
    <t>Hoff</t>
  </si>
  <si>
    <t xml:space="preserve">  Krisana</t>
  </si>
  <si>
    <t xml:space="preserve">  Kyle</t>
  </si>
  <si>
    <t>Ashley</t>
  </si>
  <si>
    <t>Rindahl</t>
  </si>
  <si>
    <t xml:space="preserve">  Martin A</t>
  </si>
  <si>
    <t>Clark</t>
  </si>
  <si>
    <t xml:space="preserve">  Stacey</t>
  </si>
  <si>
    <t>Irish</t>
  </si>
  <si>
    <t xml:space="preserve">  Christine</t>
  </si>
  <si>
    <t xml:space="preserve">  Sarah C</t>
  </si>
  <si>
    <t>Dewitt</t>
  </si>
  <si>
    <t>Hickman</t>
  </si>
  <si>
    <t xml:space="preserve">  Jason W</t>
  </si>
  <si>
    <t>Gonzalez</t>
  </si>
  <si>
    <t xml:space="preserve">  Michele</t>
  </si>
  <si>
    <t>Difani</t>
  </si>
  <si>
    <t xml:space="preserve">  Nikki</t>
  </si>
  <si>
    <t xml:space="preserve">  Philip J</t>
  </si>
  <si>
    <t>Widmann</t>
  </si>
  <si>
    <t xml:space="preserve">  Bryan L</t>
  </si>
  <si>
    <t>Tunney</t>
  </si>
  <si>
    <t xml:space="preserve">  Timothy F</t>
  </si>
  <si>
    <t>San Juan</t>
  </si>
  <si>
    <t xml:space="preserve">  Angielyn M</t>
  </si>
  <si>
    <t>Croll</t>
  </si>
  <si>
    <t xml:space="preserve">  Jeanie M</t>
  </si>
  <si>
    <t>Rolfes</t>
  </si>
  <si>
    <t>Hinkle</t>
  </si>
  <si>
    <t>Leuchanka</t>
  </si>
  <si>
    <t xml:space="preserve">  Aliaksandr</t>
  </si>
  <si>
    <t>Ayr</t>
  </si>
  <si>
    <t xml:space="preserve">  Jason M</t>
  </si>
  <si>
    <t>Siegel</t>
  </si>
  <si>
    <t xml:space="preserve">  Sheera K</t>
  </si>
  <si>
    <t>Penrose</t>
  </si>
  <si>
    <t xml:space="preserve">  Janice</t>
  </si>
  <si>
    <t>Schuler</t>
  </si>
  <si>
    <t xml:space="preserve">  Timothy G</t>
  </si>
  <si>
    <t xml:space="preserve">  Alan R</t>
  </si>
  <si>
    <t>Stange</t>
  </si>
  <si>
    <t>Roy</t>
  </si>
  <si>
    <t xml:space="preserve">  Marie-France</t>
  </si>
  <si>
    <t>Potere</t>
  </si>
  <si>
    <t xml:space="preserve">  Erik F</t>
  </si>
  <si>
    <t>Podgurski</t>
  </si>
  <si>
    <t>Diamond</t>
  </si>
  <si>
    <t xml:space="preserve">  Anthony</t>
  </si>
  <si>
    <t>Sallade</t>
  </si>
  <si>
    <t>Zhang</t>
  </si>
  <si>
    <t xml:space="preserve">  Yu</t>
  </si>
  <si>
    <t>Chatfield</t>
  </si>
  <si>
    <t xml:space="preserve">  Caleb N</t>
  </si>
  <si>
    <t>Bruns</t>
  </si>
  <si>
    <t>Yochum</t>
  </si>
  <si>
    <t xml:space="preserve">  Angela R</t>
  </si>
  <si>
    <t>Freeburn</t>
  </si>
  <si>
    <t xml:space="preserve">  Keith J</t>
  </si>
  <si>
    <t>Spencer</t>
  </si>
  <si>
    <t xml:space="preserve">  Emma</t>
  </si>
  <si>
    <t>Jarosik</t>
  </si>
  <si>
    <t xml:space="preserve">  Nathan A</t>
  </si>
  <si>
    <t>Heinzen</t>
  </si>
  <si>
    <t xml:space="preserve">  Kathryn</t>
  </si>
  <si>
    <t>Kelley</t>
  </si>
  <si>
    <t>Thacker</t>
  </si>
  <si>
    <t>Jeseritz</t>
  </si>
  <si>
    <t xml:space="preserve">  Cheryl A</t>
  </si>
  <si>
    <t>Hohman</t>
  </si>
  <si>
    <t xml:space="preserve">  Kimberly A</t>
  </si>
  <si>
    <t>Hill</t>
  </si>
  <si>
    <t xml:space="preserve">  Cynthia</t>
  </si>
  <si>
    <t>Kuepfer</t>
  </si>
  <si>
    <t>Kaczmarek</t>
  </si>
  <si>
    <t xml:space="preserve">  Bruce</t>
  </si>
  <si>
    <t>Pitt</t>
  </si>
  <si>
    <t xml:space="preserve">  Allison</t>
  </si>
  <si>
    <t>Lorton</t>
  </si>
  <si>
    <t>Castaneda</t>
  </si>
  <si>
    <t xml:space="preserve">  Gabriela</t>
  </si>
  <si>
    <t>Cherop</t>
  </si>
  <si>
    <t xml:space="preserve">  Sharon</t>
  </si>
  <si>
    <t>Howell</t>
  </si>
  <si>
    <t xml:space="preserve">  Jason A</t>
  </si>
  <si>
    <t>Palmer</t>
  </si>
  <si>
    <t xml:space="preserve">  Chelsey C</t>
  </si>
  <si>
    <t>Olson</t>
  </si>
  <si>
    <t xml:space="preserve">  Devon A</t>
  </si>
  <si>
    <t>Waldron</t>
  </si>
  <si>
    <t xml:space="preserve">  Joni L</t>
  </si>
  <si>
    <t xml:space="preserve">  Colin</t>
  </si>
  <si>
    <t>Stack</t>
  </si>
  <si>
    <t xml:space="preserve">  Rachael</t>
  </si>
  <si>
    <t>Sanchez Y Torres</t>
  </si>
  <si>
    <t xml:space="preserve">  Maricela</t>
  </si>
  <si>
    <t>Daniels</t>
  </si>
  <si>
    <t xml:space="preserve">  Marie</t>
  </si>
  <si>
    <t>Pepp</t>
  </si>
  <si>
    <t xml:space="preserve">  Frank</t>
  </si>
  <si>
    <t>Buechler</t>
  </si>
  <si>
    <t xml:space="preserve">  Jeffry</t>
  </si>
  <si>
    <t>Buenting</t>
  </si>
  <si>
    <t xml:space="preserve">  Mike</t>
  </si>
  <si>
    <t xml:space="preserve">  Rick</t>
  </si>
  <si>
    <t>Arcand</t>
  </si>
  <si>
    <t xml:space="preserve">  Pierre-Michel</t>
  </si>
  <si>
    <t>Kesack</t>
  </si>
  <si>
    <t>Post</t>
  </si>
  <si>
    <t xml:space="preserve">  Brian L</t>
  </si>
  <si>
    <t>Dunne</t>
  </si>
  <si>
    <t xml:space="preserve">  Morgan M</t>
  </si>
  <si>
    <t>Kilel</t>
  </si>
  <si>
    <t xml:space="preserve">  Caroline</t>
  </si>
  <si>
    <t>Nicholson</t>
  </si>
  <si>
    <t xml:space="preserve">  Drew T</t>
  </si>
  <si>
    <t>Susmann</t>
  </si>
  <si>
    <t xml:space="preserve">  Austin W</t>
  </si>
  <si>
    <t>Harsh</t>
  </si>
  <si>
    <t xml:space="preserve">  Berenice</t>
  </si>
  <si>
    <t>Pocasangre</t>
  </si>
  <si>
    <t xml:space="preserve">  Kenneth A</t>
  </si>
  <si>
    <t>Martinez Lopez</t>
  </si>
  <si>
    <t xml:space="preserve">  Miguel</t>
  </si>
  <si>
    <t>Riegel</t>
  </si>
  <si>
    <t xml:space="preserve">  Hadley T</t>
  </si>
  <si>
    <t>Monson</t>
  </si>
  <si>
    <t xml:space="preserve">  Taylor</t>
  </si>
  <si>
    <t>Klubben</t>
  </si>
  <si>
    <t xml:space="preserve">  Tenielle M</t>
  </si>
  <si>
    <t>Mascaro</t>
  </si>
  <si>
    <t>Norvell</t>
  </si>
  <si>
    <t xml:space="preserve">  Nora P</t>
  </si>
  <si>
    <t>Ornelas</t>
  </si>
  <si>
    <t xml:space="preserve">  Zachary</t>
  </si>
  <si>
    <t>Fitzpatrick</t>
  </si>
  <si>
    <t>Bloomquist</t>
  </si>
  <si>
    <t xml:space="preserve">  Alyssa K</t>
  </si>
  <si>
    <t>Wick</t>
  </si>
  <si>
    <t>Zappala</t>
  </si>
  <si>
    <t xml:space="preserve">  Dante</t>
  </si>
  <si>
    <t>Earle</t>
  </si>
  <si>
    <t xml:space="preserve">  Sara E</t>
  </si>
  <si>
    <t>Majewski</t>
  </si>
  <si>
    <t>Apfelbaum</t>
  </si>
  <si>
    <t>Graham</t>
  </si>
  <si>
    <t>Whitacre</t>
  </si>
  <si>
    <t xml:space="preserve">  Andrew D</t>
  </si>
  <si>
    <t>Wegener</t>
  </si>
  <si>
    <t xml:space="preserve">  Joel D</t>
  </si>
  <si>
    <t>Collie</t>
  </si>
  <si>
    <t xml:space="preserve">  Michelle</t>
  </si>
  <si>
    <t>Murphy</t>
  </si>
  <si>
    <t xml:space="preserve">  Michael J</t>
  </si>
  <si>
    <t>Butters</t>
  </si>
  <si>
    <t>Cook</t>
  </si>
  <si>
    <t xml:space="preserve">  Summer B</t>
  </si>
  <si>
    <t>Breen</t>
  </si>
  <si>
    <t xml:space="preserve">  Edward</t>
  </si>
  <si>
    <t>Fitzsimons</t>
  </si>
  <si>
    <t>Houle</t>
  </si>
  <si>
    <t xml:space="preserve">  Kacee</t>
  </si>
  <si>
    <t xml:space="preserve">  Dave</t>
  </si>
  <si>
    <t>Ray</t>
  </si>
  <si>
    <t xml:space="preserve">  Maryanna</t>
  </si>
  <si>
    <t>Jennings</t>
  </si>
  <si>
    <t xml:space="preserve">  Jessica H</t>
  </si>
  <si>
    <t>Fuller</t>
  </si>
  <si>
    <t xml:space="preserve">  Deanna</t>
  </si>
  <si>
    <t>Lovisek</t>
  </si>
  <si>
    <t xml:space="preserve">  Peter</t>
  </si>
  <si>
    <t>Painter</t>
  </si>
  <si>
    <t>Edwards</t>
  </si>
  <si>
    <t xml:space="preserve">  Elizabeth M</t>
  </si>
  <si>
    <t>Liebl</t>
  </si>
  <si>
    <t xml:space="preserve">  Gregory</t>
  </si>
  <si>
    <t>Kasabian-Larson</t>
  </si>
  <si>
    <t xml:space="preserve">  Sarah E</t>
  </si>
  <si>
    <t>Creamer</t>
  </si>
  <si>
    <t xml:space="preserve">  Anne Elise</t>
  </si>
  <si>
    <t>Kimbel</t>
  </si>
  <si>
    <t xml:space="preserve">  Christopher R</t>
  </si>
  <si>
    <t>Livensparger</t>
  </si>
  <si>
    <t xml:space="preserve">  Elliot</t>
  </si>
  <si>
    <t>Grange</t>
  </si>
  <si>
    <t xml:space="preserve">  Christopher D</t>
  </si>
  <si>
    <t>Nunlist</t>
  </si>
  <si>
    <t xml:space="preserve">  Corey</t>
  </si>
  <si>
    <t>Cutter</t>
  </si>
  <si>
    <t xml:space="preserve">  Patrick D</t>
  </si>
  <si>
    <t>Martin</t>
  </si>
  <si>
    <t xml:space="preserve">  Anthony D</t>
  </si>
  <si>
    <t>Cooney</t>
  </si>
  <si>
    <t xml:space="preserve">  Melissa</t>
  </si>
  <si>
    <t>Bier</t>
  </si>
  <si>
    <t xml:space="preserve">  Raven</t>
  </si>
  <si>
    <t>Muskopf</t>
  </si>
  <si>
    <t xml:space="preserve">  Christopher</t>
  </si>
  <si>
    <t>Sirak</t>
  </si>
  <si>
    <t xml:space="preserve">  Kendra A</t>
  </si>
  <si>
    <t>Nelsen</t>
  </si>
  <si>
    <t xml:space="preserve">  Jordan</t>
  </si>
  <si>
    <t>Schallner</t>
  </si>
  <si>
    <t xml:space="preserve">  Nils</t>
  </si>
  <si>
    <t>Dunlap</t>
  </si>
  <si>
    <t>Messing</t>
  </si>
  <si>
    <t xml:space="preserve">  Angela</t>
  </si>
  <si>
    <t>Bondell</t>
  </si>
  <si>
    <t>Gaughan</t>
  </si>
  <si>
    <t xml:space="preserve">  Caitlin O</t>
  </si>
  <si>
    <t>Gruman</t>
  </si>
  <si>
    <t xml:space="preserve">  Tracy M</t>
  </si>
  <si>
    <t>Whitlow</t>
  </si>
  <si>
    <t xml:space="preserve">  Dustin M</t>
  </si>
  <si>
    <t xml:space="preserve">  Jenny</t>
  </si>
  <si>
    <t>Sabo</t>
  </si>
  <si>
    <t xml:space="preserve">  Emily</t>
  </si>
  <si>
    <t>Nazarian</t>
  </si>
  <si>
    <t xml:space="preserve">  Fabienne</t>
  </si>
  <si>
    <t>Lerma</t>
  </si>
  <si>
    <t>Dahl</t>
  </si>
  <si>
    <t>Surtees</t>
  </si>
  <si>
    <t xml:space="preserve">  Taryn L</t>
  </si>
  <si>
    <t>Spetner</t>
  </si>
  <si>
    <t xml:space="preserve">  Temima</t>
  </si>
  <si>
    <t>Brandon</t>
  </si>
  <si>
    <t>Eley</t>
  </si>
  <si>
    <t xml:space="preserve">  Serena M</t>
  </si>
  <si>
    <t>Sedicum</t>
  </si>
  <si>
    <t xml:space="preserve">  Victoria M</t>
  </si>
  <si>
    <t>Markle</t>
  </si>
  <si>
    <t xml:space="preserve">  Phoebe</t>
  </si>
  <si>
    <t>Kunz</t>
  </si>
  <si>
    <t>Wimert</t>
  </si>
  <si>
    <t>Peterson</t>
  </si>
  <si>
    <t xml:space="preserve">  Nicholas D</t>
  </si>
  <si>
    <t>Mercier</t>
  </si>
  <si>
    <t xml:space="preserve">  Christian</t>
  </si>
  <si>
    <t>Laurie</t>
  </si>
  <si>
    <t xml:space="preserve">  Jonathon S</t>
  </si>
  <si>
    <t>Sekaquaptewa</t>
  </si>
  <si>
    <t>Frash</t>
  </si>
  <si>
    <t xml:space="preserve">  Joshua D</t>
  </si>
  <si>
    <t>Bukowski</t>
  </si>
  <si>
    <t xml:space="preserve">  Nichole</t>
  </si>
  <si>
    <t>Sandahl</t>
  </si>
  <si>
    <t xml:space="preserve">  Denise M</t>
  </si>
  <si>
    <t>Speight</t>
  </si>
  <si>
    <t xml:space="preserve">  Peter R</t>
  </si>
  <si>
    <t xml:space="preserve">  Johnson K</t>
  </si>
  <si>
    <t>Nielsen</t>
  </si>
  <si>
    <t xml:space="preserve">  Katherine</t>
  </si>
  <si>
    <t>Zirdok</t>
  </si>
  <si>
    <t xml:space="preserve">  Lynda</t>
  </si>
  <si>
    <t>Crudale</t>
  </si>
  <si>
    <t>Koopmans</t>
  </si>
  <si>
    <t xml:space="preserve">  Linnea C</t>
  </si>
  <si>
    <t>Milani</t>
  </si>
  <si>
    <t xml:space="preserve">  Massimiliano A</t>
  </si>
  <si>
    <t>Kelly</t>
  </si>
  <si>
    <t xml:space="preserve">  James M</t>
  </si>
  <si>
    <t>Finelli</t>
  </si>
  <si>
    <t xml:space="preserve">  Lauren</t>
  </si>
  <si>
    <t xml:space="preserve">  Michele V</t>
  </si>
  <si>
    <t xml:space="preserve">  Xiao</t>
  </si>
  <si>
    <t>Beasley</t>
  </si>
  <si>
    <t xml:space="preserve">  Harper L</t>
  </si>
  <si>
    <t>Bedbury</t>
  </si>
  <si>
    <t>Stemberger</t>
  </si>
  <si>
    <t>Chebet</t>
  </si>
  <si>
    <t xml:space="preserve">  Wilson</t>
  </si>
  <si>
    <t>Muir</t>
  </si>
  <si>
    <t>Yang</t>
  </si>
  <si>
    <t xml:space="preserve">  Shizhong</t>
  </si>
  <si>
    <t>Gravel</t>
  </si>
  <si>
    <t xml:space="preserve">  Marie-Claire</t>
  </si>
  <si>
    <t xml:space="preserve">  Todd J</t>
  </si>
  <si>
    <t xml:space="preserve">  Carolyn</t>
  </si>
  <si>
    <t>Jamieson</t>
  </si>
  <si>
    <t xml:space="preserve">  Marissa D</t>
  </si>
  <si>
    <t>Dufeal</t>
  </si>
  <si>
    <t xml:space="preserve">  Jean Luc</t>
  </si>
  <si>
    <t>Sansonetti</t>
  </si>
  <si>
    <t>Koneazny</t>
  </si>
  <si>
    <t xml:space="preserve">  Jim</t>
  </si>
  <si>
    <t xml:space="preserve">  Matthew T</t>
  </si>
  <si>
    <t>Glasson</t>
  </si>
  <si>
    <t xml:space="preserve">  Rachel L</t>
  </si>
  <si>
    <t>Canitz</t>
  </si>
  <si>
    <t xml:space="preserve">  Corina</t>
  </si>
  <si>
    <t>Li</t>
  </si>
  <si>
    <t xml:space="preserve">  Guannan</t>
  </si>
  <si>
    <t>Parsons</t>
  </si>
  <si>
    <t xml:space="preserve">  Don</t>
  </si>
  <si>
    <t>Raulli</t>
  </si>
  <si>
    <t xml:space="preserve">  Gavin V</t>
  </si>
  <si>
    <t>Sevcik</t>
  </si>
  <si>
    <t>Narang</t>
  </si>
  <si>
    <t xml:space="preserve">  Jatin</t>
  </si>
  <si>
    <t>Royston</t>
  </si>
  <si>
    <t xml:space="preserve">  J P</t>
  </si>
  <si>
    <t xml:space="preserve"> II</t>
  </si>
  <si>
    <t>Tieri</t>
  </si>
  <si>
    <t xml:space="preserve">  Angela M</t>
  </si>
  <si>
    <t>Whitney</t>
  </si>
  <si>
    <t xml:space="preserve">  Blake K</t>
  </si>
  <si>
    <t>Wandzilak</t>
  </si>
  <si>
    <t xml:space="preserve">  Brian T</t>
  </si>
  <si>
    <t>Valenzona</t>
  </si>
  <si>
    <t xml:space="preserve">  Damon</t>
  </si>
  <si>
    <t>Young</t>
  </si>
  <si>
    <t>Richards</t>
  </si>
  <si>
    <t xml:space="preserve">  Malcolm J</t>
  </si>
  <si>
    <t>Alexson</t>
  </si>
  <si>
    <t xml:space="preserve">  Margaret B</t>
  </si>
  <si>
    <t xml:space="preserve">  Helen</t>
  </si>
  <si>
    <t>McKenna</t>
  </si>
  <si>
    <t>Argall</t>
  </si>
  <si>
    <t xml:space="preserve"> Mrs</t>
  </si>
  <si>
    <t xml:space="preserve">  Tara R</t>
  </si>
  <si>
    <t>Patchell</t>
  </si>
  <si>
    <t xml:space="preserve">  Kristin</t>
  </si>
  <si>
    <t>Catoggio</t>
  </si>
  <si>
    <t>Adams</t>
  </si>
  <si>
    <t>Windt</t>
  </si>
  <si>
    <t xml:space="preserve">  Carly E</t>
  </si>
  <si>
    <t>Ryan</t>
  </si>
  <si>
    <t xml:space="preserve">  Lisa</t>
  </si>
  <si>
    <t>Marion</t>
  </si>
  <si>
    <t>Raffetto</t>
  </si>
  <si>
    <t xml:space="preserve">  Louis</t>
  </si>
  <si>
    <t xml:space="preserve">  Brian R</t>
  </si>
  <si>
    <t>Oehlke</t>
  </si>
  <si>
    <t>Sudol</t>
  </si>
  <si>
    <t xml:space="preserve">  Dawn M</t>
  </si>
  <si>
    <t>Van Es</t>
  </si>
  <si>
    <t>Dolge</t>
  </si>
  <si>
    <t xml:space="preserve">  Karen</t>
  </si>
  <si>
    <t>Marlier</t>
  </si>
  <si>
    <t>Girard</t>
  </si>
  <si>
    <t xml:space="preserve">  Mathieu</t>
  </si>
  <si>
    <t xml:space="preserve">  Kam S</t>
  </si>
  <si>
    <t>Hubbard</t>
  </si>
  <si>
    <t xml:space="preserve">  Valerie A</t>
  </si>
  <si>
    <t>Koester</t>
  </si>
  <si>
    <t xml:space="preserve">  Freya R</t>
  </si>
  <si>
    <t>Matthews</t>
  </si>
  <si>
    <t>Rubinich</t>
  </si>
  <si>
    <t xml:space="preserve">  Kara</t>
  </si>
  <si>
    <t>Alban</t>
  </si>
  <si>
    <t xml:space="preserve">  Bradley A</t>
  </si>
  <si>
    <t>Corcoran</t>
  </si>
  <si>
    <t xml:space="preserve">  Brendan</t>
  </si>
  <si>
    <t>Sargent</t>
  </si>
  <si>
    <t xml:space="preserve">  Amber R</t>
  </si>
  <si>
    <t>Watson</t>
  </si>
  <si>
    <t xml:space="preserve">  Sean K</t>
  </si>
  <si>
    <t>Esponda</t>
  </si>
  <si>
    <t>Krall</t>
  </si>
  <si>
    <t>Poskin</t>
  </si>
  <si>
    <t xml:space="preserve">  Brady</t>
  </si>
  <si>
    <t>Halfmann</t>
  </si>
  <si>
    <t xml:space="preserve">  Kameko</t>
  </si>
  <si>
    <t>Klapper</t>
  </si>
  <si>
    <t xml:space="preserve">  Jeremy A</t>
  </si>
  <si>
    <t>George</t>
  </si>
  <si>
    <t>Hicks</t>
  </si>
  <si>
    <t>Lockyer</t>
  </si>
  <si>
    <t>Byrnes</t>
  </si>
  <si>
    <t>Norris</t>
  </si>
  <si>
    <t xml:space="preserve">  Sabine</t>
  </si>
  <si>
    <t>Darda</t>
  </si>
  <si>
    <t xml:space="preserve">  Joseph</t>
  </si>
  <si>
    <t>Otstot</t>
  </si>
  <si>
    <t>Bowley</t>
  </si>
  <si>
    <t xml:space="preserve">  Karolyn A</t>
  </si>
  <si>
    <t>Rogers</t>
  </si>
  <si>
    <t xml:space="preserve">  Anita L</t>
  </si>
  <si>
    <t>Mclaughlin</t>
  </si>
  <si>
    <t xml:space="preserve">  Laura E</t>
  </si>
  <si>
    <t>Ziegler</t>
  </si>
  <si>
    <t>Hughey</t>
  </si>
  <si>
    <t xml:space="preserve">  Ashley E</t>
  </si>
  <si>
    <t>Knast</t>
  </si>
  <si>
    <t>Stob</t>
  </si>
  <si>
    <t>Jensen</t>
  </si>
  <si>
    <t xml:space="preserve">  Dan R</t>
  </si>
  <si>
    <t>Mutter</t>
  </si>
  <si>
    <t xml:space="preserve">  Katie</t>
  </si>
  <si>
    <t>Ahern</t>
  </si>
  <si>
    <t>Chviruk</t>
  </si>
  <si>
    <t xml:space="preserve">  Cathryn</t>
  </si>
  <si>
    <t>Meehan</t>
  </si>
  <si>
    <t>Gammon</t>
  </si>
  <si>
    <t xml:space="preserve">  Shauna</t>
  </si>
  <si>
    <t xml:space="preserve">  Terence</t>
  </si>
  <si>
    <t>Franco</t>
  </si>
  <si>
    <t xml:space="preserve">  Marisol</t>
  </si>
  <si>
    <t>Patterson</t>
  </si>
  <si>
    <t xml:space="preserve">  Lindsay</t>
  </si>
  <si>
    <t>Valdes</t>
  </si>
  <si>
    <t>Craig</t>
  </si>
  <si>
    <t>Whipple</t>
  </si>
  <si>
    <t xml:space="preserve">  Brett W</t>
  </si>
  <si>
    <t>Marton</t>
  </si>
  <si>
    <t xml:space="preserve">  Dylan J</t>
  </si>
  <si>
    <t>Hildebrandt</t>
  </si>
  <si>
    <t>Biggs</t>
  </si>
  <si>
    <t xml:space="preserve">  Brooke M</t>
  </si>
  <si>
    <t>Shigezumi</t>
  </si>
  <si>
    <t xml:space="preserve">  Teiko</t>
  </si>
  <si>
    <t>Meineke</t>
  </si>
  <si>
    <t>Ludington</t>
  </si>
  <si>
    <t xml:space="preserve">  Johannah</t>
  </si>
  <si>
    <t>Perrich</t>
  </si>
  <si>
    <t xml:space="preserve">  Ryan A</t>
  </si>
  <si>
    <t>Cervantes</t>
  </si>
  <si>
    <t xml:space="preserve">  Andres Sr</t>
  </si>
  <si>
    <t>Andrews</t>
  </si>
  <si>
    <t xml:space="preserve">  Bryan</t>
  </si>
  <si>
    <t>Ruvalcaba</t>
  </si>
  <si>
    <t xml:space="preserve">  Lizette</t>
  </si>
  <si>
    <t>Stone</t>
  </si>
  <si>
    <t xml:space="preserve">  Jeb</t>
  </si>
  <si>
    <t>Campbell</t>
  </si>
  <si>
    <t xml:space="preserve">  Amy R</t>
  </si>
  <si>
    <t>Asher</t>
  </si>
  <si>
    <t>Mazzotta</t>
  </si>
  <si>
    <t xml:space="preserve">  Mike G</t>
  </si>
  <si>
    <t>Huttl</t>
  </si>
  <si>
    <t xml:space="preserve">  Simonezitrone Sr</t>
  </si>
  <si>
    <t>Ferron</t>
  </si>
  <si>
    <t>Colarusso</t>
  </si>
  <si>
    <t>Pearlman</t>
  </si>
  <si>
    <t xml:space="preserve">  Oz</t>
  </si>
  <si>
    <t>O'Mara</t>
  </si>
  <si>
    <t xml:space="preserve">  Erin M</t>
  </si>
  <si>
    <t>Niska</t>
  </si>
  <si>
    <t xml:space="preserve">  Bobby E</t>
  </si>
  <si>
    <t>Schlich</t>
  </si>
  <si>
    <t xml:space="preserve">  Daniel P</t>
  </si>
  <si>
    <t>Zidek</t>
  </si>
  <si>
    <t xml:space="preserve">  Marie E</t>
  </si>
  <si>
    <t>Ellgass</t>
  </si>
  <si>
    <t>Lowe</t>
  </si>
  <si>
    <t xml:space="preserve">  Eric D</t>
  </si>
  <si>
    <t>Malone</t>
  </si>
  <si>
    <t xml:space="preserve">  Tara</t>
  </si>
  <si>
    <t>Dumke</t>
  </si>
  <si>
    <t xml:space="preserve">  Haley L</t>
  </si>
  <si>
    <t>Strong</t>
  </si>
  <si>
    <t xml:space="preserve">  Kayla B</t>
  </si>
  <si>
    <t>Ferguson</t>
  </si>
  <si>
    <t xml:space="preserve">  Mark D</t>
  </si>
  <si>
    <t>Klein</t>
  </si>
  <si>
    <t xml:space="preserve">  Patrick J</t>
  </si>
  <si>
    <t>Eusebio</t>
  </si>
  <si>
    <t>Szolosi</t>
  </si>
  <si>
    <t xml:space="preserve">  Beth A</t>
  </si>
  <si>
    <t>Butler</t>
  </si>
  <si>
    <t xml:space="preserve">  Jason R</t>
  </si>
  <si>
    <t>Fukuchi</t>
  </si>
  <si>
    <t xml:space="preserve">  Yoshinori</t>
  </si>
  <si>
    <t>Drucker</t>
  </si>
  <si>
    <t xml:space="preserve">  Adrienne G</t>
  </si>
  <si>
    <t>Aziz</t>
  </si>
  <si>
    <t>Pak</t>
  </si>
  <si>
    <t xml:space="preserve">  Junyong</t>
  </si>
  <si>
    <t>Kieta</t>
  </si>
  <si>
    <t xml:space="preserve">  Kristen A</t>
  </si>
  <si>
    <t>Velez</t>
  </si>
  <si>
    <t xml:space="preserve">  Maria I</t>
  </si>
  <si>
    <t>Bussiere</t>
  </si>
  <si>
    <t xml:space="preserve">  Jonathan</t>
  </si>
  <si>
    <t>McCartney</t>
  </si>
  <si>
    <t>Bambauer</t>
  </si>
  <si>
    <t xml:space="preserve">  Benjamina C</t>
  </si>
  <si>
    <t>Mertz</t>
  </si>
  <si>
    <t>Mason</t>
  </si>
  <si>
    <t xml:space="preserve">  Alison B</t>
  </si>
  <si>
    <t>Rotich</t>
  </si>
  <si>
    <t>Fetzer</t>
  </si>
  <si>
    <t xml:space="preserve">  Alexis N</t>
  </si>
  <si>
    <t>Mattis</t>
  </si>
  <si>
    <t xml:space="preserve">  Shanda L</t>
  </si>
  <si>
    <t xml:space="preserve">  Lacey</t>
  </si>
  <si>
    <t>Balinsky</t>
  </si>
  <si>
    <t xml:space="preserve">  Laurette</t>
  </si>
  <si>
    <t>Reilly</t>
  </si>
  <si>
    <t xml:space="preserve">  Mary</t>
  </si>
  <si>
    <t>Petry</t>
  </si>
  <si>
    <t xml:space="preserve">  Kati A</t>
  </si>
  <si>
    <t>Laleman</t>
  </si>
  <si>
    <t xml:space="preserve">  Kelly J</t>
  </si>
  <si>
    <t>Colby</t>
  </si>
  <si>
    <t xml:space="preserve">  Greer D</t>
  </si>
  <si>
    <t>Wathke</t>
  </si>
  <si>
    <t xml:space="preserve">  Brent</t>
  </si>
  <si>
    <t>Daly</t>
  </si>
  <si>
    <t xml:space="preserve">  Eugene M</t>
  </si>
  <si>
    <t>Dillon</t>
  </si>
  <si>
    <t xml:space="preserve">  Erin D</t>
  </si>
  <si>
    <t>Pontes</t>
  </si>
  <si>
    <t xml:space="preserve">  Kamilla</t>
  </si>
  <si>
    <t>Spies</t>
  </si>
  <si>
    <t xml:space="preserve">  Wayne I</t>
  </si>
  <si>
    <t>Greig</t>
  </si>
  <si>
    <t xml:space="preserve">  Tracy L</t>
  </si>
  <si>
    <t>Scott</t>
  </si>
  <si>
    <t>Erlandson</t>
  </si>
  <si>
    <t xml:space="preserve">  Megan C</t>
  </si>
  <si>
    <t>Autrey</t>
  </si>
  <si>
    <t xml:space="preserve">  Greg D</t>
  </si>
  <si>
    <t>Michalski</t>
  </si>
  <si>
    <t xml:space="preserve">  Steven L</t>
  </si>
  <si>
    <t>Grillo</t>
  </si>
  <si>
    <t xml:space="preserve">  Gianfilippo</t>
  </si>
  <si>
    <t>Coronado</t>
  </si>
  <si>
    <t xml:space="preserve">  Hector</t>
  </si>
  <si>
    <t>Dewine</t>
  </si>
  <si>
    <t xml:space="preserve">  Mark W</t>
  </si>
  <si>
    <t>Carman</t>
  </si>
  <si>
    <t xml:space="preserve">  Aubri</t>
  </si>
  <si>
    <t>Neems</t>
  </si>
  <si>
    <t xml:space="preserve">  Justin</t>
  </si>
  <si>
    <t>Pesyna</t>
  </si>
  <si>
    <t>Meling</t>
  </si>
  <si>
    <t xml:space="preserve">  Erika M</t>
  </si>
  <si>
    <t>Widlowski</t>
  </si>
  <si>
    <t xml:space="preserve">  Daniel G</t>
  </si>
  <si>
    <t>Nadar</t>
  </si>
  <si>
    <t xml:space="preserve">  Devin C</t>
  </si>
  <si>
    <t xml:space="preserve">  Louise A</t>
  </si>
  <si>
    <t>Leedham</t>
  </si>
  <si>
    <t>Haglund</t>
  </si>
  <si>
    <t>Mills</t>
  </si>
  <si>
    <t xml:space="preserve">  Jessica L</t>
  </si>
  <si>
    <t>Drnjevich</t>
  </si>
  <si>
    <t xml:space="preserve">  Kristina K</t>
  </si>
  <si>
    <t>Clay</t>
  </si>
  <si>
    <t xml:space="preserve">  Brad</t>
  </si>
  <si>
    <t>Marbury</t>
  </si>
  <si>
    <t xml:space="preserve">  Margaret O</t>
  </si>
  <si>
    <t>Coon</t>
  </si>
  <si>
    <t xml:space="preserve">  Craig R</t>
  </si>
  <si>
    <t>Vanttinen</t>
  </si>
  <si>
    <t xml:space="preserve">  Simo</t>
  </si>
  <si>
    <t>Garges</t>
  </si>
  <si>
    <t xml:space="preserve">  Christopher J</t>
  </si>
  <si>
    <t>Rivel</t>
  </si>
  <si>
    <t xml:space="preserve">  Mario Sr</t>
  </si>
  <si>
    <t>Lawson</t>
  </si>
  <si>
    <t xml:space="preserve">  Meghann R</t>
  </si>
  <si>
    <t>Cale</t>
  </si>
  <si>
    <t xml:space="preserve">  Scott M</t>
  </si>
  <si>
    <t xml:space="preserve">  Caitlin E</t>
  </si>
  <si>
    <t>Stewart</t>
  </si>
  <si>
    <t xml:space="preserve">  Samantha A</t>
  </si>
  <si>
    <t>Drotz</t>
  </si>
  <si>
    <t>Mutai</t>
  </si>
  <si>
    <t>Lovlien</t>
  </si>
  <si>
    <t xml:space="preserve">  Maya</t>
  </si>
  <si>
    <t xml:space="preserve">  Zachary T</t>
  </si>
  <si>
    <t>Stoney</t>
  </si>
  <si>
    <t xml:space="preserve">  Hilda</t>
  </si>
  <si>
    <t>Markert</t>
  </si>
  <si>
    <t>McLucas</t>
  </si>
  <si>
    <t>Erwin</t>
  </si>
  <si>
    <t xml:space="preserve">  Bethany N</t>
  </si>
  <si>
    <t xml:space="preserve">  Sandra H</t>
  </si>
  <si>
    <t>Otsuka</t>
  </si>
  <si>
    <t xml:space="preserve">  Takuo</t>
  </si>
  <si>
    <t xml:space="preserve">  Kelly A</t>
  </si>
  <si>
    <t>Myers</t>
  </si>
  <si>
    <t>Cote</t>
  </si>
  <si>
    <t xml:space="preserve">  Benoit</t>
  </si>
  <si>
    <t>Ehrhardt</t>
  </si>
  <si>
    <t>Petersen</t>
  </si>
  <si>
    <t xml:space="preserve">  Jessica A</t>
  </si>
  <si>
    <t>Ertel</t>
  </si>
  <si>
    <t xml:space="preserve">  Monica K</t>
  </si>
  <si>
    <t>Lanza</t>
  </si>
  <si>
    <t xml:space="preserve">  Kevin L</t>
  </si>
  <si>
    <t>Picklesimer</t>
  </si>
  <si>
    <t>Giles</t>
  </si>
  <si>
    <t xml:space="preserve">  Della</t>
  </si>
  <si>
    <t>Harmon</t>
  </si>
  <si>
    <t>Pennings</t>
  </si>
  <si>
    <t xml:space="preserve">  Victoria</t>
  </si>
  <si>
    <t>Tseronis</t>
  </si>
  <si>
    <t xml:space="preserve">  Tasos</t>
  </si>
  <si>
    <t>Aliff</t>
  </si>
  <si>
    <t>Willenberg</t>
  </si>
  <si>
    <t xml:space="preserve">  Lukasz</t>
  </si>
  <si>
    <t>Millett</t>
  </si>
  <si>
    <t xml:space="preserve">  Matthew A</t>
  </si>
  <si>
    <t>Haley</t>
  </si>
  <si>
    <t xml:space="preserve">  Meta</t>
  </si>
  <si>
    <t>Ackerman</t>
  </si>
  <si>
    <t xml:space="preserve">  Rachel E</t>
  </si>
  <si>
    <t>Valdez</t>
  </si>
  <si>
    <t xml:space="preserve">  Angelica</t>
  </si>
  <si>
    <t>Michaud</t>
  </si>
  <si>
    <t xml:space="preserve">  Kathleen</t>
  </si>
  <si>
    <t>Gunnink</t>
  </si>
  <si>
    <t xml:space="preserve">  Gabriel D</t>
  </si>
  <si>
    <t>Knight</t>
  </si>
  <si>
    <t xml:space="preserve">  Jeff T</t>
  </si>
  <si>
    <t>Grosscup</t>
  </si>
  <si>
    <t xml:space="preserve">  Neil D</t>
  </si>
  <si>
    <t>Koniuch</t>
  </si>
  <si>
    <t xml:space="preserve">  Katherine L</t>
  </si>
  <si>
    <t>Heitzman</t>
  </si>
  <si>
    <t xml:space="preserve">  Ariel E</t>
  </si>
  <si>
    <t>Tatton</t>
  </si>
  <si>
    <t xml:space="preserve">  Christopher P</t>
  </si>
  <si>
    <t>Flanagan</t>
  </si>
  <si>
    <t>Funk</t>
  </si>
  <si>
    <t xml:space="preserve">  Molly K</t>
  </si>
  <si>
    <t>Davenport</t>
  </si>
  <si>
    <t>Lindbloom</t>
  </si>
  <si>
    <t xml:space="preserve">  Daniel M</t>
  </si>
  <si>
    <t>Wijayaratne</t>
  </si>
  <si>
    <t xml:space="preserve">  Hiruni</t>
  </si>
  <si>
    <t>Ainsworth</t>
  </si>
  <si>
    <t xml:space="preserve">  Reina H</t>
  </si>
  <si>
    <t>Gayagoy</t>
  </si>
  <si>
    <t xml:space="preserve">  Kristi</t>
  </si>
  <si>
    <t>Fitzmaurice</t>
  </si>
  <si>
    <t xml:space="preserve">  Meredith L</t>
  </si>
  <si>
    <t>Rodriguez</t>
  </si>
  <si>
    <t xml:space="preserve">  Jocelyn</t>
  </si>
  <si>
    <t>Tsoucas</t>
  </si>
  <si>
    <t xml:space="preserve">  Daphne</t>
  </si>
  <si>
    <t>Muhly</t>
  </si>
  <si>
    <t xml:space="preserve">  Margaret E</t>
  </si>
  <si>
    <t>Lund</t>
  </si>
  <si>
    <t xml:space="preserve">  Mario J</t>
  </si>
  <si>
    <t>Battaglino</t>
  </si>
  <si>
    <t>Pena</t>
  </si>
  <si>
    <t xml:space="preserve">  Carolina</t>
  </si>
  <si>
    <t>Thomason</t>
  </si>
  <si>
    <t xml:space="preserve">  Jenny K</t>
  </si>
  <si>
    <t>Hancox</t>
  </si>
  <si>
    <t>Canarecci</t>
  </si>
  <si>
    <t xml:space="preserve">  Kimberly D</t>
  </si>
  <si>
    <t>Toupin</t>
  </si>
  <si>
    <t xml:space="preserve">  Marc-Olivier</t>
  </si>
  <si>
    <t>Mulley</t>
  </si>
  <si>
    <t xml:space="preserve">  Russell J</t>
  </si>
  <si>
    <t>Parry</t>
  </si>
  <si>
    <t xml:space="preserve">  Karine</t>
  </si>
  <si>
    <t>Mason Cox</t>
  </si>
  <si>
    <t xml:space="preserve">  Cheryl</t>
  </si>
  <si>
    <t>Thompson</t>
  </si>
  <si>
    <t xml:space="preserve">  Allison M</t>
  </si>
  <si>
    <t>Nelson</t>
  </si>
  <si>
    <t xml:space="preserve">  Adriana</t>
  </si>
  <si>
    <t>Forte</t>
  </si>
  <si>
    <t xml:space="preserve">  Miranda J</t>
  </si>
  <si>
    <t>Corona Iturriaga</t>
  </si>
  <si>
    <t xml:space="preserve">  Roberto</t>
  </si>
  <si>
    <t>McCollum</t>
  </si>
  <si>
    <t xml:space="preserve">  Rebecca B</t>
  </si>
  <si>
    <t>Hevner</t>
  </si>
  <si>
    <t xml:space="preserve">  Tiffany</t>
  </si>
  <si>
    <t>Looi</t>
  </si>
  <si>
    <t xml:space="preserve">  Alexander</t>
  </si>
  <si>
    <t>Power</t>
  </si>
  <si>
    <t xml:space="preserve">  Rich M</t>
  </si>
  <si>
    <t>Routon</t>
  </si>
  <si>
    <t xml:space="preserve">  Aaron C</t>
  </si>
  <si>
    <t>Dochelli</t>
  </si>
  <si>
    <t>Gillespie</t>
  </si>
  <si>
    <t xml:space="preserve">  Maria M</t>
  </si>
  <si>
    <t>Oskvig</t>
  </si>
  <si>
    <t xml:space="preserve">  Daven W</t>
  </si>
  <si>
    <t>Holland-Stergar</t>
  </si>
  <si>
    <t xml:space="preserve">  Brianne</t>
  </si>
  <si>
    <t>Arai</t>
  </si>
  <si>
    <t xml:space="preserve">  Hiroki</t>
  </si>
  <si>
    <t>Olausson</t>
  </si>
  <si>
    <t xml:space="preserve">  Anders</t>
  </si>
  <si>
    <t>Wagner</t>
  </si>
  <si>
    <t>Delong</t>
  </si>
  <si>
    <t xml:space="preserve">  Candace N</t>
  </si>
  <si>
    <t>Mehech</t>
  </si>
  <si>
    <t xml:space="preserve">  Bruno F</t>
  </si>
  <si>
    <t>Machiela</t>
  </si>
  <si>
    <t>Dupere</t>
  </si>
  <si>
    <t xml:space="preserve">  Sally</t>
  </si>
  <si>
    <t>Iandolo</t>
  </si>
  <si>
    <t xml:space="preserve">  Meaghan J</t>
  </si>
  <si>
    <t>Ito</t>
  </si>
  <si>
    <t xml:space="preserve">  Rina</t>
  </si>
  <si>
    <t>Barry</t>
  </si>
  <si>
    <t xml:space="preserve">  Kristin P</t>
  </si>
  <si>
    <t>Boyce</t>
  </si>
  <si>
    <t xml:space="preserve">  Albert</t>
  </si>
  <si>
    <t>Lin</t>
  </si>
  <si>
    <t xml:space="preserve">  Shannon L</t>
  </si>
  <si>
    <t>Nalven</t>
  </si>
  <si>
    <t xml:space="preserve">  Amy B</t>
  </si>
  <si>
    <t>Bourgeois</t>
  </si>
  <si>
    <t xml:space="preserve">  A Danielle</t>
  </si>
  <si>
    <t>Orloff</t>
  </si>
  <si>
    <t xml:space="preserve">  Conrad F</t>
  </si>
  <si>
    <t>Ramirez</t>
  </si>
  <si>
    <t xml:space="preserve">  Josh</t>
  </si>
  <si>
    <t>Fouquet</t>
  </si>
  <si>
    <t xml:space="preserve">  Maxime</t>
  </si>
  <si>
    <t>McPhillips</t>
  </si>
  <si>
    <t>Burgin</t>
  </si>
  <si>
    <t>Roberts</t>
  </si>
  <si>
    <t xml:space="preserve">  Laura P</t>
  </si>
  <si>
    <t>Nemec</t>
  </si>
  <si>
    <t>Appman</t>
  </si>
  <si>
    <t xml:space="preserve">  William D</t>
  </si>
  <si>
    <t xml:space="preserve"> Jr</t>
  </si>
  <si>
    <t>Glotzbach</t>
  </si>
  <si>
    <t>Tenforde</t>
  </si>
  <si>
    <t xml:space="preserve">  Adam S</t>
  </si>
  <si>
    <t xml:space="preserve">  Armando</t>
  </si>
  <si>
    <t>Stanley Torres</t>
  </si>
  <si>
    <t xml:space="preserve">  Dana</t>
  </si>
  <si>
    <t>Vandongen</t>
  </si>
  <si>
    <t>Liebald</t>
  </si>
  <si>
    <t xml:space="preserve">  Benjamin</t>
  </si>
  <si>
    <t>Holte</t>
  </si>
  <si>
    <t xml:space="preserve">  Tanya</t>
  </si>
  <si>
    <t xml:space="preserve">  Tracy</t>
  </si>
  <si>
    <t>Bartlett</t>
  </si>
  <si>
    <t xml:space="preserve">  Emily S</t>
  </si>
  <si>
    <t>Bergman</t>
  </si>
  <si>
    <t xml:space="preserve">  Kelly R</t>
  </si>
  <si>
    <t>Aitken</t>
  </si>
  <si>
    <t>Berger</t>
  </si>
  <si>
    <t xml:space="preserve">  Bruce A Jr</t>
  </si>
  <si>
    <t>Richey</t>
  </si>
  <si>
    <t xml:space="preserve">  Cary J</t>
  </si>
  <si>
    <t>Trotter</t>
  </si>
  <si>
    <t xml:space="preserve">  Jill M</t>
  </si>
  <si>
    <t>Chavez</t>
  </si>
  <si>
    <t>Orifice</t>
  </si>
  <si>
    <t xml:space="preserve">  Michael E</t>
  </si>
  <si>
    <t>Farkash</t>
  </si>
  <si>
    <t xml:space="preserve">  Kathryn E</t>
  </si>
  <si>
    <t>Crawford</t>
  </si>
  <si>
    <t xml:space="preserve">  Polly</t>
  </si>
  <si>
    <t>Sittlington</t>
  </si>
  <si>
    <t xml:space="preserve">  Mark H</t>
  </si>
  <si>
    <t>Silbert</t>
  </si>
  <si>
    <t xml:space="preserve">  Jessie M</t>
  </si>
  <si>
    <t>Carrique</t>
  </si>
  <si>
    <t>Kosla</t>
  </si>
  <si>
    <t>Parker</t>
  </si>
  <si>
    <t>Horton</t>
  </si>
  <si>
    <t>Boller</t>
  </si>
  <si>
    <t xml:space="preserve">  Caroline S</t>
  </si>
  <si>
    <t>Olaru</t>
  </si>
  <si>
    <t xml:space="preserve">  Nuta</t>
  </si>
  <si>
    <t>Prescott</t>
  </si>
  <si>
    <t xml:space="preserve">  Margie</t>
  </si>
  <si>
    <t>Hines</t>
  </si>
  <si>
    <t xml:space="preserve">  Heidi</t>
  </si>
  <si>
    <t>Blanton</t>
  </si>
  <si>
    <t xml:space="preserve">  Diego J</t>
  </si>
  <si>
    <t>Bustamante</t>
  </si>
  <si>
    <t xml:space="preserve">  Enrique M Sr</t>
  </si>
  <si>
    <t>McCann</t>
  </si>
  <si>
    <t>Schmole</t>
  </si>
  <si>
    <t xml:space="preserve">  Filip</t>
  </si>
  <si>
    <t>Barber</t>
  </si>
  <si>
    <t xml:space="preserve">  Rosemary E</t>
  </si>
  <si>
    <t>Reichmann</t>
  </si>
  <si>
    <t>Cavatorta</t>
  </si>
  <si>
    <t>Yaeger</t>
  </si>
  <si>
    <t>Hughes</t>
  </si>
  <si>
    <t xml:space="preserve">  Jennifer R</t>
  </si>
  <si>
    <t>Donahue</t>
  </si>
  <si>
    <t xml:space="preserve">  Lauren E</t>
  </si>
  <si>
    <t>Greenwell</t>
  </si>
  <si>
    <t xml:space="preserve">  Ashley M</t>
  </si>
  <si>
    <t>Steele</t>
  </si>
  <si>
    <t xml:space="preserve">  Alison R</t>
  </si>
  <si>
    <t>Gunter</t>
  </si>
  <si>
    <t xml:space="preserve">  Madeleine</t>
  </si>
  <si>
    <t>McDonough</t>
  </si>
  <si>
    <t>Sweetland</t>
  </si>
  <si>
    <t xml:space="preserve">  Kimberly</t>
  </si>
  <si>
    <t>Hammersmith</t>
  </si>
  <si>
    <t>French</t>
  </si>
  <si>
    <t>Garbe</t>
  </si>
  <si>
    <t>Duncan</t>
  </si>
  <si>
    <t>Wallace</t>
  </si>
  <si>
    <t xml:space="preserve">  Jeremy J</t>
  </si>
  <si>
    <t>Tillman</t>
  </si>
  <si>
    <t xml:space="preserve">  Amy L</t>
  </si>
  <si>
    <t xml:space="preserve">  Karen L</t>
  </si>
  <si>
    <t>Taylor</t>
  </si>
  <si>
    <t xml:space="preserve">  Tennille</t>
  </si>
  <si>
    <t>McSween</t>
  </si>
  <si>
    <t>Schubert</t>
  </si>
  <si>
    <t>Lalanne</t>
  </si>
  <si>
    <t xml:space="preserve">  Justin E</t>
  </si>
  <si>
    <t xml:space="preserve">  Shalane</t>
  </si>
  <si>
    <t>Arellano</t>
  </si>
  <si>
    <t xml:space="preserve">  Jessica N</t>
  </si>
  <si>
    <t>Charette</t>
  </si>
  <si>
    <t xml:space="preserve">  Melanie</t>
  </si>
  <si>
    <t>Pena Reyes</t>
  </si>
  <si>
    <t xml:space="preserve">  Ruth Angelica</t>
  </si>
  <si>
    <t>Broderick</t>
  </si>
  <si>
    <t xml:space="preserve">  Una M</t>
  </si>
  <si>
    <t>Summers</t>
  </si>
  <si>
    <t xml:space="preserve">  Taralyn</t>
  </si>
  <si>
    <t xml:space="preserve">  James A</t>
  </si>
  <si>
    <t>Zhou</t>
  </si>
  <si>
    <t xml:space="preserve">  Ning</t>
  </si>
  <si>
    <t>Clarke-Ames</t>
  </si>
  <si>
    <t xml:space="preserve">  Joel</t>
  </si>
  <si>
    <t>Staton</t>
  </si>
  <si>
    <t>Forster</t>
  </si>
  <si>
    <t xml:space="preserve">  Brittney</t>
  </si>
  <si>
    <t>Monaghan</t>
  </si>
  <si>
    <t xml:space="preserve">  Sheila</t>
  </si>
  <si>
    <t>Kawamoto</t>
  </si>
  <si>
    <t xml:space="preserve">  Koji</t>
  </si>
  <si>
    <t>Dicharry</t>
  </si>
  <si>
    <t>Berry</t>
  </si>
  <si>
    <t xml:space="preserve">  Colleen M</t>
  </si>
  <si>
    <t>Porfirio</t>
  </si>
  <si>
    <t xml:space="preserve">  Deedra G</t>
  </si>
  <si>
    <t>Thind</t>
  </si>
  <si>
    <t xml:space="preserve">  Kulwinder</t>
  </si>
  <si>
    <t xml:space="preserve">  Ann M</t>
  </si>
  <si>
    <t>Horn</t>
  </si>
  <si>
    <t>Sabadosa</t>
  </si>
  <si>
    <t xml:space="preserve">  Apryl J</t>
  </si>
  <si>
    <t>Casady</t>
  </si>
  <si>
    <t xml:space="preserve">  Ilana</t>
  </si>
  <si>
    <t>Ahokas</t>
  </si>
  <si>
    <t>Hebert</t>
  </si>
  <si>
    <t xml:space="preserve">  Karl</t>
  </si>
  <si>
    <t>Fair</t>
  </si>
  <si>
    <t>Swenson</t>
  </si>
  <si>
    <t xml:space="preserve">  Will</t>
  </si>
  <si>
    <t>Revenis</t>
  </si>
  <si>
    <t xml:space="preserve">  Bradley D</t>
  </si>
  <si>
    <t>Engnes</t>
  </si>
  <si>
    <t xml:space="preserve">  Amy M</t>
  </si>
  <si>
    <t>Wiltse</t>
  </si>
  <si>
    <t xml:space="preserve">  Matthew W</t>
  </si>
  <si>
    <t>Fernandez</t>
  </si>
  <si>
    <t xml:space="preserve">  Tom</t>
  </si>
  <si>
    <t>Pinney</t>
  </si>
  <si>
    <t>Levy</t>
  </si>
  <si>
    <t xml:space="preserve">  Wayne A</t>
  </si>
  <si>
    <t>Takeda</t>
  </si>
  <si>
    <t xml:space="preserve">  Nobuyori</t>
  </si>
  <si>
    <t>Burke</t>
  </si>
  <si>
    <t xml:space="preserve">  Rich</t>
  </si>
  <si>
    <t>Duarte</t>
  </si>
  <si>
    <t xml:space="preserve">  Marcos S</t>
  </si>
  <si>
    <t>Nice</t>
  </si>
  <si>
    <t xml:space="preserve">  Andy</t>
  </si>
  <si>
    <t>Windler</t>
  </si>
  <si>
    <t>Jones</t>
  </si>
  <si>
    <t xml:space="preserve">  Marcus B</t>
  </si>
  <si>
    <t>Stevenson</t>
  </si>
  <si>
    <t xml:space="preserve">  Thomas K</t>
  </si>
  <si>
    <t>Humphrey</t>
  </si>
  <si>
    <t xml:space="preserve">  Geoff</t>
  </si>
  <si>
    <t>Payne</t>
  </si>
  <si>
    <t xml:space="preserve">  Chris J</t>
  </si>
  <si>
    <t>Hails</t>
  </si>
  <si>
    <t xml:space="preserve">  Kate A</t>
  </si>
  <si>
    <t>Proctor</t>
  </si>
  <si>
    <t xml:space="preserve">  Kelli</t>
  </si>
  <si>
    <t xml:space="preserve">  Maggie M</t>
  </si>
  <si>
    <t xml:space="preserve">  Michelle L</t>
  </si>
  <si>
    <t>Gresh</t>
  </si>
  <si>
    <t xml:space="preserve">  Ashley K</t>
  </si>
  <si>
    <t>Anis</t>
  </si>
  <si>
    <t>Swartz</t>
  </si>
  <si>
    <t xml:space="preserve">  Ryan K</t>
  </si>
  <si>
    <t>Schluneker</t>
  </si>
  <si>
    <t xml:space="preserve">  Matthew J</t>
  </si>
  <si>
    <t>Bellemare</t>
  </si>
  <si>
    <t>Vitalo</t>
  </si>
  <si>
    <t xml:space="preserve">  Antonia G</t>
  </si>
  <si>
    <t xml:space="preserve">  Casondra L</t>
  </si>
  <si>
    <t>Marshall</t>
  </si>
  <si>
    <t xml:space="preserve">  Wendy</t>
  </si>
  <si>
    <t>Pittaway</t>
  </si>
  <si>
    <t>Bill</t>
  </si>
  <si>
    <t xml:space="preserve">  Laura F</t>
  </si>
  <si>
    <t>Antrim</t>
  </si>
  <si>
    <t xml:space="preserve">  Amelia F</t>
  </si>
  <si>
    <t>Doolittle-Crider</t>
  </si>
  <si>
    <t>Ruhlman</t>
  </si>
  <si>
    <t xml:space="preserve">  Katie J</t>
  </si>
  <si>
    <t>Uchiyama</t>
  </si>
  <si>
    <t xml:space="preserve">  Mayumi</t>
  </si>
  <si>
    <t>Desota</t>
  </si>
  <si>
    <t xml:space="preserve">  Vanessa</t>
  </si>
  <si>
    <t>Edmonds</t>
  </si>
  <si>
    <t xml:space="preserve">  Natali N</t>
  </si>
  <si>
    <t>Otto</t>
  </si>
  <si>
    <t xml:space="preserve">  Beth</t>
  </si>
  <si>
    <t>Kurt</t>
  </si>
  <si>
    <t>Duhaime</t>
  </si>
  <si>
    <t>Swann</t>
  </si>
  <si>
    <t xml:space="preserve">  Andee W</t>
  </si>
  <si>
    <t>Burton</t>
  </si>
  <si>
    <t>Joslyn</t>
  </si>
  <si>
    <t xml:space="preserve">  C Fred</t>
  </si>
  <si>
    <t>Bennie</t>
  </si>
  <si>
    <t>Kanyane</t>
  </si>
  <si>
    <t xml:space="preserve">  Patrick Sr</t>
  </si>
  <si>
    <t>McFadden</t>
  </si>
  <si>
    <t xml:space="preserve">  Kelly M</t>
  </si>
  <si>
    <t>Connolly</t>
  </si>
  <si>
    <t>Merino</t>
  </si>
  <si>
    <t xml:space="preserve">  Keila L</t>
  </si>
  <si>
    <t>Baird</t>
  </si>
  <si>
    <t xml:space="preserve">  Zanae E</t>
  </si>
  <si>
    <t>Locatelli</t>
  </si>
  <si>
    <t>Brake</t>
  </si>
  <si>
    <t>Jacobs</t>
  </si>
  <si>
    <t xml:space="preserve">  Jason L</t>
  </si>
  <si>
    <t>Vaught</t>
  </si>
  <si>
    <t xml:space="preserve">  Benjamin J</t>
  </si>
  <si>
    <t>Monteleone</t>
  </si>
  <si>
    <t>Verdugo</t>
  </si>
  <si>
    <t xml:space="preserve">  Erika</t>
  </si>
  <si>
    <t>Sellers</t>
  </si>
  <si>
    <t xml:space="preserve">  Chad</t>
  </si>
  <si>
    <t>Bowman</t>
  </si>
  <si>
    <t>Marley</t>
  </si>
  <si>
    <t>Grey</t>
  </si>
  <si>
    <t xml:space="preserve">  Matthew R</t>
  </si>
  <si>
    <t>O'Rourke</t>
  </si>
  <si>
    <t xml:space="preserve">  Orla</t>
  </si>
  <si>
    <t>Fatehali</t>
  </si>
  <si>
    <t xml:space="preserve">  Shaista S</t>
  </si>
  <si>
    <t>Piza-Taylor</t>
  </si>
  <si>
    <t>Cavanaugh</t>
  </si>
  <si>
    <t xml:space="preserve">  Julie A</t>
  </si>
  <si>
    <t>Amako</t>
  </si>
  <si>
    <t xml:space="preserve">  Megumi</t>
  </si>
  <si>
    <t>Musa</t>
  </si>
  <si>
    <t xml:space="preserve">  Skylar</t>
  </si>
  <si>
    <t>Phillippi</t>
  </si>
  <si>
    <t>Hoskins</t>
  </si>
  <si>
    <t xml:space="preserve">  Amanda L</t>
  </si>
  <si>
    <t>Imbalzano Zegar</t>
  </si>
  <si>
    <t xml:space="preserve">  Renee</t>
  </si>
  <si>
    <t>Triedman</t>
  </si>
  <si>
    <t xml:space="preserve">  Nellie A</t>
  </si>
  <si>
    <t>Lovuolo</t>
  </si>
  <si>
    <t xml:space="preserve">  Tamara</t>
  </si>
  <si>
    <t>Chung</t>
  </si>
  <si>
    <t>Newsom</t>
  </si>
  <si>
    <t xml:space="preserve">  Aimee J</t>
  </si>
  <si>
    <t>Harrington</t>
  </si>
  <si>
    <t xml:space="preserve">  Suzanne</t>
  </si>
  <si>
    <t>Hoffman</t>
  </si>
  <si>
    <t xml:space="preserve">  Kristin A</t>
  </si>
  <si>
    <t>Van Vugt</t>
  </si>
  <si>
    <t xml:space="preserve">  Bronwyn</t>
  </si>
  <si>
    <t>Feehley</t>
  </si>
  <si>
    <t xml:space="preserve">  Taylor J</t>
  </si>
  <si>
    <t>Ashworth</t>
  </si>
  <si>
    <t xml:space="preserve">  Kimberly M</t>
  </si>
  <si>
    <t>Hansen</t>
  </si>
  <si>
    <t xml:space="preserve">  Joshua E</t>
  </si>
  <si>
    <t>Czyz</t>
  </si>
  <si>
    <t>Bauder</t>
  </si>
  <si>
    <t xml:space="preserve">  Andrew R</t>
  </si>
  <si>
    <t>Mendoza</t>
  </si>
  <si>
    <t xml:space="preserve">  Francisco J</t>
  </si>
  <si>
    <t>Glass</t>
  </si>
  <si>
    <t xml:space="preserve">  Rhonda</t>
  </si>
  <si>
    <t>Butcher</t>
  </si>
  <si>
    <t>Traiser</t>
  </si>
  <si>
    <t xml:space="preserve">  Miles J</t>
  </si>
  <si>
    <t>Mudy-Mader</t>
  </si>
  <si>
    <t xml:space="preserve">  Justyna I</t>
  </si>
  <si>
    <t xml:space="preserve">  Lucille</t>
  </si>
  <si>
    <t>Woo</t>
  </si>
  <si>
    <t xml:space="preserve">  April</t>
  </si>
  <si>
    <t xml:space="preserve">  Alyssa</t>
  </si>
  <si>
    <t>Sheppard</t>
  </si>
  <si>
    <t xml:space="preserve">  Jessica E</t>
  </si>
  <si>
    <t>Doran</t>
  </si>
  <si>
    <t>Labrosse</t>
  </si>
  <si>
    <t xml:space="preserve">  Emilie</t>
  </si>
  <si>
    <t>Thomas</t>
  </si>
  <si>
    <t xml:space="preserve">  Caitlin B</t>
  </si>
  <si>
    <t>Lesniak</t>
  </si>
  <si>
    <t xml:space="preserve">  Joseph W</t>
  </si>
  <si>
    <t>Prowse</t>
  </si>
  <si>
    <t>Seigel</t>
  </si>
  <si>
    <t xml:space="preserve">  Leah L</t>
  </si>
  <si>
    <t>Blas</t>
  </si>
  <si>
    <t xml:space="preserve">  Wayne L</t>
  </si>
  <si>
    <t>Simpson</t>
  </si>
  <si>
    <t>Gierman</t>
  </si>
  <si>
    <t xml:space="preserve">  Floris</t>
  </si>
  <si>
    <t>Jeuland</t>
  </si>
  <si>
    <t xml:space="preserve">  Marc</t>
  </si>
  <si>
    <t>Chorney</t>
  </si>
  <si>
    <t>Rook</t>
  </si>
  <si>
    <t xml:space="preserve">  Aharon N</t>
  </si>
  <si>
    <t>Chin</t>
  </si>
  <si>
    <t xml:space="preserve">  Lawrence D</t>
  </si>
  <si>
    <t xml:space="preserve">  Malcolm</t>
  </si>
  <si>
    <t>Savage</t>
  </si>
  <si>
    <t xml:space="preserve">  Anna E</t>
  </si>
  <si>
    <t>Hitchings</t>
  </si>
  <si>
    <t>Truitt</t>
  </si>
  <si>
    <t>Chang</t>
  </si>
  <si>
    <t xml:space="preserve">  Chia J</t>
  </si>
  <si>
    <t>Frey</t>
  </si>
  <si>
    <t xml:space="preserve">  Laura A</t>
  </si>
  <si>
    <t>Krishna</t>
  </si>
  <si>
    <t xml:space="preserve">  Aditi</t>
  </si>
  <si>
    <t>Maher</t>
  </si>
  <si>
    <t xml:space="preserve">  Leah A</t>
  </si>
  <si>
    <t>Boivin</t>
  </si>
  <si>
    <t xml:space="preserve">  Marianne</t>
  </si>
  <si>
    <t>McAlister</t>
  </si>
  <si>
    <t xml:space="preserve">  Carla</t>
  </si>
  <si>
    <t>Akhmedova</t>
  </si>
  <si>
    <t xml:space="preserve">  Oksana</t>
  </si>
  <si>
    <t>Tucker</t>
  </si>
  <si>
    <t>Gramelspacher</t>
  </si>
  <si>
    <t xml:space="preserve">  Maria A</t>
  </si>
  <si>
    <t>Goldsmith</t>
  </si>
  <si>
    <t xml:space="preserve">  Lisa M</t>
  </si>
  <si>
    <t>Tranter</t>
  </si>
  <si>
    <t xml:space="preserve">  Steve Jr</t>
  </si>
  <si>
    <t>Tu</t>
  </si>
  <si>
    <t>Kaczka</t>
  </si>
  <si>
    <t>Hunter</t>
  </si>
  <si>
    <t xml:space="preserve">  Dale</t>
  </si>
  <si>
    <t xml:space="preserve">  Brittany A</t>
  </si>
  <si>
    <t>Ashby</t>
  </si>
  <si>
    <t xml:space="preserve">  Robert S</t>
  </si>
  <si>
    <t>Ausen</t>
  </si>
  <si>
    <t xml:space="preserve">  Ulrike</t>
  </si>
  <si>
    <t>O'Leary</t>
  </si>
  <si>
    <t xml:space="preserve">  Katlyn A</t>
  </si>
  <si>
    <t>Scoville</t>
  </si>
  <si>
    <t xml:space="preserve">  Morgan B</t>
  </si>
  <si>
    <t>Kaus</t>
  </si>
  <si>
    <t>Rainey</t>
  </si>
  <si>
    <t xml:space="preserve">  Chandler</t>
  </si>
  <si>
    <t>Rasch</t>
  </si>
  <si>
    <t xml:space="preserve">  Silvana M</t>
  </si>
  <si>
    <t>Plunkett</t>
  </si>
  <si>
    <t xml:space="preserve">  Natty</t>
  </si>
  <si>
    <t xml:space="preserve">  Nicholas T</t>
  </si>
  <si>
    <t>Gusmer</t>
  </si>
  <si>
    <t>Loftus</t>
  </si>
  <si>
    <t xml:space="preserve">  Antony G</t>
  </si>
  <si>
    <t>Alvarez</t>
  </si>
  <si>
    <t>Petersson</t>
  </si>
  <si>
    <t>Liaw</t>
  </si>
  <si>
    <t>Tripaldi</t>
  </si>
  <si>
    <t xml:space="preserve">  Cassandra</t>
  </si>
  <si>
    <t xml:space="preserve">  Rosemary C</t>
  </si>
  <si>
    <t>Endara</t>
  </si>
  <si>
    <t xml:space="preserve">  Carrie A</t>
  </si>
  <si>
    <t>Valle</t>
  </si>
  <si>
    <t xml:space="preserve">  Gerardo Sr</t>
  </si>
  <si>
    <t>Germain</t>
  </si>
  <si>
    <t>Finecey</t>
  </si>
  <si>
    <t xml:space="preserve">  Meghan E</t>
  </si>
  <si>
    <t>Roe</t>
  </si>
  <si>
    <t xml:space="preserve">  Lisa B</t>
  </si>
  <si>
    <t>Webb</t>
  </si>
  <si>
    <t xml:space="preserve">  Jane R</t>
  </si>
  <si>
    <t>Stocker</t>
  </si>
  <si>
    <t>Jacobson</t>
  </si>
  <si>
    <t>Goodwin</t>
  </si>
  <si>
    <t xml:space="preserve">  Jillian A</t>
  </si>
  <si>
    <t>Brock</t>
  </si>
  <si>
    <t xml:space="preserve">  Laura D</t>
  </si>
  <si>
    <t>Papp</t>
  </si>
  <si>
    <t xml:space="preserve">  Megan E</t>
  </si>
  <si>
    <t>Siragusa</t>
  </si>
  <si>
    <t xml:space="preserve">  Shannon J</t>
  </si>
  <si>
    <t>Pizarro</t>
  </si>
  <si>
    <t xml:space="preserve">  Rachelle M</t>
  </si>
  <si>
    <t>Strange</t>
  </si>
  <si>
    <t>Eidinger</t>
  </si>
  <si>
    <t>Ginsburg</t>
  </si>
  <si>
    <t xml:space="preserve">  Brandon F</t>
  </si>
  <si>
    <t>Truex</t>
  </si>
  <si>
    <t>Higgins</t>
  </si>
  <si>
    <t xml:space="preserve">  Danielle N</t>
  </si>
  <si>
    <t>McCurdy</t>
  </si>
  <si>
    <t xml:space="preserve">  Bettina</t>
  </si>
  <si>
    <t>Varner</t>
  </si>
  <si>
    <t>Dahmen</t>
  </si>
  <si>
    <t xml:space="preserve">  Holli</t>
  </si>
  <si>
    <t xml:space="preserve">  Heather C</t>
  </si>
  <si>
    <t>Fraser</t>
  </si>
  <si>
    <t>Deeg</t>
  </si>
  <si>
    <t>Robertson</t>
  </si>
  <si>
    <t>Peck</t>
  </si>
  <si>
    <t xml:space="preserve">  Graham</t>
  </si>
  <si>
    <t>Burger</t>
  </si>
  <si>
    <t xml:space="preserve">  Garrett</t>
  </si>
  <si>
    <t>Blain</t>
  </si>
  <si>
    <t>Winters</t>
  </si>
  <si>
    <t xml:space="preserve">  Annabelle M</t>
  </si>
  <si>
    <t>McCue</t>
  </si>
  <si>
    <t xml:space="preserve">  Daniel T</t>
  </si>
  <si>
    <t>Webster</t>
  </si>
  <si>
    <t xml:space="preserve">  Deanne</t>
  </si>
  <si>
    <t>Chiappone</t>
  </si>
  <si>
    <t>Opie</t>
  </si>
  <si>
    <t xml:space="preserve">  Jasmine P</t>
  </si>
  <si>
    <t>Donnelly</t>
  </si>
  <si>
    <t>Rall</t>
  </si>
  <si>
    <t xml:space="preserve">  Tracie</t>
  </si>
  <si>
    <t xml:space="preserve">  Tristan D</t>
  </si>
  <si>
    <t>Chen</t>
  </si>
  <si>
    <t xml:space="preserve">  Peiweng</t>
  </si>
  <si>
    <t>Tufaro</t>
  </si>
  <si>
    <t xml:space="preserve">  Theresa M</t>
  </si>
  <si>
    <t xml:space="preserve">  Daniel J</t>
  </si>
  <si>
    <t>Susedik</t>
  </si>
  <si>
    <t xml:space="preserve">  Courtney M</t>
  </si>
  <si>
    <t xml:space="preserve">  Jose A</t>
  </si>
  <si>
    <t>Deady</t>
  </si>
  <si>
    <t xml:space="preserve">  Jonathon M</t>
  </si>
  <si>
    <t>Schaefer</t>
  </si>
  <si>
    <t xml:space="preserve">  Stephanie A</t>
  </si>
  <si>
    <t>D'Alessandro</t>
  </si>
  <si>
    <t>Wyss</t>
  </si>
  <si>
    <t xml:space="preserve">  Krista</t>
  </si>
  <si>
    <t>Rose</t>
  </si>
  <si>
    <t xml:space="preserve">  Jenessa</t>
  </si>
  <si>
    <t>Hopper</t>
  </si>
  <si>
    <t>Finneran</t>
  </si>
  <si>
    <t>Basham</t>
  </si>
  <si>
    <t xml:space="preserve">  Amanda N</t>
  </si>
  <si>
    <t xml:space="preserve">  Teresa P</t>
  </si>
  <si>
    <t>Oscal</t>
  </si>
  <si>
    <t xml:space="preserve">  Dorian</t>
  </si>
  <si>
    <t>Craft</t>
  </si>
  <si>
    <t>Kebede</t>
  </si>
  <si>
    <t xml:space="preserve">  Aberu</t>
  </si>
  <si>
    <t>Strobel</t>
  </si>
  <si>
    <t>Dalton</t>
  </si>
  <si>
    <t>Morimoto</t>
  </si>
  <si>
    <t xml:space="preserve">  Tania K</t>
  </si>
  <si>
    <t>Manlove</t>
  </si>
  <si>
    <t>Madzik</t>
  </si>
  <si>
    <t>Hobson</t>
  </si>
  <si>
    <t xml:space="preserve">  Valery L</t>
  </si>
  <si>
    <t>Reyes</t>
  </si>
  <si>
    <t xml:space="preserve">  Joanna G</t>
  </si>
  <si>
    <t>Tierney</t>
  </si>
  <si>
    <t xml:space="preserve">  Stefanie F</t>
  </si>
  <si>
    <t>Gabris</t>
  </si>
  <si>
    <t>Howard</t>
  </si>
  <si>
    <t xml:space="preserve">  Liza J</t>
  </si>
  <si>
    <t>Kallay</t>
  </si>
  <si>
    <t xml:space="preserve">  Ian M</t>
  </si>
  <si>
    <t>Leguizamo</t>
  </si>
  <si>
    <t xml:space="preserve">  Claudia L</t>
  </si>
  <si>
    <t>Escartin</t>
  </si>
  <si>
    <t xml:space="preserve">  Jessica M</t>
  </si>
  <si>
    <t>Chorey</t>
  </si>
  <si>
    <t xml:space="preserve">  Billy Jr</t>
  </si>
  <si>
    <t>McVay</t>
  </si>
  <si>
    <t>Vinson</t>
  </si>
  <si>
    <t xml:space="preserve">  Tim</t>
  </si>
  <si>
    <t>Astrike-Davis</t>
  </si>
  <si>
    <t xml:space="preserve">  Emma M</t>
  </si>
  <si>
    <t>Harder</t>
  </si>
  <si>
    <t>Bell</t>
  </si>
  <si>
    <t>Dawes</t>
  </si>
  <si>
    <t xml:space="preserve">  Bridget K</t>
  </si>
  <si>
    <t>Larios</t>
  </si>
  <si>
    <t xml:space="preserve">  Gabriel</t>
  </si>
  <si>
    <t>Yaremczuk</t>
  </si>
  <si>
    <t xml:space="preserve">  Natasha</t>
  </si>
  <si>
    <t xml:space="preserve">  Abby A</t>
  </si>
  <si>
    <t>Eversman</t>
  </si>
  <si>
    <t>Hickory</t>
  </si>
  <si>
    <t xml:space="preserve">  Mckendree</t>
  </si>
  <si>
    <t>Mooney</t>
  </si>
  <si>
    <t>Craighead</t>
  </si>
  <si>
    <t>Gardner</t>
  </si>
  <si>
    <t xml:space="preserve">  Joshua P</t>
  </si>
  <si>
    <t>Lohrenz</t>
  </si>
  <si>
    <t>Demise</t>
  </si>
  <si>
    <t xml:space="preserve">  Shure</t>
  </si>
  <si>
    <t>Guitard</t>
  </si>
  <si>
    <t xml:space="preserve">  Brenda</t>
  </si>
  <si>
    <t>Navas</t>
  </si>
  <si>
    <t xml:space="preserve">  Joseph M</t>
  </si>
  <si>
    <t>Ptucha</t>
  </si>
  <si>
    <t xml:space="preserve">  Stephen J</t>
  </si>
  <si>
    <t>Kirouac</t>
  </si>
  <si>
    <t xml:space="preserve">  Kathya</t>
  </si>
  <si>
    <t>Toews</t>
  </si>
  <si>
    <t xml:space="preserve">  Wesley</t>
  </si>
  <si>
    <t>Perry</t>
  </si>
  <si>
    <t>Kretz</t>
  </si>
  <si>
    <t xml:space="preserve">  Jamie L</t>
  </si>
  <si>
    <t>Hempel</t>
  </si>
  <si>
    <t xml:space="preserve">  Alexandra</t>
  </si>
  <si>
    <t>McBroom</t>
  </si>
  <si>
    <t>Yoo</t>
  </si>
  <si>
    <t xml:space="preserve">  Rebecca J</t>
  </si>
  <si>
    <t>Rand</t>
  </si>
  <si>
    <t xml:space="preserve">  Austin T</t>
  </si>
  <si>
    <t>Wolfe</t>
  </si>
  <si>
    <t xml:space="preserve">  Jamie T</t>
  </si>
  <si>
    <t>Vance</t>
  </si>
  <si>
    <t>Burnett</t>
  </si>
  <si>
    <t>Clason</t>
  </si>
  <si>
    <t xml:space="preserve">  Gillian</t>
  </si>
  <si>
    <t xml:space="preserve">  Brenn E</t>
  </si>
  <si>
    <t>Pietz</t>
  </si>
  <si>
    <t>Tegenkamp</t>
  </si>
  <si>
    <t>Dover</t>
  </si>
  <si>
    <t xml:space="preserve">  Thomas A</t>
  </si>
  <si>
    <t>Dockemeyer</t>
  </si>
  <si>
    <t xml:space="preserve">  Kevin J</t>
  </si>
  <si>
    <t xml:space="preserve">  William H</t>
  </si>
  <si>
    <t xml:space="preserve"> III</t>
  </si>
  <si>
    <t>Harel</t>
  </si>
  <si>
    <t xml:space="preserve">  Gal</t>
  </si>
  <si>
    <t>Aguila</t>
  </si>
  <si>
    <t xml:space="preserve">  Anton</t>
  </si>
  <si>
    <t>Vallejo Sarmiento</t>
  </si>
  <si>
    <t xml:space="preserve">  Yazmin</t>
  </si>
  <si>
    <t>Beisheim</t>
  </si>
  <si>
    <t xml:space="preserve">  Florian</t>
  </si>
  <si>
    <t>Lenhoff</t>
  </si>
  <si>
    <t>Wehrwein</t>
  </si>
  <si>
    <t xml:space="preserve">  Claire</t>
  </si>
  <si>
    <t>Markowitz</t>
  </si>
  <si>
    <t xml:space="preserve">  Lynn M</t>
  </si>
  <si>
    <t>Vos</t>
  </si>
  <si>
    <t>McLeod</t>
  </si>
  <si>
    <t xml:space="preserve">  Candice</t>
  </si>
  <si>
    <t>Balcom</t>
  </si>
  <si>
    <t xml:space="preserve">  Jennifer D</t>
  </si>
  <si>
    <t>Dirth</t>
  </si>
  <si>
    <t>Inglish</t>
  </si>
  <si>
    <t xml:space="preserve">  Devon R</t>
  </si>
  <si>
    <t>Massa-Musiak</t>
  </si>
  <si>
    <t xml:space="preserve">  Elena</t>
  </si>
  <si>
    <t>Bailey</t>
  </si>
  <si>
    <t>Jacoby</t>
  </si>
  <si>
    <t xml:space="preserve">  Bert</t>
  </si>
  <si>
    <t>Crimmings</t>
  </si>
  <si>
    <t xml:space="preserve">  John P</t>
  </si>
  <si>
    <t>Crane</t>
  </si>
  <si>
    <t>Swartzfager</t>
  </si>
  <si>
    <t xml:space="preserve">  Lisa K</t>
  </si>
  <si>
    <t>Clevenger</t>
  </si>
  <si>
    <t xml:space="preserve">  Kristine</t>
  </si>
  <si>
    <t>Reichardt</t>
  </si>
  <si>
    <t xml:space="preserve">  Paul A</t>
  </si>
  <si>
    <t>Morton</t>
  </si>
  <si>
    <t>Sunstrum</t>
  </si>
  <si>
    <t>Frownfelter</t>
  </si>
  <si>
    <t xml:space="preserve">  Milah B</t>
  </si>
  <si>
    <t>Richter</t>
  </si>
  <si>
    <t xml:space="preserve">  Annette M</t>
  </si>
  <si>
    <t>England</t>
  </si>
  <si>
    <t xml:space="preserve">  Yoko</t>
  </si>
  <si>
    <t>McLean</t>
  </si>
  <si>
    <t xml:space="preserve">  Laura</t>
  </si>
  <si>
    <t xml:space="preserve">  Tess A</t>
  </si>
  <si>
    <t>Lane</t>
  </si>
  <si>
    <t xml:space="preserve">  William G</t>
  </si>
  <si>
    <t>Vonachen</t>
  </si>
  <si>
    <t xml:space="preserve">  Paige</t>
  </si>
  <si>
    <t>Kidwell</t>
  </si>
  <si>
    <t>Betancourth</t>
  </si>
  <si>
    <t xml:space="preserve">  Maria</t>
  </si>
  <si>
    <t>Henstrom</t>
  </si>
  <si>
    <t xml:space="preserve">  Stephanie D</t>
  </si>
  <si>
    <t>Pereira</t>
  </si>
  <si>
    <t xml:space="preserve">  Sara M</t>
  </si>
  <si>
    <t>Brown</t>
  </si>
  <si>
    <t xml:space="preserve">  Scott A</t>
  </si>
  <si>
    <t>Reasoner</t>
  </si>
  <si>
    <t>Carver</t>
  </si>
  <si>
    <t xml:space="preserve">  Brian A</t>
  </si>
  <si>
    <t>Borror</t>
  </si>
  <si>
    <t xml:space="preserve">  Kaitlin R</t>
  </si>
  <si>
    <t>Saad</t>
  </si>
  <si>
    <t xml:space="preserve">  Mohammad</t>
  </si>
  <si>
    <t>Paul</t>
  </si>
  <si>
    <t>Trail</t>
  </si>
  <si>
    <t>Benton</t>
  </si>
  <si>
    <t xml:space="preserve">  Kelli M</t>
  </si>
  <si>
    <t>Bauman</t>
  </si>
  <si>
    <t xml:space="preserve">  Sheridan H</t>
  </si>
  <si>
    <t>Bakula</t>
  </si>
  <si>
    <t xml:space="preserve">  Sarah M</t>
  </si>
  <si>
    <t>Davis</t>
  </si>
  <si>
    <t xml:space="preserve">  Laura J</t>
  </si>
  <si>
    <t>Weiler</t>
  </si>
  <si>
    <t>Schaaf</t>
  </si>
  <si>
    <t xml:space="preserve">  Gisele</t>
  </si>
  <si>
    <t>Sack</t>
  </si>
  <si>
    <t xml:space="preserve">  Myra L</t>
  </si>
  <si>
    <t>Chenard</t>
  </si>
  <si>
    <t xml:space="preserve">  Melissa M</t>
  </si>
  <si>
    <t>Williamson</t>
  </si>
  <si>
    <t xml:space="preserve">  Eleanor F</t>
  </si>
  <si>
    <t>Dollas</t>
  </si>
  <si>
    <t>Sprague</t>
  </si>
  <si>
    <t xml:space="preserve">  Kenneth</t>
  </si>
  <si>
    <t>Michell</t>
  </si>
  <si>
    <t xml:space="preserve">  Robert G</t>
  </si>
  <si>
    <t>Datwyler</t>
  </si>
  <si>
    <t xml:space="preserve">  Thomas C</t>
  </si>
  <si>
    <t>Mead</t>
  </si>
  <si>
    <t>Kennedy</t>
  </si>
  <si>
    <t xml:space="preserve">  Mallory D</t>
  </si>
  <si>
    <t>Czech</t>
  </si>
  <si>
    <t>O'Brien</t>
  </si>
  <si>
    <t xml:space="preserve">  Jamie</t>
  </si>
  <si>
    <t>Bachman</t>
  </si>
  <si>
    <t xml:space="preserve">  Ariell</t>
  </si>
  <si>
    <t>Bednar</t>
  </si>
  <si>
    <t>Daye</t>
  </si>
  <si>
    <t>Clarke</t>
  </si>
  <si>
    <t xml:space="preserve">  Thomas B</t>
  </si>
  <si>
    <t>Koren</t>
  </si>
  <si>
    <t>Kuramoto</t>
  </si>
  <si>
    <t xml:space="preserve">  Rachelle L</t>
  </si>
  <si>
    <t>Lynn</t>
  </si>
  <si>
    <t xml:space="preserve">  Colleen</t>
  </si>
  <si>
    <t>Dierksen</t>
  </si>
  <si>
    <t xml:space="preserve">  Gregory A</t>
  </si>
  <si>
    <t>Zoeller</t>
  </si>
  <si>
    <t>Flesch</t>
  </si>
  <si>
    <t>Maltby</t>
  </si>
  <si>
    <t xml:space="preserve">  Sara</t>
  </si>
  <si>
    <t>Custance</t>
  </si>
  <si>
    <t xml:space="preserve">  Lucie J</t>
  </si>
  <si>
    <t>Choi</t>
  </si>
  <si>
    <t xml:space="preserve">  Elizabeth S</t>
  </si>
  <si>
    <t>Barnett</t>
  </si>
  <si>
    <t xml:space="preserve">  Carma S</t>
  </si>
  <si>
    <t>Proulx</t>
  </si>
  <si>
    <t>Lundine</t>
  </si>
  <si>
    <t>Paullin</t>
  </si>
  <si>
    <t>Delucia</t>
  </si>
  <si>
    <t xml:space="preserve">  Francesca</t>
  </si>
  <si>
    <t>Valentine</t>
  </si>
  <si>
    <t>Mohara</t>
  </si>
  <si>
    <t xml:space="preserve">  Toshiyuki</t>
  </si>
  <si>
    <t>Fairbrother</t>
  </si>
  <si>
    <t xml:space="preserve">  Tom L</t>
  </si>
  <si>
    <t>Fagan</t>
  </si>
  <si>
    <t>Toth</t>
  </si>
  <si>
    <t>Guinn</t>
  </si>
  <si>
    <t xml:space="preserve">  Julee</t>
  </si>
  <si>
    <t xml:space="preserve">  Christopher M</t>
  </si>
  <si>
    <t>Diviney</t>
  </si>
  <si>
    <t xml:space="preserve">  Ciaran</t>
  </si>
  <si>
    <t>Marlatt</t>
  </si>
  <si>
    <t>Ohler</t>
  </si>
  <si>
    <t xml:space="preserve">  Makie</t>
  </si>
  <si>
    <t>Mossler</t>
  </si>
  <si>
    <t xml:space="preserve">  Emily E</t>
  </si>
  <si>
    <t>Segall</t>
  </si>
  <si>
    <t xml:space="preserve">  Cary</t>
  </si>
  <si>
    <t>Sprieser</t>
  </si>
  <si>
    <t xml:space="preserve">  Steven</t>
  </si>
  <si>
    <t>Blanco</t>
  </si>
  <si>
    <t xml:space="preserve">  Jose Antonio Sr</t>
  </si>
  <si>
    <t>Sheptock</t>
  </si>
  <si>
    <t xml:space="preserve">  Tatiana</t>
  </si>
  <si>
    <t>Chruniak</t>
  </si>
  <si>
    <t xml:space="preserve">  Dan T</t>
  </si>
  <si>
    <t>Miller</t>
  </si>
  <si>
    <t xml:space="preserve">  Liisa A</t>
  </si>
  <si>
    <t>Theis</t>
  </si>
  <si>
    <t>Sadler</t>
  </si>
  <si>
    <t xml:space="preserve">  Maxwell</t>
  </si>
  <si>
    <t>Auger</t>
  </si>
  <si>
    <t xml:space="preserve">  Pascale</t>
  </si>
  <si>
    <t>Steadman</t>
  </si>
  <si>
    <t xml:space="preserve">  Becca</t>
  </si>
  <si>
    <t>McCarron</t>
  </si>
  <si>
    <t>Roecker</t>
  </si>
  <si>
    <t>Giumarra</t>
  </si>
  <si>
    <t xml:space="preserve">  Nicole R</t>
  </si>
  <si>
    <t xml:space="preserve">  David W</t>
  </si>
  <si>
    <t>Bower</t>
  </si>
  <si>
    <t xml:space="preserve">  Grant</t>
  </si>
  <si>
    <t xml:space="preserve">  Sophia</t>
  </si>
  <si>
    <t>Capriccioso</t>
  </si>
  <si>
    <t xml:space="preserve">  Christina</t>
  </si>
  <si>
    <t>Starbuck</t>
  </si>
  <si>
    <t xml:space="preserve">  Sam L</t>
  </si>
  <si>
    <t>McMahon</t>
  </si>
  <si>
    <t xml:space="preserve">  Haley R</t>
  </si>
  <si>
    <t>Rissell</t>
  </si>
  <si>
    <t xml:space="preserve">  Ethan</t>
  </si>
  <si>
    <t>Kromroy</t>
  </si>
  <si>
    <t xml:space="preserve">  Andrew W</t>
  </si>
  <si>
    <t>Manfredi</t>
  </si>
  <si>
    <t xml:space="preserve">  Mark G</t>
  </si>
  <si>
    <t>Manwaring</t>
  </si>
  <si>
    <t xml:space="preserve">  Kasey E</t>
  </si>
  <si>
    <t>Tomaszewski</t>
  </si>
  <si>
    <t>Gannon</t>
  </si>
  <si>
    <t>Frye</t>
  </si>
  <si>
    <t xml:space="preserve">  Kristin M</t>
  </si>
  <si>
    <t>Currier</t>
  </si>
  <si>
    <t xml:space="preserve">  Mary-Lynn B</t>
  </si>
  <si>
    <t>Whittendale</t>
  </si>
  <si>
    <t xml:space="preserve">  Jamie A</t>
  </si>
  <si>
    <t>Rixe</t>
  </si>
  <si>
    <t xml:space="preserve">  Jeffrey A</t>
  </si>
  <si>
    <t>Ballon-Landa</t>
  </si>
  <si>
    <t>Zaferos</t>
  </si>
  <si>
    <t xml:space="preserve">  Audrey</t>
  </si>
  <si>
    <t xml:space="preserve">  Jacob</t>
  </si>
  <si>
    <t>Evans Marke</t>
  </si>
  <si>
    <t xml:space="preserve">  Daniel S</t>
  </si>
  <si>
    <t>Samland</t>
  </si>
  <si>
    <t xml:space="preserve">  Marc C</t>
  </si>
  <si>
    <t>Shapiro</t>
  </si>
  <si>
    <t xml:space="preserve">  Mark S</t>
  </si>
  <si>
    <t>Snitzer</t>
  </si>
  <si>
    <t>Herra Arroyo</t>
  </si>
  <si>
    <t>Watters</t>
  </si>
  <si>
    <t>Steele-Belkin</t>
  </si>
  <si>
    <t xml:space="preserve">  Dara</t>
  </si>
  <si>
    <t>Christensen</t>
  </si>
  <si>
    <t xml:space="preserve">  Rachelle R</t>
  </si>
  <si>
    <t>Hodge</t>
  </si>
  <si>
    <t xml:space="preserve">  Brenda J</t>
  </si>
  <si>
    <t>Rusterholz</t>
  </si>
  <si>
    <t>Lafrance</t>
  </si>
  <si>
    <t xml:space="preserve">  Sylvain</t>
  </si>
  <si>
    <t>Hallis</t>
  </si>
  <si>
    <t>Salowitz</t>
  </si>
  <si>
    <t xml:space="preserve">  Kaitlin M</t>
  </si>
  <si>
    <t>Blake</t>
  </si>
  <si>
    <t xml:space="preserve">  William R</t>
  </si>
  <si>
    <t>Langerak</t>
  </si>
  <si>
    <t>Bonilla</t>
  </si>
  <si>
    <t xml:space="preserve">  Veronica</t>
  </si>
  <si>
    <t>Ciabattoni</t>
  </si>
  <si>
    <t xml:space="preserve">  Warren</t>
  </si>
  <si>
    <t>Escanero Palmer</t>
  </si>
  <si>
    <t xml:space="preserve">  Daniela</t>
  </si>
  <si>
    <t xml:space="preserve">  Deirdre A</t>
  </si>
  <si>
    <t>Osmark</t>
  </si>
  <si>
    <t xml:space="preserve">  Mathias</t>
  </si>
  <si>
    <t>Warwick</t>
  </si>
  <si>
    <t xml:space="preserve">  Kurt</t>
  </si>
  <si>
    <t>Magnuson</t>
  </si>
  <si>
    <t>Marsh</t>
  </si>
  <si>
    <t>Kari</t>
  </si>
  <si>
    <t>Standiford</t>
  </si>
  <si>
    <t xml:space="preserve">  Alex F</t>
  </si>
  <si>
    <t>Sherwin</t>
  </si>
  <si>
    <t xml:space="preserve">  Alice</t>
  </si>
  <si>
    <t>Blekeli</t>
  </si>
  <si>
    <t xml:space="preserve">  Johannes Fiskerstand</t>
  </si>
  <si>
    <t>Vangampleare</t>
  </si>
  <si>
    <t>Hiatt</t>
  </si>
  <si>
    <t xml:space="preserve">  Jon M</t>
  </si>
  <si>
    <t>Tadesse</t>
  </si>
  <si>
    <t xml:space="preserve">  Fasil</t>
  </si>
  <si>
    <t>Jaswell</t>
  </si>
  <si>
    <t>Phillips-Cook</t>
  </si>
  <si>
    <t xml:space="preserve">  Lisa J</t>
  </si>
  <si>
    <t xml:space="preserve">  Doron P</t>
  </si>
  <si>
    <t xml:space="preserve">  Katharina</t>
  </si>
  <si>
    <t>Desruisseaux</t>
  </si>
  <si>
    <t xml:space="preserve">  Carl</t>
  </si>
  <si>
    <t>Ripp</t>
  </si>
  <si>
    <t xml:space="preserve">  Kelsey J</t>
  </si>
  <si>
    <t>Harris</t>
  </si>
  <si>
    <t xml:space="preserve">  Stephen A</t>
  </si>
  <si>
    <t>Shafer</t>
  </si>
  <si>
    <t>Hemesath</t>
  </si>
  <si>
    <t xml:space="preserve">  Katie C</t>
  </si>
  <si>
    <t>Vinci</t>
  </si>
  <si>
    <t xml:space="preserve">  Melissa K</t>
  </si>
  <si>
    <t>Diamond-Husmann</t>
  </si>
  <si>
    <t xml:space="preserve">  Kara H</t>
  </si>
  <si>
    <t>Soto</t>
  </si>
  <si>
    <t xml:space="preserve">  Juan Carlos</t>
  </si>
  <si>
    <t xml:space="preserve">  John III</t>
  </si>
  <si>
    <t>Patrick</t>
  </si>
  <si>
    <t>Dacko</t>
  </si>
  <si>
    <t xml:space="preserve">  Kristin C</t>
  </si>
  <si>
    <t>Glassey</t>
  </si>
  <si>
    <t xml:space="preserve">  Casey M</t>
  </si>
  <si>
    <t>Frechette</t>
  </si>
  <si>
    <t>Benitez</t>
  </si>
  <si>
    <t xml:space="preserve">  Braulio</t>
  </si>
  <si>
    <t>Gauthier</t>
  </si>
  <si>
    <t xml:space="preserve">  Anne-Marie</t>
  </si>
  <si>
    <t>Fazioli</t>
  </si>
  <si>
    <t xml:space="preserve">  Samuel K</t>
  </si>
  <si>
    <t xml:space="preserve">  Yuki</t>
  </si>
  <si>
    <t>Dannenhauer</t>
  </si>
  <si>
    <t xml:space="preserve">  Rafer</t>
  </si>
  <si>
    <t>McComb</t>
  </si>
  <si>
    <t xml:space="preserve">  Erynn J</t>
  </si>
  <si>
    <t>Sambasivam</t>
  </si>
  <si>
    <t xml:space="preserve">  Mahesh</t>
  </si>
  <si>
    <t>Maina</t>
  </si>
  <si>
    <t xml:space="preserve">  Stanley</t>
  </si>
  <si>
    <t>Keshian</t>
  </si>
  <si>
    <t>Maas</t>
  </si>
  <si>
    <t>Sinasac</t>
  </si>
  <si>
    <t xml:space="preserve">  Rachel M</t>
  </si>
  <si>
    <t>Van De Kamp</t>
  </si>
  <si>
    <t xml:space="preserve">  Fritz</t>
  </si>
  <si>
    <t>Ruffo</t>
  </si>
  <si>
    <t>Long</t>
  </si>
  <si>
    <t xml:space="preserve">  Claire M</t>
  </si>
  <si>
    <t>Rohde</t>
  </si>
  <si>
    <t>Bonzi</t>
  </si>
  <si>
    <t xml:space="preserve">  Maria S</t>
  </si>
  <si>
    <t>Moore</t>
  </si>
  <si>
    <t xml:space="preserve">  Katherine E</t>
  </si>
  <si>
    <t>McGrane</t>
  </si>
  <si>
    <t>Stepnowski</t>
  </si>
  <si>
    <t xml:space="preserve">  Roxanne</t>
  </si>
  <si>
    <t>Merkle</t>
  </si>
  <si>
    <t xml:space="preserve">  Israel</t>
  </si>
  <si>
    <t xml:space="preserve">  Samalya</t>
  </si>
  <si>
    <t>Vigneron</t>
  </si>
  <si>
    <t>Mucci</t>
  </si>
  <si>
    <t xml:space="preserve">  Alicia</t>
  </si>
  <si>
    <t>MacDonald</t>
  </si>
  <si>
    <t xml:space="preserve">  Sarah K</t>
  </si>
  <si>
    <t>Deng</t>
  </si>
  <si>
    <t xml:space="preserve">  Guomin</t>
  </si>
  <si>
    <t>De Mata</t>
  </si>
  <si>
    <t xml:space="preserve">  Javier</t>
  </si>
  <si>
    <t>Strickland</t>
  </si>
  <si>
    <t>Cheney</t>
  </si>
  <si>
    <t xml:space="preserve">  Thomas S</t>
  </si>
  <si>
    <t>Godoy</t>
  </si>
  <si>
    <t xml:space="preserve">  Martha Patricia</t>
  </si>
  <si>
    <t>Rider</t>
  </si>
  <si>
    <t xml:space="preserve">  Jennifer V</t>
  </si>
  <si>
    <t xml:space="preserve">  Michael W</t>
  </si>
  <si>
    <t>Walters</t>
  </si>
  <si>
    <t xml:space="preserve">  Eddie C</t>
  </si>
  <si>
    <t>Leboeuf</t>
  </si>
  <si>
    <t xml:space="preserve">  Maxime M</t>
  </si>
  <si>
    <t>Scheibel</t>
  </si>
  <si>
    <t>Ritter</t>
  </si>
  <si>
    <t xml:space="preserve">  Justin M</t>
  </si>
  <si>
    <t>Pretot</t>
  </si>
  <si>
    <t xml:space="preserve">  Svetlana V</t>
  </si>
  <si>
    <t>Willsey</t>
  </si>
  <si>
    <t xml:space="preserve">  Jana L</t>
  </si>
  <si>
    <t>Roach</t>
  </si>
  <si>
    <t>Jacobsen</t>
  </si>
  <si>
    <t xml:space="preserve">  Torrey C III</t>
  </si>
  <si>
    <t>O'Hora</t>
  </si>
  <si>
    <t>Amato</t>
  </si>
  <si>
    <t>Wegner</t>
  </si>
  <si>
    <t xml:space="preserve">  Lana J</t>
  </si>
  <si>
    <t>Bokun</t>
  </si>
  <si>
    <t xml:space="preserve">  Rebecca E</t>
  </si>
  <si>
    <t>Ainsley</t>
  </si>
  <si>
    <t xml:space="preserve">  Katie M</t>
  </si>
  <si>
    <t xml:space="preserve">  Elizabeth A</t>
  </si>
  <si>
    <t>Overpeck</t>
  </si>
  <si>
    <t>Levine</t>
  </si>
  <si>
    <t xml:space="preserve">  Annie J</t>
  </si>
  <si>
    <t>Jean</t>
  </si>
  <si>
    <t xml:space="preserve">  Annie</t>
  </si>
  <si>
    <t>Wild</t>
  </si>
  <si>
    <t>Tabor</t>
  </si>
  <si>
    <t>Steffen</t>
  </si>
  <si>
    <t xml:space="preserve">  Amy T</t>
  </si>
  <si>
    <t>Tadich</t>
  </si>
  <si>
    <t xml:space="preserve">  Katarina D</t>
  </si>
  <si>
    <t>Christenson</t>
  </si>
  <si>
    <t xml:space="preserve">  B</t>
  </si>
  <si>
    <t>j</t>
  </si>
  <si>
    <t>Shell</t>
  </si>
  <si>
    <t xml:space="preserve">  Alison</t>
  </si>
  <si>
    <t>Rao</t>
  </si>
  <si>
    <t xml:space="preserve">  Neil K</t>
  </si>
  <si>
    <t xml:space="preserve">  Anne Hunter</t>
  </si>
  <si>
    <t xml:space="preserve">  Sandra</t>
  </si>
  <si>
    <t>Gomez</t>
  </si>
  <si>
    <t>Hemingway</t>
  </si>
  <si>
    <t xml:space="preserve">  Rodney</t>
  </si>
  <si>
    <t>Pett</t>
  </si>
  <si>
    <t xml:space="preserve">  Carl R</t>
  </si>
  <si>
    <t>Meingast</t>
  </si>
  <si>
    <t xml:space="preserve">  Maximilian</t>
  </si>
  <si>
    <t>McCarthy</t>
  </si>
  <si>
    <t>Boyle</t>
  </si>
  <si>
    <t>Gundersen</t>
  </si>
  <si>
    <t xml:space="preserve">  Eirik</t>
  </si>
  <si>
    <t>Wolswinkel</t>
  </si>
  <si>
    <t xml:space="preserve">  Rik</t>
  </si>
  <si>
    <t>Bomberger</t>
  </si>
  <si>
    <t>Lapierre</t>
  </si>
  <si>
    <t xml:space="preserve">  Yannick</t>
  </si>
  <si>
    <t>Beaty</t>
  </si>
  <si>
    <t xml:space="preserve">  Sean R</t>
  </si>
  <si>
    <t>Hammer</t>
  </si>
  <si>
    <t>Randolph</t>
  </si>
  <si>
    <t xml:space="preserve">  Sara A</t>
  </si>
  <si>
    <t>Masterson</t>
  </si>
  <si>
    <t>Friess</t>
  </si>
  <si>
    <t xml:space="preserve">  Thibaud</t>
  </si>
  <si>
    <t>Mantoni</t>
  </si>
  <si>
    <t>Bodeen</t>
  </si>
  <si>
    <t xml:space="preserve">  Gretchen K</t>
  </si>
  <si>
    <t>McPherson</t>
  </si>
  <si>
    <t xml:space="preserve">  Martina</t>
  </si>
  <si>
    <t>Palko</t>
  </si>
  <si>
    <t xml:space="preserve">  Dustin J</t>
  </si>
  <si>
    <t>Breathitt</t>
  </si>
  <si>
    <t>Evora</t>
  </si>
  <si>
    <t xml:space="preserve">  Daniel V</t>
  </si>
  <si>
    <t>Fischer</t>
  </si>
  <si>
    <t xml:space="preserve">  Saeger</t>
  </si>
  <si>
    <t>Deba</t>
  </si>
  <si>
    <t xml:space="preserve">  Buzunesh</t>
  </si>
  <si>
    <t>Leloup</t>
  </si>
  <si>
    <t xml:space="preserve">  Mirte</t>
  </si>
  <si>
    <t>Labare</t>
  </si>
  <si>
    <t>Arouca</t>
  </si>
  <si>
    <t xml:space="preserve">  Kerry A</t>
  </si>
  <si>
    <t>Reese</t>
  </si>
  <si>
    <t>McCloskey</t>
  </si>
  <si>
    <t>Tedsen</t>
  </si>
  <si>
    <t>Koehlinger</t>
  </si>
  <si>
    <t>Pielechaty</t>
  </si>
  <si>
    <t>Korhonen</t>
  </si>
  <si>
    <t xml:space="preserve">  Jonathan P</t>
  </si>
  <si>
    <t>Kehr</t>
  </si>
  <si>
    <t xml:space="preserve">  Gina</t>
  </si>
  <si>
    <t>Montagna</t>
  </si>
  <si>
    <t xml:space="preserve">  Dino</t>
  </si>
  <si>
    <t>M√ºller</t>
  </si>
  <si>
    <t xml:space="preserve">  Jan</t>
  </si>
  <si>
    <t xml:space="preserve">  Jonathan E</t>
  </si>
  <si>
    <t>Sidebottom</t>
  </si>
  <si>
    <t xml:space="preserve">  Mark A</t>
  </si>
  <si>
    <t>Morris</t>
  </si>
  <si>
    <t>Chaisson</t>
  </si>
  <si>
    <t xml:space="preserve">  Stan J</t>
  </si>
  <si>
    <t>Pigott</t>
  </si>
  <si>
    <t>Cochrane</t>
  </si>
  <si>
    <t xml:space="preserve">  Krysta</t>
  </si>
  <si>
    <t>Armitage</t>
  </si>
  <si>
    <t xml:space="preserve">  Natascia</t>
  </si>
  <si>
    <t>Shen</t>
  </si>
  <si>
    <t>O'Kelly</t>
  </si>
  <si>
    <t>Huff</t>
  </si>
  <si>
    <t xml:space="preserve">  Monica</t>
  </si>
  <si>
    <t>Dye</t>
  </si>
  <si>
    <t>Willard</t>
  </si>
  <si>
    <t xml:space="preserve">  Kelly C</t>
  </si>
  <si>
    <t>D'Addario</t>
  </si>
  <si>
    <t>Buchanan</t>
  </si>
  <si>
    <t xml:space="preserve">  James V</t>
  </si>
  <si>
    <t xml:space="preserve">  Angie</t>
  </si>
  <si>
    <t>Waterson</t>
  </si>
  <si>
    <t>Piras</t>
  </si>
  <si>
    <t xml:space="preserve">  Sabina</t>
  </si>
  <si>
    <t xml:space="preserve">  Amy C</t>
  </si>
  <si>
    <t xml:space="preserve">  Victoria U</t>
  </si>
  <si>
    <t>Landberg</t>
  </si>
  <si>
    <t xml:space="preserve">  Amelia B</t>
  </si>
  <si>
    <t>Flynn</t>
  </si>
  <si>
    <t xml:space="preserve">  Jackie J</t>
  </si>
  <si>
    <t>Bishop</t>
  </si>
  <si>
    <t>Devitt</t>
  </si>
  <si>
    <t xml:space="preserve">  Kerry</t>
  </si>
  <si>
    <t xml:space="preserve">  Cindy G</t>
  </si>
  <si>
    <t>Tramontano</t>
  </si>
  <si>
    <t xml:space="preserve">  Gennaro</t>
  </si>
  <si>
    <t>Davidson</t>
  </si>
  <si>
    <t xml:space="preserve">  Terry</t>
  </si>
  <si>
    <t>McGraw</t>
  </si>
  <si>
    <t xml:space="preserve">  Keara</t>
  </si>
  <si>
    <t>Fellure</t>
  </si>
  <si>
    <t>Sanford</t>
  </si>
  <si>
    <t xml:space="preserve">  Katena</t>
  </si>
  <si>
    <t>Wrenn</t>
  </si>
  <si>
    <t xml:space="preserve">  Bean K</t>
  </si>
  <si>
    <t>Lindsey</t>
  </si>
  <si>
    <t>Krueger</t>
  </si>
  <si>
    <t xml:space="preserve">  Jan-Patrick</t>
  </si>
  <si>
    <t>Babler</t>
  </si>
  <si>
    <t xml:space="preserve">  Jesse J</t>
  </si>
  <si>
    <t>Brezenski</t>
  </si>
  <si>
    <t xml:space="preserve">  Lindsey M</t>
  </si>
  <si>
    <t>Marschner</t>
  </si>
  <si>
    <t xml:space="preserve">  Marguerite K</t>
  </si>
  <si>
    <t xml:space="preserve">  Travis</t>
  </si>
  <si>
    <t>Montez</t>
  </si>
  <si>
    <t xml:space="preserve">  Ricky</t>
  </si>
  <si>
    <t xml:space="preserve">  Colleen L</t>
  </si>
  <si>
    <t>Hurt</t>
  </si>
  <si>
    <t xml:space="preserve">  Charlie A</t>
  </si>
  <si>
    <t>Garey</t>
  </si>
  <si>
    <t>Reddy</t>
  </si>
  <si>
    <t xml:space="preserve">  Lauren C</t>
  </si>
  <si>
    <t>Mueller</t>
  </si>
  <si>
    <t>Julia</t>
  </si>
  <si>
    <t>Uribe</t>
  </si>
  <si>
    <t xml:space="preserve">  Erik R</t>
  </si>
  <si>
    <t>Hand</t>
  </si>
  <si>
    <t>Mac-Thiong</t>
  </si>
  <si>
    <t xml:space="preserve">  Jean-Marc</t>
  </si>
  <si>
    <t xml:space="preserve">  Kerry L</t>
  </si>
  <si>
    <t>Steidl</t>
  </si>
  <si>
    <t xml:space="preserve">  Ulrich</t>
  </si>
  <si>
    <t xml:space="preserve">  Justin P</t>
  </si>
  <si>
    <t>Alderfer</t>
  </si>
  <si>
    <t xml:space="preserve">  Hannah E</t>
  </si>
  <si>
    <t>Ryland</t>
  </si>
  <si>
    <t>Bethea</t>
  </si>
  <si>
    <t xml:space="preserve">  Joseph P</t>
  </si>
  <si>
    <t>Blois</t>
  </si>
  <si>
    <t>Dayton</t>
  </si>
  <si>
    <t xml:space="preserve">  Gina M</t>
  </si>
  <si>
    <t>Cloud</t>
  </si>
  <si>
    <t xml:space="preserve">  Shantel C</t>
  </si>
  <si>
    <t>Betournay</t>
  </si>
  <si>
    <t>Temple</t>
  </si>
  <si>
    <t>Rollie</t>
  </si>
  <si>
    <t xml:space="preserve">  Jessica R</t>
  </si>
  <si>
    <t>Roybal</t>
  </si>
  <si>
    <t xml:space="preserve">  Robyn</t>
  </si>
  <si>
    <t>Turgeon</t>
  </si>
  <si>
    <t>Deingenis</t>
  </si>
  <si>
    <t xml:space="preserve">  Jessica F</t>
  </si>
  <si>
    <t>Gibbs</t>
  </si>
  <si>
    <t>Trom</t>
  </si>
  <si>
    <t>Sizer</t>
  </si>
  <si>
    <t xml:space="preserve">  Brooke E</t>
  </si>
  <si>
    <t>Ellison</t>
  </si>
  <si>
    <t xml:space="preserve">  Katelyn E</t>
  </si>
  <si>
    <t>Sulkowski</t>
  </si>
  <si>
    <t>Maringo</t>
  </si>
  <si>
    <t>Lattin</t>
  </si>
  <si>
    <t>Deblander</t>
  </si>
  <si>
    <t>O'Neill</t>
  </si>
  <si>
    <t xml:space="preserve">  Eoghan</t>
  </si>
  <si>
    <t xml:space="preserve">  Pamela W</t>
  </si>
  <si>
    <t>Stanek</t>
  </si>
  <si>
    <t xml:space="preserve">  Kassie</t>
  </si>
  <si>
    <t>Manning</t>
  </si>
  <si>
    <t>Barrera Munoz</t>
  </si>
  <si>
    <t xml:space="preserve">  Ruben Dario</t>
  </si>
  <si>
    <t>Schauwaers</t>
  </si>
  <si>
    <t>Hartman</t>
  </si>
  <si>
    <t xml:space="preserve">  Lindsay M</t>
  </si>
  <si>
    <t>Fire</t>
  </si>
  <si>
    <t>Waliaula</t>
  </si>
  <si>
    <t>Blackshear</t>
  </si>
  <si>
    <t xml:space="preserve">  Samuel H</t>
  </si>
  <si>
    <t>Nettik</t>
  </si>
  <si>
    <t xml:space="preserve">  Jenni</t>
  </si>
  <si>
    <t>Novales</t>
  </si>
  <si>
    <t xml:space="preserve">  Estuardo F</t>
  </si>
  <si>
    <t>Rosauer</t>
  </si>
  <si>
    <t xml:space="preserve">  Brett</t>
  </si>
  <si>
    <t>Ryder</t>
  </si>
  <si>
    <t xml:space="preserve">  Sharon E</t>
  </si>
  <si>
    <t>Larsen</t>
  </si>
  <si>
    <t xml:space="preserve">  Jacob W√¶ver</t>
  </si>
  <si>
    <t>Keate</t>
  </si>
  <si>
    <t xml:space="preserve">  Brooke S</t>
  </si>
  <si>
    <t>Starosciak</t>
  </si>
  <si>
    <t xml:space="preserve">  Kaye A</t>
  </si>
  <si>
    <t>Henderson</t>
  </si>
  <si>
    <t xml:space="preserve">  Daniel C</t>
  </si>
  <si>
    <t>Winkelman</t>
  </si>
  <si>
    <t xml:space="preserve">  Laurie A</t>
  </si>
  <si>
    <t>Monette</t>
  </si>
  <si>
    <t>Kramer</t>
  </si>
  <si>
    <t xml:space="preserve">  Shelby</t>
  </si>
  <si>
    <t>Goldstein</t>
  </si>
  <si>
    <t xml:space="preserve">  Leticia</t>
  </si>
  <si>
    <t>Barrett</t>
  </si>
  <si>
    <t xml:space="preserve">  John S</t>
  </si>
  <si>
    <t>Irwin</t>
  </si>
  <si>
    <t>Glenn</t>
  </si>
  <si>
    <t>O'Meara</t>
  </si>
  <si>
    <t>Budrow</t>
  </si>
  <si>
    <t xml:space="preserve">  Nelly S</t>
  </si>
  <si>
    <t xml:space="preserve">  Meredith S</t>
  </si>
  <si>
    <t>Douglas</t>
  </si>
  <si>
    <t>Tecklenburg</t>
  </si>
  <si>
    <t xml:space="preserve">  Katherine A</t>
  </si>
  <si>
    <t>Schenck</t>
  </si>
  <si>
    <t xml:space="preserve">  Steve</t>
  </si>
  <si>
    <t>Blendell</t>
  </si>
  <si>
    <t>Parodi</t>
  </si>
  <si>
    <t xml:space="preserve">  Katharine</t>
  </si>
  <si>
    <t>Morgan</t>
  </si>
  <si>
    <t xml:space="preserve">  Heather L</t>
  </si>
  <si>
    <t>Linden</t>
  </si>
  <si>
    <t xml:space="preserve">  Desiree</t>
  </si>
  <si>
    <t>Horning</t>
  </si>
  <si>
    <t xml:space="preserve">  Peter B</t>
  </si>
  <si>
    <t>Goode</t>
  </si>
  <si>
    <t>Doden</t>
  </si>
  <si>
    <t>Groff</t>
  </si>
  <si>
    <t xml:space="preserve">  Adam C</t>
  </si>
  <si>
    <t>Kuehler</t>
  </si>
  <si>
    <t xml:space="preserve">  Jon</t>
  </si>
  <si>
    <t xml:space="preserve">  Steven J</t>
  </si>
  <si>
    <t>Gibby</t>
  </si>
  <si>
    <t xml:space="preserve">  Jessica P</t>
  </si>
  <si>
    <t>Busa</t>
  </si>
  <si>
    <t>Moyo</t>
  </si>
  <si>
    <t xml:space="preserve">  Arturo H</t>
  </si>
  <si>
    <t xml:space="preserve">  Ketil</t>
  </si>
  <si>
    <t xml:space="preserve">  Christi</t>
  </si>
  <si>
    <t>Ash</t>
  </si>
  <si>
    <t>Do Prado</t>
  </si>
  <si>
    <t xml:space="preserve">  Edivaldo B</t>
  </si>
  <si>
    <t xml:space="preserve">  Eve</t>
  </si>
  <si>
    <t xml:space="preserve">  Devin</t>
  </si>
  <si>
    <t>Dever</t>
  </si>
  <si>
    <t xml:space="preserve">  Shaun R</t>
  </si>
  <si>
    <t>Horvath</t>
  </si>
  <si>
    <t xml:space="preserve">  Adrian</t>
  </si>
  <si>
    <t>Danner</t>
  </si>
  <si>
    <t>Weiss</t>
  </si>
  <si>
    <t xml:space="preserve">  Mallory</t>
  </si>
  <si>
    <t>D'Andrea</t>
  </si>
  <si>
    <t xml:space="preserve">  Shawn E</t>
  </si>
  <si>
    <t>Olesky</t>
  </si>
  <si>
    <t>Whitcraft</t>
  </si>
  <si>
    <t>Salazar</t>
  </si>
  <si>
    <t xml:space="preserve">  Johann A</t>
  </si>
  <si>
    <t>Todd</t>
  </si>
  <si>
    <t xml:space="preserve">  Robin M</t>
  </si>
  <si>
    <t>Pond</t>
  </si>
  <si>
    <t xml:space="preserve">  Kyle K</t>
  </si>
  <si>
    <t>Egan</t>
  </si>
  <si>
    <t>Bersani</t>
  </si>
  <si>
    <t xml:space="preserve">  Michael A</t>
  </si>
  <si>
    <t>Creech</t>
  </si>
  <si>
    <t xml:space="preserve">  Byron A</t>
  </si>
  <si>
    <t>Sudres</t>
  </si>
  <si>
    <t xml:space="preserve">  Carine A</t>
  </si>
  <si>
    <t>Couture</t>
  </si>
  <si>
    <t xml:space="preserve">  Lindsay A</t>
  </si>
  <si>
    <t>Patronick</t>
  </si>
  <si>
    <t xml:space="preserve">  Justin R</t>
  </si>
  <si>
    <t>Depasquale</t>
  </si>
  <si>
    <t>Lavergne</t>
  </si>
  <si>
    <t>Kawakami</t>
  </si>
  <si>
    <t xml:space="preserve">  Ayako N</t>
  </si>
  <si>
    <t>Gonsalves</t>
  </si>
  <si>
    <t xml:space="preserve">  Emilee</t>
  </si>
  <si>
    <t xml:space="preserve">  Stephen M</t>
  </si>
  <si>
    <t>Aure</t>
  </si>
  <si>
    <t xml:space="preserve">  Annemarie A</t>
  </si>
  <si>
    <t>Mattingly</t>
  </si>
  <si>
    <t xml:space="preserve">  Ashley R</t>
  </si>
  <si>
    <t>Stelpflug</t>
  </si>
  <si>
    <t xml:space="preserve">  Leslie A</t>
  </si>
  <si>
    <t>Sanchez Antognini</t>
  </si>
  <si>
    <t xml:space="preserve">  Mauricio J</t>
  </si>
  <si>
    <t>Condon</t>
  </si>
  <si>
    <t xml:space="preserve">  Kieran</t>
  </si>
  <si>
    <t>Magato</t>
  </si>
  <si>
    <t>Dombrowski</t>
  </si>
  <si>
    <t xml:space="preserve">  Zeke M</t>
  </si>
  <si>
    <t>Ohara</t>
  </si>
  <si>
    <t xml:space="preserve">  Chip</t>
  </si>
  <si>
    <t>Cifuentes Fetiva</t>
  </si>
  <si>
    <t xml:space="preserve">  Miguel Angel Sr</t>
  </si>
  <si>
    <t>Keno</t>
  </si>
  <si>
    <t>Bruce</t>
  </si>
  <si>
    <t xml:space="preserve">  Meghan</t>
  </si>
  <si>
    <t>Lorch</t>
  </si>
  <si>
    <t>Sullivan</t>
  </si>
  <si>
    <t xml:space="preserve">  Millicent M</t>
  </si>
  <si>
    <t>Cave</t>
  </si>
  <si>
    <t>Gudenkauf</t>
  </si>
  <si>
    <t xml:space="preserve">  Kimberly K</t>
  </si>
  <si>
    <t xml:space="preserve">  Justin C</t>
  </si>
  <si>
    <t>Holley</t>
  </si>
  <si>
    <t xml:space="preserve">  Tristan P</t>
  </si>
  <si>
    <t>Kemble</t>
  </si>
  <si>
    <t xml:space="preserve">  Traci A</t>
  </si>
  <si>
    <t>Bentley</t>
  </si>
  <si>
    <t xml:space="preserve">  Logan M</t>
  </si>
  <si>
    <t>Bellucci</t>
  </si>
  <si>
    <t xml:space="preserve">  Tiffany A</t>
  </si>
  <si>
    <t>Collins</t>
  </si>
  <si>
    <t>Gillman</t>
  </si>
  <si>
    <t xml:space="preserve">  Luke</t>
  </si>
  <si>
    <t>West</t>
  </si>
  <si>
    <t xml:space="preserve">  Leigh</t>
  </si>
  <si>
    <t>Chida</t>
  </si>
  <si>
    <t xml:space="preserve">  Yosuke</t>
  </si>
  <si>
    <t>Reisenauer</t>
  </si>
  <si>
    <t>Rosenberg-Wohl</t>
  </si>
  <si>
    <t>Theriault</t>
  </si>
  <si>
    <t xml:space="preserve">  Jodi</t>
  </si>
  <si>
    <t>Manuel</t>
  </si>
  <si>
    <t>Demko</t>
  </si>
  <si>
    <t xml:space="preserve">  Misti C</t>
  </si>
  <si>
    <t>Battaglia</t>
  </si>
  <si>
    <t xml:space="preserve">  Angela J</t>
  </si>
  <si>
    <t>Follo</t>
  </si>
  <si>
    <t xml:space="preserve">  Jonathan D</t>
  </si>
  <si>
    <t>Barana</t>
  </si>
  <si>
    <t>Lysaght</t>
  </si>
  <si>
    <t xml:space="preserve">  Adrian R</t>
  </si>
  <si>
    <t>Chalmers</t>
  </si>
  <si>
    <t>MacPherson</t>
  </si>
  <si>
    <t xml:space="preserve">  Rachel</t>
  </si>
  <si>
    <t>Delfidio</t>
  </si>
  <si>
    <t xml:space="preserve">  Susan</t>
  </si>
  <si>
    <t>Cummings</t>
  </si>
  <si>
    <t xml:space="preserve">  Cameron M</t>
  </si>
  <si>
    <t>Schroegel</t>
  </si>
  <si>
    <t xml:space="preserve">  Claudia A</t>
  </si>
  <si>
    <t>Casey</t>
  </si>
  <si>
    <t xml:space="preserve">  Nicole M</t>
  </si>
  <si>
    <t>Randall</t>
  </si>
  <si>
    <t xml:space="preserve">  Jack</t>
  </si>
  <si>
    <t>Doyon</t>
  </si>
  <si>
    <t>Sankey</t>
  </si>
  <si>
    <t>Stilgenbauer</t>
  </si>
  <si>
    <t>Jaskiewicz</t>
  </si>
  <si>
    <t>Deppen</t>
  </si>
  <si>
    <t xml:space="preserve">  Jackie K</t>
  </si>
  <si>
    <t>Hine</t>
  </si>
  <si>
    <t>Mathews</t>
  </si>
  <si>
    <t xml:space="preserve">  Tyler C</t>
  </si>
  <si>
    <t>Yabu</t>
  </si>
  <si>
    <t xml:space="preserve">  Yoshie</t>
  </si>
  <si>
    <t>Strang</t>
  </si>
  <si>
    <t xml:space="preserve">  Lauren A</t>
  </si>
  <si>
    <t>Frank</t>
  </si>
  <si>
    <t xml:space="preserve">  Mason D</t>
  </si>
  <si>
    <t>Shanley</t>
  </si>
  <si>
    <t>Mancebo Garcia</t>
  </si>
  <si>
    <t xml:space="preserve">  Arturo</t>
  </si>
  <si>
    <t>Keehan</t>
  </si>
  <si>
    <t xml:space="preserve">  Jake</t>
  </si>
  <si>
    <t>Mahaney</t>
  </si>
  <si>
    <t>Nolan</t>
  </si>
  <si>
    <t xml:space="preserve">  Alison L</t>
  </si>
  <si>
    <t>Sobrino</t>
  </si>
  <si>
    <t xml:space="preserve">  Karen A</t>
  </si>
  <si>
    <t>Gennaro</t>
  </si>
  <si>
    <t xml:space="preserve">  Thomas R</t>
  </si>
  <si>
    <t>Mayer</t>
  </si>
  <si>
    <t>Becker</t>
  </si>
  <si>
    <t xml:space="preserve">  Ezra</t>
  </si>
  <si>
    <t>Platt</t>
  </si>
  <si>
    <t xml:space="preserve">  Ari L</t>
  </si>
  <si>
    <t>Brodeur</t>
  </si>
  <si>
    <t xml:space="preserve">  Fanny</t>
  </si>
  <si>
    <t>Knight Pech</t>
  </si>
  <si>
    <t>Jubinski</t>
  </si>
  <si>
    <t xml:space="preserve">  Catherine A</t>
  </si>
  <si>
    <t>Wall</t>
  </si>
  <si>
    <t>McKay</t>
  </si>
  <si>
    <t xml:space="preserve">  Janel N</t>
  </si>
  <si>
    <t>Oh</t>
  </si>
  <si>
    <t xml:space="preserve">  Yann Kai</t>
  </si>
  <si>
    <t>Kessell</t>
  </si>
  <si>
    <t xml:space="preserve">  Zachary R</t>
  </si>
  <si>
    <t>Hidalgo Zambrano</t>
  </si>
  <si>
    <t xml:space="preserve">  Alejandro Sr</t>
  </si>
  <si>
    <t>Caprario</t>
  </si>
  <si>
    <t xml:space="preserve">  Nicholas R</t>
  </si>
  <si>
    <t xml:space="preserve">  Michael D</t>
  </si>
  <si>
    <t>Wong</t>
  </si>
  <si>
    <t xml:space="preserve">  Marina</t>
  </si>
  <si>
    <t>Lea</t>
  </si>
  <si>
    <t xml:space="preserve">  Ross P</t>
  </si>
  <si>
    <t>Quigley</t>
  </si>
  <si>
    <t xml:space="preserve">  Aoife</t>
  </si>
  <si>
    <t>Korir</t>
  </si>
  <si>
    <t>Downs</t>
  </si>
  <si>
    <t xml:space="preserve">  Barry P</t>
  </si>
  <si>
    <t>Zywek</t>
  </si>
  <si>
    <t xml:space="preserve">  Maciej</t>
  </si>
  <si>
    <t>Faulkner</t>
  </si>
  <si>
    <t xml:space="preserve">  Jerry D</t>
  </si>
  <si>
    <t>Erspamer</t>
  </si>
  <si>
    <t xml:space="preserve">  Cathi</t>
  </si>
  <si>
    <t>Addison</t>
  </si>
  <si>
    <t xml:space="preserve">  Alex M</t>
  </si>
  <si>
    <t>Wu</t>
  </si>
  <si>
    <t xml:space="preserve">  Liang</t>
  </si>
  <si>
    <t xml:space="preserve">  Lexy</t>
  </si>
  <si>
    <t>Bosl</t>
  </si>
  <si>
    <t>Goldberg</t>
  </si>
  <si>
    <t xml:space="preserve">  Samuel L</t>
  </si>
  <si>
    <t xml:space="preserve">  Spencer A</t>
  </si>
  <si>
    <t>Johnston</t>
  </si>
  <si>
    <t xml:space="preserve">  Rochelle</t>
  </si>
  <si>
    <t>Keating</t>
  </si>
  <si>
    <t xml:space="preserve">  Paula</t>
  </si>
  <si>
    <t>Duhon</t>
  </si>
  <si>
    <t xml:space="preserve">  Madeline E</t>
  </si>
  <si>
    <t>Briseno</t>
  </si>
  <si>
    <t xml:space="preserve">  Maria Isabel</t>
  </si>
  <si>
    <t>Besse</t>
  </si>
  <si>
    <t xml:space="preserve">  Arthur M</t>
  </si>
  <si>
    <t>Shillings</t>
  </si>
  <si>
    <t xml:space="preserve">  Joseph R</t>
  </si>
  <si>
    <t>Tate</t>
  </si>
  <si>
    <t xml:space="preserve">  Sachiko</t>
  </si>
  <si>
    <t>Hengoed</t>
  </si>
  <si>
    <t>Aller</t>
  </si>
  <si>
    <t>Pisano</t>
  </si>
  <si>
    <t>Sanca</t>
  </si>
  <si>
    <t xml:space="preserve">  Ruben</t>
  </si>
  <si>
    <t>Bond</t>
  </si>
  <si>
    <t>Carron</t>
  </si>
  <si>
    <t>Ellwanger</t>
  </si>
  <si>
    <t xml:space="preserve">  Chatham</t>
  </si>
  <si>
    <t>Hanson</t>
  </si>
  <si>
    <t xml:space="preserve">  Derek</t>
  </si>
  <si>
    <t xml:space="preserve">  Kalvin J</t>
  </si>
  <si>
    <t>Counts</t>
  </si>
  <si>
    <t>Carson</t>
  </si>
  <si>
    <t xml:space="preserve">  Barbara G</t>
  </si>
  <si>
    <t>Haines</t>
  </si>
  <si>
    <t>Schnabel</t>
  </si>
  <si>
    <t xml:space="preserve">  Sunny S</t>
  </si>
  <si>
    <t>Simon</t>
  </si>
  <si>
    <t>Arciniaga</t>
  </si>
  <si>
    <t>Lizak</t>
  </si>
  <si>
    <t xml:space="preserve">  Marisa A</t>
  </si>
  <si>
    <t>Howery</t>
  </si>
  <si>
    <t>Crain</t>
  </si>
  <si>
    <t>Hotze</t>
  </si>
  <si>
    <t xml:space="preserve">  Jenna M</t>
  </si>
  <si>
    <t>Chauhan</t>
  </si>
  <si>
    <t>Raab</t>
  </si>
  <si>
    <t xml:space="preserve">  Lyazid</t>
  </si>
  <si>
    <t>McKown</t>
  </si>
  <si>
    <t xml:space="preserve">  Lindsey A</t>
  </si>
  <si>
    <t>Schiemann</t>
  </si>
  <si>
    <t>Cress</t>
  </si>
  <si>
    <t>Mawson</t>
  </si>
  <si>
    <t xml:space="preserve">  Leif S</t>
  </si>
  <si>
    <t>Wigginton</t>
  </si>
  <si>
    <t xml:space="preserve">  Bo</t>
  </si>
  <si>
    <t>Schroeder</t>
  </si>
  <si>
    <t xml:space="preserve">  Leah</t>
  </si>
  <si>
    <t>Leonard</t>
  </si>
  <si>
    <t xml:space="preserve">  Kara Lynne</t>
  </si>
  <si>
    <t>Tissue</t>
  </si>
  <si>
    <t>Wood</t>
  </si>
  <si>
    <t>Denny</t>
  </si>
  <si>
    <t>Testa</t>
  </si>
  <si>
    <t xml:space="preserve">  Allie</t>
  </si>
  <si>
    <t>Buchholtz</t>
  </si>
  <si>
    <t xml:space="preserve">  Trasi</t>
  </si>
  <si>
    <t>Hoyt</t>
  </si>
  <si>
    <t>Cabada</t>
  </si>
  <si>
    <t xml:space="preserve">  Fernando</t>
  </si>
  <si>
    <t>Lobaciute</t>
  </si>
  <si>
    <t xml:space="preserve">  Ieva</t>
  </si>
  <si>
    <t xml:space="preserve">  Drew L</t>
  </si>
  <si>
    <t>Oberndorfer</t>
  </si>
  <si>
    <t>Hetherington</t>
  </si>
  <si>
    <t xml:space="preserve">  Alexander G</t>
  </si>
  <si>
    <t>Murray</t>
  </si>
  <si>
    <t xml:space="preserve">  Meaghan</t>
  </si>
  <si>
    <t>Higden</t>
  </si>
  <si>
    <t>Rediger</t>
  </si>
  <si>
    <t xml:space="preserve">  Andrea K</t>
  </si>
  <si>
    <t xml:space="preserve">  Kris</t>
  </si>
  <si>
    <t xml:space="preserve">  Alden W</t>
  </si>
  <si>
    <t>Grise</t>
  </si>
  <si>
    <t xml:space="preserve">  Suzanne M</t>
  </si>
  <si>
    <t>Skildum</t>
  </si>
  <si>
    <t xml:space="preserve">  Heidi Z</t>
  </si>
  <si>
    <t>Fischer-Daly</t>
  </si>
  <si>
    <t xml:space="preserve">  Fan</t>
  </si>
  <si>
    <t>Rudder</t>
  </si>
  <si>
    <t>Cartmell</t>
  </si>
  <si>
    <t>Troland</t>
  </si>
  <si>
    <t>Berg</t>
  </si>
  <si>
    <t>Engtrakul</t>
  </si>
  <si>
    <t xml:space="preserve">  Chaiwat</t>
  </si>
  <si>
    <t>Leonhardt</t>
  </si>
  <si>
    <t xml:space="preserve">  Kerri</t>
  </si>
  <si>
    <t>Goetz</t>
  </si>
  <si>
    <t>Cacharelis</t>
  </si>
  <si>
    <t xml:space="preserve">  Nicholas G</t>
  </si>
  <si>
    <t>Kariolis</t>
  </si>
  <si>
    <t xml:space="preserve">  Vasilis S</t>
  </si>
  <si>
    <t>Zelwin</t>
  </si>
  <si>
    <t xml:space="preserve">  Colleen C</t>
  </si>
  <si>
    <t>Bannon</t>
  </si>
  <si>
    <t xml:space="preserve">  Annika</t>
  </si>
  <si>
    <t>Vetter</t>
  </si>
  <si>
    <t xml:space="preserve">  Nicholas C</t>
  </si>
  <si>
    <t>Jablonski</t>
  </si>
  <si>
    <t xml:space="preserve">  Kelly K</t>
  </si>
  <si>
    <t>Jakubowitch</t>
  </si>
  <si>
    <t>Altshuler</t>
  </si>
  <si>
    <t xml:space="preserve">  Hannah</t>
  </si>
  <si>
    <t>Ugarte</t>
  </si>
  <si>
    <t xml:space="preserve">  Patricio Sr</t>
  </si>
  <si>
    <t>Tusso</t>
  </si>
  <si>
    <t xml:space="preserve">  Robert B</t>
  </si>
  <si>
    <t xml:space="preserve">  Benjamin M</t>
  </si>
  <si>
    <t>Landry</t>
  </si>
  <si>
    <t>McDonald</t>
  </si>
  <si>
    <t xml:space="preserve">  Eric R</t>
  </si>
  <si>
    <t>Larue</t>
  </si>
  <si>
    <t xml:space="preserve">  Bob R</t>
  </si>
  <si>
    <t xml:space="preserve">  Stephanie J</t>
  </si>
  <si>
    <t>Marcus</t>
  </si>
  <si>
    <t>Daubert</t>
  </si>
  <si>
    <t>Close</t>
  </si>
  <si>
    <t>Roels</t>
  </si>
  <si>
    <t xml:space="preserve">  Guillaume</t>
  </si>
  <si>
    <t>Venosky</t>
  </si>
  <si>
    <t xml:space="preserve">  Kaylee</t>
  </si>
  <si>
    <t>Gosnell</t>
  </si>
  <si>
    <t xml:space="preserve">  Theresa</t>
  </si>
  <si>
    <t>Chewning-Kulick</t>
  </si>
  <si>
    <t xml:space="preserve">  Travis G</t>
  </si>
  <si>
    <t xml:space="preserve">  Emma L</t>
  </si>
  <si>
    <t>Manion</t>
  </si>
  <si>
    <t xml:space="preserve">  Linda</t>
  </si>
  <si>
    <t xml:space="preserve">  Owen R</t>
  </si>
  <si>
    <t>Leblanc</t>
  </si>
  <si>
    <t xml:space="preserve">  Jacqueline</t>
  </si>
  <si>
    <t xml:space="preserve">  Yefeng</t>
  </si>
  <si>
    <t>Goldsby</t>
  </si>
  <si>
    <t xml:space="preserve">  Ken</t>
  </si>
  <si>
    <t>Mahoney</t>
  </si>
  <si>
    <t xml:space="preserve">  Annie E</t>
  </si>
  <si>
    <t>McCracken</t>
  </si>
  <si>
    <t xml:space="preserve">  Noel K</t>
  </si>
  <si>
    <t>Spewak</t>
  </si>
  <si>
    <t>Cottini</t>
  </si>
  <si>
    <t xml:space="preserve">  Federica</t>
  </si>
  <si>
    <t>Findlay</t>
  </si>
  <si>
    <t xml:space="preserve">  Pamela L</t>
  </si>
  <si>
    <t>Strasburg</t>
  </si>
  <si>
    <t xml:space="preserve">  Randall</t>
  </si>
  <si>
    <t>Deeter</t>
  </si>
  <si>
    <t>Arpin</t>
  </si>
  <si>
    <t xml:space="preserve">  Azelie</t>
  </si>
  <si>
    <t>Schoeneck</t>
  </si>
  <si>
    <t xml:space="preserve">  Monica M</t>
  </si>
  <si>
    <t xml:space="preserve">  Katarina K</t>
  </si>
  <si>
    <t>Willits</t>
  </si>
  <si>
    <t>Syring</t>
  </si>
  <si>
    <t>Strike</t>
  </si>
  <si>
    <t xml:space="preserve">  Stacey L</t>
  </si>
  <si>
    <t>Hennigar</t>
  </si>
  <si>
    <t>May</t>
  </si>
  <si>
    <t>Metcalf</t>
  </si>
  <si>
    <t>Tiska</t>
  </si>
  <si>
    <t xml:space="preserve">  James C</t>
  </si>
  <si>
    <t>Fairley</t>
  </si>
  <si>
    <t xml:space="preserve">  Kim</t>
  </si>
  <si>
    <t>Piasta</t>
  </si>
  <si>
    <t xml:space="preserve">  Dariusz</t>
  </si>
  <si>
    <t>Olsen</t>
  </si>
  <si>
    <t xml:space="preserve">  Kristen</t>
  </si>
  <si>
    <t>De Jesus</t>
  </si>
  <si>
    <t xml:space="preserve">  Jose Guadalupe P</t>
  </si>
  <si>
    <t>Bartus</t>
  </si>
  <si>
    <t>Stevens</t>
  </si>
  <si>
    <t>Rich</t>
  </si>
  <si>
    <t xml:space="preserve">  Holly J</t>
  </si>
  <si>
    <t>Fayter</t>
  </si>
  <si>
    <t>Parise</t>
  </si>
  <si>
    <t>Andrew</t>
  </si>
  <si>
    <t xml:space="preserve">  Tricity M</t>
  </si>
  <si>
    <t>Gryniewicz</t>
  </si>
  <si>
    <t xml:space="preserve">  Sarah A</t>
  </si>
  <si>
    <t>Panora</t>
  </si>
  <si>
    <t xml:space="preserve">  Tracy A</t>
  </si>
  <si>
    <t>Lambe</t>
  </si>
  <si>
    <t>Casto</t>
  </si>
  <si>
    <t xml:space="preserve">  Trent</t>
  </si>
  <si>
    <t>Martelli</t>
  </si>
  <si>
    <t xml:space="preserve">  Julie</t>
  </si>
  <si>
    <t>Naskret</t>
  </si>
  <si>
    <t xml:space="preserve">  Sawomir</t>
  </si>
  <si>
    <t xml:space="preserve">  Micah</t>
  </si>
  <si>
    <t>Maloney</t>
  </si>
  <si>
    <t xml:space="preserve">  Kelly H</t>
  </si>
  <si>
    <t>Amherst</t>
  </si>
  <si>
    <t xml:space="preserve">  Austen G</t>
  </si>
  <si>
    <t>Johansen</t>
  </si>
  <si>
    <t xml:space="preserve">  Tory J</t>
  </si>
  <si>
    <t xml:space="preserve">  Robert J</t>
  </si>
  <si>
    <t xml:space="preserve">  Steph</t>
  </si>
  <si>
    <t>Chandler</t>
  </si>
  <si>
    <t>Kaufmann</t>
  </si>
  <si>
    <t xml:space="preserve">  Kristina</t>
  </si>
  <si>
    <t>Barnes-Zurkinden</t>
  </si>
  <si>
    <t xml:space="preserve">  Flo</t>
  </si>
  <si>
    <t>Wolter</t>
  </si>
  <si>
    <t xml:space="preserve">  Sarah P</t>
  </si>
  <si>
    <t>Pearson</t>
  </si>
  <si>
    <t xml:space="preserve">  Anabel</t>
  </si>
  <si>
    <t xml:space="preserve">  Ian</t>
  </si>
  <si>
    <t>Leon</t>
  </si>
  <si>
    <t>Marriott</t>
  </si>
  <si>
    <t xml:space="preserve">  Richard J</t>
  </si>
  <si>
    <t>Wilkins</t>
  </si>
  <si>
    <t xml:space="preserve">  Jacqueline N</t>
  </si>
  <si>
    <t>Saiter</t>
  </si>
  <si>
    <t xml:space="preserve">  Cindy</t>
  </si>
  <si>
    <t>Winrow</t>
  </si>
  <si>
    <t xml:space="preserve">  Marcia</t>
  </si>
  <si>
    <t>Gries</t>
  </si>
  <si>
    <t xml:space="preserve">  Samantha R</t>
  </si>
  <si>
    <t>Strohschein</t>
  </si>
  <si>
    <t>Coogan</t>
  </si>
  <si>
    <t>Gagnon</t>
  </si>
  <si>
    <t xml:space="preserve">  Isabelle</t>
  </si>
  <si>
    <t xml:space="preserve">  Neil</t>
  </si>
  <si>
    <t>Brian</t>
  </si>
  <si>
    <t xml:space="preserve">  Nathan</t>
  </si>
  <si>
    <t>Fox</t>
  </si>
  <si>
    <t xml:space="preserve">  Kelli N</t>
  </si>
  <si>
    <t>Traver</t>
  </si>
  <si>
    <t>Quick</t>
  </si>
  <si>
    <t xml:space="preserve">  Grant A</t>
  </si>
  <si>
    <t xml:space="preserve">  Jonathan C</t>
  </si>
  <si>
    <t>Theriot</t>
  </si>
  <si>
    <t xml:space="preserve">  Rachael M</t>
  </si>
  <si>
    <t>Michalis</t>
  </si>
  <si>
    <t xml:space="preserve">  Pilar</t>
  </si>
  <si>
    <t xml:space="preserve">  Kyle M</t>
  </si>
  <si>
    <t>Tjong Clemons</t>
  </si>
  <si>
    <t xml:space="preserve">  Christie</t>
  </si>
  <si>
    <t>Palma</t>
  </si>
  <si>
    <t xml:space="preserve">  David A</t>
  </si>
  <si>
    <t>Takaoka</t>
  </si>
  <si>
    <t xml:space="preserve">  Masahiro</t>
  </si>
  <si>
    <t>Sherman</t>
  </si>
  <si>
    <t xml:space="preserve">  Logan B</t>
  </si>
  <si>
    <t>Andre</t>
  </si>
  <si>
    <t xml:space="preserve">  Stephanie L</t>
  </si>
  <si>
    <t>Switt</t>
  </si>
  <si>
    <t xml:space="preserve">  Angela H</t>
  </si>
  <si>
    <t xml:space="preserve">  Britt K</t>
  </si>
  <si>
    <t xml:space="preserve">  Joyce R</t>
  </si>
  <si>
    <t>Whitbeck</t>
  </si>
  <si>
    <t>Auer</t>
  </si>
  <si>
    <t>Attar</t>
  </si>
  <si>
    <t>Misuraca</t>
  </si>
  <si>
    <t>Spannaus</t>
  </si>
  <si>
    <t xml:space="preserve">  Michaela L</t>
  </si>
  <si>
    <t>Tarbiat</t>
  </si>
  <si>
    <t xml:space="preserve">  Shalaleh</t>
  </si>
  <si>
    <t>Pulkkinen</t>
  </si>
  <si>
    <t>Trnovcova</t>
  </si>
  <si>
    <t xml:space="preserve">  Zuzana</t>
  </si>
  <si>
    <t>Anthony</t>
  </si>
  <si>
    <t>Hetrick</t>
  </si>
  <si>
    <t>Stern</t>
  </si>
  <si>
    <t>Newman</t>
  </si>
  <si>
    <t xml:space="preserve">  Matthew M</t>
  </si>
  <si>
    <t xml:space="preserve">  Nadine A</t>
  </si>
  <si>
    <t>Mone</t>
  </si>
  <si>
    <t xml:space="preserve">  Peter J</t>
  </si>
  <si>
    <t>Powers</t>
  </si>
  <si>
    <t>Ulery</t>
  </si>
  <si>
    <t xml:space="preserve">  Douglas W</t>
  </si>
  <si>
    <t xml:space="preserve">  Catherine</t>
  </si>
  <si>
    <t>Cho</t>
  </si>
  <si>
    <t xml:space="preserve">  Youngseong</t>
  </si>
  <si>
    <t>Reumann</t>
  </si>
  <si>
    <t>Cooper</t>
  </si>
  <si>
    <t xml:space="preserve">  Brandon S</t>
  </si>
  <si>
    <t xml:space="preserve">  Sean P</t>
  </si>
  <si>
    <t>Cichon</t>
  </si>
  <si>
    <t>Maroevic</t>
  </si>
  <si>
    <t xml:space="preserve">  Janez</t>
  </si>
  <si>
    <t xml:space="preserve">  John I</t>
  </si>
  <si>
    <t>Schulz</t>
  </si>
  <si>
    <t>Capriolo</t>
  </si>
  <si>
    <t>Borleis</t>
  </si>
  <si>
    <t>Conrad</t>
  </si>
  <si>
    <t>Karakoyunlu</t>
  </si>
  <si>
    <t xml:space="preserve">  Deniz</t>
  </si>
  <si>
    <t>Desrosiers</t>
  </si>
  <si>
    <t>Shabot Marcos</t>
  </si>
  <si>
    <t xml:space="preserve">  Alfredo</t>
  </si>
  <si>
    <t>Comment</t>
  </si>
  <si>
    <t>Moss</t>
  </si>
  <si>
    <t xml:space="preserve">  Troy</t>
  </si>
  <si>
    <t>Clash</t>
  </si>
  <si>
    <t>Blankenship</t>
  </si>
  <si>
    <t>Lloyd</t>
  </si>
  <si>
    <t xml:space="preserve">  Jennefer</t>
  </si>
  <si>
    <t>Kong</t>
  </si>
  <si>
    <t xml:space="preserve">  Tracey L</t>
  </si>
  <si>
    <t>Benson</t>
  </si>
  <si>
    <t>Huntington</t>
  </si>
  <si>
    <t>Kendall</t>
  </si>
  <si>
    <t xml:space="preserve">  Esther</t>
  </si>
  <si>
    <t>Gast</t>
  </si>
  <si>
    <t xml:space="preserve">  Jackie</t>
  </si>
  <si>
    <t>Scanlin</t>
  </si>
  <si>
    <t xml:space="preserve">  Timothy P</t>
  </si>
  <si>
    <t>Philbrook</t>
  </si>
  <si>
    <t>Cowan</t>
  </si>
  <si>
    <t>Sousa</t>
  </si>
  <si>
    <t xml:space="preserve">  Hugo M</t>
  </si>
  <si>
    <t>Stanton</t>
  </si>
  <si>
    <t>Mollak</t>
  </si>
  <si>
    <t>Weston</t>
  </si>
  <si>
    <t xml:space="preserve">  Rob</t>
  </si>
  <si>
    <t>Rabuzzi</t>
  </si>
  <si>
    <t>Hendrix</t>
  </si>
  <si>
    <t xml:space="preserve">  Austin D</t>
  </si>
  <si>
    <t>Van Nielen</t>
  </si>
  <si>
    <t xml:space="preserve">  Brittany</t>
  </si>
  <si>
    <t>Schout</t>
  </si>
  <si>
    <t xml:space="preserve">  Becky G</t>
  </si>
  <si>
    <t>Schmaltz</t>
  </si>
  <si>
    <t xml:space="preserve">  Virginie</t>
  </si>
  <si>
    <t>Eagen</t>
  </si>
  <si>
    <t xml:space="preserve">  Allison A</t>
  </si>
  <si>
    <t>Rotramel</t>
  </si>
  <si>
    <t>Prevost</t>
  </si>
  <si>
    <t xml:space="preserve">  Caleb</t>
  </si>
  <si>
    <t>Nyambaso</t>
  </si>
  <si>
    <t xml:space="preserve">  Zachariah</t>
  </si>
  <si>
    <t>Shaffer</t>
  </si>
  <si>
    <t xml:space="preserve">  Patricia A</t>
  </si>
  <si>
    <t>Corkum</t>
  </si>
  <si>
    <t>Pedersen</t>
  </si>
  <si>
    <t>Melo</t>
  </si>
  <si>
    <t xml:space="preserve">  Breno</t>
  </si>
  <si>
    <t>Sakamoto</t>
  </si>
  <si>
    <t xml:space="preserve">  Takaya</t>
  </si>
  <si>
    <t xml:space="preserve">  Thomas IV</t>
  </si>
  <si>
    <t xml:space="preserve">  Bradley E</t>
  </si>
  <si>
    <t>Lombardo</t>
  </si>
  <si>
    <t>Bode</t>
  </si>
  <si>
    <t xml:space="preserve">  Ruby J</t>
  </si>
  <si>
    <t xml:space="preserve">  Bart</t>
  </si>
  <si>
    <t>Norcross</t>
  </si>
  <si>
    <t xml:space="preserve">  Robert A</t>
  </si>
  <si>
    <t>Lazrus</t>
  </si>
  <si>
    <t>Tsegay</t>
  </si>
  <si>
    <t xml:space="preserve">  Yemane Adhane</t>
  </si>
  <si>
    <t>Schneider</t>
  </si>
  <si>
    <t xml:space="preserve">  Jesse A</t>
  </si>
  <si>
    <t>Loreto</t>
  </si>
  <si>
    <t xml:space="preserve">  Bird</t>
  </si>
  <si>
    <t>Callahan</t>
  </si>
  <si>
    <t xml:space="preserve">  Patrick M</t>
  </si>
  <si>
    <t>Timko</t>
  </si>
  <si>
    <t>Achatz</t>
  </si>
  <si>
    <t>Horwitz</t>
  </si>
  <si>
    <t xml:space="preserve">  Yuri</t>
  </si>
  <si>
    <t>Gordyan</t>
  </si>
  <si>
    <t xml:space="preserve">  Debbie</t>
  </si>
  <si>
    <t>Battoo</t>
  </si>
  <si>
    <t>Barker</t>
  </si>
  <si>
    <t xml:space="preserve">  Daniell L</t>
  </si>
  <si>
    <t>Saarnilehto</t>
  </si>
  <si>
    <t xml:space="preserve">  Janne</t>
  </si>
  <si>
    <t xml:space="preserve">  Elizabeth L</t>
  </si>
  <si>
    <t>Hillman</t>
  </si>
  <si>
    <t xml:space="preserve">  Stephanie C</t>
  </si>
  <si>
    <t>Bartel</t>
  </si>
  <si>
    <t xml:space="preserve">  Callie</t>
  </si>
  <si>
    <t>Potekhina</t>
  </si>
  <si>
    <t xml:space="preserve">  Mary K</t>
  </si>
  <si>
    <t>Lapp</t>
  </si>
  <si>
    <t xml:space="preserve">  Samuel M</t>
  </si>
  <si>
    <t xml:space="preserve">  Tom J</t>
  </si>
  <si>
    <t>McCormick</t>
  </si>
  <si>
    <t>Coffed</t>
  </si>
  <si>
    <t xml:space="preserve">  Dougie J</t>
  </si>
  <si>
    <t>Estes</t>
  </si>
  <si>
    <t xml:space="preserve">  Jeremiah H</t>
  </si>
  <si>
    <t>Miles</t>
  </si>
  <si>
    <t xml:space="preserve">  Ashley J</t>
  </si>
  <si>
    <t>Zamore</t>
  </si>
  <si>
    <t xml:space="preserve">  Turner J</t>
  </si>
  <si>
    <t>Donaghy</t>
  </si>
  <si>
    <t xml:space="preserve">  Roger</t>
  </si>
  <si>
    <t xml:space="preserve">  Pamela</t>
  </si>
  <si>
    <t>Fiorini</t>
  </si>
  <si>
    <t>Alexander</t>
  </si>
  <si>
    <t xml:space="preserve">  Katherine H</t>
  </si>
  <si>
    <t>Watkins</t>
  </si>
  <si>
    <t xml:space="preserve">  Robin</t>
  </si>
  <si>
    <t>Cassel</t>
  </si>
  <si>
    <t xml:space="preserve">  Terri</t>
  </si>
  <si>
    <t xml:space="preserve">  Eddie</t>
  </si>
  <si>
    <t>O'Sullivan</t>
  </si>
  <si>
    <t>Chepkirui</t>
  </si>
  <si>
    <t xml:space="preserve">  Joyce</t>
  </si>
  <si>
    <t>Gurney</t>
  </si>
  <si>
    <t xml:space="preserve">  Alison W</t>
  </si>
  <si>
    <t>Francis</t>
  </si>
  <si>
    <t xml:space="preserve">  Tammara C</t>
  </si>
  <si>
    <t>Gruca</t>
  </si>
  <si>
    <t xml:space="preserve">  Dorota</t>
  </si>
  <si>
    <t>Rojas Alvarez</t>
  </si>
  <si>
    <t xml:space="preserve">  Jose Norberto Sr</t>
  </si>
  <si>
    <t>Denton</t>
  </si>
  <si>
    <t xml:space="preserve">  Bryant</t>
  </si>
  <si>
    <t>Trout</t>
  </si>
  <si>
    <t>Gilbert</t>
  </si>
  <si>
    <t>Chong</t>
  </si>
  <si>
    <t xml:space="preserve">  Eduardo</t>
  </si>
  <si>
    <t>Henry</t>
  </si>
  <si>
    <t xml:space="preserve">  Laura M</t>
  </si>
  <si>
    <t>Brenneman</t>
  </si>
  <si>
    <t>Kemp</t>
  </si>
  <si>
    <t xml:space="preserve">  Melissa D</t>
  </si>
  <si>
    <t xml:space="preserve">  Dan C</t>
  </si>
  <si>
    <t>Hillyard</t>
  </si>
  <si>
    <t xml:space="preserve">  Wesley C</t>
  </si>
  <si>
    <t>Gonzales</t>
  </si>
  <si>
    <t xml:space="preserve">  Christin</t>
  </si>
  <si>
    <t>Sayre</t>
  </si>
  <si>
    <t>Panke</t>
  </si>
  <si>
    <t>Brennan</t>
  </si>
  <si>
    <t xml:space="preserve">  Margaret P</t>
  </si>
  <si>
    <t>Ngo</t>
  </si>
  <si>
    <t xml:space="preserve">  Tiffany K</t>
  </si>
  <si>
    <t>Guerdan</t>
  </si>
  <si>
    <t xml:space="preserve">  David M</t>
  </si>
  <si>
    <t xml:space="preserve">  Christine E</t>
  </si>
  <si>
    <t>Mills-Honarvar</t>
  </si>
  <si>
    <t xml:space="preserve">  Donna</t>
  </si>
  <si>
    <t>Farvard</t>
  </si>
  <si>
    <t xml:space="preserve">  Rod</t>
  </si>
  <si>
    <t xml:space="preserve">  Joe</t>
  </si>
  <si>
    <t>Skinner</t>
  </si>
  <si>
    <t xml:space="preserve">  Kayleigh</t>
  </si>
  <si>
    <t xml:space="preserve">  Lorcan A</t>
  </si>
  <si>
    <t>Shue</t>
  </si>
  <si>
    <t xml:space="preserve">  Billy</t>
  </si>
  <si>
    <t xml:space="preserve">  Paul M</t>
  </si>
  <si>
    <t>Blinn</t>
  </si>
  <si>
    <t xml:space="preserve">  Brenda M</t>
  </si>
  <si>
    <t>Duyn</t>
  </si>
  <si>
    <t xml:space="preserve">  Jeff H</t>
  </si>
  <si>
    <t>Wardian</t>
  </si>
  <si>
    <t>Heuninck</t>
  </si>
  <si>
    <t>Kipyego</t>
  </si>
  <si>
    <t xml:space="preserve">  Bernard</t>
  </si>
  <si>
    <t>Kuehl</t>
  </si>
  <si>
    <t>Burkholder</t>
  </si>
  <si>
    <t xml:space="preserve">  Bryn</t>
  </si>
  <si>
    <t>Stadolnik</t>
  </si>
  <si>
    <t>Shields</t>
  </si>
  <si>
    <t>Margolis</t>
  </si>
  <si>
    <t xml:space="preserve">  Jay</t>
  </si>
  <si>
    <t>Uffenbeck</t>
  </si>
  <si>
    <t xml:space="preserve">  Shelley</t>
  </si>
  <si>
    <t>Stepanova</t>
  </si>
  <si>
    <t xml:space="preserve">  Jekaterina</t>
  </si>
  <si>
    <t>Verdi</t>
  </si>
  <si>
    <t xml:space="preserve">  Pauline</t>
  </si>
  <si>
    <t>Mickelson</t>
  </si>
  <si>
    <t xml:space="preserve">  Aleah K</t>
  </si>
  <si>
    <t>Dibaba</t>
  </si>
  <si>
    <t xml:space="preserve">  Mare</t>
  </si>
  <si>
    <t>Shilling</t>
  </si>
  <si>
    <t>Bashaw</t>
  </si>
  <si>
    <t>Jacob</t>
  </si>
  <si>
    <t xml:space="preserve">  Amanda R</t>
  </si>
  <si>
    <t>McCutcheon</t>
  </si>
  <si>
    <t xml:space="preserve">  Murray W</t>
  </si>
  <si>
    <t>Connor</t>
  </si>
  <si>
    <t xml:space="preserve">  Meghan P</t>
  </si>
  <si>
    <t>Geoghegan</t>
  </si>
  <si>
    <t xml:space="preserve">  Seth</t>
  </si>
  <si>
    <t>McGinn</t>
  </si>
  <si>
    <t xml:space="preserve">  Russell M</t>
  </si>
  <si>
    <t>Quinteros</t>
  </si>
  <si>
    <t xml:space="preserve">  Martin</t>
  </si>
  <si>
    <t>Loenser</t>
  </si>
  <si>
    <t xml:space="preserve">  Miles</t>
  </si>
  <si>
    <t>Furrer</t>
  </si>
  <si>
    <t>Konigs</t>
  </si>
  <si>
    <t>Tesdahl</t>
  </si>
  <si>
    <t xml:space="preserve">  Brock J</t>
  </si>
  <si>
    <t>Engel</t>
  </si>
  <si>
    <t xml:space="preserve">  Stephen F</t>
  </si>
  <si>
    <t>Kuck</t>
  </si>
  <si>
    <t xml:space="preserve">  Missy</t>
  </si>
  <si>
    <t>Neuschel</t>
  </si>
  <si>
    <t xml:space="preserve">  Lauren M</t>
  </si>
  <si>
    <t>Rosales Ramirez</t>
  </si>
  <si>
    <t xml:space="preserve">  Apolo U</t>
  </si>
  <si>
    <t>Marquez</t>
  </si>
  <si>
    <t xml:space="preserve">  Alfons</t>
  </si>
  <si>
    <t>Green</t>
  </si>
  <si>
    <t xml:space="preserve">  Amber</t>
  </si>
  <si>
    <t>Schubel</t>
  </si>
  <si>
    <t xml:space="preserve">  Leah C</t>
  </si>
  <si>
    <t>Jimenez</t>
  </si>
  <si>
    <t xml:space="preserve">  Lilia</t>
  </si>
  <si>
    <t>Zimny-Schmitt</t>
  </si>
  <si>
    <t xml:space="preserve">  Danny</t>
  </si>
  <si>
    <t>Brohart</t>
  </si>
  <si>
    <t>Oka</t>
  </si>
  <si>
    <t xml:space="preserve">  Satomi</t>
  </si>
  <si>
    <t>Metzger</t>
  </si>
  <si>
    <t xml:space="preserve">  Peter T II</t>
  </si>
  <si>
    <t xml:space="preserve">  Manuel</t>
  </si>
  <si>
    <t>Vaughn</t>
  </si>
  <si>
    <t xml:space="preserve">  Kindsey P</t>
  </si>
  <si>
    <t xml:space="preserve">  Thomas G</t>
  </si>
  <si>
    <t>Petty</t>
  </si>
  <si>
    <t xml:space="preserve">  Kyle S</t>
  </si>
  <si>
    <t xml:space="preserve">  Alexander J</t>
  </si>
  <si>
    <t xml:space="preserve">  Dustin L</t>
  </si>
  <si>
    <t>Lasseron</t>
  </si>
  <si>
    <t xml:space="preserve">  Chloe</t>
  </si>
  <si>
    <t>Bushong</t>
  </si>
  <si>
    <t xml:space="preserve">  Cailtlin</t>
  </si>
  <si>
    <t>Dennison</t>
  </si>
  <si>
    <t>Lira</t>
  </si>
  <si>
    <t xml:space="preserve">  Chuy</t>
  </si>
  <si>
    <t>Nahigian</t>
  </si>
  <si>
    <t xml:space="preserve">  Laurie B</t>
  </si>
  <si>
    <t>Cackett</t>
  </si>
  <si>
    <t xml:space="preserve">  Rachel B</t>
  </si>
  <si>
    <t>Hunter-Galvan</t>
  </si>
  <si>
    <t xml:space="preserve">  Liza</t>
  </si>
  <si>
    <t>Pierret</t>
  </si>
  <si>
    <t xml:space="preserve">  Lindsay E</t>
  </si>
  <si>
    <t>O'Neil</t>
  </si>
  <si>
    <t xml:space="preserve">  Kathleen M</t>
  </si>
  <si>
    <t>Leitz</t>
  </si>
  <si>
    <t xml:space="preserve">  Aya</t>
  </si>
  <si>
    <t>Durfee</t>
  </si>
  <si>
    <t xml:space="preserve">  Carolyn R</t>
  </si>
  <si>
    <t>Maylone</t>
  </si>
  <si>
    <t xml:space="preserve">  Bethany</t>
  </si>
  <si>
    <t>Reiland</t>
  </si>
  <si>
    <t xml:space="preserve">  Holly A</t>
  </si>
  <si>
    <t>Hu</t>
  </si>
  <si>
    <t xml:space="preserve">  Ping</t>
  </si>
  <si>
    <t>Lessek</t>
  </si>
  <si>
    <t>Colavincenzo</t>
  </si>
  <si>
    <t>Mendez-Karr</t>
  </si>
  <si>
    <t>Saulnier</t>
  </si>
  <si>
    <t xml:space="preserve">  Emmett</t>
  </si>
  <si>
    <t>Schoonover</t>
  </si>
  <si>
    <t>Hass</t>
  </si>
  <si>
    <t xml:space="preserve">  Christopher L</t>
  </si>
  <si>
    <t>Cadotte</t>
  </si>
  <si>
    <t>Cacciapaglia</t>
  </si>
  <si>
    <t xml:space="preserve">  Christopher W</t>
  </si>
  <si>
    <t>Mininger</t>
  </si>
  <si>
    <t xml:space="preserve">  Norman H</t>
  </si>
  <si>
    <t>Mayo</t>
  </si>
  <si>
    <t>Zicko</t>
  </si>
  <si>
    <t xml:space="preserve">  Tatyana K</t>
  </si>
  <si>
    <t xml:space="preserve">  Chrissy</t>
  </si>
  <si>
    <t>Cupp</t>
  </si>
  <si>
    <t xml:space="preserve">  Halle</t>
  </si>
  <si>
    <t>Klassen</t>
  </si>
  <si>
    <t xml:space="preserve">  Tara D</t>
  </si>
  <si>
    <t>Musal</t>
  </si>
  <si>
    <t xml:space="preserve">  Rasim M</t>
  </si>
  <si>
    <t>Kitayama</t>
  </si>
  <si>
    <t xml:space="preserve">  Dina</t>
  </si>
  <si>
    <t>Altman</t>
  </si>
  <si>
    <t>Demchko</t>
  </si>
  <si>
    <t xml:space="preserve">  Caitrin</t>
  </si>
  <si>
    <t xml:space="preserve">  Adriana S</t>
  </si>
  <si>
    <t>Betts</t>
  </si>
  <si>
    <t xml:space="preserve">  Kristen M</t>
  </si>
  <si>
    <t>Vandeventer</t>
  </si>
  <si>
    <t xml:space="preserve">  Alix</t>
  </si>
  <si>
    <t>Hirano</t>
  </si>
  <si>
    <t xml:space="preserve">  Kakushin</t>
  </si>
  <si>
    <t>Davi</t>
  </si>
  <si>
    <t>Sloan</t>
  </si>
  <si>
    <t>Homich</t>
  </si>
  <si>
    <t xml:space="preserve">  Amanda C</t>
  </si>
  <si>
    <t>Kristjansson</t>
  </si>
  <si>
    <t xml:space="preserve">  Valur</t>
  </si>
  <si>
    <t>Pitman</t>
  </si>
  <si>
    <t xml:space="preserve">  Erica J</t>
  </si>
  <si>
    <t>Curley</t>
  </si>
  <si>
    <t>Zimmer</t>
  </si>
  <si>
    <t xml:space="preserve">  Lissa</t>
  </si>
  <si>
    <t>Granski</t>
  </si>
  <si>
    <t xml:space="preserve">  Alyson</t>
  </si>
  <si>
    <t>Regina</t>
  </si>
  <si>
    <t xml:space="preserve">  Chance B</t>
  </si>
  <si>
    <t>Howe</t>
  </si>
  <si>
    <t xml:space="preserve">  Therese</t>
  </si>
  <si>
    <t>Atwater</t>
  </si>
  <si>
    <t xml:space="preserve">  Beau</t>
  </si>
  <si>
    <t>Gurganus</t>
  </si>
  <si>
    <t xml:space="preserve">  Kelsey M</t>
  </si>
  <si>
    <t>Holden</t>
  </si>
  <si>
    <t xml:space="preserve">  Gretchen</t>
  </si>
  <si>
    <t>Parton</t>
  </si>
  <si>
    <t xml:space="preserve">  Nicholas E</t>
  </si>
  <si>
    <t xml:space="preserve">  Deborah</t>
  </si>
  <si>
    <t>Dent</t>
  </si>
  <si>
    <t xml:space="preserve">  Chuck W</t>
  </si>
  <si>
    <t>Ranti</t>
  </si>
  <si>
    <t>Ishaq</t>
  </si>
  <si>
    <t xml:space="preserve">  Amany</t>
  </si>
  <si>
    <t>Wiles</t>
  </si>
  <si>
    <t xml:space="preserve">  Kipling</t>
  </si>
  <si>
    <t xml:space="preserve">  Duncan</t>
  </si>
  <si>
    <t>Serafini</t>
  </si>
  <si>
    <t xml:space="preserve">  Louis C</t>
  </si>
  <si>
    <t>Button</t>
  </si>
  <si>
    <t>Gaal</t>
  </si>
  <si>
    <t xml:space="preserve">  Ildiko M</t>
  </si>
  <si>
    <t>Liptak</t>
  </si>
  <si>
    <t xml:space="preserve">  Melinda E</t>
  </si>
  <si>
    <t>Kellam</t>
  </si>
  <si>
    <t>Gordon</t>
  </si>
  <si>
    <t>Wagoner</t>
  </si>
  <si>
    <t xml:space="preserve">  Emily G</t>
  </si>
  <si>
    <t>Goffi</t>
  </si>
  <si>
    <t xml:space="preserve">  Danilo</t>
  </si>
  <si>
    <t>Salovaara</t>
  </si>
  <si>
    <t xml:space="preserve">  Mikko</t>
  </si>
  <si>
    <t>Reid</t>
  </si>
  <si>
    <t xml:space="preserve">  Paula C</t>
  </si>
  <si>
    <t>Allan</t>
  </si>
  <si>
    <t xml:space="preserve">  Kirsten N</t>
  </si>
  <si>
    <t>McLaughlin</t>
  </si>
  <si>
    <t xml:space="preserve">  Christy</t>
  </si>
  <si>
    <t>Tang</t>
  </si>
  <si>
    <t xml:space="preserve">  Jingjing</t>
  </si>
  <si>
    <t xml:space="preserve">  Morgan</t>
  </si>
  <si>
    <t>Chepkwony</t>
  </si>
  <si>
    <t xml:space="preserve">  Frankline</t>
  </si>
  <si>
    <t xml:space="preserve">  Laura T</t>
  </si>
  <si>
    <t>Szynkarczuk</t>
  </si>
  <si>
    <t xml:space="preserve">  Natalia</t>
  </si>
  <si>
    <t>Brill</t>
  </si>
  <si>
    <t xml:space="preserve">  Brooke</t>
  </si>
  <si>
    <t>Nunn</t>
  </si>
  <si>
    <t xml:space="preserve">  Jeremy M</t>
  </si>
  <si>
    <t>Blair</t>
  </si>
  <si>
    <t xml:space="preserve">  Megan L</t>
  </si>
  <si>
    <t>Sharkey</t>
  </si>
  <si>
    <t>Scalard</t>
  </si>
  <si>
    <t xml:space="preserve">  Marny</t>
  </si>
  <si>
    <t>Burget</t>
  </si>
  <si>
    <t>English</t>
  </si>
  <si>
    <t xml:space="preserve">  Benjamin L</t>
  </si>
  <si>
    <t>Hampton</t>
  </si>
  <si>
    <t xml:space="preserve">  Rob G</t>
  </si>
  <si>
    <t xml:space="preserve">  Stefanie A</t>
  </si>
  <si>
    <t>Lucas</t>
  </si>
  <si>
    <t xml:space="preserve">  Caroline F</t>
  </si>
  <si>
    <t xml:space="preserve">  Julia J</t>
  </si>
  <si>
    <t>Cherewatti</t>
  </si>
  <si>
    <t>Olle</t>
  </si>
  <si>
    <t xml:space="preserve">  Bernat</t>
  </si>
  <si>
    <t>Hamsi</t>
  </si>
  <si>
    <t xml:space="preserve">  Hicham</t>
  </si>
  <si>
    <t>Finnegan</t>
  </si>
  <si>
    <t>Villa</t>
  </si>
  <si>
    <t xml:space="preserve">  Elisabetta</t>
  </si>
  <si>
    <t>Cable</t>
  </si>
  <si>
    <t xml:space="preserve">  Trevor N</t>
  </si>
  <si>
    <t>Eiring</t>
  </si>
  <si>
    <t xml:space="preserve">  Nancy</t>
  </si>
  <si>
    <t xml:space="preserve">  Allison R</t>
  </si>
  <si>
    <t>Friedman</t>
  </si>
  <si>
    <t>Croker</t>
  </si>
  <si>
    <t>Beganics</t>
  </si>
  <si>
    <t>Huberty</t>
  </si>
  <si>
    <t xml:space="preserve">  Janae N</t>
  </si>
  <si>
    <t>Hazlehurst</t>
  </si>
  <si>
    <t>Marin</t>
  </si>
  <si>
    <t>Dear</t>
  </si>
  <si>
    <t xml:space="preserve">  Nicole F</t>
  </si>
  <si>
    <t>Lederer</t>
  </si>
  <si>
    <t xml:space="preserve">  Krista L</t>
  </si>
  <si>
    <t>Robson</t>
  </si>
  <si>
    <t xml:space="preserve">  Denise</t>
  </si>
  <si>
    <t>Galvan</t>
  </si>
  <si>
    <t xml:space="preserve">  Ariel</t>
  </si>
  <si>
    <t>Teeuwen</t>
  </si>
  <si>
    <t xml:space="preserve">  Rosalie</t>
  </si>
  <si>
    <t>List</t>
  </si>
  <si>
    <t>Shafar</t>
  </si>
  <si>
    <t xml:space="preserve">  Vitaliy</t>
  </si>
  <si>
    <t>Copenhaver</t>
  </si>
  <si>
    <t xml:space="preserve">  Benjamin W</t>
  </si>
  <si>
    <t>Stump</t>
  </si>
  <si>
    <t>Wehrman</t>
  </si>
  <si>
    <t>Sischo</t>
  </si>
  <si>
    <t>Fonti</t>
  </si>
  <si>
    <t xml:space="preserve">  Massimiliano</t>
  </si>
  <si>
    <t>Merlis</t>
  </si>
  <si>
    <t>Hasegawa</t>
  </si>
  <si>
    <t xml:space="preserve">  Kiyokatsu</t>
  </si>
  <si>
    <t>Haselden</t>
  </si>
  <si>
    <t>Simonson</t>
  </si>
  <si>
    <t>Montag</t>
  </si>
  <si>
    <t xml:space="preserve">  Julia M</t>
  </si>
  <si>
    <t>Deroian</t>
  </si>
  <si>
    <t xml:space="preserve">  Rhea</t>
  </si>
  <si>
    <t>Brady</t>
  </si>
  <si>
    <t xml:space="preserve">  Shamus M</t>
  </si>
  <si>
    <t>Strickler</t>
  </si>
  <si>
    <t xml:space="preserve">  Mary Beth</t>
  </si>
  <si>
    <t>Simone</t>
  </si>
  <si>
    <t xml:space="preserve">  Erin</t>
  </si>
  <si>
    <t>Von Rock</t>
  </si>
  <si>
    <t xml:space="preserve">  Hallie</t>
  </si>
  <si>
    <t>Woodard</t>
  </si>
  <si>
    <t xml:space="preserve">  Paige P</t>
  </si>
  <si>
    <t xml:space="preserve">  Ji</t>
  </si>
  <si>
    <t>Sinda</t>
  </si>
  <si>
    <t xml:space="preserve">  Carissa A</t>
  </si>
  <si>
    <t>Rydland</t>
  </si>
  <si>
    <t xml:space="preserve">  Mona</t>
  </si>
  <si>
    <t>Vespa</t>
  </si>
  <si>
    <t xml:space="preserve">  Kristin R</t>
  </si>
  <si>
    <t>Meadows</t>
  </si>
  <si>
    <t>Toppen</t>
  </si>
  <si>
    <t>Ermer</t>
  </si>
  <si>
    <t>Dionne</t>
  </si>
  <si>
    <t xml:space="preserve">  Hilary K</t>
  </si>
  <si>
    <t>Stasulli</t>
  </si>
  <si>
    <t xml:space="preserve">  Dominique</t>
  </si>
  <si>
    <t>Duran</t>
  </si>
  <si>
    <t xml:space="preserve">  Carlos I</t>
  </si>
  <si>
    <t>Klundt</t>
  </si>
  <si>
    <t>Waters</t>
  </si>
  <si>
    <t>Rusk</t>
  </si>
  <si>
    <t xml:space="preserve">  Sarah S</t>
  </si>
  <si>
    <t>Gersbach</t>
  </si>
  <si>
    <t xml:space="preserve">  Shauna R</t>
  </si>
  <si>
    <t>Taylor-Watson</t>
  </si>
  <si>
    <t xml:space="preserve">  Lindsay J</t>
  </si>
  <si>
    <t xml:space="preserve">  Danya A</t>
  </si>
  <si>
    <t>Levitsky</t>
  </si>
  <si>
    <t xml:space="preserve">  Lorraine</t>
  </si>
  <si>
    <t>Carroll</t>
  </si>
  <si>
    <t>Campos</t>
  </si>
  <si>
    <t xml:space="preserve">  Jesus Sr</t>
  </si>
  <si>
    <t>Flajslik</t>
  </si>
  <si>
    <t>Chua</t>
  </si>
  <si>
    <t xml:space="preserve">  Catherine C</t>
  </si>
  <si>
    <t xml:space="preserve">  Evan</t>
  </si>
  <si>
    <t>Wilzbacher</t>
  </si>
  <si>
    <t xml:space="preserve">  Nathan J</t>
  </si>
  <si>
    <t>Thayer</t>
  </si>
  <si>
    <t>Brosseau</t>
  </si>
  <si>
    <t>Phares</t>
  </si>
  <si>
    <t xml:space="preserve">  Marshall</t>
  </si>
  <si>
    <t xml:space="preserve">  Lavar</t>
  </si>
  <si>
    <t xml:space="preserve">  Charlie T</t>
  </si>
  <si>
    <t>Padula</t>
  </si>
  <si>
    <t>Gamirov</t>
  </si>
  <si>
    <t xml:space="preserve">  Arthur</t>
  </si>
  <si>
    <t>Briot</t>
  </si>
  <si>
    <t>De Hueck</t>
  </si>
  <si>
    <t>Putt</t>
  </si>
  <si>
    <t xml:space="preserve">  Tammy</t>
  </si>
  <si>
    <t>Deiman</t>
  </si>
  <si>
    <t xml:space="preserve">  Lena</t>
  </si>
  <si>
    <t>Bonanni</t>
  </si>
  <si>
    <t xml:space="preserve">  Valentina</t>
  </si>
  <si>
    <t>Stein</t>
  </si>
  <si>
    <t xml:space="preserve">  Russell N</t>
  </si>
  <si>
    <t>Laumann</t>
  </si>
  <si>
    <t xml:space="preserve">  Scott R</t>
  </si>
  <si>
    <t>Galaviz</t>
  </si>
  <si>
    <t xml:space="preserve">  Jose Francisco Sr</t>
  </si>
  <si>
    <t>Piper</t>
  </si>
  <si>
    <t xml:space="preserve">  Paul J</t>
  </si>
  <si>
    <t>Cantini</t>
  </si>
  <si>
    <t xml:space="preserve">  Edward J</t>
  </si>
  <si>
    <t>Werhane</t>
  </si>
  <si>
    <t xml:space="preserve">  Patrick A</t>
  </si>
  <si>
    <t>Davies</t>
  </si>
  <si>
    <t xml:space="preserve">  Geraint H</t>
  </si>
  <si>
    <t>Hummel</t>
  </si>
  <si>
    <t xml:space="preserve">  Dj</t>
  </si>
  <si>
    <t>Lutz</t>
  </si>
  <si>
    <t xml:space="preserve">  Zachary A</t>
  </si>
  <si>
    <t xml:space="preserve">  Brian W</t>
  </si>
  <si>
    <t>Viglienzoni</t>
  </si>
  <si>
    <t>Rathbun</t>
  </si>
  <si>
    <t>crane</t>
  </si>
  <si>
    <t xml:space="preserve">  Ellen L</t>
  </si>
  <si>
    <t>Conant</t>
  </si>
  <si>
    <t>Huyser-Wierenga</t>
  </si>
  <si>
    <t xml:space="preserve">  Abigail R</t>
  </si>
  <si>
    <t>Natalini</t>
  </si>
  <si>
    <t>Robbins</t>
  </si>
  <si>
    <t>Stanislav</t>
  </si>
  <si>
    <t xml:space="preserve">  Grace H</t>
  </si>
  <si>
    <t xml:space="preserve">  Caitie J</t>
  </si>
  <si>
    <t>Mears</t>
  </si>
  <si>
    <t>Neill</t>
  </si>
  <si>
    <t xml:space="preserve">  Ian T</t>
  </si>
  <si>
    <t>Tola</t>
  </si>
  <si>
    <t xml:space="preserve">  Tadese</t>
  </si>
  <si>
    <t>Briskman</t>
  </si>
  <si>
    <t>Ritzenhein</t>
  </si>
  <si>
    <t xml:space="preserve">  Dathan</t>
  </si>
  <si>
    <t>Malkowski</t>
  </si>
  <si>
    <t>Andreyko</t>
  </si>
  <si>
    <t>Lozier</t>
  </si>
  <si>
    <t xml:space="preserve">  Aaron R</t>
  </si>
  <si>
    <t xml:space="preserve">  Caitlin H</t>
  </si>
  <si>
    <t>Rodas</t>
  </si>
  <si>
    <t xml:space="preserve">  Harald E</t>
  </si>
  <si>
    <t xml:space="preserve">  Siobhan A</t>
  </si>
  <si>
    <t xml:space="preserve">  Andrea J</t>
  </si>
  <si>
    <t>Karmen</t>
  </si>
  <si>
    <t xml:space="preserve">  Rachel A</t>
  </si>
  <si>
    <t>Lippmann</t>
  </si>
  <si>
    <t xml:space="preserve">  Kiersten</t>
  </si>
  <si>
    <t>Klehm</t>
  </si>
  <si>
    <t>Desisa</t>
  </si>
  <si>
    <t xml:space="preserve">  Lelisa</t>
  </si>
  <si>
    <t>Brooks</t>
  </si>
  <si>
    <t xml:space="preserve">  Chris C</t>
  </si>
  <si>
    <t>Weispfennig</t>
  </si>
  <si>
    <t>Sorrell</t>
  </si>
  <si>
    <t xml:space="preserve">  Erik C</t>
  </si>
  <si>
    <t>Marek</t>
  </si>
  <si>
    <t xml:space="preserve">  Shawn C</t>
  </si>
  <si>
    <t xml:space="preserve">  Vajin L</t>
  </si>
  <si>
    <t>Werner</t>
  </si>
  <si>
    <t xml:space="preserve">  John K</t>
  </si>
  <si>
    <t xml:space="preserve">  Kirby W</t>
  </si>
  <si>
    <t>Penny</t>
  </si>
  <si>
    <t xml:space="preserve">  J A</t>
  </si>
  <si>
    <t xml:space="preserve">  Dustin G</t>
  </si>
  <si>
    <t>Masayesva</t>
  </si>
  <si>
    <t xml:space="preserve">  Anthony G</t>
  </si>
  <si>
    <t>Paavola</t>
  </si>
  <si>
    <t>Gehlsen</t>
  </si>
  <si>
    <t xml:space="preserve">  Eric N</t>
  </si>
  <si>
    <t>Roche</t>
  </si>
  <si>
    <t xml:space="preserve">  Connor</t>
  </si>
  <si>
    <t>Hearn</t>
  </si>
  <si>
    <t xml:space="preserve">  Patrick H</t>
  </si>
  <si>
    <t>Dimson</t>
  </si>
  <si>
    <t>Slason</t>
  </si>
  <si>
    <t xml:space="preserve">  Deborah L</t>
  </si>
  <si>
    <t>Gibson</t>
  </si>
  <si>
    <t>Erdos</t>
  </si>
  <si>
    <t xml:space="preserve">  Elleree</t>
  </si>
  <si>
    <t>Cushman</t>
  </si>
  <si>
    <t xml:space="preserve">  Brandon J</t>
  </si>
  <si>
    <t>Hammel</t>
  </si>
  <si>
    <t>Ytterstad</t>
  </si>
  <si>
    <t xml:space="preserve">  Nina Wavik Sr</t>
  </si>
  <si>
    <t>Prince</t>
  </si>
  <si>
    <t xml:space="preserve">  Dani</t>
  </si>
  <si>
    <t>Freeman</t>
  </si>
  <si>
    <t>Petrulak</t>
  </si>
  <si>
    <t>Zablocki</t>
  </si>
  <si>
    <t>Van Meter</t>
  </si>
  <si>
    <t xml:space="preserve">  Kathryn M</t>
  </si>
  <si>
    <t>Babay</t>
  </si>
  <si>
    <t xml:space="preserve">  Trent A</t>
  </si>
  <si>
    <t xml:space="preserve">  Jennifer E</t>
  </si>
  <si>
    <t>Moody</t>
  </si>
  <si>
    <t>Swierzbinski</t>
  </si>
  <si>
    <t>Schwartz</t>
  </si>
  <si>
    <t>Sanseverino</t>
  </si>
  <si>
    <t>Lawder</t>
  </si>
  <si>
    <t>Hoerner</t>
  </si>
  <si>
    <t xml:space="preserve">  Pat</t>
  </si>
  <si>
    <t>Beaulne</t>
  </si>
  <si>
    <t xml:space="preserve">  Rebecca M</t>
  </si>
  <si>
    <t>Lunz</t>
  </si>
  <si>
    <t xml:space="preserve">  Ruth</t>
  </si>
  <si>
    <t>Kyle</t>
  </si>
  <si>
    <t xml:space="preserve">  Gregory S</t>
  </si>
  <si>
    <t>Brackenwagen</t>
  </si>
  <si>
    <t xml:space="preserve">  Alexandra S</t>
  </si>
  <si>
    <t>Schmitt</t>
  </si>
  <si>
    <t xml:space="preserve">  Hillary</t>
  </si>
  <si>
    <t>Borden</t>
  </si>
  <si>
    <t xml:space="preserve">  Amy K</t>
  </si>
  <si>
    <t>Regan</t>
  </si>
  <si>
    <t>Koenis</t>
  </si>
  <si>
    <t xml:space="preserve">  Maaikel</t>
  </si>
  <si>
    <t>Kittaka</t>
  </si>
  <si>
    <t>Concannon</t>
  </si>
  <si>
    <t xml:space="preserve">  Christopher S</t>
  </si>
  <si>
    <t>Schultz</t>
  </si>
  <si>
    <t xml:space="preserve">  Lyndsy</t>
  </si>
  <si>
    <t>Brannigan</t>
  </si>
  <si>
    <t>Cavallo</t>
  </si>
  <si>
    <t xml:space="preserve">  Anna</t>
  </si>
  <si>
    <t>Axelrod</t>
  </si>
  <si>
    <t>Roberge</t>
  </si>
  <si>
    <t>Schmidt</t>
  </si>
  <si>
    <t>Kosters</t>
  </si>
  <si>
    <t xml:space="preserve">  Eric S</t>
  </si>
  <si>
    <t>Dykes</t>
  </si>
  <si>
    <t>Velan</t>
  </si>
  <si>
    <t>Goolik</t>
  </si>
  <si>
    <t>Bain</t>
  </si>
  <si>
    <t>Wieck</t>
  </si>
  <si>
    <t xml:space="preserve">  Sonja</t>
  </si>
  <si>
    <t>Friel</t>
  </si>
  <si>
    <t>Santandreu</t>
  </si>
  <si>
    <t xml:space="preserve">  Martha L</t>
  </si>
  <si>
    <t>Gerber</t>
  </si>
  <si>
    <t xml:space="preserve">  Cliff</t>
  </si>
  <si>
    <t>Benadum</t>
  </si>
  <si>
    <t xml:space="preserve">  Blue</t>
  </si>
  <si>
    <t>Ragazzini</t>
  </si>
  <si>
    <t xml:space="preserve">  Jeffrey M</t>
  </si>
  <si>
    <t>Kessinger</t>
  </si>
  <si>
    <t>Bezgin</t>
  </si>
  <si>
    <t>Woldesilassie</t>
  </si>
  <si>
    <t>Ruiz Herrero</t>
  </si>
  <si>
    <t>Bin Alias</t>
  </si>
  <si>
    <t xml:space="preserve">  Mohd Syahidan</t>
  </si>
  <si>
    <t>Pulliam</t>
  </si>
  <si>
    <t>Guisinger</t>
  </si>
  <si>
    <t>Arnerich</t>
  </si>
  <si>
    <t xml:space="preserve">  Christi A</t>
  </si>
  <si>
    <t xml:space="preserve">  Sandra K</t>
  </si>
  <si>
    <t>Nolette</t>
  </si>
  <si>
    <t xml:space="preserve">  Jerome</t>
  </si>
  <si>
    <t>Chabrier</t>
  </si>
  <si>
    <t xml:space="preserve">  Julia R</t>
  </si>
  <si>
    <t xml:space="preserve">  Sean Henry</t>
  </si>
  <si>
    <t>Knotts</t>
  </si>
  <si>
    <t>Pultorak</t>
  </si>
  <si>
    <t>Maxon</t>
  </si>
  <si>
    <t>Kraai</t>
  </si>
  <si>
    <t xml:space="preserve">  Abby L</t>
  </si>
  <si>
    <t>Larosa</t>
  </si>
  <si>
    <t xml:space="preserve">  Ali</t>
  </si>
  <si>
    <t>Haney</t>
  </si>
  <si>
    <t>Boulay</t>
  </si>
  <si>
    <t xml:space="preserve">  Pierre</t>
  </si>
  <si>
    <t>Luy</t>
  </si>
  <si>
    <t>Fava</t>
  </si>
  <si>
    <t>Montoya</t>
  </si>
  <si>
    <t xml:space="preserve">  Alvaro Sr</t>
  </si>
  <si>
    <t>Albertson</t>
  </si>
  <si>
    <t xml:space="preserve">  Mark P</t>
  </si>
  <si>
    <t>Barger</t>
  </si>
  <si>
    <t>Fraioli</t>
  </si>
  <si>
    <t xml:space="preserve">  Mario Jr</t>
  </si>
  <si>
    <t>April</t>
  </si>
  <si>
    <t xml:space="preserve">  Lusapho</t>
  </si>
  <si>
    <t>Talhelm</t>
  </si>
  <si>
    <t xml:space="preserve">  Alan F</t>
  </si>
  <si>
    <t>Treece</t>
  </si>
  <si>
    <t>Beisel</t>
  </si>
  <si>
    <t>Enke</t>
  </si>
  <si>
    <t xml:space="preserve">  Jacob J</t>
  </si>
  <si>
    <t>Ruiz-Tagle Barros</t>
  </si>
  <si>
    <t xml:space="preserve">  Jose Tomas</t>
  </si>
  <si>
    <t>Ferrell</t>
  </si>
  <si>
    <t xml:space="preserve">  Mary Evan</t>
  </si>
  <si>
    <t>Gates</t>
  </si>
  <si>
    <t xml:space="preserve">  Justin K</t>
  </si>
  <si>
    <t>Jeffers</t>
  </si>
  <si>
    <t>Sulhanek</t>
  </si>
  <si>
    <t xml:space="preserve">  Roman</t>
  </si>
  <si>
    <t>Caron</t>
  </si>
  <si>
    <t xml:space="preserve">  Evelyn L</t>
  </si>
  <si>
    <t>Fullarton</t>
  </si>
  <si>
    <t>Lindgren</t>
  </si>
  <si>
    <t>Akiha</t>
  </si>
  <si>
    <t>Sweny</t>
  </si>
  <si>
    <t>Tobin</t>
  </si>
  <si>
    <t>Keys</t>
  </si>
  <si>
    <t>Wilbur</t>
  </si>
  <si>
    <t>Ditota</t>
  </si>
  <si>
    <t>Horbol</t>
  </si>
  <si>
    <t xml:space="preserve">  Flannery</t>
  </si>
  <si>
    <t xml:space="preserve">  John T</t>
  </si>
  <si>
    <t>Murakami</t>
  </si>
  <si>
    <t xml:space="preserve">  Candice M</t>
  </si>
  <si>
    <t>Petermann</t>
  </si>
  <si>
    <t xml:space="preserve">  Theodore A</t>
  </si>
  <si>
    <t>Graves - Rostro</t>
  </si>
  <si>
    <t xml:space="preserve">  Lindy</t>
  </si>
  <si>
    <t>Danielson</t>
  </si>
  <si>
    <t>Street</t>
  </si>
  <si>
    <t xml:space="preserve">  Holly</t>
  </si>
  <si>
    <t>Buss</t>
  </si>
  <si>
    <t>Duffy</t>
  </si>
  <si>
    <t xml:space="preserve">  Meghan K</t>
  </si>
  <si>
    <t xml:space="preserve">  Fred</t>
  </si>
  <si>
    <t>Castro</t>
  </si>
  <si>
    <t xml:space="preserve">  Sebastian</t>
  </si>
  <si>
    <t>Avery</t>
  </si>
  <si>
    <t>Bohinski</t>
  </si>
  <si>
    <t xml:space="preserve">  Susan E</t>
  </si>
  <si>
    <t>Kohls</t>
  </si>
  <si>
    <t xml:space="preserve">  Katy</t>
  </si>
  <si>
    <t>Brietzke</t>
  </si>
  <si>
    <t>Riveros Gonzalez</t>
  </si>
  <si>
    <t xml:space="preserve">  Juan D</t>
  </si>
  <si>
    <t>Albano</t>
  </si>
  <si>
    <t>Rosendahl</t>
  </si>
  <si>
    <t xml:space="preserve">  Evan P</t>
  </si>
  <si>
    <t>German</t>
  </si>
  <si>
    <t xml:space="preserve">  Aaron K</t>
  </si>
  <si>
    <t>Cleaned Surgeries</t>
  </si>
  <si>
    <t>Weight Status</t>
  </si>
  <si>
    <t>Diabetic Status</t>
  </si>
  <si>
    <t>Date of Birth</t>
  </si>
  <si>
    <t>Diabetes Status</t>
  </si>
  <si>
    <t>Age</t>
  </si>
  <si>
    <t xml:space="preserve"> 'Customer Names'!A:D</t>
  </si>
  <si>
    <t xml:space="preserve"> FALSE)</t>
  </si>
  <si>
    <t>Row Labels</t>
  </si>
  <si>
    <t>(blank)</t>
  </si>
  <si>
    <t>Grand Total</t>
  </si>
  <si>
    <t>Column Labels</t>
  </si>
  <si>
    <t>Count of Customer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</si>
</sst>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,\ yyyy"/>
    <numFmt numFmtId="169" formatCode="&quot;₹&quot;\ #,##0.00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1"/>
      <color rgb="FF632D09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5" borderId="2" xfId="0" applyFill="1" applyBorder="1"/>
    <xf numFmtId="0" fontId="0" fillId="6" borderId="2" xfId="0" applyFill="1" applyBorder="1"/>
    <xf numFmtId="0" fontId="3" fillId="2" borderId="2" xfId="0" applyFont="1" applyFill="1" applyBorder="1" applyAlignment="1">
      <alignment horizontal="center" vertical="center"/>
    </xf>
    <xf numFmtId="0" fontId="0" fillId="0" borderId="0" xfId="0" applyBorder="1"/>
    <xf numFmtId="0" fontId="0" fillId="6" borderId="0" xfId="0" applyFill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2" fillId="7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49" fontId="1" fillId="0" borderId="0" xfId="1" applyNumberFormat="1"/>
    <xf numFmtId="169" fontId="2" fillId="3" borderId="2" xfId="0" applyNumberFormat="1" applyFont="1" applyFill="1" applyBorder="1" applyAlignment="1">
      <alignment horizontal="center" vertical="center"/>
    </xf>
    <xf numFmtId="16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632D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 End Assignment 1_Excel  - Healthcare Analysis and Insights.xlsx]Analysis!PivotTable1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Analysis!$B$3:$B$4</c:f>
              <c:strCache>
                <c:ptCount val="1"/>
                <c:pt idx="0">
                  <c:v>No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Analysis!$A$5:$A$8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Analysis!$B$5:$B$8</c:f>
              <c:numCache>
                <c:formatCode>0.00%</c:formatCode>
                <c:ptCount val="3"/>
                <c:pt idx="0">
                  <c:v>0.83378451543042775</c:v>
                </c:pt>
                <c:pt idx="1">
                  <c:v>0.82786885245901642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3-477C-898E-C2110795C309}"/>
            </c:ext>
          </c:extLst>
        </c:ser>
        <c:ser>
          <c:idx val="1"/>
          <c:order val="1"/>
          <c:tx>
            <c:strRef>
              <c:f>Analysis!$C$3:$C$4</c:f>
              <c:strCache>
                <c:ptCount val="1"/>
                <c:pt idx="0">
                  <c:v>Yes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Analysis!$A$5:$A$8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Analysis!$C$5:$C$8</c:f>
              <c:numCache>
                <c:formatCode>0.00%</c:formatCode>
                <c:ptCount val="3"/>
                <c:pt idx="0">
                  <c:v>0.16621548456957227</c:v>
                </c:pt>
                <c:pt idx="1">
                  <c:v>0.1721311475409836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93-477C-898E-C2110795C309}"/>
            </c:ext>
          </c:extLst>
        </c:ser>
        <c:ser>
          <c:idx val="2"/>
          <c:order val="2"/>
          <c:tx>
            <c:strRef>
              <c:f>Analysis!$D$3:$D$4</c:f>
              <c:strCache>
                <c:ptCount val="1"/>
                <c:pt idx="0">
                  <c:v>(blank)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Analysis!$A$5:$A$8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Analysis!$D$5:$D$8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93-477C-898E-C2110795C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 End Assignment 1_Excel  - Healthcare Analysis and Insights.xlsx]Analysis!PivotTable1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Analysis!$A$5:$A$8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Analysis!$B$5:$B$8</c:f>
              <c:numCache>
                <c:formatCode>0.00%</c:formatCode>
                <c:ptCount val="3"/>
                <c:pt idx="0">
                  <c:v>0.83378451543042775</c:v>
                </c:pt>
                <c:pt idx="1">
                  <c:v>0.82786885245901642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D4-489E-947D-64FBC4BD3965}"/>
            </c:ext>
          </c:extLst>
        </c:ser>
        <c:ser>
          <c:idx val="1"/>
          <c:order val="1"/>
          <c:tx>
            <c:strRef>
              <c:f>Analysis!$C$3:$C$4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Analysis!$A$5:$A$8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Analysis!$C$5:$C$8</c:f>
              <c:numCache>
                <c:formatCode>0.00%</c:formatCode>
                <c:ptCount val="3"/>
                <c:pt idx="0">
                  <c:v>0.16621548456957227</c:v>
                </c:pt>
                <c:pt idx="1">
                  <c:v>0.1721311475409836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D4-489E-947D-64FBC4BD3965}"/>
            </c:ext>
          </c:extLst>
        </c:ser>
        <c:ser>
          <c:idx val="2"/>
          <c:order val="2"/>
          <c:tx>
            <c:strRef>
              <c:f>Analysis!$D$3:$D$4</c:f>
              <c:strCache>
                <c:ptCount val="1"/>
                <c:pt idx="0">
                  <c:v>(blank)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Analysis!$A$5:$A$8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Analysis!$D$5:$D$8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D4-489E-947D-64FBC4BD3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8991200"/>
        <c:axId val="756779776"/>
      </c:barChart>
      <c:catAx>
        <c:axId val="44899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779776"/>
        <c:crosses val="autoZero"/>
        <c:auto val="1"/>
        <c:lblAlgn val="ctr"/>
        <c:lblOffset val="100"/>
        <c:noMultiLvlLbl val="0"/>
      </c:catAx>
      <c:valAx>
        <c:axId val="75677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99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6545202321174228E-3"/>
          <c:y val="0.55625384886590667"/>
          <c:w val="0.30065359477124182"/>
          <c:h val="0.368106677343298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1</xdr:row>
      <xdr:rowOff>152400</xdr:rowOff>
    </xdr:from>
    <xdr:to>
      <xdr:col>12</xdr:col>
      <xdr:colOff>590550</xdr:colOff>
      <xdr:row>17</xdr:row>
      <xdr:rowOff>6350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23D845-53D2-11A6-0EC5-4AEE3B5C38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146050</xdr:colOff>
      <xdr:row>9</xdr:row>
      <xdr:rowOff>88900</xdr:rowOff>
    </xdr:from>
    <xdr:to>
      <xdr:col>5</xdr:col>
      <xdr:colOff>241300</xdr:colOff>
      <xdr:row>21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FB5893-BC16-2E2D-7D80-98F10CC748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80.919754050927" createdVersion="8" refreshedVersion="8" minRefreshableVersion="3" recordCount="2336" xr:uid="{A9BB214D-D972-4B7F-8096-1CBBC586D8D3}">
  <cacheSource type="worksheet">
    <worksheetSource ref="A1:P1048576" sheet="Health Care"/>
  </cacheSource>
  <cacheFields count="16">
    <cacheField name="Customer ID" numFmtId="0">
      <sharedItems containsBlank="1"/>
    </cacheField>
    <cacheField name="First Name" numFmtId="0">
      <sharedItems containsBlank="1"/>
    </cacheField>
    <cacheField name="BMI" numFmtId="0">
      <sharedItems containsBlank="1" containsMixedTypes="1" containsNumber="1" minValue="15.01" maxValue="55.05"/>
    </cacheField>
    <cacheField name="HBA1C" numFmtId="0">
      <sharedItems containsBlank="1" containsMixedTypes="1" containsNumber="1" containsInteger="1" minValue="3" maxValue="3"/>
    </cacheField>
    <cacheField name="Heart Issues" numFmtId="0">
      <sharedItems containsBlank="1"/>
    </cacheField>
    <cacheField name="Any Transplants" numFmtId="0">
      <sharedItems containsBlank="1"/>
    </cacheField>
    <cacheField name="Cancer history" numFmtId="0">
      <sharedItems containsBlank="1" count="3">
        <s v="No"/>
        <s v="Yes"/>
        <m/>
      </sharedItems>
    </cacheField>
    <cacheField name="NumberOfMajorSurgeries" numFmtId="0">
      <sharedItems containsBlank="1" containsMixedTypes="1" containsNumber="1" containsInteger="1" minValue="1" maxValue="3"/>
    </cacheField>
    <cacheField name="smoker" numFmtId="0">
      <sharedItems containsBlank="1" count="3">
        <s v="yes"/>
        <s v="No"/>
        <m/>
      </sharedItems>
    </cacheField>
    <cacheField name="Weight Status" numFmtId="0">
      <sharedItems containsBlank="1"/>
    </cacheField>
    <cacheField name="Diabetes Status" numFmtId="0">
      <sharedItems containsBlank="1"/>
    </cacheField>
    <cacheField name="Date of Birth" numFmtId="0">
      <sharedItems containsNonDate="0" containsString="0" containsBlank="1"/>
    </cacheField>
    <cacheField name="charges" numFmtId="0">
      <sharedItems containsNonDate="0" containsString="0" containsBlank="1"/>
    </cacheField>
    <cacheField name="City tier" numFmtId="0">
      <sharedItems containsNonDate="0" containsString="0" containsBlank="1"/>
    </cacheField>
    <cacheField name="State ID" numFmtId="0">
      <sharedItems containsNonDate="0" containsString="0" containsBlank="1"/>
    </cacheField>
    <cacheField name="A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36">
  <r>
    <s v="Id1"/>
    <s v="Hawks"/>
    <s v=" 'Customer Names'!A:D"/>
    <n v="3"/>
    <s v=" FALSE)"/>
    <s v="No"/>
    <x v="0"/>
    <s v="No major surgery"/>
    <x v="0"/>
    <s v="Obesity"/>
    <s v="Diabetes"/>
    <m/>
    <m/>
    <m/>
    <m/>
    <m/>
  </r>
  <r>
    <s v="Id2"/>
    <s v="Lehner"/>
    <n v="30.36"/>
    <s v="Prediabetes"/>
    <s v="No"/>
    <s v="No"/>
    <x v="0"/>
    <s v="No major surgery"/>
    <x v="0"/>
    <s v="Obesity"/>
    <s v="Prediabetes"/>
    <m/>
    <m/>
    <m/>
    <m/>
    <m/>
  </r>
  <r>
    <s v="Id3"/>
    <s v="Lu"/>
    <n v="34.484999999999999"/>
    <s v="Diabetes"/>
    <s v="yes"/>
    <s v="No"/>
    <x v="0"/>
    <n v="2"/>
    <x v="0"/>
    <s v="Obesity"/>
    <s v="Diabetes"/>
    <m/>
    <m/>
    <m/>
    <m/>
    <m/>
  </r>
  <r>
    <s v="Id4"/>
    <s v="Osborne"/>
    <n v="38.094999999999999"/>
    <s v="Prediabetes"/>
    <s v="No"/>
    <s v="No"/>
    <x v="0"/>
    <s v="No major surgery"/>
    <x v="0"/>
    <s v="Obesity"/>
    <s v="Prediabetes"/>
    <m/>
    <m/>
    <m/>
    <m/>
    <m/>
  </r>
  <r>
    <s v="Id5"/>
    <s v="Kadala"/>
    <n v="35.53"/>
    <s v="Normal"/>
    <s v="No"/>
    <s v="No"/>
    <x v="0"/>
    <s v="No major surgery"/>
    <x v="0"/>
    <s v="Obesity"/>
    <s v="Normal"/>
    <m/>
    <m/>
    <m/>
    <m/>
    <m/>
  </r>
  <r>
    <s v="Id6"/>
    <s v="Baker"/>
    <n v="32.799999999999997"/>
    <s v="Diabetes"/>
    <s v="No"/>
    <s v="No"/>
    <x v="0"/>
    <s v="No major surgery"/>
    <x v="0"/>
    <s v="Obesity"/>
    <s v="Diabetes"/>
    <m/>
    <m/>
    <m/>
    <m/>
    <m/>
  </r>
  <r>
    <s v="Id7"/>
    <s v="Macpherson"/>
    <n v="36.4"/>
    <s v="Prediabetes"/>
    <s v="No"/>
    <s v="No"/>
    <x v="0"/>
    <s v="No major surgery"/>
    <x v="0"/>
    <s v="Obesity"/>
    <s v="Prediabetes"/>
    <m/>
    <m/>
    <m/>
    <m/>
    <m/>
  </r>
  <r>
    <s v="Id8"/>
    <s v="Hallman"/>
    <n v="36.96"/>
    <s v="Diabetes"/>
    <s v="No"/>
    <s v="No"/>
    <x v="0"/>
    <n v="3"/>
    <x v="0"/>
    <s v="Obesity"/>
    <s v="Diabetes"/>
    <m/>
    <m/>
    <m/>
    <m/>
    <m/>
  </r>
  <r>
    <s v="Id9"/>
    <s v="Moran"/>
    <n v="41.14"/>
    <s v="Diabetes"/>
    <s v="yes"/>
    <s v="No"/>
    <x v="1"/>
    <n v="1"/>
    <x v="0"/>
    <s v="Obesity"/>
    <s v="Diabetes"/>
    <m/>
    <m/>
    <m/>
    <m/>
    <m/>
  </r>
  <r>
    <s v="Id10"/>
    <s v="Benner"/>
    <n v="38.06"/>
    <s v="Diabetes"/>
    <s v="No"/>
    <s v="No"/>
    <x v="0"/>
    <s v="No major surgery"/>
    <x v="0"/>
    <s v="Obesity"/>
    <s v="Diabetes"/>
    <m/>
    <m/>
    <m/>
    <m/>
    <m/>
  </r>
  <r>
    <s v="Id11"/>
    <s v="Fierro Vargas"/>
    <n v="37.700000000000003"/>
    <s v="Prediabetes"/>
    <s v="yes"/>
    <s v="No"/>
    <x v="0"/>
    <n v="2"/>
    <x v="0"/>
    <s v="Obesity"/>
    <s v="Prediabetes"/>
    <m/>
    <m/>
    <m/>
    <m/>
    <m/>
  </r>
  <r>
    <s v="Id12"/>
    <s v="Franz"/>
    <n v="42.13"/>
    <s v="Diabetes"/>
    <s v="No"/>
    <s v="No"/>
    <x v="0"/>
    <s v="No major surgery"/>
    <x v="0"/>
    <s v="Obesity"/>
    <s v="Diabetes"/>
    <m/>
    <m/>
    <m/>
    <m/>
    <m/>
  </r>
  <r>
    <s v="Id13"/>
    <s v="Foster"/>
    <n v="40.92"/>
    <s v="Diabetes"/>
    <s v="No"/>
    <s v="No"/>
    <x v="0"/>
    <s v="No major surgery"/>
    <x v="0"/>
    <s v="Obesity"/>
    <s v="Diabetes"/>
    <m/>
    <m/>
    <m/>
    <m/>
    <m/>
  </r>
  <r>
    <s v="Id14"/>
    <s v="Tenorio"/>
    <n v="40.564999999999998"/>
    <s v="Diabetes"/>
    <s v="No"/>
    <s v="No"/>
    <x v="0"/>
    <s v="No major surgery"/>
    <x v="0"/>
    <s v="Obesity"/>
    <s v="Diabetes"/>
    <m/>
    <m/>
    <m/>
    <m/>
    <m/>
  </r>
  <r>
    <s v="Id15"/>
    <s v="Rios"/>
    <n v="36.384999999999998"/>
    <s v="Diabetes"/>
    <s v="yes"/>
    <s v="No"/>
    <x v="0"/>
    <n v="2"/>
    <x v="0"/>
    <s v="Obesity"/>
    <s v="Diabetes"/>
    <m/>
    <m/>
    <m/>
    <m/>
    <m/>
  </r>
  <r>
    <s v="Id16"/>
    <s v="Viau-Dupuis"/>
    <n v="39.9"/>
    <s v="Diabetes"/>
    <s v="No"/>
    <s v="No"/>
    <x v="0"/>
    <s v="No major surgery"/>
    <x v="0"/>
    <s v="Obesity"/>
    <s v="Diabetes"/>
    <m/>
    <m/>
    <m/>
    <m/>
    <m/>
  </r>
  <r>
    <s v="Id17"/>
    <s v="Cronin"/>
    <n v="33.799999999999997"/>
    <s v="Diabetes"/>
    <s v="No"/>
    <s v="No"/>
    <x v="0"/>
    <n v="3"/>
    <x v="0"/>
    <s v="Obesity"/>
    <s v="Diabetes"/>
    <m/>
    <m/>
    <m/>
    <m/>
    <m/>
  </r>
  <r>
    <s v="Id18"/>
    <s v="Noordstar"/>
    <n v="36.765000000000001"/>
    <s v="Diabetes"/>
    <s v="yes"/>
    <s v="No"/>
    <x v="1"/>
    <n v="1"/>
    <x v="0"/>
    <s v="Obesity"/>
    <s v="Diabetes"/>
    <m/>
    <m/>
    <m/>
    <m/>
    <m/>
  </r>
  <r>
    <s v="Id19"/>
    <s v="Boudalia"/>
    <n v="36.954999999999998"/>
    <s v="Normal"/>
    <s v="yes"/>
    <s v="No"/>
    <x v="0"/>
    <n v="1"/>
    <x v="0"/>
    <s v="Obesity"/>
    <s v="Normal"/>
    <m/>
    <m/>
    <m/>
    <m/>
    <m/>
  </r>
  <r>
    <s v="Id20"/>
    <s v="Flor"/>
    <n v="42.9"/>
    <s v="Diabetes"/>
    <s v="No"/>
    <s v="No"/>
    <x v="0"/>
    <s v="No major surgery"/>
    <x v="0"/>
    <s v="Obesity"/>
    <s v="Diabetes"/>
    <m/>
    <m/>
    <m/>
    <m/>
    <m/>
  </r>
  <r>
    <s v="Id21"/>
    <s v="Fennon"/>
    <n v="36.299999999999997"/>
    <s v="Diabetes"/>
    <s v="yes"/>
    <s v="No"/>
    <x v="0"/>
    <n v="2"/>
    <x v="0"/>
    <s v="Obesity"/>
    <s v="Diabetes"/>
    <m/>
    <m/>
    <m/>
    <m/>
    <m/>
  </r>
  <r>
    <s v="Id22"/>
    <s v="Hribar"/>
    <n v="32.200000000000003"/>
    <s v="Prediabetes"/>
    <s v="yes"/>
    <s v="No"/>
    <x v="0"/>
    <n v="2"/>
    <x v="0"/>
    <s v="Obesity"/>
    <s v="Prediabetes"/>
    <m/>
    <m/>
    <m/>
    <m/>
    <m/>
  </r>
  <r>
    <s v="Id23"/>
    <s v="Tassello"/>
    <n v="31.3"/>
    <s v="Diabetes"/>
    <s v="No"/>
    <s v="No"/>
    <x v="0"/>
    <n v="3"/>
    <x v="0"/>
    <s v="Obesity"/>
    <s v="Diabetes"/>
    <m/>
    <m/>
    <m/>
    <m/>
    <m/>
  </r>
  <r>
    <s v="Id24"/>
    <s v="Mauricette"/>
    <n v="41.8"/>
    <s v="Diabetes"/>
    <s v="yes"/>
    <s v="No"/>
    <x v="0"/>
    <n v="2"/>
    <x v="0"/>
    <s v="Obesity"/>
    <s v="Diabetes"/>
    <m/>
    <m/>
    <m/>
    <m/>
    <m/>
  </r>
  <r>
    <s v="Id25"/>
    <s v="Garcia"/>
    <n v="35.090000000000003"/>
    <s v="Normal"/>
    <s v="yes"/>
    <s v="No"/>
    <x v="0"/>
    <n v="2"/>
    <x v="0"/>
    <s v="Obesity"/>
    <s v="Normal"/>
    <m/>
    <m/>
    <m/>
    <m/>
    <m/>
  </r>
  <r>
    <s v="Id26"/>
    <s v="Airoldi"/>
    <n v="33.880000000000003"/>
    <s v="Diabetes"/>
    <s v="No"/>
    <s v="No"/>
    <x v="0"/>
    <n v="3"/>
    <x v="0"/>
    <s v="Obesity"/>
    <s v="Diabetes"/>
    <m/>
    <m/>
    <m/>
    <m/>
    <m/>
  </r>
  <r>
    <s v="Id27"/>
    <s v="Cater-Cyker"/>
    <n v="30.875"/>
    <s v="Diabetes"/>
    <s v="No"/>
    <s v="No"/>
    <x v="0"/>
    <s v="No major surgery"/>
    <x v="0"/>
    <s v="Obesity"/>
    <s v="Diabetes"/>
    <m/>
    <m/>
    <m/>
    <m/>
    <m/>
  </r>
  <r>
    <s v="Id28"/>
    <s v="Hamm"/>
    <n v="36.86"/>
    <s v="Normal"/>
    <s v="yes"/>
    <s v="No"/>
    <x v="1"/>
    <n v="1"/>
    <x v="0"/>
    <s v="Obesity"/>
    <s v="Normal"/>
    <m/>
    <m/>
    <m/>
    <m/>
    <m/>
  </r>
  <r>
    <s v="Id29"/>
    <s v="Cox"/>
    <n v="35.86"/>
    <s v="Diabetes"/>
    <s v="yes"/>
    <s v="No"/>
    <x v="0"/>
    <n v="2"/>
    <x v="0"/>
    <s v="Obesity"/>
    <s v="Diabetes"/>
    <m/>
    <m/>
    <m/>
    <m/>
    <m/>
  </r>
  <r>
    <s v="Id30"/>
    <s v="Sachrajda"/>
    <n v="37.049999999999997"/>
    <s v="Diabetes"/>
    <s v="No"/>
    <s v="No"/>
    <x v="0"/>
    <s v="No major surgery"/>
    <x v="0"/>
    <s v="Obesity"/>
    <s v="Diabetes"/>
    <m/>
    <m/>
    <m/>
    <m/>
    <m/>
  </r>
  <r>
    <s v="Id31"/>
    <s v="Gareri"/>
    <n v="43.89"/>
    <s v="Diabetes"/>
    <s v="No"/>
    <s v="No"/>
    <x v="0"/>
    <s v="No major surgery"/>
    <x v="0"/>
    <s v="Obesity"/>
    <s v="Diabetes"/>
    <m/>
    <m/>
    <m/>
    <m/>
    <m/>
  </r>
  <r>
    <s v="Id32"/>
    <s v="Welch"/>
    <n v="42.35"/>
    <s v="Normal"/>
    <s v="yes"/>
    <s v="No"/>
    <x v="0"/>
    <s v="No major surgery"/>
    <x v="0"/>
    <s v="Obesity"/>
    <s v="Normal"/>
    <m/>
    <m/>
    <m/>
    <m/>
    <m/>
  </r>
  <r>
    <s v="Id33"/>
    <s v="Prindiville"/>
    <n v="31.35"/>
    <s v="Diabetes"/>
    <s v="No"/>
    <s v="No"/>
    <x v="0"/>
    <s v="No major surgery"/>
    <x v="0"/>
    <s v="Obesity"/>
    <s v="Diabetes"/>
    <m/>
    <m/>
    <m/>
    <m/>
    <m/>
  </r>
  <r>
    <s v="Id34"/>
    <s v="Kincaid"/>
    <n v="47.6"/>
    <s v="Prediabetes"/>
    <s v="yes"/>
    <s v="No"/>
    <x v="0"/>
    <s v="No major surgery"/>
    <x v="0"/>
    <s v="Obesity"/>
    <s v="Prediabetes"/>
    <m/>
    <m/>
    <m/>
    <m/>
    <m/>
  </r>
  <r>
    <s v="Id35"/>
    <s v="Bruestle"/>
    <n v="46.2"/>
    <s v="Prediabetes"/>
    <s v="No"/>
    <s v="No"/>
    <x v="1"/>
    <n v="1"/>
    <x v="0"/>
    <s v="Obesity"/>
    <s v="Prediabetes"/>
    <m/>
    <m/>
    <m/>
    <m/>
    <m/>
  </r>
  <r>
    <s v="Id36"/>
    <s v="Lachance"/>
    <n v="32.015000000000001"/>
    <s v="Diabetes"/>
    <s v="No"/>
    <s v="No"/>
    <x v="0"/>
    <s v="No major surgery"/>
    <x v="0"/>
    <s v="Obesity"/>
    <s v="Diabetes"/>
    <m/>
    <m/>
    <m/>
    <m/>
    <m/>
  </r>
  <r>
    <s v="Id37"/>
    <s v="Eason"/>
    <n v="40.564999999999998"/>
    <s v="Diabetes"/>
    <s v="No"/>
    <s v="No"/>
    <x v="0"/>
    <s v="No major surgery"/>
    <x v="0"/>
    <s v="Obesity"/>
    <s v="Diabetes"/>
    <m/>
    <m/>
    <m/>
    <m/>
    <m/>
  </r>
  <r>
    <s v="Id38"/>
    <s v="Grummon"/>
    <n v="32.450000000000003"/>
    <s v="Diabetes"/>
    <s v="No"/>
    <s v="No"/>
    <x v="0"/>
    <s v="No major surgery"/>
    <x v="0"/>
    <s v="Obesity"/>
    <s v="Diabetes"/>
    <m/>
    <m/>
    <m/>
    <m/>
    <m/>
  </r>
  <r>
    <s v="Id39"/>
    <s v="Vanwechel"/>
    <n v="34.96"/>
    <s v="Diabetes"/>
    <s v="No"/>
    <s v="No"/>
    <x v="0"/>
    <s v="No major surgery"/>
    <x v="0"/>
    <s v="Obesity"/>
    <s v="Diabetes"/>
    <m/>
    <m/>
    <m/>
    <m/>
    <m/>
  </r>
  <r>
    <s v="Id40"/>
    <s v="Fisher"/>
    <n v="35.5"/>
    <s v="Normal"/>
    <s v="No"/>
    <s v="No"/>
    <x v="1"/>
    <n v="1"/>
    <x v="0"/>
    <s v="Obesity"/>
    <s v="Normal"/>
    <m/>
    <m/>
    <m/>
    <m/>
    <m/>
  </r>
  <r>
    <s v="Id41"/>
    <s v="Jenkins"/>
    <n v="52.58"/>
    <s v="Normal"/>
    <s v="No"/>
    <s v="yes"/>
    <x v="0"/>
    <n v="1"/>
    <x v="0"/>
    <s v="Obesity"/>
    <s v="Normal"/>
    <m/>
    <m/>
    <m/>
    <m/>
    <m/>
  </r>
  <r>
    <s v="Id42"/>
    <s v="Peters"/>
    <n v="35.200000000000003"/>
    <s v="Diabetes"/>
    <s v="yes"/>
    <s v="No"/>
    <x v="0"/>
    <s v="No major surgery"/>
    <x v="0"/>
    <s v="Obesity"/>
    <s v="Diabetes"/>
    <m/>
    <m/>
    <m/>
    <m/>
    <m/>
  </r>
  <r>
    <s v="Id43"/>
    <s v="Aha"/>
    <n v="38.06"/>
    <s v="Diabetes"/>
    <s v="No"/>
    <s v="No"/>
    <x v="0"/>
    <s v="No major surgery"/>
    <x v="0"/>
    <s v="Obesity"/>
    <s v="Diabetes"/>
    <m/>
    <m/>
    <m/>
    <m/>
    <m/>
  </r>
  <r>
    <s v="Id44"/>
    <s v="McElwain"/>
    <n v="34.21"/>
    <s v="Diabetes"/>
    <s v="No"/>
    <s v="No"/>
    <x v="0"/>
    <s v="No major surgery"/>
    <x v="0"/>
    <s v="Obesity"/>
    <s v="Diabetes"/>
    <m/>
    <m/>
    <m/>
    <m/>
    <m/>
  </r>
  <r>
    <s v="Id45"/>
    <s v="Januszewski"/>
    <n v="38.94"/>
    <s v="Diabetes"/>
    <s v="yes"/>
    <s v="No"/>
    <x v="0"/>
    <n v="1"/>
    <x v="0"/>
    <s v="Obesity"/>
    <s v="Diabetes"/>
    <m/>
    <m/>
    <m/>
    <m/>
    <m/>
  </r>
  <r>
    <s v="Id46"/>
    <s v="Rohne"/>
    <n v="30.21"/>
    <s v="Normal"/>
    <s v="yes"/>
    <s v="No"/>
    <x v="0"/>
    <n v="1"/>
    <x v="0"/>
    <s v="Obesity"/>
    <s v="Normal"/>
    <m/>
    <m/>
    <m/>
    <m/>
    <m/>
  </r>
  <r>
    <s v="Id47"/>
    <s v="O'Grady"/>
    <n v="33.630000000000003"/>
    <s v="Normal"/>
    <s v="yes"/>
    <s v="No"/>
    <x v="0"/>
    <n v="2"/>
    <x v="0"/>
    <s v="Obesity"/>
    <s v="Normal"/>
    <m/>
    <m/>
    <m/>
    <m/>
    <m/>
  </r>
  <r>
    <s v="Id48"/>
    <s v="Peters"/>
    <n v="40.369999999999997"/>
    <s v="Normal"/>
    <s v="No"/>
    <s v="No"/>
    <x v="0"/>
    <s v="No major surgery"/>
    <x v="0"/>
    <s v="Obesity"/>
    <s v="Normal"/>
    <m/>
    <m/>
    <m/>
    <m/>
    <m/>
  </r>
  <r>
    <s v="Id49"/>
    <s v="De Simone"/>
    <n v="53.09"/>
    <s v="Normal"/>
    <s v="yes"/>
    <s v="No"/>
    <x v="0"/>
    <n v="2"/>
    <x v="0"/>
    <s v="Obesity"/>
    <s v="Normal"/>
    <m/>
    <m/>
    <m/>
    <m/>
    <m/>
  </r>
  <r>
    <s v="Id50"/>
    <s v="Beckett"/>
    <n v="31.79"/>
    <s v="Normal"/>
    <s v="yes"/>
    <s v="No"/>
    <x v="0"/>
    <n v="2"/>
    <x v="0"/>
    <s v="Obesity"/>
    <s v="Normal"/>
    <m/>
    <m/>
    <m/>
    <m/>
    <m/>
  </r>
  <r>
    <s v="Id51"/>
    <s v="Sobrilsky"/>
    <n v="41.895000000000003"/>
    <s v="Diabetes"/>
    <s v="yes"/>
    <s v="No"/>
    <x v="0"/>
    <n v="1"/>
    <x v="0"/>
    <s v="Obesity"/>
    <s v="Diabetes"/>
    <m/>
    <m/>
    <m/>
    <m/>
    <m/>
  </r>
  <r>
    <s v="Id52"/>
    <s v="Wang"/>
    <n v="31.16"/>
    <s v="Diabetes"/>
    <s v="No"/>
    <s v="No"/>
    <x v="0"/>
    <s v="No major surgery"/>
    <x v="0"/>
    <s v="Obesity"/>
    <s v="Diabetes"/>
    <m/>
    <m/>
    <m/>
    <m/>
    <m/>
  </r>
  <r>
    <s v="Id53"/>
    <s v="Campa"/>
    <n v="34.104999999999997"/>
    <s v="Normal"/>
    <s v="yes"/>
    <s v="No"/>
    <x v="1"/>
    <n v="1"/>
    <x v="0"/>
    <s v="Obesity"/>
    <s v="Normal"/>
    <m/>
    <m/>
    <m/>
    <m/>
    <m/>
  </r>
  <r>
    <s v="Id54"/>
    <s v="Clifford"/>
    <n v="51.93"/>
    <s v="Diabetes"/>
    <s v="No"/>
    <s v="No"/>
    <x v="0"/>
    <s v="No major surgery"/>
    <x v="0"/>
    <s v="Obesity"/>
    <s v="Diabetes"/>
    <m/>
    <m/>
    <m/>
    <m/>
    <m/>
  </r>
  <r>
    <s v="Id55"/>
    <s v="Dalmata"/>
    <n v="38.950000000000003"/>
    <s v="Diabetes"/>
    <s v="No"/>
    <s v="No"/>
    <x v="0"/>
    <s v="No major surgery"/>
    <x v="0"/>
    <s v="Obesity"/>
    <s v="Diabetes"/>
    <m/>
    <m/>
    <m/>
    <m/>
    <m/>
  </r>
  <r>
    <s v="Id56"/>
    <s v="Vishik"/>
    <n v="36.630000000000003"/>
    <s v="Diabetes"/>
    <s v="yes"/>
    <s v="No"/>
    <x v="0"/>
    <n v="1"/>
    <x v="0"/>
    <s v="Obesity"/>
    <s v="Diabetes"/>
    <m/>
    <m/>
    <m/>
    <m/>
    <m/>
  </r>
  <r>
    <s v="Id57"/>
    <s v="Schorr"/>
    <n v="34.200000000000003"/>
    <s v="Prediabetes"/>
    <s v="No"/>
    <s v="No"/>
    <x v="0"/>
    <n v="2"/>
    <x v="0"/>
    <s v="Obesity"/>
    <s v="Prediabetes"/>
    <m/>
    <m/>
    <m/>
    <m/>
    <m/>
  </r>
  <r>
    <s v="Id58"/>
    <s v="Lusardi"/>
    <n v="50.63"/>
    <s v="Diabetes"/>
    <s v="No"/>
    <s v="No"/>
    <x v="0"/>
    <s v="No major surgery"/>
    <x v="0"/>
    <s v="Obesity"/>
    <s v="Diabetes"/>
    <m/>
    <m/>
    <m/>
    <m/>
    <m/>
  </r>
  <r>
    <s v="Id59"/>
    <s v="Rayner"/>
    <n v="36.479999999999997"/>
    <s v="Prediabetes"/>
    <s v="No"/>
    <s v="No"/>
    <x v="0"/>
    <s v="No major surgery"/>
    <x v="0"/>
    <s v="Obesity"/>
    <s v="Prediabetes"/>
    <m/>
    <m/>
    <m/>
    <m/>
    <m/>
  </r>
  <r>
    <s v="Id60"/>
    <s v="Voghel"/>
    <n v="54.82"/>
    <s v="Diabetes"/>
    <s v="No"/>
    <s v="No"/>
    <x v="0"/>
    <s v="No major surgery"/>
    <x v="0"/>
    <s v="Obesity"/>
    <s v="Diabetes"/>
    <m/>
    <m/>
    <m/>
    <m/>
    <m/>
  </r>
  <r>
    <s v="Id61"/>
    <s v="Rieth"/>
    <n v="38.06"/>
    <s v="Prediabetes"/>
    <s v="No"/>
    <s v="No"/>
    <x v="1"/>
    <n v="1"/>
    <x v="0"/>
    <s v="Obesity"/>
    <s v="Prediabetes"/>
    <m/>
    <m/>
    <m/>
    <m/>
    <m/>
  </r>
  <r>
    <s v="Id62"/>
    <s v="Gollotto"/>
    <n v="51.48"/>
    <s v="Diabetes"/>
    <s v="yes"/>
    <s v="No"/>
    <x v="0"/>
    <s v="No major surgery"/>
    <x v="0"/>
    <s v="Obesity"/>
    <s v="Diabetes"/>
    <m/>
    <m/>
    <m/>
    <m/>
    <m/>
  </r>
  <r>
    <s v="Id63"/>
    <s v="Dunn"/>
    <n v="52.06"/>
    <s v="Diabetes"/>
    <s v="No"/>
    <s v="No"/>
    <x v="0"/>
    <s v="No major surgery"/>
    <x v="0"/>
    <s v="Obesity"/>
    <s v="Diabetes"/>
    <m/>
    <m/>
    <m/>
    <m/>
    <m/>
  </r>
  <r>
    <s v="Id64"/>
    <s v="Blitzer"/>
    <n v="30.684999999999999"/>
    <s v="Diabetes"/>
    <s v="yes"/>
    <s v="No"/>
    <x v="0"/>
    <s v="No major surgery"/>
    <x v="0"/>
    <s v="Obesity"/>
    <s v="Diabetes"/>
    <m/>
    <m/>
    <m/>
    <m/>
    <m/>
  </r>
  <r>
    <s v="Id65"/>
    <s v="Smith"/>
    <n v="36.08"/>
    <s v="Diabetes"/>
    <s v="yes"/>
    <s v="No"/>
    <x v="0"/>
    <n v="1"/>
    <x v="0"/>
    <s v="Obesity"/>
    <s v="Diabetes"/>
    <m/>
    <m/>
    <m/>
    <m/>
    <m/>
  </r>
  <r>
    <s v="Id66"/>
    <s v="Hyland"/>
    <n v="54.99"/>
    <s v="Diabetes"/>
    <s v="No"/>
    <s v="No"/>
    <x v="0"/>
    <n v="2"/>
    <x v="0"/>
    <s v="Obesity"/>
    <s v="Diabetes"/>
    <m/>
    <m/>
    <m/>
    <m/>
    <m/>
  </r>
  <r>
    <s v="Id67"/>
    <s v="Ducharme"/>
    <n v="35.97"/>
    <s v="Prediabetes"/>
    <s v="No"/>
    <s v="No"/>
    <x v="1"/>
    <n v="1"/>
    <x v="0"/>
    <s v="Obesity"/>
    <s v="Prediabetes"/>
    <m/>
    <m/>
    <m/>
    <m/>
    <m/>
  </r>
  <r>
    <s v="Id68"/>
    <s v="Johnson"/>
    <n v="45.54"/>
    <s v="Normal"/>
    <s v="yes"/>
    <s v="No"/>
    <x v="1"/>
    <n v="1"/>
    <x v="0"/>
    <s v="Obesity"/>
    <s v="Normal"/>
    <m/>
    <m/>
    <m/>
    <m/>
    <m/>
  </r>
  <r>
    <s v="Id69"/>
    <s v="Mutz"/>
    <n v="35.53"/>
    <s v="Normal"/>
    <s v="yes"/>
    <s v="No"/>
    <x v="0"/>
    <s v="No major surgery"/>
    <x v="0"/>
    <s v="Obesity"/>
    <s v="Normal"/>
    <m/>
    <m/>
    <m/>
    <m/>
    <m/>
  </r>
  <r>
    <s v="Id70"/>
    <s v="Lee"/>
    <n v="30.8"/>
    <s v="Diabetes"/>
    <s v="No"/>
    <s v="No"/>
    <x v="0"/>
    <s v="No major surgery"/>
    <x v="0"/>
    <s v="Obesity"/>
    <s v="Diabetes"/>
    <m/>
    <m/>
    <m/>
    <m/>
    <m/>
  </r>
  <r>
    <s v="Id71"/>
    <s v="Turner"/>
    <n v="38.39"/>
    <s v="Normal"/>
    <s v="No"/>
    <s v="No"/>
    <x v="0"/>
    <n v="1"/>
    <x v="0"/>
    <s v="Obesity"/>
    <s v="Normal"/>
    <m/>
    <m/>
    <m/>
    <m/>
    <m/>
  </r>
  <r>
    <s v="Id72"/>
    <s v="Rangel"/>
    <n v="32.299999999999997"/>
    <s v="Normal"/>
    <s v="No"/>
    <s v="No"/>
    <x v="0"/>
    <n v="2"/>
    <x v="0"/>
    <s v="Obesity"/>
    <s v="Normal"/>
    <m/>
    <m/>
    <m/>
    <m/>
    <m/>
  </r>
  <r>
    <s v="Id73"/>
    <s v="Lacey"/>
    <n v="48.8"/>
    <s v="Prediabetes"/>
    <s v="yes"/>
    <s v="No"/>
    <x v="0"/>
    <n v="2"/>
    <x v="0"/>
    <s v="Obesity"/>
    <s v="Prediabetes"/>
    <m/>
    <m/>
    <m/>
    <m/>
    <m/>
  </r>
  <r>
    <s v="Id74"/>
    <s v="Stiger"/>
    <n v="45.5"/>
    <s v="Diabetes"/>
    <s v="No"/>
    <s v="No"/>
    <x v="0"/>
    <s v="No major surgery"/>
    <x v="0"/>
    <s v="Obesity"/>
    <s v="Diabetes"/>
    <m/>
    <m/>
    <m/>
    <m/>
    <m/>
  </r>
  <r>
    <s v="Id75"/>
    <s v="Caldwell"/>
    <n v="53.61"/>
    <s v="Diabetes"/>
    <s v="yes"/>
    <s v="No"/>
    <x v="0"/>
    <n v="1"/>
    <x v="0"/>
    <s v="Obesity"/>
    <s v="Diabetes"/>
    <m/>
    <m/>
    <m/>
    <m/>
    <m/>
  </r>
  <r>
    <s v="Id76"/>
    <s v="Marmillod"/>
    <n v="36.19"/>
    <s v="Diabetes"/>
    <s v="yes"/>
    <s v="No"/>
    <x v="0"/>
    <n v="1"/>
    <x v="0"/>
    <s v="Obesity"/>
    <s v="Diabetes"/>
    <m/>
    <m/>
    <m/>
    <m/>
    <m/>
  </r>
  <r>
    <s v="Id77"/>
    <s v="Cloutier-Simons"/>
    <n v="34.6"/>
    <s v="Prediabetes"/>
    <s v="yes"/>
    <s v="No"/>
    <x v="0"/>
    <s v="No major surgery"/>
    <x v="0"/>
    <s v="Obesity"/>
    <s v="Prediabetes"/>
    <m/>
    <m/>
    <m/>
    <m/>
    <m/>
  </r>
  <r>
    <s v="Id78"/>
    <s v="Vegas"/>
    <n v="54.12"/>
    <s v="Diabetes"/>
    <s v="No"/>
    <s v="No"/>
    <x v="0"/>
    <s v="No major surgery"/>
    <x v="0"/>
    <s v="Obesity"/>
    <s v="Diabetes"/>
    <m/>
    <m/>
    <m/>
    <m/>
    <m/>
  </r>
  <r>
    <s v="Id79"/>
    <s v="Cochran"/>
    <n v="48.82"/>
    <s v="Diabetes"/>
    <s v="yes"/>
    <s v="No"/>
    <x v="0"/>
    <s v="No major surgery"/>
    <x v="0"/>
    <s v="Obesity"/>
    <s v="Diabetes"/>
    <m/>
    <m/>
    <m/>
    <m/>
    <m/>
  </r>
  <r>
    <s v="Id80"/>
    <s v="Holtzapple"/>
    <n v="51.01"/>
    <s v="Diabetes"/>
    <s v="No"/>
    <s v="No"/>
    <x v="0"/>
    <s v="No major surgery"/>
    <x v="0"/>
    <s v="Obesity"/>
    <s v="Diabetes"/>
    <m/>
    <m/>
    <m/>
    <m/>
    <m/>
  </r>
  <r>
    <s v="Id81"/>
    <s v="Meyer"/>
    <n v="45.65"/>
    <s v="Normal"/>
    <s v="yes"/>
    <s v="No"/>
    <x v="0"/>
    <n v="1"/>
    <x v="0"/>
    <s v="Obesity"/>
    <s v="Normal"/>
    <m/>
    <m/>
    <m/>
    <m/>
    <m/>
  </r>
  <r>
    <s v="Id82"/>
    <s v="Brickley"/>
    <n v="52.9"/>
    <s v="Normal"/>
    <s v="No"/>
    <s v="No"/>
    <x v="0"/>
    <s v="No major surgery"/>
    <x v="0"/>
    <s v="Obesity"/>
    <s v="Normal"/>
    <m/>
    <m/>
    <m/>
    <m/>
    <m/>
  </r>
  <r>
    <s v="Id83"/>
    <s v="Magee"/>
    <n v="45.41"/>
    <s v="Normal"/>
    <s v="yes"/>
    <s v="No"/>
    <x v="0"/>
    <n v="1"/>
    <x v="0"/>
    <s v="Obesity"/>
    <s v="Normal"/>
    <m/>
    <m/>
    <m/>
    <m/>
    <m/>
  </r>
  <r>
    <s v="Id84"/>
    <s v="Thoma"/>
    <n v="49.41"/>
    <s v="Normal"/>
    <s v="yes"/>
    <s v="No"/>
    <x v="1"/>
    <n v="1"/>
    <x v="0"/>
    <s v="Obesity"/>
    <s v="Normal"/>
    <m/>
    <m/>
    <m/>
    <m/>
    <m/>
  </r>
  <r>
    <s v="Id85"/>
    <s v="Heagy"/>
    <n v="31.824999999999999"/>
    <s v="Normal"/>
    <s v="No"/>
    <s v="No"/>
    <x v="0"/>
    <n v="2"/>
    <x v="0"/>
    <s v="Obesity"/>
    <s v="Normal"/>
    <m/>
    <m/>
    <m/>
    <m/>
    <m/>
  </r>
  <r>
    <s v="Id86"/>
    <s v="Regnier"/>
    <n v="51.28"/>
    <s v="Normal"/>
    <s v="No"/>
    <s v="No"/>
    <x v="0"/>
    <n v="2"/>
    <x v="0"/>
    <s v="Obesity"/>
    <s v="Normal"/>
    <m/>
    <m/>
    <m/>
    <m/>
    <m/>
  </r>
  <r>
    <s v="Id87"/>
    <s v="Parendo"/>
    <n v="34.96"/>
    <s v="Normal"/>
    <s v="No"/>
    <s v="No"/>
    <x v="1"/>
    <n v="1"/>
    <x v="0"/>
    <s v="Obesity"/>
    <s v="Normal"/>
    <m/>
    <m/>
    <m/>
    <m/>
    <m/>
  </r>
  <r>
    <s v="Id88"/>
    <s v="Schell"/>
    <n v="33.11"/>
    <s v="Diabetes"/>
    <s v="No"/>
    <s v="No"/>
    <x v="0"/>
    <s v="No major surgery"/>
    <x v="0"/>
    <s v="Obesity"/>
    <s v="Diabetes"/>
    <m/>
    <m/>
    <m/>
    <m/>
    <m/>
  </r>
  <r>
    <s v="Id89"/>
    <s v="Driscoll"/>
    <n v="54.74"/>
    <s v="Prediabetes"/>
    <s v="yes"/>
    <s v="No"/>
    <x v="1"/>
    <n v="1"/>
    <x v="0"/>
    <s v="Obesity"/>
    <s v="Prediabetes"/>
    <m/>
    <m/>
    <m/>
    <m/>
    <m/>
  </r>
  <r>
    <s v="Id90"/>
    <s v="Mitchell"/>
    <n v="32.56"/>
    <s v="Normal"/>
    <s v="No"/>
    <s v="No"/>
    <x v="1"/>
    <n v="1"/>
    <x v="0"/>
    <s v="Obesity"/>
    <s v="Normal"/>
    <m/>
    <m/>
    <m/>
    <m/>
    <m/>
  </r>
  <r>
    <s v="Id91"/>
    <s v="Cutler"/>
    <n v="39.049999999999997"/>
    <s v="Prediabetes"/>
    <s v="No"/>
    <s v="No"/>
    <x v="0"/>
    <n v="1"/>
    <x v="0"/>
    <s v="Obesity"/>
    <s v="Prediabetes"/>
    <m/>
    <m/>
    <m/>
    <m/>
    <m/>
  </r>
  <r>
    <s v="Id92"/>
    <s v="Derian"/>
    <n v="42.75"/>
    <s v="Normal"/>
    <s v="No"/>
    <s v="No"/>
    <x v="0"/>
    <s v="No major surgery"/>
    <x v="0"/>
    <s v="Obesity"/>
    <s v="Normal"/>
    <m/>
    <m/>
    <m/>
    <m/>
    <m/>
  </r>
  <r>
    <s v="Id93"/>
    <s v="Farina"/>
    <n v="50.58"/>
    <s v="Normal"/>
    <s v="No"/>
    <s v="No"/>
    <x v="0"/>
    <n v="2"/>
    <x v="0"/>
    <s v="Obesity"/>
    <s v="Normal"/>
    <m/>
    <m/>
    <m/>
    <m/>
    <m/>
  </r>
  <r>
    <s v="Id94"/>
    <s v="Saunders"/>
    <n v="30.495000000000001"/>
    <s v="Normal"/>
    <s v="yes"/>
    <s v="No"/>
    <x v="0"/>
    <s v="No major surgery"/>
    <x v="0"/>
    <s v="Obesity"/>
    <s v="Normal"/>
    <m/>
    <m/>
    <m/>
    <m/>
    <m/>
  </r>
  <r>
    <s v="Id95"/>
    <s v="Kratz"/>
    <n v="48.31"/>
    <s v="Diabetes"/>
    <s v="yes"/>
    <s v="No"/>
    <x v="0"/>
    <n v="2"/>
    <x v="0"/>
    <s v="Obesity"/>
    <s v="Diabetes"/>
    <m/>
    <m/>
    <m/>
    <m/>
    <m/>
  </r>
  <r>
    <s v="Id96"/>
    <s v="Boland"/>
    <n v="48.99"/>
    <s v="Diabetes"/>
    <s v="yes"/>
    <s v="No"/>
    <x v="0"/>
    <n v="1"/>
    <x v="0"/>
    <s v="Obesity"/>
    <s v="Diabetes"/>
    <m/>
    <m/>
    <m/>
    <m/>
    <m/>
  </r>
  <r>
    <s v="Id97"/>
    <s v="Van Hout"/>
    <n v="38.39"/>
    <s v="Normal"/>
    <s v="yes"/>
    <s v="No"/>
    <x v="0"/>
    <s v="No major surgery"/>
    <x v="0"/>
    <s v="Obesity"/>
    <s v="Normal"/>
    <m/>
    <m/>
    <m/>
    <m/>
    <m/>
  </r>
  <r>
    <s v="Id98"/>
    <s v="Ramsey"/>
    <n v="44.34"/>
    <s v="Normal"/>
    <s v="yes"/>
    <s v="No"/>
    <x v="0"/>
    <n v="2"/>
    <x v="0"/>
    <s v="Obesity"/>
    <s v="Normal"/>
    <m/>
    <m/>
    <m/>
    <m/>
    <m/>
  </r>
  <r>
    <s v="Id99"/>
    <s v="Gage"/>
    <n v="41.51"/>
    <s v="Diabetes"/>
    <s v="No"/>
    <s v="No"/>
    <x v="0"/>
    <s v="No major surgery"/>
    <x v="0"/>
    <s v="Obesity"/>
    <s v="Diabetes"/>
    <m/>
    <m/>
    <m/>
    <m/>
    <m/>
  </r>
  <r>
    <s v="Id100"/>
    <s v="Gollins"/>
    <n v="48.2"/>
    <s v="Normal"/>
    <s v="No"/>
    <s v="No"/>
    <x v="0"/>
    <s v="No major surgery"/>
    <x v="0"/>
    <s v="Obesity"/>
    <s v="Normal"/>
    <m/>
    <m/>
    <m/>
    <m/>
    <m/>
  </r>
  <r>
    <s v="Id101"/>
    <s v="Benestad"/>
    <n v="35.75"/>
    <s v="Diabetes"/>
    <s v="yes"/>
    <s v="No"/>
    <x v="0"/>
    <s v="No major surgery"/>
    <x v="0"/>
    <s v="Obesity"/>
    <s v="Diabetes"/>
    <m/>
    <m/>
    <m/>
    <m/>
    <m/>
  </r>
  <r>
    <s v="Id102"/>
    <s v="Aviv"/>
    <n v="53.81"/>
    <s v="Diabetes"/>
    <s v="yes"/>
    <s v="No"/>
    <x v="0"/>
    <s v="No major surgery"/>
    <x v="0"/>
    <s v="Obesity"/>
    <s v="Diabetes"/>
    <m/>
    <m/>
    <m/>
    <m/>
    <m/>
  </r>
  <r>
    <s v="Id103"/>
    <s v="Burns"/>
    <n v="49.48"/>
    <s v="Normal"/>
    <s v="No"/>
    <s v="No"/>
    <x v="1"/>
    <n v="1"/>
    <x v="0"/>
    <s v="Obesity"/>
    <s v="Normal"/>
    <m/>
    <m/>
    <m/>
    <m/>
    <m/>
  </r>
  <r>
    <s v="Id104"/>
    <s v="Maldonado"/>
    <n v="34.1"/>
    <s v="Normal"/>
    <s v="yes"/>
    <s v="No"/>
    <x v="0"/>
    <s v="No major surgery"/>
    <x v="0"/>
    <s v="Obesity"/>
    <s v="Normal"/>
    <m/>
    <m/>
    <m/>
    <m/>
    <m/>
  </r>
  <r>
    <s v="Id105"/>
    <s v="Yitref"/>
    <n v="35.299999999999997"/>
    <s v="Prediabetes"/>
    <s v="yes"/>
    <s v="No"/>
    <x v="1"/>
    <n v="1"/>
    <x v="0"/>
    <s v="Obesity"/>
    <s v="Prediabetes"/>
    <m/>
    <m/>
    <m/>
    <m/>
    <m/>
  </r>
  <r>
    <s v="Id106"/>
    <s v="Loudon-Brown"/>
    <n v="43.83"/>
    <s v="Prediabetes"/>
    <s v="yes"/>
    <s v="No"/>
    <x v="0"/>
    <n v="2"/>
    <x v="0"/>
    <s v="Obesity"/>
    <s v="Prediabetes"/>
    <m/>
    <m/>
    <m/>
    <m/>
    <m/>
  </r>
  <r>
    <s v="Id107"/>
    <s v="Sugathadasa"/>
    <n v="50.07"/>
    <s v="Diabetes"/>
    <s v="No"/>
    <s v="No"/>
    <x v="0"/>
    <s v="No major surgery"/>
    <x v="0"/>
    <s v="Obesity"/>
    <s v="Diabetes"/>
    <m/>
    <m/>
    <m/>
    <m/>
    <m/>
  </r>
  <r>
    <s v="Id108"/>
    <s v="Ganley"/>
    <n v="32.774999999999999"/>
    <s v="Normal"/>
    <s v="No"/>
    <s v="No"/>
    <x v="0"/>
    <s v="No major surgery"/>
    <x v="0"/>
    <s v="Obesity"/>
    <s v="Normal"/>
    <m/>
    <m/>
    <m/>
    <m/>
    <m/>
  </r>
  <r>
    <s v="Id109"/>
    <s v="Potter"/>
    <n v="34.104999999999997"/>
    <s v="Normal"/>
    <s v="No"/>
    <s v="No"/>
    <x v="0"/>
    <n v="1"/>
    <x v="0"/>
    <s v="Obesity"/>
    <s v="Normal"/>
    <m/>
    <m/>
    <m/>
    <m/>
    <m/>
  </r>
  <r>
    <s v="Id110"/>
    <s v="Rasmussen"/>
    <n v="48.93"/>
    <s v="Diabetes"/>
    <s v="yes"/>
    <s v="No"/>
    <x v="0"/>
    <n v="1"/>
    <x v="0"/>
    <s v="Obesity"/>
    <s v="Diabetes"/>
    <m/>
    <m/>
    <m/>
    <m/>
    <m/>
  </r>
  <r>
    <s v="Id111"/>
    <s v="Robinson"/>
    <n v="37.07"/>
    <s v="Prediabetes"/>
    <s v="yes"/>
    <s v="No"/>
    <x v="0"/>
    <s v="No major surgery"/>
    <x v="0"/>
    <s v="Obesity"/>
    <s v="Prediabetes"/>
    <m/>
    <m/>
    <m/>
    <m/>
    <m/>
  </r>
  <r>
    <s v="Id112"/>
    <s v="Antonopoulos"/>
    <n v="51.51"/>
    <s v="Prediabetes"/>
    <s v="yes"/>
    <s v="No"/>
    <x v="1"/>
    <n v="1"/>
    <x v="0"/>
    <s v="Obesity"/>
    <s v="Prediabetes"/>
    <m/>
    <m/>
    <m/>
    <m/>
    <m/>
  </r>
  <r>
    <s v="Id113"/>
    <s v="Groner"/>
    <n v="34.799999999999997"/>
    <s v="Normal"/>
    <s v="yes"/>
    <s v="No"/>
    <x v="0"/>
    <s v="No major surgery"/>
    <x v="0"/>
    <s v="Obesity"/>
    <s v="Normal"/>
    <m/>
    <m/>
    <m/>
    <m/>
    <m/>
  </r>
  <r>
    <s v="Id114"/>
    <s v="Zywicki"/>
    <n v="36.67"/>
    <s v="Normal"/>
    <s v="No"/>
    <s v="No"/>
    <x v="0"/>
    <n v="1"/>
    <x v="0"/>
    <s v="Obesity"/>
    <s v="Normal"/>
    <m/>
    <m/>
    <m/>
    <m/>
    <m/>
  </r>
  <r>
    <s v="Id115"/>
    <s v="Cardinal"/>
    <n v="30.9"/>
    <s v="Diabetes"/>
    <s v="No"/>
    <s v="No"/>
    <x v="0"/>
    <n v="2"/>
    <x v="0"/>
    <s v="Obesity"/>
    <s v="Diabetes"/>
    <m/>
    <m/>
    <m/>
    <m/>
    <m/>
  </r>
  <r>
    <s v="Id116"/>
    <s v="Alleman"/>
    <n v="30.495000000000001"/>
    <s v="Prediabetes"/>
    <s v="No"/>
    <s v="No"/>
    <x v="0"/>
    <s v="No major surgery"/>
    <x v="0"/>
    <s v="Obesity"/>
    <s v="Prediabetes"/>
    <m/>
    <m/>
    <m/>
    <m/>
    <m/>
  </r>
  <r>
    <s v="Id117"/>
    <s v="Stroffolino"/>
    <n v="44.88"/>
    <s v="Prediabetes"/>
    <s v="No"/>
    <s v="No"/>
    <x v="1"/>
    <n v="1"/>
    <x v="0"/>
    <s v="Obesity"/>
    <s v="Prediabetes"/>
    <m/>
    <m/>
    <m/>
    <m/>
    <m/>
  </r>
  <r>
    <s v="Id118"/>
    <s v="Clubb"/>
    <n v="44.32"/>
    <s v="Diabetes"/>
    <s v="No"/>
    <s v="No"/>
    <x v="0"/>
    <s v="No major surgery"/>
    <x v="0"/>
    <s v="Obesity"/>
    <s v="Diabetes"/>
    <m/>
    <m/>
    <m/>
    <m/>
    <m/>
  </r>
  <r>
    <s v="Id119"/>
    <s v="McGoogan"/>
    <n v="46.39"/>
    <s v="Normal"/>
    <s v="No"/>
    <s v="No"/>
    <x v="0"/>
    <s v="No major surgery"/>
    <x v="0"/>
    <s v="Obesity"/>
    <s v="Normal"/>
    <m/>
    <m/>
    <m/>
    <m/>
    <m/>
  </r>
  <r>
    <s v="Id120"/>
    <s v="Keflezighi"/>
    <n v="42.13"/>
    <s v="Normal"/>
    <s v="yes"/>
    <s v="No"/>
    <x v="0"/>
    <n v="1"/>
    <x v="0"/>
    <s v="Obesity"/>
    <s v="Normal"/>
    <m/>
    <m/>
    <m/>
    <m/>
    <m/>
  </r>
  <r>
    <s v="Id121"/>
    <s v="Syed"/>
    <n v="30.78"/>
    <s v="Diabetes"/>
    <s v="yes"/>
    <s v="No"/>
    <x v="0"/>
    <s v="No major surgery"/>
    <x v="0"/>
    <s v="Obesity"/>
    <s v="Diabetes"/>
    <m/>
    <m/>
    <m/>
    <m/>
    <m/>
  </r>
  <r>
    <s v="Id122"/>
    <s v="Segal"/>
    <n v="31.35"/>
    <s v="Diabetes"/>
    <s v="No"/>
    <s v="No"/>
    <x v="0"/>
    <s v="No major surgery"/>
    <x v="0"/>
    <s v="Obesity"/>
    <s v="Diabetes"/>
    <m/>
    <m/>
    <m/>
    <m/>
    <m/>
  </r>
  <r>
    <s v="Id123"/>
    <s v="Defranco"/>
    <n v="41.46"/>
    <s v="Normal"/>
    <s v="yes"/>
    <s v="No"/>
    <x v="0"/>
    <n v="2"/>
    <x v="0"/>
    <s v="Obesity"/>
    <s v="Normal"/>
    <m/>
    <m/>
    <m/>
    <m/>
    <m/>
  </r>
  <r>
    <s v="Id124"/>
    <s v="Kells"/>
    <n v="48"/>
    <s v="Diabetes"/>
    <s v="No"/>
    <s v="No"/>
    <x v="0"/>
    <s v="No major surgery"/>
    <x v="0"/>
    <s v="Obesity"/>
    <s v="Diabetes"/>
    <m/>
    <m/>
    <m/>
    <m/>
    <m/>
  </r>
  <r>
    <s v="Id125"/>
    <s v="Lawton"/>
    <n v="49.13"/>
    <s v="Normal"/>
    <s v="No"/>
    <s v="No"/>
    <x v="0"/>
    <s v="No major surgery"/>
    <x v="0"/>
    <s v="Obesity"/>
    <s v="Normal"/>
    <m/>
    <m/>
    <m/>
    <m/>
    <m/>
  </r>
  <r>
    <s v="Id126"/>
    <s v="Bejar"/>
    <n v="37.799999999999997"/>
    <s v="Prediabetes"/>
    <s v="No"/>
    <s v="No"/>
    <x v="0"/>
    <n v="1"/>
    <x v="0"/>
    <s v="Obesity"/>
    <s v="Prediabetes"/>
    <m/>
    <m/>
    <m/>
    <m/>
    <m/>
  </r>
  <r>
    <s v="Id127"/>
    <s v="Navarro Castro"/>
    <n v="38.299999999999997"/>
    <s v="Diabetes"/>
    <s v="No"/>
    <s v="No"/>
    <x v="0"/>
    <s v="No major surgery"/>
    <x v="0"/>
    <s v="Obesity"/>
    <s v="Diabetes"/>
    <m/>
    <m/>
    <m/>
    <m/>
    <m/>
  </r>
  <r>
    <s v="Id128"/>
    <s v="Tice"/>
    <n v="32.774999999999999"/>
    <s v="Normal"/>
    <s v="No"/>
    <s v="No"/>
    <x v="0"/>
    <s v="No major surgery"/>
    <x v="0"/>
    <s v="Obesity"/>
    <s v="Normal"/>
    <m/>
    <m/>
    <m/>
    <m/>
    <m/>
  </r>
  <r>
    <s v="Id129"/>
    <s v="Wolf"/>
    <n v="34.200000000000003"/>
    <s v="Prediabetes"/>
    <s v="yes"/>
    <s v="No"/>
    <x v="0"/>
    <s v="No major surgery"/>
    <x v="0"/>
    <s v="Obesity"/>
    <s v="Prediabetes"/>
    <m/>
    <m/>
    <m/>
    <m/>
    <m/>
  </r>
  <r>
    <s v="Id130"/>
    <s v="Oppedal"/>
    <n v="30.2"/>
    <s v="Diabetes"/>
    <s v="No"/>
    <s v="No"/>
    <x v="0"/>
    <s v="No major surgery"/>
    <x v="0"/>
    <s v="Obesity"/>
    <s v="Diabetes"/>
    <m/>
    <m/>
    <m/>
    <m/>
    <m/>
  </r>
  <r>
    <s v="Id131"/>
    <s v="Wright"/>
    <n v="48.32"/>
    <s v="Prediabetes"/>
    <s v="No"/>
    <s v="No"/>
    <x v="0"/>
    <s v="No major surgery"/>
    <x v="0"/>
    <s v="Obesity"/>
    <s v="Prediabetes"/>
    <m/>
    <m/>
    <m/>
    <m/>
    <m/>
  </r>
  <r>
    <s v="Id132"/>
    <s v="Ellis"/>
    <n v="44.86"/>
    <s v="Normal"/>
    <s v="yes"/>
    <s v="No"/>
    <x v="0"/>
    <s v="No major surgery"/>
    <x v="0"/>
    <s v="Obesity"/>
    <s v="Normal"/>
    <m/>
    <m/>
    <m/>
    <m/>
    <m/>
  </r>
  <r>
    <s v="Id133"/>
    <s v="Taormina"/>
    <n v="52.15"/>
    <s v="Normal"/>
    <s v="No"/>
    <s v="No"/>
    <x v="0"/>
    <n v="1"/>
    <x v="0"/>
    <s v="Obesity"/>
    <s v="Normal"/>
    <m/>
    <m/>
    <m/>
    <m/>
    <m/>
  </r>
  <r>
    <s v="Id134"/>
    <s v="Lynch"/>
    <n v="41.12"/>
    <s v="Diabetes"/>
    <s v="yes"/>
    <s v="No"/>
    <x v="0"/>
    <s v="No major surgery"/>
    <x v="0"/>
    <s v="Obesity"/>
    <s v="Diabetes"/>
    <m/>
    <m/>
    <m/>
    <m/>
    <m/>
  </r>
  <r>
    <s v="Id135"/>
    <s v="Tavella"/>
    <n v="38.39"/>
    <s v="Normal"/>
    <s v="yes"/>
    <s v="No"/>
    <x v="0"/>
    <n v="1"/>
    <x v="0"/>
    <s v="Obesity"/>
    <s v="Normal"/>
    <m/>
    <m/>
    <m/>
    <m/>
    <m/>
  </r>
  <r>
    <s v="Id136"/>
    <s v="Neufeld"/>
    <n v="46.85"/>
    <s v="Normal"/>
    <s v="No"/>
    <s v="No"/>
    <x v="1"/>
    <n v="1"/>
    <x v="0"/>
    <s v="Obesity"/>
    <s v="Normal"/>
    <m/>
    <m/>
    <m/>
    <m/>
    <m/>
  </r>
  <r>
    <s v="Id137"/>
    <s v="Walhovd"/>
    <n v="42.24"/>
    <s v="Normal"/>
    <s v="No"/>
    <s v="yes"/>
    <x v="0"/>
    <n v="1"/>
    <x v="0"/>
    <s v="Obesity"/>
    <s v="Normal"/>
    <m/>
    <m/>
    <m/>
    <m/>
    <m/>
  </r>
  <r>
    <s v="Id138"/>
    <s v="Washburn"/>
    <n v="34.39"/>
    <s v="Prediabetes"/>
    <s v="No"/>
    <s v="No"/>
    <x v="0"/>
    <s v="No major surgery"/>
    <x v="0"/>
    <s v="Obesity"/>
    <s v="Prediabetes"/>
    <m/>
    <m/>
    <m/>
    <m/>
    <m/>
  </r>
  <r>
    <s v="Id139"/>
    <s v="Mroz"/>
    <n v="42.89"/>
    <s v="Normal"/>
    <s v="yes"/>
    <s v="No"/>
    <x v="0"/>
    <s v="No major surgery"/>
    <x v="0"/>
    <s v="Obesity"/>
    <s v="Normal"/>
    <m/>
    <m/>
    <m/>
    <m/>
    <m/>
  </r>
  <r>
    <s v="Id140"/>
    <s v="Canaday"/>
    <n v="36.299999999999997"/>
    <s v="Normal"/>
    <s v="No"/>
    <s v="No"/>
    <x v="0"/>
    <s v="No major surgery"/>
    <x v="0"/>
    <s v="Obesity"/>
    <s v="Normal"/>
    <m/>
    <m/>
    <m/>
    <m/>
    <m/>
  </r>
  <r>
    <s v="Id141"/>
    <s v="Atkins"/>
    <n v="35.200000000000003"/>
    <s v="Diabetes"/>
    <s v="yes"/>
    <s v="No"/>
    <x v="0"/>
    <n v="1"/>
    <x v="0"/>
    <s v="Obesity"/>
    <s v="Diabetes"/>
    <m/>
    <m/>
    <m/>
    <m/>
    <m/>
  </r>
  <r>
    <s v="Id142"/>
    <s v="Kropelnicki"/>
    <n v="53.62"/>
    <s v="Normal"/>
    <s v="No"/>
    <s v="No"/>
    <x v="0"/>
    <s v="No major surgery"/>
    <x v="0"/>
    <s v="Obesity"/>
    <s v="Normal"/>
    <m/>
    <m/>
    <m/>
    <m/>
    <m/>
  </r>
  <r>
    <s v="Id143"/>
    <s v="Braund"/>
    <n v="36.67"/>
    <s v="Prediabetes"/>
    <s v="No"/>
    <s v="No"/>
    <x v="0"/>
    <s v="No major surgery"/>
    <x v="0"/>
    <s v="Obesity"/>
    <s v="Prediabetes"/>
    <m/>
    <m/>
    <m/>
    <m/>
    <m/>
  </r>
  <r>
    <s v="Id144"/>
    <s v="Anderson"/>
    <n v="33.4"/>
    <s v="Diabetes"/>
    <s v="yes"/>
    <s v="No"/>
    <x v="0"/>
    <n v="1"/>
    <x v="0"/>
    <s v="Obesity"/>
    <s v="Diabetes"/>
    <m/>
    <m/>
    <m/>
    <m/>
    <m/>
  </r>
  <r>
    <s v="Id145"/>
    <s v="Bilbrey"/>
    <n v="42.71"/>
    <s v="Diabetes"/>
    <s v="No"/>
    <s v="No"/>
    <x v="0"/>
    <s v="No major surgery"/>
    <x v="0"/>
    <s v="Obesity"/>
    <s v="Diabetes"/>
    <m/>
    <m/>
    <m/>
    <m/>
    <m/>
  </r>
  <r>
    <s v="Id146"/>
    <s v="Curtis"/>
    <n v="41.52"/>
    <s v="Diabetes"/>
    <s v="yes"/>
    <s v="No"/>
    <x v="0"/>
    <n v="2"/>
    <x v="0"/>
    <s v="Obesity"/>
    <s v="Diabetes"/>
    <m/>
    <m/>
    <m/>
    <m/>
    <m/>
  </r>
  <r>
    <s v="Id147"/>
    <s v="Meyer"/>
    <n v="39.4"/>
    <s v="Diabetes"/>
    <s v="No"/>
    <s v="No"/>
    <x v="0"/>
    <s v="No major surgery"/>
    <x v="0"/>
    <s v="Obesity"/>
    <s v="Diabetes"/>
    <m/>
    <m/>
    <m/>
    <m/>
    <m/>
  </r>
  <r>
    <s v="Id148"/>
    <s v="Bardeesy"/>
    <n v="46.45"/>
    <s v="Normal"/>
    <s v="No"/>
    <s v="No"/>
    <x v="0"/>
    <s v="No major surgery"/>
    <x v="0"/>
    <s v="Obesity"/>
    <s v="Normal"/>
    <m/>
    <m/>
    <m/>
    <m/>
    <m/>
  </r>
  <r>
    <s v="Id149"/>
    <s v="Shanahan"/>
    <n v="35.75"/>
    <s v="Normal"/>
    <s v="No"/>
    <s v="No"/>
    <x v="0"/>
    <s v="No major surgery"/>
    <x v="0"/>
    <s v="Obesity"/>
    <s v="Normal"/>
    <m/>
    <m/>
    <m/>
    <m/>
    <m/>
  </r>
  <r>
    <s v="Id150"/>
    <s v="Sutter"/>
    <n v="26.07"/>
    <s v="Normal"/>
    <s v="No"/>
    <s v="No"/>
    <x v="0"/>
    <s v="No major surgery"/>
    <x v="0"/>
    <s v="Overweight"/>
    <s v="Normal"/>
    <m/>
    <m/>
    <m/>
    <m/>
    <m/>
  </r>
  <r>
    <s v="Id151"/>
    <s v="Yesian"/>
    <n v="36.54"/>
    <s v="Normal"/>
    <s v="yes"/>
    <s v="No"/>
    <x v="0"/>
    <n v="1"/>
    <x v="0"/>
    <s v="Obesity"/>
    <s v="Normal"/>
    <m/>
    <m/>
    <m/>
    <m/>
    <m/>
  </r>
  <r>
    <s v="Id152"/>
    <s v="Meers"/>
    <n v="51.64"/>
    <s v="Normal"/>
    <s v="No"/>
    <s v="No"/>
    <x v="0"/>
    <s v="No major surgery"/>
    <x v="0"/>
    <s v="Obesity"/>
    <s v="Normal"/>
    <m/>
    <m/>
    <m/>
    <m/>
    <m/>
  </r>
  <r>
    <s v="Id153"/>
    <s v="Conlon"/>
    <n v="42.83"/>
    <s v="Prediabetes"/>
    <s v="No"/>
    <s v="No"/>
    <x v="0"/>
    <n v="2"/>
    <x v="0"/>
    <s v="Obesity"/>
    <s v="Prediabetes"/>
    <m/>
    <m/>
    <m/>
    <m/>
    <m/>
  </r>
  <r>
    <s v="Id154"/>
    <s v="Arnstein"/>
    <n v="40.15"/>
    <s v="Prediabetes"/>
    <s v="No"/>
    <s v="No"/>
    <x v="0"/>
    <n v="1"/>
    <x v="0"/>
    <s v="Obesity"/>
    <s v="Prediabetes"/>
    <m/>
    <m/>
    <m/>
    <m/>
    <m/>
  </r>
  <r>
    <s v="Id155"/>
    <s v="Jurek"/>
    <n v="27.8"/>
    <s v="Normal"/>
    <s v="No"/>
    <s v="No"/>
    <x v="1"/>
    <n v="1"/>
    <x v="0"/>
    <s v="Overweight"/>
    <s v="Normal"/>
    <m/>
    <m/>
    <m/>
    <m/>
    <m/>
  </r>
  <r>
    <s v="Id156"/>
    <s v="Thill"/>
    <n v="45.81"/>
    <s v="Normal"/>
    <s v="yes"/>
    <s v="No"/>
    <x v="1"/>
    <n v="1"/>
    <x v="0"/>
    <s v="Obesity"/>
    <s v="Normal"/>
    <m/>
    <m/>
    <m/>
    <m/>
    <m/>
  </r>
  <r>
    <s v="Id157"/>
    <s v="Glaz"/>
    <n v="34.43"/>
    <s v="Diabetes"/>
    <s v="yes"/>
    <s v="No"/>
    <x v="0"/>
    <n v="1"/>
    <x v="0"/>
    <s v="Obesity"/>
    <s v="Diabetes"/>
    <m/>
    <m/>
    <m/>
    <m/>
    <m/>
  </r>
  <r>
    <s v="Id158"/>
    <s v="Sampson"/>
    <n v="41.33"/>
    <s v="Normal"/>
    <s v="yes"/>
    <s v="No"/>
    <x v="0"/>
    <s v="No major surgery"/>
    <x v="0"/>
    <s v="Obesity"/>
    <s v="Normal"/>
    <m/>
    <m/>
    <m/>
    <m/>
    <m/>
  </r>
  <r>
    <s v="Id159"/>
    <s v="Duliba"/>
    <n v="31.92"/>
    <s v="Normal"/>
    <s v="yes"/>
    <s v="No"/>
    <x v="0"/>
    <n v="1"/>
    <x v="0"/>
    <s v="Obesity"/>
    <s v="Normal"/>
    <m/>
    <m/>
    <m/>
    <m/>
    <m/>
  </r>
  <r>
    <s v="Id160"/>
    <s v="Tanguay"/>
    <n v="39.799999999999997"/>
    <s v="Diabetes"/>
    <s v="yes"/>
    <s v="No"/>
    <x v="0"/>
    <n v="2"/>
    <x v="0"/>
    <s v="Obesity"/>
    <s v="Diabetes"/>
    <m/>
    <m/>
    <m/>
    <m/>
    <m/>
  </r>
  <r>
    <s v="Id161"/>
    <s v="McClelland"/>
    <n v="42.82"/>
    <s v="Normal"/>
    <s v="No"/>
    <s v="No"/>
    <x v="0"/>
    <s v="No major surgery"/>
    <x v="0"/>
    <s v="Obesity"/>
    <s v="Normal"/>
    <m/>
    <m/>
    <m/>
    <m/>
    <m/>
  </r>
  <r>
    <s v="Id162"/>
    <s v="Gorman"/>
    <n v="33.630000000000003"/>
    <s v="Normal"/>
    <s v="No"/>
    <s v="No"/>
    <x v="0"/>
    <s v="No major surgery"/>
    <x v="0"/>
    <s v="Obesity"/>
    <s v="Normal"/>
    <m/>
    <m/>
    <m/>
    <m/>
    <m/>
  </r>
  <r>
    <s v="Id163"/>
    <s v="Nishimura"/>
    <n v="37.07"/>
    <s v="Normal"/>
    <s v="No"/>
    <s v="yes"/>
    <x v="0"/>
    <n v="1"/>
    <x v="0"/>
    <s v="Obesity"/>
    <s v="Normal"/>
    <m/>
    <m/>
    <m/>
    <m/>
    <m/>
  </r>
  <r>
    <s v="Id164"/>
    <s v="Brimble"/>
    <n v="35.625"/>
    <s v="Diabetes"/>
    <s v="No"/>
    <s v="No"/>
    <x v="0"/>
    <s v="No major surgery"/>
    <x v="0"/>
    <s v="Obesity"/>
    <s v="Diabetes"/>
    <m/>
    <m/>
    <m/>
    <m/>
    <m/>
  </r>
  <r>
    <s v="Id165"/>
    <s v="Trenk"/>
    <n v="42.69"/>
    <s v="Normal"/>
    <s v="No"/>
    <s v="No"/>
    <x v="1"/>
    <n v="1"/>
    <x v="0"/>
    <s v="Obesity"/>
    <s v="Normal"/>
    <m/>
    <m/>
    <m/>
    <m/>
    <m/>
  </r>
  <r>
    <s v="Id166"/>
    <s v="Wittmann"/>
    <n v="37.869999999999997"/>
    <s v="Normal"/>
    <s v="yes"/>
    <s v="No"/>
    <x v="1"/>
    <n v="1"/>
    <x v="0"/>
    <s v="Obesity"/>
    <s v="Normal"/>
    <m/>
    <m/>
    <m/>
    <m/>
    <m/>
  </r>
  <r>
    <s v="Id167"/>
    <s v="Tremblay"/>
    <n v="40.61"/>
    <s v="Diabetes"/>
    <s v="yes"/>
    <s v="No"/>
    <x v="0"/>
    <n v="1"/>
    <x v="0"/>
    <s v="Obesity"/>
    <s v="Diabetes"/>
    <m/>
    <m/>
    <m/>
    <m/>
    <m/>
  </r>
  <r>
    <s v="Id168"/>
    <s v="Scofield"/>
    <n v="30.78"/>
    <s v="Normal"/>
    <s v="yes"/>
    <s v="No"/>
    <x v="0"/>
    <s v="No major surgery"/>
    <x v="0"/>
    <s v="Obesity"/>
    <s v="Normal"/>
    <m/>
    <m/>
    <m/>
    <m/>
    <m/>
  </r>
  <r>
    <s v="Id169"/>
    <s v="Yost"/>
    <n v="49.49"/>
    <s v="Normal"/>
    <s v="No"/>
    <s v="No"/>
    <x v="0"/>
    <s v="No major surgery"/>
    <x v="0"/>
    <s v="Obesity"/>
    <s v="Normal"/>
    <m/>
    <m/>
    <m/>
    <m/>
    <m/>
  </r>
  <r>
    <s v="Id170"/>
    <s v="Torphy"/>
    <n v="37.619999999999997"/>
    <s v="Prediabetes"/>
    <s v="yes"/>
    <s v="yes"/>
    <x v="0"/>
    <n v="2"/>
    <x v="0"/>
    <s v="Obesity"/>
    <s v="Prediabetes"/>
    <m/>
    <m/>
    <m/>
    <m/>
    <m/>
  </r>
  <r>
    <s v="Id171"/>
    <s v="Busby"/>
    <n v="36.08"/>
    <s v="Prediabetes"/>
    <s v="yes"/>
    <s v="No"/>
    <x v="0"/>
    <n v="1"/>
    <x v="0"/>
    <s v="Obesity"/>
    <s v="Prediabetes"/>
    <m/>
    <m/>
    <m/>
    <m/>
    <m/>
  </r>
  <r>
    <s v="Id172"/>
    <s v="Nguyen"/>
    <n v="33.5"/>
    <s v="Normal"/>
    <s v="No"/>
    <s v="No"/>
    <x v="0"/>
    <s v="No major surgery"/>
    <x v="0"/>
    <s v="Obesity"/>
    <s v="Normal"/>
    <m/>
    <m/>
    <m/>
    <m/>
    <m/>
  </r>
  <r>
    <s v="Id173"/>
    <s v="Hanley"/>
    <n v="47.46"/>
    <s v="Prediabetes"/>
    <s v="yes"/>
    <s v="No"/>
    <x v="0"/>
    <n v="1"/>
    <x v="0"/>
    <s v="Obesity"/>
    <s v="Prediabetes"/>
    <m/>
    <m/>
    <m/>
    <m/>
    <m/>
  </r>
  <r>
    <s v="Id174"/>
    <s v="Scheer"/>
    <n v="49.24"/>
    <s v="Normal"/>
    <s v="No"/>
    <s v="No"/>
    <x v="0"/>
    <s v="No major surgery"/>
    <x v="0"/>
    <s v="Obesity"/>
    <s v="Normal"/>
    <m/>
    <m/>
    <m/>
    <m/>
    <m/>
  </r>
  <r>
    <s v="Id175"/>
    <s v="Rankin"/>
    <n v="54.4"/>
    <s v="Normal"/>
    <s v="No"/>
    <s v="No"/>
    <x v="0"/>
    <n v="1"/>
    <x v="0"/>
    <s v="Obesity"/>
    <s v="Normal"/>
    <m/>
    <m/>
    <m/>
    <m/>
    <m/>
  </r>
  <r>
    <s v="Id176"/>
    <s v="Ricardi"/>
    <n v="35.53"/>
    <s v="Normal"/>
    <s v="No"/>
    <s v="No"/>
    <x v="0"/>
    <n v="1"/>
    <x v="0"/>
    <s v="Obesity"/>
    <s v="Normal"/>
    <m/>
    <m/>
    <m/>
    <m/>
    <m/>
  </r>
  <r>
    <s v="Id177"/>
    <s v="Karkos"/>
    <n v="39.729999999999997"/>
    <s v="Prediabetes"/>
    <s v="No"/>
    <s v="No"/>
    <x v="0"/>
    <s v="No major surgery"/>
    <x v="0"/>
    <s v="Obesity"/>
    <s v="Prediabetes"/>
    <m/>
    <m/>
    <m/>
    <m/>
    <m/>
  </r>
  <r>
    <s v="Id178"/>
    <s v="Price-Dierksen"/>
    <n v="35.68"/>
    <s v="Diabetes"/>
    <s v="No"/>
    <s v="No"/>
    <x v="0"/>
    <s v="No major surgery"/>
    <x v="0"/>
    <s v="Obesity"/>
    <s v="Diabetes"/>
    <m/>
    <m/>
    <m/>
    <m/>
    <m/>
  </r>
  <r>
    <s v="Id179"/>
    <s v="Knispel"/>
    <n v="48.86"/>
    <s v="Prediabetes"/>
    <s v="No"/>
    <s v="No"/>
    <x v="0"/>
    <s v="No major surgery"/>
    <x v="0"/>
    <s v="Obesity"/>
    <s v="Prediabetes"/>
    <m/>
    <m/>
    <m/>
    <m/>
    <m/>
  </r>
  <r>
    <s v="Id180"/>
    <s v="King"/>
    <n v="34.799999999999997"/>
    <s v="Diabetes"/>
    <s v="yes"/>
    <s v="No"/>
    <x v="1"/>
    <n v="1"/>
    <x v="1"/>
    <s v="Obesity"/>
    <s v="Diabetes"/>
    <m/>
    <m/>
    <m/>
    <m/>
    <m/>
  </r>
  <r>
    <s v="Id181"/>
    <s v="Samuelson"/>
    <n v="32.49"/>
    <s v="Normal"/>
    <s v="No"/>
    <s v="No"/>
    <x v="1"/>
    <n v="1"/>
    <x v="0"/>
    <s v="Obesity"/>
    <s v="Normal"/>
    <m/>
    <m/>
    <m/>
    <m/>
    <m/>
  </r>
  <r>
    <s v="Id182"/>
    <s v="Fredsall"/>
    <n v="39"/>
    <s v="Prediabetes"/>
    <s v="No"/>
    <s v="No"/>
    <x v="0"/>
    <n v="2"/>
    <x v="0"/>
    <s v="Obesity"/>
    <s v="Prediabetes"/>
    <m/>
    <m/>
    <m/>
    <m/>
    <m/>
  </r>
  <r>
    <s v="Id183"/>
    <s v="Eggleston"/>
    <n v="35.299999999999997"/>
    <s v="Prediabetes"/>
    <s v="No"/>
    <s v="No"/>
    <x v="0"/>
    <n v="1"/>
    <x v="0"/>
    <s v="Obesity"/>
    <s v="Prediabetes"/>
    <m/>
    <m/>
    <m/>
    <m/>
    <m/>
  </r>
  <r>
    <s v="Id184"/>
    <s v="Palombaro"/>
    <n v="33.42"/>
    <s v="Diabetes"/>
    <s v="No"/>
    <s v="No"/>
    <x v="0"/>
    <s v="No major surgery"/>
    <x v="0"/>
    <s v="Obesity"/>
    <s v="Diabetes"/>
    <m/>
    <m/>
    <m/>
    <m/>
    <m/>
  </r>
  <r>
    <s v="Id185"/>
    <s v="Silva"/>
    <n v="37.18"/>
    <s v="Diabetes"/>
    <s v="yes"/>
    <s v="No"/>
    <x v="0"/>
    <n v="2"/>
    <x v="0"/>
    <s v="Obesity"/>
    <s v="Diabetes"/>
    <m/>
    <m/>
    <m/>
    <m/>
    <m/>
  </r>
  <r>
    <s v="Id186"/>
    <s v="Bugala"/>
    <n v="33.33"/>
    <s v="Diabetes"/>
    <s v="yes"/>
    <s v="No"/>
    <x v="0"/>
    <n v="2"/>
    <x v="1"/>
    <s v="Obesity"/>
    <s v="Diabetes"/>
    <m/>
    <m/>
    <m/>
    <m/>
    <m/>
  </r>
  <r>
    <s v="Id187"/>
    <s v="Dublin"/>
    <n v="53.21"/>
    <s v="Normal"/>
    <s v="No"/>
    <s v="No"/>
    <x v="0"/>
    <n v="1"/>
    <x v="0"/>
    <s v="Obesity"/>
    <s v="Normal"/>
    <m/>
    <m/>
    <m/>
    <m/>
    <m/>
  </r>
  <r>
    <s v="Id188"/>
    <s v="Cleland"/>
    <n v="38.729999999999997"/>
    <s v="Diabetes"/>
    <s v="No"/>
    <s v="No"/>
    <x v="0"/>
    <n v="2"/>
    <x v="0"/>
    <s v="Obesity"/>
    <s v="Diabetes"/>
    <m/>
    <m/>
    <m/>
    <m/>
    <m/>
  </r>
  <r>
    <s v="Id189"/>
    <s v="Evans"/>
    <n v="29.73"/>
    <s v="Diabetes"/>
    <s v="No"/>
    <s v="No"/>
    <x v="0"/>
    <s v="No major surgery"/>
    <x v="0"/>
    <s v="Overweight"/>
    <s v="Diabetes"/>
    <m/>
    <m/>
    <m/>
    <m/>
    <m/>
  </r>
  <r>
    <s v="Id190"/>
    <s v="Boyd"/>
    <n v="34.700000000000003"/>
    <s v="Normal"/>
    <s v="No"/>
    <s v="No"/>
    <x v="1"/>
    <n v="1"/>
    <x v="0"/>
    <s v="Obesity"/>
    <s v="Normal"/>
    <m/>
    <m/>
    <m/>
    <m/>
    <m/>
  </r>
  <r>
    <s v="Id191"/>
    <s v="Roulier"/>
    <n v="38.28"/>
    <s v="Diabetes"/>
    <s v="yes"/>
    <s v="No"/>
    <x v="0"/>
    <n v="1"/>
    <x v="0"/>
    <s v="Obesity"/>
    <s v="Diabetes"/>
    <m/>
    <m/>
    <m/>
    <m/>
    <m/>
  </r>
  <r>
    <s v="Id192"/>
    <s v="Mullins"/>
    <n v="33.57"/>
    <s v="Diabetes"/>
    <s v="yes"/>
    <s v="No"/>
    <x v="0"/>
    <s v="No major surgery"/>
    <x v="0"/>
    <s v="Obesity"/>
    <s v="Diabetes"/>
    <m/>
    <m/>
    <m/>
    <m/>
    <m/>
  </r>
  <r>
    <s v="Id193"/>
    <s v="Hofmann"/>
    <n v="52.06"/>
    <s v="Normal"/>
    <s v="No"/>
    <s v="No"/>
    <x v="0"/>
    <n v="1"/>
    <x v="0"/>
    <s v="Obesity"/>
    <s v="Normal"/>
    <m/>
    <m/>
    <m/>
    <m/>
    <m/>
  </r>
  <r>
    <s v="Id194"/>
    <s v="Garcia Garcia"/>
    <n v="38.17"/>
    <s v="Normal"/>
    <s v="No"/>
    <s v="yes"/>
    <x v="0"/>
    <n v="1"/>
    <x v="0"/>
    <s v="Obesity"/>
    <s v="Normal"/>
    <m/>
    <m/>
    <m/>
    <m/>
    <m/>
  </r>
  <r>
    <s v="Id195"/>
    <s v="Klecker"/>
    <n v="36.954999999999998"/>
    <s v="Prediabetes"/>
    <s v="No"/>
    <s v="No"/>
    <x v="1"/>
    <n v="1"/>
    <x v="0"/>
    <s v="Obesity"/>
    <s v="Prediabetes"/>
    <m/>
    <m/>
    <m/>
    <m/>
    <m/>
  </r>
  <r>
    <s v="Id196"/>
    <s v="Cancre"/>
    <n v="34.4"/>
    <s v="Normal"/>
    <s v="No"/>
    <s v="No"/>
    <x v="1"/>
    <n v="1"/>
    <x v="0"/>
    <s v="Obesity"/>
    <s v="Normal"/>
    <m/>
    <m/>
    <m/>
    <m/>
    <m/>
  </r>
  <r>
    <s v="Id197"/>
    <s v="Denucci"/>
    <n v="31.73"/>
    <s v="Normal"/>
    <s v="No"/>
    <s v="No"/>
    <x v="0"/>
    <s v="No major surgery"/>
    <x v="0"/>
    <s v="Obesity"/>
    <s v="Normal"/>
    <m/>
    <m/>
    <m/>
    <m/>
    <m/>
  </r>
  <r>
    <s v="Id198"/>
    <s v="Saldana"/>
    <n v="36.64"/>
    <s v="Diabetes"/>
    <s v="No"/>
    <s v="No"/>
    <x v="0"/>
    <s v="No major surgery"/>
    <x v="0"/>
    <s v="Obesity"/>
    <s v="Diabetes"/>
    <m/>
    <m/>
    <m/>
    <m/>
    <m/>
  </r>
  <r>
    <s v="Id199"/>
    <s v="Weinberg"/>
    <n v="36.85"/>
    <s v="Prediabetes"/>
    <s v="No"/>
    <s v="yes"/>
    <x v="0"/>
    <n v="1"/>
    <x v="0"/>
    <s v="Obesity"/>
    <s v="Prediabetes"/>
    <m/>
    <m/>
    <m/>
    <m/>
    <m/>
  </r>
  <r>
    <s v="Id200"/>
    <s v="Walsh"/>
    <n v="33.33"/>
    <s v="Normal"/>
    <s v="yes"/>
    <s v="No"/>
    <x v="1"/>
    <n v="1"/>
    <x v="0"/>
    <s v="Obesity"/>
    <s v="Normal"/>
    <m/>
    <m/>
    <m/>
    <m/>
    <m/>
  </r>
  <r>
    <s v="Id201"/>
    <s v="Pasten"/>
    <n v="39.14"/>
    <s v="Normal"/>
    <s v="No"/>
    <s v="No"/>
    <x v="1"/>
    <n v="1"/>
    <x v="0"/>
    <s v="Obesity"/>
    <s v="Normal"/>
    <m/>
    <m/>
    <m/>
    <m/>
    <m/>
  </r>
  <r>
    <s v="Id202"/>
    <s v="LaBelle"/>
    <n v="32.9"/>
    <s v="Prediabetes"/>
    <s v="yes"/>
    <s v="No"/>
    <x v="0"/>
    <s v="No major surgery"/>
    <x v="0"/>
    <s v="Obesity"/>
    <s v="Prediabetes"/>
    <m/>
    <m/>
    <m/>
    <m/>
    <m/>
  </r>
  <r>
    <s v="Id203"/>
    <s v="Guzman"/>
    <n v="29.78"/>
    <s v="Diabetes"/>
    <s v="yes"/>
    <s v="No"/>
    <x v="1"/>
    <n v="1"/>
    <x v="0"/>
    <s v="Overweight"/>
    <s v="Diabetes"/>
    <m/>
    <m/>
    <m/>
    <m/>
    <m/>
  </r>
  <r>
    <s v="Id204"/>
    <s v="Turnbull"/>
    <n v="32.78"/>
    <s v="Normal"/>
    <s v="No"/>
    <s v="No"/>
    <x v="0"/>
    <s v="No major surgery"/>
    <x v="0"/>
    <s v="Obesity"/>
    <s v="Normal"/>
    <m/>
    <m/>
    <m/>
    <m/>
    <m/>
  </r>
  <r>
    <s v="Id205"/>
    <s v="Aguero"/>
    <n v="41.65"/>
    <s v="Diabetes"/>
    <s v="yes"/>
    <s v="No"/>
    <x v="0"/>
    <s v="No major surgery"/>
    <x v="0"/>
    <s v="Obesity"/>
    <s v="Diabetes"/>
    <m/>
    <m/>
    <m/>
    <m/>
    <m/>
  </r>
  <r>
    <s v="Id206"/>
    <s v="Woodward"/>
    <n v="50.79"/>
    <s v="Normal"/>
    <s v="No"/>
    <s v="No"/>
    <x v="0"/>
    <n v="1"/>
    <x v="0"/>
    <s v="Obesity"/>
    <s v="Normal"/>
    <m/>
    <m/>
    <m/>
    <m/>
    <m/>
  </r>
  <r>
    <s v="Id207"/>
    <s v="McElroy"/>
    <n v="35.43"/>
    <s v="Normal"/>
    <s v="yes"/>
    <s v="No"/>
    <x v="0"/>
    <s v="No major surgery"/>
    <x v="0"/>
    <s v="Obesity"/>
    <s v="Normal"/>
    <m/>
    <m/>
    <m/>
    <m/>
    <m/>
  </r>
  <r>
    <s v="Id208"/>
    <s v="Lopez"/>
    <n v="35.25"/>
    <s v="Diabetes"/>
    <s v="No"/>
    <s v="No"/>
    <x v="0"/>
    <s v="No major surgery"/>
    <x v="0"/>
    <s v="Obesity"/>
    <s v="Diabetes"/>
    <m/>
    <m/>
    <m/>
    <m/>
    <m/>
  </r>
  <r>
    <s v="Id209"/>
    <s v="Cardosi"/>
    <n v="36.85"/>
    <s v="Diabetes"/>
    <s v="No"/>
    <s v="No"/>
    <x v="0"/>
    <s v="No major surgery"/>
    <x v="0"/>
    <s v="Obesity"/>
    <s v="Diabetes"/>
    <m/>
    <m/>
    <m/>
    <m/>
    <m/>
  </r>
  <r>
    <s v="Id210"/>
    <s v="Looney"/>
    <n v="31.02"/>
    <s v="Normal"/>
    <s v="No"/>
    <s v="yes"/>
    <x v="0"/>
    <n v="1"/>
    <x v="0"/>
    <s v="Obesity"/>
    <s v="Normal"/>
    <m/>
    <m/>
    <m/>
    <m/>
    <m/>
  </r>
  <r>
    <s v="Id211"/>
    <s v="Zyryanov"/>
    <n v="35.6"/>
    <s v="Normal"/>
    <s v="yes"/>
    <s v="yes"/>
    <x v="0"/>
    <n v="2"/>
    <x v="0"/>
    <s v="Obesity"/>
    <s v="Normal"/>
    <m/>
    <m/>
    <m/>
    <m/>
    <m/>
  </r>
  <r>
    <s v="Id212"/>
    <s v="Gavin"/>
    <n v="34.39"/>
    <s v="Diabetes"/>
    <s v="No"/>
    <s v="No"/>
    <x v="0"/>
    <s v="No major surgery"/>
    <x v="0"/>
    <s v="Obesity"/>
    <s v="Diabetes"/>
    <m/>
    <m/>
    <m/>
    <m/>
    <m/>
  </r>
  <r>
    <s v="Id213"/>
    <s v="Littlefield"/>
    <n v="29.06"/>
    <s v="Prediabetes"/>
    <s v="yes"/>
    <s v="No"/>
    <x v="0"/>
    <n v="1"/>
    <x v="0"/>
    <s v="Overweight"/>
    <s v="Prediabetes"/>
    <m/>
    <m/>
    <m/>
    <m/>
    <m/>
  </r>
  <r>
    <s v="Id214"/>
    <s v="Shearer"/>
    <n v="35.799999999999997"/>
    <s v="Diabetes"/>
    <s v="No"/>
    <s v="No"/>
    <x v="0"/>
    <n v="2"/>
    <x v="0"/>
    <s v="Obesity"/>
    <s v="Diabetes"/>
    <m/>
    <m/>
    <m/>
    <m/>
    <m/>
  </r>
  <r>
    <s v="Id215"/>
    <s v="Armstrong"/>
    <n v="49.8"/>
    <s v="Normal"/>
    <s v="No"/>
    <s v="No"/>
    <x v="0"/>
    <n v="1"/>
    <x v="0"/>
    <s v="Obesity"/>
    <s v="Normal"/>
    <m/>
    <m/>
    <m/>
    <m/>
    <m/>
  </r>
  <r>
    <s v="Id216"/>
    <s v="Warriner"/>
    <n v="35.71"/>
    <s v="Diabetes"/>
    <s v="No"/>
    <s v="No"/>
    <x v="0"/>
    <n v="2"/>
    <x v="0"/>
    <s v="Obesity"/>
    <s v="Diabetes"/>
    <m/>
    <m/>
    <m/>
    <m/>
    <m/>
  </r>
  <r>
    <s v="Id217"/>
    <s v="White"/>
    <n v="30.8"/>
    <s v="Normal"/>
    <s v="yes"/>
    <s v="No"/>
    <x v="0"/>
    <n v="1"/>
    <x v="0"/>
    <s v="Obesity"/>
    <s v="Normal"/>
    <m/>
    <m/>
    <m/>
    <m/>
    <m/>
  </r>
  <r>
    <s v="Id218"/>
    <s v="Cordaro"/>
    <n v="33.69"/>
    <s v="Diabetes"/>
    <s v="No"/>
    <s v="No"/>
    <x v="0"/>
    <s v="No major surgery"/>
    <x v="0"/>
    <s v="Obesity"/>
    <s v="Diabetes"/>
    <m/>
    <m/>
    <m/>
    <m/>
    <m/>
  </r>
  <r>
    <s v="Id219"/>
    <s v="Hamilton"/>
    <n v="42.27"/>
    <s v="Prediabetes"/>
    <s v="yes"/>
    <s v="No"/>
    <x v="0"/>
    <n v="1"/>
    <x v="0"/>
    <s v="Obesity"/>
    <s v="Prediabetes"/>
    <m/>
    <m/>
    <m/>
    <m/>
    <m/>
  </r>
  <r>
    <s v="Id220"/>
    <s v="Meyer"/>
    <n v="53.25"/>
    <s v="Prediabetes"/>
    <s v="yes"/>
    <s v="No"/>
    <x v="1"/>
    <n v="1"/>
    <x v="0"/>
    <s v="Obesity"/>
    <s v="Prediabetes"/>
    <m/>
    <m/>
    <m/>
    <m/>
    <m/>
  </r>
  <r>
    <s v="Id221"/>
    <s v="Duke"/>
    <n v="26.8"/>
    <s v="Diabetes"/>
    <s v="yes"/>
    <s v="No"/>
    <x v="0"/>
    <s v="No major surgery"/>
    <x v="1"/>
    <s v="Overweight"/>
    <s v="Diabetes"/>
    <m/>
    <m/>
    <m/>
    <m/>
    <m/>
  </r>
  <r>
    <s v="Id222"/>
    <s v="Malatesta"/>
    <n v="28.5"/>
    <s v="Normal"/>
    <s v="No"/>
    <s v="No"/>
    <x v="0"/>
    <n v="1"/>
    <x v="0"/>
    <s v="Overweight"/>
    <s v="Normal"/>
    <m/>
    <m/>
    <m/>
    <m/>
    <m/>
  </r>
  <r>
    <s v="Id223"/>
    <s v="Hinrichsen"/>
    <n v="22.895"/>
    <s v="Prediabetes"/>
    <s v="No"/>
    <s v="No"/>
    <x v="0"/>
    <s v="No major surgery"/>
    <x v="0"/>
    <s v="Normal Weight"/>
    <s v="Prediabetes"/>
    <m/>
    <m/>
    <m/>
    <m/>
    <m/>
  </r>
  <r>
    <s v="Id224"/>
    <s v="Lucan"/>
    <n v="34.06"/>
    <s v="Diabetes"/>
    <s v="yes"/>
    <s v="No"/>
    <x v="0"/>
    <n v="1"/>
    <x v="0"/>
    <s v="Obesity"/>
    <s v="Diabetes"/>
    <m/>
    <m/>
    <m/>
    <m/>
    <m/>
  </r>
  <r>
    <s v="Id225"/>
    <s v="Koch"/>
    <n v="36.409999999999997"/>
    <s v="Normal"/>
    <s v="No"/>
    <s v="No"/>
    <x v="0"/>
    <s v="No major surgery"/>
    <x v="0"/>
    <s v="Obesity"/>
    <s v="Normal"/>
    <m/>
    <m/>
    <m/>
    <m/>
    <m/>
  </r>
  <r>
    <s v="Id226"/>
    <s v="Smith"/>
    <n v="52.3"/>
    <s v="Normal"/>
    <s v="yes"/>
    <s v="No"/>
    <x v="1"/>
    <n v="1"/>
    <x v="0"/>
    <s v="Obesity"/>
    <s v="Normal"/>
    <m/>
    <m/>
    <m/>
    <m/>
    <m/>
  </r>
  <r>
    <s v="Id227"/>
    <s v="O'Connor"/>
    <n v="52.66"/>
    <s v="Normal"/>
    <s v="No"/>
    <s v="No"/>
    <x v="0"/>
    <n v="1"/>
    <x v="0"/>
    <s v="Obesity"/>
    <s v="Normal"/>
    <m/>
    <m/>
    <m/>
    <m/>
    <m/>
  </r>
  <r>
    <s v="Id228"/>
    <s v="Kampwerth"/>
    <n v="29.57"/>
    <s v="Diabetes"/>
    <s v="yes"/>
    <s v="No"/>
    <x v="0"/>
    <s v="No major surgery"/>
    <x v="0"/>
    <s v="Overweight"/>
    <s v="Diabetes"/>
    <m/>
    <m/>
    <m/>
    <m/>
    <m/>
  </r>
  <r>
    <s v="Id229"/>
    <s v="Federoff"/>
    <n v="36.99"/>
    <s v="Normal"/>
    <s v="yes"/>
    <s v="No"/>
    <x v="1"/>
    <n v="1"/>
    <x v="0"/>
    <s v="Obesity"/>
    <s v="Normal"/>
    <m/>
    <m/>
    <m/>
    <m/>
    <m/>
  </r>
  <r>
    <s v="Id230"/>
    <s v="Goya"/>
    <n v="31.4"/>
    <s v="Normal"/>
    <s v="yes"/>
    <s v="No"/>
    <x v="0"/>
    <n v="1"/>
    <x v="0"/>
    <s v="Obesity"/>
    <s v="Normal"/>
    <m/>
    <m/>
    <m/>
    <m/>
    <m/>
  </r>
  <r>
    <s v="Id231"/>
    <s v="Hodges"/>
    <n v="34.9"/>
    <s v="Prediabetes"/>
    <s v="No"/>
    <s v="No"/>
    <x v="1"/>
    <n v="1"/>
    <x v="0"/>
    <s v="Obesity"/>
    <s v="Prediabetes"/>
    <m/>
    <m/>
    <m/>
    <m/>
    <m/>
  </r>
  <r>
    <s v="Id232"/>
    <s v="Erickson"/>
    <n v="31.13"/>
    <s v="Normal"/>
    <s v="yes"/>
    <s v="No"/>
    <x v="0"/>
    <n v="1"/>
    <x v="0"/>
    <s v="Obesity"/>
    <s v="Normal"/>
    <m/>
    <m/>
    <m/>
    <m/>
    <m/>
  </r>
  <r>
    <s v="Id233"/>
    <s v="Welleck"/>
    <n v="34.799999999999997"/>
    <s v="Prediabetes"/>
    <s v="No"/>
    <s v="No"/>
    <x v="1"/>
    <n v="1"/>
    <x v="0"/>
    <s v="Obesity"/>
    <s v="Prediabetes"/>
    <m/>
    <m/>
    <m/>
    <m/>
    <m/>
  </r>
  <r>
    <s v="Id234"/>
    <s v="Polen"/>
    <n v="31.68"/>
    <s v="Normal"/>
    <s v="No"/>
    <s v="No"/>
    <x v="0"/>
    <s v="No major surgery"/>
    <x v="0"/>
    <s v="Obesity"/>
    <s v="Normal"/>
    <m/>
    <m/>
    <m/>
    <m/>
    <m/>
  </r>
  <r>
    <s v="Id235"/>
    <s v="Lynch"/>
    <n v="33.534999999999997"/>
    <s v="Prediabetes"/>
    <s v="No"/>
    <s v="yes"/>
    <x v="0"/>
    <n v="1"/>
    <x v="0"/>
    <s v="Obesity"/>
    <s v="Prediabetes"/>
    <m/>
    <m/>
    <m/>
    <m/>
    <m/>
  </r>
  <r>
    <s v="Id236"/>
    <s v="Hufstader"/>
    <n v="31.92"/>
    <s v="Normal"/>
    <s v="yes"/>
    <s v="No"/>
    <x v="0"/>
    <s v="No major surgery"/>
    <x v="0"/>
    <s v="Obesity"/>
    <s v="Normal"/>
    <m/>
    <m/>
    <m/>
    <m/>
    <m/>
  </r>
  <r>
    <s v="Id237"/>
    <s v="Doak"/>
    <n v="32.700000000000003"/>
    <s v="Normal"/>
    <s v="No"/>
    <s v="No"/>
    <x v="0"/>
    <n v="1"/>
    <x v="0"/>
    <s v="Obesity"/>
    <s v="Normal"/>
    <m/>
    <m/>
    <m/>
    <m/>
    <m/>
  </r>
  <r>
    <s v="Id238"/>
    <s v="Noya"/>
    <n v="41.25"/>
    <s v="Normal"/>
    <s v="No"/>
    <s v="No"/>
    <x v="0"/>
    <s v="No major surgery"/>
    <x v="0"/>
    <s v="Obesity"/>
    <s v="Normal"/>
    <m/>
    <m/>
    <m/>
    <m/>
    <m/>
  </r>
  <r>
    <s v="Id239"/>
    <s v="Heninger"/>
    <n v="33.11"/>
    <s v="Normal"/>
    <s v="No"/>
    <s v="No"/>
    <x v="1"/>
    <n v="1"/>
    <x v="0"/>
    <s v="Obesity"/>
    <s v="Normal"/>
    <m/>
    <m/>
    <m/>
    <m/>
    <m/>
  </r>
  <r>
    <s v="Id240"/>
    <s v="Richardson"/>
    <n v="36.159999999999997"/>
    <s v="Normal"/>
    <s v="No"/>
    <s v="No"/>
    <x v="0"/>
    <n v="1"/>
    <x v="0"/>
    <s v="Obesity"/>
    <s v="Normal"/>
    <m/>
    <m/>
    <m/>
    <m/>
    <m/>
  </r>
  <r>
    <s v="Id241"/>
    <s v="Deucher"/>
    <n v="33.72"/>
    <s v="Prediabetes"/>
    <s v="yes"/>
    <s v="No"/>
    <x v="1"/>
    <n v="1"/>
    <x v="0"/>
    <s v="Obesity"/>
    <s v="Prediabetes"/>
    <m/>
    <m/>
    <m/>
    <m/>
    <m/>
  </r>
  <r>
    <s v="Id242"/>
    <s v="Wilson"/>
    <n v="37.74"/>
    <s v="Diabetes"/>
    <s v="yes"/>
    <s v="No"/>
    <x v="0"/>
    <n v="1"/>
    <x v="0"/>
    <s v="Obesity"/>
    <s v="Diabetes"/>
    <m/>
    <m/>
    <m/>
    <m/>
    <m/>
  </r>
  <r>
    <s v="Id243"/>
    <s v="Hall"/>
    <n v="48.75"/>
    <s v="Normal"/>
    <s v="yes"/>
    <s v="No"/>
    <x v="0"/>
    <n v="1"/>
    <x v="0"/>
    <s v="Obesity"/>
    <s v="Normal"/>
    <m/>
    <m/>
    <m/>
    <m/>
    <m/>
  </r>
  <r>
    <s v="Id244"/>
    <s v="Reed"/>
    <n v="31.065000000000001"/>
    <s v="Normal"/>
    <s v="No"/>
    <s v="No"/>
    <x v="0"/>
    <n v="1"/>
    <x v="0"/>
    <s v="Obesity"/>
    <s v="Normal"/>
    <m/>
    <m/>
    <m/>
    <m/>
    <m/>
  </r>
  <r>
    <s v="Id245"/>
    <s v="Frome"/>
    <n v="23.55"/>
    <s v="Diabetes"/>
    <s v="No"/>
    <s v="No"/>
    <x v="0"/>
    <s v="No major surgery"/>
    <x v="0"/>
    <s v="Normal Weight"/>
    <s v="Diabetes"/>
    <m/>
    <m/>
    <m/>
    <m/>
    <m/>
  </r>
  <r>
    <s v="Id246"/>
    <s v="Creasy"/>
    <n v="30.18"/>
    <s v="Diabetes"/>
    <s v="yes"/>
    <s v="No"/>
    <x v="0"/>
    <n v="1"/>
    <x v="0"/>
    <s v="Obesity"/>
    <s v="Diabetes"/>
    <m/>
    <m/>
    <m/>
    <m/>
    <m/>
  </r>
  <r>
    <s v="Id247"/>
    <s v="Latimer"/>
    <n v="29.94"/>
    <s v="Diabetes"/>
    <s v="No"/>
    <s v="No"/>
    <x v="0"/>
    <s v="No major surgery"/>
    <x v="0"/>
    <e v="#N/A"/>
    <s v="Diabetes"/>
    <m/>
    <m/>
    <m/>
    <m/>
    <m/>
  </r>
  <r>
    <s v="Id248"/>
    <s v="Wei"/>
    <n v="31.4"/>
    <s v="Normal"/>
    <s v="No"/>
    <s v="No"/>
    <x v="0"/>
    <s v="No major surgery"/>
    <x v="0"/>
    <s v="Obesity"/>
    <s v="Normal"/>
    <m/>
    <m/>
    <m/>
    <m/>
    <m/>
  </r>
  <r>
    <s v="Id249"/>
    <s v="Hayes"/>
    <n v="53.06"/>
    <s v="Diabetes"/>
    <s v="No"/>
    <s v="No"/>
    <x v="0"/>
    <s v="No major surgery"/>
    <x v="0"/>
    <s v="Obesity"/>
    <s v="Diabetes"/>
    <m/>
    <m/>
    <m/>
    <m/>
    <m/>
  </r>
  <r>
    <s v="Id250"/>
    <s v="Velardo"/>
    <n v="30.25"/>
    <s v="Normal"/>
    <s v="No"/>
    <s v="No"/>
    <x v="0"/>
    <n v="2"/>
    <x v="0"/>
    <s v="Obesity"/>
    <s v="Normal"/>
    <m/>
    <m/>
    <m/>
    <m/>
    <m/>
  </r>
  <r>
    <s v="Id251"/>
    <s v="Kastes"/>
    <n v="46.68"/>
    <s v="Normal"/>
    <s v="No"/>
    <s v="No"/>
    <x v="0"/>
    <s v="No major surgery"/>
    <x v="0"/>
    <s v="Obesity"/>
    <s v="Normal"/>
    <m/>
    <m/>
    <m/>
    <m/>
    <m/>
  </r>
  <r>
    <s v="Id252"/>
    <s v="Escorcia"/>
    <n v="30.4"/>
    <s v="Prediabetes"/>
    <s v="No"/>
    <s v="yes"/>
    <x v="0"/>
    <n v="2"/>
    <x v="0"/>
    <s v="Obesity"/>
    <s v="Prediabetes"/>
    <m/>
    <m/>
    <m/>
    <m/>
    <m/>
  </r>
  <r>
    <s v="Id253"/>
    <s v="Larscheid"/>
    <n v="30.2"/>
    <s v="Normal"/>
    <s v="yes"/>
    <s v="No"/>
    <x v="1"/>
    <n v="1"/>
    <x v="0"/>
    <s v="Obesity"/>
    <s v="Normal"/>
    <m/>
    <m/>
    <m/>
    <m/>
    <m/>
  </r>
  <r>
    <s v="Id254"/>
    <s v="O'Bannon"/>
    <n v="51.18"/>
    <s v="Normal"/>
    <s v="yes"/>
    <s v="yes"/>
    <x v="0"/>
    <n v="2"/>
    <x v="0"/>
    <s v="Obesity"/>
    <s v="Normal"/>
    <m/>
    <m/>
    <m/>
    <m/>
    <m/>
  </r>
  <r>
    <s v="Id255"/>
    <s v="Ridgway"/>
    <n v="22.18"/>
    <s v="Diabetes"/>
    <s v="No"/>
    <s v="No"/>
    <x v="0"/>
    <s v="No major surgery"/>
    <x v="0"/>
    <s v="Normal Weight"/>
    <s v="Diabetes"/>
    <m/>
    <m/>
    <m/>
    <m/>
    <m/>
  </r>
  <r>
    <s v="Id256"/>
    <s v="Black"/>
    <n v="31.92"/>
    <s v="Normal"/>
    <s v="No"/>
    <s v="No"/>
    <x v="1"/>
    <n v="1"/>
    <x v="0"/>
    <s v="Obesity"/>
    <s v="Normal"/>
    <m/>
    <m/>
    <m/>
    <m/>
    <m/>
  </r>
  <r>
    <s v="Id257"/>
    <s v="Canton"/>
    <n v="31.73"/>
    <s v="Prediabetes"/>
    <s v="No"/>
    <s v="yes"/>
    <x v="0"/>
    <n v="1"/>
    <x v="0"/>
    <s v="Obesity"/>
    <s v="Prediabetes"/>
    <m/>
    <m/>
    <m/>
    <m/>
    <m/>
  </r>
  <r>
    <s v="Id258"/>
    <s v="Fine"/>
    <n v="45.52"/>
    <s v="Prediabetes"/>
    <s v="No"/>
    <s v="No"/>
    <x v="1"/>
    <n v="1"/>
    <x v="0"/>
    <s v="Obesity"/>
    <s v="Prediabetes"/>
    <m/>
    <m/>
    <m/>
    <m/>
    <m/>
  </r>
  <r>
    <s v="Id259"/>
    <s v="Bui"/>
    <n v="52.81"/>
    <s v="Normal"/>
    <s v="No"/>
    <s v="No"/>
    <x v="1"/>
    <n v="1"/>
    <x v="0"/>
    <s v="Obesity"/>
    <s v="Normal"/>
    <m/>
    <m/>
    <m/>
    <m/>
    <m/>
  </r>
  <r>
    <s v="Id260"/>
    <s v="Riepma"/>
    <n v="33.58"/>
    <s v="Normal"/>
    <s v="No"/>
    <s v="No"/>
    <x v="0"/>
    <n v="1"/>
    <x v="0"/>
    <s v="Obesity"/>
    <s v="Normal"/>
    <m/>
    <m/>
    <m/>
    <m/>
    <m/>
  </r>
  <r>
    <s v="Id261"/>
    <s v="Inman"/>
    <n v="30.684999999999999"/>
    <s v="Diabetes"/>
    <s v="No"/>
    <s v="No"/>
    <x v="0"/>
    <s v="No major surgery"/>
    <x v="0"/>
    <s v="Obesity"/>
    <s v="Diabetes"/>
    <m/>
    <m/>
    <m/>
    <m/>
    <m/>
  </r>
  <r>
    <s v="Id262"/>
    <s v="Kruzel"/>
    <n v="37.524999999999999"/>
    <s v="Diabetes"/>
    <s v="yes"/>
    <s v="No"/>
    <x v="0"/>
    <n v="2"/>
    <x v="1"/>
    <s v="Obesity"/>
    <s v="Diabetes"/>
    <m/>
    <m/>
    <m/>
    <m/>
    <m/>
  </r>
  <r>
    <s v="Id263"/>
    <s v="Lindsay"/>
    <n v="34.5"/>
    <s v="Normal"/>
    <s v="yes"/>
    <s v="No"/>
    <x v="0"/>
    <s v="No major surgery"/>
    <x v="0"/>
    <s v="Obesity"/>
    <s v="Normal"/>
    <m/>
    <m/>
    <m/>
    <m/>
    <m/>
  </r>
  <r>
    <s v="Id264"/>
    <s v="Land"/>
    <n v="28.16"/>
    <s v="Prediabetes"/>
    <s v="No"/>
    <s v="No"/>
    <x v="0"/>
    <n v="2"/>
    <x v="0"/>
    <s v="Overweight"/>
    <s v="Prediabetes"/>
    <m/>
    <m/>
    <m/>
    <m/>
    <m/>
  </r>
  <r>
    <s v="Id265"/>
    <s v="Brecher"/>
    <n v="30.02"/>
    <s v="Prediabetes"/>
    <s v="No"/>
    <s v="No"/>
    <x v="1"/>
    <n v="1"/>
    <x v="0"/>
    <s v="Obesity"/>
    <s v="Prediabetes"/>
    <m/>
    <m/>
    <m/>
    <m/>
    <m/>
  </r>
  <r>
    <s v="Id266"/>
    <s v="Debolt"/>
    <n v="37.82"/>
    <s v="Prediabetes"/>
    <s v="No"/>
    <s v="No"/>
    <x v="0"/>
    <s v="No major surgery"/>
    <x v="0"/>
    <s v="Obesity"/>
    <s v="Prediabetes"/>
    <m/>
    <m/>
    <m/>
    <m/>
    <m/>
  </r>
  <r>
    <s v="Id267"/>
    <s v="Oswalt"/>
    <n v="33.14"/>
    <s v="Normal"/>
    <s v="yes"/>
    <s v="No"/>
    <x v="0"/>
    <s v="No major surgery"/>
    <x v="0"/>
    <s v="Obesity"/>
    <s v="Normal"/>
    <m/>
    <m/>
    <m/>
    <m/>
    <m/>
  </r>
  <r>
    <s v="Id268"/>
    <s v="Boyd"/>
    <n v="25.14"/>
    <s v="Prediabetes"/>
    <s v="yes"/>
    <s v="No"/>
    <x v="1"/>
    <n v="1"/>
    <x v="0"/>
    <s v="Overweight"/>
    <s v="Prediabetes"/>
    <m/>
    <m/>
    <m/>
    <m/>
    <m/>
  </r>
  <r>
    <s v="Id269"/>
    <s v="Bulewich"/>
    <n v="20.18"/>
    <s v="Diabetes"/>
    <s v="No"/>
    <s v="No"/>
    <x v="0"/>
    <s v="No major surgery"/>
    <x v="0"/>
    <s v="Normal Weight"/>
    <s v="Diabetes"/>
    <m/>
    <m/>
    <m/>
    <m/>
    <m/>
  </r>
  <r>
    <s v="Id270"/>
    <s v="Fukuda"/>
    <n v="44.36"/>
    <s v="Normal"/>
    <s v="No"/>
    <s v="No"/>
    <x v="0"/>
    <s v="No major surgery"/>
    <x v="0"/>
    <s v="Obesity"/>
    <s v="Normal"/>
    <m/>
    <m/>
    <m/>
    <m/>
    <m/>
  </r>
  <r>
    <s v="Id271"/>
    <s v="Phillips"/>
    <n v="23.82"/>
    <s v="Diabetes"/>
    <s v="yes"/>
    <s v="No"/>
    <x v="0"/>
    <s v="No major surgery"/>
    <x v="0"/>
    <s v="Normal Weight"/>
    <s v="Diabetes"/>
    <m/>
    <m/>
    <m/>
    <m/>
    <m/>
  </r>
  <r>
    <s v="Id272"/>
    <s v="Maddison"/>
    <n v="45"/>
    <s v="Normal"/>
    <s v="yes"/>
    <s v="No"/>
    <x v="0"/>
    <n v="1"/>
    <x v="0"/>
    <s v="Obesity"/>
    <s v="Normal"/>
    <m/>
    <m/>
    <m/>
    <m/>
    <m/>
  </r>
  <r>
    <s v="Id273"/>
    <s v="Lockwood"/>
    <n v="26.62"/>
    <s v="Diabetes"/>
    <s v="No"/>
    <s v="No"/>
    <x v="0"/>
    <s v="No major surgery"/>
    <x v="0"/>
    <s v="Overweight"/>
    <s v="Diabetes"/>
    <m/>
    <m/>
    <m/>
    <m/>
    <m/>
  </r>
  <r>
    <s v="Id274"/>
    <s v="Defilippi"/>
    <n v="32.67"/>
    <s v="Diabetes"/>
    <s v="yes"/>
    <s v="No"/>
    <x v="0"/>
    <s v="No major surgery"/>
    <x v="0"/>
    <s v="Obesity"/>
    <s v="Diabetes"/>
    <m/>
    <m/>
    <m/>
    <m/>
    <m/>
  </r>
  <r>
    <s v="Id275"/>
    <s v="Jackson"/>
    <n v="44.44"/>
    <s v="Normal"/>
    <s v="yes"/>
    <s v="No"/>
    <x v="0"/>
    <n v="1"/>
    <x v="0"/>
    <s v="Obesity"/>
    <s v="Normal"/>
    <m/>
    <m/>
    <m/>
    <m/>
    <m/>
  </r>
  <r>
    <s v="Id276"/>
    <s v="Ozahowski"/>
    <n v="28.31"/>
    <s v="Normal"/>
    <s v="No"/>
    <s v="No"/>
    <x v="0"/>
    <s v="No major surgery"/>
    <x v="0"/>
    <s v="Overweight"/>
    <s v="Normal"/>
    <m/>
    <m/>
    <m/>
    <m/>
    <m/>
  </r>
  <r>
    <s v="Id277"/>
    <s v="Guthals"/>
    <n v="25.05"/>
    <s v="Normal"/>
    <s v="No"/>
    <s v="No"/>
    <x v="0"/>
    <n v="2"/>
    <x v="0"/>
    <s v="Overweight"/>
    <s v="Normal"/>
    <m/>
    <m/>
    <m/>
    <m/>
    <m/>
  </r>
  <r>
    <s v="Id278"/>
    <s v="Yates"/>
    <n v="28.34"/>
    <s v="Diabetes"/>
    <s v="No"/>
    <s v="No"/>
    <x v="0"/>
    <s v="No major surgery"/>
    <x v="0"/>
    <s v="Overweight"/>
    <s v="Diabetes"/>
    <m/>
    <m/>
    <m/>
    <m/>
    <m/>
  </r>
  <r>
    <s v="Id279"/>
    <s v="Samuelson"/>
    <n v="17.765000000000001"/>
    <s v="Normal"/>
    <s v="No"/>
    <s v="No"/>
    <x v="0"/>
    <s v="No major surgery"/>
    <x v="0"/>
    <s v="Underweight"/>
    <s v="Normal"/>
    <m/>
    <m/>
    <m/>
    <m/>
    <m/>
  </r>
  <r>
    <s v="Id280"/>
    <s v="Lemos"/>
    <n v="36.119999999999997"/>
    <s v="Prediabetes"/>
    <s v="No"/>
    <s v="No"/>
    <x v="0"/>
    <s v="No major surgery"/>
    <x v="0"/>
    <s v="Obesity"/>
    <s v="Prediabetes"/>
    <m/>
    <m/>
    <m/>
    <m/>
    <m/>
  </r>
  <r>
    <s v="Id281"/>
    <s v="Seynders"/>
    <n v="23.19"/>
    <s v="Diabetes"/>
    <s v="No"/>
    <s v="No"/>
    <x v="0"/>
    <s v="No major surgery"/>
    <x v="0"/>
    <s v="Normal Weight"/>
    <s v="Diabetes"/>
    <m/>
    <m/>
    <m/>
    <m/>
    <m/>
  </r>
  <r>
    <s v="Id282"/>
    <s v="Saunders"/>
    <n v="35.99"/>
    <s v="Normal"/>
    <s v="No"/>
    <s v="No"/>
    <x v="0"/>
    <s v="No major surgery"/>
    <x v="0"/>
    <s v="Obesity"/>
    <s v="Normal"/>
    <m/>
    <m/>
    <m/>
    <m/>
    <m/>
  </r>
  <r>
    <s v="Id283"/>
    <s v="Walker"/>
    <n v="30.25"/>
    <s v="Normal"/>
    <s v="No"/>
    <s v="No"/>
    <x v="1"/>
    <n v="1"/>
    <x v="0"/>
    <s v="Obesity"/>
    <s v="Normal"/>
    <m/>
    <m/>
    <m/>
    <m/>
    <m/>
  </r>
  <r>
    <s v="Id284"/>
    <s v="Lam"/>
    <n v="26.24"/>
    <s v="Prediabetes"/>
    <s v="yes"/>
    <s v="No"/>
    <x v="0"/>
    <s v="No major surgery"/>
    <x v="0"/>
    <s v="Overweight"/>
    <s v="Prediabetes"/>
    <m/>
    <m/>
    <m/>
    <m/>
    <m/>
  </r>
  <r>
    <s v="Id285"/>
    <s v="Sweigart"/>
    <n v="31.36"/>
    <s v="Diabetes"/>
    <s v="yes"/>
    <s v="No"/>
    <x v="0"/>
    <s v="No major surgery"/>
    <x v="0"/>
    <s v="Obesity"/>
    <s v="Diabetes"/>
    <m/>
    <m/>
    <m/>
    <m/>
    <m/>
  </r>
  <r>
    <s v="Id286"/>
    <s v="Sieczkowski"/>
    <n v="25.69"/>
    <s v="Normal"/>
    <s v="yes"/>
    <s v="No"/>
    <x v="0"/>
    <s v="No major surgery"/>
    <x v="0"/>
    <s v="Overweight"/>
    <s v="Normal"/>
    <m/>
    <m/>
    <m/>
    <m/>
    <m/>
  </r>
  <r>
    <s v="Id287"/>
    <s v="Jurgens"/>
    <n v="25.46"/>
    <s v="Prediabetes"/>
    <s v="No"/>
    <s v="No"/>
    <x v="0"/>
    <n v="2"/>
    <x v="0"/>
    <s v="Overweight"/>
    <s v="Prediabetes"/>
    <m/>
    <m/>
    <m/>
    <m/>
    <m/>
  </r>
  <r>
    <s v="Id288"/>
    <s v="Hackman"/>
    <n v="31.83"/>
    <s v="Diabetes"/>
    <s v="yes"/>
    <s v="No"/>
    <x v="0"/>
    <n v="1"/>
    <x v="0"/>
    <s v="Obesity"/>
    <s v="Diabetes"/>
    <m/>
    <m/>
    <m/>
    <m/>
    <m/>
  </r>
  <r>
    <s v="Id289"/>
    <s v="Klarich"/>
    <n v="24.43"/>
    <s v="Diabetes"/>
    <s v="yes"/>
    <s v="No"/>
    <x v="0"/>
    <n v="1"/>
    <x v="0"/>
    <s v="Normal Weight"/>
    <s v="Diabetes"/>
    <m/>
    <m/>
    <m/>
    <m/>
    <m/>
  </r>
  <r>
    <s v="Id290"/>
    <s v="Schulten"/>
    <n v="41.9"/>
    <s v="Normal"/>
    <s v="No"/>
    <s v="No"/>
    <x v="0"/>
    <s v="No major surgery"/>
    <x v="0"/>
    <s v="Obesity"/>
    <s v="Normal"/>
    <m/>
    <m/>
    <m/>
    <m/>
    <m/>
  </r>
  <r>
    <s v="Id291"/>
    <s v="Fagerstrom"/>
    <n v="22.88"/>
    <s v="Prediabetes"/>
    <s v="yes"/>
    <s v="No"/>
    <x v="1"/>
    <n v="1"/>
    <x v="0"/>
    <s v="Normal Weight"/>
    <s v="Prediabetes"/>
    <m/>
    <m/>
    <m/>
    <m/>
    <m/>
  </r>
  <r>
    <s v="Id292"/>
    <s v="Bien"/>
    <n v="29.734999999999999"/>
    <s v="Diabetes"/>
    <s v="No"/>
    <s v="No"/>
    <x v="0"/>
    <s v="No major surgery"/>
    <x v="1"/>
    <s v="Overweight"/>
    <s v="Diabetes"/>
    <m/>
    <m/>
    <m/>
    <m/>
    <m/>
  </r>
  <r>
    <s v="Id293"/>
    <s v="Hess"/>
    <n v="40.74"/>
    <s v="Normal"/>
    <s v="No"/>
    <s v="No"/>
    <x v="1"/>
    <n v="1"/>
    <x v="0"/>
    <s v="Obesity"/>
    <s v="Normal"/>
    <m/>
    <m/>
    <m/>
    <m/>
    <m/>
  </r>
  <r>
    <s v="Id294"/>
    <s v="Shaw"/>
    <n v="24.14"/>
    <s v="Prediabetes"/>
    <s v="No"/>
    <s v="No"/>
    <x v="0"/>
    <n v="2"/>
    <x v="0"/>
    <s v="Normal Weight"/>
    <s v="Prediabetes"/>
    <m/>
    <m/>
    <m/>
    <m/>
    <m/>
  </r>
  <r>
    <s v="Id295"/>
    <s v="Williams"/>
    <n v="25.15"/>
    <s v="Diabetes"/>
    <s v="yes"/>
    <s v="No"/>
    <x v="0"/>
    <n v="1"/>
    <x v="0"/>
    <s v="Overweight"/>
    <s v="Diabetes"/>
    <m/>
    <m/>
    <m/>
    <m/>
    <m/>
  </r>
  <r>
    <s v="Id296"/>
    <s v="Menzies"/>
    <n v="28.71"/>
    <s v="Normal"/>
    <s v="No"/>
    <s v="No"/>
    <x v="0"/>
    <n v="1"/>
    <x v="0"/>
    <s v="Overweight"/>
    <s v="Normal"/>
    <m/>
    <m/>
    <m/>
    <m/>
    <m/>
  </r>
  <r>
    <s v="Id297"/>
    <s v="Buehler"/>
    <n v="23"/>
    <s v="Normal"/>
    <s v="No"/>
    <s v="No"/>
    <x v="0"/>
    <s v="No major surgery"/>
    <x v="0"/>
    <s v="Normal Weight"/>
    <s v="Normal"/>
    <m/>
    <m/>
    <m/>
    <m/>
    <m/>
  </r>
  <r>
    <s v="Id298"/>
    <s v="Degen"/>
    <n v="36.86"/>
    <s v="Diabetes"/>
    <s v="No"/>
    <s v="No"/>
    <x v="0"/>
    <s v="No major surgery"/>
    <x v="1"/>
    <s v="Obesity"/>
    <s v="Diabetes"/>
    <m/>
    <m/>
    <m/>
    <m/>
    <m/>
  </r>
  <r>
    <s v="Id299"/>
    <s v="Arsenault"/>
    <n v="24.25"/>
    <s v="Diabetes"/>
    <s v="yes"/>
    <s v="No"/>
    <x v="0"/>
    <n v="1"/>
    <x v="0"/>
    <s v="Normal Weight"/>
    <s v="Diabetes"/>
    <m/>
    <m/>
    <m/>
    <m/>
    <m/>
  </r>
  <r>
    <s v="Id300"/>
    <s v="Hoff"/>
    <n v="23.85"/>
    <s v="Diabetes"/>
    <s v="No"/>
    <s v="No"/>
    <x v="0"/>
    <s v="No major surgery"/>
    <x v="0"/>
    <s v="Normal Weight"/>
    <s v="Diabetes"/>
    <m/>
    <m/>
    <m/>
    <m/>
    <m/>
  </r>
  <r>
    <s v="Id301"/>
    <s v="Hall"/>
    <n v="40.020000000000003"/>
    <s v="Normal"/>
    <s v="yes"/>
    <s v="No"/>
    <x v="0"/>
    <n v="1"/>
    <x v="0"/>
    <s v="Obesity"/>
    <s v="Normal"/>
    <m/>
    <m/>
    <m/>
    <m/>
    <m/>
  </r>
  <r>
    <s v="Id302"/>
    <s v="Ashley"/>
    <n v="19.170000000000002"/>
    <s v="Diabetes"/>
    <s v="No"/>
    <s v="No"/>
    <x v="0"/>
    <s v="No major surgery"/>
    <x v="0"/>
    <s v="Normal Weight"/>
    <s v="Diabetes"/>
    <m/>
    <m/>
    <m/>
    <m/>
    <m/>
  </r>
  <r>
    <s v="Id303"/>
    <s v="Rindahl"/>
    <n v="43.53"/>
    <s v="Prediabetes"/>
    <s v="yes"/>
    <s v="yes"/>
    <x v="0"/>
    <n v="2"/>
    <x v="0"/>
    <s v="Obesity"/>
    <s v="Prediabetes"/>
    <m/>
    <m/>
    <m/>
    <m/>
    <m/>
  </r>
  <r>
    <s v="Id304"/>
    <s v="Clark"/>
    <n v="46.06"/>
    <s v="Normal"/>
    <s v="No"/>
    <s v="yes"/>
    <x v="0"/>
    <n v="1"/>
    <x v="0"/>
    <s v="Obesity"/>
    <s v="Normal"/>
    <m/>
    <m/>
    <m/>
    <m/>
    <m/>
  </r>
  <r>
    <s v="Id305"/>
    <s v="Irish"/>
    <n v="29.92"/>
    <s v="Diabetes"/>
    <s v="yes"/>
    <s v="No"/>
    <x v="0"/>
    <n v="2"/>
    <x v="0"/>
    <e v="#N/A"/>
    <s v="Diabetes"/>
    <m/>
    <m/>
    <m/>
    <m/>
    <m/>
  </r>
  <r>
    <s v="Id306"/>
    <s v="Richardson"/>
    <n v="28.46"/>
    <s v="Normal"/>
    <s v="yes"/>
    <s v="No"/>
    <x v="0"/>
    <n v="1"/>
    <x v="0"/>
    <s v="Overweight"/>
    <s v="Normal"/>
    <m/>
    <m/>
    <m/>
    <m/>
    <m/>
  </r>
  <r>
    <s v="Id307"/>
    <s v="Dewitt"/>
    <n v="24.56"/>
    <s v="Prediabetes"/>
    <s v="yes"/>
    <s v="No"/>
    <x v="1"/>
    <n v="1"/>
    <x v="0"/>
    <s v="Normal Weight"/>
    <s v="Prediabetes"/>
    <m/>
    <m/>
    <m/>
    <m/>
    <m/>
  </r>
  <r>
    <s v="Id308"/>
    <s v="Hickman"/>
    <n v="41.19"/>
    <s v="Prediabetes"/>
    <s v="No"/>
    <s v="No"/>
    <x v="0"/>
    <s v="No major surgery"/>
    <x v="0"/>
    <s v="Obesity"/>
    <s v="Prediabetes"/>
    <m/>
    <m/>
    <m/>
    <m/>
    <m/>
  </r>
  <r>
    <s v="Id309"/>
    <s v="Gonzalez"/>
    <n v="18.63"/>
    <s v="Diabetes"/>
    <s v="yes"/>
    <s v="No"/>
    <x v="0"/>
    <n v="2"/>
    <x v="0"/>
    <s v="Normal Weight"/>
    <s v="Diabetes"/>
    <m/>
    <m/>
    <m/>
    <m/>
    <m/>
  </r>
  <r>
    <s v="Id310"/>
    <s v="Difani"/>
    <n v="26.26"/>
    <s v="Diabetes"/>
    <s v="yes"/>
    <s v="No"/>
    <x v="0"/>
    <n v="1"/>
    <x v="0"/>
    <s v="Overweight"/>
    <s v="Diabetes"/>
    <m/>
    <m/>
    <m/>
    <m/>
    <m/>
  </r>
  <r>
    <s v="Id311"/>
    <s v="Turner"/>
    <n v="22.37"/>
    <s v="Prediabetes"/>
    <s v="yes"/>
    <s v="No"/>
    <x v="1"/>
    <n v="1"/>
    <x v="0"/>
    <s v="Normal Weight"/>
    <s v="Prediabetes"/>
    <m/>
    <m/>
    <m/>
    <m/>
    <m/>
  </r>
  <r>
    <s v="Id312"/>
    <s v="Widmann"/>
    <n v="39.619999999999997"/>
    <s v="Normal"/>
    <s v="No"/>
    <s v="No"/>
    <x v="0"/>
    <n v="1"/>
    <x v="0"/>
    <s v="Obesity"/>
    <s v="Normal"/>
    <m/>
    <m/>
    <m/>
    <m/>
    <m/>
  </r>
  <r>
    <s v="Id313"/>
    <s v="Tunney"/>
    <n v="18.329999999999998"/>
    <s v="Normal"/>
    <s v="yes"/>
    <s v="No"/>
    <x v="0"/>
    <s v="No major surgery"/>
    <x v="0"/>
    <s v="Underweight"/>
    <s v="Normal"/>
    <m/>
    <m/>
    <m/>
    <m/>
    <m/>
  </r>
  <r>
    <s v="Id314"/>
    <s v="San Juan"/>
    <n v="17.11"/>
    <s v="Normal"/>
    <s v="yes"/>
    <s v="No"/>
    <x v="1"/>
    <n v="1"/>
    <x v="0"/>
    <s v="Underweight"/>
    <s v="Normal"/>
    <m/>
    <m/>
    <m/>
    <m/>
    <m/>
  </r>
  <r>
    <s v="Id315"/>
    <s v="Croll"/>
    <n v="43.5"/>
    <s v="Prediabetes"/>
    <s v="No"/>
    <s v="yes"/>
    <x v="0"/>
    <n v="1"/>
    <x v="0"/>
    <s v="Obesity"/>
    <s v="Prediabetes"/>
    <m/>
    <m/>
    <m/>
    <m/>
    <m/>
  </r>
  <r>
    <s v="Id316"/>
    <s v="Rolfes"/>
    <n v="25.364999999999998"/>
    <s v="Normal"/>
    <s v="No"/>
    <s v="No"/>
    <x v="0"/>
    <n v="2"/>
    <x v="1"/>
    <s v="Overweight"/>
    <s v="Normal"/>
    <m/>
    <m/>
    <m/>
    <m/>
    <m/>
  </r>
  <r>
    <s v="Id317"/>
    <s v="Hinkle"/>
    <n v="28.594999999999999"/>
    <s v="Diabetes"/>
    <s v="No"/>
    <s v="No"/>
    <x v="0"/>
    <s v="No major surgery"/>
    <x v="1"/>
    <s v="Overweight"/>
    <s v="Diabetes"/>
    <m/>
    <m/>
    <m/>
    <m/>
    <m/>
  </r>
  <r>
    <s v="Id318"/>
    <s v="Leuchanka"/>
    <n v="29.83"/>
    <s v="Diabetes"/>
    <s v="yes"/>
    <s v="No"/>
    <x v="1"/>
    <n v="1"/>
    <x v="0"/>
    <s v="Overweight"/>
    <s v="Diabetes"/>
    <m/>
    <m/>
    <m/>
    <m/>
    <m/>
  </r>
  <r>
    <s v="Id319"/>
    <s v="Ayr"/>
    <n v="24.7"/>
    <s v="Diabetes"/>
    <s v="No"/>
    <s v="No"/>
    <x v="0"/>
    <n v="3"/>
    <x v="1"/>
    <s v="Normal Weight"/>
    <s v="Diabetes"/>
    <m/>
    <m/>
    <m/>
    <m/>
    <m/>
  </r>
  <r>
    <s v="Id320"/>
    <s v="Siegel"/>
    <n v="17.940000000000001"/>
    <s v="Diabetes"/>
    <s v="No"/>
    <s v="No"/>
    <x v="0"/>
    <s v="No major surgery"/>
    <x v="0"/>
    <s v="Underweight"/>
    <s v="Diabetes"/>
    <m/>
    <m/>
    <m/>
    <m/>
    <m/>
  </r>
  <r>
    <s v="Id321"/>
    <s v="Penrose"/>
    <n v="21.08"/>
    <s v="Normal"/>
    <s v="No"/>
    <s v="No"/>
    <x v="1"/>
    <n v="1"/>
    <x v="0"/>
    <s v="Normal Weight"/>
    <s v="Normal"/>
    <m/>
    <m/>
    <m/>
    <m/>
    <m/>
  </r>
  <r>
    <s v="Id322"/>
    <s v="Schuler"/>
    <n v="37.715000000000003"/>
    <s v="Diabetes"/>
    <s v="yes"/>
    <s v="No"/>
    <x v="0"/>
    <s v="No major surgery"/>
    <x v="1"/>
    <s v="Obesity"/>
    <s v="Diabetes"/>
    <m/>
    <m/>
    <m/>
    <m/>
    <m/>
  </r>
  <r>
    <s v="Id323"/>
    <s v="Walker"/>
    <n v="22.39"/>
    <s v="Diabetes"/>
    <s v="yes"/>
    <s v="No"/>
    <x v="0"/>
    <s v="No major surgery"/>
    <x v="0"/>
    <s v="Normal Weight"/>
    <s v="Diabetes"/>
    <m/>
    <m/>
    <m/>
    <m/>
    <m/>
  </r>
  <r>
    <s v="Id324"/>
    <s v="Stange"/>
    <n v="28.78"/>
    <s v="Normal"/>
    <s v="No"/>
    <s v="No"/>
    <x v="0"/>
    <s v="No major surgery"/>
    <x v="0"/>
    <s v="Overweight"/>
    <s v="Normal"/>
    <m/>
    <m/>
    <m/>
    <m/>
    <m/>
  </r>
  <r>
    <s v="Id325"/>
    <s v="Roy"/>
    <n v="18.329999999999998"/>
    <s v="Normal"/>
    <s v="yes"/>
    <s v="No"/>
    <x v="0"/>
    <s v="No major surgery"/>
    <x v="0"/>
    <s v="Underweight"/>
    <s v="Normal"/>
    <m/>
    <m/>
    <m/>
    <m/>
    <m/>
  </r>
  <r>
    <s v="Id326"/>
    <s v="Potere"/>
    <n v="26.39"/>
    <s v="Normal"/>
    <s v="yes"/>
    <s v="No"/>
    <x v="0"/>
    <n v="1"/>
    <x v="0"/>
    <s v="Overweight"/>
    <s v="Normal"/>
    <m/>
    <m/>
    <m/>
    <m/>
    <m/>
  </r>
  <r>
    <s v="Id327"/>
    <s v="Podgurski"/>
    <n v="19.260000000000002"/>
    <s v="Diabetes"/>
    <s v="yes"/>
    <s v="No"/>
    <x v="0"/>
    <n v="1"/>
    <x v="0"/>
    <s v="Normal Weight"/>
    <s v="Diabetes"/>
    <m/>
    <m/>
    <m/>
    <m/>
    <m/>
  </r>
  <r>
    <s v="Id328"/>
    <s v="Diamond"/>
    <n v="26.92"/>
    <s v="Prediabetes"/>
    <s v="No"/>
    <s v="No"/>
    <x v="0"/>
    <s v="No major surgery"/>
    <x v="0"/>
    <s v="Overweight"/>
    <s v="Prediabetes"/>
    <m/>
    <m/>
    <m/>
    <m/>
    <m/>
  </r>
  <r>
    <s v="Id329"/>
    <s v="Sallade"/>
    <n v="19.73"/>
    <s v="Normal"/>
    <s v="No"/>
    <s v="No"/>
    <x v="0"/>
    <s v="No major surgery"/>
    <x v="0"/>
    <s v="Normal Weight"/>
    <s v="Normal"/>
    <m/>
    <m/>
    <m/>
    <m/>
    <m/>
  </r>
  <r>
    <s v="Id330"/>
    <s v="Zhang"/>
    <n v="23.56"/>
    <s v="Diabetes"/>
    <s v="yes"/>
    <s v="No"/>
    <x v="0"/>
    <s v="No major surgery"/>
    <x v="0"/>
    <s v="Normal Weight"/>
    <s v="Diabetes"/>
    <m/>
    <m/>
    <m/>
    <m/>
    <m/>
  </r>
  <r>
    <s v="Id331"/>
    <s v="Chatfield"/>
    <n v="37.67"/>
    <s v="Prediabetes"/>
    <s v="No"/>
    <s v="No"/>
    <x v="0"/>
    <n v="1"/>
    <x v="0"/>
    <s v="Obesity"/>
    <s v="Prediabetes"/>
    <m/>
    <m/>
    <m/>
    <m/>
    <m/>
  </r>
  <r>
    <s v="Id332"/>
    <s v="Bruns"/>
    <n v="18.73"/>
    <s v="Diabetes"/>
    <s v="No"/>
    <s v="No"/>
    <x v="0"/>
    <n v="2"/>
    <x v="0"/>
    <s v="Normal Weight"/>
    <s v="Diabetes"/>
    <m/>
    <m/>
    <m/>
    <m/>
    <m/>
  </r>
  <r>
    <s v="Id333"/>
    <s v="Yochum"/>
    <n v="33.090000000000003"/>
    <s v="Prediabetes"/>
    <s v="No"/>
    <s v="No"/>
    <x v="1"/>
    <n v="1"/>
    <x v="0"/>
    <s v="Obesity"/>
    <s v="Prediabetes"/>
    <m/>
    <m/>
    <m/>
    <m/>
    <m/>
  </r>
  <r>
    <s v="Id334"/>
    <s v="Freeburn"/>
    <n v="18.329999999999998"/>
    <s v="Diabetes"/>
    <s v="yes"/>
    <s v="No"/>
    <x v="0"/>
    <n v="1"/>
    <x v="0"/>
    <s v="Underweight"/>
    <s v="Diabetes"/>
    <m/>
    <m/>
    <m/>
    <m/>
    <m/>
  </r>
  <r>
    <s v="Id335"/>
    <s v="Spencer"/>
    <n v="27.74"/>
    <s v="Normal"/>
    <s v="yes"/>
    <s v="No"/>
    <x v="0"/>
    <n v="2"/>
    <x v="0"/>
    <s v="Overweight"/>
    <s v="Normal"/>
    <m/>
    <m/>
    <m/>
    <m/>
    <m/>
  </r>
  <r>
    <s v="Id336"/>
    <s v="Jarosik"/>
    <n v="24.2"/>
    <s v="Prediabetes"/>
    <s v="No"/>
    <s v="No"/>
    <x v="0"/>
    <n v="1"/>
    <x v="0"/>
    <s v="Normal Weight"/>
    <s v="Prediabetes"/>
    <m/>
    <m/>
    <m/>
    <m/>
    <m/>
  </r>
  <r>
    <s v="Id337"/>
    <s v="Heinzen"/>
    <n v="22.03"/>
    <s v="Normal"/>
    <s v="yes"/>
    <s v="No"/>
    <x v="0"/>
    <s v="No major surgery"/>
    <x v="0"/>
    <s v="Normal Weight"/>
    <s v="Normal"/>
    <m/>
    <m/>
    <m/>
    <m/>
    <m/>
  </r>
  <r>
    <s v="Id338"/>
    <s v="Kelley"/>
    <n v="26.885000000000002"/>
    <s v="Diabetes"/>
    <s v="No"/>
    <s v="No"/>
    <x v="0"/>
    <n v="3"/>
    <x v="0"/>
    <s v="Overweight"/>
    <s v="Diabetes"/>
    <m/>
    <m/>
    <m/>
    <m/>
    <m/>
  </r>
  <r>
    <s v="Id339"/>
    <s v="Thacker"/>
    <n v="16.36"/>
    <s v="Diabetes"/>
    <s v="No"/>
    <s v="No"/>
    <x v="0"/>
    <s v="No major surgery"/>
    <x v="0"/>
    <s v="Underweight"/>
    <s v="Diabetes"/>
    <m/>
    <m/>
    <m/>
    <m/>
    <m/>
  </r>
  <r>
    <s v="Id340"/>
    <s v="Jeseritz"/>
    <n v="32.299999999999997"/>
    <s v="Normal"/>
    <s v="yes"/>
    <s v="No"/>
    <x v="1"/>
    <n v="1"/>
    <x v="1"/>
    <s v="Obesity"/>
    <s v="Normal"/>
    <m/>
    <m/>
    <m/>
    <m/>
    <m/>
  </r>
  <r>
    <s v="Id341"/>
    <s v="Hohman"/>
    <n v="16.05"/>
    <s v="Normal"/>
    <s v="yes"/>
    <s v="No"/>
    <x v="0"/>
    <s v="No major surgery"/>
    <x v="0"/>
    <s v="Underweight"/>
    <s v="Normal"/>
    <m/>
    <m/>
    <m/>
    <m/>
    <m/>
  </r>
  <r>
    <s v="Id342"/>
    <s v="Hill"/>
    <n v="29.07"/>
    <s v="Diabetes"/>
    <s v="yes"/>
    <s v="No"/>
    <x v="0"/>
    <n v="2"/>
    <x v="0"/>
    <s v="Overweight"/>
    <s v="Diabetes"/>
    <m/>
    <m/>
    <m/>
    <m/>
    <m/>
  </r>
  <r>
    <s v="Id343"/>
    <s v="Kuepfer"/>
    <n v="17.43"/>
    <s v="Diabetes"/>
    <s v="No"/>
    <s v="No"/>
    <x v="0"/>
    <s v="No major surgery"/>
    <x v="0"/>
    <s v="Underweight"/>
    <s v="Diabetes"/>
    <m/>
    <m/>
    <m/>
    <m/>
    <m/>
  </r>
  <r>
    <s v="Id344"/>
    <s v="Kaczmarek"/>
    <n v="19.329999999999998"/>
    <s v="Normal"/>
    <s v="No"/>
    <s v="No"/>
    <x v="0"/>
    <s v="No major surgery"/>
    <x v="0"/>
    <s v="Normal Weight"/>
    <s v="Normal"/>
    <m/>
    <m/>
    <m/>
    <m/>
    <m/>
  </r>
  <r>
    <s v="Id345"/>
    <s v="Pitt"/>
    <n v="30.52"/>
    <s v="Normal"/>
    <s v="No"/>
    <s v="No"/>
    <x v="0"/>
    <n v="1"/>
    <x v="0"/>
    <s v="Obesity"/>
    <s v="Normal"/>
    <m/>
    <m/>
    <m/>
    <m/>
    <m/>
  </r>
  <r>
    <s v="Id346"/>
    <s v="Lorton"/>
    <n v="39.21"/>
    <s v="Normal"/>
    <s v="No"/>
    <s v="No"/>
    <x v="1"/>
    <n v="1"/>
    <x v="0"/>
    <s v="Obesity"/>
    <s v="Normal"/>
    <m/>
    <m/>
    <m/>
    <m/>
    <m/>
  </r>
  <r>
    <s v="Id347"/>
    <s v="Castaneda"/>
    <n v="26.98"/>
    <s v="Normal"/>
    <s v="yes"/>
    <s v="No"/>
    <x v="0"/>
    <n v="2"/>
    <x v="0"/>
    <s v="Overweight"/>
    <s v="Normal"/>
    <m/>
    <m/>
    <m/>
    <m/>
    <m/>
  </r>
  <r>
    <s v="Id348"/>
    <s v="Cherop"/>
    <n v="25.84"/>
    <s v="Diabetes"/>
    <s v="No"/>
    <s v="No"/>
    <x v="0"/>
    <s v="No major surgery"/>
    <x v="1"/>
    <s v="Overweight"/>
    <s v="Diabetes"/>
    <m/>
    <m/>
    <m/>
    <m/>
    <m/>
  </r>
  <r>
    <s v="Id349"/>
    <s v="Howell"/>
    <n v="28.31"/>
    <s v="Diabetes"/>
    <s v="yes"/>
    <s v="No"/>
    <x v="0"/>
    <n v="2"/>
    <x v="0"/>
    <s v="Overweight"/>
    <s v="Diabetes"/>
    <m/>
    <m/>
    <m/>
    <m/>
    <m/>
  </r>
  <r>
    <s v="Id350"/>
    <s v="Palmer"/>
    <n v="23.94"/>
    <s v="Normal"/>
    <s v="No"/>
    <s v="No"/>
    <x v="0"/>
    <s v="No major surgery"/>
    <x v="0"/>
    <s v="Normal Weight"/>
    <s v="Normal"/>
    <m/>
    <m/>
    <m/>
    <m/>
    <m/>
  </r>
  <r>
    <s v="Id351"/>
    <s v="Olson"/>
    <n v="20.03"/>
    <s v="Prediabetes"/>
    <s v="yes"/>
    <s v="No"/>
    <x v="0"/>
    <s v="No major surgery"/>
    <x v="0"/>
    <s v="Normal Weight"/>
    <s v="Prediabetes"/>
    <m/>
    <m/>
    <m/>
    <m/>
    <m/>
  </r>
  <r>
    <s v="Id352"/>
    <s v="Waldron"/>
    <n v="41.42"/>
    <s v="Prediabetes"/>
    <s v="No"/>
    <s v="No"/>
    <x v="0"/>
    <s v="No major surgery"/>
    <x v="1"/>
    <s v="Obesity"/>
    <s v="Prediabetes"/>
    <m/>
    <m/>
    <m/>
    <m/>
    <m/>
  </r>
  <r>
    <s v="Id353"/>
    <s v="Meyer"/>
    <n v="36.67"/>
    <s v="Diabetes"/>
    <s v="No"/>
    <s v="No"/>
    <x v="0"/>
    <s v="No major surgery"/>
    <x v="1"/>
    <s v="Obesity"/>
    <s v="Diabetes"/>
    <m/>
    <m/>
    <m/>
    <m/>
    <m/>
  </r>
  <r>
    <s v="Id354"/>
    <s v="Stack"/>
    <n v="27.645"/>
    <s v="Normal"/>
    <s v="No"/>
    <s v="No"/>
    <x v="0"/>
    <s v="No major surgery"/>
    <x v="1"/>
    <s v="Overweight"/>
    <s v="Normal"/>
    <m/>
    <m/>
    <m/>
    <m/>
    <m/>
  </r>
  <r>
    <s v="Id355"/>
    <s v="Sanchez Y Torres"/>
    <n v="22.72"/>
    <s v="Prediabetes"/>
    <s v="No"/>
    <s v="No"/>
    <x v="0"/>
    <s v="No major surgery"/>
    <x v="0"/>
    <s v="Normal Weight"/>
    <s v="Prediabetes"/>
    <m/>
    <m/>
    <m/>
    <m/>
    <m/>
  </r>
  <r>
    <s v="Id356"/>
    <s v="Daniels"/>
    <n v="36.520000000000003"/>
    <s v="Diabetes"/>
    <s v="yes"/>
    <s v="No"/>
    <x v="1"/>
    <n v="1"/>
    <x v="1"/>
    <s v="Obesity"/>
    <s v="Diabetes"/>
    <m/>
    <m/>
    <m/>
    <m/>
    <m/>
  </r>
  <r>
    <s v="Id357"/>
    <s v="Pepp"/>
    <n v="33.96"/>
    <s v="Normal"/>
    <s v="No"/>
    <s v="No"/>
    <x v="0"/>
    <s v="No major surgery"/>
    <x v="0"/>
    <s v="Obesity"/>
    <s v="Normal"/>
    <m/>
    <m/>
    <m/>
    <m/>
    <m/>
  </r>
  <r>
    <s v="Id358"/>
    <s v="Buechler"/>
    <n v="26.695"/>
    <s v="Diabetes"/>
    <s v="No"/>
    <s v="No"/>
    <x v="0"/>
    <s v="No major surgery"/>
    <x v="0"/>
    <s v="Overweight"/>
    <s v="Diabetes"/>
    <m/>
    <m/>
    <m/>
    <m/>
    <m/>
  </r>
  <r>
    <s v="Id359"/>
    <s v="Buenting"/>
    <n v="18.45"/>
    <s v="Normal"/>
    <s v="yes"/>
    <s v="No"/>
    <x v="0"/>
    <s v="No major surgery"/>
    <x v="0"/>
    <s v="Underweight"/>
    <s v="Normal"/>
    <m/>
    <m/>
    <m/>
    <m/>
    <m/>
  </r>
  <r>
    <s v="Id360"/>
    <s v="Evans"/>
    <n v="33.18"/>
    <s v="Normal"/>
    <s v="No"/>
    <s v="No"/>
    <x v="0"/>
    <s v="No major surgery"/>
    <x v="0"/>
    <s v="Obesity"/>
    <s v="Normal"/>
    <m/>
    <m/>
    <m/>
    <m/>
    <m/>
  </r>
  <r>
    <s v="Id361"/>
    <s v="Arcand"/>
    <n v="36.1"/>
    <s v="Diabetes"/>
    <s v="yes"/>
    <s v="No"/>
    <x v="0"/>
    <n v="2"/>
    <x v="1"/>
    <s v="Obesity"/>
    <s v="Diabetes"/>
    <m/>
    <m/>
    <m/>
    <m/>
    <m/>
  </r>
  <r>
    <s v="Id362"/>
    <s v="Kesack"/>
    <n v="22.77"/>
    <s v="Prediabetes"/>
    <s v="No"/>
    <s v="No"/>
    <x v="0"/>
    <s v="No major surgery"/>
    <x v="0"/>
    <s v="Normal Weight"/>
    <s v="Prediabetes"/>
    <m/>
    <m/>
    <m/>
    <m/>
    <m/>
  </r>
  <r>
    <s v="Id363"/>
    <s v="Post"/>
    <n v="21.24"/>
    <s v="Normal"/>
    <s v="No"/>
    <s v="No"/>
    <x v="0"/>
    <s v="No major surgery"/>
    <x v="0"/>
    <s v="Normal Weight"/>
    <s v="Normal"/>
    <m/>
    <m/>
    <m/>
    <m/>
    <m/>
  </r>
  <r>
    <s v="Id364"/>
    <s v="Dunne"/>
    <n v="17.600000000000001"/>
    <s v="Normal"/>
    <s v="yes"/>
    <s v="No"/>
    <x v="0"/>
    <s v="No major surgery"/>
    <x v="0"/>
    <s v="Underweight"/>
    <s v="Normal"/>
    <m/>
    <m/>
    <m/>
    <m/>
    <m/>
  </r>
  <r>
    <s v="Id365"/>
    <s v="Kilel"/>
    <n v="26.29"/>
    <s v="Diabetes"/>
    <s v="No"/>
    <s v="No"/>
    <x v="0"/>
    <s v="No major surgery"/>
    <x v="0"/>
    <s v="Overweight"/>
    <s v="Diabetes"/>
    <m/>
    <m/>
    <m/>
    <m/>
    <m/>
  </r>
  <r>
    <s v="Id366"/>
    <s v="Nicholson"/>
    <n v="35.31"/>
    <s v="Diabetes"/>
    <s v="No"/>
    <s v="No"/>
    <x v="0"/>
    <s v="No major surgery"/>
    <x v="1"/>
    <s v="Obesity"/>
    <s v="Diabetes"/>
    <m/>
    <m/>
    <m/>
    <m/>
    <m/>
  </r>
  <r>
    <s v="Id367"/>
    <s v="Susmann"/>
    <n v="27.04"/>
    <s v="Normal"/>
    <s v="No"/>
    <s v="No"/>
    <x v="0"/>
    <n v="1"/>
    <x v="0"/>
    <s v="Overweight"/>
    <s v="Normal"/>
    <m/>
    <m/>
    <m/>
    <m/>
    <m/>
  </r>
  <r>
    <s v="Id368"/>
    <s v="Harsh"/>
    <n v="30.23"/>
    <s v="Normal"/>
    <s v="yes"/>
    <s v="No"/>
    <x v="1"/>
    <n v="1"/>
    <x v="0"/>
    <s v="Obesity"/>
    <s v="Normal"/>
    <m/>
    <m/>
    <m/>
    <m/>
    <m/>
  </r>
  <r>
    <s v="Id369"/>
    <s v="Pocasangre"/>
    <n v="30.6"/>
    <e v="#N/A"/>
    <s v="yes"/>
    <s v="No"/>
    <x v="1"/>
    <n v="1"/>
    <x v="0"/>
    <s v="Obesity"/>
    <e v="#N/A"/>
    <m/>
    <m/>
    <m/>
    <m/>
    <m/>
  </r>
  <r>
    <s v="Id370"/>
    <s v="Martinez Lopez"/>
    <n v="26.8"/>
    <s v="Normal"/>
    <s v="No"/>
    <s v="No"/>
    <x v="0"/>
    <n v="1"/>
    <x v="0"/>
    <s v="Overweight"/>
    <s v="Normal"/>
    <m/>
    <m/>
    <m/>
    <m/>
    <m/>
  </r>
  <r>
    <s v="Id371"/>
    <s v="Riegel"/>
    <n v="16.86"/>
    <s v="Normal"/>
    <s v="yes"/>
    <s v="No"/>
    <x v="0"/>
    <s v="No major surgery"/>
    <x v="0"/>
    <s v="Underweight"/>
    <s v="Normal"/>
    <m/>
    <m/>
    <m/>
    <m/>
    <m/>
  </r>
  <r>
    <s v="Id372"/>
    <s v="Monson"/>
    <n v="16.3"/>
    <s v="Normal"/>
    <s v="No"/>
    <s v="No"/>
    <x v="0"/>
    <n v="1"/>
    <x v="0"/>
    <s v="Underweight"/>
    <s v="Normal"/>
    <m/>
    <m/>
    <m/>
    <m/>
    <m/>
  </r>
  <r>
    <s v="Id373"/>
    <s v="Klubben"/>
    <n v="29.81"/>
    <s v="Diabetes"/>
    <s v="No"/>
    <s v="No"/>
    <x v="0"/>
    <s v="No major surgery"/>
    <x v="0"/>
    <s v="Overweight"/>
    <s v="Diabetes"/>
    <m/>
    <m/>
    <m/>
    <m/>
    <m/>
  </r>
  <r>
    <s v="Id374"/>
    <s v="Mascaro"/>
    <n v="16.329999999999998"/>
    <s v="Diabetes"/>
    <s v="yes"/>
    <s v="No"/>
    <x v="0"/>
    <s v="No major surgery"/>
    <x v="0"/>
    <s v="Underweight"/>
    <s v="Diabetes"/>
    <m/>
    <m/>
    <m/>
    <m/>
    <m/>
  </r>
  <r>
    <s v="Id375"/>
    <s v="Norvell"/>
    <n v="16.37"/>
    <s v="Normal"/>
    <s v="yes"/>
    <s v="No"/>
    <x v="0"/>
    <s v="No major surgery"/>
    <x v="0"/>
    <s v="Underweight"/>
    <s v="Normal"/>
    <m/>
    <m/>
    <m/>
    <m/>
    <m/>
  </r>
  <r>
    <s v="Id376"/>
    <s v="Ornelas"/>
    <n v="22.42"/>
    <s v="Normal"/>
    <s v="yes"/>
    <s v="No"/>
    <x v="0"/>
    <n v="1"/>
    <x v="1"/>
    <s v="Normal Weight"/>
    <s v="Normal"/>
    <m/>
    <m/>
    <m/>
    <m/>
    <m/>
  </r>
  <r>
    <s v="Id377"/>
    <s v="Fitzpatrick"/>
    <n v="31.35"/>
    <s v="Normal"/>
    <s v="yes"/>
    <s v="No"/>
    <x v="1"/>
    <n v="1"/>
    <x v="1"/>
    <s v="Obesity"/>
    <s v="Normal"/>
    <m/>
    <m/>
    <m/>
    <m/>
    <m/>
  </r>
  <r>
    <s v="Id378"/>
    <s v="Bloomquist"/>
    <n v="31.9"/>
    <s v="Diabetes"/>
    <s v="No"/>
    <s v="No"/>
    <x v="0"/>
    <s v="No major surgery"/>
    <x v="1"/>
    <s v="Obesity"/>
    <s v="Diabetes"/>
    <m/>
    <m/>
    <m/>
    <m/>
    <m/>
  </r>
  <r>
    <s v="Id379"/>
    <s v="Wick"/>
    <n v="30.6"/>
    <s v="Normal"/>
    <s v="No"/>
    <s v="No"/>
    <x v="0"/>
    <s v="No major surgery"/>
    <x v="0"/>
    <s v="Obesity"/>
    <s v="Normal"/>
    <m/>
    <m/>
    <m/>
    <m/>
    <m/>
  </r>
  <r>
    <s v="Id380"/>
    <s v="Zappala"/>
    <n v="28.975000000000001"/>
    <s v="Diabetes"/>
    <s v="No"/>
    <s v="No"/>
    <x v="0"/>
    <s v="No major surgery"/>
    <x v="0"/>
    <s v="Overweight"/>
    <s v="Diabetes"/>
    <m/>
    <m/>
    <m/>
    <m/>
    <m/>
  </r>
  <r>
    <s v="Id381"/>
    <s v="Earle"/>
    <n v="24.86"/>
    <s v="Diabetes"/>
    <s v="yes"/>
    <s v="No"/>
    <x v="0"/>
    <n v="2"/>
    <x v="1"/>
    <s v="Normal Weight"/>
    <s v="Diabetes"/>
    <m/>
    <m/>
    <m/>
    <m/>
    <m/>
  </r>
  <r>
    <s v="Id382"/>
    <s v="Majewski"/>
    <n v="19.54"/>
    <s v="Normal"/>
    <s v="No"/>
    <s v="No"/>
    <x v="0"/>
    <s v="No major surgery"/>
    <x v="0"/>
    <s v="Normal Weight"/>
    <s v="Normal"/>
    <m/>
    <m/>
    <m/>
    <m/>
    <m/>
  </r>
  <r>
    <s v="Id383"/>
    <s v="Apfelbaum"/>
    <n v="26.74"/>
    <s v="Normal"/>
    <s v="No"/>
    <s v="No"/>
    <x v="0"/>
    <s v="No major surgery"/>
    <x v="0"/>
    <s v="Overweight"/>
    <s v="Normal"/>
    <m/>
    <m/>
    <m/>
    <m/>
    <m/>
  </r>
  <r>
    <s v="Id384"/>
    <s v="Graham"/>
    <n v="22.99"/>
    <s v="Diabetes"/>
    <s v="No"/>
    <s v="No"/>
    <x v="0"/>
    <n v="3"/>
    <x v="0"/>
    <s v="Normal Weight"/>
    <s v="Diabetes"/>
    <m/>
    <m/>
    <m/>
    <m/>
    <m/>
  </r>
  <r>
    <s v="Id385"/>
    <s v="Whitacre"/>
    <n v="31.46"/>
    <s v="Diabetes"/>
    <s v="No"/>
    <s v="No"/>
    <x v="0"/>
    <s v="No major surgery"/>
    <x v="1"/>
    <s v="Obesity"/>
    <s v="Diabetes"/>
    <m/>
    <m/>
    <m/>
    <m/>
    <m/>
  </r>
  <r>
    <s v="Id386"/>
    <s v="Wegener"/>
    <n v="30.86"/>
    <s v="Prediabetes"/>
    <s v="No"/>
    <s v="yes"/>
    <x v="0"/>
    <n v="2"/>
    <x v="0"/>
    <s v="Obesity"/>
    <s v="Prediabetes"/>
    <m/>
    <m/>
    <m/>
    <m/>
    <m/>
  </r>
  <r>
    <s v="Id387"/>
    <s v="Collie"/>
    <n v="31.96"/>
    <s v="Diabetes"/>
    <s v="No"/>
    <s v="No"/>
    <x v="0"/>
    <s v="No major surgery"/>
    <x v="0"/>
    <s v="Obesity"/>
    <s v="Diabetes"/>
    <m/>
    <m/>
    <m/>
    <m/>
    <m/>
  </r>
  <r>
    <s v="Id388"/>
    <s v="Murphy"/>
    <n v="23.76"/>
    <s v="Diabetes"/>
    <s v="No"/>
    <s v="No"/>
    <x v="0"/>
    <n v="3"/>
    <x v="0"/>
    <s v="Normal Weight"/>
    <s v="Diabetes"/>
    <m/>
    <m/>
    <m/>
    <m/>
    <m/>
  </r>
  <r>
    <s v="Id389"/>
    <s v="Butters"/>
    <n v="19.38"/>
    <s v="Prediabetes"/>
    <s v="No"/>
    <s v="No"/>
    <x v="0"/>
    <s v="No major surgery"/>
    <x v="0"/>
    <s v="Normal Weight"/>
    <s v="Prediabetes"/>
    <m/>
    <m/>
    <m/>
    <m/>
    <m/>
  </r>
  <r>
    <s v="Id390"/>
    <s v="Cook"/>
    <n v="16.21"/>
    <s v="Prediabetes"/>
    <s v="yes"/>
    <s v="No"/>
    <x v="0"/>
    <n v="1"/>
    <x v="0"/>
    <s v="Underweight"/>
    <s v="Prediabetes"/>
    <m/>
    <m/>
    <m/>
    <m/>
    <m/>
  </r>
  <r>
    <s v="Id391"/>
    <s v="Breen"/>
    <n v="32.54"/>
    <s v="Normal"/>
    <s v="No"/>
    <s v="yes"/>
    <x v="0"/>
    <n v="1"/>
    <x v="0"/>
    <s v="Obesity"/>
    <s v="Normal"/>
    <m/>
    <m/>
    <m/>
    <m/>
    <m/>
  </r>
  <r>
    <s v="Id392"/>
    <s v="Fitzsimons"/>
    <n v="36.765000000000001"/>
    <s v="Diabetes"/>
    <s v="yes"/>
    <s v="No"/>
    <x v="0"/>
    <n v="2"/>
    <x v="1"/>
    <s v="Obesity"/>
    <s v="Diabetes"/>
    <m/>
    <m/>
    <m/>
    <m/>
    <m/>
  </r>
  <r>
    <s v="Id393"/>
    <s v="Houle"/>
    <n v="35.909999999999997"/>
    <s v="Diabetes"/>
    <s v="No"/>
    <s v="No"/>
    <x v="0"/>
    <s v="No major surgery"/>
    <x v="1"/>
    <s v="Obesity"/>
    <s v="Diabetes"/>
    <m/>
    <m/>
    <m/>
    <m/>
    <m/>
  </r>
  <r>
    <s v="Id394"/>
    <s v="Woodward"/>
    <n v="32.06"/>
    <s v="Normal"/>
    <s v="No"/>
    <s v="yes"/>
    <x v="0"/>
    <n v="1"/>
    <x v="0"/>
    <s v="Obesity"/>
    <s v="Normal"/>
    <m/>
    <m/>
    <m/>
    <m/>
    <m/>
  </r>
  <r>
    <s v="Id395"/>
    <s v="Ray"/>
    <n v="24.1"/>
    <s v="Diabetes"/>
    <s v="yes"/>
    <s v="No"/>
    <x v="0"/>
    <n v="1"/>
    <x v="1"/>
    <s v="Normal Weight"/>
    <s v="Diabetes"/>
    <m/>
    <m/>
    <m/>
    <m/>
    <m/>
  </r>
  <r>
    <s v="Id396"/>
    <s v="Jennings"/>
    <n v="27.1"/>
    <s v="Diabetes"/>
    <s v="No"/>
    <s v="No"/>
    <x v="0"/>
    <n v="2"/>
    <x v="1"/>
    <s v="Overweight"/>
    <s v="Diabetes"/>
    <m/>
    <m/>
    <m/>
    <m/>
    <m/>
  </r>
  <r>
    <s v="Id397"/>
    <s v="Fuller"/>
    <n v="24.42"/>
    <s v="Diabetes"/>
    <s v="No"/>
    <s v="No"/>
    <x v="0"/>
    <s v="No major surgery"/>
    <x v="0"/>
    <s v="Normal Weight"/>
    <s v="Diabetes"/>
    <m/>
    <m/>
    <m/>
    <m/>
    <m/>
  </r>
  <r>
    <s v="Id398"/>
    <s v="Lovisek"/>
    <n v="26.695"/>
    <s v="Normal"/>
    <s v="yes"/>
    <s v="No"/>
    <x v="0"/>
    <n v="2"/>
    <x v="0"/>
    <s v="Overweight"/>
    <s v="Normal"/>
    <m/>
    <m/>
    <m/>
    <m/>
    <m/>
  </r>
  <r>
    <s v="Id399"/>
    <s v="Painter"/>
    <n v="27.79"/>
    <s v="Prediabetes"/>
    <s v="yes"/>
    <s v="yes"/>
    <x v="0"/>
    <n v="1"/>
    <x v="0"/>
    <s v="Overweight"/>
    <s v="Prediabetes"/>
    <m/>
    <m/>
    <m/>
    <m/>
    <m/>
  </r>
  <r>
    <s v="Id400"/>
    <s v="Edwards"/>
    <n v="32.68"/>
    <s v="Normal"/>
    <s v="yes"/>
    <s v="No"/>
    <x v="0"/>
    <s v="No major surgery"/>
    <x v="1"/>
    <s v="Obesity"/>
    <s v="Normal"/>
    <m/>
    <m/>
    <m/>
    <m/>
    <m/>
  </r>
  <r>
    <s v="Id401"/>
    <s v="Liebl"/>
    <n v="26.4"/>
    <s v="Diabetes"/>
    <s v="yes"/>
    <s v="No"/>
    <x v="0"/>
    <n v="2"/>
    <x v="1"/>
    <s v="Overweight"/>
    <s v="Diabetes"/>
    <m/>
    <m/>
    <m/>
    <m/>
    <m/>
  </r>
  <r>
    <s v="Id402"/>
    <s v="Kasabian-Larson"/>
    <n v="23.655000000000001"/>
    <s v="Diabetes"/>
    <s v="yes"/>
    <s v="No"/>
    <x v="1"/>
    <n v="1"/>
    <x v="0"/>
    <s v="Normal Weight"/>
    <s v="Diabetes"/>
    <m/>
    <m/>
    <m/>
    <m/>
    <m/>
  </r>
  <r>
    <s v="Id403"/>
    <s v="Creamer"/>
    <n v="27.36"/>
    <s v="Prediabetes"/>
    <s v="No"/>
    <s v="No"/>
    <x v="0"/>
    <n v="2"/>
    <x v="1"/>
    <s v="Overweight"/>
    <s v="Prediabetes"/>
    <m/>
    <m/>
    <m/>
    <m/>
    <m/>
  </r>
  <r>
    <s v="Id404"/>
    <s v="Kimbel"/>
    <n v="27.82"/>
    <s v="Normal"/>
    <s v="yes"/>
    <s v="No"/>
    <x v="0"/>
    <s v="No major surgery"/>
    <x v="0"/>
    <s v="Overweight"/>
    <s v="Normal"/>
    <m/>
    <m/>
    <m/>
    <m/>
    <m/>
  </r>
  <r>
    <s v="Id405"/>
    <s v="Livensparger"/>
    <n v="25.46"/>
    <s v="Diabetes"/>
    <s v="No"/>
    <s v="No"/>
    <x v="0"/>
    <s v="No major surgery"/>
    <x v="1"/>
    <s v="Overweight"/>
    <s v="Diabetes"/>
    <m/>
    <m/>
    <m/>
    <m/>
    <m/>
  </r>
  <r>
    <s v="Id406"/>
    <s v="Grange"/>
    <n v="25.1"/>
    <s v="Diabetes"/>
    <s v="No"/>
    <s v="No"/>
    <x v="0"/>
    <s v="No major surgery"/>
    <x v="0"/>
    <s v="Overweight"/>
    <s v="Diabetes"/>
    <m/>
    <m/>
    <m/>
    <m/>
    <m/>
  </r>
  <r>
    <s v="Id407"/>
    <s v="Nunlist"/>
    <n v="32.11"/>
    <s v="Normal"/>
    <s v="No"/>
    <s v="No"/>
    <x v="0"/>
    <n v="2"/>
    <x v="1"/>
    <s v="Obesity"/>
    <s v="Normal"/>
    <m/>
    <m/>
    <m/>
    <m/>
    <m/>
  </r>
  <r>
    <s v="Id408"/>
    <s v="Cutter"/>
    <n v="29.8"/>
    <s v="Diabetes"/>
    <s v="yes"/>
    <s v="No"/>
    <x v="0"/>
    <n v="1"/>
    <x v="0"/>
    <s v="Overweight"/>
    <s v="Diabetes"/>
    <m/>
    <m/>
    <m/>
    <m/>
    <m/>
  </r>
  <r>
    <s v="Id409"/>
    <s v="Martin"/>
    <n v="24.01"/>
    <s v="Normal"/>
    <s v="No"/>
    <s v="No"/>
    <x v="0"/>
    <n v="1"/>
    <x v="0"/>
    <s v="Normal Weight"/>
    <s v="Normal"/>
    <m/>
    <m/>
    <m/>
    <m/>
    <m/>
  </r>
  <r>
    <s v="Id410"/>
    <s v="Cooney"/>
    <n v="23.21"/>
    <s v="Prediabetes"/>
    <s v="No"/>
    <s v="No"/>
    <x v="0"/>
    <n v="1"/>
    <x v="1"/>
    <s v="Normal Weight"/>
    <s v="Prediabetes"/>
    <m/>
    <m/>
    <m/>
    <m/>
    <m/>
  </r>
  <r>
    <s v="Id411"/>
    <s v="Bier"/>
    <n v="21.2"/>
    <s v="Normal"/>
    <s v="yes"/>
    <s v="No"/>
    <x v="0"/>
    <n v="1"/>
    <x v="0"/>
    <s v="Normal Weight"/>
    <s v="Normal"/>
    <m/>
    <m/>
    <m/>
    <m/>
    <m/>
  </r>
  <r>
    <s v="Id412"/>
    <s v="Muskopf"/>
    <n v="28.215"/>
    <s v="Diabetes"/>
    <s v="yes"/>
    <s v="No"/>
    <x v="0"/>
    <n v="1"/>
    <x v="0"/>
    <s v="Overweight"/>
    <s v="Diabetes"/>
    <m/>
    <m/>
    <m/>
    <m/>
    <m/>
  </r>
  <r>
    <s v="Id413"/>
    <s v="Sirak"/>
    <n v="38.094999999999999"/>
    <s v="Normal"/>
    <s v="No"/>
    <s v="No"/>
    <x v="0"/>
    <n v="1"/>
    <x v="1"/>
    <s v="Obesity"/>
    <s v="Normal"/>
    <m/>
    <m/>
    <m/>
    <m/>
    <m/>
  </r>
  <r>
    <s v="Id414"/>
    <s v="Nelsen"/>
    <n v="22.61"/>
    <s v="Prediabetes"/>
    <s v="yes"/>
    <s v="No"/>
    <x v="1"/>
    <n v="1"/>
    <x v="0"/>
    <s v="Normal Weight"/>
    <s v="Prediabetes"/>
    <m/>
    <m/>
    <m/>
    <m/>
    <m/>
  </r>
  <r>
    <s v="Id415"/>
    <s v="Schallner"/>
    <n v="24.32"/>
    <s v="Diabetes"/>
    <s v="yes"/>
    <s v="No"/>
    <x v="0"/>
    <n v="2"/>
    <x v="0"/>
    <s v="Normal Weight"/>
    <s v="Diabetes"/>
    <m/>
    <m/>
    <m/>
    <m/>
    <m/>
  </r>
  <r>
    <s v="Id416"/>
    <s v="Dunlap"/>
    <n v="20.96"/>
    <s v="Normal"/>
    <s v="yes"/>
    <s v="No"/>
    <x v="0"/>
    <n v="1"/>
    <x v="0"/>
    <s v="Normal Weight"/>
    <s v="Normal"/>
    <m/>
    <m/>
    <m/>
    <m/>
    <m/>
  </r>
  <r>
    <s v="Id417"/>
    <s v="Messing"/>
    <n v="19.68"/>
    <s v="Prediabetes"/>
    <s v="No"/>
    <s v="No"/>
    <x v="0"/>
    <s v="No major surgery"/>
    <x v="0"/>
    <s v="Normal Weight"/>
    <s v="Prediabetes"/>
    <m/>
    <m/>
    <m/>
    <m/>
    <m/>
  </r>
  <r>
    <s v="Id418"/>
    <s v="Bondell"/>
    <n v="18.100000000000001"/>
    <s v="Prediabetes"/>
    <s v="No"/>
    <s v="No"/>
    <x v="0"/>
    <n v="1"/>
    <x v="0"/>
    <s v="Underweight"/>
    <s v="Prediabetes"/>
    <m/>
    <m/>
    <m/>
    <m/>
    <m/>
  </r>
  <r>
    <s v="Id419"/>
    <s v="Gaughan"/>
    <n v="29.64"/>
    <s v="Normal"/>
    <s v="yes"/>
    <s v="No"/>
    <x v="0"/>
    <s v="No major surgery"/>
    <x v="1"/>
    <s v="Overweight"/>
    <s v="Normal"/>
    <m/>
    <m/>
    <m/>
    <m/>
    <m/>
  </r>
  <r>
    <s v="Id420"/>
    <s v="Gruman"/>
    <n v="25.3"/>
    <s v="Diabetes"/>
    <s v="yes"/>
    <s v="No"/>
    <x v="0"/>
    <n v="2"/>
    <x v="0"/>
    <s v="Overweight"/>
    <s v="Diabetes"/>
    <m/>
    <m/>
    <m/>
    <m/>
    <m/>
  </r>
  <r>
    <s v="Id421"/>
    <s v="Whitlow"/>
    <n v="27.6"/>
    <s v="Normal"/>
    <s v="yes"/>
    <s v="No"/>
    <x v="0"/>
    <s v="No major surgery"/>
    <x v="1"/>
    <s v="Overweight"/>
    <s v="Normal"/>
    <m/>
    <m/>
    <m/>
    <m/>
    <m/>
  </r>
  <r>
    <s v="Id422"/>
    <s v="Robinson"/>
    <n v="27.645"/>
    <s v="Diabetes"/>
    <s v="yes"/>
    <s v="No"/>
    <x v="0"/>
    <n v="1"/>
    <x v="0"/>
    <s v="Overweight"/>
    <s v="Diabetes"/>
    <m/>
    <m/>
    <m/>
    <m/>
    <m/>
  </r>
  <r>
    <s v="Id423"/>
    <s v="Sabo"/>
    <n v="27.6"/>
    <s v="Normal"/>
    <s v="No"/>
    <s v="No"/>
    <x v="0"/>
    <n v="2"/>
    <x v="0"/>
    <s v="Overweight"/>
    <s v="Normal"/>
    <m/>
    <m/>
    <m/>
    <m/>
    <m/>
  </r>
  <r>
    <s v="Id424"/>
    <s v="Nazarian"/>
    <n v="25.08"/>
    <s v="Diabetes"/>
    <s v="yes"/>
    <s v="No"/>
    <x v="0"/>
    <n v="2"/>
    <x v="1"/>
    <s v="Overweight"/>
    <s v="Diabetes"/>
    <m/>
    <m/>
    <m/>
    <m/>
    <m/>
  </r>
  <r>
    <s v="Id425"/>
    <s v="Lerma"/>
    <n v="30.02"/>
    <s v="Diabetes"/>
    <s v="No"/>
    <s v="No"/>
    <x v="0"/>
    <s v="No major surgery"/>
    <x v="1"/>
    <s v="Obesity"/>
    <s v="Diabetes"/>
    <m/>
    <m/>
    <m/>
    <m/>
    <m/>
  </r>
  <r>
    <s v="Id426"/>
    <s v="Dahl"/>
    <n v="27.36"/>
    <s v="Diabetes"/>
    <s v="yes"/>
    <s v="No"/>
    <x v="0"/>
    <n v="2"/>
    <x v="0"/>
    <s v="Overweight"/>
    <s v="Diabetes"/>
    <m/>
    <m/>
    <m/>
    <m/>
    <m/>
  </r>
  <r>
    <s v="Id427"/>
    <s v="Surtees"/>
    <n v="22.2"/>
    <s v="Normal"/>
    <s v="No"/>
    <s v="No"/>
    <x v="0"/>
    <s v="No major surgery"/>
    <x v="0"/>
    <s v="Normal Weight"/>
    <s v="Normal"/>
    <m/>
    <m/>
    <m/>
    <m/>
    <m/>
  </r>
  <r>
    <s v="Id428"/>
    <s v="Spetner"/>
    <n v="25.71"/>
    <s v="Normal"/>
    <s v="No"/>
    <s v="yes"/>
    <x v="0"/>
    <n v="1"/>
    <x v="0"/>
    <s v="Overweight"/>
    <s v="Normal"/>
    <m/>
    <m/>
    <m/>
    <m/>
    <m/>
  </r>
  <r>
    <s v="Id429"/>
    <s v="Brandon"/>
    <n v="41.91"/>
    <s v="Prediabetes"/>
    <s v="yes"/>
    <s v="No"/>
    <x v="0"/>
    <n v="1"/>
    <x v="1"/>
    <s v="Obesity"/>
    <s v="Prediabetes"/>
    <m/>
    <m/>
    <m/>
    <m/>
    <m/>
  </r>
  <r>
    <s v="Id430"/>
    <s v="Eley"/>
    <n v="25.85"/>
    <s v="Diabetes"/>
    <s v="No"/>
    <s v="No"/>
    <x v="0"/>
    <s v="No major surgery"/>
    <x v="0"/>
    <s v="Overweight"/>
    <s v="Diabetes"/>
    <m/>
    <m/>
    <m/>
    <m/>
    <m/>
  </r>
  <r>
    <s v="Id431"/>
    <s v="Sedicum"/>
    <n v="23.844999999999999"/>
    <s v="Diabetes"/>
    <s v="No"/>
    <s v="No"/>
    <x v="0"/>
    <n v="2"/>
    <x v="0"/>
    <s v="Normal Weight"/>
    <s v="Diabetes"/>
    <m/>
    <m/>
    <m/>
    <m/>
    <m/>
  </r>
  <r>
    <s v="Id432"/>
    <s v="Markle"/>
    <n v="30.59"/>
    <s v="Normal"/>
    <s v="No"/>
    <s v="No"/>
    <x v="1"/>
    <n v="1"/>
    <x v="1"/>
    <s v="Obesity"/>
    <s v="Normal"/>
    <m/>
    <m/>
    <m/>
    <m/>
    <m/>
  </r>
  <r>
    <s v="Id433"/>
    <s v="Kunz"/>
    <n v="24.795000000000002"/>
    <s v="Diabetes"/>
    <s v="No"/>
    <s v="No"/>
    <x v="0"/>
    <s v="No major surgery"/>
    <x v="0"/>
    <s v="Normal Weight"/>
    <s v="Diabetes"/>
    <m/>
    <m/>
    <m/>
    <m/>
    <m/>
  </r>
  <r>
    <s v="Id434"/>
    <s v="Wimert"/>
    <n v="24.13"/>
    <s v="Diabetes"/>
    <s v="yes"/>
    <s v="No"/>
    <x v="0"/>
    <n v="2"/>
    <x v="0"/>
    <s v="Normal Weight"/>
    <s v="Diabetes"/>
    <m/>
    <m/>
    <m/>
    <m/>
    <m/>
  </r>
  <r>
    <s v="Id435"/>
    <s v="Peterson"/>
    <n v="25.84"/>
    <s v="Diabetes"/>
    <s v="No"/>
    <s v="No"/>
    <x v="0"/>
    <n v="2"/>
    <x v="0"/>
    <s v="Overweight"/>
    <s v="Diabetes"/>
    <m/>
    <m/>
    <m/>
    <m/>
    <m/>
  </r>
  <r>
    <s v="Id436"/>
    <s v="Mercier"/>
    <n v="28"/>
    <s v="Diabetes"/>
    <s v="No"/>
    <s v="No"/>
    <x v="0"/>
    <s v="No major surgery"/>
    <x v="0"/>
    <s v="Overweight"/>
    <s v="Diabetes"/>
    <m/>
    <m/>
    <m/>
    <m/>
    <m/>
  </r>
  <r>
    <s v="Id437"/>
    <s v="Laurie"/>
    <n v="34.1"/>
    <s v="Normal"/>
    <s v="yes"/>
    <s v="No"/>
    <x v="1"/>
    <n v="1"/>
    <x v="1"/>
    <s v="Obesity"/>
    <s v="Normal"/>
    <m/>
    <m/>
    <m/>
    <m/>
    <m/>
  </r>
  <r>
    <s v="Id438"/>
    <s v="Sekaquaptewa"/>
    <n v="26.125"/>
    <s v="Diabetes"/>
    <s v="yes"/>
    <s v="No"/>
    <x v="0"/>
    <n v="1"/>
    <x v="0"/>
    <s v="Overweight"/>
    <s v="Diabetes"/>
    <m/>
    <m/>
    <m/>
    <m/>
    <m/>
  </r>
  <r>
    <s v="Id439"/>
    <s v="Frash"/>
    <n v="25.6"/>
    <s v="Diabetes"/>
    <s v="No"/>
    <s v="No"/>
    <x v="0"/>
    <n v="2"/>
    <x v="0"/>
    <s v="Overweight"/>
    <s v="Diabetes"/>
    <m/>
    <m/>
    <m/>
    <m/>
    <m/>
  </r>
  <r>
    <s v="Id440"/>
    <s v="Bukowski"/>
    <n v="24.32"/>
    <s v="Prediabetes"/>
    <s v="No"/>
    <s v="No"/>
    <x v="0"/>
    <s v="No major surgery"/>
    <x v="1"/>
    <s v="Normal Weight"/>
    <s v="Prediabetes"/>
    <m/>
    <m/>
    <m/>
    <m/>
    <m/>
  </r>
  <r>
    <s v="Id441"/>
    <s v="Sandahl"/>
    <n v="22.88"/>
    <s v="Prediabetes"/>
    <s v="yes"/>
    <s v="No"/>
    <x v="1"/>
    <n v="1"/>
    <x v="0"/>
    <s v="Normal Weight"/>
    <s v="Prediabetes"/>
    <m/>
    <m/>
    <m/>
    <m/>
    <m/>
  </r>
  <r>
    <s v="Id442"/>
    <s v="Speight"/>
    <n v="24.984999999999999"/>
    <s v="Normal"/>
    <s v="yes"/>
    <s v="No"/>
    <x v="1"/>
    <n v="1"/>
    <x v="1"/>
    <s v="Overweight"/>
    <s v="Normal"/>
    <m/>
    <m/>
    <m/>
    <m/>
    <m/>
  </r>
  <r>
    <s v="Id443"/>
    <s v="Lee"/>
    <n v="33.1"/>
    <s v="Normal"/>
    <s v="No"/>
    <s v="No"/>
    <x v="1"/>
    <n v="1"/>
    <x v="1"/>
    <s v="Obesity"/>
    <s v="Normal"/>
    <m/>
    <m/>
    <m/>
    <m/>
    <m/>
  </r>
  <r>
    <s v="Id444"/>
    <s v="Nielsen"/>
    <n v="27.83"/>
    <s v="Diabetes"/>
    <s v="yes"/>
    <s v="No"/>
    <x v="0"/>
    <n v="1"/>
    <x v="0"/>
    <s v="Overweight"/>
    <s v="Diabetes"/>
    <m/>
    <m/>
    <m/>
    <m/>
    <m/>
  </r>
  <r>
    <s v="Id445"/>
    <s v="Zirdok"/>
    <n v="30.875"/>
    <s v="Diabetes"/>
    <s v="yes"/>
    <s v="No"/>
    <x v="0"/>
    <n v="2"/>
    <x v="1"/>
    <s v="Obesity"/>
    <s v="Diabetes"/>
    <m/>
    <m/>
    <m/>
    <m/>
    <m/>
  </r>
  <r>
    <s v="Id446"/>
    <s v="Crudale"/>
    <n v="27.265000000000001"/>
    <s v="Normal"/>
    <s v="No"/>
    <s v="No"/>
    <x v="1"/>
    <n v="1"/>
    <x v="1"/>
    <s v="Overweight"/>
    <s v="Normal"/>
    <m/>
    <m/>
    <m/>
    <m/>
    <m/>
  </r>
  <r>
    <s v="Id447"/>
    <s v="Koopmans"/>
    <n v="26.7"/>
    <s v="Normal"/>
    <s v="No"/>
    <s v="No"/>
    <x v="1"/>
    <n v="1"/>
    <x v="0"/>
    <s v="Overweight"/>
    <s v="Normal"/>
    <m/>
    <m/>
    <m/>
    <m/>
    <m/>
  </r>
  <r>
    <s v="Id448"/>
    <s v="Milani"/>
    <n v="29.925000000000001"/>
    <s v="Prediabetes"/>
    <s v="yes"/>
    <s v="No"/>
    <x v="1"/>
    <n v="1"/>
    <x v="0"/>
    <e v="#N/A"/>
    <s v="Prediabetes"/>
    <m/>
    <m/>
    <m/>
    <m/>
    <m/>
  </r>
  <r>
    <s v="Id449"/>
    <s v="Kelly"/>
    <n v="19.95"/>
    <s v="Normal"/>
    <s v="yes"/>
    <s v="No"/>
    <x v="0"/>
    <n v="2"/>
    <x v="0"/>
    <s v="Normal Weight"/>
    <s v="Normal"/>
    <m/>
    <m/>
    <m/>
    <m/>
    <m/>
  </r>
  <r>
    <s v="Id450"/>
    <s v="Finelli"/>
    <n v="24.225000000000001"/>
    <s v="Normal"/>
    <s v="No"/>
    <s v="No"/>
    <x v="0"/>
    <s v="No major surgery"/>
    <x v="1"/>
    <s v="Normal Weight"/>
    <s v="Normal"/>
    <m/>
    <m/>
    <m/>
    <m/>
    <m/>
  </r>
  <r>
    <s v="Id451"/>
    <s v="Palmer"/>
    <n v="28.12"/>
    <s v="Normal"/>
    <s v="No"/>
    <s v="No"/>
    <x v="0"/>
    <s v="No major surgery"/>
    <x v="0"/>
    <s v="Overweight"/>
    <s v="Normal"/>
    <m/>
    <m/>
    <m/>
    <m/>
    <m/>
  </r>
  <r>
    <s v="Id452"/>
    <s v="Wang"/>
    <n v="23.21"/>
    <s v="Diabetes"/>
    <s v="No"/>
    <s v="No"/>
    <x v="0"/>
    <s v="No major surgery"/>
    <x v="0"/>
    <s v="Normal Weight"/>
    <s v="Diabetes"/>
    <m/>
    <m/>
    <m/>
    <m/>
    <m/>
  </r>
  <r>
    <s v="Id453"/>
    <s v="Beasley"/>
    <n v="23.98"/>
    <s v="Diabetes"/>
    <s v="No"/>
    <s v="No"/>
    <x v="0"/>
    <s v="No major surgery"/>
    <x v="1"/>
    <s v="Normal Weight"/>
    <s v="Diabetes"/>
    <m/>
    <m/>
    <m/>
    <m/>
    <m/>
  </r>
  <r>
    <s v="Id454"/>
    <s v="Bedbury"/>
    <n v="30"/>
    <s v="Prediabetes"/>
    <s v="No"/>
    <s v="No"/>
    <x v="0"/>
    <s v="No major surgery"/>
    <x v="0"/>
    <s v="Obesity"/>
    <s v="Prediabetes"/>
    <m/>
    <m/>
    <m/>
    <m/>
    <m/>
  </r>
  <r>
    <s v="Id455"/>
    <s v="Stemberger"/>
    <n v="17.350000000000001"/>
    <s v="Normal"/>
    <s v="yes"/>
    <s v="No"/>
    <x v="0"/>
    <s v="No major surgery"/>
    <x v="0"/>
    <s v="Underweight"/>
    <s v="Normal"/>
    <m/>
    <m/>
    <m/>
    <m/>
    <m/>
  </r>
  <r>
    <s v="Id456"/>
    <s v="Chebet"/>
    <n v="22.704999999999998"/>
    <s v="Normal"/>
    <s v="No"/>
    <s v="No"/>
    <x v="0"/>
    <s v="No major surgery"/>
    <x v="1"/>
    <s v="Normal Weight"/>
    <s v="Normal"/>
    <m/>
    <m/>
    <m/>
    <m/>
    <m/>
  </r>
  <r>
    <s v="Id457"/>
    <s v="Muir"/>
    <n v="25.41"/>
    <s v="Diabetes"/>
    <s v="yes"/>
    <s v="No"/>
    <x v="0"/>
    <n v="1"/>
    <x v="0"/>
    <s v="Overweight"/>
    <s v="Diabetes"/>
    <m/>
    <m/>
    <m/>
    <m/>
    <m/>
  </r>
  <r>
    <s v="Id458"/>
    <s v="Yang"/>
    <n v="18.23"/>
    <s v="Prediabetes"/>
    <s v="No"/>
    <s v="No"/>
    <x v="1"/>
    <n v="1"/>
    <x v="0"/>
    <s v="Underweight"/>
    <s v="Prediabetes"/>
    <m/>
    <m/>
    <m/>
    <m/>
    <m/>
  </r>
  <r>
    <s v="Id459"/>
    <s v="Gravel"/>
    <n v="24.7"/>
    <s v="Normal"/>
    <s v="No"/>
    <s v="No"/>
    <x v="1"/>
    <n v="1"/>
    <x v="0"/>
    <s v="Normal Weight"/>
    <s v="Normal"/>
    <m/>
    <m/>
    <m/>
    <m/>
    <m/>
  </r>
  <r>
    <s v="Id460"/>
    <s v="Smith"/>
    <n v="37.4"/>
    <s v="Diabetes"/>
    <s v="yes"/>
    <s v="No"/>
    <x v="1"/>
    <n v="1"/>
    <x v="1"/>
    <s v="Obesity"/>
    <s v="Diabetes"/>
    <m/>
    <m/>
    <m/>
    <m/>
    <m/>
  </r>
  <r>
    <s v="Id461"/>
    <s v="Williams"/>
    <n v="26.885000000000002"/>
    <s v="Normal"/>
    <s v="No"/>
    <s v="No"/>
    <x v="1"/>
    <n v="1"/>
    <x v="0"/>
    <s v="Overweight"/>
    <s v="Normal"/>
    <m/>
    <m/>
    <m/>
    <m/>
    <m/>
  </r>
  <r>
    <s v="Id462"/>
    <s v="Meyer"/>
    <n v="25.27"/>
    <s v="Normal"/>
    <s v="No"/>
    <s v="No"/>
    <x v="1"/>
    <n v="1"/>
    <x v="0"/>
    <s v="Overweight"/>
    <s v="Normal"/>
    <m/>
    <m/>
    <m/>
    <m/>
    <m/>
  </r>
  <r>
    <s v="Id463"/>
    <s v="Jamieson"/>
    <n v="23.655000000000001"/>
    <s v="Normal"/>
    <s v="yes"/>
    <s v="No"/>
    <x v="0"/>
    <s v="No major surgery"/>
    <x v="0"/>
    <s v="Normal Weight"/>
    <s v="Normal"/>
    <m/>
    <m/>
    <m/>
    <m/>
    <m/>
  </r>
  <r>
    <s v="Id464"/>
    <s v="Dufeal"/>
    <n v="55.05"/>
    <s v="Diabetes"/>
    <s v="No"/>
    <s v="No"/>
    <x v="0"/>
    <s v="No major surgery"/>
    <x v="1"/>
    <s v="Obesity"/>
    <s v="Diabetes"/>
    <m/>
    <m/>
    <m/>
    <m/>
    <m/>
  </r>
  <r>
    <s v="Id465"/>
    <s v="Sansonetti"/>
    <n v="24.89"/>
    <s v="Prediabetes"/>
    <s v="yes"/>
    <s v="No"/>
    <x v="1"/>
    <n v="1"/>
    <x v="0"/>
    <s v="Normal Weight"/>
    <s v="Prediabetes"/>
    <m/>
    <m/>
    <m/>
    <m/>
    <m/>
  </r>
  <r>
    <s v="Id466"/>
    <s v="Koneazny"/>
    <n v="18.715"/>
    <s v="Normal"/>
    <s v="No"/>
    <s v="No"/>
    <x v="0"/>
    <s v="No major surgery"/>
    <x v="1"/>
    <s v="Normal Weight"/>
    <s v="Normal"/>
    <m/>
    <m/>
    <m/>
    <m/>
    <m/>
  </r>
  <r>
    <s v="Id467"/>
    <s v="Johnson"/>
    <n v="28.12"/>
    <s v="Prediabetes"/>
    <s v="No"/>
    <s v="No"/>
    <x v="0"/>
    <s v="No major surgery"/>
    <x v="0"/>
    <s v="Overweight"/>
    <s v="Prediabetes"/>
    <m/>
    <m/>
    <m/>
    <m/>
    <m/>
  </r>
  <r>
    <s v="Id468"/>
    <s v="Glasson"/>
    <n v="26.6"/>
    <s v="Normal"/>
    <s v="No"/>
    <s v="No"/>
    <x v="0"/>
    <s v="No major surgery"/>
    <x v="0"/>
    <s v="Overweight"/>
    <s v="Normal"/>
    <m/>
    <m/>
    <m/>
    <m/>
    <m/>
  </r>
  <r>
    <s v="Id469"/>
    <s v="Canitz"/>
    <n v="30.114999999999998"/>
    <s v="Normal"/>
    <s v="No"/>
    <s v="yes"/>
    <x v="0"/>
    <n v="1"/>
    <x v="1"/>
    <s v="Obesity"/>
    <s v="Normal"/>
    <m/>
    <m/>
    <m/>
    <m/>
    <m/>
  </r>
  <r>
    <s v="Id470"/>
    <s v="Li"/>
    <n v="24.605"/>
    <s v="Normal"/>
    <s v="No"/>
    <s v="No"/>
    <x v="0"/>
    <s v="No major surgery"/>
    <x v="0"/>
    <s v="Normal Weight"/>
    <s v="Normal"/>
    <m/>
    <m/>
    <m/>
    <m/>
    <m/>
  </r>
  <r>
    <s v="Id471"/>
    <s v="Parsons"/>
    <n v="29.6"/>
    <s v="Diabetes"/>
    <s v="No"/>
    <s v="No"/>
    <x v="0"/>
    <s v="No major surgery"/>
    <x v="1"/>
    <s v="Overweight"/>
    <s v="Diabetes"/>
    <m/>
    <m/>
    <m/>
    <m/>
    <m/>
  </r>
  <r>
    <s v="Id472"/>
    <s v="Raulli"/>
    <n v="24.42"/>
    <s v="Diabetes"/>
    <s v="No"/>
    <s v="No"/>
    <x v="0"/>
    <s v="No major surgery"/>
    <x v="0"/>
    <s v="Normal Weight"/>
    <s v="Diabetes"/>
    <m/>
    <m/>
    <m/>
    <m/>
    <m/>
  </r>
  <r>
    <s v="Id473"/>
    <s v="Frome"/>
    <n v="20.9"/>
    <s v="Normal"/>
    <s v="yes"/>
    <s v="No"/>
    <x v="1"/>
    <n v="1"/>
    <x v="0"/>
    <s v="Normal Weight"/>
    <s v="Normal"/>
    <m/>
    <m/>
    <m/>
    <m/>
    <m/>
  </r>
  <r>
    <s v="Id474"/>
    <s v="Sevcik"/>
    <n v="22.895"/>
    <s v="Prediabetes"/>
    <s v="No"/>
    <s v="No"/>
    <x v="0"/>
    <s v="No major surgery"/>
    <x v="0"/>
    <s v="Normal Weight"/>
    <s v="Prediabetes"/>
    <m/>
    <m/>
    <m/>
    <m/>
    <m/>
  </r>
  <r>
    <s v="Id475"/>
    <s v="Narang"/>
    <n v="28.3"/>
    <s v="Normal"/>
    <s v="yes"/>
    <s v="No"/>
    <x v="1"/>
    <n v="1"/>
    <x v="0"/>
    <s v="Overweight"/>
    <s v="Normal"/>
    <m/>
    <m/>
    <m/>
    <m/>
    <m/>
  </r>
  <r>
    <s v="Id476"/>
    <s v="Royston"/>
    <n v="54.3"/>
    <s v="Normal"/>
    <s v="yes"/>
    <s v="No"/>
    <x v="0"/>
    <n v="1"/>
    <x v="1"/>
    <s v="Obesity"/>
    <s v="Normal"/>
    <m/>
    <m/>
    <m/>
    <m/>
    <m/>
  </r>
  <r>
    <s v="Id477"/>
    <s v="Tieri"/>
    <n v="33.344999999999999"/>
    <s v="Diabetes"/>
    <s v="yes"/>
    <s v="No"/>
    <x v="0"/>
    <n v="1"/>
    <x v="1"/>
    <s v="Obesity"/>
    <s v="Diabetes"/>
    <m/>
    <m/>
    <m/>
    <m/>
    <m/>
  </r>
  <r>
    <s v="Id478"/>
    <s v="Whitney"/>
    <n v="33"/>
    <s v="Diabetes"/>
    <s v="yes"/>
    <s v="No"/>
    <x v="0"/>
    <s v="No major surgery"/>
    <x v="1"/>
    <s v="Obesity"/>
    <s v="Diabetes"/>
    <m/>
    <m/>
    <m/>
    <m/>
    <m/>
  </r>
  <r>
    <s v="Id479"/>
    <s v="Wandzilak"/>
    <n v="28.024999999999999"/>
    <s v="Diabetes"/>
    <s v="yes"/>
    <s v="No"/>
    <x v="0"/>
    <n v="1"/>
    <x v="0"/>
    <s v="Overweight"/>
    <s v="Diabetes"/>
    <m/>
    <m/>
    <m/>
    <m/>
    <m/>
  </r>
  <r>
    <s v="Id480"/>
    <s v="Valenzona"/>
    <n v="28.69"/>
    <s v="Prediabetes"/>
    <s v="No"/>
    <s v="No"/>
    <x v="0"/>
    <n v="1"/>
    <x v="0"/>
    <s v="Overweight"/>
    <s v="Prediabetes"/>
    <m/>
    <m/>
    <m/>
    <m/>
    <m/>
  </r>
  <r>
    <s v="Id481"/>
    <s v="Young"/>
    <n v="40.28"/>
    <s v="Diabetes"/>
    <s v="No"/>
    <s v="No"/>
    <x v="0"/>
    <s v="No major surgery"/>
    <x v="1"/>
    <s v="Obesity"/>
    <s v="Diabetes"/>
    <m/>
    <m/>
    <m/>
    <m/>
    <m/>
  </r>
  <r>
    <s v="Id482"/>
    <s v="Richards"/>
    <n v="37.299999999999997"/>
    <s v="Diabetes"/>
    <s v="yes"/>
    <s v="No"/>
    <x v="0"/>
    <s v="No major surgery"/>
    <x v="1"/>
    <s v="Obesity"/>
    <s v="Diabetes"/>
    <m/>
    <m/>
    <m/>
    <m/>
    <m/>
  </r>
  <r>
    <s v="Id483"/>
    <s v="Alexson"/>
    <n v="54.47"/>
    <s v="Normal"/>
    <s v="yes"/>
    <s v="No"/>
    <x v="0"/>
    <n v="2"/>
    <x v="1"/>
    <s v="Obesity"/>
    <s v="Normal"/>
    <m/>
    <m/>
    <m/>
    <m/>
    <m/>
  </r>
  <r>
    <s v="Id484"/>
    <s v="Wright"/>
    <n v="38.06"/>
    <s v="Normal"/>
    <s v="yes"/>
    <s v="No"/>
    <x v="1"/>
    <n v="1"/>
    <x v="1"/>
    <s v="Obesity"/>
    <s v="Normal"/>
    <m/>
    <m/>
    <m/>
    <m/>
    <m/>
  </r>
  <r>
    <s v="Id485"/>
    <s v="McKenna"/>
    <n v="51.47"/>
    <s v="Diabetes"/>
    <s v="No"/>
    <s v="No"/>
    <x v="0"/>
    <s v="No major surgery"/>
    <x v="1"/>
    <s v="Obesity"/>
    <s v="Diabetes"/>
    <m/>
    <m/>
    <m/>
    <m/>
    <m/>
  </r>
  <r>
    <s v="Id486"/>
    <s v="Sallade"/>
    <n v="29.8"/>
    <s v="Prediabetes"/>
    <s v="yes"/>
    <s v="No"/>
    <x v="0"/>
    <s v="No major surgery"/>
    <x v="1"/>
    <s v="Overweight"/>
    <s v="Prediabetes"/>
    <m/>
    <m/>
    <m/>
    <m/>
    <m/>
  </r>
  <r>
    <s v="Id487"/>
    <s v="Argall"/>
    <n v="49.77"/>
    <s v="Diabetes"/>
    <s v="No"/>
    <s v="No"/>
    <x v="0"/>
    <s v="No major surgery"/>
    <x v="1"/>
    <s v="Obesity"/>
    <s v="Diabetes"/>
    <m/>
    <m/>
    <m/>
    <m/>
    <m/>
  </r>
  <r>
    <s v="Id488"/>
    <s v="Patchell"/>
    <n v="25.555"/>
    <s v="Normal"/>
    <s v="yes"/>
    <s v="No"/>
    <x v="0"/>
    <s v="No major surgery"/>
    <x v="0"/>
    <s v="Overweight"/>
    <s v="Normal"/>
    <m/>
    <m/>
    <m/>
    <m/>
    <m/>
  </r>
  <r>
    <s v="Id489"/>
    <s v="Catoggio"/>
    <n v="29.64"/>
    <s v="Normal"/>
    <s v="No"/>
    <s v="No"/>
    <x v="1"/>
    <n v="1"/>
    <x v="1"/>
    <s v="Overweight"/>
    <s v="Normal"/>
    <m/>
    <m/>
    <m/>
    <m/>
    <m/>
  </r>
  <r>
    <s v="Id490"/>
    <s v="Adams"/>
    <n v="53.93"/>
    <s v="Normal"/>
    <s v="yes"/>
    <s v="No"/>
    <x v="0"/>
    <n v="2"/>
    <x v="1"/>
    <s v="Obesity"/>
    <s v="Normal"/>
    <m/>
    <m/>
    <m/>
    <m/>
    <m/>
  </r>
  <r>
    <s v="Id491"/>
    <s v="Windt"/>
    <n v="28.024999999999999"/>
    <s v="Normal"/>
    <s v="No"/>
    <s v="No"/>
    <x v="0"/>
    <n v="1"/>
    <x v="0"/>
    <s v="Overweight"/>
    <s v="Normal"/>
    <m/>
    <m/>
    <m/>
    <m/>
    <m/>
  </r>
  <r>
    <s v="Id492"/>
    <s v="Ryan"/>
    <n v="27.5"/>
    <s v="Normal"/>
    <s v="No"/>
    <s v="No"/>
    <x v="0"/>
    <s v="No major surgery"/>
    <x v="1"/>
    <s v="Overweight"/>
    <s v="Normal"/>
    <m/>
    <m/>
    <m/>
    <m/>
    <m/>
  </r>
  <r>
    <s v="Id493"/>
    <s v="Marion"/>
    <n v="21.8"/>
    <s v="Diabetes"/>
    <s v="No"/>
    <s v="No"/>
    <x v="0"/>
    <s v="No major surgery"/>
    <x v="0"/>
    <s v="Normal Weight"/>
    <s v="Diabetes"/>
    <m/>
    <m/>
    <m/>
    <m/>
    <m/>
  </r>
  <r>
    <s v="Id494"/>
    <s v="Raffetto"/>
    <n v="26.41"/>
    <s v="Normal"/>
    <s v="yes"/>
    <s v="No"/>
    <x v="1"/>
    <n v="1"/>
    <x v="0"/>
    <s v="Overweight"/>
    <s v="Normal"/>
    <m/>
    <m/>
    <m/>
    <m/>
    <m/>
  </r>
  <r>
    <s v="Id495"/>
    <s v="Young"/>
    <n v="27.835000000000001"/>
    <s v="Prediabetes"/>
    <s v="yes"/>
    <s v="No"/>
    <x v="0"/>
    <n v="1"/>
    <x v="0"/>
    <s v="Overweight"/>
    <s v="Prediabetes"/>
    <m/>
    <m/>
    <m/>
    <m/>
    <m/>
  </r>
  <r>
    <s v="Id496"/>
    <s v="Oehlke"/>
    <n v="51.74"/>
    <s v="Normal"/>
    <s v="yes"/>
    <s v="No"/>
    <x v="0"/>
    <n v="2"/>
    <x v="1"/>
    <s v="Obesity"/>
    <s v="Normal"/>
    <m/>
    <m/>
    <m/>
    <m/>
    <m/>
  </r>
  <r>
    <s v="Id497"/>
    <s v="Sudol"/>
    <n v="23.37"/>
    <s v="Prediabetes"/>
    <s v="No"/>
    <s v="No"/>
    <x v="0"/>
    <s v="No major surgery"/>
    <x v="0"/>
    <s v="Normal Weight"/>
    <s v="Prediabetes"/>
    <m/>
    <m/>
    <m/>
    <m/>
    <m/>
  </r>
  <r>
    <s v="Id498"/>
    <s v="Van Es"/>
    <n v="29.7"/>
    <s v="Prediabetes"/>
    <s v="yes"/>
    <s v="No"/>
    <x v="1"/>
    <n v="1"/>
    <x v="0"/>
    <s v="Overweight"/>
    <s v="Prediabetes"/>
    <m/>
    <m/>
    <m/>
    <m/>
    <m/>
  </r>
  <r>
    <s v="Id499"/>
    <s v="Dolge"/>
    <n v="20.045000000000002"/>
    <s v="Prediabetes"/>
    <s v="No"/>
    <s v="No"/>
    <x v="1"/>
    <n v="1"/>
    <x v="0"/>
    <s v="Normal Weight"/>
    <s v="Prediabetes"/>
    <m/>
    <m/>
    <m/>
    <m/>
    <m/>
  </r>
  <r>
    <s v="Id500"/>
    <s v="Marlier"/>
    <n v="27.83"/>
    <s v="Normal"/>
    <s v="No"/>
    <s v="No"/>
    <x v="0"/>
    <n v="2"/>
    <x v="1"/>
    <s v="Overweight"/>
    <s v="Normal"/>
    <m/>
    <m/>
    <m/>
    <m/>
    <m/>
  </r>
  <r>
    <s v="Id501"/>
    <s v="Girard"/>
    <n v="28.93"/>
    <s v="Normal"/>
    <s v="No"/>
    <s v="No"/>
    <x v="0"/>
    <s v="No major surgery"/>
    <x v="0"/>
    <s v="Overweight"/>
    <s v="Normal"/>
    <m/>
    <m/>
    <m/>
    <m/>
    <m/>
  </r>
  <r>
    <s v="Id502"/>
    <s v="Lee"/>
    <n v="33.82"/>
    <s v="Normal"/>
    <s v="No"/>
    <s v="No"/>
    <x v="0"/>
    <s v="No major surgery"/>
    <x v="1"/>
    <s v="Obesity"/>
    <s v="Normal"/>
    <m/>
    <m/>
    <m/>
    <m/>
    <m/>
  </r>
  <r>
    <s v="Id503"/>
    <s v="Hubbard"/>
    <n v="20.234999999999999"/>
    <s v="Diabetes"/>
    <s v="No"/>
    <s v="No"/>
    <x v="0"/>
    <s v="No major surgery"/>
    <x v="0"/>
    <s v="Normal Weight"/>
    <s v="Diabetes"/>
    <m/>
    <m/>
    <m/>
    <m/>
    <m/>
  </r>
  <r>
    <s v="Id504"/>
    <s v="Koester"/>
    <n v="49.2"/>
    <s v="Diabetes"/>
    <s v="yes"/>
    <s v="No"/>
    <x v="1"/>
    <n v="1"/>
    <x v="1"/>
    <s v="Obesity"/>
    <s v="Diabetes"/>
    <m/>
    <m/>
    <m/>
    <m/>
    <m/>
  </r>
  <r>
    <s v="Id505"/>
    <s v="Matthews"/>
    <n v="26.4"/>
    <s v="Normal"/>
    <s v="yes"/>
    <s v="No"/>
    <x v="0"/>
    <s v="No major surgery"/>
    <x v="0"/>
    <s v="Overweight"/>
    <s v="Normal"/>
    <m/>
    <m/>
    <m/>
    <m/>
    <m/>
  </r>
  <r>
    <s v="Id506"/>
    <s v="Rubinich"/>
    <n v="28.38"/>
    <s v="Prediabetes"/>
    <s v="No"/>
    <s v="No"/>
    <x v="0"/>
    <n v="1"/>
    <x v="0"/>
    <s v="Overweight"/>
    <s v="Prediabetes"/>
    <m/>
    <m/>
    <m/>
    <m/>
    <m/>
  </r>
  <r>
    <s v="Id507"/>
    <s v="Alban"/>
    <n v="24.64"/>
    <s v="Normal"/>
    <s v="No"/>
    <s v="No"/>
    <x v="0"/>
    <s v="No major surgery"/>
    <x v="0"/>
    <s v="Normal Weight"/>
    <s v="Normal"/>
    <m/>
    <m/>
    <m/>
    <m/>
    <m/>
  </r>
  <r>
    <s v="Id508"/>
    <s v="Corcoran"/>
    <n v="39.71"/>
    <s v="Prediabetes"/>
    <s v="No"/>
    <s v="No"/>
    <x v="0"/>
    <n v="1"/>
    <x v="1"/>
    <s v="Obesity"/>
    <s v="Prediabetes"/>
    <m/>
    <m/>
    <m/>
    <m/>
    <m/>
  </r>
  <r>
    <s v="Id509"/>
    <s v="Sargent"/>
    <n v="22.22"/>
    <s v="Normal"/>
    <s v="No"/>
    <s v="No"/>
    <x v="0"/>
    <s v="No major surgery"/>
    <x v="0"/>
    <s v="Normal Weight"/>
    <s v="Normal"/>
    <m/>
    <m/>
    <m/>
    <m/>
    <m/>
  </r>
  <r>
    <s v="Id510"/>
    <s v="Watson"/>
    <n v="33.344999999999999"/>
    <s v="Normal"/>
    <s v="No"/>
    <s v="No"/>
    <x v="1"/>
    <n v="1"/>
    <x v="1"/>
    <s v="Obesity"/>
    <s v="Normal"/>
    <m/>
    <m/>
    <m/>
    <m/>
    <m/>
  </r>
  <r>
    <s v="Id511"/>
    <s v="Esponda"/>
    <n v="24.42"/>
    <s v="Prediabetes"/>
    <s v="No"/>
    <s v="No"/>
    <x v="0"/>
    <n v="1"/>
    <x v="0"/>
    <s v="Normal Weight"/>
    <s v="Prediabetes"/>
    <m/>
    <m/>
    <m/>
    <m/>
    <m/>
  </r>
  <r>
    <s v="Id512"/>
    <s v="Krall"/>
    <n v="29.81"/>
    <s v="Normal"/>
    <s v="No"/>
    <s v="No"/>
    <x v="0"/>
    <s v="No major surgery"/>
    <x v="0"/>
    <s v="Overweight"/>
    <s v="Normal"/>
    <m/>
    <m/>
    <m/>
    <m/>
    <m/>
  </r>
  <r>
    <s v="Id513"/>
    <s v="Poskin"/>
    <n v="51.18"/>
    <s v="Normal"/>
    <s v="yes"/>
    <s v="No"/>
    <x v="0"/>
    <n v="2"/>
    <x v="1"/>
    <s v="Obesity"/>
    <s v="Normal"/>
    <m/>
    <m/>
    <m/>
    <m/>
    <m/>
  </r>
  <r>
    <s v="Id514"/>
    <s v="Halfmann"/>
    <n v="51.37"/>
    <s v="Diabetes"/>
    <s v="yes"/>
    <s v="No"/>
    <x v="0"/>
    <s v="No major surgery"/>
    <x v="1"/>
    <s v="Obesity"/>
    <s v="Diabetes"/>
    <m/>
    <m/>
    <m/>
    <m/>
    <m/>
  </r>
  <r>
    <s v="Id515"/>
    <s v="Klapper"/>
    <n v="36.19"/>
    <s v="Normal"/>
    <s v="yes"/>
    <s v="No"/>
    <x v="0"/>
    <s v="No major surgery"/>
    <x v="1"/>
    <s v="Obesity"/>
    <s v="Normal"/>
    <m/>
    <m/>
    <m/>
    <m/>
    <m/>
  </r>
  <r>
    <s v="Id516"/>
    <s v="George"/>
    <n v="25.9"/>
    <s v="Normal"/>
    <s v="No"/>
    <s v="No"/>
    <x v="0"/>
    <s v="No major surgery"/>
    <x v="0"/>
    <s v="Overweight"/>
    <s v="Normal"/>
    <m/>
    <m/>
    <m/>
    <m/>
    <m/>
  </r>
  <r>
    <s v="Id517"/>
    <s v="Hicks"/>
    <n v="35.72"/>
    <s v="Normal"/>
    <s v="No"/>
    <s v="No"/>
    <x v="1"/>
    <n v="1"/>
    <x v="1"/>
    <s v="Obesity"/>
    <s v="Normal"/>
    <m/>
    <m/>
    <m/>
    <m/>
    <m/>
  </r>
  <r>
    <s v="Id518"/>
    <s v="Lockyer"/>
    <n v="27.94"/>
    <s v="Normal"/>
    <s v="No"/>
    <s v="No"/>
    <x v="1"/>
    <n v="1"/>
    <x v="0"/>
    <s v="Overweight"/>
    <s v="Normal"/>
    <m/>
    <m/>
    <m/>
    <m/>
    <m/>
  </r>
  <r>
    <s v="Id519"/>
    <s v="Byrnes"/>
    <n v="27.1"/>
    <s v="Prediabetes"/>
    <s v="No"/>
    <s v="No"/>
    <x v="0"/>
    <s v="No major surgery"/>
    <x v="0"/>
    <s v="Overweight"/>
    <s v="Prediabetes"/>
    <m/>
    <m/>
    <m/>
    <m/>
    <m/>
  </r>
  <r>
    <s v="Id520"/>
    <s v="Norris"/>
    <n v="18.3"/>
    <s v="Normal"/>
    <s v="yes"/>
    <s v="No"/>
    <x v="1"/>
    <n v="1"/>
    <x v="0"/>
    <s v="Underweight"/>
    <s v="Normal"/>
    <m/>
    <m/>
    <m/>
    <m/>
    <m/>
  </r>
  <r>
    <s v="Id521"/>
    <s v="Darda"/>
    <n v="25.3"/>
    <s v="Normal"/>
    <s v="yes"/>
    <s v="No"/>
    <x v="0"/>
    <n v="1"/>
    <x v="0"/>
    <s v="Overweight"/>
    <s v="Normal"/>
    <m/>
    <m/>
    <m/>
    <m/>
    <m/>
  </r>
  <r>
    <s v="Id522"/>
    <s v="Otstot"/>
    <n v="38.83"/>
    <s v="Prediabetes"/>
    <s v="No"/>
    <s v="No"/>
    <x v="0"/>
    <n v="1"/>
    <x v="1"/>
    <s v="Obesity"/>
    <s v="Prediabetes"/>
    <m/>
    <m/>
    <m/>
    <m/>
    <m/>
  </r>
  <r>
    <s v="Id523"/>
    <s v="Bowley"/>
    <n v="27.6"/>
    <s v="Normal"/>
    <s v="No"/>
    <s v="No"/>
    <x v="0"/>
    <n v="1"/>
    <x v="1"/>
    <s v="Overweight"/>
    <s v="Normal"/>
    <m/>
    <m/>
    <m/>
    <m/>
    <m/>
  </r>
  <r>
    <s v="Id524"/>
    <s v="Rogers"/>
    <n v="46.4"/>
    <s v="Diabetes"/>
    <s v="yes"/>
    <s v="No"/>
    <x v="1"/>
    <n v="1"/>
    <x v="1"/>
    <s v="Obesity"/>
    <s v="Diabetes"/>
    <m/>
    <m/>
    <m/>
    <m/>
    <m/>
  </r>
  <r>
    <s v="Id525"/>
    <s v="Mclaughlin"/>
    <n v="51.92"/>
    <s v="Normal"/>
    <s v="yes"/>
    <s v="No"/>
    <x v="1"/>
    <n v="1"/>
    <x v="1"/>
    <s v="Obesity"/>
    <s v="Normal"/>
    <m/>
    <m/>
    <m/>
    <m/>
    <m/>
  </r>
  <r>
    <s v="Id526"/>
    <s v="Ziegler"/>
    <n v="32.395000000000003"/>
    <s v="Normal"/>
    <s v="yes"/>
    <s v="No"/>
    <x v="0"/>
    <n v="1"/>
    <x v="1"/>
    <s v="Obesity"/>
    <s v="Normal"/>
    <m/>
    <m/>
    <m/>
    <m/>
    <m/>
  </r>
  <r>
    <s v="Id527"/>
    <s v="Hughey"/>
    <n v="46.19"/>
    <s v="Diabetes"/>
    <s v="yes"/>
    <s v="No"/>
    <x v="1"/>
    <n v="1"/>
    <x v="1"/>
    <s v="Obesity"/>
    <s v="Diabetes"/>
    <m/>
    <m/>
    <m/>
    <m/>
    <m/>
  </r>
  <r>
    <s v="Id528"/>
    <s v="Knast"/>
    <n v="27.93"/>
    <s v="Normal"/>
    <s v="No"/>
    <s v="No"/>
    <x v="1"/>
    <n v="1"/>
    <x v="1"/>
    <s v="Overweight"/>
    <s v="Normal"/>
    <m/>
    <m/>
    <m/>
    <m/>
    <m/>
  </r>
  <r>
    <s v="Id529"/>
    <s v="Stob"/>
    <n v="45.62"/>
    <s v="Diabetes"/>
    <s v="No"/>
    <s v="No"/>
    <x v="0"/>
    <s v="No major surgery"/>
    <x v="1"/>
    <s v="Obesity"/>
    <s v="Diabetes"/>
    <m/>
    <m/>
    <m/>
    <m/>
    <m/>
  </r>
  <r>
    <s v="Id530"/>
    <s v="Jensen"/>
    <n v="35.31"/>
    <s v="Prediabetes"/>
    <s v="No"/>
    <s v="No"/>
    <x v="1"/>
    <n v="1"/>
    <x v="1"/>
    <s v="Obesity"/>
    <s v="Prediabetes"/>
    <m/>
    <m/>
    <m/>
    <m/>
    <m/>
  </r>
  <r>
    <s v="Id531"/>
    <s v="Mutter"/>
    <n v="30.4"/>
    <s v="Normal"/>
    <s v="yes"/>
    <s v="No"/>
    <x v="0"/>
    <n v="1"/>
    <x v="1"/>
    <s v="Obesity"/>
    <s v="Normal"/>
    <m/>
    <m/>
    <m/>
    <m/>
    <m/>
  </r>
  <r>
    <s v="Id532"/>
    <s v="Ahern"/>
    <n v="20.13"/>
    <e v="#N/A"/>
    <s v="No"/>
    <s v="No"/>
    <x v="1"/>
    <n v="1"/>
    <x v="0"/>
    <s v="Normal Weight"/>
    <e v="#N/A"/>
    <m/>
    <m/>
    <m/>
    <m/>
    <m/>
  </r>
  <r>
    <s v="Id533"/>
    <s v="Chviruk"/>
    <n v="23.655000000000001"/>
    <s v="Normal"/>
    <s v="No"/>
    <s v="No"/>
    <x v="0"/>
    <n v="1"/>
    <x v="0"/>
    <s v="Normal Weight"/>
    <s v="Normal"/>
    <m/>
    <m/>
    <m/>
    <m/>
    <m/>
  </r>
  <r>
    <s v="Id534"/>
    <s v="Meehan"/>
    <n v="49.05"/>
    <s v="Diabetes"/>
    <s v="yes"/>
    <s v="No"/>
    <x v="0"/>
    <s v="No major surgery"/>
    <x v="1"/>
    <s v="Obesity"/>
    <s v="Diabetes"/>
    <m/>
    <m/>
    <m/>
    <m/>
    <m/>
  </r>
  <r>
    <s v="Id535"/>
    <s v="Gammon"/>
    <n v="51.94"/>
    <s v="Diabetes"/>
    <s v="yes"/>
    <s v="No"/>
    <x v="0"/>
    <n v="2"/>
    <x v="1"/>
    <s v="Obesity"/>
    <s v="Diabetes"/>
    <m/>
    <m/>
    <m/>
    <m/>
    <m/>
  </r>
  <r>
    <s v="Id536"/>
    <s v="Lee"/>
    <n v="29.83"/>
    <s v="Prediabetes"/>
    <s v="No"/>
    <s v="No"/>
    <x v="0"/>
    <n v="1"/>
    <x v="0"/>
    <s v="Overweight"/>
    <s v="Prediabetes"/>
    <m/>
    <m/>
    <m/>
    <m/>
    <m/>
  </r>
  <r>
    <s v="Id537"/>
    <s v="Franco"/>
    <n v="22.6"/>
    <s v="Diabetes"/>
    <s v="yes"/>
    <s v="No"/>
    <x v="0"/>
    <n v="1"/>
    <x v="0"/>
    <s v="Normal Weight"/>
    <s v="Diabetes"/>
    <m/>
    <m/>
    <m/>
    <m/>
    <m/>
  </r>
  <r>
    <s v="Id538"/>
    <s v="Patterson"/>
    <n v="46.69"/>
    <s v="Normal"/>
    <s v="yes"/>
    <s v="No"/>
    <x v="0"/>
    <n v="1"/>
    <x v="1"/>
    <s v="Obesity"/>
    <s v="Normal"/>
    <m/>
    <m/>
    <m/>
    <m/>
    <m/>
  </r>
  <r>
    <s v="Id539"/>
    <s v="Valdes"/>
    <n v="28.49"/>
    <s v="Normal"/>
    <s v="No"/>
    <s v="No"/>
    <x v="0"/>
    <s v="No major surgery"/>
    <x v="0"/>
    <s v="Overweight"/>
    <s v="Normal"/>
    <m/>
    <m/>
    <m/>
    <m/>
    <m/>
  </r>
  <r>
    <s v="Id540"/>
    <s v="Craig"/>
    <n v="28.5"/>
    <s v="Normal"/>
    <s v="yes"/>
    <s v="No"/>
    <x v="0"/>
    <n v="1"/>
    <x v="0"/>
    <s v="Overweight"/>
    <s v="Normal"/>
    <m/>
    <m/>
    <m/>
    <m/>
    <m/>
  </r>
  <r>
    <s v="Id541"/>
    <s v="Whipple"/>
    <n v="24.4"/>
    <s v="Normal"/>
    <s v="No"/>
    <s v="No"/>
    <x v="0"/>
    <n v="1"/>
    <x v="0"/>
    <s v="Normal Weight"/>
    <s v="Normal"/>
    <m/>
    <m/>
    <m/>
    <m/>
    <m/>
  </r>
  <r>
    <s v="Id542"/>
    <s v="Marton"/>
    <n v="29.15"/>
    <s v="Normal"/>
    <s v="yes"/>
    <s v="No"/>
    <x v="0"/>
    <n v="1"/>
    <x v="0"/>
    <s v="Overweight"/>
    <s v="Normal"/>
    <m/>
    <m/>
    <m/>
    <m/>
    <m/>
  </r>
  <r>
    <s v="Id543"/>
    <s v="Hildebrandt"/>
    <n v="27.28"/>
    <s v="Normal"/>
    <s v="No"/>
    <s v="yes"/>
    <x v="0"/>
    <n v="1"/>
    <x v="0"/>
    <s v="Overweight"/>
    <s v="Normal"/>
    <m/>
    <m/>
    <m/>
    <m/>
    <m/>
  </r>
  <r>
    <s v="Id544"/>
    <s v="Biggs"/>
    <n v="32.229999999999997"/>
    <s v="Normal"/>
    <s v="yes"/>
    <s v="No"/>
    <x v="1"/>
    <n v="1"/>
    <x v="1"/>
    <s v="Obesity"/>
    <s v="Normal"/>
    <m/>
    <m/>
    <m/>
    <m/>
    <m/>
  </r>
  <r>
    <s v="Id545"/>
    <s v="Shigezumi"/>
    <n v="44.2"/>
    <s v="Diabetes"/>
    <s v="yes"/>
    <s v="No"/>
    <x v="1"/>
    <n v="1"/>
    <x v="1"/>
    <s v="Obesity"/>
    <s v="Diabetes"/>
    <m/>
    <m/>
    <m/>
    <m/>
    <m/>
  </r>
  <r>
    <s v="Id546"/>
    <s v="Meineke"/>
    <n v="29.734999999999999"/>
    <s v="Normal"/>
    <s v="No"/>
    <s v="No"/>
    <x v="1"/>
    <n v="1"/>
    <x v="1"/>
    <s v="Overweight"/>
    <s v="Normal"/>
    <m/>
    <m/>
    <m/>
    <m/>
    <m/>
  </r>
  <r>
    <s v="Id547"/>
    <s v="Ludington"/>
    <n v="28.31"/>
    <s v="Prediabetes"/>
    <s v="No"/>
    <s v="No"/>
    <x v="0"/>
    <s v="No major surgery"/>
    <x v="0"/>
    <s v="Overweight"/>
    <s v="Prediabetes"/>
    <m/>
    <m/>
    <m/>
    <m/>
    <m/>
  </r>
  <r>
    <s v="Id548"/>
    <s v="Perrich"/>
    <n v="46.62"/>
    <s v="Diabetes"/>
    <s v="No"/>
    <s v="No"/>
    <x v="0"/>
    <s v="No major surgery"/>
    <x v="1"/>
    <s v="Obesity"/>
    <s v="Diabetes"/>
    <m/>
    <m/>
    <m/>
    <m/>
    <m/>
  </r>
  <r>
    <s v="Id549"/>
    <s v="Cervantes"/>
    <n v="51.75"/>
    <s v="Diabetes"/>
    <s v="yes"/>
    <s v="No"/>
    <x v="0"/>
    <n v="1"/>
    <x v="1"/>
    <s v="Obesity"/>
    <s v="Diabetes"/>
    <m/>
    <m/>
    <m/>
    <m/>
    <m/>
  </r>
  <r>
    <s v="Id550"/>
    <s v="Andrews"/>
    <n v="25.7"/>
    <s v="Normal"/>
    <s v="yes"/>
    <s v="No"/>
    <x v="0"/>
    <s v="No major surgery"/>
    <x v="0"/>
    <s v="Overweight"/>
    <s v="Normal"/>
    <m/>
    <m/>
    <m/>
    <m/>
    <m/>
  </r>
  <r>
    <s v="Id551"/>
    <s v="Ruvalcaba"/>
    <n v="31.79"/>
    <s v="Normal"/>
    <s v="No"/>
    <s v="No"/>
    <x v="0"/>
    <s v="No major surgery"/>
    <x v="1"/>
    <s v="Obesity"/>
    <s v="Normal"/>
    <m/>
    <m/>
    <m/>
    <m/>
    <m/>
  </r>
  <r>
    <s v="Id552"/>
    <s v="King"/>
    <n v="24.795000000000002"/>
    <s v="Normal"/>
    <s v="No"/>
    <s v="No"/>
    <x v="0"/>
    <s v="No major surgery"/>
    <x v="0"/>
    <s v="Normal Weight"/>
    <s v="Normal"/>
    <m/>
    <m/>
    <m/>
    <m/>
    <m/>
  </r>
  <r>
    <s v="Id553"/>
    <s v="Stone"/>
    <n v="53.98"/>
    <s v="Normal"/>
    <s v="No"/>
    <s v="No"/>
    <x v="1"/>
    <n v="1"/>
    <x v="1"/>
    <s v="Obesity"/>
    <s v="Normal"/>
    <m/>
    <m/>
    <m/>
    <m/>
    <m/>
  </r>
  <r>
    <s v="Id554"/>
    <s v="Campbell"/>
    <n v="41.325000000000003"/>
    <s v="Normal"/>
    <s v="yes"/>
    <s v="No"/>
    <x v="1"/>
    <n v="1"/>
    <x v="1"/>
    <s v="Obesity"/>
    <s v="Normal"/>
    <m/>
    <m/>
    <m/>
    <m/>
    <m/>
  </r>
  <r>
    <s v="Id555"/>
    <s v="Asher"/>
    <n v="51.65"/>
    <s v="Normal"/>
    <s v="yes"/>
    <s v="No"/>
    <x v="0"/>
    <s v="No major surgery"/>
    <x v="1"/>
    <s v="Obesity"/>
    <s v="Normal"/>
    <m/>
    <m/>
    <m/>
    <m/>
    <m/>
  </r>
  <r>
    <s v="Id556"/>
    <s v="Mazzotta"/>
    <n v="44.52"/>
    <s v="Diabetes"/>
    <s v="yes"/>
    <s v="No"/>
    <x v="1"/>
    <n v="1"/>
    <x v="1"/>
    <s v="Obesity"/>
    <s v="Diabetes"/>
    <m/>
    <m/>
    <m/>
    <m/>
    <m/>
  </r>
  <r>
    <s v="Id557"/>
    <s v="Huttl"/>
    <n v="53.29"/>
    <s v="Normal"/>
    <s v="No"/>
    <s v="No"/>
    <x v="1"/>
    <n v="1"/>
    <x v="1"/>
    <s v="Obesity"/>
    <s v="Normal"/>
    <m/>
    <m/>
    <m/>
    <m/>
    <m/>
  </r>
  <r>
    <s v="Id558"/>
    <s v="Ferron"/>
    <n v="46.63"/>
    <s v="Normal"/>
    <s v="yes"/>
    <s v="No"/>
    <x v="0"/>
    <n v="2"/>
    <x v="1"/>
    <s v="Obesity"/>
    <s v="Normal"/>
    <m/>
    <m/>
    <m/>
    <m/>
    <m/>
  </r>
  <r>
    <s v="Id559"/>
    <s v="Colarusso"/>
    <n v="28.88"/>
    <s v="Normal"/>
    <s v="No"/>
    <s v="No"/>
    <x v="1"/>
    <n v="1"/>
    <x v="0"/>
    <s v="Overweight"/>
    <s v="Normal"/>
    <m/>
    <m/>
    <m/>
    <m/>
    <m/>
  </r>
  <r>
    <s v="Id560"/>
    <s v="Pearlman"/>
    <n v="23.98"/>
    <s v="Normal"/>
    <s v="No"/>
    <s v="No"/>
    <x v="0"/>
    <s v="No major surgery"/>
    <x v="1"/>
    <s v="Normal Weight"/>
    <s v="Normal"/>
    <m/>
    <m/>
    <m/>
    <m/>
    <m/>
  </r>
  <r>
    <s v="Id561"/>
    <s v="O'Mara"/>
    <n v="23.65"/>
    <s v="Normal"/>
    <s v="No"/>
    <s v="No"/>
    <x v="0"/>
    <s v="No major surgery"/>
    <x v="1"/>
    <s v="Normal Weight"/>
    <s v="Normal"/>
    <m/>
    <m/>
    <m/>
    <m/>
    <m/>
  </r>
  <r>
    <s v="Id562"/>
    <s v="Niska"/>
    <n v="49.09"/>
    <s v="Diabetes"/>
    <s v="yes"/>
    <s v="No"/>
    <x v="0"/>
    <n v="2"/>
    <x v="1"/>
    <s v="Obesity"/>
    <s v="Diabetes"/>
    <m/>
    <m/>
    <m/>
    <m/>
    <m/>
  </r>
  <r>
    <s v="Id563"/>
    <s v="Schlich"/>
    <n v="28.024999999999999"/>
    <s v="Diabetes"/>
    <s v="No"/>
    <s v="No"/>
    <x v="0"/>
    <s v="No major surgery"/>
    <x v="0"/>
    <s v="Overweight"/>
    <s v="Diabetes"/>
    <m/>
    <m/>
    <m/>
    <m/>
    <m/>
  </r>
  <r>
    <s v="Id564"/>
    <s v="Zidek"/>
    <n v="43.32"/>
    <s v="Diabetes"/>
    <s v="yes"/>
    <s v="No"/>
    <x v="1"/>
    <n v="1"/>
    <x v="1"/>
    <s v="Obesity"/>
    <s v="Diabetes"/>
    <m/>
    <m/>
    <m/>
    <m/>
    <m/>
  </r>
  <r>
    <s v="Id565"/>
    <s v="Ellgass"/>
    <n v="45.92"/>
    <s v="Diabetes"/>
    <s v="No"/>
    <s v="No"/>
    <x v="0"/>
    <s v="No major surgery"/>
    <x v="1"/>
    <s v="Obesity"/>
    <s v="Diabetes"/>
    <m/>
    <m/>
    <m/>
    <m/>
    <m/>
  </r>
  <r>
    <s v="Id566"/>
    <s v="Lowe"/>
    <n v="44.03"/>
    <s v="Diabetes"/>
    <s v="No"/>
    <s v="No"/>
    <x v="0"/>
    <s v="No major surgery"/>
    <x v="1"/>
    <s v="Obesity"/>
    <s v="Diabetes"/>
    <m/>
    <m/>
    <m/>
    <m/>
    <m/>
  </r>
  <r>
    <s v="Id567"/>
    <s v="Malone"/>
    <n v="24.6"/>
    <s v="Normal"/>
    <s v="No"/>
    <s v="No"/>
    <x v="0"/>
    <s v="No major surgery"/>
    <x v="0"/>
    <s v="Normal Weight"/>
    <s v="Normal"/>
    <m/>
    <m/>
    <m/>
    <m/>
    <m/>
  </r>
  <r>
    <s v="Id568"/>
    <s v="Dumke"/>
    <n v="49.15"/>
    <s v="Diabetes"/>
    <s v="No"/>
    <s v="No"/>
    <x v="0"/>
    <s v="No major surgery"/>
    <x v="1"/>
    <s v="Obesity"/>
    <s v="Diabetes"/>
    <m/>
    <m/>
    <m/>
    <m/>
    <m/>
  </r>
  <r>
    <s v="Id569"/>
    <s v="Strong"/>
    <n v="28.31"/>
    <s v="Prediabetes"/>
    <s v="No"/>
    <s v="No"/>
    <x v="1"/>
    <n v="1"/>
    <x v="0"/>
    <s v="Overweight"/>
    <s v="Prediabetes"/>
    <m/>
    <m/>
    <m/>
    <m/>
    <m/>
  </r>
  <r>
    <s v="Id570"/>
    <s v="Ferguson"/>
    <n v="22.99"/>
    <s v="Prediabetes"/>
    <s v="No"/>
    <s v="No"/>
    <x v="0"/>
    <n v="1"/>
    <x v="0"/>
    <s v="Normal Weight"/>
    <s v="Prediabetes"/>
    <m/>
    <m/>
    <m/>
    <m/>
    <m/>
  </r>
  <r>
    <s v="Id571"/>
    <s v="Klein"/>
    <n v="29.07"/>
    <s v="Normal"/>
    <s v="No"/>
    <s v="No"/>
    <x v="1"/>
    <n v="1"/>
    <x v="0"/>
    <s v="Overweight"/>
    <s v="Normal"/>
    <m/>
    <m/>
    <m/>
    <m/>
    <m/>
  </r>
  <r>
    <s v="Id572"/>
    <s v="Eusebio"/>
    <n v="42.02"/>
    <s v="Diabetes"/>
    <s v="yes"/>
    <s v="No"/>
    <x v="1"/>
    <n v="1"/>
    <x v="1"/>
    <s v="Obesity"/>
    <s v="Diabetes"/>
    <m/>
    <m/>
    <m/>
    <m/>
    <m/>
  </r>
  <r>
    <s v="Id573"/>
    <s v="Szolosi"/>
    <n v="49.07"/>
    <s v="Diabetes"/>
    <s v="yes"/>
    <s v="No"/>
    <x v="0"/>
    <n v="1"/>
    <x v="1"/>
    <s v="Obesity"/>
    <s v="Diabetes"/>
    <m/>
    <m/>
    <m/>
    <m/>
    <m/>
  </r>
  <r>
    <s v="Id574"/>
    <s v="Butler"/>
    <n v="19.8"/>
    <s v="Normal"/>
    <s v="No"/>
    <s v="No"/>
    <x v="0"/>
    <s v="No major surgery"/>
    <x v="0"/>
    <s v="Normal Weight"/>
    <s v="Normal"/>
    <m/>
    <m/>
    <m/>
    <m/>
    <m/>
  </r>
  <r>
    <s v="Id575"/>
    <s v="Fukuchi"/>
    <n v="27.36"/>
    <s v="Normal"/>
    <s v="No"/>
    <s v="yes"/>
    <x v="0"/>
    <n v="1"/>
    <x v="0"/>
    <s v="Overweight"/>
    <s v="Normal"/>
    <m/>
    <m/>
    <m/>
    <m/>
    <m/>
  </r>
  <r>
    <s v="Id576"/>
    <s v="Drucker"/>
    <n v="42.95"/>
    <s v="Normal"/>
    <s v="yes"/>
    <s v="No"/>
    <x v="0"/>
    <n v="1"/>
    <x v="1"/>
    <s v="Obesity"/>
    <s v="Normal"/>
    <m/>
    <m/>
    <m/>
    <m/>
    <m/>
  </r>
  <r>
    <s v="Id577"/>
    <s v="Aziz"/>
    <n v="42.66"/>
    <s v="Diabetes"/>
    <s v="No"/>
    <s v="No"/>
    <x v="0"/>
    <s v="No major surgery"/>
    <x v="1"/>
    <s v="Obesity"/>
    <s v="Diabetes"/>
    <m/>
    <m/>
    <m/>
    <m/>
    <m/>
  </r>
  <r>
    <s v="Id578"/>
    <s v="Pak"/>
    <n v="33.630000000000003"/>
    <s v="Normal"/>
    <s v="No"/>
    <s v="No"/>
    <x v="0"/>
    <n v="1"/>
    <x v="1"/>
    <s v="Obesity"/>
    <s v="Normal"/>
    <m/>
    <m/>
    <m/>
    <m/>
    <m/>
  </r>
  <r>
    <s v="Id579"/>
    <s v="Kieta"/>
    <n v="26.84"/>
    <s v="Diabetes"/>
    <s v="No"/>
    <s v="No"/>
    <x v="0"/>
    <s v="No major surgery"/>
    <x v="0"/>
    <s v="Overweight"/>
    <s v="Diabetes"/>
    <m/>
    <m/>
    <m/>
    <m/>
    <m/>
  </r>
  <r>
    <s v="Id580"/>
    <s v="Velez"/>
    <n v="28.3"/>
    <s v="Prediabetes"/>
    <s v="No"/>
    <s v="No"/>
    <x v="1"/>
    <n v="1"/>
    <x v="0"/>
    <s v="Overweight"/>
    <s v="Prediabetes"/>
    <m/>
    <m/>
    <m/>
    <m/>
    <m/>
  </r>
  <r>
    <s v="Id581"/>
    <s v="Bussiere"/>
    <n v="27.06"/>
    <s v="Prediabetes"/>
    <s v="yes"/>
    <s v="No"/>
    <x v="0"/>
    <s v="No major surgery"/>
    <x v="0"/>
    <s v="Overweight"/>
    <s v="Prediabetes"/>
    <m/>
    <m/>
    <m/>
    <m/>
    <m/>
  </r>
  <r>
    <s v="Id582"/>
    <s v="McCartney"/>
    <n v="47.13"/>
    <s v="Diabetes"/>
    <s v="No"/>
    <s v="No"/>
    <x v="0"/>
    <s v="No major surgery"/>
    <x v="1"/>
    <s v="Obesity"/>
    <s v="Diabetes"/>
    <m/>
    <m/>
    <m/>
    <m/>
    <m/>
  </r>
  <r>
    <s v="Id583"/>
    <s v="Bambauer"/>
    <n v="51.72"/>
    <s v="Normal"/>
    <s v="No"/>
    <s v="No"/>
    <x v="0"/>
    <s v="No major surgery"/>
    <x v="1"/>
    <s v="Obesity"/>
    <s v="Normal"/>
    <m/>
    <m/>
    <m/>
    <m/>
    <m/>
  </r>
  <r>
    <s v="Id584"/>
    <s v="Mertz"/>
    <n v="48.59"/>
    <s v="Normal"/>
    <s v="No"/>
    <s v="No"/>
    <x v="0"/>
    <s v="No major surgery"/>
    <x v="1"/>
    <s v="Obesity"/>
    <s v="Normal"/>
    <m/>
    <m/>
    <m/>
    <m/>
    <m/>
  </r>
  <r>
    <s v="Id585"/>
    <s v="Mason"/>
    <n v="45.18"/>
    <s v="Diabetes"/>
    <s v="No"/>
    <s v="No"/>
    <x v="0"/>
    <s v="No major surgery"/>
    <x v="1"/>
    <s v="Obesity"/>
    <s v="Diabetes"/>
    <m/>
    <m/>
    <m/>
    <m/>
    <m/>
  </r>
  <r>
    <s v="Id586"/>
    <s v="Rotich"/>
    <n v="27.9"/>
    <s v="Prediabetes"/>
    <s v="No"/>
    <s v="No"/>
    <x v="1"/>
    <n v="1"/>
    <x v="0"/>
    <s v="Overweight"/>
    <s v="Prediabetes"/>
    <m/>
    <m/>
    <m/>
    <m/>
    <m/>
  </r>
  <r>
    <s v="Id587"/>
    <s v="Fetzer"/>
    <n v="51.33"/>
    <s v="Diabetes"/>
    <s v="No"/>
    <s v="No"/>
    <x v="0"/>
    <s v="No major surgery"/>
    <x v="1"/>
    <s v="Obesity"/>
    <s v="Diabetes"/>
    <m/>
    <m/>
    <m/>
    <m/>
    <m/>
  </r>
  <r>
    <s v="Id588"/>
    <s v="Mattis"/>
    <n v="30.59"/>
    <s v="Normal"/>
    <s v="yes"/>
    <s v="No"/>
    <x v="0"/>
    <n v="1"/>
    <x v="1"/>
    <s v="Obesity"/>
    <s v="Normal"/>
    <m/>
    <m/>
    <m/>
    <m/>
    <m/>
  </r>
  <r>
    <s v="Id589"/>
    <s v="Cochran"/>
    <n v="39.229999999999997"/>
    <s v="Diabetes"/>
    <s v="No"/>
    <s v="No"/>
    <x v="0"/>
    <s v="No major surgery"/>
    <x v="1"/>
    <s v="Obesity"/>
    <s v="Diabetes"/>
    <m/>
    <m/>
    <m/>
    <m/>
    <m/>
  </r>
  <r>
    <s v="Id590"/>
    <s v="Balinsky"/>
    <n v="19.094999999999999"/>
    <s v="Prediabetes"/>
    <s v="No"/>
    <s v="No"/>
    <x v="0"/>
    <s v="No major surgery"/>
    <x v="0"/>
    <s v="Normal Weight"/>
    <s v="Prediabetes"/>
    <m/>
    <m/>
    <m/>
    <m/>
    <m/>
  </r>
  <r>
    <s v="Id591"/>
    <s v="Reilly"/>
    <n v="49.72"/>
    <s v="Diabetes"/>
    <s v="No"/>
    <s v="No"/>
    <x v="0"/>
    <s v="No major surgery"/>
    <x v="1"/>
    <s v="Obesity"/>
    <s v="Diabetes"/>
    <m/>
    <m/>
    <m/>
    <m/>
    <m/>
  </r>
  <r>
    <s v="Id592"/>
    <s v="Johnson"/>
    <n v="21.754999999999999"/>
    <s v="Normal"/>
    <s v="No"/>
    <s v="No"/>
    <x v="1"/>
    <n v="1"/>
    <x v="0"/>
    <s v="Normal Weight"/>
    <s v="Normal"/>
    <m/>
    <m/>
    <m/>
    <m/>
    <m/>
  </r>
  <r>
    <s v="Id593"/>
    <s v="Petry"/>
    <n v="48.39"/>
    <s v="Normal"/>
    <s v="No"/>
    <s v="No"/>
    <x v="0"/>
    <s v="No major surgery"/>
    <x v="1"/>
    <s v="Obesity"/>
    <s v="Normal"/>
    <m/>
    <m/>
    <m/>
    <m/>
    <m/>
  </r>
  <r>
    <s v="Id594"/>
    <s v="Laleman"/>
    <n v="47.15"/>
    <s v="Diabetes"/>
    <s v="yes"/>
    <s v="No"/>
    <x v="0"/>
    <n v="1"/>
    <x v="1"/>
    <s v="Obesity"/>
    <s v="Diabetes"/>
    <m/>
    <m/>
    <m/>
    <m/>
    <m/>
  </r>
  <r>
    <s v="Id595"/>
    <s v="Colby"/>
    <n v="47.59"/>
    <s v="Diabetes"/>
    <s v="yes"/>
    <s v="No"/>
    <x v="0"/>
    <n v="2"/>
    <x v="1"/>
    <s v="Obesity"/>
    <s v="Diabetes"/>
    <m/>
    <m/>
    <m/>
    <m/>
    <m/>
  </r>
  <r>
    <s v="Id596"/>
    <s v="Wathke"/>
    <n v="39.81"/>
    <s v="Diabetes"/>
    <s v="yes"/>
    <s v="No"/>
    <x v="1"/>
    <n v="1"/>
    <x v="1"/>
    <s v="Obesity"/>
    <s v="Diabetes"/>
    <m/>
    <m/>
    <m/>
    <m/>
    <m/>
  </r>
  <r>
    <s v="Id597"/>
    <s v="Daly"/>
    <n v="31.02"/>
    <s v="Prediabetes"/>
    <s v="yes"/>
    <s v="No"/>
    <x v="0"/>
    <s v="No major surgery"/>
    <x v="1"/>
    <s v="Obesity"/>
    <s v="Prediabetes"/>
    <m/>
    <m/>
    <m/>
    <m/>
    <m/>
  </r>
  <r>
    <s v="Id598"/>
    <s v="Dillon"/>
    <n v="24.75"/>
    <s v="Normal"/>
    <s v="yes"/>
    <s v="No"/>
    <x v="0"/>
    <n v="1"/>
    <x v="0"/>
    <s v="Normal Weight"/>
    <s v="Normal"/>
    <m/>
    <m/>
    <m/>
    <m/>
    <m/>
  </r>
  <r>
    <s v="Id599"/>
    <s v="Pontes"/>
    <n v="30.114999999999998"/>
    <s v="Diabetes"/>
    <s v="No"/>
    <s v="No"/>
    <x v="0"/>
    <n v="3"/>
    <x v="1"/>
    <s v="Obesity"/>
    <s v="Diabetes"/>
    <m/>
    <m/>
    <m/>
    <m/>
    <m/>
  </r>
  <r>
    <s v="Id600"/>
    <s v="Spies"/>
    <n v="26.03"/>
    <s v="Normal"/>
    <s v="No"/>
    <s v="No"/>
    <x v="1"/>
    <n v="1"/>
    <x v="0"/>
    <s v="Overweight"/>
    <s v="Normal"/>
    <m/>
    <m/>
    <m/>
    <m/>
    <m/>
  </r>
  <r>
    <s v="Id601"/>
    <s v="Greig"/>
    <n v="20.045000000000002"/>
    <s v="Normal"/>
    <s v="yes"/>
    <s v="No"/>
    <x v="0"/>
    <n v="1"/>
    <x v="0"/>
    <s v="Normal Weight"/>
    <s v="Normal"/>
    <m/>
    <m/>
    <m/>
    <m/>
    <m/>
  </r>
  <r>
    <s v="Id602"/>
    <s v="Scott"/>
    <n v="40.24"/>
    <s v="Diabetes"/>
    <s v="No"/>
    <s v="No"/>
    <x v="0"/>
    <s v="No major surgery"/>
    <x v="1"/>
    <s v="Obesity"/>
    <s v="Diabetes"/>
    <m/>
    <m/>
    <m/>
    <m/>
    <m/>
  </r>
  <r>
    <s v="Id603"/>
    <s v="Erlandson"/>
    <n v="43.15"/>
    <s v="Prediabetes"/>
    <s v="yes"/>
    <s v="No"/>
    <x v="1"/>
    <n v="1"/>
    <x v="1"/>
    <s v="Obesity"/>
    <s v="Prediabetes"/>
    <m/>
    <m/>
    <m/>
    <m/>
    <m/>
  </r>
  <r>
    <s v="Id604"/>
    <s v="Autrey"/>
    <n v="27.7"/>
    <s v="Normal"/>
    <s v="No"/>
    <s v="No"/>
    <x v="1"/>
    <n v="1"/>
    <x v="0"/>
    <s v="Overweight"/>
    <s v="Normal"/>
    <m/>
    <m/>
    <m/>
    <m/>
    <m/>
  </r>
  <r>
    <s v="Id605"/>
    <s v="Alleman"/>
    <n v="45.68"/>
    <s v="Normal"/>
    <s v="No"/>
    <s v="No"/>
    <x v="0"/>
    <n v="2"/>
    <x v="1"/>
    <s v="Obesity"/>
    <s v="Normal"/>
    <m/>
    <m/>
    <m/>
    <m/>
    <m/>
  </r>
  <r>
    <s v="Id606"/>
    <s v="Michalski"/>
    <n v="27.3"/>
    <s v="Diabetes"/>
    <s v="No"/>
    <s v="No"/>
    <x v="0"/>
    <s v="No major surgery"/>
    <x v="0"/>
    <s v="Overweight"/>
    <s v="Diabetes"/>
    <m/>
    <m/>
    <m/>
    <m/>
    <m/>
  </r>
  <r>
    <s v="Id607"/>
    <s v="Grillo"/>
    <n v="54.45"/>
    <s v="Normal"/>
    <s v="yes"/>
    <s v="No"/>
    <x v="0"/>
    <n v="1"/>
    <x v="1"/>
    <s v="Obesity"/>
    <s v="Normal"/>
    <m/>
    <m/>
    <m/>
    <m/>
    <m/>
  </r>
  <r>
    <s v="Id608"/>
    <s v="Coronado"/>
    <n v="54.43"/>
    <s v="Normal"/>
    <s v="yes"/>
    <s v="No"/>
    <x v="0"/>
    <n v="1"/>
    <x v="1"/>
    <s v="Obesity"/>
    <s v="Normal"/>
    <m/>
    <m/>
    <m/>
    <m/>
    <m/>
  </r>
  <r>
    <s v="Id609"/>
    <s v="Dewine"/>
    <n v="48.01"/>
    <s v="Diabetes"/>
    <s v="No"/>
    <s v="No"/>
    <x v="0"/>
    <s v="No major surgery"/>
    <x v="1"/>
    <s v="Obesity"/>
    <s v="Diabetes"/>
    <m/>
    <m/>
    <m/>
    <m/>
    <m/>
  </r>
  <r>
    <s v="Id610"/>
    <s v="Carman"/>
    <n v="48.32"/>
    <s v="Prediabetes"/>
    <s v="No"/>
    <s v="No"/>
    <x v="0"/>
    <s v="No major surgery"/>
    <x v="1"/>
    <s v="Obesity"/>
    <s v="Prediabetes"/>
    <m/>
    <m/>
    <m/>
    <m/>
    <m/>
  </r>
  <r>
    <s v="Id611"/>
    <s v="Neems"/>
    <n v="22.895"/>
    <s v="Normal"/>
    <s v="No"/>
    <s v="No"/>
    <x v="1"/>
    <n v="1"/>
    <x v="0"/>
    <s v="Normal Weight"/>
    <s v="Normal"/>
    <m/>
    <m/>
    <m/>
    <m/>
    <m/>
  </r>
  <r>
    <s v="Id612"/>
    <s v="Pesyna"/>
    <n v="54.85"/>
    <s v="Normal"/>
    <s v="No"/>
    <s v="No"/>
    <x v="0"/>
    <n v="1"/>
    <x v="1"/>
    <s v="Obesity"/>
    <s v="Normal"/>
    <m/>
    <m/>
    <m/>
    <m/>
    <m/>
  </r>
  <r>
    <s v="Id613"/>
    <s v="Meling"/>
    <n v="21.85"/>
    <s v="Normal"/>
    <s v="No"/>
    <s v="No"/>
    <x v="1"/>
    <n v="1"/>
    <x v="0"/>
    <s v="Normal Weight"/>
    <s v="Normal"/>
    <m/>
    <m/>
    <m/>
    <m/>
    <m/>
  </r>
  <r>
    <s v="Id614"/>
    <s v="Widlowski"/>
    <n v="51.86"/>
    <s v="Normal"/>
    <s v="yes"/>
    <s v="No"/>
    <x v="0"/>
    <s v="No major surgery"/>
    <x v="1"/>
    <s v="Obesity"/>
    <s v="Normal"/>
    <m/>
    <m/>
    <m/>
    <m/>
    <m/>
  </r>
  <r>
    <s v="Id615"/>
    <s v="Nadar"/>
    <n v="39.049999999999997"/>
    <s v="Diabetes"/>
    <s v="No"/>
    <s v="No"/>
    <x v="0"/>
    <n v="3"/>
    <x v="1"/>
    <s v="Obesity"/>
    <s v="Diabetes"/>
    <m/>
    <m/>
    <m/>
    <m/>
    <m/>
  </r>
  <r>
    <s v="Id616"/>
    <s v="Turner"/>
    <n v="31.824999999999999"/>
    <s v="Diabetes"/>
    <s v="No"/>
    <s v="No"/>
    <x v="0"/>
    <n v="3"/>
    <x v="1"/>
    <s v="Obesity"/>
    <s v="Diabetes"/>
    <m/>
    <m/>
    <m/>
    <m/>
    <m/>
  </r>
  <r>
    <s v="Id617"/>
    <s v="Walker"/>
    <n v="46.43"/>
    <s v="Diabetes"/>
    <s v="No"/>
    <s v="No"/>
    <x v="0"/>
    <s v="No major surgery"/>
    <x v="1"/>
    <s v="Obesity"/>
    <s v="Diabetes"/>
    <m/>
    <m/>
    <m/>
    <m/>
    <m/>
  </r>
  <r>
    <s v="Id618"/>
    <s v="Leedham"/>
    <n v="53.63"/>
    <s v="Normal"/>
    <s v="yes"/>
    <s v="No"/>
    <x v="0"/>
    <n v="1"/>
    <x v="1"/>
    <s v="Obesity"/>
    <s v="Normal"/>
    <m/>
    <m/>
    <m/>
    <m/>
    <m/>
  </r>
  <r>
    <s v="Id619"/>
    <s v="Haglund"/>
    <n v="48.7"/>
    <s v="Normal"/>
    <s v="No"/>
    <s v="No"/>
    <x v="0"/>
    <s v="No major surgery"/>
    <x v="1"/>
    <s v="Obesity"/>
    <s v="Normal"/>
    <m/>
    <m/>
    <m/>
    <m/>
    <m/>
  </r>
  <r>
    <s v="Id620"/>
    <s v="Mills"/>
    <n v="48.81"/>
    <s v="Normal"/>
    <s v="No"/>
    <s v="No"/>
    <x v="0"/>
    <s v="No major surgery"/>
    <x v="1"/>
    <s v="Obesity"/>
    <s v="Normal"/>
    <m/>
    <m/>
    <m/>
    <m/>
    <m/>
  </r>
  <r>
    <s v="Id621"/>
    <s v="Drnjevich"/>
    <n v="47.53"/>
    <s v="Normal"/>
    <s v="No"/>
    <s v="No"/>
    <x v="0"/>
    <s v="No major surgery"/>
    <x v="1"/>
    <s v="Obesity"/>
    <s v="Normal"/>
    <m/>
    <m/>
    <m/>
    <m/>
    <m/>
  </r>
  <r>
    <s v="Id622"/>
    <s v="Clay"/>
    <n v="36.85"/>
    <s v="Diabetes"/>
    <s v="No"/>
    <s v="No"/>
    <x v="0"/>
    <s v="No major surgery"/>
    <x v="1"/>
    <s v="Obesity"/>
    <s v="Diabetes"/>
    <m/>
    <m/>
    <m/>
    <m/>
    <m/>
  </r>
  <r>
    <s v="Id623"/>
    <s v="Marbury"/>
    <n v="29.3"/>
    <s v="Normal"/>
    <s v="No"/>
    <s v="No"/>
    <x v="0"/>
    <s v="No major surgery"/>
    <x v="1"/>
    <s v="Overweight"/>
    <s v="Normal"/>
    <m/>
    <m/>
    <m/>
    <m/>
    <m/>
  </r>
  <r>
    <s v="Id624"/>
    <s v="Coon"/>
    <n v="19.3"/>
    <s v="Normal"/>
    <s v="No"/>
    <s v="No"/>
    <x v="0"/>
    <n v="1"/>
    <x v="0"/>
    <s v="Normal Weight"/>
    <s v="Normal"/>
    <m/>
    <m/>
    <m/>
    <m/>
    <m/>
  </r>
  <r>
    <s v="Id625"/>
    <s v="Vanttinen"/>
    <n v="24.13"/>
    <s v="Normal"/>
    <s v="yes"/>
    <s v="No"/>
    <x v="1"/>
    <n v="1"/>
    <x v="0"/>
    <s v="Normal Weight"/>
    <s v="Normal"/>
    <m/>
    <m/>
    <m/>
    <m/>
    <m/>
  </r>
  <r>
    <s v="Id626"/>
    <s v="Garges"/>
    <n v="46.7"/>
    <s v="Diabetes"/>
    <s v="No"/>
    <s v="No"/>
    <x v="0"/>
    <s v="No major surgery"/>
    <x v="1"/>
    <s v="Obesity"/>
    <s v="Diabetes"/>
    <m/>
    <m/>
    <m/>
    <m/>
    <m/>
  </r>
  <r>
    <s v="Id627"/>
    <s v="Rivel"/>
    <n v="45.27"/>
    <s v="Normal"/>
    <s v="yes"/>
    <s v="No"/>
    <x v="0"/>
    <s v="No major surgery"/>
    <x v="1"/>
    <s v="Obesity"/>
    <s v="Normal"/>
    <m/>
    <m/>
    <m/>
    <m/>
    <m/>
  </r>
  <r>
    <s v="Id628"/>
    <s v="Lawson"/>
    <n v="44.29"/>
    <s v="Diabetes"/>
    <s v="No"/>
    <s v="No"/>
    <x v="0"/>
    <n v="2"/>
    <x v="1"/>
    <s v="Obesity"/>
    <s v="Diabetes"/>
    <m/>
    <m/>
    <m/>
    <m/>
    <m/>
  </r>
  <r>
    <s v="Id629"/>
    <s v="Cale"/>
    <n v="54.59"/>
    <s v="Normal"/>
    <s v="yes"/>
    <s v="No"/>
    <x v="0"/>
    <n v="1"/>
    <x v="1"/>
    <s v="Obesity"/>
    <s v="Normal"/>
    <m/>
    <m/>
    <m/>
    <m/>
    <m/>
  </r>
  <r>
    <s v="Id630"/>
    <s v="Phillips"/>
    <n v="32.965000000000003"/>
    <s v="Diabetes"/>
    <s v="No"/>
    <s v="No"/>
    <x v="0"/>
    <s v="No major surgery"/>
    <x v="1"/>
    <s v="Obesity"/>
    <s v="Diabetes"/>
    <m/>
    <m/>
    <m/>
    <m/>
    <m/>
  </r>
  <r>
    <s v="Id631"/>
    <s v="Stewart"/>
    <n v="38.049999999999997"/>
    <s v="Diabetes"/>
    <s v="No"/>
    <s v="No"/>
    <x v="0"/>
    <s v="No major surgery"/>
    <x v="1"/>
    <s v="Obesity"/>
    <s v="Diabetes"/>
    <m/>
    <m/>
    <m/>
    <m/>
    <m/>
  </r>
  <r>
    <s v="Id632"/>
    <s v="Drotz"/>
    <n v="46.14"/>
    <s v="Diabetes"/>
    <s v="No"/>
    <s v="No"/>
    <x v="0"/>
    <s v="No major surgery"/>
    <x v="1"/>
    <s v="Obesity"/>
    <s v="Diabetes"/>
    <m/>
    <m/>
    <m/>
    <m/>
    <m/>
  </r>
  <r>
    <s v="Id633"/>
    <s v="Mutai"/>
    <n v="41.325000000000003"/>
    <s v="Normal"/>
    <s v="yes"/>
    <s v="No"/>
    <x v="0"/>
    <n v="2"/>
    <x v="1"/>
    <s v="Obesity"/>
    <s v="Normal"/>
    <m/>
    <m/>
    <m/>
    <m/>
    <m/>
  </r>
  <r>
    <s v="Id634"/>
    <s v="Lovlien"/>
    <n v="44.64"/>
    <s v="Diabetes"/>
    <s v="No"/>
    <s v="No"/>
    <x v="0"/>
    <s v="No major surgery"/>
    <x v="1"/>
    <s v="Obesity"/>
    <s v="Diabetes"/>
    <m/>
    <m/>
    <m/>
    <m/>
    <m/>
  </r>
  <r>
    <s v="Id635"/>
    <s v="Bruns"/>
    <n v="25.175000000000001"/>
    <s v="Normal"/>
    <s v="No"/>
    <s v="yes"/>
    <x v="0"/>
    <n v="1"/>
    <x v="1"/>
    <s v="Overweight"/>
    <s v="Normal"/>
    <m/>
    <m/>
    <m/>
    <m/>
    <m/>
  </r>
  <r>
    <s v="Id636"/>
    <s v="Stoney"/>
    <n v="43.11"/>
    <s v="Normal"/>
    <s v="yes"/>
    <s v="No"/>
    <x v="0"/>
    <s v="No major surgery"/>
    <x v="1"/>
    <s v="Obesity"/>
    <s v="Normal"/>
    <m/>
    <m/>
    <m/>
    <m/>
    <m/>
  </r>
  <r>
    <s v="Id637"/>
    <s v="Markert"/>
    <n v="53.32"/>
    <s v="Normal"/>
    <s v="No"/>
    <s v="No"/>
    <x v="0"/>
    <s v="No major surgery"/>
    <x v="1"/>
    <s v="Obesity"/>
    <s v="Normal"/>
    <m/>
    <m/>
    <m/>
    <m/>
    <m/>
  </r>
  <r>
    <s v="Id638"/>
    <s v="McLucas"/>
    <n v="38.04"/>
    <s v="Normal"/>
    <s v="yes"/>
    <s v="No"/>
    <x v="0"/>
    <n v="1"/>
    <x v="1"/>
    <s v="Obesity"/>
    <s v="Normal"/>
    <m/>
    <m/>
    <m/>
    <m/>
    <m/>
  </r>
  <r>
    <s v="Id639"/>
    <s v="Erwin"/>
    <n v="37.9"/>
    <s v="Diabetes"/>
    <s v="No"/>
    <s v="No"/>
    <x v="0"/>
    <s v="No major surgery"/>
    <x v="1"/>
    <s v="Obesity"/>
    <s v="Diabetes"/>
    <m/>
    <m/>
    <m/>
    <m/>
    <m/>
  </r>
  <r>
    <s v="Id640"/>
    <s v="Osborne"/>
    <n v="39.6"/>
    <s v="Diabetes"/>
    <s v="No"/>
    <s v="No"/>
    <x v="0"/>
    <s v="No major surgery"/>
    <x v="1"/>
    <s v="Obesity"/>
    <s v="Diabetes"/>
    <m/>
    <m/>
    <m/>
    <m/>
    <m/>
  </r>
  <r>
    <s v="Id641"/>
    <s v="Otsuka"/>
    <n v="50.92"/>
    <s v="Normal"/>
    <s v="yes"/>
    <s v="No"/>
    <x v="0"/>
    <n v="1"/>
    <x v="1"/>
    <s v="Obesity"/>
    <s v="Normal"/>
    <m/>
    <m/>
    <m/>
    <m/>
    <m/>
  </r>
  <r>
    <s v="Id642"/>
    <s v="Smith"/>
    <n v="21.85"/>
    <s v="Normal"/>
    <s v="yes"/>
    <s v="No"/>
    <x v="0"/>
    <s v="No major surgery"/>
    <x v="0"/>
    <s v="Normal Weight"/>
    <s v="Normal"/>
    <m/>
    <m/>
    <m/>
    <m/>
    <m/>
  </r>
  <r>
    <s v="Id643"/>
    <s v="Myers"/>
    <n v="36.08"/>
    <s v="Diabetes"/>
    <s v="yes"/>
    <s v="No"/>
    <x v="1"/>
    <n v="1"/>
    <x v="1"/>
    <s v="Obesity"/>
    <s v="Diabetes"/>
    <m/>
    <m/>
    <m/>
    <m/>
    <m/>
  </r>
  <r>
    <s v="Id644"/>
    <s v="Cote"/>
    <n v="40.44"/>
    <s v="Normal"/>
    <s v="yes"/>
    <s v="No"/>
    <x v="1"/>
    <n v="1"/>
    <x v="1"/>
    <s v="Obesity"/>
    <s v="Normal"/>
    <m/>
    <m/>
    <m/>
    <m/>
    <m/>
  </r>
  <r>
    <s v="Id645"/>
    <s v="Ehrhardt"/>
    <n v="38.094999999999999"/>
    <s v="Diabetes"/>
    <s v="No"/>
    <s v="No"/>
    <x v="0"/>
    <s v="No major surgery"/>
    <x v="1"/>
    <s v="Obesity"/>
    <s v="Diabetes"/>
    <m/>
    <m/>
    <m/>
    <m/>
    <m/>
  </r>
  <r>
    <s v="Id646"/>
    <s v="Petersen"/>
    <n v="44.95"/>
    <s v="Diabetes"/>
    <s v="No"/>
    <s v="No"/>
    <x v="0"/>
    <s v="No major surgery"/>
    <x v="1"/>
    <s v="Obesity"/>
    <s v="Diabetes"/>
    <m/>
    <m/>
    <m/>
    <m/>
    <m/>
  </r>
  <r>
    <s v="Id647"/>
    <s v="Ertel"/>
    <n v="35.54"/>
    <s v="Diabetes"/>
    <s v="No"/>
    <s v="No"/>
    <x v="0"/>
    <s v="No major surgery"/>
    <x v="1"/>
    <s v="Obesity"/>
    <s v="Diabetes"/>
    <m/>
    <m/>
    <m/>
    <m/>
    <m/>
  </r>
  <r>
    <s v="Id648"/>
    <s v="Lanza"/>
    <n v="39.799999999999997"/>
    <s v="Normal"/>
    <s v="yes"/>
    <s v="No"/>
    <x v="0"/>
    <n v="2"/>
    <x v="1"/>
    <s v="Obesity"/>
    <s v="Normal"/>
    <m/>
    <m/>
    <m/>
    <m/>
    <m/>
  </r>
  <r>
    <s v="Id649"/>
    <s v="Picklesimer"/>
    <n v="33.659999999999997"/>
    <s v="Normal"/>
    <s v="yes"/>
    <s v="No"/>
    <x v="0"/>
    <n v="2"/>
    <x v="1"/>
    <s v="Obesity"/>
    <s v="Normal"/>
    <m/>
    <m/>
    <m/>
    <m/>
    <m/>
  </r>
  <r>
    <s v="Id650"/>
    <s v="Giles"/>
    <n v="35.5"/>
    <s v="Diabetes"/>
    <s v="No"/>
    <s v="No"/>
    <x v="0"/>
    <s v="No major surgery"/>
    <x v="1"/>
    <s v="Obesity"/>
    <s v="Diabetes"/>
    <m/>
    <m/>
    <m/>
    <m/>
    <m/>
  </r>
  <r>
    <s v="Id651"/>
    <s v="Harmon"/>
    <n v="41.63"/>
    <s v="Diabetes"/>
    <s v="No"/>
    <s v="No"/>
    <x v="0"/>
    <s v="No major surgery"/>
    <x v="1"/>
    <s v="Obesity"/>
    <s v="Diabetes"/>
    <m/>
    <m/>
    <m/>
    <m/>
    <m/>
  </r>
  <r>
    <s v="Id652"/>
    <s v="Pennings"/>
    <n v="46.49"/>
    <s v="Diabetes"/>
    <s v="No"/>
    <s v="No"/>
    <x v="0"/>
    <s v="No major surgery"/>
    <x v="1"/>
    <s v="Obesity"/>
    <s v="Diabetes"/>
    <m/>
    <m/>
    <m/>
    <m/>
    <m/>
  </r>
  <r>
    <s v="Id653"/>
    <s v="Tseronis"/>
    <n v="43.29"/>
    <s v="Normal"/>
    <s v="No"/>
    <s v="No"/>
    <x v="0"/>
    <n v="2"/>
    <x v="1"/>
    <s v="Obesity"/>
    <s v="Normal"/>
    <m/>
    <m/>
    <m/>
    <m/>
    <m/>
  </r>
  <r>
    <s v="Id654"/>
    <s v="Aliff"/>
    <n v="43.08"/>
    <s v="Diabetes"/>
    <s v="yes"/>
    <s v="No"/>
    <x v="0"/>
    <n v="1"/>
    <x v="1"/>
    <s v="Obesity"/>
    <s v="Diabetes"/>
    <m/>
    <m/>
    <m/>
    <m/>
    <m/>
  </r>
  <r>
    <s v="Id655"/>
    <s v="Willenberg"/>
    <n v="39.07"/>
    <s v="Diabetes"/>
    <s v="No"/>
    <s v="No"/>
    <x v="0"/>
    <s v="No major surgery"/>
    <x v="1"/>
    <s v="Obesity"/>
    <s v="Diabetes"/>
    <m/>
    <m/>
    <m/>
    <m/>
    <m/>
  </r>
  <r>
    <s v="Id656"/>
    <s v="Millett"/>
    <n v="41.3"/>
    <s v="Diabetes"/>
    <s v="No"/>
    <s v="No"/>
    <x v="0"/>
    <s v="No major surgery"/>
    <x v="1"/>
    <s v="Obesity"/>
    <s v="Diabetes"/>
    <m/>
    <m/>
    <m/>
    <m/>
    <m/>
  </r>
  <r>
    <s v="Id657"/>
    <s v="Haley"/>
    <n v="42.95"/>
    <s v="Diabetes"/>
    <s v="yes"/>
    <s v="No"/>
    <x v="0"/>
    <n v="2"/>
    <x v="1"/>
    <s v="Obesity"/>
    <s v="Diabetes"/>
    <m/>
    <m/>
    <m/>
    <m/>
    <m/>
  </r>
  <r>
    <s v="Id658"/>
    <s v="Ackerman"/>
    <n v="46.96"/>
    <s v="Normal"/>
    <s v="No"/>
    <s v="No"/>
    <x v="1"/>
    <n v="1"/>
    <x v="1"/>
    <s v="Obesity"/>
    <s v="Normal"/>
    <m/>
    <m/>
    <m/>
    <m/>
    <m/>
  </r>
  <r>
    <s v="Id659"/>
    <s v="Valdez"/>
    <n v="30.495000000000001"/>
    <s v="Diabetes"/>
    <s v="No"/>
    <s v="No"/>
    <x v="0"/>
    <s v="No major surgery"/>
    <x v="1"/>
    <s v="Obesity"/>
    <s v="Diabetes"/>
    <m/>
    <m/>
    <m/>
    <m/>
    <m/>
  </r>
  <r>
    <s v="Id660"/>
    <s v="Michaud"/>
    <n v="17.954999999999998"/>
    <s v="Normal"/>
    <s v="yes"/>
    <s v="No"/>
    <x v="0"/>
    <n v="1"/>
    <x v="0"/>
    <s v="Underweight"/>
    <s v="Normal"/>
    <m/>
    <m/>
    <m/>
    <m/>
    <m/>
  </r>
  <r>
    <s v="Id661"/>
    <s v="Gunnink"/>
    <n v="25.6"/>
    <s v="Diabetes"/>
    <s v="No"/>
    <s v="No"/>
    <x v="0"/>
    <n v="3"/>
    <x v="1"/>
    <s v="Overweight"/>
    <s v="Diabetes"/>
    <m/>
    <m/>
    <m/>
    <m/>
    <m/>
  </r>
  <r>
    <s v="Id662"/>
    <s v="Knight"/>
    <n v="34.21"/>
    <s v="Diabetes"/>
    <s v="No"/>
    <s v="No"/>
    <x v="0"/>
    <s v="No major surgery"/>
    <x v="1"/>
    <s v="Obesity"/>
    <s v="Diabetes"/>
    <m/>
    <m/>
    <m/>
    <m/>
    <m/>
  </r>
  <r>
    <s v="Id663"/>
    <s v="Grosscup"/>
    <n v="39.74"/>
    <s v="Diabetes"/>
    <s v="No"/>
    <s v="No"/>
    <x v="0"/>
    <s v="No major surgery"/>
    <x v="1"/>
    <s v="Obesity"/>
    <s v="Diabetes"/>
    <m/>
    <m/>
    <m/>
    <m/>
    <m/>
  </r>
  <r>
    <s v="Id664"/>
    <s v="Koniuch"/>
    <n v="49.53"/>
    <s v="Diabetes"/>
    <s v="yes"/>
    <s v="No"/>
    <x v="0"/>
    <s v="No major surgery"/>
    <x v="1"/>
    <s v="Obesity"/>
    <s v="Diabetes"/>
    <m/>
    <m/>
    <m/>
    <m/>
    <m/>
  </r>
  <r>
    <s v="Id665"/>
    <s v="Heitzman"/>
    <n v="39.33"/>
    <s v="Diabetes"/>
    <s v="No"/>
    <s v="No"/>
    <x v="0"/>
    <n v="3"/>
    <x v="1"/>
    <s v="Obesity"/>
    <s v="Diabetes"/>
    <m/>
    <m/>
    <m/>
    <m/>
    <m/>
  </r>
  <r>
    <s v="Id666"/>
    <s v="Tatton"/>
    <n v="39.979999999999997"/>
    <s v="Diabetes"/>
    <s v="yes"/>
    <s v="No"/>
    <x v="0"/>
    <n v="2"/>
    <x v="1"/>
    <s v="Obesity"/>
    <s v="Diabetes"/>
    <m/>
    <m/>
    <m/>
    <m/>
    <m/>
  </r>
  <r>
    <s v="Id667"/>
    <s v="Flanagan"/>
    <n v="46.51"/>
    <s v="Diabetes"/>
    <s v="yes"/>
    <s v="No"/>
    <x v="0"/>
    <s v="No major surgery"/>
    <x v="1"/>
    <s v="Obesity"/>
    <s v="Diabetes"/>
    <m/>
    <m/>
    <m/>
    <m/>
    <m/>
  </r>
  <r>
    <s v="Id668"/>
    <s v="Funk"/>
    <n v="43.58"/>
    <s v="Normal"/>
    <s v="No"/>
    <s v="No"/>
    <x v="1"/>
    <n v="1"/>
    <x v="1"/>
    <s v="Obesity"/>
    <s v="Normal"/>
    <m/>
    <m/>
    <m/>
    <m/>
    <m/>
  </r>
  <r>
    <s v="Id669"/>
    <s v="Davenport"/>
    <n v="42.28"/>
    <s v="Diabetes"/>
    <s v="yes"/>
    <s v="No"/>
    <x v="0"/>
    <n v="1"/>
    <x v="1"/>
    <s v="Obesity"/>
    <s v="Diabetes"/>
    <m/>
    <m/>
    <m/>
    <m/>
    <m/>
  </r>
  <r>
    <s v="Id670"/>
    <s v="Nicholson"/>
    <n v="35.520000000000003"/>
    <s v="Diabetes"/>
    <s v="No"/>
    <s v="No"/>
    <x v="0"/>
    <s v="No major surgery"/>
    <x v="1"/>
    <s v="Obesity"/>
    <s v="Diabetes"/>
    <m/>
    <m/>
    <m/>
    <m/>
    <m/>
  </r>
  <r>
    <s v="Id671"/>
    <s v="Lindbloom"/>
    <n v="33.6"/>
    <s v="Diabetes"/>
    <s v="No"/>
    <s v="No"/>
    <x v="0"/>
    <s v="No major surgery"/>
    <x v="1"/>
    <s v="Obesity"/>
    <s v="Diabetes"/>
    <m/>
    <m/>
    <m/>
    <m/>
    <m/>
  </r>
  <r>
    <s v="Id672"/>
    <s v="Wijayaratne"/>
    <n v="22.42"/>
    <s v="Diabetes"/>
    <s v="No"/>
    <s v="No"/>
    <x v="0"/>
    <s v="No major surgery"/>
    <x v="0"/>
    <s v="Normal Weight"/>
    <s v="Diabetes"/>
    <m/>
    <m/>
    <m/>
    <m/>
    <m/>
  </r>
  <r>
    <s v="Id673"/>
    <s v="Ainsworth"/>
    <n v="46.86"/>
    <s v="Normal"/>
    <s v="No"/>
    <s v="No"/>
    <x v="0"/>
    <s v="No major surgery"/>
    <x v="1"/>
    <s v="Obesity"/>
    <s v="Normal"/>
    <m/>
    <m/>
    <m/>
    <m/>
    <m/>
  </r>
  <r>
    <s v="Id674"/>
    <s v="Gayagoy"/>
    <n v="32.965000000000003"/>
    <s v="Diabetes"/>
    <s v="No"/>
    <s v="No"/>
    <x v="0"/>
    <n v="3"/>
    <x v="1"/>
    <s v="Obesity"/>
    <s v="Diabetes"/>
    <m/>
    <m/>
    <m/>
    <m/>
    <m/>
  </r>
  <r>
    <s v="Id675"/>
    <s v="Fitzmaurice"/>
    <n v="39.340000000000003"/>
    <s v="Normal"/>
    <s v="yes"/>
    <s v="No"/>
    <x v="1"/>
    <n v="1"/>
    <x v="1"/>
    <s v="Obesity"/>
    <s v="Normal"/>
    <m/>
    <m/>
    <m/>
    <m/>
    <m/>
  </r>
  <r>
    <s v="Id676"/>
    <s v="Rodriguez"/>
    <n v="47"/>
    <s v="Diabetes"/>
    <s v="yes"/>
    <s v="No"/>
    <x v="0"/>
    <s v="No major surgery"/>
    <x v="1"/>
    <s v="Obesity"/>
    <s v="Diabetes"/>
    <m/>
    <m/>
    <m/>
    <m/>
    <m/>
  </r>
  <r>
    <s v="Id677"/>
    <s v="Tsoucas"/>
    <n v="36.71"/>
    <s v="Diabetes"/>
    <s v="yes"/>
    <s v="No"/>
    <x v="0"/>
    <s v="No major surgery"/>
    <x v="1"/>
    <s v="Obesity"/>
    <s v="Diabetes"/>
    <m/>
    <m/>
    <m/>
    <m/>
    <m/>
  </r>
  <r>
    <s v="Id678"/>
    <s v="Muhly"/>
    <n v="53.48"/>
    <s v="Normal"/>
    <s v="No"/>
    <s v="No"/>
    <x v="0"/>
    <s v="No major surgery"/>
    <x v="1"/>
    <s v="Obesity"/>
    <s v="Normal"/>
    <m/>
    <m/>
    <m/>
    <m/>
    <m/>
  </r>
  <r>
    <s v="Id679"/>
    <s v="Lund"/>
    <n v="35.5"/>
    <s v="Diabetes"/>
    <s v="No"/>
    <s v="No"/>
    <x v="0"/>
    <s v="No major surgery"/>
    <x v="1"/>
    <s v="Obesity"/>
    <s v="Diabetes"/>
    <m/>
    <m/>
    <m/>
    <m/>
    <m/>
  </r>
  <r>
    <s v="Id680"/>
    <s v="Battaglino"/>
    <n v="36.979999999999997"/>
    <s v="Diabetes"/>
    <s v="yes"/>
    <s v="No"/>
    <x v="0"/>
    <s v="No major surgery"/>
    <x v="1"/>
    <s v="Obesity"/>
    <s v="Diabetes"/>
    <m/>
    <m/>
    <m/>
    <m/>
    <m/>
  </r>
  <r>
    <s v="Id681"/>
    <s v="Pena"/>
    <n v="32.395000000000003"/>
    <s v="Diabetes"/>
    <s v="yes"/>
    <s v="No"/>
    <x v="1"/>
    <n v="1"/>
    <x v="1"/>
    <s v="Obesity"/>
    <s v="Diabetes"/>
    <m/>
    <m/>
    <m/>
    <m/>
    <m/>
  </r>
  <r>
    <s v="Id682"/>
    <s v="Thomason"/>
    <n v="32.729999999999997"/>
    <s v="Diabetes"/>
    <s v="No"/>
    <s v="No"/>
    <x v="0"/>
    <s v="No major surgery"/>
    <x v="1"/>
    <s v="Obesity"/>
    <s v="Diabetes"/>
    <m/>
    <m/>
    <m/>
    <m/>
    <m/>
  </r>
  <r>
    <s v="Id683"/>
    <s v="Hancox"/>
    <n v="20.52"/>
    <s v="Normal"/>
    <s v="No"/>
    <s v="No"/>
    <x v="0"/>
    <n v="1"/>
    <x v="0"/>
    <s v="Normal Weight"/>
    <s v="Normal"/>
    <m/>
    <m/>
    <m/>
    <m/>
    <m/>
  </r>
  <r>
    <s v="Id684"/>
    <s v="Canarecci"/>
    <n v="51.72"/>
    <s v="Prediabetes"/>
    <s v="No"/>
    <s v="No"/>
    <x v="0"/>
    <s v="No major surgery"/>
    <x v="1"/>
    <s v="Obesity"/>
    <s v="Prediabetes"/>
    <m/>
    <m/>
    <m/>
    <m/>
    <m/>
  </r>
  <r>
    <s v="Id685"/>
    <s v="Toupin"/>
    <n v="50.2"/>
    <s v="Normal"/>
    <s v="No"/>
    <s v="No"/>
    <x v="0"/>
    <s v="No major surgery"/>
    <x v="1"/>
    <s v="Obesity"/>
    <s v="Normal"/>
    <m/>
    <m/>
    <m/>
    <m/>
    <m/>
  </r>
  <r>
    <s v="Id686"/>
    <s v="Mulley"/>
    <n v="25.52"/>
    <s v="Prediabetes"/>
    <s v="No"/>
    <s v="No"/>
    <x v="1"/>
    <n v="1"/>
    <x v="1"/>
    <s v="Overweight"/>
    <s v="Prediabetes"/>
    <m/>
    <m/>
    <m/>
    <m/>
    <m/>
  </r>
  <r>
    <s v="Id687"/>
    <s v="Parry"/>
    <n v="35.200000000000003"/>
    <s v="Prediabetes"/>
    <s v="yes"/>
    <s v="No"/>
    <x v="0"/>
    <n v="2"/>
    <x v="1"/>
    <s v="Obesity"/>
    <s v="Prediabetes"/>
    <m/>
    <m/>
    <m/>
    <m/>
    <m/>
  </r>
  <r>
    <s v="Id688"/>
    <s v="Mason Cox"/>
    <n v="41.26"/>
    <s v="Prediabetes"/>
    <s v="yes"/>
    <s v="No"/>
    <x v="0"/>
    <s v="No major surgery"/>
    <x v="1"/>
    <s v="Obesity"/>
    <s v="Prediabetes"/>
    <m/>
    <m/>
    <m/>
    <m/>
    <m/>
  </r>
  <r>
    <s v="Id689"/>
    <s v="Thompson"/>
    <n v="17.195"/>
    <s v="Normal"/>
    <s v="yes"/>
    <s v="No"/>
    <x v="0"/>
    <s v="No major surgery"/>
    <x v="0"/>
    <s v="Underweight"/>
    <s v="Normal"/>
    <m/>
    <m/>
    <m/>
    <m/>
    <m/>
  </r>
  <r>
    <s v="Id690"/>
    <s v="Nelson"/>
    <n v="23.085000000000001"/>
    <s v="Normal"/>
    <s v="yes"/>
    <s v="No"/>
    <x v="0"/>
    <n v="2"/>
    <x v="1"/>
    <s v="Normal Weight"/>
    <s v="Normal"/>
    <m/>
    <m/>
    <m/>
    <m/>
    <m/>
  </r>
  <r>
    <s v="Id691"/>
    <s v="Forte"/>
    <n v="21.66"/>
    <s v="Normal"/>
    <s v="yes"/>
    <s v="No"/>
    <x v="0"/>
    <n v="2"/>
    <x v="1"/>
    <s v="Normal Weight"/>
    <s v="Normal"/>
    <m/>
    <m/>
    <m/>
    <m/>
    <m/>
  </r>
  <r>
    <s v="Id692"/>
    <s v="Corona Iturriaga"/>
    <n v="36.47"/>
    <s v="Diabetes"/>
    <s v="yes"/>
    <s v="No"/>
    <x v="0"/>
    <s v="No major surgery"/>
    <x v="1"/>
    <s v="Obesity"/>
    <s v="Diabetes"/>
    <m/>
    <m/>
    <m/>
    <m/>
    <m/>
  </r>
  <r>
    <s v="Id693"/>
    <s v="McCollum"/>
    <n v="36.08"/>
    <s v="Diabetes"/>
    <s v="yes"/>
    <s v="No"/>
    <x v="0"/>
    <s v="No major surgery"/>
    <x v="1"/>
    <s v="Obesity"/>
    <s v="Diabetes"/>
    <m/>
    <m/>
    <m/>
    <m/>
    <m/>
  </r>
  <r>
    <s v="Id694"/>
    <s v="Hevner"/>
    <n v="23.18"/>
    <s v="Prediabetes"/>
    <s v="No"/>
    <s v="No"/>
    <x v="0"/>
    <s v="No major surgery"/>
    <x v="1"/>
    <s v="Normal Weight"/>
    <s v="Prediabetes"/>
    <m/>
    <m/>
    <m/>
    <m/>
    <m/>
  </r>
  <r>
    <s v="Id695"/>
    <s v="Looi"/>
    <n v="39.159999999999997"/>
    <s v="Diabetes"/>
    <s v="No"/>
    <s v="No"/>
    <x v="0"/>
    <n v="3"/>
    <x v="1"/>
    <s v="Obesity"/>
    <s v="Diabetes"/>
    <m/>
    <m/>
    <m/>
    <m/>
    <m/>
  </r>
  <r>
    <s v="Id696"/>
    <s v="Power"/>
    <n v="38.19"/>
    <s v="Diabetes"/>
    <s v="No"/>
    <s v="No"/>
    <x v="0"/>
    <n v="3"/>
    <x v="1"/>
    <s v="Obesity"/>
    <s v="Diabetes"/>
    <m/>
    <m/>
    <m/>
    <m/>
    <m/>
  </r>
  <r>
    <s v="Id697"/>
    <s v="Routon"/>
    <n v="26.41"/>
    <s v="Diabetes"/>
    <s v="No"/>
    <s v="No"/>
    <x v="0"/>
    <n v="3"/>
    <x v="1"/>
    <s v="Overweight"/>
    <s v="Diabetes"/>
    <m/>
    <m/>
    <m/>
    <m/>
    <m/>
  </r>
  <r>
    <s v="Id698"/>
    <s v="Dochelli"/>
    <n v="28.785"/>
    <s v="Diabetes"/>
    <s v="No"/>
    <s v="No"/>
    <x v="0"/>
    <s v="No major surgery"/>
    <x v="1"/>
    <s v="Overweight"/>
    <s v="Diabetes"/>
    <m/>
    <m/>
    <m/>
    <m/>
    <m/>
  </r>
  <r>
    <s v="Id699"/>
    <s v="Gillespie"/>
    <n v="26.695"/>
    <s v="Diabetes"/>
    <s v="yes"/>
    <s v="No"/>
    <x v="1"/>
    <n v="1"/>
    <x v="1"/>
    <s v="Overweight"/>
    <s v="Diabetes"/>
    <m/>
    <m/>
    <m/>
    <m/>
    <m/>
  </r>
  <r>
    <s v="Id700"/>
    <s v="Oskvig"/>
    <n v="32.799999999999997"/>
    <s v="Prediabetes"/>
    <s v="yes"/>
    <s v="No"/>
    <x v="0"/>
    <n v="1"/>
    <x v="1"/>
    <s v="Obesity"/>
    <s v="Prediabetes"/>
    <m/>
    <m/>
    <m/>
    <m/>
    <m/>
  </r>
  <r>
    <s v="Id701"/>
    <s v="Holland-Stergar"/>
    <n v="35.869999999999997"/>
    <s v="Diabetes"/>
    <s v="yes"/>
    <s v="No"/>
    <x v="0"/>
    <s v="No major surgery"/>
    <x v="1"/>
    <s v="Obesity"/>
    <s v="Diabetes"/>
    <m/>
    <m/>
    <m/>
    <m/>
    <m/>
  </r>
  <r>
    <s v="Id702"/>
    <s v="Arai"/>
    <n v="21.66"/>
    <s v="Normal"/>
    <s v="yes"/>
    <s v="No"/>
    <x v="0"/>
    <n v="2"/>
    <x v="1"/>
    <s v="Normal Weight"/>
    <s v="Normal"/>
    <m/>
    <m/>
    <m/>
    <m/>
    <m/>
  </r>
  <r>
    <s v="Id703"/>
    <s v="Olausson"/>
    <n v="37.72"/>
    <s v="Normal"/>
    <s v="yes"/>
    <s v="No"/>
    <x v="1"/>
    <n v="1"/>
    <x v="1"/>
    <s v="Obesity"/>
    <s v="Normal"/>
    <m/>
    <m/>
    <m/>
    <m/>
    <m/>
  </r>
  <r>
    <s v="Id704"/>
    <s v="Wagner"/>
    <n v="39.700000000000003"/>
    <s v="Diabetes"/>
    <s v="No"/>
    <s v="No"/>
    <x v="0"/>
    <n v="3"/>
    <x v="1"/>
    <s v="Obesity"/>
    <s v="Diabetes"/>
    <m/>
    <m/>
    <m/>
    <m/>
    <m/>
  </r>
  <r>
    <s v="Id705"/>
    <s v="Delong"/>
    <n v="35.97"/>
    <s v="Diabetes"/>
    <s v="No"/>
    <s v="No"/>
    <x v="0"/>
    <n v="3"/>
    <x v="1"/>
    <s v="Obesity"/>
    <s v="Diabetes"/>
    <m/>
    <m/>
    <m/>
    <m/>
    <m/>
  </r>
  <r>
    <s v="Id706"/>
    <s v="Mehech"/>
    <n v="37.85"/>
    <s v="Diabetes"/>
    <s v="No"/>
    <s v="No"/>
    <x v="0"/>
    <s v="No major surgery"/>
    <x v="1"/>
    <s v="Obesity"/>
    <s v="Diabetes"/>
    <m/>
    <m/>
    <m/>
    <m/>
    <m/>
  </r>
  <r>
    <s v="Id707"/>
    <s v="Machiela"/>
    <n v="21.66"/>
    <s v="Normal"/>
    <s v="No"/>
    <s v="yes"/>
    <x v="0"/>
    <n v="1"/>
    <x v="0"/>
    <s v="Normal Weight"/>
    <s v="Normal"/>
    <m/>
    <m/>
    <m/>
    <m/>
    <m/>
  </r>
  <r>
    <s v="Id708"/>
    <s v="Young"/>
    <n v="39.369999999999997"/>
    <s v="Prediabetes"/>
    <s v="No"/>
    <s v="No"/>
    <x v="0"/>
    <n v="2"/>
    <x v="1"/>
    <s v="Obesity"/>
    <s v="Prediabetes"/>
    <m/>
    <m/>
    <m/>
    <m/>
    <m/>
  </r>
  <r>
    <s v="Id709"/>
    <s v="Dupere"/>
    <n v="40.880000000000003"/>
    <s v="Diabetes"/>
    <s v="No"/>
    <s v="No"/>
    <x v="0"/>
    <s v="No major surgery"/>
    <x v="1"/>
    <s v="Obesity"/>
    <s v="Diabetes"/>
    <m/>
    <m/>
    <m/>
    <m/>
    <m/>
  </r>
  <r>
    <s v="Id710"/>
    <s v="Iandolo"/>
    <n v="26.22"/>
    <s v="Normal"/>
    <s v="yes"/>
    <s v="No"/>
    <x v="0"/>
    <n v="2"/>
    <x v="1"/>
    <s v="Overweight"/>
    <s v="Normal"/>
    <m/>
    <m/>
    <m/>
    <m/>
    <m/>
  </r>
  <r>
    <s v="Id711"/>
    <s v="Ito"/>
    <n v="25.08"/>
    <s v="Prediabetes"/>
    <s v="yes"/>
    <s v="No"/>
    <x v="0"/>
    <n v="2"/>
    <x v="1"/>
    <s v="Overweight"/>
    <s v="Prediabetes"/>
    <m/>
    <m/>
    <m/>
    <m/>
    <m/>
  </r>
  <r>
    <s v="Id712"/>
    <s v="Barry"/>
    <n v="39.1"/>
    <s v="Diabetes"/>
    <s v="yes"/>
    <s v="No"/>
    <x v="0"/>
    <n v="2"/>
    <x v="1"/>
    <s v="Obesity"/>
    <s v="Diabetes"/>
    <m/>
    <m/>
    <m/>
    <m/>
    <m/>
  </r>
  <r>
    <s v="Id713"/>
    <s v="Boyce"/>
    <n v="37.905000000000001"/>
    <s v="Diabetes"/>
    <s v="No"/>
    <s v="No"/>
    <x v="0"/>
    <n v="3"/>
    <x v="1"/>
    <s v="Obesity"/>
    <s v="Diabetes"/>
    <m/>
    <m/>
    <m/>
    <m/>
    <m/>
  </r>
  <r>
    <s v="Id714"/>
    <s v="Lin"/>
    <n v="43.35"/>
    <s v="Normal"/>
    <s v="yes"/>
    <s v="No"/>
    <x v="1"/>
    <n v="1"/>
    <x v="1"/>
    <s v="Obesity"/>
    <s v="Normal"/>
    <m/>
    <m/>
    <m/>
    <m/>
    <m/>
  </r>
  <r>
    <s v="Id715"/>
    <s v="Smith"/>
    <n v="36.15"/>
    <s v="Diabetes"/>
    <s v="No"/>
    <s v="No"/>
    <x v="0"/>
    <s v="No major surgery"/>
    <x v="1"/>
    <s v="Obesity"/>
    <s v="Diabetes"/>
    <m/>
    <m/>
    <m/>
    <m/>
    <m/>
  </r>
  <r>
    <s v="Id716"/>
    <s v="Nalven"/>
    <n v="44.98"/>
    <s v="Prediabetes"/>
    <s v="No"/>
    <s v="No"/>
    <x v="0"/>
    <n v="1"/>
    <x v="1"/>
    <s v="Obesity"/>
    <s v="Prediabetes"/>
    <m/>
    <m/>
    <m/>
    <m/>
    <m/>
  </r>
  <r>
    <s v="Id717"/>
    <s v="Bourgeois"/>
    <n v="38.28"/>
    <s v="Normal"/>
    <s v="No"/>
    <s v="yes"/>
    <x v="0"/>
    <n v="1"/>
    <x v="1"/>
    <s v="Obesity"/>
    <s v="Normal"/>
    <m/>
    <m/>
    <m/>
    <m/>
    <m/>
  </r>
  <r>
    <s v="Id718"/>
    <s v="Orloff"/>
    <n v="32.299999999999997"/>
    <s v="Diabetes"/>
    <s v="yes"/>
    <s v="No"/>
    <x v="0"/>
    <n v="2"/>
    <x v="1"/>
    <s v="Obesity"/>
    <s v="Diabetes"/>
    <m/>
    <m/>
    <m/>
    <m/>
    <m/>
  </r>
  <r>
    <s v="Id719"/>
    <s v="Ramirez"/>
    <n v="39.51"/>
    <s v="Prediabetes"/>
    <s v="yes"/>
    <s v="No"/>
    <x v="0"/>
    <s v="No major surgery"/>
    <x v="1"/>
    <s v="Obesity"/>
    <s v="Prediabetes"/>
    <m/>
    <m/>
    <m/>
    <m/>
    <m/>
  </r>
  <r>
    <s v="Id720"/>
    <s v="Fouquet"/>
    <n v="50.46"/>
    <s v="Normal"/>
    <s v="No"/>
    <s v="No"/>
    <x v="0"/>
    <s v="No major surgery"/>
    <x v="1"/>
    <s v="Obesity"/>
    <s v="Normal"/>
    <m/>
    <m/>
    <m/>
    <m/>
    <m/>
  </r>
  <r>
    <s v="Id721"/>
    <s v="McPhillips"/>
    <n v="31.73"/>
    <s v="Diabetes"/>
    <s v="No"/>
    <s v="No"/>
    <x v="0"/>
    <s v="No major surgery"/>
    <x v="1"/>
    <s v="Obesity"/>
    <s v="Diabetes"/>
    <m/>
    <m/>
    <m/>
    <m/>
    <m/>
  </r>
  <r>
    <s v="Id722"/>
    <s v="Burgin"/>
    <n v="32.1"/>
    <s v="Diabetes"/>
    <s v="yes"/>
    <s v="No"/>
    <x v="1"/>
    <n v="1"/>
    <x v="1"/>
    <s v="Obesity"/>
    <s v="Diabetes"/>
    <m/>
    <m/>
    <m/>
    <m/>
    <m/>
  </r>
  <r>
    <s v="Id723"/>
    <s v="Roberts"/>
    <n v="27.83"/>
    <s v="Diabetes"/>
    <s v="yes"/>
    <s v="No"/>
    <x v="1"/>
    <n v="1"/>
    <x v="1"/>
    <s v="Overweight"/>
    <s v="Diabetes"/>
    <m/>
    <m/>
    <m/>
    <m/>
    <m/>
  </r>
  <r>
    <s v="Id724"/>
    <s v="Nemec"/>
    <n v="27.72"/>
    <s v="Diabetes"/>
    <s v="yes"/>
    <s v="No"/>
    <x v="1"/>
    <n v="1"/>
    <x v="1"/>
    <s v="Overweight"/>
    <s v="Diabetes"/>
    <m/>
    <m/>
    <m/>
    <m/>
    <m/>
  </r>
  <r>
    <s v="Id725"/>
    <s v="Appman"/>
    <n v="36.765000000000001"/>
    <s v="Normal"/>
    <s v="yes"/>
    <s v="No"/>
    <x v="0"/>
    <n v="2"/>
    <x v="1"/>
    <s v="Obesity"/>
    <s v="Normal"/>
    <m/>
    <m/>
    <m/>
    <m/>
    <m/>
  </r>
  <r>
    <s v="Id726"/>
    <s v="Driscoll"/>
    <n v="48.36"/>
    <s v="Normal"/>
    <s v="No"/>
    <s v="No"/>
    <x v="0"/>
    <s v="No major surgery"/>
    <x v="1"/>
    <s v="Obesity"/>
    <s v="Normal"/>
    <m/>
    <m/>
    <m/>
    <m/>
    <m/>
  </r>
  <r>
    <s v="Id727"/>
    <s v="Glotzbach"/>
    <n v="31.445"/>
    <s v="Normal"/>
    <s v="yes"/>
    <s v="No"/>
    <x v="0"/>
    <n v="2"/>
    <x v="1"/>
    <s v="Obesity"/>
    <s v="Normal"/>
    <m/>
    <m/>
    <m/>
    <m/>
    <m/>
  </r>
  <r>
    <s v="Id728"/>
    <s v="Tenforde"/>
    <n v="27.55"/>
    <s v="Diabetes"/>
    <s v="No"/>
    <s v="No"/>
    <x v="0"/>
    <s v="No major surgery"/>
    <x v="1"/>
    <s v="Overweight"/>
    <s v="Diabetes"/>
    <m/>
    <m/>
    <m/>
    <m/>
    <m/>
  </r>
  <r>
    <s v="Id729"/>
    <s v="Ramirez"/>
    <n v="33.11"/>
    <s v="Diabetes"/>
    <s v="No"/>
    <s v="No"/>
    <x v="0"/>
    <s v="No major surgery"/>
    <x v="1"/>
    <s v="Obesity"/>
    <s v="Diabetes"/>
    <m/>
    <m/>
    <m/>
    <m/>
    <m/>
  </r>
  <r>
    <s v="Id730"/>
    <s v="Stanley Torres"/>
    <n v="36.85"/>
    <s v="Prediabetes"/>
    <s v="yes"/>
    <s v="No"/>
    <x v="0"/>
    <n v="2"/>
    <x v="1"/>
    <s v="Obesity"/>
    <s v="Prediabetes"/>
    <m/>
    <m/>
    <m/>
    <m/>
    <m/>
  </r>
  <r>
    <s v="Id731"/>
    <s v="Vandongen"/>
    <n v="36.299999999999997"/>
    <s v="Prediabetes"/>
    <s v="yes"/>
    <s v="No"/>
    <x v="0"/>
    <n v="2"/>
    <x v="1"/>
    <s v="Obesity"/>
    <s v="Prediabetes"/>
    <m/>
    <m/>
    <m/>
    <m/>
    <m/>
  </r>
  <r>
    <s v="Id732"/>
    <s v="Liebald"/>
    <n v="45.34"/>
    <s v="Normal"/>
    <s v="yes"/>
    <s v="No"/>
    <x v="0"/>
    <s v="No major surgery"/>
    <x v="1"/>
    <s v="Obesity"/>
    <s v="Normal"/>
    <m/>
    <m/>
    <m/>
    <m/>
    <m/>
  </r>
  <r>
    <s v="Id733"/>
    <s v="Holte"/>
    <n v="31.8"/>
    <s v="Normal"/>
    <s v="yes"/>
    <s v="No"/>
    <x v="0"/>
    <n v="2"/>
    <x v="1"/>
    <s v="Obesity"/>
    <s v="Normal"/>
    <m/>
    <m/>
    <m/>
    <m/>
    <m/>
  </r>
  <r>
    <s v="Id734"/>
    <s v="Johnson"/>
    <n v="41.02"/>
    <s v="Diabetes"/>
    <s v="No"/>
    <s v="No"/>
    <x v="0"/>
    <s v="No major surgery"/>
    <x v="1"/>
    <s v="Obesity"/>
    <s v="Diabetes"/>
    <m/>
    <m/>
    <m/>
    <m/>
    <m/>
  </r>
  <r>
    <s v="Id735"/>
    <s v="Bartlett"/>
    <n v="32.68"/>
    <s v="Diabetes"/>
    <s v="No"/>
    <s v="No"/>
    <x v="0"/>
    <s v="No major surgery"/>
    <x v="1"/>
    <s v="Obesity"/>
    <s v="Diabetes"/>
    <m/>
    <m/>
    <m/>
    <m/>
    <m/>
  </r>
  <r>
    <s v="Id736"/>
    <s v="Bergman"/>
    <n v="21.7"/>
    <s v="Normal"/>
    <s v="No"/>
    <s v="No"/>
    <x v="1"/>
    <n v="1"/>
    <x v="0"/>
    <s v="Normal Weight"/>
    <s v="Normal"/>
    <m/>
    <m/>
    <m/>
    <m/>
    <m/>
  </r>
  <r>
    <s v="Id737"/>
    <s v="Aitken"/>
    <n v="40.479999999999997"/>
    <s v="Diabetes"/>
    <s v="No"/>
    <s v="No"/>
    <x v="0"/>
    <n v="3"/>
    <x v="1"/>
    <s v="Obesity"/>
    <s v="Diabetes"/>
    <m/>
    <m/>
    <m/>
    <m/>
    <m/>
  </r>
  <r>
    <s v="Id738"/>
    <s v="Berger"/>
    <n v="34.5"/>
    <s v="Diabetes"/>
    <s v="No"/>
    <s v="No"/>
    <x v="0"/>
    <n v="3"/>
    <x v="1"/>
    <s v="Obesity"/>
    <s v="Diabetes"/>
    <m/>
    <m/>
    <m/>
    <m/>
    <m/>
  </r>
  <r>
    <s v="Id739"/>
    <s v="Richey"/>
    <n v="45.9"/>
    <s v="Diabetes"/>
    <s v="yes"/>
    <s v="No"/>
    <x v="0"/>
    <n v="1"/>
    <x v="1"/>
    <s v="Obesity"/>
    <s v="Diabetes"/>
    <m/>
    <m/>
    <m/>
    <m/>
    <m/>
  </r>
  <r>
    <s v="Id740"/>
    <s v="Trotter"/>
    <n v="33.479999999999997"/>
    <s v="Normal"/>
    <s v="yes"/>
    <s v="No"/>
    <x v="0"/>
    <n v="2"/>
    <x v="1"/>
    <s v="Obesity"/>
    <s v="Normal"/>
    <m/>
    <m/>
    <m/>
    <m/>
    <m/>
  </r>
  <r>
    <s v="Id741"/>
    <s v="Chavez"/>
    <n v="28.31"/>
    <s v="Prediabetes"/>
    <s v="yes"/>
    <s v="No"/>
    <x v="0"/>
    <n v="2"/>
    <x v="1"/>
    <s v="Overweight"/>
    <s v="Prediabetes"/>
    <m/>
    <m/>
    <m/>
    <m/>
    <m/>
  </r>
  <r>
    <s v="Id742"/>
    <s v="Orifice"/>
    <n v="21.565000000000001"/>
    <s v="Normal"/>
    <s v="No"/>
    <s v="yes"/>
    <x v="0"/>
    <n v="1"/>
    <x v="0"/>
    <s v="Normal Weight"/>
    <s v="Normal"/>
    <m/>
    <m/>
    <m/>
    <m/>
    <m/>
  </r>
  <r>
    <s v="Id743"/>
    <s v="Farkash"/>
    <n v="35.590000000000003"/>
    <s v="Normal"/>
    <s v="yes"/>
    <s v="No"/>
    <x v="1"/>
    <n v="1"/>
    <x v="1"/>
    <s v="Obesity"/>
    <s v="Normal"/>
    <m/>
    <m/>
    <m/>
    <m/>
    <m/>
  </r>
  <r>
    <s v="Id744"/>
    <s v="Hribar"/>
    <n v="43.44"/>
    <s v="Normal"/>
    <s v="yes"/>
    <s v="No"/>
    <x v="0"/>
    <s v="No major surgery"/>
    <x v="1"/>
    <s v="Obesity"/>
    <s v="Normal"/>
    <m/>
    <m/>
    <m/>
    <m/>
    <m/>
  </r>
  <r>
    <s v="Id745"/>
    <s v="Crawford"/>
    <n v="21.754999999999999"/>
    <s v="Diabetes"/>
    <s v="yes"/>
    <s v="No"/>
    <x v="0"/>
    <s v="No major surgery"/>
    <x v="1"/>
    <s v="Normal Weight"/>
    <s v="Diabetes"/>
    <m/>
    <m/>
    <m/>
    <m/>
    <m/>
  </r>
  <r>
    <s v="Id746"/>
    <s v="Sittlington"/>
    <n v="44.55"/>
    <s v="Diabetes"/>
    <s v="yes"/>
    <s v="No"/>
    <x v="0"/>
    <n v="1"/>
    <x v="1"/>
    <s v="Obesity"/>
    <s v="Diabetes"/>
    <m/>
    <m/>
    <m/>
    <m/>
    <m/>
  </r>
  <r>
    <s v="Id747"/>
    <s v="Silbert"/>
    <n v="43.32"/>
    <s v="Normal"/>
    <s v="yes"/>
    <s v="No"/>
    <x v="0"/>
    <s v="No major surgery"/>
    <x v="1"/>
    <s v="Obesity"/>
    <s v="Normal"/>
    <m/>
    <m/>
    <m/>
    <m/>
    <m/>
  </r>
  <r>
    <s v="Id748"/>
    <s v="Carrique"/>
    <n v="31.23"/>
    <s v="Diabetes"/>
    <s v="yes"/>
    <s v="No"/>
    <x v="1"/>
    <n v="1"/>
    <x v="1"/>
    <s v="Obesity"/>
    <s v="Diabetes"/>
    <m/>
    <m/>
    <m/>
    <m/>
    <m/>
  </r>
  <r>
    <s v="Id749"/>
    <s v="Kosla"/>
    <n v="42.81"/>
    <s v="Normal"/>
    <s v="No"/>
    <s v="No"/>
    <x v="0"/>
    <n v="1"/>
    <x v="1"/>
    <s v="Obesity"/>
    <s v="Normal"/>
    <m/>
    <m/>
    <m/>
    <m/>
    <m/>
  </r>
  <r>
    <s v="Id750"/>
    <s v="Parker"/>
    <n v="35.909999999999997"/>
    <s v="Diabetes"/>
    <s v="yes"/>
    <s v="No"/>
    <x v="0"/>
    <n v="2"/>
    <x v="1"/>
    <s v="Obesity"/>
    <s v="Diabetes"/>
    <m/>
    <m/>
    <m/>
    <m/>
    <m/>
  </r>
  <r>
    <s v="Id751"/>
    <s v="Horton"/>
    <n v="36.65"/>
    <s v="Normal"/>
    <s v="yes"/>
    <s v="No"/>
    <x v="1"/>
    <n v="1"/>
    <x v="1"/>
    <s v="Obesity"/>
    <s v="Normal"/>
    <m/>
    <m/>
    <m/>
    <m/>
    <m/>
  </r>
  <r>
    <s v="Id752"/>
    <s v="Boller"/>
    <n v="22.04"/>
    <s v="Diabetes"/>
    <s v="yes"/>
    <s v="No"/>
    <x v="0"/>
    <n v="2"/>
    <x v="1"/>
    <s v="Normal Weight"/>
    <s v="Diabetes"/>
    <m/>
    <m/>
    <m/>
    <m/>
    <m/>
  </r>
  <r>
    <s v="Id753"/>
    <s v="Olaru"/>
    <n v="31.824999999999999"/>
    <s v="Normal"/>
    <s v="yes"/>
    <s v="No"/>
    <x v="0"/>
    <n v="1"/>
    <x v="1"/>
    <s v="Obesity"/>
    <s v="Normal"/>
    <m/>
    <m/>
    <m/>
    <m/>
    <m/>
  </r>
  <r>
    <s v="Id754"/>
    <s v="Prescott"/>
    <n v="53.58"/>
    <s v="Normal"/>
    <s v="No"/>
    <s v="No"/>
    <x v="0"/>
    <n v="1"/>
    <x v="1"/>
    <s v="Obesity"/>
    <s v="Normal"/>
    <m/>
    <m/>
    <m/>
    <m/>
    <m/>
  </r>
  <r>
    <s v="Id755"/>
    <s v="Hines"/>
    <n v="34.299999999999997"/>
    <s v="Diabetes"/>
    <s v="No"/>
    <s v="No"/>
    <x v="0"/>
    <s v="No major surgery"/>
    <x v="1"/>
    <s v="Obesity"/>
    <s v="Diabetes"/>
    <m/>
    <m/>
    <m/>
    <m/>
    <m/>
  </r>
  <r>
    <s v="Id756"/>
    <s v="Blanton"/>
    <n v="32.11"/>
    <s v="Diabetes"/>
    <s v="No"/>
    <s v="No"/>
    <x v="0"/>
    <s v="No major surgery"/>
    <x v="1"/>
    <s v="Obesity"/>
    <s v="Diabetes"/>
    <m/>
    <m/>
    <m/>
    <m/>
    <m/>
  </r>
  <r>
    <s v="Id757"/>
    <s v="Bustamante"/>
    <n v="31.78"/>
    <s v="Diabetes"/>
    <s v="yes"/>
    <s v="No"/>
    <x v="1"/>
    <n v="1"/>
    <x v="1"/>
    <s v="Obesity"/>
    <s v="Diabetes"/>
    <m/>
    <m/>
    <m/>
    <m/>
    <m/>
  </r>
  <r>
    <s v="Id758"/>
    <s v="McCann"/>
    <n v="46.89"/>
    <s v="Normal"/>
    <s v="No"/>
    <s v="No"/>
    <x v="0"/>
    <s v="No major surgery"/>
    <x v="1"/>
    <s v="Obesity"/>
    <s v="Normal"/>
    <m/>
    <m/>
    <m/>
    <m/>
    <m/>
  </r>
  <r>
    <s v="Id759"/>
    <s v="Schmole"/>
    <n v="39.35"/>
    <s v="Diabetes"/>
    <s v="yes"/>
    <s v="No"/>
    <x v="0"/>
    <n v="1"/>
    <x v="1"/>
    <s v="Obesity"/>
    <s v="Diabetes"/>
    <m/>
    <m/>
    <m/>
    <m/>
    <m/>
  </r>
  <r>
    <s v="Id760"/>
    <s v="Barber"/>
    <n v="39.200000000000003"/>
    <s v="Diabetes"/>
    <s v="No"/>
    <s v="No"/>
    <x v="0"/>
    <s v="No major surgery"/>
    <x v="1"/>
    <s v="Obesity"/>
    <s v="Diabetes"/>
    <m/>
    <m/>
    <m/>
    <m/>
    <m/>
  </r>
  <r>
    <s v="Id761"/>
    <s v="Reichmann"/>
    <n v="39.159999999999997"/>
    <s v="Diabetes"/>
    <s v="No"/>
    <s v="No"/>
    <x v="0"/>
    <s v="No major surgery"/>
    <x v="1"/>
    <s v="Obesity"/>
    <s v="Diabetes"/>
    <m/>
    <m/>
    <m/>
    <m/>
    <m/>
  </r>
  <r>
    <s v="Id762"/>
    <s v="Cavatorta"/>
    <n v="44.1"/>
    <s v="Normal"/>
    <s v="yes"/>
    <s v="No"/>
    <x v="0"/>
    <s v="No major surgery"/>
    <x v="1"/>
    <s v="Obesity"/>
    <s v="Normal"/>
    <m/>
    <m/>
    <m/>
    <m/>
    <m/>
  </r>
  <r>
    <s v="Id763"/>
    <s v="Yaeger"/>
    <n v="33.200000000000003"/>
    <s v="Diabetes"/>
    <s v="No"/>
    <s v="No"/>
    <x v="0"/>
    <s v="No major surgery"/>
    <x v="1"/>
    <s v="Obesity"/>
    <s v="Diabetes"/>
    <m/>
    <m/>
    <m/>
    <m/>
    <m/>
  </r>
  <r>
    <s v="Id764"/>
    <s v="Hughes"/>
    <n v="29.92"/>
    <s v="Diabetes"/>
    <s v="No"/>
    <s v="No"/>
    <x v="0"/>
    <s v="No major surgery"/>
    <x v="1"/>
    <e v="#N/A"/>
    <s v="Diabetes"/>
    <m/>
    <m/>
    <m/>
    <m/>
    <m/>
  </r>
  <r>
    <s v="Id765"/>
    <s v="Donahue"/>
    <n v="25"/>
    <s v="Diabetes"/>
    <s v="No"/>
    <s v="No"/>
    <x v="0"/>
    <s v="No major surgery"/>
    <x v="1"/>
    <s v="Overweight"/>
    <s v="Diabetes"/>
    <m/>
    <m/>
    <m/>
    <m/>
    <m/>
  </r>
  <r>
    <s v="Id766"/>
    <s v="Greenwell"/>
    <n v="38.869999999999997"/>
    <s v="Diabetes"/>
    <s v="yes"/>
    <s v="No"/>
    <x v="0"/>
    <n v="1"/>
    <x v="1"/>
    <s v="Obesity"/>
    <s v="Diabetes"/>
    <m/>
    <m/>
    <m/>
    <m/>
    <m/>
  </r>
  <r>
    <s v="Id767"/>
    <s v="Steele"/>
    <n v="32.299999999999997"/>
    <s v="Normal"/>
    <s v="yes"/>
    <s v="No"/>
    <x v="0"/>
    <n v="2"/>
    <x v="1"/>
    <s v="Obesity"/>
    <s v="Normal"/>
    <m/>
    <m/>
    <m/>
    <m/>
    <m/>
  </r>
  <r>
    <s v="Id768"/>
    <s v="Gunter"/>
    <n v="31.16"/>
    <s v="Diabetes"/>
    <s v="yes"/>
    <s v="No"/>
    <x v="0"/>
    <n v="2"/>
    <x v="1"/>
    <s v="Obesity"/>
    <s v="Diabetes"/>
    <m/>
    <m/>
    <m/>
    <m/>
    <m/>
  </r>
  <r>
    <s v="Id769"/>
    <s v="McDonough"/>
    <n v="54.59"/>
    <s v="Normal"/>
    <s v="No"/>
    <s v="No"/>
    <x v="0"/>
    <s v="No major surgery"/>
    <x v="1"/>
    <s v="Obesity"/>
    <s v="Normal"/>
    <m/>
    <m/>
    <m/>
    <m/>
    <m/>
  </r>
  <r>
    <s v="Id770"/>
    <s v="Sweetland"/>
    <n v="21.09"/>
    <s v="Diabetes"/>
    <s v="yes"/>
    <s v="No"/>
    <x v="0"/>
    <n v="2"/>
    <x v="1"/>
    <s v="Normal Weight"/>
    <s v="Diabetes"/>
    <m/>
    <m/>
    <m/>
    <m/>
    <m/>
  </r>
  <r>
    <s v="Id771"/>
    <s v="Hammersmith"/>
    <n v="52.41"/>
    <s v="Prediabetes"/>
    <s v="No"/>
    <s v="No"/>
    <x v="0"/>
    <n v="1"/>
    <x v="1"/>
    <s v="Obesity"/>
    <s v="Prediabetes"/>
    <m/>
    <m/>
    <m/>
    <m/>
    <m/>
  </r>
  <r>
    <s v="Id772"/>
    <s v="French"/>
    <n v="41.47"/>
    <s v="Prediabetes"/>
    <s v="yes"/>
    <s v="No"/>
    <x v="0"/>
    <n v="2"/>
    <x v="1"/>
    <s v="Obesity"/>
    <s v="Prediabetes"/>
    <m/>
    <m/>
    <m/>
    <m/>
    <m/>
  </r>
  <r>
    <s v="Id773"/>
    <s v="Garbe"/>
    <n v="33.1"/>
    <s v="Normal"/>
    <s v="yes"/>
    <s v="No"/>
    <x v="0"/>
    <n v="2"/>
    <x v="1"/>
    <s v="Obesity"/>
    <s v="Normal"/>
    <m/>
    <m/>
    <m/>
    <m/>
    <m/>
  </r>
  <r>
    <s v="Id774"/>
    <s v="Duncan"/>
    <n v="30.8"/>
    <s v="Normal"/>
    <s v="yes"/>
    <s v="No"/>
    <x v="0"/>
    <n v="2"/>
    <x v="1"/>
    <s v="Obesity"/>
    <s v="Normal"/>
    <m/>
    <m/>
    <m/>
    <m/>
    <m/>
  </r>
  <r>
    <s v="Id775"/>
    <s v="Wallace"/>
    <n v="42.06"/>
    <s v="Normal"/>
    <s v="No"/>
    <s v="No"/>
    <x v="0"/>
    <n v="1"/>
    <x v="1"/>
    <s v="Obesity"/>
    <s v="Normal"/>
    <m/>
    <m/>
    <m/>
    <m/>
    <m/>
  </r>
  <r>
    <s v="Id776"/>
    <s v="Tillman"/>
    <n v="39.270000000000003"/>
    <s v="Normal"/>
    <s v="No"/>
    <s v="No"/>
    <x v="1"/>
    <n v="1"/>
    <x v="1"/>
    <s v="Obesity"/>
    <s v="Normal"/>
    <m/>
    <m/>
    <m/>
    <m/>
    <m/>
  </r>
  <r>
    <s v="Id777"/>
    <s v="Lee"/>
    <n v="30.71"/>
    <s v="Normal"/>
    <s v="yes"/>
    <s v="No"/>
    <x v="0"/>
    <n v="1"/>
    <x v="1"/>
    <s v="Obesity"/>
    <s v="Normal"/>
    <m/>
    <m/>
    <m/>
    <m/>
    <m/>
  </r>
  <r>
    <s v="Id778"/>
    <s v="Taylor"/>
    <n v="47.19"/>
    <s v="Normal"/>
    <s v="No"/>
    <s v="No"/>
    <x v="0"/>
    <s v="No major surgery"/>
    <x v="1"/>
    <s v="Obesity"/>
    <s v="Normal"/>
    <m/>
    <m/>
    <m/>
    <m/>
    <m/>
  </r>
  <r>
    <s v="Id779"/>
    <s v="McSween"/>
    <n v="30.02"/>
    <s v="Diabetes"/>
    <s v="No"/>
    <s v="No"/>
    <x v="0"/>
    <s v="No major surgery"/>
    <x v="1"/>
    <s v="Obesity"/>
    <s v="Diabetes"/>
    <m/>
    <m/>
    <m/>
    <m/>
    <m/>
  </r>
  <r>
    <s v="Id780"/>
    <s v="Schubert"/>
    <n v="37.909999999999997"/>
    <s v="Normal"/>
    <s v="yes"/>
    <s v="No"/>
    <x v="0"/>
    <s v="No major surgery"/>
    <x v="1"/>
    <s v="Obesity"/>
    <s v="Normal"/>
    <m/>
    <m/>
    <m/>
    <m/>
    <m/>
  </r>
  <r>
    <s v="Id781"/>
    <s v="Lalanne"/>
    <n v="54.61"/>
    <s v="Normal"/>
    <s v="No"/>
    <s v="No"/>
    <x v="0"/>
    <s v="No major surgery"/>
    <x v="1"/>
    <s v="Obesity"/>
    <s v="Normal"/>
    <m/>
    <m/>
    <m/>
    <m/>
    <m/>
  </r>
  <r>
    <s v="Id782"/>
    <s v="Flanagan"/>
    <n v="36.005000000000003"/>
    <s v="Diabetes"/>
    <s v="No"/>
    <s v="No"/>
    <x v="0"/>
    <s v="No major surgery"/>
    <x v="1"/>
    <s v="Obesity"/>
    <s v="Diabetes"/>
    <m/>
    <m/>
    <m/>
    <m/>
    <m/>
  </r>
  <r>
    <s v="Id783"/>
    <s v="Arellano"/>
    <n v="28.7"/>
    <s v="Diabetes"/>
    <s v="No"/>
    <s v="No"/>
    <x v="0"/>
    <s v="No major surgery"/>
    <x v="1"/>
    <s v="Overweight"/>
    <s v="Diabetes"/>
    <m/>
    <m/>
    <m/>
    <m/>
    <m/>
  </r>
  <r>
    <s v="Id784"/>
    <s v="Charette"/>
    <n v="34.295000000000002"/>
    <s v="Diabetes"/>
    <s v="No"/>
    <s v="No"/>
    <x v="0"/>
    <s v="No major surgery"/>
    <x v="1"/>
    <s v="Obesity"/>
    <s v="Diabetes"/>
    <m/>
    <m/>
    <m/>
    <m/>
    <m/>
  </r>
  <r>
    <s v="Id785"/>
    <s v="Pena Reyes"/>
    <n v="27.55"/>
    <s v="Diabetes"/>
    <s v="No"/>
    <s v="No"/>
    <x v="0"/>
    <s v="No major surgery"/>
    <x v="1"/>
    <s v="Overweight"/>
    <s v="Diabetes"/>
    <m/>
    <m/>
    <m/>
    <m/>
    <m/>
  </r>
  <r>
    <s v="Id786"/>
    <s v="Broderick"/>
    <n v="40.700000000000003"/>
    <s v="Normal"/>
    <s v="No"/>
    <s v="No"/>
    <x v="0"/>
    <s v="No major surgery"/>
    <x v="1"/>
    <s v="Obesity"/>
    <s v="Normal"/>
    <m/>
    <m/>
    <m/>
    <m/>
    <m/>
  </r>
  <r>
    <s v="Id787"/>
    <s v="Summers"/>
    <n v="18.335000000000001"/>
    <s v="Diabetes"/>
    <s v="No"/>
    <s v="No"/>
    <x v="0"/>
    <s v="No major surgery"/>
    <x v="1"/>
    <s v="Underweight"/>
    <s v="Diabetes"/>
    <m/>
    <m/>
    <m/>
    <m/>
    <m/>
  </r>
  <r>
    <s v="Id788"/>
    <s v="Fisher"/>
    <n v="33.914999999999999"/>
    <s v="Diabetes"/>
    <s v="yes"/>
    <s v="No"/>
    <x v="0"/>
    <n v="2"/>
    <x v="1"/>
    <s v="Obesity"/>
    <s v="Diabetes"/>
    <m/>
    <m/>
    <m/>
    <m/>
    <m/>
  </r>
  <r>
    <s v="Id789"/>
    <s v="Zhou"/>
    <n v="33.534999999999997"/>
    <s v="Diabetes"/>
    <s v="yes"/>
    <s v="No"/>
    <x v="0"/>
    <n v="2"/>
    <x v="1"/>
    <s v="Obesity"/>
    <s v="Diabetes"/>
    <m/>
    <m/>
    <m/>
    <m/>
    <m/>
  </r>
  <r>
    <s v="Id790"/>
    <s v="Clarke-Ames"/>
    <n v="23.655000000000001"/>
    <s v="Diabetes"/>
    <s v="yes"/>
    <s v="No"/>
    <x v="0"/>
    <n v="2"/>
    <x v="1"/>
    <s v="Normal Weight"/>
    <s v="Diabetes"/>
    <m/>
    <m/>
    <m/>
    <m/>
    <m/>
  </r>
  <r>
    <s v="Id791"/>
    <s v="Staton"/>
    <n v="28"/>
    <s v="Normal"/>
    <s v="No"/>
    <s v="No"/>
    <x v="0"/>
    <s v="No major surgery"/>
    <x v="1"/>
    <s v="Overweight"/>
    <s v="Normal"/>
    <m/>
    <m/>
    <m/>
    <m/>
    <m/>
  </r>
  <r>
    <s v="Id792"/>
    <s v="Forster"/>
    <n v="30.23"/>
    <s v="Diabetes"/>
    <s v="yes"/>
    <s v="No"/>
    <x v="1"/>
    <n v="1"/>
    <x v="1"/>
    <s v="Obesity"/>
    <s v="Diabetes"/>
    <m/>
    <m/>
    <m/>
    <m/>
    <m/>
  </r>
  <r>
    <s v="Id793"/>
    <s v="Monaghan"/>
    <n v="51.14"/>
    <s v="Normal"/>
    <s v="No"/>
    <s v="No"/>
    <x v="0"/>
    <n v="1"/>
    <x v="1"/>
    <s v="Obesity"/>
    <s v="Normal"/>
    <m/>
    <m/>
    <m/>
    <m/>
    <m/>
  </r>
  <r>
    <s v="Id794"/>
    <s v="Kawamoto"/>
    <n v="24.32"/>
    <s v="Diabetes"/>
    <s v="No"/>
    <s v="No"/>
    <x v="0"/>
    <s v="No major surgery"/>
    <x v="1"/>
    <s v="Normal Weight"/>
    <s v="Diabetes"/>
    <m/>
    <m/>
    <m/>
    <m/>
    <m/>
  </r>
  <r>
    <s v="Id795"/>
    <s v="Dicharry"/>
    <n v="38.06"/>
    <s v="Diabetes"/>
    <s v="No"/>
    <s v="No"/>
    <x v="0"/>
    <s v="No major surgery"/>
    <x v="1"/>
    <s v="Obesity"/>
    <s v="Diabetes"/>
    <m/>
    <m/>
    <m/>
    <m/>
    <m/>
  </r>
  <r>
    <s v="Id796"/>
    <s v="Berry"/>
    <n v="37.700000000000003"/>
    <s v="Diabetes"/>
    <s v="No"/>
    <s v="No"/>
    <x v="0"/>
    <s v="No major surgery"/>
    <x v="1"/>
    <s v="Obesity"/>
    <s v="Diabetes"/>
    <m/>
    <m/>
    <m/>
    <m/>
    <m/>
  </r>
  <r>
    <s v="Id797"/>
    <s v="Porfirio"/>
    <n v="44"/>
    <s v="Diabetes"/>
    <s v="yes"/>
    <s v="No"/>
    <x v="0"/>
    <n v="2"/>
    <x v="1"/>
    <s v="Obesity"/>
    <s v="Diabetes"/>
    <m/>
    <m/>
    <m/>
    <m/>
    <m/>
  </r>
  <r>
    <s v="Id798"/>
    <s v="Thind"/>
    <n v="41.45"/>
    <s v="Prediabetes"/>
    <s v="yes"/>
    <s v="No"/>
    <x v="0"/>
    <s v="No major surgery"/>
    <x v="1"/>
    <s v="Obesity"/>
    <s v="Prediabetes"/>
    <m/>
    <m/>
    <m/>
    <m/>
    <m/>
  </r>
  <r>
    <s v="Id799"/>
    <s v="Ryan"/>
    <n v="25.364999999999998"/>
    <s v="Diabetes"/>
    <s v="yes"/>
    <s v="No"/>
    <x v="0"/>
    <s v="No major surgery"/>
    <x v="1"/>
    <s v="Overweight"/>
    <s v="Diabetes"/>
    <m/>
    <m/>
    <m/>
    <m/>
    <m/>
  </r>
  <r>
    <s v="Id800"/>
    <s v="Horn"/>
    <n v="34.56"/>
    <s v="Prediabetes"/>
    <s v="yes"/>
    <s v="No"/>
    <x v="1"/>
    <n v="1"/>
    <x v="1"/>
    <s v="Obesity"/>
    <s v="Prediabetes"/>
    <m/>
    <m/>
    <m/>
    <m/>
    <m/>
  </r>
  <r>
    <s v="Id801"/>
    <s v="Sabadosa"/>
    <n v="28.2"/>
    <s v="Diabetes"/>
    <s v="yes"/>
    <s v="No"/>
    <x v="0"/>
    <n v="2"/>
    <x v="1"/>
    <s v="Overweight"/>
    <s v="Diabetes"/>
    <m/>
    <m/>
    <m/>
    <m/>
    <m/>
  </r>
  <r>
    <s v="Id802"/>
    <s v="Casady"/>
    <n v="30.43"/>
    <s v="Diabetes"/>
    <s v="No"/>
    <s v="No"/>
    <x v="0"/>
    <s v="No major surgery"/>
    <x v="1"/>
    <s v="Obesity"/>
    <s v="Diabetes"/>
    <m/>
    <m/>
    <m/>
    <m/>
    <m/>
  </r>
  <r>
    <s v="Id803"/>
    <s v="Phillips"/>
    <n v="32.395000000000003"/>
    <s v="Normal"/>
    <s v="yes"/>
    <s v="No"/>
    <x v="0"/>
    <n v="1"/>
    <x v="1"/>
    <s v="Obesity"/>
    <s v="Normal"/>
    <m/>
    <m/>
    <m/>
    <m/>
    <m/>
  </r>
  <r>
    <s v="Id804"/>
    <s v="Ahokas"/>
    <n v="24.035"/>
    <s v="Diabetes"/>
    <s v="No"/>
    <s v="No"/>
    <x v="0"/>
    <s v="No major surgery"/>
    <x v="1"/>
    <s v="Normal Weight"/>
    <s v="Diabetes"/>
    <m/>
    <m/>
    <m/>
    <m/>
    <m/>
  </r>
  <r>
    <s v="Id805"/>
    <s v="Hebert"/>
    <n v="37.119999999999997"/>
    <s v="Normal"/>
    <s v="No"/>
    <s v="No"/>
    <x v="0"/>
    <n v="2"/>
    <x v="1"/>
    <s v="Obesity"/>
    <s v="Normal"/>
    <m/>
    <m/>
    <m/>
    <m/>
    <m/>
  </r>
  <r>
    <s v="Id806"/>
    <s v="Fair"/>
    <n v="34.840000000000003"/>
    <s v="Prediabetes"/>
    <s v="yes"/>
    <s v="No"/>
    <x v="1"/>
    <n v="1"/>
    <x v="1"/>
    <s v="Obesity"/>
    <s v="Prediabetes"/>
    <m/>
    <m/>
    <m/>
    <m/>
    <m/>
  </r>
  <r>
    <s v="Id807"/>
    <s v="Swenson"/>
    <n v="29.53"/>
    <s v="Diabetes"/>
    <s v="No"/>
    <s v="No"/>
    <x v="0"/>
    <s v="No major surgery"/>
    <x v="1"/>
    <s v="Overweight"/>
    <s v="Diabetes"/>
    <m/>
    <m/>
    <m/>
    <m/>
    <m/>
  </r>
  <r>
    <s v="Id808"/>
    <s v="Revenis"/>
    <n v="42.51"/>
    <s v="Diabetes"/>
    <s v="yes"/>
    <s v="No"/>
    <x v="0"/>
    <s v="No major surgery"/>
    <x v="1"/>
    <s v="Obesity"/>
    <s v="Diabetes"/>
    <m/>
    <m/>
    <m/>
    <m/>
    <m/>
  </r>
  <r>
    <s v="Id809"/>
    <s v="Engnes"/>
    <n v="38.14"/>
    <s v="Normal"/>
    <s v="No"/>
    <s v="No"/>
    <x v="1"/>
    <n v="1"/>
    <x v="1"/>
    <s v="Obesity"/>
    <s v="Normal"/>
    <m/>
    <m/>
    <m/>
    <m/>
    <m/>
  </r>
  <r>
    <s v="Id810"/>
    <s v="Wiltse"/>
    <n v="39.93"/>
    <s v="Diabetes"/>
    <s v="No"/>
    <s v="No"/>
    <x v="0"/>
    <s v="No major surgery"/>
    <x v="1"/>
    <s v="Obesity"/>
    <s v="Diabetes"/>
    <m/>
    <m/>
    <m/>
    <m/>
    <m/>
  </r>
  <r>
    <s v="Id811"/>
    <s v="Fernandez"/>
    <n v="38.83"/>
    <s v="Diabetes"/>
    <s v="No"/>
    <s v="No"/>
    <x v="0"/>
    <s v="No major surgery"/>
    <x v="1"/>
    <s v="Obesity"/>
    <s v="Diabetes"/>
    <m/>
    <m/>
    <m/>
    <m/>
    <m/>
  </r>
  <r>
    <s v="Id812"/>
    <s v="Edwards"/>
    <n v="37.4"/>
    <s v="Diabetes"/>
    <s v="No"/>
    <s v="No"/>
    <x v="0"/>
    <s v="No major surgery"/>
    <x v="1"/>
    <s v="Obesity"/>
    <s v="Diabetes"/>
    <m/>
    <m/>
    <m/>
    <m/>
    <m/>
  </r>
  <r>
    <s v="Id813"/>
    <s v="Pinney"/>
    <n v="21.4"/>
    <s v="Diabetes"/>
    <s v="No"/>
    <s v="No"/>
    <x v="0"/>
    <s v="No major surgery"/>
    <x v="1"/>
    <s v="Normal Weight"/>
    <s v="Diabetes"/>
    <m/>
    <m/>
    <m/>
    <m/>
    <m/>
  </r>
  <r>
    <s v="Id814"/>
    <s v="Levy"/>
    <n v="38.380000000000003"/>
    <s v="Diabetes"/>
    <s v="yes"/>
    <s v="No"/>
    <x v="0"/>
    <n v="2"/>
    <x v="1"/>
    <s v="Obesity"/>
    <s v="Diabetes"/>
    <m/>
    <m/>
    <m/>
    <m/>
    <m/>
  </r>
  <r>
    <s v="Id815"/>
    <s v="Takeda"/>
    <n v="33.659999999999997"/>
    <s v="Normal"/>
    <s v="yes"/>
    <s v="No"/>
    <x v="0"/>
    <n v="2"/>
    <x v="1"/>
    <s v="Obesity"/>
    <s v="Normal"/>
    <m/>
    <m/>
    <m/>
    <m/>
    <m/>
  </r>
  <r>
    <s v="Id816"/>
    <s v="Burke"/>
    <n v="31.79"/>
    <s v="Diabetes"/>
    <s v="yes"/>
    <s v="No"/>
    <x v="1"/>
    <n v="1"/>
    <x v="1"/>
    <s v="Obesity"/>
    <s v="Diabetes"/>
    <m/>
    <m/>
    <m/>
    <m/>
    <m/>
  </r>
  <r>
    <s v="Id817"/>
    <s v="Duarte"/>
    <n v="29.7"/>
    <s v="Diabetes"/>
    <s v="yes"/>
    <s v="No"/>
    <x v="1"/>
    <n v="1"/>
    <x v="1"/>
    <s v="Overweight"/>
    <s v="Diabetes"/>
    <m/>
    <m/>
    <m/>
    <m/>
    <m/>
  </r>
  <r>
    <s v="Id818"/>
    <s v="Clark"/>
    <n v="25.46"/>
    <s v="Diabetes"/>
    <s v="yes"/>
    <s v="No"/>
    <x v="1"/>
    <n v="1"/>
    <x v="1"/>
    <s v="Overweight"/>
    <s v="Diabetes"/>
    <m/>
    <m/>
    <m/>
    <m/>
    <m/>
  </r>
  <r>
    <s v="Id819"/>
    <s v="Nice"/>
    <n v="39.14"/>
    <s v="Normal"/>
    <s v="No"/>
    <s v="yes"/>
    <x v="0"/>
    <n v="1"/>
    <x v="1"/>
    <s v="Obesity"/>
    <s v="Normal"/>
    <m/>
    <m/>
    <m/>
    <m/>
    <m/>
  </r>
  <r>
    <s v="Id820"/>
    <s v="Windler"/>
    <n v="41.2"/>
    <s v="Normal"/>
    <s v="No"/>
    <s v="No"/>
    <x v="0"/>
    <n v="1"/>
    <x v="1"/>
    <s v="Obesity"/>
    <s v="Normal"/>
    <m/>
    <m/>
    <m/>
    <m/>
    <m/>
  </r>
  <r>
    <s v="Id821"/>
    <s v="Jones"/>
    <n v="28.81"/>
    <s v="Diabetes"/>
    <s v="yes"/>
    <s v="No"/>
    <x v="1"/>
    <n v="1"/>
    <x v="1"/>
    <s v="Overweight"/>
    <s v="Diabetes"/>
    <m/>
    <m/>
    <m/>
    <m/>
    <m/>
  </r>
  <r>
    <s v="Id822"/>
    <s v="Stevenson"/>
    <n v="37.409999999999997"/>
    <s v="Diabetes"/>
    <s v="No"/>
    <s v="No"/>
    <x v="0"/>
    <n v="2"/>
    <x v="1"/>
    <s v="Obesity"/>
    <s v="Diabetes"/>
    <m/>
    <m/>
    <m/>
    <m/>
    <m/>
  </r>
  <r>
    <s v="Id823"/>
    <s v="Humphrey"/>
    <n v="52.54"/>
    <s v="Normal"/>
    <s v="No"/>
    <s v="No"/>
    <x v="1"/>
    <n v="1"/>
    <x v="1"/>
    <s v="Obesity"/>
    <s v="Normal"/>
    <m/>
    <m/>
    <m/>
    <m/>
    <m/>
  </r>
  <r>
    <s v="Id824"/>
    <s v="Nelson"/>
    <n v="17.29"/>
    <s v="Normal"/>
    <s v="No"/>
    <s v="yes"/>
    <x v="0"/>
    <n v="1"/>
    <x v="0"/>
    <s v="Underweight"/>
    <s v="Normal"/>
    <m/>
    <m/>
    <m/>
    <m/>
    <m/>
  </r>
  <r>
    <s v="Id825"/>
    <s v="Payne"/>
    <n v="31.74"/>
    <s v="Diabetes"/>
    <s v="yes"/>
    <s v="No"/>
    <x v="0"/>
    <s v="No major surgery"/>
    <x v="1"/>
    <s v="Obesity"/>
    <s v="Diabetes"/>
    <m/>
    <m/>
    <m/>
    <m/>
    <m/>
  </r>
  <r>
    <s v="Id826"/>
    <s v="Hails"/>
    <n v="26.504999999999999"/>
    <s v="Diabetes"/>
    <s v="yes"/>
    <s v="No"/>
    <x v="1"/>
    <n v="1"/>
    <x v="1"/>
    <s v="Overweight"/>
    <s v="Diabetes"/>
    <m/>
    <m/>
    <m/>
    <m/>
    <m/>
  </r>
  <r>
    <s v="Id827"/>
    <s v="Proctor"/>
    <n v="36.479999999999997"/>
    <s v="Diabetes"/>
    <s v="No"/>
    <s v="No"/>
    <x v="0"/>
    <s v="No major surgery"/>
    <x v="1"/>
    <s v="Obesity"/>
    <s v="Diabetes"/>
    <m/>
    <m/>
    <m/>
    <m/>
    <m/>
  </r>
  <r>
    <s v="Id828"/>
    <s v="Ryan"/>
    <n v="39.159999999999997"/>
    <s v="Normal"/>
    <s v="yes"/>
    <s v="No"/>
    <x v="1"/>
    <n v="1"/>
    <x v="1"/>
    <s v="Obesity"/>
    <s v="Normal"/>
    <m/>
    <m/>
    <m/>
    <m/>
    <m/>
  </r>
  <r>
    <s v="Id829"/>
    <s v="Watson"/>
    <n v="28.22"/>
    <s v="Diabetes"/>
    <s v="yes"/>
    <s v="No"/>
    <x v="1"/>
    <n v="1"/>
    <x v="1"/>
    <s v="Overweight"/>
    <s v="Diabetes"/>
    <m/>
    <m/>
    <m/>
    <m/>
    <m/>
  </r>
  <r>
    <s v="Id830"/>
    <s v="Gresh"/>
    <n v="35"/>
    <s v="Normal"/>
    <s v="No"/>
    <s v="No"/>
    <x v="0"/>
    <n v="2"/>
    <x v="1"/>
    <s v="Obesity"/>
    <s v="Normal"/>
    <m/>
    <m/>
    <m/>
    <m/>
    <m/>
  </r>
  <r>
    <s v="Id831"/>
    <s v="Anis"/>
    <n v="36.24"/>
    <s v="Diabetes"/>
    <s v="yes"/>
    <s v="No"/>
    <x v="0"/>
    <n v="1"/>
    <x v="1"/>
    <s v="Obesity"/>
    <s v="Diabetes"/>
    <m/>
    <m/>
    <m/>
    <m/>
    <m/>
  </r>
  <r>
    <s v="Id832"/>
    <s v="Swartz"/>
    <n v="36.954999999999998"/>
    <s v="Diabetes"/>
    <s v="No"/>
    <s v="No"/>
    <x v="0"/>
    <s v="No major surgery"/>
    <x v="1"/>
    <s v="Obesity"/>
    <s v="Diabetes"/>
    <m/>
    <m/>
    <m/>
    <m/>
    <m/>
  </r>
  <r>
    <s v="Id833"/>
    <s v="Schluneker"/>
    <n v="29.64"/>
    <s v="Diabetes"/>
    <s v="No"/>
    <s v="No"/>
    <x v="0"/>
    <s v="No major surgery"/>
    <x v="1"/>
    <s v="Overweight"/>
    <s v="Diabetes"/>
    <m/>
    <m/>
    <m/>
    <m/>
    <m/>
  </r>
  <r>
    <s v="Id834"/>
    <s v="Bellemare"/>
    <n v="42.74"/>
    <s v="Prediabetes"/>
    <s v="yes"/>
    <s v="No"/>
    <x v="0"/>
    <n v="1"/>
    <x v="1"/>
    <s v="Obesity"/>
    <s v="Prediabetes"/>
    <m/>
    <m/>
    <m/>
    <m/>
    <m/>
  </r>
  <r>
    <s v="Id835"/>
    <s v="Vitalo"/>
    <n v="36.130000000000003"/>
    <s v="Diabetes"/>
    <s v="yes"/>
    <s v="No"/>
    <x v="0"/>
    <n v="2"/>
    <x v="1"/>
    <s v="Obesity"/>
    <s v="Diabetes"/>
    <m/>
    <m/>
    <m/>
    <m/>
    <m/>
  </r>
  <r>
    <s v="Id836"/>
    <s v="Hamilton"/>
    <n v="31.55"/>
    <s v="Prediabetes"/>
    <s v="yes"/>
    <s v="No"/>
    <x v="0"/>
    <n v="1"/>
    <x v="1"/>
    <s v="Obesity"/>
    <s v="Prediabetes"/>
    <m/>
    <m/>
    <m/>
    <m/>
    <m/>
  </r>
  <r>
    <s v="Id837"/>
    <s v="Marshall"/>
    <n v="52.75"/>
    <s v="Prediabetes"/>
    <s v="No"/>
    <s v="No"/>
    <x v="0"/>
    <n v="1"/>
    <x v="1"/>
    <s v="Obesity"/>
    <s v="Prediabetes"/>
    <m/>
    <m/>
    <m/>
    <m/>
    <m/>
  </r>
  <r>
    <s v="Id838"/>
    <s v="Cale"/>
    <n v="36.67"/>
    <s v="Diabetes"/>
    <s v="No"/>
    <s v="No"/>
    <x v="0"/>
    <s v="No major surgery"/>
    <x v="1"/>
    <s v="Obesity"/>
    <s v="Diabetes"/>
    <m/>
    <m/>
    <m/>
    <m/>
    <m/>
  </r>
  <r>
    <s v="Id839"/>
    <s v="Pittaway"/>
    <n v="38.06"/>
    <s v="Diabetes"/>
    <s v="No"/>
    <s v="No"/>
    <x v="0"/>
    <s v="No major surgery"/>
    <x v="1"/>
    <s v="Obesity"/>
    <s v="Diabetes"/>
    <m/>
    <m/>
    <m/>
    <m/>
    <m/>
  </r>
  <r>
    <s v="Id840"/>
    <s v="Bill"/>
    <n v="38"/>
    <s v="Diabetes"/>
    <s v="No"/>
    <s v="No"/>
    <x v="0"/>
    <s v="No major surgery"/>
    <x v="1"/>
    <s v="Obesity"/>
    <s v="Diabetes"/>
    <m/>
    <m/>
    <m/>
    <m/>
    <m/>
  </r>
  <r>
    <s v="Id841"/>
    <s v="Antrim"/>
    <n v="35.1"/>
    <s v="Diabetes"/>
    <s v="No"/>
    <s v="No"/>
    <x v="0"/>
    <s v="No major surgery"/>
    <x v="1"/>
    <s v="Obesity"/>
    <s v="Diabetes"/>
    <m/>
    <m/>
    <m/>
    <m/>
    <m/>
  </r>
  <r>
    <s v="Id842"/>
    <s v="Doolittle-Crider"/>
    <n v="33.82"/>
    <s v="Prediabetes"/>
    <s v="yes"/>
    <s v="No"/>
    <x v="0"/>
    <n v="2"/>
    <x v="1"/>
    <s v="Obesity"/>
    <s v="Prediabetes"/>
    <m/>
    <m/>
    <m/>
    <m/>
    <m/>
  </r>
  <r>
    <s v="Id843"/>
    <s v="Ruhlman"/>
    <n v="37.43"/>
    <s v="Normal"/>
    <s v="No"/>
    <s v="No"/>
    <x v="0"/>
    <n v="2"/>
    <x v="1"/>
    <s v="Obesity"/>
    <s v="Normal"/>
    <m/>
    <m/>
    <m/>
    <m/>
    <m/>
  </r>
  <r>
    <s v="Id844"/>
    <s v="Anderson"/>
    <n v="30.5"/>
    <s v="Diabetes"/>
    <s v="No"/>
    <s v="No"/>
    <x v="0"/>
    <s v="No major surgery"/>
    <x v="1"/>
    <s v="Obesity"/>
    <s v="Diabetes"/>
    <m/>
    <m/>
    <m/>
    <m/>
    <m/>
  </r>
  <r>
    <s v="Id845"/>
    <s v="Uchiyama"/>
    <n v="24.53"/>
    <s v="Diabetes"/>
    <s v="No"/>
    <s v="No"/>
    <x v="0"/>
    <s v="No major surgery"/>
    <x v="1"/>
    <s v="Normal Weight"/>
    <s v="Diabetes"/>
    <m/>
    <m/>
    <m/>
    <m/>
    <m/>
  </r>
  <r>
    <s v="Id846"/>
    <s v="Desota"/>
    <n v="25.74"/>
    <s v="Diabetes"/>
    <s v="No"/>
    <s v="No"/>
    <x v="0"/>
    <s v="No major surgery"/>
    <x v="1"/>
    <s v="Overweight"/>
    <s v="Diabetes"/>
    <m/>
    <m/>
    <m/>
    <m/>
    <m/>
  </r>
  <r>
    <s v="Id847"/>
    <s v="Edmonds"/>
    <n v="34.08"/>
    <s v="Diabetes"/>
    <s v="yes"/>
    <s v="No"/>
    <x v="0"/>
    <n v="2"/>
    <x v="1"/>
    <s v="Obesity"/>
    <s v="Diabetes"/>
    <m/>
    <m/>
    <m/>
    <m/>
    <m/>
  </r>
  <r>
    <s v="Id848"/>
    <s v="Otto"/>
    <n v="31.35"/>
    <s v="Diabetes"/>
    <s v="yes"/>
    <s v="No"/>
    <x v="1"/>
    <n v="1"/>
    <x v="1"/>
    <s v="Obesity"/>
    <s v="Diabetes"/>
    <m/>
    <m/>
    <m/>
    <m/>
    <m/>
  </r>
  <r>
    <s v="Id849"/>
    <s v="Kurt"/>
    <n v="26.79"/>
    <s v="Normal"/>
    <s v="No"/>
    <s v="No"/>
    <x v="0"/>
    <n v="1"/>
    <x v="1"/>
    <s v="Overweight"/>
    <s v="Normal"/>
    <m/>
    <m/>
    <m/>
    <m/>
    <m/>
  </r>
  <r>
    <s v="Id850"/>
    <s v="Duhaime"/>
    <n v="42.78"/>
    <s v="Prediabetes"/>
    <s v="yes"/>
    <s v="No"/>
    <x v="0"/>
    <n v="1"/>
    <x v="1"/>
    <s v="Obesity"/>
    <s v="Prediabetes"/>
    <m/>
    <m/>
    <m/>
    <m/>
    <m/>
  </r>
  <r>
    <s v="Id851"/>
    <s v="Swann"/>
    <n v="46.75"/>
    <s v="Diabetes"/>
    <s v="yes"/>
    <s v="No"/>
    <x v="0"/>
    <n v="2"/>
    <x v="1"/>
    <s v="Obesity"/>
    <s v="Diabetes"/>
    <m/>
    <m/>
    <m/>
    <m/>
    <m/>
  </r>
  <r>
    <s v="Id852"/>
    <s v="Burton"/>
    <n v="32.15"/>
    <s v="Normal"/>
    <s v="yes"/>
    <s v="No"/>
    <x v="1"/>
    <n v="1"/>
    <x v="1"/>
    <s v="Obesity"/>
    <s v="Normal"/>
    <m/>
    <m/>
    <m/>
    <m/>
    <m/>
  </r>
  <r>
    <s v="Id853"/>
    <s v="Ricardi"/>
    <n v="43.4"/>
    <s v="Diabetes"/>
    <s v="yes"/>
    <s v="No"/>
    <x v="0"/>
    <n v="2"/>
    <x v="1"/>
    <s v="Obesity"/>
    <s v="Diabetes"/>
    <m/>
    <m/>
    <m/>
    <m/>
    <m/>
  </r>
  <r>
    <s v="Id854"/>
    <s v="Joslyn"/>
    <n v="31.57"/>
    <s v="Diabetes"/>
    <s v="yes"/>
    <s v="No"/>
    <x v="0"/>
    <n v="2"/>
    <x v="1"/>
    <s v="Obesity"/>
    <s v="Diabetes"/>
    <m/>
    <m/>
    <m/>
    <m/>
    <m/>
  </r>
  <r>
    <s v="Id855"/>
    <s v="Bennie"/>
    <n v="24.32"/>
    <s v="Diabetes"/>
    <s v="No"/>
    <s v="No"/>
    <x v="0"/>
    <s v="No major surgery"/>
    <x v="1"/>
    <s v="Normal Weight"/>
    <s v="Diabetes"/>
    <m/>
    <m/>
    <m/>
    <m/>
    <m/>
  </r>
  <r>
    <s v="Id856"/>
    <s v="Kanyane"/>
    <n v="31.07"/>
    <s v="Normal"/>
    <s v="yes"/>
    <s v="No"/>
    <x v="0"/>
    <n v="2"/>
    <x v="1"/>
    <s v="Obesity"/>
    <s v="Normal"/>
    <m/>
    <m/>
    <m/>
    <m/>
    <m/>
  </r>
  <r>
    <s v="Id857"/>
    <s v="McFadden"/>
    <n v="35.814999999999998"/>
    <s v="Diabetes"/>
    <s v="No"/>
    <s v="No"/>
    <x v="0"/>
    <s v="No major surgery"/>
    <x v="1"/>
    <s v="Obesity"/>
    <s v="Diabetes"/>
    <m/>
    <m/>
    <m/>
    <m/>
    <m/>
  </r>
  <r>
    <s v="Id858"/>
    <s v="Connolly"/>
    <n v="40.81"/>
    <s v="Diabetes"/>
    <s v="yes"/>
    <s v="No"/>
    <x v="0"/>
    <s v="No major surgery"/>
    <x v="1"/>
    <s v="Obesity"/>
    <s v="Diabetes"/>
    <m/>
    <m/>
    <m/>
    <m/>
    <m/>
  </r>
  <r>
    <s v="Id859"/>
    <s v="Merino"/>
    <n v="24.605"/>
    <s v="Diabetes"/>
    <s v="No"/>
    <s v="No"/>
    <x v="0"/>
    <s v="No major surgery"/>
    <x v="1"/>
    <s v="Normal Weight"/>
    <s v="Diabetes"/>
    <m/>
    <m/>
    <m/>
    <m/>
    <m/>
  </r>
  <r>
    <s v="Id860"/>
    <s v="Baird"/>
    <n v="21.47"/>
    <s v="Diabetes"/>
    <s v="No"/>
    <s v="No"/>
    <x v="0"/>
    <s v="No major surgery"/>
    <x v="1"/>
    <s v="Normal Weight"/>
    <s v="Diabetes"/>
    <m/>
    <m/>
    <m/>
    <m/>
    <m/>
  </r>
  <r>
    <s v="Id861"/>
    <s v="Locatelli"/>
    <n v="52.89"/>
    <s v="Normal"/>
    <s v="yes"/>
    <s v="No"/>
    <x v="0"/>
    <n v="1"/>
    <x v="1"/>
    <s v="Obesity"/>
    <s v="Normal"/>
    <m/>
    <m/>
    <m/>
    <m/>
    <m/>
  </r>
  <r>
    <s v="Id862"/>
    <s v="Brake"/>
    <n v="32.965000000000003"/>
    <s v="Prediabetes"/>
    <s v="yes"/>
    <s v="No"/>
    <x v="0"/>
    <n v="1"/>
    <x v="1"/>
    <s v="Obesity"/>
    <s v="Prediabetes"/>
    <m/>
    <m/>
    <m/>
    <m/>
    <m/>
  </r>
  <r>
    <s v="Id863"/>
    <s v="Jacobs"/>
    <n v="36.799999999999997"/>
    <s v="Normal"/>
    <s v="No"/>
    <s v="No"/>
    <x v="1"/>
    <n v="1"/>
    <x v="1"/>
    <s v="Obesity"/>
    <s v="Normal"/>
    <m/>
    <m/>
    <m/>
    <m/>
    <m/>
  </r>
  <r>
    <s v="Id864"/>
    <s v="Vaught"/>
    <n v="34.299999999999997"/>
    <s v="Normal"/>
    <s v="No"/>
    <s v="No"/>
    <x v="0"/>
    <n v="2"/>
    <x v="1"/>
    <s v="Obesity"/>
    <s v="Normal"/>
    <m/>
    <m/>
    <m/>
    <m/>
    <m/>
  </r>
  <r>
    <s v="Id865"/>
    <s v="Monteleone"/>
    <n v="35.244999999999997"/>
    <s v="Normal"/>
    <s v="No"/>
    <s v="No"/>
    <x v="0"/>
    <s v="No major surgery"/>
    <x v="1"/>
    <s v="Obesity"/>
    <s v="Normal"/>
    <m/>
    <m/>
    <m/>
    <m/>
    <m/>
  </r>
  <r>
    <s v="Id866"/>
    <s v="Verdugo"/>
    <n v="26.23"/>
    <s v="Diabetes"/>
    <s v="No"/>
    <s v="No"/>
    <x v="0"/>
    <s v="No major surgery"/>
    <x v="1"/>
    <s v="Overweight"/>
    <s v="Diabetes"/>
    <m/>
    <m/>
    <m/>
    <m/>
    <m/>
  </r>
  <r>
    <s v="Id867"/>
    <s v="Sellers"/>
    <n v="36.1"/>
    <s v="Normal"/>
    <s v="yes"/>
    <s v="No"/>
    <x v="0"/>
    <n v="2"/>
    <x v="1"/>
    <s v="Obesity"/>
    <s v="Normal"/>
    <m/>
    <m/>
    <m/>
    <m/>
    <m/>
  </r>
  <r>
    <s v="Id868"/>
    <s v="Bowman"/>
    <n v="37.1"/>
    <s v="Diabetes"/>
    <s v="yes"/>
    <s v="No"/>
    <x v="1"/>
    <n v="1"/>
    <x v="1"/>
    <s v="Obesity"/>
    <s v="Diabetes"/>
    <m/>
    <m/>
    <m/>
    <m/>
    <m/>
  </r>
  <r>
    <s v="Id869"/>
    <s v="Marley"/>
    <n v="27.5"/>
    <s v="Diabetes"/>
    <s v="yes"/>
    <s v="No"/>
    <x v="1"/>
    <n v="1"/>
    <x v="1"/>
    <s v="Overweight"/>
    <s v="Diabetes"/>
    <m/>
    <m/>
    <m/>
    <m/>
    <m/>
  </r>
  <r>
    <s v="Id870"/>
    <s v="Grey"/>
    <n v="24.7"/>
    <s v="Diabetes"/>
    <s v="yes"/>
    <s v="No"/>
    <x v="1"/>
    <n v="1"/>
    <x v="1"/>
    <s v="Normal Weight"/>
    <s v="Diabetes"/>
    <m/>
    <m/>
    <m/>
    <m/>
    <m/>
  </r>
  <r>
    <s v="Id871"/>
    <s v="O'Rourke"/>
    <n v="26.78"/>
    <s v="Diabetes"/>
    <s v="yes"/>
    <s v="No"/>
    <x v="1"/>
    <n v="1"/>
    <x v="1"/>
    <s v="Overweight"/>
    <s v="Diabetes"/>
    <m/>
    <m/>
    <m/>
    <m/>
    <m/>
  </r>
  <r>
    <s v="Id872"/>
    <s v="Fatehali"/>
    <n v="45.8"/>
    <s v="Normal"/>
    <s v="No"/>
    <s v="No"/>
    <x v="0"/>
    <s v="No major surgery"/>
    <x v="1"/>
    <s v="Obesity"/>
    <s v="Normal"/>
    <m/>
    <m/>
    <m/>
    <m/>
    <m/>
  </r>
  <r>
    <s v="Id873"/>
    <s v="Piza-Taylor"/>
    <n v="29"/>
    <s v="Normal"/>
    <s v="yes"/>
    <s v="No"/>
    <x v="0"/>
    <n v="2"/>
    <x v="1"/>
    <s v="Overweight"/>
    <s v="Normal"/>
    <m/>
    <m/>
    <m/>
    <m/>
    <m/>
  </r>
  <r>
    <s v="Id874"/>
    <s v="Cavanaugh"/>
    <n v="33.534999999999997"/>
    <s v="Diabetes"/>
    <s v="yes"/>
    <s v="No"/>
    <x v="0"/>
    <s v="No major surgery"/>
    <x v="1"/>
    <s v="Obesity"/>
    <s v="Diabetes"/>
    <m/>
    <m/>
    <m/>
    <m/>
    <m/>
  </r>
  <r>
    <s v="Id875"/>
    <s v="Amako"/>
    <n v="32.774999999999999"/>
    <s v="Diabetes"/>
    <s v="yes"/>
    <s v="No"/>
    <x v="0"/>
    <s v="No major surgery"/>
    <x v="1"/>
    <s v="Obesity"/>
    <s v="Diabetes"/>
    <m/>
    <m/>
    <m/>
    <m/>
    <m/>
  </r>
  <r>
    <s v="Id876"/>
    <s v="Musa"/>
    <n v="37.51"/>
    <s v="Normal"/>
    <s v="yes"/>
    <s v="No"/>
    <x v="0"/>
    <n v="2"/>
    <x v="1"/>
    <s v="Obesity"/>
    <s v="Normal"/>
    <m/>
    <m/>
    <m/>
    <m/>
    <m/>
  </r>
  <r>
    <s v="Id877"/>
    <s v="Phillippi"/>
    <n v="39.86"/>
    <s v="Diabetes"/>
    <s v="yes"/>
    <s v="No"/>
    <x v="0"/>
    <n v="1"/>
    <x v="1"/>
    <s v="Obesity"/>
    <s v="Diabetes"/>
    <m/>
    <m/>
    <m/>
    <m/>
    <m/>
  </r>
  <r>
    <s v="Id878"/>
    <s v="Hoskins"/>
    <n v="42.13"/>
    <s v="Normal"/>
    <s v="No"/>
    <s v="No"/>
    <x v="0"/>
    <s v="No major surgery"/>
    <x v="1"/>
    <s v="Obesity"/>
    <s v="Normal"/>
    <m/>
    <m/>
    <m/>
    <m/>
    <m/>
  </r>
  <r>
    <s v="Id879"/>
    <s v="Imbalzano Zegar"/>
    <n v="35.99"/>
    <s v="Diabetes"/>
    <s v="No"/>
    <s v="No"/>
    <x v="0"/>
    <s v="No major surgery"/>
    <x v="1"/>
    <s v="Obesity"/>
    <s v="Diabetes"/>
    <m/>
    <m/>
    <m/>
    <m/>
    <m/>
  </r>
  <r>
    <s v="Id880"/>
    <s v="Triedman"/>
    <n v="35.200000000000003"/>
    <s v="Diabetes"/>
    <s v="yes"/>
    <s v="No"/>
    <x v="1"/>
    <n v="1"/>
    <x v="1"/>
    <s v="Obesity"/>
    <s v="Diabetes"/>
    <m/>
    <m/>
    <m/>
    <m/>
    <m/>
  </r>
  <r>
    <s v="Id881"/>
    <s v="Lovuolo"/>
    <n v="29.91"/>
    <s v="Normal"/>
    <s v="yes"/>
    <s v="No"/>
    <x v="0"/>
    <n v="2"/>
    <x v="1"/>
    <e v="#N/A"/>
    <s v="Normal"/>
    <m/>
    <m/>
    <m/>
    <m/>
    <m/>
  </r>
  <r>
    <s v="Id882"/>
    <s v="Chung"/>
    <n v="36.479999999999997"/>
    <s v="Normal"/>
    <s v="yes"/>
    <s v="No"/>
    <x v="0"/>
    <n v="1"/>
    <x v="1"/>
    <s v="Obesity"/>
    <s v="Normal"/>
    <m/>
    <m/>
    <m/>
    <m/>
    <m/>
  </r>
  <r>
    <s v="Id883"/>
    <s v="Newsom"/>
    <n v="27.5"/>
    <s v="Diabetes"/>
    <s v="yes"/>
    <s v="No"/>
    <x v="1"/>
    <n v="1"/>
    <x v="1"/>
    <s v="Overweight"/>
    <s v="Diabetes"/>
    <m/>
    <m/>
    <m/>
    <m/>
    <m/>
  </r>
  <r>
    <s v="Id884"/>
    <s v="Harrington"/>
    <n v="33.44"/>
    <s v="Prediabetes"/>
    <s v="yes"/>
    <s v="No"/>
    <x v="0"/>
    <n v="1"/>
    <x v="1"/>
    <s v="Obesity"/>
    <s v="Prediabetes"/>
    <m/>
    <m/>
    <m/>
    <m/>
    <m/>
  </r>
  <r>
    <s v="Id885"/>
    <s v="Hoffman"/>
    <n v="28.215"/>
    <s v="Prediabetes"/>
    <s v="yes"/>
    <s v="No"/>
    <x v="0"/>
    <n v="1"/>
    <x v="1"/>
    <s v="Overweight"/>
    <s v="Prediabetes"/>
    <m/>
    <m/>
    <m/>
    <m/>
    <m/>
  </r>
  <r>
    <s v="Id886"/>
    <s v="Van Vugt"/>
    <n v="27.17"/>
    <s v="Prediabetes"/>
    <s v="yes"/>
    <s v="No"/>
    <x v="0"/>
    <n v="1"/>
    <x v="1"/>
    <s v="Overweight"/>
    <s v="Prediabetes"/>
    <m/>
    <m/>
    <m/>
    <m/>
    <m/>
  </r>
  <r>
    <s v="Id887"/>
    <s v="Feehley"/>
    <n v="35.380000000000003"/>
    <s v="Prediabetes"/>
    <s v="No"/>
    <s v="No"/>
    <x v="0"/>
    <s v="No major surgery"/>
    <x v="1"/>
    <s v="Obesity"/>
    <s v="Prediabetes"/>
    <m/>
    <m/>
    <m/>
    <m/>
    <m/>
  </r>
  <r>
    <s v="Id888"/>
    <s v="Ashworth"/>
    <n v="43.48"/>
    <s v="Prediabetes"/>
    <s v="No"/>
    <s v="No"/>
    <x v="0"/>
    <s v="No major surgery"/>
    <x v="1"/>
    <s v="Obesity"/>
    <s v="Prediabetes"/>
    <m/>
    <m/>
    <m/>
    <m/>
    <m/>
  </r>
  <r>
    <s v="Id889"/>
    <s v="Hansen"/>
    <n v="41.73"/>
    <s v="Prediabetes"/>
    <s v="No"/>
    <s v="No"/>
    <x v="0"/>
    <n v="1"/>
    <x v="1"/>
    <s v="Obesity"/>
    <s v="Prediabetes"/>
    <m/>
    <m/>
    <m/>
    <m/>
    <m/>
  </r>
  <r>
    <s v="Id890"/>
    <s v="Czyz"/>
    <n v="28.9"/>
    <s v="Diabetes"/>
    <s v="No"/>
    <s v="No"/>
    <x v="0"/>
    <s v="No major surgery"/>
    <x v="1"/>
    <s v="Overweight"/>
    <s v="Diabetes"/>
    <m/>
    <m/>
    <m/>
    <m/>
    <m/>
  </r>
  <r>
    <s v="Id891"/>
    <s v="Bauder"/>
    <n v="25.74"/>
    <s v="Diabetes"/>
    <s v="No"/>
    <s v="No"/>
    <x v="0"/>
    <s v="No major surgery"/>
    <x v="1"/>
    <s v="Overweight"/>
    <s v="Diabetes"/>
    <m/>
    <m/>
    <m/>
    <m/>
    <m/>
  </r>
  <r>
    <s v="Id892"/>
    <s v="Mendoza"/>
    <n v="36.06"/>
    <s v="Diabetes"/>
    <s v="No"/>
    <s v="No"/>
    <x v="0"/>
    <s v="No major surgery"/>
    <x v="1"/>
    <s v="Obesity"/>
    <s v="Diabetes"/>
    <m/>
    <m/>
    <m/>
    <m/>
    <m/>
  </r>
  <r>
    <s v="Id893"/>
    <s v="Glass"/>
    <n v="43.28"/>
    <s v="Normal"/>
    <s v="No"/>
    <s v="No"/>
    <x v="0"/>
    <s v="No major surgery"/>
    <x v="1"/>
    <s v="Obesity"/>
    <s v="Normal"/>
    <m/>
    <m/>
    <m/>
    <m/>
    <m/>
  </r>
  <r>
    <s v="Id894"/>
    <s v="Butcher"/>
    <n v="28.785"/>
    <s v="Diabetes"/>
    <s v="yes"/>
    <s v="No"/>
    <x v="1"/>
    <n v="1"/>
    <x v="1"/>
    <s v="Overweight"/>
    <s v="Diabetes"/>
    <m/>
    <m/>
    <m/>
    <m/>
    <m/>
  </r>
  <r>
    <s v="Id895"/>
    <s v="Traiser"/>
    <n v="25.46"/>
    <s v="Diabetes"/>
    <s v="yes"/>
    <s v="No"/>
    <x v="1"/>
    <n v="1"/>
    <x v="1"/>
    <s v="Overweight"/>
    <s v="Diabetes"/>
    <m/>
    <m/>
    <m/>
    <m/>
    <m/>
  </r>
  <r>
    <s v="Id896"/>
    <s v="Mudy-Mader"/>
    <n v="30.8"/>
    <s v="Diabetes"/>
    <s v="No"/>
    <s v="No"/>
    <x v="0"/>
    <s v="No major surgery"/>
    <x v="1"/>
    <s v="Obesity"/>
    <s v="Diabetes"/>
    <m/>
    <m/>
    <m/>
    <m/>
    <m/>
  </r>
  <r>
    <s v="Id897"/>
    <s v="Rogers"/>
    <n v="28.88"/>
    <s v="Diabetes"/>
    <s v="No"/>
    <s v="No"/>
    <x v="0"/>
    <s v="No major surgery"/>
    <x v="1"/>
    <s v="Overweight"/>
    <s v="Diabetes"/>
    <m/>
    <m/>
    <m/>
    <m/>
    <m/>
  </r>
  <r>
    <s v="Id898"/>
    <s v="Woo"/>
    <n v="23"/>
    <s v="Diabetes"/>
    <s v="No"/>
    <s v="No"/>
    <x v="0"/>
    <s v="No major surgery"/>
    <x v="1"/>
    <s v="Normal Weight"/>
    <s v="Diabetes"/>
    <m/>
    <m/>
    <m/>
    <m/>
    <m/>
  </r>
  <r>
    <s v="Id899"/>
    <s v="Walsh"/>
    <n v="38.25"/>
    <s v="Prediabetes"/>
    <s v="No"/>
    <s v="No"/>
    <x v="0"/>
    <n v="1"/>
    <x v="1"/>
    <s v="Obesity"/>
    <s v="Prediabetes"/>
    <m/>
    <m/>
    <m/>
    <m/>
    <m/>
  </r>
  <r>
    <s v="Id900"/>
    <s v="White"/>
    <n v="39.25"/>
    <s v="Diabetes"/>
    <s v="yes"/>
    <s v="No"/>
    <x v="0"/>
    <n v="1"/>
    <x v="1"/>
    <s v="Obesity"/>
    <s v="Diabetes"/>
    <m/>
    <m/>
    <m/>
    <m/>
    <m/>
  </r>
  <r>
    <s v="Id901"/>
    <s v="Sheppard"/>
    <n v="26.6"/>
    <s v="Normal"/>
    <s v="yes"/>
    <s v="No"/>
    <x v="0"/>
    <n v="2"/>
    <x v="1"/>
    <s v="Overweight"/>
    <s v="Normal"/>
    <m/>
    <m/>
    <m/>
    <m/>
    <m/>
  </r>
  <r>
    <s v="Id902"/>
    <s v="Doran"/>
    <n v="35.700000000000003"/>
    <s v="Normal"/>
    <s v="No"/>
    <s v="No"/>
    <x v="1"/>
    <n v="1"/>
    <x v="1"/>
    <s v="Obesity"/>
    <s v="Normal"/>
    <m/>
    <m/>
    <m/>
    <m/>
    <m/>
  </r>
  <r>
    <s v="Id903"/>
    <s v="Labrosse"/>
    <n v="20.100000000000001"/>
    <s v="Diabetes"/>
    <s v="No"/>
    <s v="No"/>
    <x v="0"/>
    <s v="No major surgery"/>
    <x v="1"/>
    <s v="Normal Weight"/>
    <s v="Diabetes"/>
    <m/>
    <m/>
    <m/>
    <m/>
    <m/>
  </r>
  <r>
    <s v="Id904"/>
    <s v="Thomas"/>
    <n v="22.23"/>
    <s v="Diabetes"/>
    <s v="No"/>
    <s v="No"/>
    <x v="0"/>
    <s v="No major surgery"/>
    <x v="1"/>
    <s v="Normal Weight"/>
    <s v="Diabetes"/>
    <m/>
    <m/>
    <m/>
    <m/>
    <m/>
  </r>
  <r>
    <s v="Id905"/>
    <s v="Lesniak"/>
    <n v="36.47"/>
    <s v="Prediabetes"/>
    <s v="No"/>
    <s v="No"/>
    <x v="0"/>
    <s v="No major surgery"/>
    <x v="1"/>
    <s v="Obesity"/>
    <s v="Prediabetes"/>
    <m/>
    <m/>
    <m/>
    <m/>
    <m/>
  </r>
  <r>
    <s v="Id906"/>
    <s v="Prowse"/>
    <n v="49.64"/>
    <s v="Normal"/>
    <s v="No"/>
    <s v="No"/>
    <x v="1"/>
    <n v="1"/>
    <x v="1"/>
    <s v="Obesity"/>
    <s v="Normal"/>
    <m/>
    <m/>
    <m/>
    <m/>
    <m/>
  </r>
  <r>
    <s v="Id907"/>
    <s v="Seigel"/>
    <n v="36.799999999999997"/>
    <s v="Prediabetes"/>
    <s v="yes"/>
    <s v="No"/>
    <x v="1"/>
    <n v="1"/>
    <x v="1"/>
    <s v="Obesity"/>
    <s v="Prediabetes"/>
    <m/>
    <m/>
    <m/>
    <m/>
    <m/>
  </r>
  <r>
    <s v="Id908"/>
    <s v="Blas"/>
    <n v="33.880000000000003"/>
    <s v="Diabetes"/>
    <s v="yes"/>
    <s v="No"/>
    <x v="0"/>
    <s v="No major surgery"/>
    <x v="1"/>
    <s v="Obesity"/>
    <s v="Diabetes"/>
    <m/>
    <m/>
    <m/>
    <m/>
    <m/>
  </r>
  <r>
    <s v="Id909"/>
    <s v="Simpson"/>
    <n v="32.01"/>
    <s v="Normal"/>
    <s v="yes"/>
    <s v="No"/>
    <x v="0"/>
    <n v="1"/>
    <x v="1"/>
    <s v="Obesity"/>
    <s v="Normal"/>
    <m/>
    <m/>
    <m/>
    <m/>
    <m/>
  </r>
  <r>
    <s v="Id910"/>
    <s v="Gierman"/>
    <n v="33.630000000000003"/>
    <s v="Diabetes"/>
    <s v="No"/>
    <s v="No"/>
    <x v="0"/>
    <s v="No major surgery"/>
    <x v="1"/>
    <s v="Obesity"/>
    <s v="Diabetes"/>
    <m/>
    <m/>
    <m/>
    <m/>
    <m/>
  </r>
  <r>
    <s v="Id911"/>
    <s v="Jeuland"/>
    <n v="34.865000000000002"/>
    <s v="Normal"/>
    <s v="yes"/>
    <s v="No"/>
    <x v="0"/>
    <n v="1"/>
    <x v="1"/>
    <s v="Obesity"/>
    <s v="Normal"/>
    <m/>
    <m/>
    <m/>
    <m/>
    <m/>
  </r>
  <r>
    <s v="Id912"/>
    <s v="Chorney"/>
    <n v="43.11"/>
    <s v="Normal"/>
    <s v="No"/>
    <s v="No"/>
    <x v="0"/>
    <s v="No major surgery"/>
    <x v="1"/>
    <s v="Obesity"/>
    <s v="Normal"/>
    <m/>
    <m/>
    <m/>
    <m/>
    <m/>
  </r>
  <r>
    <s v="Id913"/>
    <s v="Rook"/>
    <n v="30.305"/>
    <s v="Normal"/>
    <s v="yes"/>
    <s v="No"/>
    <x v="0"/>
    <n v="1"/>
    <x v="1"/>
    <s v="Obesity"/>
    <s v="Normal"/>
    <m/>
    <m/>
    <m/>
    <m/>
    <m/>
  </r>
  <r>
    <s v="Id914"/>
    <s v="Wright"/>
    <n v="25.175000000000001"/>
    <s v="Normal"/>
    <s v="yes"/>
    <s v="No"/>
    <x v="0"/>
    <n v="1"/>
    <x v="1"/>
    <s v="Overweight"/>
    <s v="Normal"/>
    <m/>
    <m/>
    <m/>
    <m/>
    <m/>
  </r>
  <r>
    <s v="Id915"/>
    <s v="Chin"/>
    <n v="26.8"/>
    <s v="Normal"/>
    <s v="yes"/>
    <s v="No"/>
    <x v="0"/>
    <n v="1"/>
    <x v="1"/>
    <s v="Overweight"/>
    <s v="Normal"/>
    <m/>
    <m/>
    <m/>
    <m/>
    <m/>
  </r>
  <r>
    <s v="Id916"/>
    <s v="White"/>
    <n v="21.78"/>
    <s v="Normal"/>
    <s v="No"/>
    <s v="yes"/>
    <x v="0"/>
    <n v="1"/>
    <x v="1"/>
    <s v="Normal Weight"/>
    <s v="Normal"/>
    <m/>
    <m/>
    <m/>
    <m/>
    <m/>
  </r>
  <r>
    <s v="Id917"/>
    <s v="Savage"/>
    <n v="30.14"/>
    <s v="Diabetes"/>
    <s v="yes"/>
    <s v="No"/>
    <x v="0"/>
    <s v="No major surgery"/>
    <x v="1"/>
    <s v="Obesity"/>
    <s v="Diabetes"/>
    <m/>
    <m/>
    <m/>
    <m/>
    <m/>
  </r>
  <r>
    <s v="Id918"/>
    <s v="Hitchings"/>
    <n v="29.7"/>
    <s v="Diabetes"/>
    <s v="yes"/>
    <s v="No"/>
    <x v="0"/>
    <s v="No major surgery"/>
    <x v="1"/>
    <s v="Overweight"/>
    <s v="Diabetes"/>
    <m/>
    <m/>
    <m/>
    <m/>
    <m/>
  </r>
  <r>
    <s v="Id919"/>
    <s v="Truitt"/>
    <n v="32.395000000000003"/>
    <s v="Diabetes"/>
    <s v="yes"/>
    <s v="No"/>
    <x v="0"/>
    <s v="No major surgery"/>
    <x v="1"/>
    <s v="Obesity"/>
    <s v="Diabetes"/>
    <m/>
    <m/>
    <m/>
    <m/>
    <m/>
  </r>
  <r>
    <s v="Id920"/>
    <s v="Chang"/>
    <n v="36.64"/>
    <s v="Diabetes"/>
    <s v="No"/>
    <s v="No"/>
    <x v="0"/>
    <s v="No major surgery"/>
    <x v="1"/>
    <s v="Obesity"/>
    <s v="Diabetes"/>
    <m/>
    <m/>
    <m/>
    <m/>
    <m/>
  </r>
  <r>
    <s v="Id921"/>
    <s v="Frey"/>
    <n v="39.049999999999997"/>
    <s v="Normal"/>
    <s v="yes"/>
    <s v="No"/>
    <x v="0"/>
    <n v="1"/>
    <x v="1"/>
    <s v="Obesity"/>
    <s v="Normal"/>
    <m/>
    <m/>
    <m/>
    <m/>
    <m/>
  </r>
  <r>
    <s v="Id922"/>
    <s v="Krishna"/>
    <n v="33.1"/>
    <s v="Normal"/>
    <s v="yes"/>
    <s v="No"/>
    <x v="0"/>
    <n v="1"/>
    <x v="1"/>
    <s v="Obesity"/>
    <s v="Normal"/>
    <m/>
    <m/>
    <m/>
    <m/>
    <m/>
  </r>
  <r>
    <s v="Id923"/>
    <s v="Maher"/>
    <n v="31.824999999999999"/>
    <s v="Diabetes"/>
    <s v="No"/>
    <s v="No"/>
    <x v="0"/>
    <s v="No major surgery"/>
    <x v="1"/>
    <s v="Obesity"/>
    <s v="Diabetes"/>
    <m/>
    <m/>
    <m/>
    <m/>
    <m/>
  </r>
  <r>
    <s v="Id924"/>
    <s v="Boivin"/>
    <n v="29"/>
    <s v="Normal"/>
    <s v="yes"/>
    <s v="No"/>
    <x v="0"/>
    <n v="1"/>
    <x v="1"/>
    <s v="Overweight"/>
    <s v="Normal"/>
    <m/>
    <m/>
    <m/>
    <m/>
    <m/>
  </r>
  <r>
    <s v="Id925"/>
    <s v="McAlister"/>
    <n v="30.495000000000001"/>
    <s v="Diabetes"/>
    <s v="No"/>
    <s v="No"/>
    <x v="0"/>
    <s v="No major surgery"/>
    <x v="1"/>
    <s v="Obesity"/>
    <s v="Diabetes"/>
    <m/>
    <m/>
    <m/>
    <m/>
    <m/>
  </r>
  <r>
    <s v="Id926"/>
    <s v="Akhmedova"/>
    <n v="25.2"/>
    <s v="Prediabetes"/>
    <s v="yes"/>
    <s v="No"/>
    <x v="0"/>
    <n v="1"/>
    <x v="1"/>
    <s v="Overweight"/>
    <s v="Prediabetes"/>
    <m/>
    <m/>
    <m/>
    <m/>
    <m/>
  </r>
  <r>
    <s v="Id927"/>
    <s v="Tucker"/>
    <n v="22.77"/>
    <s v="Normal"/>
    <s v="yes"/>
    <s v="No"/>
    <x v="0"/>
    <n v="1"/>
    <x v="1"/>
    <s v="Normal Weight"/>
    <s v="Normal"/>
    <m/>
    <m/>
    <m/>
    <m/>
    <m/>
  </r>
  <r>
    <s v="Id928"/>
    <s v="Gramelspacher"/>
    <n v="23.18"/>
    <s v="Diabetes"/>
    <s v="No"/>
    <s v="No"/>
    <x v="0"/>
    <s v="No major surgery"/>
    <x v="1"/>
    <s v="Normal Weight"/>
    <s v="Diabetes"/>
    <m/>
    <m/>
    <m/>
    <m/>
    <m/>
  </r>
  <r>
    <s v="Id929"/>
    <s v="Goldsmith"/>
    <n v="35.409999999999997"/>
    <s v="Normal"/>
    <s v="No"/>
    <s v="No"/>
    <x v="0"/>
    <s v="No major surgery"/>
    <x v="1"/>
    <s v="Obesity"/>
    <s v="Normal"/>
    <m/>
    <m/>
    <m/>
    <m/>
    <m/>
  </r>
  <r>
    <s v="Id930"/>
    <s v="Tranter"/>
    <n v="32.11"/>
    <s v="Normal"/>
    <s v="yes"/>
    <s v="No"/>
    <x v="0"/>
    <n v="2"/>
    <x v="1"/>
    <s v="Obesity"/>
    <s v="Normal"/>
    <m/>
    <m/>
    <m/>
    <m/>
    <m/>
  </r>
  <r>
    <s v="Id931"/>
    <s v="Tu"/>
    <n v="34.479999999999997"/>
    <s v="Prediabetes"/>
    <s v="No"/>
    <s v="No"/>
    <x v="1"/>
    <n v="1"/>
    <x v="1"/>
    <s v="Obesity"/>
    <s v="Prediabetes"/>
    <m/>
    <m/>
    <m/>
    <m/>
    <m/>
  </r>
  <r>
    <s v="Id932"/>
    <s v="Kaczka"/>
    <n v="34.39"/>
    <s v="Prediabetes"/>
    <s v="yes"/>
    <s v="No"/>
    <x v="0"/>
    <n v="1"/>
    <x v="1"/>
    <s v="Obesity"/>
    <s v="Prediabetes"/>
    <m/>
    <m/>
    <m/>
    <m/>
    <m/>
  </r>
  <r>
    <s v="Id933"/>
    <s v="Hunter"/>
    <n v="26.4"/>
    <s v="Diabetes"/>
    <s v="yes"/>
    <s v="No"/>
    <x v="1"/>
    <n v="1"/>
    <x v="1"/>
    <s v="Overweight"/>
    <s v="Diabetes"/>
    <m/>
    <m/>
    <m/>
    <m/>
    <m/>
  </r>
  <r>
    <s v="Id934"/>
    <s v="Moran"/>
    <n v="28.1"/>
    <s v="Prediabetes"/>
    <s v="yes"/>
    <s v="No"/>
    <x v="1"/>
    <n v="1"/>
    <x v="1"/>
    <s v="Overweight"/>
    <s v="Prediabetes"/>
    <m/>
    <m/>
    <m/>
    <m/>
    <m/>
  </r>
  <r>
    <s v="Id935"/>
    <s v="Ashby"/>
    <n v="27"/>
    <s v="Normal"/>
    <s v="yes"/>
    <s v="No"/>
    <x v="0"/>
    <n v="1"/>
    <x v="1"/>
    <s v="Overweight"/>
    <s v="Normal"/>
    <m/>
    <m/>
    <m/>
    <m/>
    <m/>
  </r>
  <r>
    <s v="Id936"/>
    <s v="Ausen"/>
    <n v="28.594999999999999"/>
    <s v="Normal"/>
    <s v="yes"/>
    <s v="No"/>
    <x v="0"/>
    <n v="1"/>
    <x v="1"/>
    <s v="Overweight"/>
    <s v="Normal"/>
    <m/>
    <m/>
    <m/>
    <m/>
    <m/>
  </r>
  <r>
    <s v="Id937"/>
    <s v="Savage"/>
    <n v="36.799999999999997"/>
    <s v="Prediabetes"/>
    <s v="No"/>
    <s v="No"/>
    <x v="0"/>
    <n v="1"/>
    <x v="1"/>
    <s v="Obesity"/>
    <s v="Prediabetes"/>
    <m/>
    <m/>
    <m/>
    <m/>
    <m/>
  </r>
  <r>
    <s v="Id938"/>
    <s v="O'Leary"/>
    <n v="23.75"/>
    <s v="Normal"/>
    <s v="yes"/>
    <s v="No"/>
    <x v="1"/>
    <n v="1"/>
    <x v="1"/>
    <s v="Normal Weight"/>
    <s v="Normal"/>
    <m/>
    <m/>
    <m/>
    <m/>
    <m/>
  </r>
  <r>
    <s v="Id939"/>
    <s v="Scoville"/>
    <n v="35.619999999999997"/>
    <s v="Normal"/>
    <s v="No"/>
    <s v="No"/>
    <x v="0"/>
    <s v="No major surgery"/>
    <x v="1"/>
    <s v="Obesity"/>
    <s v="Normal"/>
    <m/>
    <m/>
    <m/>
    <m/>
    <m/>
  </r>
  <r>
    <s v="Id940"/>
    <s v="Kaus"/>
    <n v="30.69"/>
    <s v="Diabetes"/>
    <s v="yes"/>
    <s v="No"/>
    <x v="0"/>
    <n v="2"/>
    <x v="1"/>
    <s v="Obesity"/>
    <s v="Diabetes"/>
    <m/>
    <m/>
    <m/>
    <m/>
    <m/>
  </r>
  <r>
    <s v="Id941"/>
    <s v="Rainey"/>
    <n v="35.799999999999997"/>
    <s v="Normal"/>
    <s v="yes"/>
    <s v="No"/>
    <x v="0"/>
    <n v="2"/>
    <x v="1"/>
    <s v="Obesity"/>
    <s v="Normal"/>
    <m/>
    <m/>
    <m/>
    <m/>
    <m/>
  </r>
  <r>
    <s v="Id942"/>
    <s v="Rasch"/>
    <n v="28.785"/>
    <s v="Normal"/>
    <s v="yes"/>
    <s v="No"/>
    <x v="0"/>
    <n v="2"/>
    <x v="1"/>
    <s v="Overweight"/>
    <s v="Normal"/>
    <m/>
    <m/>
    <m/>
    <m/>
    <m/>
  </r>
  <r>
    <s v="Id943"/>
    <s v="Plunkett"/>
    <n v="28.594999999999999"/>
    <s v="Normal"/>
    <s v="yes"/>
    <s v="No"/>
    <x v="0"/>
    <n v="2"/>
    <x v="1"/>
    <s v="Overweight"/>
    <s v="Normal"/>
    <m/>
    <m/>
    <m/>
    <m/>
    <m/>
  </r>
  <r>
    <s v="Id944"/>
    <s v="Murphy"/>
    <n v="48.75"/>
    <s v="Normal"/>
    <s v="No"/>
    <s v="No"/>
    <x v="0"/>
    <s v="No major surgery"/>
    <x v="1"/>
    <s v="Obesity"/>
    <s v="Normal"/>
    <m/>
    <m/>
    <m/>
    <m/>
    <m/>
  </r>
  <r>
    <s v="Id945"/>
    <s v="Gusmer"/>
    <n v="28.31"/>
    <s v="Normal"/>
    <s v="yes"/>
    <s v="No"/>
    <x v="0"/>
    <n v="2"/>
    <x v="1"/>
    <s v="Overweight"/>
    <s v="Normal"/>
    <m/>
    <m/>
    <m/>
    <m/>
    <m/>
  </r>
  <r>
    <s v="Id946"/>
    <s v="Loftus"/>
    <n v="38.39"/>
    <s v="Diabetes"/>
    <s v="yes"/>
    <s v="No"/>
    <x v="0"/>
    <n v="1"/>
    <x v="1"/>
    <s v="Obesity"/>
    <s v="Diabetes"/>
    <m/>
    <m/>
    <m/>
    <m/>
    <m/>
  </r>
  <r>
    <s v="Id947"/>
    <s v="Scott"/>
    <n v="25.87"/>
    <s v="Normal"/>
    <s v="yes"/>
    <s v="No"/>
    <x v="0"/>
    <n v="1"/>
    <x v="1"/>
    <s v="Overweight"/>
    <s v="Normal"/>
    <m/>
    <m/>
    <m/>
    <m/>
    <m/>
  </r>
  <r>
    <s v="Id948"/>
    <s v="Alvarez"/>
    <n v="43.7"/>
    <s v="Diabetes"/>
    <s v="No"/>
    <s v="No"/>
    <x v="0"/>
    <s v="No major surgery"/>
    <x v="1"/>
    <s v="Obesity"/>
    <s v="Diabetes"/>
    <m/>
    <m/>
    <m/>
    <m/>
    <m/>
  </r>
  <r>
    <s v="Id949"/>
    <s v="Petersson"/>
    <n v="40.945"/>
    <s v="Diabetes"/>
    <s v="No"/>
    <s v="No"/>
    <x v="0"/>
    <s v="No major surgery"/>
    <x v="1"/>
    <s v="Obesity"/>
    <s v="Diabetes"/>
    <m/>
    <m/>
    <m/>
    <m/>
    <m/>
  </r>
  <r>
    <s v="Id950"/>
    <s v="Liaw"/>
    <n v="27.94"/>
    <s v="Diabetes"/>
    <s v="No"/>
    <s v="No"/>
    <x v="0"/>
    <s v="No major surgery"/>
    <x v="1"/>
    <s v="Overweight"/>
    <s v="Diabetes"/>
    <m/>
    <m/>
    <m/>
    <m/>
    <m/>
  </r>
  <r>
    <s v="Id951"/>
    <s v="Tripaldi"/>
    <n v="31.9"/>
    <s v="Diabetes"/>
    <s v="No"/>
    <s v="No"/>
    <x v="0"/>
    <n v="2"/>
    <x v="1"/>
    <s v="Obesity"/>
    <s v="Diabetes"/>
    <m/>
    <m/>
    <m/>
    <m/>
    <m/>
  </r>
  <r>
    <s v="Id952"/>
    <s v="Kelley"/>
    <n v="31.64"/>
    <s v="Diabetes"/>
    <s v="No"/>
    <s v="No"/>
    <x v="0"/>
    <s v="No major surgery"/>
    <x v="1"/>
    <s v="Obesity"/>
    <s v="Diabetes"/>
    <m/>
    <m/>
    <m/>
    <m/>
    <m/>
  </r>
  <r>
    <s v="Id953"/>
    <s v="Endara"/>
    <n v="46.7"/>
    <s v="Diabetes"/>
    <s v="No"/>
    <s v="No"/>
    <x v="0"/>
    <s v="No major surgery"/>
    <x v="1"/>
    <s v="Obesity"/>
    <s v="Diabetes"/>
    <m/>
    <m/>
    <m/>
    <m/>
    <m/>
  </r>
  <r>
    <s v="Id954"/>
    <s v="Valle"/>
    <n v="18.335000000000001"/>
    <s v="Diabetes"/>
    <s v="No"/>
    <s v="No"/>
    <x v="0"/>
    <s v="No major surgery"/>
    <x v="1"/>
    <s v="Underweight"/>
    <s v="Diabetes"/>
    <m/>
    <m/>
    <m/>
    <m/>
    <m/>
  </r>
  <r>
    <s v="Id955"/>
    <s v="Germain"/>
    <n v="31.24"/>
    <s v="Diabetes"/>
    <s v="yes"/>
    <s v="No"/>
    <x v="0"/>
    <n v="2"/>
    <x v="1"/>
    <s v="Obesity"/>
    <s v="Diabetes"/>
    <m/>
    <m/>
    <m/>
    <m/>
    <m/>
  </r>
  <r>
    <s v="Id956"/>
    <s v="Finecey"/>
    <n v="39.22"/>
    <s v="Normal"/>
    <s v="yes"/>
    <s v="No"/>
    <x v="0"/>
    <n v="1"/>
    <x v="1"/>
    <s v="Obesity"/>
    <s v="Normal"/>
    <m/>
    <m/>
    <m/>
    <m/>
    <m/>
  </r>
  <r>
    <s v="Id957"/>
    <s v="Mendoza"/>
    <n v="24.414999999999999"/>
    <s v="Diabetes"/>
    <s v="No"/>
    <s v="No"/>
    <x v="0"/>
    <s v="No major surgery"/>
    <x v="1"/>
    <s v="Normal Weight"/>
    <s v="Diabetes"/>
    <m/>
    <m/>
    <m/>
    <m/>
    <m/>
  </r>
  <r>
    <s v="Id958"/>
    <s v="Roe"/>
    <n v="32.299999999999997"/>
    <s v="Diabetes"/>
    <s v="No"/>
    <s v="No"/>
    <x v="0"/>
    <s v="No major surgery"/>
    <x v="1"/>
    <s v="Obesity"/>
    <s v="Diabetes"/>
    <m/>
    <m/>
    <m/>
    <m/>
    <m/>
  </r>
  <r>
    <s v="Id959"/>
    <s v="Webb"/>
    <n v="39.94"/>
    <s v="Normal"/>
    <s v="No"/>
    <s v="No"/>
    <x v="0"/>
    <s v="No major surgery"/>
    <x v="1"/>
    <s v="Obesity"/>
    <s v="Normal"/>
    <m/>
    <m/>
    <m/>
    <m/>
    <m/>
  </r>
  <r>
    <s v="Id960"/>
    <s v="Stocker"/>
    <n v="30"/>
    <s v="Normal"/>
    <s v="yes"/>
    <s v="No"/>
    <x v="1"/>
    <n v="1"/>
    <x v="1"/>
    <s v="Obesity"/>
    <s v="Normal"/>
    <m/>
    <m/>
    <m/>
    <m/>
    <m/>
  </r>
  <r>
    <s v="Id961"/>
    <s v="Jacobson"/>
    <n v="35.340000000000003"/>
    <s v="Normal"/>
    <s v="yes"/>
    <s v="No"/>
    <x v="1"/>
    <n v="1"/>
    <x v="1"/>
    <s v="Obesity"/>
    <s v="Normal"/>
    <m/>
    <m/>
    <m/>
    <m/>
    <m/>
  </r>
  <r>
    <s v="Id962"/>
    <s v="Shaw"/>
    <n v="32.204999999999998"/>
    <s v="Diabetes"/>
    <s v="yes"/>
    <s v="No"/>
    <x v="0"/>
    <n v="2"/>
    <x v="1"/>
    <s v="Obesity"/>
    <s v="Diabetes"/>
    <m/>
    <m/>
    <m/>
    <m/>
    <m/>
  </r>
  <r>
    <s v="Id963"/>
    <s v="Goodwin"/>
    <n v="33.880000000000003"/>
    <s v="Normal"/>
    <s v="No"/>
    <s v="yes"/>
    <x v="0"/>
    <n v="1"/>
    <x v="1"/>
    <s v="Obesity"/>
    <s v="Normal"/>
    <m/>
    <m/>
    <m/>
    <m/>
    <m/>
  </r>
  <r>
    <s v="Id964"/>
    <s v="Brock"/>
    <n v="26.63"/>
    <s v="Normal"/>
    <s v="yes"/>
    <s v="No"/>
    <x v="0"/>
    <n v="2"/>
    <x v="1"/>
    <s v="Overweight"/>
    <s v="Normal"/>
    <m/>
    <m/>
    <m/>
    <m/>
    <m/>
  </r>
  <r>
    <s v="Id965"/>
    <s v="Papp"/>
    <n v="28.7"/>
    <s v="Diabetes"/>
    <s v="No"/>
    <s v="No"/>
    <x v="0"/>
    <s v="No major surgery"/>
    <x v="1"/>
    <s v="Overweight"/>
    <s v="Diabetes"/>
    <m/>
    <m/>
    <m/>
    <m/>
    <m/>
  </r>
  <r>
    <s v="Id966"/>
    <s v="Siragusa"/>
    <n v="25.65"/>
    <s v="Normal"/>
    <s v="yes"/>
    <s v="No"/>
    <x v="0"/>
    <n v="2"/>
    <x v="1"/>
    <s v="Overweight"/>
    <s v="Normal"/>
    <m/>
    <m/>
    <m/>
    <m/>
    <m/>
  </r>
  <r>
    <s v="Id967"/>
    <s v="Pizarro"/>
    <n v="36.384999999999998"/>
    <s v="Diabetes"/>
    <s v="No"/>
    <s v="No"/>
    <x v="0"/>
    <s v="No major surgery"/>
    <x v="1"/>
    <s v="Obesity"/>
    <s v="Diabetes"/>
    <m/>
    <m/>
    <m/>
    <m/>
    <m/>
  </r>
  <r>
    <s v="Id968"/>
    <s v="Strange"/>
    <n v="34.69"/>
    <s v="Normal"/>
    <s v="No"/>
    <s v="No"/>
    <x v="0"/>
    <s v="No major surgery"/>
    <x v="1"/>
    <s v="Obesity"/>
    <s v="Normal"/>
    <m/>
    <m/>
    <m/>
    <m/>
    <m/>
  </r>
  <r>
    <s v="Id969"/>
    <s v="Eidinger"/>
    <n v="37.68"/>
    <s v="Normal"/>
    <s v="yes"/>
    <s v="No"/>
    <x v="0"/>
    <s v="No major surgery"/>
    <x v="1"/>
    <s v="Obesity"/>
    <s v="Normal"/>
    <m/>
    <m/>
    <m/>
    <m/>
    <m/>
  </r>
  <r>
    <s v="Id970"/>
    <s v="Ginsburg"/>
    <n v="35.49"/>
    <s v="Normal"/>
    <s v="yes"/>
    <s v="No"/>
    <x v="1"/>
    <n v="1"/>
    <x v="1"/>
    <s v="Obesity"/>
    <s v="Normal"/>
    <m/>
    <m/>
    <m/>
    <m/>
    <m/>
  </r>
  <r>
    <s v="Id971"/>
    <s v="Truex"/>
    <n v="44.7"/>
    <s v="Diabetes"/>
    <s v="yes"/>
    <s v="No"/>
    <x v="0"/>
    <n v="2"/>
    <x v="1"/>
    <s v="Obesity"/>
    <s v="Diabetes"/>
    <m/>
    <m/>
    <m/>
    <m/>
    <m/>
  </r>
  <r>
    <s v="Id972"/>
    <s v="Higgins"/>
    <n v="38.380000000000003"/>
    <s v="Diabetes"/>
    <s v="yes"/>
    <s v="No"/>
    <x v="0"/>
    <n v="2"/>
    <x v="1"/>
    <s v="Obesity"/>
    <s v="Diabetes"/>
    <m/>
    <m/>
    <m/>
    <m/>
    <m/>
  </r>
  <r>
    <s v="Id973"/>
    <s v="McCurdy"/>
    <n v="35.244999999999997"/>
    <s v="Diabetes"/>
    <s v="yes"/>
    <s v="No"/>
    <x v="0"/>
    <s v="No major surgery"/>
    <x v="1"/>
    <s v="Obesity"/>
    <s v="Diabetes"/>
    <m/>
    <m/>
    <m/>
    <m/>
    <m/>
  </r>
  <r>
    <s v="Id974"/>
    <s v="Hughes"/>
    <n v="49.84"/>
    <s v="Normal"/>
    <s v="yes"/>
    <s v="No"/>
    <x v="1"/>
    <n v="1"/>
    <x v="1"/>
    <s v="Obesity"/>
    <s v="Normal"/>
    <m/>
    <m/>
    <m/>
    <m/>
    <m/>
  </r>
  <r>
    <s v="Id975"/>
    <s v="Varner"/>
    <n v="49.06"/>
    <s v="Normal"/>
    <s v="yes"/>
    <s v="No"/>
    <x v="0"/>
    <n v="1"/>
    <x v="1"/>
    <s v="Obesity"/>
    <s v="Normal"/>
    <m/>
    <m/>
    <m/>
    <m/>
    <m/>
  </r>
  <r>
    <s v="Id976"/>
    <s v="Dahmen"/>
    <n v="30.88"/>
    <s v="Prediabetes"/>
    <s v="No"/>
    <s v="No"/>
    <x v="0"/>
    <n v="2"/>
    <x v="1"/>
    <s v="Obesity"/>
    <s v="Prediabetes"/>
    <m/>
    <m/>
    <m/>
    <m/>
    <m/>
  </r>
  <r>
    <s v="Id977"/>
    <s v="Young"/>
    <n v="33.35"/>
    <s v="Prediabetes"/>
    <s v="No"/>
    <s v="No"/>
    <x v="1"/>
    <n v="1"/>
    <x v="1"/>
    <s v="Obesity"/>
    <s v="Prediabetes"/>
    <m/>
    <m/>
    <m/>
    <m/>
    <m/>
  </r>
  <r>
    <s v="Id978"/>
    <s v="Fraser"/>
    <n v="38"/>
    <s v="Prediabetes"/>
    <s v="yes"/>
    <s v="No"/>
    <x v="0"/>
    <n v="1"/>
    <x v="1"/>
    <s v="Obesity"/>
    <s v="Prediabetes"/>
    <m/>
    <m/>
    <m/>
    <m/>
    <m/>
  </r>
  <r>
    <s v="Id979"/>
    <s v="Deeg"/>
    <n v="36.08"/>
    <s v="Prediabetes"/>
    <s v="yes"/>
    <s v="No"/>
    <x v="0"/>
    <n v="1"/>
    <x v="1"/>
    <s v="Obesity"/>
    <s v="Prediabetes"/>
    <m/>
    <m/>
    <m/>
    <m/>
    <m/>
  </r>
  <r>
    <s v="Id980"/>
    <s v="Robertson"/>
    <n v="35.700000000000003"/>
    <s v="Normal"/>
    <s v="yes"/>
    <s v="No"/>
    <x v="0"/>
    <n v="1"/>
    <x v="1"/>
    <s v="Obesity"/>
    <s v="Normal"/>
    <m/>
    <m/>
    <m/>
    <m/>
    <m/>
  </r>
  <r>
    <s v="Id981"/>
    <s v="Peck"/>
    <n v="34.01"/>
    <s v="Diabetes"/>
    <s v="No"/>
    <s v="No"/>
    <x v="0"/>
    <s v="No major surgery"/>
    <x v="1"/>
    <s v="Obesity"/>
    <s v="Diabetes"/>
    <m/>
    <m/>
    <m/>
    <m/>
    <m/>
  </r>
  <r>
    <s v="Id982"/>
    <s v="Burger"/>
    <n v="31.54"/>
    <s v="Diabetes"/>
    <s v="No"/>
    <s v="No"/>
    <x v="0"/>
    <s v="No major surgery"/>
    <x v="1"/>
    <s v="Obesity"/>
    <s v="Diabetes"/>
    <m/>
    <m/>
    <m/>
    <m/>
    <m/>
  </r>
  <r>
    <s v="Id983"/>
    <s v="Blain"/>
    <n v="23.3"/>
    <s v="Normal"/>
    <s v="yes"/>
    <s v="No"/>
    <x v="0"/>
    <n v="1"/>
    <x v="1"/>
    <s v="Normal Weight"/>
    <s v="Normal"/>
    <m/>
    <m/>
    <m/>
    <m/>
    <m/>
  </r>
  <r>
    <s v="Id984"/>
    <s v="Winters"/>
    <n v="27.75"/>
    <s v="Diabetes"/>
    <s v="No"/>
    <s v="No"/>
    <x v="0"/>
    <s v="No major surgery"/>
    <x v="1"/>
    <s v="Overweight"/>
    <s v="Diabetes"/>
    <m/>
    <m/>
    <m/>
    <m/>
    <m/>
  </r>
  <r>
    <s v="Id985"/>
    <s v="McCue"/>
    <n v="42.46"/>
    <s v="Normal"/>
    <s v="No"/>
    <s v="No"/>
    <x v="0"/>
    <s v="No major surgery"/>
    <x v="1"/>
    <s v="Obesity"/>
    <s v="Normal"/>
    <m/>
    <m/>
    <m/>
    <m/>
    <m/>
  </r>
  <r>
    <s v="Id986"/>
    <s v="Webster"/>
    <n v="54.47"/>
    <s v="Diabetes"/>
    <s v="No"/>
    <s v="No"/>
    <x v="0"/>
    <s v="No major surgery"/>
    <x v="1"/>
    <s v="Obesity"/>
    <s v="Diabetes"/>
    <m/>
    <m/>
    <m/>
    <m/>
    <m/>
  </r>
  <r>
    <s v="Id987"/>
    <s v="Anderson"/>
    <n v="24.93"/>
    <s v="Diabetes"/>
    <s v="yes"/>
    <s v="No"/>
    <x v="1"/>
    <n v="1"/>
    <x v="1"/>
    <s v="Overweight"/>
    <s v="Diabetes"/>
    <m/>
    <m/>
    <m/>
    <m/>
    <m/>
  </r>
  <r>
    <s v="Id988"/>
    <s v="Chiappone"/>
    <n v="48.12"/>
    <s v="Normal"/>
    <s v="yes"/>
    <s v="No"/>
    <x v="0"/>
    <n v="1"/>
    <x v="1"/>
    <s v="Obesity"/>
    <s v="Normal"/>
    <m/>
    <m/>
    <m/>
    <m/>
    <m/>
  </r>
  <r>
    <s v="Id989"/>
    <s v="Opie"/>
    <n v="24.91"/>
    <s v="Diabetes"/>
    <s v="yes"/>
    <s v="No"/>
    <x v="1"/>
    <n v="1"/>
    <x v="1"/>
    <s v="Overweight"/>
    <s v="Diabetes"/>
    <m/>
    <m/>
    <m/>
    <m/>
    <m/>
  </r>
  <r>
    <s v="Id990"/>
    <s v="Donnelly"/>
    <n v="27.645"/>
    <s v="Diabetes"/>
    <s v="No"/>
    <s v="No"/>
    <x v="0"/>
    <s v="No major surgery"/>
    <x v="1"/>
    <s v="Overweight"/>
    <s v="Diabetes"/>
    <m/>
    <m/>
    <m/>
    <m/>
    <m/>
  </r>
  <r>
    <s v="Id991"/>
    <s v="Rall"/>
    <n v="33.700000000000003"/>
    <s v="Normal"/>
    <s v="No"/>
    <s v="No"/>
    <x v="0"/>
    <n v="2"/>
    <x v="1"/>
    <s v="Obesity"/>
    <s v="Normal"/>
    <m/>
    <m/>
    <m/>
    <m/>
    <m/>
  </r>
  <r>
    <s v="Id992"/>
    <s v="Mitchell"/>
    <n v="38.93"/>
    <s v="Normal"/>
    <s v="yes"/>
    <s v="No"/>
    <x v="0"/>
    <n v="1"/>
    <x v="1"/>
    <s v="Obesity"/>
    <s v="Normal"/>
    <m/>
    <m/>
    <m/>
    <m/>
    <m/>
  </r>
  <r>
    <s v="Id993"/>
    <s v="Chen"/>
    <n v="32.774999999999999"/>
    <s v="Diabetes"/>
    <s v="yes"/>
    <s v="No"/>
    <x v="0"/>
    <n v="2"/>
    <x v="1"/>
    <s v="Obesity"/>
    <s v="Diabetes"/>
    <m/>
    <m/>
    <m/>
    <m/>
    <m/>
  </r>
  <r>
    <s v="Id994"/>
    <s v="Tufaro"/>
    <n v="29.83"/>
    <s v="Diabetes"/>
    <s v="yes"/>
    <s v="No"/>
    <x v="0"/>
    <s v="No major surgery"/>
    <x v="1"/>
    <s v="Overweight"/>
    <s v="Diabetes"/>
    <m/>
    <m/>
    <m/>
    <m/>
    <m/>
  </r>
  <r>
    <s v="Id995"/>
    <s v="Peters"/>
    <n v="28.31"/>
    <s v="Normal"/>
    <s v="No"/>
    <s v="yes"/>
    <x v="0"/>
    <n v="1"/>
    <x v="1"/>
    <s v="Overweight"/>
    <s v="Normal"/>
    <m/>
    <m/>
    <m/>
    <m/>
    <m/>
  </r>
  <r>
    <s v="Id996"/>
    <s v="Susedik"/>
    <n v="29.79"/>
    <s v="Diabetes"/>
    <s v="No"/>
    <s v="No"/>
    <x v="0"/>
    <s v="No major surgery"/>
    <x v="1"/>
    <s v="Overweight"/>
    <s v="Diabetes"/>
    <m/>
    <m/>
    <m/>
    <m/>
    <m/>
  </r>
  <r>
    <s v="Id997"/>
    <s v="Garcia"/>
    <n v="36.6"/>
    <s v="Normal"/>
    <s v="yes"/>
    <s v="No"/>
    <x v="1"/>
    <n v="1"/>
    <x v="1"/>
    <s v="Obesity"/>
    <s v="Normal"/>
    <m/>
    <m/>
    <m/>
    <m/>
    <m/>
  </r>
  <r>
    <s v="Id998"/>
    <s v="Deady"/>
    <n v="35.93"/>
    <s v="Diabetes"/>
    <s v="yes"/>
    <s v="No"/>
    <x v="0"/>
    <s v="No major surgery"/>
    <x v="1"/>
    <s v="Obesity"/>
    <s v="Diabetes"/>
    <m/>
    <m/>
    <m/>
    <m/>
    <m/>
  </r>
  <r>
    <s v="Id999"/>
    <s v="Campbell"/>
    <n v="28.6"/>
    <s v="Normal"/>
    <s v="yes"/>
    <s v="No"/>
    <x v="1"/>
    <n v="1"/>
    <x v="1"/>
    <s v="Overweight"/>
    <s v="Normal"/>
    <m/>
    <m/>
    <m/>
    <m/>
    <m/>
  </r>
  <r>
    <s v="Id1000"/>
    <s v="Schaefer"/>
    <n v="39.17"/>
    <s v="Normal"/>
    <s v="No"/>
    <s v="No"/>
    <x v="0"/>
    <s v="No major surgery"/>
    <x v="1"/>
    <s v="Obesity"/>
    <s v="Normal"/>
    <m/>
    <m/>
    <m/>
    <m/>
    <m/>
  </r>
  <r>
    <s v="Id1001"/>
    <s v="D'Alessandro"/>
    <n v="26.41"/>
    <s v="Prediabetes"/>
    <s v="yes"/>
    <s v="No"/>
    <x v="1"/>
    <n v="1"/>
    <x v="1"/>
    <s v="Overweight"/>
    <s v="Prediabetes"/>
    <m/>
    <m/>
    <m/>
    <m/>
    <m/>
  </r>
  <r>
    <s v="Id1002"/>
    <s v="Wyss"/>
    <n v="30.63"/>
    <s v="Prediabetes"/>
    <s v="yes"/>
    <s v="No"/>
    <x v="0"/>
    <s v="No major surgery"/>
    <x v="1"/>
    <s v="Obesity"/>
    <s v="Prediabetes"/>
    <m/>
    <m/>
    <m/>
    <m/>
    <m/>
  </r>
  <r>
    <s v="Id1003"/>
    <s v="Rose"/>
    <n v="31.73"/>
    <s v="Diabetes"/>
    <s v="yes"/>
    <s v="No"/>
    <x v="0"/>
    <n v="2"/>
    <x v="1"/>
    <s v="Obesity"/>
    <s v="Diabetes"/>
    <m/>
    <m/>
    <m/>
    <m/>
    <m/>
  </r>
  <r>
    <s v="Id1004"/>
    <s v="Hopper"/>
    <n v="30.7"/>
    <s v="Normal"/>
    <s v="No"/>
    <s v="No"/>
    <x v="0"/>
    <n v="2"/>
    <x v="1"/>
    <s v="Obesity"/>
    <s v="Normal"/>
    <m/>
    <m/>
    <m/>
    <m/>
    <m/>
  </r>
  <r>
    <s v="Id1005"/>
    <s v="Finneran"/>
    <n v="25.934999999999999"/>
    <s v="Prediabetes"/>
    <s v="yes"/>
    <s v="No"/>
    <x v="0"/>
    <n v="2"/>
    <x v="1"/>
    <s v="Overweight"/>
    <s v="Prediabetes"/>
    <m/>
    <m/>
    <m/>
    <m/>
    <m/>
  </r>
  <r>
    <s v="Id1006"/>
    <s v="Basham"/>
    <n v="35.9"/>
    <s v="Normal"/>
    <s v="yes"/>
    <s v="No"/>
    <x v="1"/>
    <n v="1"/>
    <x v="1"/>
    <s v="Obesity"/>
    <s v="Normal"/>
    <m/>
    <m/>
    <m/>
    <m/>
    <m/>
  </r>
  <r>
    <s v="Id1007"/>
    <s v="Inman"/>
    <n v="26.7"/>
    <s v="Normal"/>
    <s v="yes"/>
    <s v="No"/>
    <x v="1"/>
    <n v="1"/>
    <x v="1"/>
    <s v="Overweight"/>
    <s v="Normal"/>
    <m/>
    <m/>
    <m/>
    <m/>
    <m/>
  </r>
  <r>
    <s v="Id1008"/>
    <s v="Oscal"/>
    <n v="33.71"/>
    <s v="Normal"/>
    <s v="No"/>
    <s v="No"/>
    <x v="0"/>
    <s v="No major surgery"/>
    <x v="1"/>
    <s v="Obesity"/>
    <s v="Normal"/>
    <m/>
    <m/>
    <m/>
    <m/>
    <m/>
  </r>
  <r>
    <s v="Id1009"/>
    <s v="Craft"/>
    <n v="41.91"/>
    <s v="Normal"/>
    <s v="yes"/>
    <s v="No"/>
    <x v="0"/>
    <n v="2"/>
    <x v="1"/>
    <s v="Obesity"/>
    <s v="Normal"/>
    <m/>
    <m/>
    <m/>
    <m/>
    <m/>
  </r>
  <r>
    <s v="Id1010"/>
    <s v="Kebede"/>
    <n v="39.82"/>
    <s v="Prediabetes"/>
    <s v="yes"/>
    <s v="No"/>
    <x v="0"/>
    <n v="2"/>
    <x v="1"/>
    <s v="Obesity"/>
    <s v="Prediabetes"/>
    <m/>
    <m/>
    <m/>
    <m/>
    <m/>
  </r>
  <r>
    <s v="Id1011"/>
    <s v="Strobel"/>
    <n v="28.12"/>
    <s v="Normal"/>
    <s v="No"/>
    <s v="No"/>
    <x v="0"/>
    <n v="2"/>
    <x v="1"/>
    <s v="Overweight"/>
    <s v="Normal"/>
    <m/>
    <m/>
    <m/>
    <m/>
    <m/>
  </r>
  <r>
    <s v="Id1012"/>
    <s v="Dalton"/>
    <n v="26.98"/>
    <s v="Diabetes"/>
    <s v="yes"/>
    <s v="No"/>
    <x v="0"/>
    <s v="No major surgery"/>
    <x v="1"/>
    <s v="Overweight"/>
    <s v="Diabetes"/>
    <m/>
    <m/>
    <m/>
    <m/>
    <m/>
  </r>
  <r>
    <s v="Id1013"/>
    <s v="Morimoto"/>
    <n v="27.2"/>
    <s v="Prediabetes"/>
    <s v="yes"/>
    <s v="No"/>
    <x v="0"/>
    <n v="2"/>
    <x v="1"/>
    <s v="Overweight"/>
    <s v="Prediabetes"/>
    <m/>
    <m/>
    <m/>
    <m/>
    <m/>
  </r>
  <r>
    <s v="Id1014"/>
    <s v="Manlove"/>
    <n v="25.3"/>
    <s v="Normal"/>
    <s v="yes"/>
    <s v="No"/>
    <x v="0"/>
    <n v="2"/>
    <x v="1"/>
    <s v="Overweight"/>
    <s v="Normal"/>
    <m/>
    <m/>
    <m/>
    <m/>
    <m/>
  </r>
  <r>
    <s v="Id1015"/>
    <s v="Madzik"/>
    <n v="30.25"/>
    <s v="Diabetes"/>
    <s v="No"/>
    <s v="No"/>
    <x v="0"/>
    <s v="No major surgery"/>
    <x v="1"/>
    <s v="Obesity"/>
    <s v="Diabetes"/>
    <m/>
    <m/>
    <m/>
    <m/>
    <m/>
  </r>
  <r>
    <s v="Id1016"/>
    <s v="Hobson"/>
    <n v="54"/>
    <s v="Normal"/>
    <s v="yes"/>
    <s v="yes"/>
    <x v="0"/>
    <n v="2"/>
    <x v="1"/>
    <s v="Obesity"/>
    <s v="Normal"/>
    <m/>
    <m/>
    <m/>
    <m/>
    <m/>
  </r>
  <r>
    <s v="Id1017"/>
    <s v="Reyes"/>
    <n v="51.86"/>
    <s v="Normal"/>
    <s v="yes"/>
    <s v="No"/>
    <x v="0"/>
    <s v="No major surgery"/>
    <x v="1"/>
    <s v="Obesity"/>
    <s v="Normal"/>
    <m/>
    <m/>
    <m/>
    <m/>
    <m/>
  </r>
  <r>
    <s v="Id1018"/>
    <s v="Tierney"/>
    <n v="31.39"/>
    <s v="Diabetes"/>
    <s v="No"/>
    <s v="No"/>
    <x v="0"/>
    <s v="No major surgery"/>
    <x v="1"/>
    <s v="Obesity"/>
    <s v="Diabetes"/>
    <m/>
    <m/>
    <m/>
    <m/>
    <m/>
  </r>
  <r>
    <s v="Id1019"/>
    <s v="Gabris"/>
    <n v="39.97"/>
    <s v="Normal"/>
    <s v="No"/>
    <s v="No"/>
    <x v="0"/>
    <s v="No major surgery"/>
    <x v="1"/>
    <s v="Obesity"/>
    <s v="Normal"/>
    <m/>
    <m/>
    <m/>
    <m/>
    <m/>
  </r>
  <r>
    <s v="Id1020"/>
    <s v="Howard"/>
    <n v="41.23"/>
    <s v="Diabetes"/>
    <s v="No"/>
    <s v="No"/>
    <x v="0"/>
    <s v="No major surgery"/>
    <x v="1"/>
    <s v="Obesity"/>
    <s v="Diabetes"/>
    <m/>
    <m/>
    <m/>
    <m/>
    <m/>
  </r>
  <r>
    <s v="Id1021"/>
    <s v="Kallay"/>
    <n v="49.45"/>
    <s v="Normal"/>
    <s v="yes"/>
    <s v="No"/>
    <x v="0"/>
    <s v="No major surgery"/>
    <x v="1"/>
    <s v="Obesity"/>
    <s v="Normal"/>
    <m/>
    <m/>
    <m/>
    <m/>
    <m/>
  </r>
  <r>
    <s v="Id1022"/>
    <s v="Leguizamo"/>
    <n v="41.04"/>
    <s v="Normal"/>
    <s v="No"/>
    <s v="No"/>
    <x v="0"/>
    <s v="No major surgery"/>
    <x v="1"/>
    <s v="Obesity"/>
    <s v="Normal"/>
    <m/>
    <m/>
    <m/>
    <m/>
    <m/>
  </r>
  <r>
    <s v="Id1023"/>
    <s v="Escartin"/>
    <n v="27.93"/>
    <s v="Diabetes"/>
    <s v="No"/>
    <s v="No"/>
    <x v="0"/>
    <s v="No major surgery"/>
    <x v="1"/>
    <s v="Overweight"/>
    <s v="Diabetes"/>
    <m/>
    <m/>
    <m/>
    <m/>
    <m/>
  </r>
  <r>
    <s v="Id1024"/>
    <s v="Chorey"/>
    <n v="21.01"/>
    <s v="Diabetes"/>
    <s v="No"/>
    <s v="No"/>
    <x v="0"/>
    <s v="No major surgery"/>
    <x v="1"/>
    <s v="Normal Weight"/>
    <s v="Diabetes"/>
    <m/>
    <m/>
    <m/>
    <m/>
    <m/>
  </r>
  <r>
    <s v="Id1025"/>
    <s v="McVay"/>
    <n v="52.37"/>
    <s v="Normal"/>
    <s v="yes"/>
    <s v="yes"/>
    <x v="0"/>
    <n v="2"/>
    <x v="1"/>
    <s v="Obesity"/>
    <s v="Normal"/>
    <m/>
    <m/>
    <m/>
    <m/>
    <m/>
  </r>
  <r>
    <s v="Id1026"/>
    <s v="Vinson"/>
    <n v="40.369999999999997"/>
    <s v="Diabetes"/>
    <s v="No"/>
    <s v="No"/>
    <x v="0"/>
    <s v="No major surgery"/>
    <x v="1"/>
    <s v="Obesity"/>
    <s v="Diabetes"/>
    <m/>
    <m/>
    <m/>
    <m/>
    <m/>
  </r>
  <r>
    <s v="Id1027"/>
    <s v="Astrike-Davis"/>
    <n v="41.47"/>
    <s v="Diabetes"/>
    <s v="No"/>
    <s v="No"/>
    <x v="0"/>
    <n v="2"/>
    <x v="1"/>
    <s v="Obesity"/>
    <s v="Diabetes"/>
    <m/>
    <m/>
    <m/>
    <m/>
    <m/>
  </r>
  <r>
    <s v="Id1028"/>
    <s v="Harder"/>
    <n v="33.725000000000001"/>
    <s v="Normal"/>
    <s v="yes"/>
    <s v="No"/>
    <x v="0"/>
    <n v="2"/>
    <x v="1"/>
    <s v="Obesity"/>
    <s v="Normal"/>
    <m/>
    <m/>
    <m/>
    <m/>
    <m/>
  </r>
  <r>
    <s v="Id1029"/>
    <s v="Bell"/>
    <n v="28.1"/>
    <s v="Diabetes"/>
    <s v="No"/>
    <s v="No"/>
    <x v="0"/>
    <s v="No major surgery"/>
    <x v="1"/>
    <s v="Overweight"/>
    <s v="Diabetes"/>
    <m/>
    <m/>
    <m/>
    <m/>
    <m/>
  </r>
  <r>
    <s v="Id1030"/>
    <s v="Dawes"/>
    <n v="37.43"/>
    <s v="Normal"/>
    <s v="yes"/>
    <s v="No"/>
    <x v="1"/>
    <n v="1"/>
    <x v="1"/>
    <s v="Obesity"/>
    <s v="Normal"/>
    <m/>
    <m/>
    <m/>
    <m/>
    <m/>
  </r>
  <r>
    <s v="Id1031"/>
    <s v="Larios"/>
    <n v="23.7"/>
    <s v="Diabetes"/>
    <s v="No"/>
    <s v="No"/>
    <x v="0"/>
    <s v="No major surgery"/>
    <x v="1"/>
    <s v="Normal Weight"/>
    <s v="Diabetes"/>
    <m/>
    <m/>
    <m/>
    <m/>
    <m/>
  </r>
  <r>
    <s v="Id1032"/>
    <s v="Yaremczuk"/>
    <n v="24.795000000000002"/>
    <s v="Normal"/>
    <s v="yes"/>
    <s v="No"/>
    <x v="1"/>
    <n v="1"/>
    <x v="1"/>
    <s v="Normal Weight"/>
    <s v="Normal"/>
    <m/>
    <m/>
    <m/>
    <m/>
    <m/>
  </r>
  <r>
    <s v="Id1033"/>
    <s v="Knight"/>
    <n v="31.9"/>
    <s v="Diabetes"/>
    <s v="No"/>
    <s v="No"/>
    <x v="0"/>
    <s v="No major surgery"/>
    <x v="1"/>
    <s v="Obesity"/>
    <s v="Diabetes"/>
    <m/>
    <m/>
    <m/>
    <m/>
    <m/>
  </r>
  <r>
    <s v="Id1034"/>
    <s v="Eversman"/>
    <n v="32.68"/>
    <s v="Diabetes"/>
    <s v="No"/>
    <s v="No"/>
    <x v="0"/>
    <s v="No major surgery"/>
    <x v="1"/>
    <s v="Obesity"/>
    <s v="Diabetes"/>
    <m/>
    <m/>
    <m/>
    <m/>
    <m/>
  </r>
  <r>
    <s v="Id1035"/>
    <s v="Hickory"/>
    <n v="47.13"/>
    <s v="Normal"/>
    <s v="No"/>
    <s v="No"/>
    <x v="0"/>
    <s v="No major surgery"/>
    <x v="1"/>
    <s v="Obesity"/>
    <s v="Normal"/>
    <m/>
    <m/>
    <m/>
    <m/>
    <m/>
  </r>
  <r>
    <s v="Id1036"/>
    <s v="Mooney"/>
    <n v="36.67"/>
    <s v="Diabetes"/>
    <s v="No"/>
    <s v="No"/>
    <x v="0"/>
    <s v="No major surgery"/>
    <x v="1"/>
    <s v="Obesity"/>
    <s v="Diabetes"/>
    <m/>
    <m/>
    <m/>
    <m/>
    <m/>
  </r>
  <r>
    <s v="Id1037"/>
    <s v="Craighead"/>
    <n v="33.630000000000003"/>
    <s v="Diabetes"/>
    <s v="No"/>
    <s v="No"/>
    <x v="0"/>
    <s v="No major surgery"/>
    <x v="1"/>
    <s v="Obesity"/>
    <s v="Diabetes"/>
    <m/>
    <m/>
    <m/>
    <m/>
    <m/>
  </r>
  <r>
    <s v="Id1038"/>
    <s v="Gardner"/>
    <n v="32.67"/>
    <s v="Diabetes"/>
    <s v="yes"/>
    <s v="No"/>
    <x v="0"/>
    <s v="No major surgery"/>
    <x v="1"/>
    <s v="Obesity"/>
    <s v="Diabetes"/>
    <m/>
    <m/>
    <m/>
    <m/>
    <m/>
  </r>
  <r>
    <s v="Id1039"/>
    <s v="Lohrenz"/>
    <n v="33.299999999999997"/>
    <s v="Diabetes"/>
    <s v="yes"/>
    <s v="No"/>
    <x v="0"/>
    <n v="2"/>
    <x v="1"/>
    <s v="Obesity"/>
    <s v="Diabetes"/>
    <m/>
    <m/>
    <m/>
    <m/>
    <m/>
  </r>
  <r>
    <s v="Id1040"/>
    <s v="Demise"/>
    <n v="30.78"/>
    <s v="Diabetes"/>
    <s v="yes"/>
    <s v="No"/>
    <x v="0"/>
    <n v="2"/>
    <x v="1"/>
    <s v="Obesity"/>
    <s v="Diabetes"/>
    <m/>
    <m/>
    <m/>
    <m/>
    <m/>
  </r>
  <r>
    <s v="Id1041"/>
    <s v="Nelson"/>
    <n v="28.975000000000001"/>
    <s v="Diabetes"/>
    <s v="yes"/>
    <s v="No"/>
    <x v="0"/>
    <s v="No major surgery"/>
    <x v="1"/>
    <s v="Overweight"/>
    <s v="Diabetes"/>
    <m/>
    <m/>
    <m/>
    <m/>
    <m/>
  </r>
  <r>
    <s v="Id1042"/>
    <s v="Guitard"/>
    <n v="33.4"/>
    <s v="Normal"/>
    <s v="No"/>
    <s v="No"/>
    <x v="0"/>
    <s v="No major surgery"/>
    <x v="1"/>
    <s v="Obesity"/>
    <s v="Normal"/>
    <m/>
    <m/>
    <m/>
    <m/>
    <m/>
  </r>
  <r>
    <s v="Id1043"/>
    <s v="Navas"/>
    <n v="21.5"/>
    <s v="Diabetes"/>
    <s v="yes"/>
    <s v="No"/>
    <x v="0"/>
    <s v="No major surgery"/>
    <x v="1"/>
    <s v="Normal Weight"/>
    <s v="Diabetes"/>
    <m/>
    <m/>
    <m/>
    <m/>
    <m/>
  </r>
  <r>
    <s v="Id1044"/>
    <s v="Ptucha"/>
    <n v="38.14"/>
    <s v="Prediabetes"/>
    <s v="No"/>
    <s v="No"/>
    <x v="0"/>
    <s v="No major surgery"/>
    <x v="1"/>
    <s v="Obesity"/>
    <s v="Prediabetes"/>
    <m/>
    <m/>
    <m/>
    <m/>
    <m/>
  </r>
  <r>
    <s v="Id1045"/>
    <s v="Kirouac"/>
    <n v="35.42"/>
    <s v="Diabetes"/>
    <s v="yes"/>
    <s v="No"/>
    <x v="0"/>
    <n v="1"/>
    <x v="1"/>
    <s v="Obesity"/>
    <s v="Diabetes"/>
    <m/>
    <m/>
    <m/>
    <m/>
    <m/>
  </r>
  <r>
    <s v="Id1046"/>
    <s v="Toews"/>
    <n v="35.625"/>
    <s v="Diabetes"/>
    <s v="No"/>
    <s v="No"/>
    <x v="0"/>
    <s v="No major surgery"/>
    <x v="1"/>
    <s v="Obesity"/>
    <s v="Diabetes"/>
    <m/>
    <m/>
    <m/>
    <m/>
    <m/>
  </r>
  <r>
    <s v="Id1047"/>
    <s v="Perry"/>
    <n v="45.51"/>
    <s v="Normal"/>
    <s v="No"/>
    <s v="No"/>
    <x v="0"/>
    <n v="1"/>
    <x v="1"/>
    <s v="Obesity"/>
    <s v="Normal"/>
    <m/>
    <m/>
    <m/>
    <m/>
    <m/>
  </r>
  <r>
    <s v="Id1048"/>
    <s v="Kretz"/>
    <n v="37.1"/>
    <s v="Diabetes"/>
    <s v="yes"/>
    <s v="No"/>
    <x v="0"/>
    <s v="No major surgery"/>
    <x v="1"/>
    <s v="Obesity"/>
    <s v="Diabetes"/>
    <m/>
    <m/>
    <m/>
    <m/>
    <m/>
  </r>
  <r>
    <s v="Id1049"/>
    <s v="Hempel"/>
    <n v="30.5"/>
    <s v="Diabetes"/>
    <s v="yes"/>
    <s v="No"/>
    <x v="0"/>
    <s v="No major surgery"/>
    <x v="1"/>
    <s v="Obesity"/>
    <s v="Diabetes"/>
    <m/>
    <m/>
    <m/>
    <m/>
    <m/>
  </r>
  <r>
    <s v="Id1050"/>
    <s v="McBroom"/>
    <n v="28.16"/>
    <s v="Normal"/>
    <s v="No"/>
    <s v="No"/>
    <x v="0"/>
    <n v="2"/>
    <x v="1"/>
    <s v="Overweight"/>
    <s v="Normal"/>
    <m/>
    <m/>
    <m/>
    <m/>
    <m/>
  </r>
  <r>
    <s v="Id1051"/>
    <s v="Yoo"/>
    <n v="29.1"/>
    <s v="Normal"/>
    <s v="yes"/>
    <s v="No"/>
    <x v="0"/>
    <s v="No major surgery"/>
    <x v="1"/>
    <s v="Overweight"/>
    <s v="Normal"/>
    <m/>
    <m/>
    <m/>
    <m/>
    <m/>
  </r>
  <r>
    <s v="Id1052"/>
    <s v="Rand"/>
    <n v="30.22"/>
    <s v="Normal"/>
    <s v="No"/>
    <s v="No"/>
    <x v="0"/>
    <s v="No major surgery"/>
    <x v="1"/>
    <s v="Obesity"/>
    <s v="Normal"/>
    <m/>
    <m/>
    <m/>
    <m/>
    <m/>
  </r>
  <r>
    <s v="Id1053"/>
    <s v="Wolfe"/>
    <n v="24.29"/>
    <s v="Diabetes"/>
    <s v="No"/>
    <s v="No"/>
    <x v="0"/>
    <s v="No major surgery"/>
    <x v="1"/>
    <s v="Normal Weight"/>
    <s v="Diabetes"/>
    <m/>
    <m/>
    <m/>
    <m/>
    <m/>
  </r>
  <r>
    <s v="Id1054"/>
    <s v="Vance"/>
    <n v="29.39"/>
    <s v="Normal"/>
    <s v="yes"/>
    <s v="No"/>
    <x v="0"/>
    <s v="No major surgery"/>
    <x v="1"/>
    <s v="Overweight"/>
    <s v="Normal"/>
    <m/>
    <m/>
    <m/>
    <m/>
    <m/>
  </r>
  <r>
    <s v="Id1055"/>
    <s v="Burnett"/>
    <n v="25.66"/>
    <s v="Normal"/>
    <s v="yes"/>
    <s v="No"/>
    <x v="0"/>
    <n v="1"/>
    <x v="1"/>
    <s v="Overweight"/>
    <s v="Normal"/>
    <m/>
    <m/>
    <m/>
    <m/>
    <m/>
  </r>
  <r>
    <s v="Id1056"/>
    <s v="Clason"/>
    <n v="39.11"/>
    <s v="Prediabetes"/>
    <s v="No"/>
    <s v="No"/>
    <x v="0"/>
    <s v="No major surgery"/>
    <x v="1"/>
    <s v="Obesity"/>
    <s v="Prediabetes"/>
    <m/>
    <m/>
    <m/>
    <m/>
    <m/>
  </r>
  <r>
    <s v="Id1057"/>
    <s v="Donnelly"/>
    <n v="43.78"/>
    <s v="Prediabetes"/>
    <s v="No"/>
    <s v="No"/>
    <x v="0"/>
    <n v="1"/>
    <x v="1"/>
    <s v="Obesity"/>
    <s v="Prediabetes"/>
    <m/>
    <m/>
    <m/>
    <m/>
    <m/>
  </r>
  <r>
    <s v="Id1058"/>
    <s v="Pietz"/>
    <n v="24.35"/>
    <s v="Diabetes"/>
    <s v="No"/>
    <s v="No"/>
    <x v="0"/>
    <s v="No major surgery"/>
    <x v="1"/>
    <s v="Normal Weight"/>
    <s v="Diabetes"/>
    <m/>
    <m/>
    <m/>
    <m/>
    <m/>
  </r>
  <r>
    <s v="Id1059"/>
    <s v="Tegenkamp"/>
    <n v="40.299999999999997"/>
    <s v="Normal"/>
    <s v="yes"/>
    <s v="No"/>
    <x v="0"/>
    <n v="2"/>
    <x v="1"/>
    <s v="Obesity"/>
    <s v="Normal"/>
    <m/>
    <m/>
    <m/>
    <m/>
    <m/>
  </r>
  <r>
    <s v="Id1060"/>
    <s v="Dover"/>
    <n v="32.774999999999999"/>
    <s v="Diabetes"/>
    <s v="yes"/>
    <s v="No"/>
    <x v="0"/>
    <s v="No major surgery"/>
    <x v="1"/>
    <s v="Obesity"/>
    <s v="Diabetes"/>
    <m/>
    <m/>
    <m/>
    <m/>
    <m/>
  </r>
  <r>
    <s v="Id1061"/>
    <s v="Dockemeyer"/>
    <n v="39.6"/>
    <s v="Normal"/>
    <s v="yes"/>
    <s v="No"/>
    <x v="0"/>
    <n v="2"/>
    <x v="1"/>
    <s v="Obesity"/>
    <s v="Normal"/>
    <m/>
    <m/>
    <m/>
    <m/>
    <m/>
  </r>
  <r>
    <s v="Id1062"/>
    <s v="Steele"/>
    <n v="30.97"/>
    <s v="Normal"/>
    <s v="No"/>
    <s v="No"/>
    <x v="0"/>
    <n v="2"/>
    <x v="1"/>
    <s v="Obesity"/>
    <s v="Normal"/>
    <m/>
    <m/>
    <m/>
    <m/>
    <m/>
  </r>
  <r>
    <s v="Id1063"/>
    <s v="Harel"/>
    <n v="27.645"/>
    <s v="Diabetes"/>
    <s v="yes"/>
    <s v="No"/>
    <x v="0"/>
    <s v="No major surgery"/>
    <x v="1"/>
    <s v="Overweight"/>
    <s v="Diabetes"/>
    <m/>
    <m/>
    <m/>
    <m/>
    <m/>
  </r>
  <r>
    <s v="Id1064"/>
    <s v="Aguila"/>
    <n v="34.43"/>
    <s v="Prediabetes"/>
    <s v="yes"/>
    <s v="No"/>
    <x v="0"/>
    <n v="2"/>
    <x v="1"/>
    <s v="Obesity"/>
    <s v="Prediabetes"/>
    <m/>
    <m/>
    <m/>
    <m/>
    <m/>
  </r>
  <r>
    <s v="Id1065"/>
    <s v="Vallejo Sarmiento"/>
    <n v="39.6"/>
    <s v="Normal"/>
    <s v="yes"/>
    <s v="No"/>
    <x v="1"/>
    <n v="1"/>
    <x v="1"/>
    <s v="Obesity"/>
    <s v="Normal"/>
    <m/>
    <m/>
    <m/>
    <m/>
    <m/>
  </r>
  <r>
    <s v="Id1066"/>
    <s v="Beisheim"/>
    <n v="22.1"/>
    <s v="Normal"/>
    <s v="yes"/>
    <s v="No"/>
    <x v="0"/>
    <n v="2"/>
    <x v="1"/>
    <s v="Normal Weight"/>
    <s v="Normal"/>
    <m/>
    <m/>
    <m/>
    <m/>
    <m/>
  </r>
  <r>
    <s v="Id1067"/>
    <s v="Lenhoff"/>
    <n v="33.25"/>
    <s v="Normal"/>
    <s v="yes"/>
    <s v="No"/>
    <x v="1"/>
    <n v="1"/>
    <x v="1"/>
    <s v="Obesity"/>
    <s v="Normal"/>
    <m/>
    <m/>
    <m/>
    <m/>
    <m/>
  </r>
  <r>
    <s v="Id1068"/>
    <s v="Wehrwein"/>
    <n v="33.33"/>
    <s v="Diabetes"/>
    <s v="No"/>
    <s v="No"/>
    <x v="0"/>
    <s v="No major surgery"/>
    <x v="1"/>
    <s v="Obesity"/>
    <s v="Diabetes"/>
    <m/>
    <m/>
    <m/>
    <m/>
    <m/>
  </r>
  <r>
    <s v="Id1069"/>
    <s v="Wallace"/>
    <n v="30.5"/>
    <s v="Diabetes"/>
    <s v="No"/>
    <s v="No"/>
    <x v="0"/>
    <s v="No major surgery"/>
    <x v="1"/>
    <s v="Obesity"/>
    <s v="Diabetes"/>
    <m/>
    <m/>
    <m/>
    <m/>
    <m/>
  </r>
  <r>
    <s v="Id1070"/>
    <s v="Markowitz"/>
    <n v="30.3"/>
    <s v="Normal"/>
    <s v="No"/>
    <s v="No"/>
    <x v="0"/>
    <s v="No major surgery"/>
    <x v="1"/>
    <s v="Obesity"/>
    <s v="Normal"/>
    <m/>
    <m/>
    <m/>
    <m/>
    <m/>
  </r>
  <r>
    <s v="Id1071"/>
    <s v="Vos"/>
    <n v="26.22"/>
    <s v="Prediabetes"/>
    <s v="No"/>
    <s v="No"/>
    <x v="0"/>
    <n v="2"/>
    <x v="1"/>
    <s v="Overweight"/>
    <s v="Prediabetes"/>
    <m/>
    <m/>
    <m/>
    <m/>
    <m/>
  </r>
  <r>
    <s v="Id1072"/>
    <s v="McLeod"/>
    <n v="29.99"/>
    <s v="Diabetes"/>
    <s v="No"/>
    <s v="No"/>
    <x v="0"/>
    <s v="No major surgery"/>
    <x v="1"/>
    <e v="#N/A"/>
    <s v="Diabetes"/>
    <m/>
    <m/>
    <m/>
    <m/>
    <m/>
  </r>
  <r>
    <s v="Id1073"/>
    <s v="Balcom"/>
    <n v="36.380000000000003"/>
    <s v="Prediabetes"/>
    <s v="No"/>
    <s v="No"/>
    <x v="0"/>
    <n v="1"/>
    <x v="1"/>
    <s v="Obesity"/>
    <s v="Prediabetes"/>
    <m/>
    <m/>
    <m/>
    <m/>
    <m/>
  </r>
  <r>
    <s v="Id1074"/>
    <s v="Dirth"/>
    <n v="31.16"/>
    <s v="Normal"/>
    <s v="yes"/>
    <s v="No"/>
    <x v="1"/>
    <n v="1"/>
    <x v="1"/>
    <s v="Obesity"/>
    <s v="Normal"/>
    <m/>
    <m/>
    <m/>
    <m/>
    <m/>
  </r>
  <r>
    <s v="Id1075"/>
    <s v="Inglish"/>
    <n v="25.55"/>
    <s v="Normal"/>
    <s v="yes"/>
    <s v="No"/>
    <x v="0"/>
    <n v="1"/>
    <x v="1"/>
    <s v="Overweight"/>
    <s v="Normal"/>
    <m/>
    <m/>
    <m/>
    <m/>
    <m/>
  </r>
  <r>
    <s v="Id1076"/>
    <s v="Matthews"/>
    <n v="28.77"/>
    <s v="Normal"/>
    <s v="yes"/>
    <s v="No"/>
    <x v="0"/>
    <s v="No major surgery"/>
    <x v="1"/>
    <s v="Overweight"/>
    <s v="Normal"/>
    <m/>
    <m/>
    <m/>
    <m/>
    <m/>
  </r>
  <r>
    <s v="Id1077"/>
    <s v="Massa-Musiak"/>
    <n v="23.14"/>
    <s v="Normal"/>
    <s v="yes"/>
    <s v="No"/>
    <x v="0"/>
    <n v="1"/>
    <x v="1"/>
    <s v="Normal Weight"/>
    <s v="Normal"/>
    <m/>
    <m/>
    <m/>
    <m/>
    <m/>
  </r>
  <r>
    <s v="Id1078"/>
    <s v="Bailey"/>
    <n v="39.6"/>
    <s v="Diabetes"/>
    <s v="No"/>
    <s v="No"/>
    <x v="0"/>
    <s v="No major surgery"/>
    <x v="1"/>
    <s v="Obesity"/>
    <s v="Diabetes"/>
    <m/>
    <m/>
    <m/>
    <m/>
    <m/>
  </r>
  <r>
    <s v="Id1079"/>
    <s v="Jacoby"/>
    <n v="29.2"/>
    <s v="Diabetes"/>
    <s v="No"/>
    <s v="No"/>
    <x v="0"/>
    <s v="No major surgery"/>
    <x v="1"/>
    <s v="Overweight"/>
    <s v="Diabetes"/>
    <m/>
    <m/>
    <m/>
    <m/>
    <m/>
  </r>
  <r>
    <s v="Id1080"/>
    <s v="Crimmings"/>
    <n v="32.774999999999999"/>
    <s v="Diabetes"/>
    <s v="No"/>
    <s v="No"/>
    <x v="0"/>
    <s v="No major surgery"/>
    <x v="1"/>
    <s v="Obesity"/>
    <s v="Diabetes"/>
    <m/>
    <m/>
    <m/>
    <m/>
    <m/>
  </r>
  <r>
    <s v="Id1081"/>
    <s v="Crane"/>
    <n v="24.035"/>
    <s v="Diabetes"/>
    <s v="No"/>
    <s v="No"/>
    <x v="0"/>
    <s v="No major surgery"/>
    <x v="1"/>
    <s v="Normal Weight"/>
    <s v="Diabetes"/>
    <m/>
    <m/>
    <m/>
    <m/>
    <m/>
  </r>
  <r>
    <s v="Id1082"/>
    <s v="Swartzfager"/>
    <n v="30.55"/>
    <s v="Prediabetes"/>
    <s v="No"/>
    <s v="No"/>
    <x v="1"/>
    <n v="1"/>
    <x v="1"/>
    <s v="Obesity"/>
    <s v="Prediabetes"/>
    <m/>
    <m/>
    <m/>
    <m/>
    <m/>
  </r>
  <r>
    <s v="Id1083"/>
    <s v="Clevenger"/>
    <n v="28.81"/>
    <s v="Diabetes"/>
    <s v="No"/>
    <s v="No"/>
    <x v="0"/>
    <n v="2"/>
    <x v="1"/>
    <s v="Overweight"/>
    <s v="Diabetes"/>
    <m/>
    <m/>
    <m/>
    <m/>
    <m/>
  </r>
  <r>
    <s v="Id1084"/>
    <s v="Reichardt"/>
    <n v="31.66"/>
    <s v="Normal"/>
    <s v="No"/>
    <s v="No"/>
    <x v="0"/>
    <s v="No major surgery"/>
    <x v="1"/>
    <s v="Obesity"/>
    <s v="Normal"/>
    <m/>
    <m/>
    <m/>
    <m/>
    <m/>
  </r>
  <r>
    <s v="Id1085"/>
    <s v="Morton"/>
    <n v="28.215"/>
    <s v="Diabetes"/>
    <s v="yes"/>
    <s v="No"/>
    <x v="0"/>
    <n v="1"/>
    <x v="1"/>
    <s v="Overweight"/>
    <s v="Diabetes"/>
    <m/>
    <m/>
    <m/>
    <m/>
    <m/>
  </r>
  <r>
    <s v="Id1086"/>
    <s v="Sunstrum"/>
    <n v="26.12"/>
    <s v="Normal"/>
    <s v="yes"/>
    <s v="No"/>
    <x v="1"/>
    <n v="1"/>
    <x v="1"/>
    <s v="Overweight"/>
    <s v="Normal"/>
    <m/>
    <m/>
    <m/>
    <m/>
    <m/>
  </r>
  <r>
    <s v="Id1087"/>
    <s v="Frownfelter"/>
    <n v="36.630000000000003"/>
    <s v="Diabetes"/>
    <s v="No"/>
    <s v="No"/>
    <x v="0"/>
    <n v="2"/>
    <x v="1"/>
    <s v="Obesity"/>
    <s v="Diabetes"/>
    <m/>
    <m/>
    <m/>
    <m/>
    <m/>
  </r>
  <r>
    <s v="Id1088"/>
    <s v="Richter"/>
    <n v="33.344999999999999"/>
    <s v="Diabetes"/>
    <s v="No"/>
    <s v="No"/>
    <x v="0"/>
    <n v="2"/>
    <x v="1"/>
    <s v="Obesity"/>
    <s v="Diabetes"/>
    <m/>
    <m/>
    <m/>
    <m/>
    <m/>
  </r>
  <r>
    <s v="Id1089"/>
    <s v="England"/>
    <n v="27.11"/>
    <s v="Diabetes"/>
    <s v="No"/>
    <s v="No"/>
    <x v="0"/>
    <s v="No major surgery"/>
    <x v="1"/>
    <s v="Overweight"/>
    <s v="Diabetes"/>
    <m/>
    <m/>
    <m/>
    <m/>
    <m/>
  </r>
  <r>
    <s v="Id1090"/>
    <s v="McLean"/>
    <n v="26.6"/>
    <s v="Normal"/>
    <s v="yes"/>
    <s v="No"/>
    <x v="1"/>
    <n v="1"/>
    <x v="1"/>
    <s v="Overweight"/>
    <s v="Normal"/>
    <m/>
    <m/>
    <m/>
    <m/>
    <m/>
  </r>
  <r>
    <s v="Id1091"/>
    <s v="Gardner"/>
    <n v="30.41"/>
    <s v="Diabetes"/>
    <s v="No"/>
    <s v="No"/>
    <x v="0"/>
    <s v="No major surgery"/>
    <x v="1"/>
    <s v="Obesity"/>
    <s v="Diabetes"/>
    <m/>
    <m/>
    <m/>
    <m/>
    <m/>
  </r>
  <r>
    <s v="Id1092"/>
    <s v="Lane"/>
    <n v="28.98"/>
    <s v="Diabetes"/>
    <s v="No"/>
    <s v="No"/>
    <x v="0"/>
    <n v="2"/>
    <x v="1"/>
    <s v="Overweight"/>
    <s v="Diabetes"/>
    <m/>
    <m/>
    <m/>
    <m/>
    <m/>
  </r>
  <r>
    <s v="Id1093"/>
    <s v="Vonachen"/>
    <n v="31.24"/>
    <s v="Diabetes"/>
    <s v="No"/>
    <s v="No"/>
    <x v="0"/>
    <s v="No major surgery"/>
    <x v="1"/>
    <s v="Obesity"/>
    <s v="Diabetes"/>
    <m/>
    <m/>
    <m/>
    <m/>
    <m/>
  </r>
  <r>
    <s v="Id1094"/>
    <s v="Smith"/>
    <n v="31.54"/>
    <s v="Normal"/>
    <s v="No"/>
    <s v="No"/>
    <x v="0"/>
    <s v="No major surgery"/>
    <x v="1"/>
    <s v="Obesity"/>
    <s v="Normal"/>
    <m/>
    <m/>
    <m/>
    <m/>
    <m/>
  </r>
  <r>
    <s v="Id1095"/>
    <s v="Kidwell"/>
    <n v="38.6"/>
    <s v="Diabetes"/>
    <s v="yes"/>
    <s v="No"/>
    <x v="0"/>
    <n v="2"/>
    <x v="1"/>
    <s v="Obesity"/>
    <s v="Diabetes"/>
    <m/>
    <m/>
    <m/>
    <m/>
    <m/>
  </r>
  <r>
    <s v="Id1096"/>
    <s v="Betancourth"/>
    <n v="37.950000000000003"/>
    <s v="Prediabetes"/>
    <s v="No"/>
    <s v="No"/>
    <x v="0"/>
    <s v="No major surgery"/>
    <x v="1"/>
    <s v="Obesity"/>
    <s v="Prediabetes"/>
    <m/>
    <m/>
    <m/>
    <m/>
    <m/>
  </r>
  <r>
    <s v="Id1097"/>
    <s v="Henstrom"/>
    <n v="38.97"/>
    <s v="Normal"/>
    <s v="No"/>
    <s v="No"/>
    <x v="0"/>
    <s v="No major surgery"/>
    <x v="1"/>
    <s v="Obesity"/>
    <s v="Normal"/>
    <m/>
    <m/>
    <m/>
    <m/>
    <m/>
  </r>
  <r>
    <s v="Id1098"/>
    <s v="Pereira"/>
    <n v="21.2"/>
    <s v="Diabetes"/>
    <s v="No"/>
    <s v="No"/>
    <x v="0"/>
    <s v="No major surgery"/>
    <x v="1"/>
    <s v="Normal Weight"/>
    <s v="Diabetes"/>
    <m/>
    <m/>
    <m/>
    <m/>
    <m/>
  </r>
  <r>
    <s v="Id1099"/>
    <s v="Black"/>
    <n v="23.96"/>
    <s v="Diabetes"/>
    <s v="yes"/>
    <s v="No"/>
    <x v="1"/>
    <n v="1"/>
    <x v="1"/>
    <s v="Normal Weight"/>
    <s v="Diabetes"/>
    <m/>
    <m/>
    <m/>
    <m/>
    <m/>
  </r>
  <r>
    <s v="Id1100"/>
    <s v="Brown"/>
    <n v="35.93"/>
    <s v="Prediabetes"/>
    <s v="yes"/>
    <s v="No"/>
    <x v="0"/>
    <n v="1"/>
    <x v="1"/>
    <s v="Obesity"/>
    <s v="Prediabetes"/>
    <m/>
    <m/>
    <m/>
    <m/>
    <m/>
  </r>
  <r>
    <s v="Id1101"/>
    <s v="Reasoner"/>
    <n v="26.11"/>
    <s v="Diabetes"/>
    <s v="yes"/>
    <s v="No"/>
    <x v="0"/>
    <n v="2"/>
    <x v="1"/>
    <s v="Overweight"/>
    <s v="Diabetes"/>
    <m/>
    <m/>
    <m/>
    <m/>
    <m/>
  </r>
  <r>
    <s v="Id1102"/>
    <s v="Wandzilak"/>
    <n v="32.299999999999997"/>
    <s v="Diabetes"/>
    <s v="No"/>
    <s v="No"/>
    <x v="0"/>
    <n v="2"/>
    <x v="1"/>
    <s v="Obesity"/>
    <s v="Diabetes"/>
    <m/>
    <m/>
    <m/>
    <m/>
    <m/>
  </r>
  <r>
    <s v="Id1103"/>
    <s v="Carver"/>
    <n v="28.69"/>
    <s v="Diabetes"/>
    <s v="No"/>
    <s v="No"/>
    <x v="0"/>
    <n v="2"/>
    <x v="1"/>
    <s v="Overweight"/>
    <s v="Diabetes"/>
    <m/>
    <m/>
    <m/>
    <m/>
    <m/>
  </r>
  <r>
    <s v="Id1104"/>
    <s v="Borror"/>
    <n v="31.28"/>
    <s v="Diabetes"/>
    <s v="yes"/>
    <s v="No"/>
    <x v="0"/>
    <n v="1"/>
    <x v="1"/>
    <s v="Obesity"/>
    <s v="Diabetes"/>
    <m/>
    <m/>
    <m/>
    <m/>
    <m/>
  </r>
  <r>
    <s v="Id1105"/>
    <s v="Saad"/>
    <n v="30.21"/>
    <s v="Diabetes"/>
    <s v="No"/>
    <s v="No"/>
    <x v="0"/>
    <s v="No major surgery"/>
    <x v="1"/>
    <s v="Obesity"/>
    <s v="Diabetes"/>
    <m/>
    <m/>
    <m/>
    <m/>
    <m/>
  </r>
  <r>
    <s v="Id1106"/>
    <s v="Paul"/>
    <n v="38.28"/>
    <s v="Diabetes"/>
    <s v="yes"/>
    <s v="No"/>
    <x v="0"/>
    <s v="No major surgery"/>
    <x v="1"/>
    <s v="Obesity"/>
    <s v="Diabetes"/>
    <m/>
    <m/>
    <m/>
    <m/>
    <m/>
  </r>
  <r>
    <s v="Id1107"/>
    <s v="Trail"/>
    <n v="29.9"/>
    <s v="Diabetes"/>
    <s v="yes"/>
    <s v="No"/>
    <x v="0"/>
    <s v="No major surgery"/>
    <x v="1"/>
    <s v="Overweight"/>
    <s v="Diabetes"/>
    <m/>
    <m/>
    <m/>
    <m/>
    <m/>
  </r>
  <r>
    <s v="Id1108"/>
    <s v="Benton"/>
    <n v="23.18"/>
    <s v="Diabetes"/>
    <s v="yes"/>
    <s v="No"/>
    <x v="0"/>
    <n v="2"/>
    <x v="1"/>
    <s v="Normal Weight"/>
    <s v="Diabetes"/>
    <m/>
    <m/>
    <m/>
    <m/>
    <m/>
  </r>
  <r>
    <s v="Id1109"/>
    <s v="Bauman"/>
    <n v="33.020000000000003"/>
    <s v="Normal"/>
    <s v="yes"/>
    <s v="No"/>
    <x v="0"/>
    <s v="No major surgery"/>
    <x v="1"/>
    <s v="Obesity"/>
    <s v="Normal"/>
    <m/>
    <m/>
    <m/>
    <m/>
    <m/>
  </r>
  <r>
    <s v="Id1110"/>
    <s v="Bakula"/>
    <n v="27.29"/>
    <s v="Prediabetes"/>
    <s v="No"/>
    <s v="No"/>
    <x v="0"/>
    <n v="2"/>
    <x v="1"/>
    <s v="Overweight"/>
    <s v="Prediabetes"/>
    <m/>
    <m/>
    <m/>
    <m/>
    <m/>
  </r>
  <r>
    <s v="Id1111"/>
    <s v="Edwards"/>
    <n v="23.18"/>
    <s v="Diabetes"/>
    <s v="No"/>
    <s v="No"/>
    <x v="0"/>
    <n v="2"/>
    <x v="1"/>
    <s v="Normal Weight"/>
    <s v="Diabetes"/>
    <m/>
    <m/>
    <m/>
    <m/>
    <m/>
  </r>
  <r>
    <s v="Id1112"/>
    <s v="Davis"/>
    <n v="32.659999999999997"/>
    <s v="Diabetes"/>
    <s v="yes"/>
    <s v="No"/>
    <x v="0"/>
    <s v="No major surgery"/>
    <x v="1"/>
    <s v="Obesity"/>
    <s v="Diabetes"/>
    <m/>
    <m/>
    <m/>
    <m/>
    <m/>
  </r>
  <r>
    <s v="Id1113"/>
    <s v="Weiler"/>
    <n v="30.78"/>
    <s v="Diabetes"/>
    <s v="No"/>
    <s v="No"/>
    <x v="0"/>
    <s v="No major surgery"/>
    <x v="1"/>
    <s v="Obesity"/>
    <s v="Diabetes"/>
    <m/>
    <m/>
    <m/>
    <m/>
    <m/>
  </r>
  <r>
    <s v="Id1114"/>
    <s v="Schaaf"/>
    <n v="47.2"/>
    <s v="Prediabetes"/>
    <s v="yes"/>
    <s v="No"/>
    <x v="1"/>
    <n v="1"/>
    <x v="1"/>
    <s v="Obesity"/>
    <s v="Prediabetes"/>
    <m/>
    <m/>
    <m/>
    <m/>
    <m/>
  </r>
  <r>
    <s v="Id1115"/>
    <s v="Sack"/>
    <n v="31.6"/>
    <s v="Prediabetes"/>
    <s v="No"/>
    <s v="No"/>
    <x v="0"/>
    <n v="2"/>
    <x v="1"/>
    <s v="Obesity"/>
    <s v="Prediabetes"/>
    <m/>
    <m/>
    <m/>
    <m/>
    <m/>
  </r>
  <r>
    <s v="Id1116"/>
    <s v="Chenard"/>
    <n v="33.914999999999999"/>
    <s v="Diabetes"/>
    <s v="yes"/>
    <s v="No"/>
    <x v="0"/>
    <n v="1"/>
    <x v="1"/>
    <s v="Obesity"/>
    <s v="Diabetes"/>
    <m/>
    <m/>
    <m/>
    <m/>
    <m/>
  </r>
  <r>
    <s v="Id1117"/>
    <s v="Williamson"/>
    <n v="23.54"/>
    <s v="Normal"/>
    <s v="No"/>
    <s v="No"/>
    <x v="0"/>
    <n v="2"/>
    <x v="1"/>
    <s v="Normal Weight"/>
    <s v="Normal"/>
    <m/>
    <m/>
    <m/>
    <m/>
    <m/>
  </r>
  <r>
    <s v="Id1118"/>
    <s v="Dollas"/>
    <n v="27.074999999999999"/>
    <s v="Normal"/>
    <s v="No"/>
    <s v="No"/>
    <x v="0"/>
    <n v="2"/>
    <x v="1"/>
    <s v="Overweight"/>
    <s v="Normal"/>
    <m/>
    <m/>
    <m/>
    <m/>
    <m/>
  </r>
  <r>
    <s v="Id1119"/>
    <s v="Sprague"/>
    <n v="25.8"/>
    <s v="Normal"/>
    <s v="yes"/>
    <s v="No"/>
    <x v="0"/>
    <s v="No major surgery"/>
    <x v="1"/>
    <s v="Overweight"/>
    <s v="Normal"/>
    <m/>
    <m/>
    <m/>
    <m/>
    <m/>
  </r>
  <r>
    <s v="Id1120"/>
    <s v="Michell"/>
    <n v="36.1"/>
    <s v="Normal"/>
    <s v="yes"/>
    <s v="No"/>
    <x v="1"/>
    <n v="1"/>
    <x v="1"/>
    <s v="Obesity"/>
    <s v="Normal"/>
    <m/>
    <m/>
    <m/>
    <m/>
    <m/>
  </r>
  <r>
    <s v="Id1121"/>
    <s v="Datwyler"/>
    <n v="30.495000000000001"/>
    <s v="Prediabetes"/>
    <s v="yes"/>
    <s v="No"/>
    <x v="1"/>
    <n v="1"/>
    <x v="1"/>
    <s v="Obesity"/>
    <s v="Prediabetes"/>
    <m/>
    <m/>
    <m/>
    <m/>
    <m/>
  </r>
  <r>
    <s v="Id1122"/>
    <s v="Mead"/>
    <n v="21.4"/>
    <s v="Prediabetes"/>
    <s v="yes"/>
    <s v="No"/>
    <x v="1"/>
    <n v="1"/>
    <x v="1"/>
    <s v="Normal Weight"/>
    <s v="Prediabetes"/>
    <m/>
    <m/>
    <m/>
    <m/>
    <m/>
  </r>
  <r>
    <s v="Id1123"/>
    <s v="Kennedy"/>
    <n v="32.299999999999997"/>
    <s v="Diabetes"/>
    <s v="No"/>
    <s v="No"/>
    <x v="0"/>
    <s v="No major surgery"/>
    <x v="1"/>
    <s v="Obesity"/>
    <s v="Diabetes"/>
    <m/>
    <m/>
    <m/>
    <m/>
    <m/>
  </r>
  <r>
    <s v="Id1124"/>
    <s v="Czech"/>
    <n v="29.78"/>
    <s v="Prediabetes"/>
    <s v="No"/>
    <s v="No"/>
    <x v="1"/>
    <n v="1"/>
    <x v="1"/>
    <s v="Overweight"/>
    <s v="Prediabetes"/>
    <m/>
    <m/>
    <m/>
    <m/>
    <m/>
  </r>
  <r>
    <s v="Id1125"/>
    <s v="O'Brien"/>
    <n v="34.76"/>
    <s v="Prediabetes"/>
    <s v="yes"/>
    <s v="No"/>
    <x v="0"/>
    <n v="1"/>
    <x v="1"/>
    <s v="Obesity"/>
    <s v="Prediabetes"/>
    <m/>
    <m/>
    <m/>
    <m/>
    <m/>
  </r>
  <r>
    <s v="Id1126"/>
    <s v="Bachman"/>
    <n v="18.335000000000001"/>
    <s v="Diabetes"/>
    <s v="yes"/>
    <s v="No"/>
    <x v="0"/>
    <n v="2"/>
    <x v="1"/>
    <s v="Underweight"/>
    <s v="Diabetes"/>
    <m/>
    <m/>
    <m/>
    <m/>
    <m/>
  </r>
  <r>
    <s v="Id1127"/>
    <s v="Bednar"/>
    <n v="32.299999999999997"/>
    <s v="Diabetes"/>
    <s v="No"/>
    <s v="No"/>
    <x v="0"/>
    <s v="No major surgery"/>
    <x v="1"/>
    <s v="Obesity"/>
    <s v="Diabetes"/>
    <m/>
    <m/>
    <m/>
    <m/>
    <m/>
  </r>
  <r>
    <s v="Id1128"/>
    <s v="Daye"/>
    <n v="27.74"/>
    <s v="Diabetes"/>
    <s v="No"/>
    <s v="No"/>
    <x v="0"/>
    <s v="No major surgery"/>
    <x v="1"/>
    <s v="Overweight"/>
    <s v="Diabetes"/>
    <m/>
    <m/>
    <m/>
    <m/>
    <m/>
  </r>
  <r>
    <s v="Id1129"/>
    <s v="Clarke"/>
    <n v="24"/>
    <s v="Normal"/>
    <s v="yes"/>
    <s v="No"/>
    <x v="0"/>
    <n v="1"/>
    <x v="1"/>
    <s v="Normal Weight"/>
    <s v="Normal"/>
    <m/>
    <m/>
    <m/>
    <m/>
    <m/>
  </r>
  <r>
    <s v="Id1130"/>
    <s v="Koren"/>
    <n v="31.78"/>
    <s v="Normal"/>
    <s v="yes"/>
    <s v="No"/>
    <x v="1"/>
    <n v="1"/>
    <x v="1"/>
    <s v="Obesity"/>
    <s v="Normal"/>
    <m/>
    <m/>
    <m/>
    <m/>
    <m/>
  </r>
  <r>
    <s v="Id1131"/>
    <s v="Kuramoto"/>
    <n v="32.25"/>
    <s v="Normal"/>
    <s v="yes"/>
    <s v="No"/>
    <x v="0"/>
    <s v="No major surgery"/>
    <x v="1"/>
    <s v="Obesity"/>
    <s v="Normal"/>
    <m/>
    <m/>
    <m/>
    <m/>
    <m/>
  </r>
  <r>
    <s v="Id1132"/>
    <s v="Lynn"/>
    <n v="30.114999999999998"/>
    <s v="Normal"/>
    <s v="No"/>
    <s v="No"/>
    <x v="0"/>
    <n v="2"/>
    <x v="1"/>
    <s v="Obesity"/>
    <s v="Normal"/>
    <m/>
    <m/>
    <m/>
    <m/>
    <m/>
  </r>
  <r>
    <s v="Id1133"/>
    <s v="Dierksen"/>
    <n v="22.41"/>
    <s v="Diabetes"/>
    <s v="No"/>
    <s v="No"/>
    <x v="0"/>
    <s v="No major surgery"/>
    <x v="1"/>
    <s v="Normal Weight"/>
    <s v="Diabetes"/>
    <m/>
    <m/>
    <m/>
    <m/>
    <m/>
  </r>
  <r>
    <s v="Id1134"/>
    <s v="Zoeller"/>
    <n v="45.72"/>
    <s v="Normal"/>
    <s v="yes"/>
    <s v="No"/>
    <x v="0"/>
    <s v="No major surgery"/>
    <x v="1"/>
    <s v="Obesity"/>
    <s v="Normal"/>
    <m/>
    <m/>
    <m/>
    <m/>
    <m/>
  </r>
  <r>
    <s v="Id1135"/>
    <s v="Flesch"/>
    <n v="25"/>
    <s v="Normal"/>
    <s v="yes"/>
    <s v="No"/>
    <x v="0"/>
    <n v="2"/>
    <x v="1"/>
    <s v="Overweight"/>
    <s v="Normal"/>
    <m/>
    <m/>
    <m/>
    <m/>
    <m/>
  </r>
  <r>
    <s v="Id1136"/>
    <s v="Maltby"/>
    <n v="39.5"/>
    <s v="Diabetes"/>
    <s v="No"/>
    <s v="No"/>
    <x v="0"/>
    <s v="No major surgery"/>
    <x v="1"/>
    <s v="Obesity"/>
    <s v="Diabetes"/>
    <m/>
    <m/>
    <m/>
    <m/>
    <m/>
  </r>
  <r>
    <s v="Id1137"/>
    <s v="Custance"/>
    <n v="37.729999999999997"/>
    <s v="Diabetes"/>
    <s v="No"/>
    <s v="No"/>
    <x v="0"/>
    <s v="No major surgery"/>
    <x v="1"/>
    <s v="Obesity"/>
    <s v="Diabetes"/>
    <m/>
    <m/>
    <m/>
    <m/>
    <m/>
  </r>
  <r>
    <s v="Id1138"/>
    <s v="Choi"/>
    <n v="40.659999999999997"/>
    <s v="Diabetes"/>
    <s v="No"/>
    <s v="No"/>
    <x v="0"/>
    <s v="No major surgery"/>
    <x v="1"/>
    <s v="Obesity"/>
    <s v="Diabetes"/>
    <m/>
    <m/>
    <m/>
    <m/>
    <m/>
  </r>
  <r>
    <s v="Id1139"/>
    <s v="Barnett"/>
    <n v="34.200000000000003"/>
    <s v="Diabetes"/>
    <s v="No"/>
    <s v="No"/>
    <x v="0"/>
    <s v="No major surgery"/>
    <x v="1"/>
    <s v="Obesity"/>
    <s v="Diabetes"/>
    <m/>
    <m/>
    <m/>
    <m/>
    <m/>
  </r>
  <r>
    <s v="Id1140"/>
    <s v="Proulx"/>
    <n v="46.51"/>
    <s v="Prediabetes"/>
    <s v="No"/>
    <s v="No"/>
    <x v="0"/>
    <n v="1"/>
    <x v="1"/>
    <s v="Obesity"/>
    <s v="Prediabetes"/>
    <m/>
    <m/>
    <m/>
    <m/>
    <m/>
  </r>
  <r>
    <s v="Id1141"/>
    <s v="Hamilton"/>
    <n v="28.88"/>
    <s v="Normal"/>
    <s v="yes"/>
    <s v="No"/>
    <x v="1"/>
    <n v="1"/>
    <x v="1"/>
    <s v="Overweight"/>
    <s v="Normal"/>
    <m/>
    <m/>
    <m/>
    <m/>
    <m/>
  </r>
  <r>
    <s v="Id1142"/>
    <s v="Lundine"/>
    <n v="33.914999999999999"/>
    <s v="Diabetes"/>
    <s v="No"/>
    <s v="No"/>
    <x v="0"/>
    <s v="No major surgery"/>
    <x v="1"/>
    <s v="Obesity"/>
    <s v="Diabetes"/>
    <m/>
    <m/>
    <m/>
    <m/>
    <m/>
  </r>
  <r>
    <s v="Id1143"/>
    <s v="Paullin"/>
    <n v="24.32"/>
    <s v="Prediabetes"/>
    <s v="yes"/>
    <s v="No"/>
    <x v="1"/>
    <n v="1"/>
    <x v="1"/>
    <s v="Normal Weight"/>
    <s v="Prediabetes"/>
    <m/>
    <m/>
    <m/>
    <m/>
    <m/>
  </r>
  <r>
    <s v="Id1144"/>
    <s v="Delucia"/>
    <n v="25.8"/>
    <s v="Diabetes"/>
    <s v="No"/>
    <s v="No"/>
    <x v="0"/>
    <s v="No major surgery"/>
    <x v="1"/>
    <s v="Overweight"/>
    <s v="Diabetes"/>
    <m/>
    <m/>
    <m/>
    <m/>
    <m/>
  </r>
  <r>
    <s v="Id1145"/>
    <s v="Valentine"/>
    <n v="21.56"/>
    <s v="Diabetes"/>
    <s v="No"/>
    <s v="No"/>
    <x v="0"/>
    <s v="No major surgery"/>
    <x v="1"/>
    <s v="Normal Weight"/>
    <s v="Diabetes"/>
    <m/>
    <m/>
    <m/>
    <m/>
    <m/>
  </r>
  <r>
    <s v="Id1146"/>
    <s v="Mohara"/>
    <n v="31.6"/>
    <s v="Diabetes"/>
    <s v="No"/>
    <s v="No"/>
    <x v="0"/>
    <s v="No major surgery"/>
    <x v="1"/>
    <s v="Obesity"/>
    <s v="Diabetes"/>
    <m/>
    <m/>
    <m/>
    <m/>
    <m/>
  </r>
  <r>
    <s v="Id1147"/>
    <s v="Fairbrother"/>
    <n v="42.93"/>
    <s v="Normal"/>
    <s v="No"/>
    <s v="No"/>
    <x v="0"/>
    <n v="1"/>
    <x v="1"/>
    <s v="Obesity"/>
    <s v="Normal"/>
    <m/>
    <m/>
    <m/>
    <m/>
    <m/>
  </r>
  <r>
    <s v="Id1148"/>
    <s v="Fagan"/>
    <n v="26.72"/>
    <s v="Prediabetes"/>
    <s v="No"/>
    <s v="No"/>
    <x v="0"/>
    <n v="2"/>
    <x v="1"/>
    <s v="Overweight"/>
    <s v="Prediabetes"/>
    <m/>
    <m/>
    <m/>
    <m/>
    <m/>
  </r>
  <r>
    <s v="Id1149"/>
    <s v="Toth"/>
    <n v="26.67"/>
    <s v="Prediabetes"/>
    <s v="No"/>
    <s v="No"/>
    <x v="0"/>
    <n v="2"/>
    <x v="1"/>
    <s v="Overweight"/>
    <s v="Prediabetes"/>
    <m/>
    <m/>
    <m/>
    <m/>
    <m/>
  </r>
  <r>
    <s v="Id1150"/>
    <s v="Guinn"/>
    <n v="42.68"/>
    <s v="Diabetes"/>
    <s v="No"/>
    <s v="No"/>
    <x v="0"/>
    <n v="2"/>
    <x v="1"/>
    <s v="Obesity"/>
    <s v="Diabetes"/>
    <m/>
    <m/>
    <m/>
    <m/>
    <m/>
  </r>
  <r>
    <s v="Id1151"/>
    <s v="Rogers"/>
    <n v="24.31"/>
    <s v="Prediabetes"/>
    <s v="No"/>
    <s v="No"/>
    <x v="0"/>
    <s v="No major surgery"/>
    <x v="1"/>
    <s v="Normal Weight"/>
    <s v="Prediabetes"/>
    <m/>
    <m/>
    <m/>
    <m/>
    <m/>
  </r>
  <r>
    <s v="Id1152"/>
    <s v="Diviney"/>
    <n v="44.75"/>
    <s v="Normal"/>
    <s v="yes"/>
    <s v="No"/>
    <x v="0"/>
    <s v="No major surgery"/>
    <x v="1"/>
    <s v="Obesity"/>
    <s v="Normal"/>
    <m/>
    <m/>
    <m/>
    <m/>
    <m/>
  </r>
  <r>
    <s v="Id1153"/>
    <s v="Marlatt"/>
    <n v="30.78"/>
    <s v="Diabetes"/>
    <s v="No"/>
    <s v="No"/>
    <x v="0"/>
    <n v="2"/>
    <x v="1"/>
    <s v="Obesity"/>
    <s v="Diabetes"/>
    <m/>
    <m/>
    <m/>
    <m/>
    <m/>
  </r>
  <r>
    <s v="Id1154"/>
    <s v="Ohler"/>
    <n v="21.86"/>
    <s v="Diabetes"/>
    <s v="No"/>
    <s v="No"/>
    <x v="0"/>
    <s v="No major surgery"/>
    <x v="1"/>
    <s v="Normal Weight"/>
    <s v="Diabetes"/>
    <m/>
    <m/>
    <m/>
    <m/>
    <m/>
  </r>
  <r>
    <s v="Id1155"/>
    <s v="Mossler"/>
    <n v="49.09"/>
    <s v="Prediabetes"/>
    <s v="yes"/>
    <s v="No"/>
    <x v="0"/>
    <s v="No major surgery"/>
    <x v="1"/>
    <s v="Obesity"/>
    <s v="Prediabetes"/>
    <m/>
    <m/>
    <m/>
    <m/>
    <m/>
  </r>
  <r>
    <s v="Id1156"/>
    <s v="Segall"/>
    <n v="47.74"/>
    <s v="Diabetes"/>
    <s v="yes"/>
    <s v="No"/>
    <x v="0"/>
    <n v="2"/>
    <x v="1"/>
    <s v="Obesity"/>
    <s v="Diabetes"/>
    <m/>
    <m/>
    <m/>
    <m/>
    <m/>
  </r>
  <r>
    <s v="Id1157"/>
    <s v="Sprieser"/>
    <n v="30.2"/>
    <s v="Diabetes"/>
    <s v="yes"/>
    <s v="No"/>
    <x v="0"/>
    <n v="2"/>
    <x v="1"/>
    <s v="Obesity"/>
    <s v="Diabetes"/>
    <m/>
    <m/>
    <m/>
    <m/>
    <m/>
  </r>
  <r>
    <s v="Id1158"/>
    <s v="Blanco"/>
    <n v="33.25"/>
    <s v="Diabetes"/>
    <s v="yes"/>
    <s v="No"/>
    <x v="0"/>
    <n v="2"/>
    <x v="1"/>
    <s v="Obesity"/>
    <s v="Diabetes"/>
    <m/>
    <m/>
    <m/>
    <m/>
    <m/>
  </r>
  <r>
    <s v="Id1159"/>
    <s v="Sheptock"/>
    <n v="26.6"/>
    <s v="Diabetes"/>
    <s v="yes"/>
    <s v="No"/>
    <x v="0"/>
    <n v="1"/>
    <x v="1"/>
    <s v="Overweight"/>
    <s v="Diabetes"/>
    <m/>
    <m/>
    <m/>
    <m/>
    <m/>
  </r>
  <r>
    <s v="Id1160"/>
    <s v="Chruniak"/>
    <n v="26.35"/>
    <s v="Prediabetes"/>
    <s v="No"/>
    <s v="No"/>
    <x v="0"/>
    <n v="2"/>
    <x v="1"/>
    <s v="Overweight"/>
    <s v="Prediabetes"/>
    <m/>
    <m/>
    <m/>
    <m/>
    <m/>
  </r>
  <r>
    <s v="Id1161"/>
    <s v="Miller"/>
    <n v="39.994999999999997"/>
    <s v="Normal"/>
    <s v="No"/>
    <s v="No"/>
    <x v="0"/>
    <s v="No major surgery"/>
    <x v="1"/>
    <s v="Obesity"/>
    <s v="Normal"/>
    <m/>
    <m/>
    <m/>
    <m/>
    <m/>
  </r>
  <r>
    <s v="Id1162"/>
    <s v="Theis"/>
    <n v="22.92"/>
    <s v="Prediabetes"/>
    <s v="yes"/>
    <s v="No"/>
    <x v="0"/>
    <n v="1"/>
    <x v="1"/>
    <s v="Normal Weight"/>
    <s v="Prediabetes"/>
    <m/>
    <m/>
    <m/>
    <m/>
    <m/>
  </r>
  <r>
    <s v="Id1163"/>
    <s v="Sadler"/>
    <n v="24.78"/>
    <s v="Normal"/>
    <s v="yes"/>
    <s v="No"/>
    <x v="0"/>
    <n v="2"/>
    <x v="1"/>
    <s v="Normal Weight"/>
    <s v="Normal"/>
    <m/>
    <m/>
    <m/>
    <m/>
    <m/>
  </r>
  <r>
    <s v="Id1164"/>
    <s v="Auger"/>
    <n v="34.07"/>
    <s v="Diabetes"/>
    <s v="yes"/>
    <s v="No"/>
    <x v="0"/>
    <s v="No major surgery"/>
    <x v="1"/>
    <s v="Obesity"/>
    <s v="Diabetes"/>
    <m/>
    <m/>
    <m/>
    <m/>
    <m/>
  </r>
  <r>
    <s v="Id1165"/>
    <s v="Steadman"/>
    <n v="30.14"/>
    <s v="Diabetes"/>
    <s v="No"/>
    <s v="No"/>
    <x v="0"/>
    <s v="No major surgery"/>
    <x v="1"/>
    <s v="Obesity"/>
    <s v="Diabetes"/>
    <m/>
    <m/>
    <m/>
    <m/>
    <m/>
  </r>
  <r>
    <s v="Id1166"/>
    <s v="McCarron"/>
    <n v="18.05"/>
    <s v="Diabetes"/>
    <s v="No"/>
    <s v="No"/>
    <x v="0"/>
    <s v="No major surgery"/>
    <x v="1"/>
    <s v="Underweight"/>
    <s v="Diabetes"/>
    <m/>
    <m/>
    <m/>
    <m/>
    <m/>
  </r>
  <r>
    <s v="Id1167"/>
    <s v="Roecker"/>
    <n v="37.4"/>
    <s v="Diabetes"/>
    <s v="yes"/>
    <s v="No"/>
    <x v="0"/>
    <n v="2"/>
    <x v="1"/>
    <s v="Obesity"/>
    <s v="Diabetes"/>
    <m/>
    <m/>
    <m/>
    <m/>
    <m/>
  </r>
  <r>
    <s v="Id1168"/>
    <s v="Giumarra"/>
    <n v="25.75"/>
    <s v="Diabetes"/>
    <s v="No"/>
    <s v="No"/>
    <x v="0"/>
    <s v="No major surgery"/>
    <x v="1"/>
    <s v="Overweight"/>
    <s v="Diabetes"/>
    <m/>
    <m/>
    <m/>
    <m/>
    <m/>
  </r>
  <r>
    <s v="Id1169"/>
    <s v="Peters"/>
    <n v="32.299999999999997"/>
    <s v="Normal"/>
    <s v="No"/>
    <s v="No"/>
    <x v="0"/>
    <n v="2"/>
    <x v="1"/>
    <s v="Obesity"/>
    <s v="Normal"/>
    <m/>
    <m/>
    <m/>
    <m/>
    <m/>
  </r>
  <r>
    <s v="Id1170"/>
    <s v="Bower"/>
    <n v="28.61"/>
    <s v="Prediabetes"/>
    <s v="No"/>
    <s v="No"/>
    <x v="1"/>
    <n v="1"/>
    <x v="1"/>
    <s v="Overweight"/>
    <s v="Prediabetes"/>
    <m/>
    <m/>
    <m/>
    <m/>
    <m/>
  </r>
  <r>
    <s v="Id1171"/>
    <s v="Chen"/>
    <n v="45.41"/>
    <s v="Normal"/>
    <s v="No"/>
    <s v="No"/>
    <x v="0"/>
    <n v="1"/>
    <x v="1"/>
    <s v="Obesity"/>
    <s v="Normal"/>
    <m/>
    <m/>
    <m/>
    <m/>
    <m/>
  </r>
  <r>
    <s v="Id1172"/>
    <s v="Capriccioso"/>
    <n v="31.2"/>
    <s v="Diabetes"/>
    <s v="yes"/>
    <s v="No"/>
    <x v="0"/>
    <n v="2"/>
    <x v="1"/>
    <s v="Obesity"/>
    <s v="Diabetes"/>
    <m/>
    <m/>
    <m/>
    <m/>
    <m/>
  </r>
  <r>
    <s v="Id1173"/>
    <s v="Starbuck"/>
    <n v="29.83"/>
    <s v="Diabetes"/>
    <s v="yes"/>
    <s v="No"/>
    <x v="0"/>
    <n v="1"/>
    <x v="1"/>
    <s v="Overweight"/>
    <s v="Diabetes"/>
    <m/>
    <m/>
    <m/>
    <m/>
    <m/>
  </r>
  <r>
    <s v="Id1174"/>
    <s v="McMahon"/>
    <n v="29.06"/>
    <s v="Normal"/>
    <s v="No"/>
    <s v="No"/>
    <x v="0"/>
    <s v="No major surgery"/>
    <x v="1"/>
    <s v="Overweight"/>
    <s v="Normal"/>
    <m/>
    <m/>
    <m/>
    <m/>
    <m/>
  </r>
  <r>
    <s v="Id1175"/>
    <s v="Rissell"/>
    <n v="27.454999999999998"/>
    <s v="Prediabetes"/>
    <s v="No"/>
    <s v="No"/>
    <x v="0"/>
    <n v="2"/>
    <x v="1"/>
    <s v="Overweight"/>
    <s v="Prediabetes"/>
    <m/>
    <m/>
    <m/>
    <m/>
    <m/>
  </r>
  <r>
    <s v="Id1176"/>
    <s v="Kromroy"/>
    <n v="23.01"/>
    <s v="Prediabetes"/>
    <s v="yes"/>
    <s v="No"/>
    <x v="0"/>
    <n v="1"/>
    <x v="1"/>
    <s v="Normal Weight"/>
    <s v="Prediabetes"/>
    <m/>
    <m/>
    <m/>
    <m/>
    <m/>
  </r>
  <r>
    <s v="Id1177"/>
    <s v="Manfredi"/>
    <n v="31.39"/>
    <s v="Diabetes"/>
    <s v="yes"/>
    <s v="No"/>
    <x v="0"/>
    <s v="No major surgery"/>
    <x v="1"/>
    <s v="Obesity"/>
    <s v="Diabetes"/>
    <m/>
    <m/>
    <m/>
    <m/>
    <m/>
  </r>
  <r>
    <s v="Id1178"/>
    <s v="Manwaring"/>
    <n v="34.770000000000003"/>
    <s v="Diabetes"/>
    <s v="No"/>
    <s v="No"/>
    <x v="0"/>
    <n v="2"/>
    <x v="1"/>
    <s v="Obesity"/>
    <s v="Diabetes"/>
    <m/>
    <m/>
    <m/>
    <m/>
    <m/>
  </r>
  <r>
    <s v="Id1179"/>
    <s v="Tomaszewski"/>
    <n v="24.48"/>
    <s v="Normal"/>
    <s v="yes"/>
    <s v="No"/>
    <x v="0"/>
    <n v="2"/>
    <x v="1"/>
    <s v="Normal Weight"/>
    <s v="Normal"/>
    <m/>
    <m/>
    <m/>
    <m/>
    <m/>
  </r>
  <r>
    <s v="Id1180"/>
    <s v="Gannon"/>
    <n v="22.61"/>
    <s v="Diabetes"/>
    <s v="No"/>
    <s v="No"/>
    <x v="0"/>
    <n v="2"/>
    <x v="1"/>
    <s v="Normal Weight"/>
    <s v="Diabetes"/>
    <m/>
    <m/>
    <m/>
    <m/>
    <m/>
  </r>
  <r>
    <s v="Id1181"/>
    <s v="Frye"/>
    <n v="34.299999999999997"/>
    <s v="Diabetes"/>
    <s v="No"/>
    <s v="No"/>
    <x v="0"/>
    <s v="No major surgery"/>
    <x v="1"/>
    <s v="Obesity"/>
    <s v="Diabetes"/>
    <m/>
    <m/>
    <m/>
    <m/>
    <m/>
  </r>
  <r>
    <s v="Id1182"/>
    <s v="Jenkins"/>
    <n v="46.09"/>
    <s v="Normal"/>
    <s v="No"/>
    <s v="No"/>
    <x v="0"/>
    <n v="2"/>
    <x v="1"/>
    <s v="Obesity"/>
    <s v="Normal"/>
    <m/>
    <m/>
    <m/>
    <m/>
    <m/>
  </r>
  <r>
    <s v="Id1183"/>
    <s v="Currier"/>
    <n v="44.744999999999997"/>
    <s v="Normal"/>
    <s v="No"/>
    <s v="No"/>
    <x v="0"/>
    <n v="2"/>
    <x v="1"/>
    <s v="Obesity"/>
    <s v="Normal"/>
    <m/>
    <m/>
    <m/>
    <m/>
    <m/>
  </r>
  <r>
    <s v="Id1184"/>
    <s v="Whittendale"/>
    <n v="26.33"/>
    <s v="Diabetes"/>
    <s v="yes"/>
    <s v="No"/>
    <x v="0"/>
    <n v="1"/>
    <x v="1"/>
    <s v="Overweight"/>
    <s v="Diabetes"/>
    <m/>
    <m/>
    <m/>
    <m/>
    <m/>
  </r>
  <r>
    <s v="Id1185"/>
    <s v="Rixe"/>
    <n v="26.6"/>
    <s v="Diabetes"/>
    <s v="No"/>
    <s v="No"/>
    <x v="0"/>
    <n v="2"/>
    <x v="1"/>
    <s v="Overweight"/>
    <s v="Diabetes"/>
    <m/>
    <m/>
    <m/>
    <m/>
    <m/>
  </r>
  <r>
    <s v="Id1186"/>
    <s v="Ballon-Landa"/>
    <n v="27.5"/>
    <s v="Diabetes"/>
    <s v="No"/>
    <s v="No"/>
    <x v="0"/>
    <s v="No major surgery"/>
    <x v="1"/>
    <s v="Overweight"/>
    <s v="Diabetes"/>
    <m/>
    <m/>
    <m/>
    <m/>
    <m/>
  </r>
  <r>
    <s v="Id1187"/>
    <s v="Zaferos"/>
    <n v="41.55"/>
    <s v="Normal"/>
    <s v="No"/>
    <s v="No"/>
    <x v="0"/>
    <n v="1"/>
    <x v="1"/>
    <s v="Obesity"/>
    <s v="Normal"/>
    <m/>
    <m/>
    <m/>
    <m/>
    <m/>
  </r>
  <r>
    <s v="Id1188"/>
    <s v="Jackson"/>
    <n v="41.47"/>
    <s v="Normal"/>
    <s v="yes"/>
    <s v="No"/>
    <x v="1"/>
    <n v="1"/>
    <x v="1"/>
    <s v="Obesity"/>
    <s v="Normal"/>
    <m/>
    <m/>
    <m/>
    <m/>
    <m/>
  </r>
  <r>
    <s v="Id1189"/>
    <s v="Evans Marke"/>
    <n v="24.795000000000002"/>
    <s v="Prediabetes"/>
    <s v="yes"/>
    <s v="No"/>
    <x v="0"/>
    <s v="No major surgery"/>
    <x v="1"/>
    <s v="Normal Weight"/>
    <s v="Prediabetes"/>
    <m/>
    <m/>
    <m/>
    <m/>
    <m/>
  </r>
  <r>
    <s v="Id1190"/>
    <s v="Samland"/>
    <n v="29.48"/>
    <s v="Normal"/>
    <s v="yes"/>
    <s v="No"/>
    <x v="1"/>
    <n v="1"/>
    <x v="1"/>
    <s v="Overweight"/>
    <s v="Normal"/>
    <m/>
    <m/>
    <m/>
    <m/>
    <m/>
  </r>
  <r>
    <s v="Id1191"/>
    <s v="Shapiro"/>
    <n v="28.09"/>
    <s v="Prediabetes"/>
    <s v="No"/>
    <s v="No"/>
    <x v="1"/>
    <n v="1"/>
    <x v="1"/>
    <s v="Overweight"/>
    <s v="Prediabetes"/>
    <m/>
    <m/>
    <m/>
    <m/>
    <m/>
  </r>
  <r>
    <s v="Id1192"/>
    <s v="Snitzer"/>
    <n v="32.729999999999997"/>
    <s v="Normal"/>
    <s v="No"/>
    <s v="No"/>
    <x v="0"/>
    <n v="1"/>
    <x v="1"/>
    <s v="Obesity"/>
    <s v="Normal"/>
    <m/>
    <m/>
    <m/>
    <m/>
    <m/>
  </r>
  <r>
    <s v="Id1193"/>
    <s v="Herra Arroyo"/>
    <n v="27.36"/>
    <s v="Diabetes"/>
    <s v="No"/>
    <s v="No"/>
    <x v="0"/>
    <s v="No major surgery"/>
    <x v="1"/>
    <s v="Overweight"/>
    <s v="Diabetes"/>
    <m/>
    <m/>
    <m/>
    <m/>
    <m/>
  </r>
  <r>
    <s v="Id1194"/>
    <s v="Watters"/>
    <n v="27.265000000000001"/>
    <s v="Diabetes"/>
    <s v="No"/>
    <s v="No"/>
    <x v="0"/>
    <s v="No major surgery"/>
    <x v="1"/>
    <s v="Overweight"/>
    <s v="Diabetes"/>
    <m/>
    <m/>
    <m/>
    <m/>
    <m/>
  </r>
  <r>
    <s v="Id1195"/>
    <s v="Steele-Belkin"/>
    <n v="48.07"/>
    <s v="Normal"/>
    <s v="yes"/>
    <s v="No"/>
    <x v="0"/>
    <s v="No major surgery"/>
    <x v="1"/>
    <s v="Obesity"/>
    <s v="Normal"/>
    <m/>
    <m/>
    <m/>
    <m/>
    <m/>
  </r>
  <r>
    <s v="Id1196"/>
    <s v="Christensen"/>
    <n v="30.8"/>
    <s v="Normal"/>
    <s v="yes"/>
    <s v="No"/>
    <x v="0"/>
    <s v="No major surgery"/>
    <x v="1"/>
    <s v="Obesity"/>
    <s v="Normal"/>
    <m/>
    <m/>
    <m/>
    <m/>
    <m/>
  </r>
  <r>
    <s v="Id1197"/>
    <s v="Hodge"/>
    <n v="32.299999999999997"/>
    <s v="Normal"/>
    <s v="yes"/>
    <s v="No"/>
    <x v="0"/>
    <s v="No major surgery"/>
    <x v="1"/>
    <s v="Obesity"/>
    <s v="Normal"/>
    <m/>
    <m/>
    <m/>
    <m/>
    <m/>
  </r>
  <r>
    <s v="Id1198"/>
    <s v="Rusterholz"/>
    <n v="39.700000000000003"/>
    <s v="Diabetes"/>
    <s v="No"/>
    <s v="No"/>
    <x v="0"/>
    <s v="No major surgery"/>
    <x v="1"/>
    <s v="Obesity"/>
    <s v="Diabetes"/>
    <m/>
    <m/>
    <m/>
    <m/>
    <m/>
  </r>
  <r>
    <s v="Id1199"/>
    <s v="Lafrance"/>
    <n v="35.97"/>
    <s v="Diabetes"/>
    <s v="No"/>
    <s v="No"/>
    <x v="0"/>
    <s v="No major surgery"/>
    <x v="1"/>
    <s v="Obesity"/>
    <s v="Diabetes"/>
    <m/>
    <m/>
    <m/>
    <m/>
    <m/>
  </r>
  <r>
    <s v="Id1200"/>
    <s v="Hallis"/>
    <n v="25.86"/>
    <s v="Diabetes"/>
    <s v="yes"/>
    <s v="No"/>
    <x v="0"/>
    <n v="1"/>
    <x v="1"/>
    <s v="Overweight"/>
    <s v="Diabetes"/>
    <m/>
    <m/>
    <m/>
    <m/>
    <m/>
  </r>
  <r>
    <s v="Id1201"/>
    <s v="Marshall"/>
    <n v="30.03"/>
    <s v="Diabetes"/>
    <s v="No"/>
    <s v="No"/>
    <x v="0"/>
    <s v="No major surgery"/>
    <x v="1"/>
    <s v="Obesity"/>
    <s v="Diabetes"/>
    <m/>
    <m/>
    <m/>
    <m/>
    <m/>
  </r>
  <r>
    <s v="Id1202"/>
    <s v="Salowitz"/>
    <n v="25.76"/>
    <s v="Prediabetes"/>
    <s v="yes"/>
    <s v="No"/>
    <x v="1"/>
    <n v="1"/>
    <x v="1"/>
    <s v="Overweight"/>
    <s v="Prediabetes"/>
    <m/>
    <m/>
    <m/>
    <m/>
    <m/>
  </r>
  <r>
    <s v="Id1203"/>
    <s v="Blake"/>
    <n v="22.42"/>
    <s v="Diabetes"/>
    <s v="No"/>
    <s v="No"/>
    <x v="0"/>
    <s v="No major surgery"/>
    <x v="1"/>
    <s v="Normal Weight"/>
    <s v="Diabetes"/>
    <m/>
    <m/>
    <m/>
    <m/>
    <m/>
  </r>
  <r>
    <s v="Id1204"/>
    <s v="Langerak"/>
    <n v="33.18"/>
    <s v="Prediabetes"/>
    <s v="yes"/>
    <s v="No"/>
    <x v="0"/>
    <n v="1"/>
    <x v="1"/>
    <s v="Obesity"/>
    <s v="Prediabetes"/>
    <m/>
    <m/>
    <m/>
    <m/>
    <m/>
  </r>
  <r>
    <s v="Id1205"/>
    <s v="Bonilla"/>
    <n v="43.04"/>
    <s v="Prediabetes"/>
    <s v="yes"/>
    <s v="No"/>
    <x v="0"/>
    <s v="No major surgery"/>
    <x v="1"/>
    <s v="Obesity"/>
    <s v="Prediabetes"/>
    <m/>
    <m/>
    <m/>
    <m/>
    <m/>
  </r>
  <r>
    <s v="Id1206"/>
    <s v="Ciabattoni"/>
    <n v="34.15"/>
    <s v="Normal"/>
    <s v="yes"/>
    <s v="No"/>
    <x v="0"/>
    <n v="1"/>
    <x v="1"/>
    <s v="Obesity"/>
    <s v="Normal"/>
    <m/>
    <m/>
    <m/>
    <m/>
    <m/>
  </r>
  <r>
    <s v="Id1207"/>
    <s v="Escanero Palmer"/>
    <n v="25.78"/>
    <s v="Prediabetes"/>
    <s v="No"/>
    <s v="No"/>
    <x v="0"/>
    <s v="No major surgery"/>
    <x v="1"/>
    <s v="Overweight"/>
    <s v="Prediabetes"/>
    <m/>
    <m/>
    <m/>
    <m/>
    <m/>
  </r>
  <r>
    <s v="Id1208"/>
    <s v="Lowe"/>
    <n v="21.02"/>
    <s v="Diabetes"/>
    <s v="yes"/>
    <s v="No"/>
    <x v="1"/>
    <n v="1"/>
    <x v="1"/>
    <s v="Normal Weight"/>
    <s v="Diabetes"/>
    <m/>
    <m/>
    <m/>
    <m/>
    <m/>
  </r>
  <r>
    <s v="Id1209"/>
    <s v="Osmark"/>
    <n v="37.51"/>
    <s v="Diabetes"/>
    <s v="No"/>
    <s v="No"/>
    <x v="0"/>
    <n v="2"/>
    <x v="1"/>
    <s v="Obesity"/>
    <s v="Diabetes"/>
    <m/>
    <m/>
    <m/>
    <m/>
    <m/>
  </r>
  <r>
    <s v="Id1210"/>
    <s v="Lawson"/>
    <n v="25.745000000000001"/>
    <s v="Prediabetes"/>
    <s v="yes"/>
    <s v="No"/>
    <x v="0"/>
    <s v="No major surgery"/>
    <x v="1"/>
    <s v="Overweight"/>
    <s v="Prediabetes"/>
    <m/>
    <m/>
    <m/>
    <m/>
    <m/>
  </r>
  <r>
    <s v="Id1211"/>
    <s v="Warwick"/>
    <n v="31.35"/>
    <s v="Diabetes"/>
    <s v="No"/>
    <s v="No"/>
    <x v="0"/>
    <n v="2"/>
    <x v="1"/>
    <s v="Obesity"/>
    <s v="Diabetes"/>
    <m/>
    <m/>
    <m/>
    <m/>
    <m/>
  </r>
  <r>
    <s v="Id1212"/>
    <s v="Magnuson"/>
    <n v="29.83"/>
    <s v="Diabetes"/>
    <s v="No"/>
    <s v="No"/>
    <x v="0"/>
    <n v="2"/>
    <x v="1"/>
    <s v="Overweight"/>
    <s v="Diabetes"/>
    <m/>
    <m/>
    <m/>
    <m/>
    <m/>
  </r>
  <r>
    <s v="Id1213"/>
    <s v="Marsh"/>
    <n v="25.49"/>
    <s v="Normal"/>
    <s v="yes"/>
    <s v="No"/>
    <x v="1"/>
    <n v="1"/>
    <x v="1"/>
    <s v="Overweight"/>
    <s v="Normal"/>
    <m/>
    <m/>
    <m/>
    <m/>
    <m/>
  </r>
  <r>
    <s v="Id1214"/>
    <s v="Kari"/>
    <n v="34.1"/>
    <s v="Diabetes"/>
    <s v="No"/>
    <s v="No"/>
    <x v="0"/>
    <s v="No major surgery"/>
    <x v="1"/>
    <s v="Obesity"/>
    <s v="Diabetes"/>
    <m/>
    <m/>
    <m/>
    <m/>
    <m/>
  </r>
  <r>
    <s v="Id1215"/>
    <s v="Standiford"/>
    <n v="25.84"/>
    <s v="Diabetes"/>
    <s v="No"/>
    <s v="No"/>
    <x v="0"/>
    <n v="2"/>
    <x v="1"/>
    <s v="Overweight"/>
    <s v="Diabetes"/>
    <m/>
    <m/>
    <m/>
    <m/>
    <m/>
  </r>
  <r>
    <s v="Id1216"/>
    <s v="Sherwin"/>
    <n v="20.6"/>
    <s v="Diabetes"/>
    <s v="No"/>
    <s v="No"/>
    <x v="0"/>
    <s v="No major surgery"/>
    <x v="1"/>
    <s v="Normal Weight"/>
    <s v="Diabetes"/>
    <m/>
    <m/>
    <m/>
    <m/>
    <m/>
  </r>
  <r>
    <s v="Id1217"/>
    <s v="Parker"/>
    <n v="28.88"/>
    <s v="Diabetes"/>
    <s v="No"/>
    <s v="No"/>
    <x v="0"/>
    <s v="No major surgery"/>
    <x v="1"/>
    <s v="Overweight"/>
    <s v="Diabetes"/>
    <m/>
    <m/>
    <m/>
    <m/>
    <m/>
  </r>
  <r>
    <s v="Id1218"/>
    <s v="Blekeli"/>
    <n v="28.24"/>
    <s v="Normal"/>
    <s v="No"/>
    <s v="No"/>
    <x v="0"/>
    <s v="No major surgery"/>
    <x v="1"/>
    <s v="Overweight"/>
    <s v="Normal"/>
    <m/>
    <m/>
    <m/>
    <m/>
    <m/>
  </r>
  <r>
    <s v="Id1219"/>
    <s v="Vangampleare"/>
    <n v="25.46"/>
    <s v="Diabetes"/>
    <s v="yes"/>
    <s v="No"/>
    <x v="0"/>
    <n v="1"/>
    <x v="1"/>
    <s v="Overweight"/>
    <s v="Diabetes"/>
    <m/>
    <m/>
    <m/>
    <m/>
    <m/>
  </r>
  <r>
    <s v="Id1220"/>
    <s v="Hiatt"/>
    <n v="29.64"/>
    <s v="Diabetes"/>
    <s v="yes"/>
    <s v="No"/>
    <x v="0"/>
    <s v="No major surgery"/>
    <x v="1"/>
    <s v="Overweight"/>
    <s v="Diabetes"/>
    <m/>
    <m/>
    <m/>
    <m/>
    <m/>
  </r>
  <r>
    <s v="Id1221"/>
    <s v="Tadesse"/>
    <n v="31.27"/>
    <s v="Diabetes"/>
    <s v="yes"/>
    <s v="No"/>
    <x v="0"/>
    <n v="1"/>
    <x v="1"/>
    <s v="Obesity"/>
    <s v="Diabetes"/>
    <m/>
    <m/>
    <m/>
    <m/>
    <m/>
  </r>
  <r>
    <s v="Id1222"/>
    <s v="Jaswell"/>
    <n v="19.95"/>
    <s v="Prediabetes"/>
    <s v="yes"/>
    <s v="No"/>
    <x v="0"/>
    <s v="No major surgery"/>
    <x v="1"/>
    <s v="Normal Weight"/>
    <s v="Prediabetes"/>
    <m/>
    <m/>
    <m/>
    <m/>
    <m/>
  </r>
  <r>
    <s v="Id1223"/>
    <s v="Phillips-Cook"/>
    <n v="21.3"/>
    <s v="Diabetes"/>
    <s v="No"/>
    <s v="No"/>
    <x v="0"/>
    <n v="2"/>
    <x v="1"/>
    <s v="Normal Weight"/>
    <s v="Diabetes"/>
    <m/>
    <m/>
    <m/>
    <m/>
    <m/>
  </r>
  <r>
    <s v="Id1224"/>
    <s v="Clark"/>
    <n v="31.635000000000002"/>
    <s v="Diabetes"/>
    <s v="No"/>
    <s v="No"/>
    <x v="0"/>
    <s v="No major surgery"/>
    <x v="1"/>
    <s v="Obesity"/>
    <s v="Diabetes"/>
    <m/>
    <m/>
    <m/>
    <m/>
    <m/>
  </r>
  <r>
    <s v="Id1225"/>
    <s v="Wang"/>
    <n v="23.9"/>
    <s v="Diabetes"/>
    <s v="yes"/>
    <s v="No"/>
    <x v="0"/>
    <n v="2"/>
    <x v="1"/>
    <s v="Normal Weight"/>
    <s v="Diabetes"/>
    <m/>
    <m/>
    <m/>
    <m/>
    <m/>
  </r>
  <r>
    <s v="Id1226"/>
    <s v="Desruisseaux"/>
    <n v="34.15"/>
    <s v="Prediabetes"/>
    <s v="No"/>
    <s v="No"/>
    <x v="0"/>
    <s v="No major surgery"/>
    <x v="1"/>
    <s v="Obesity"/>
    <s v="Prediabetes"/>
    <m/>
    <m/>
    <m/>
    <m/>
    <m/>
  </r>
  <r>
    <s v="Id1227"/>
    <s v="Ripp"/>
    <n v="28.71"/>
    <s v="Prediabetes"/>
    <s v="No"/>
    <s v="No"/>
    <x v="0"/>
    <s v="No major surgery"/>
    <x v="1"/>
    <s v="Overweight"/>
    <s v="Prediabetes"/>
    <m/>
    <m/>
    <m/>
    <m/>
    <m/>
  </r>
  <r>
    <s v="Id1228"/>
    <s v="Harris"/>
    <n v="36.700000000000003"/>
    <s v="Diabetes"/>
    <s v="yes"/>
    <s v="No"/>
    <x v="0"/>
    <n v="2"/>
    <x v="1"/>
    <s v="Obesity"/>
    <s v="Diabetes"/>
    <m/>
    <m/>
    <m/>
    <m/>
    <m/>
  </r>
  <r>
    <s v="Id1229"/>
    <s v="Shafer"/>
    <n v="34.1"/>
    <s v="Diabetes"/>
    <s v="yes"/>
    <s v="No"/>
    <x v="0"/>
    <n v="2"/>
    <x v="1"/>
    <s v="Obesity"/>
    <s v="Diabetes"/>
    <m/>
    <m/>
    <m/>
    <m/>
    <m/>
  </r>
  <r>
    <s v="Id1230"/>
    <s v="Hemesath"/>
    <n v="25.7"/>
    <s v="Normal"/>
    <s v="No"/>
    <s v="No"/>
    <x v="0"/>
    <s v="No major surgery"/>
    <x v="1"/>
    <s v="Overweight"/>
    <s v="Normal"/>
    <m/>
    <m/>
    <m/>
    <m/>
    <m/>
  </r>
  <r>
    <s v="Id1231"/>
    <s v="Vinci"/>
    <n v="21.68"/>
    <s v="Diabetes"/>
    <s v="No"/>
    <s v="No"/>
    <x v="0"/>
    <s v="No major surgery"/>
    <x v="1"/>
    <s v="Normal Weight"/>
    <s v="Diabetes"/>
    <m/>
    <m/>
    <m/>
    <m/>
    <m/>
  </r>
  <r>
    <s v="Id1232"/>
    <s v="Diamond-Husmann"/>
    <n v="25.175000000000001"/>
    <s v="Normal"/>
    <s v="No"/>
    <s v="No"/>
    <x v="0"/>
    <s v="No major surgery"/>
    <x v="1"/>
    <s v="Overweight"/>
    <s v="Normal"/>
    <m/>
    <m/>
    <m/>
    <m/>
    <m/>
  </r>
  <r>
    <s v="Id1233"/>
    <s v="Soto"/>
    <n v="44.77"/>
    <s v="Normal"/>
    <s v="No"/>
    <s v="No"/>
    <x v="0"/>
    <n v="2"/>
    <x v="1"/>
    <s v="Obesity"/>
    <s v="Normal"/>
    <m/>
    <m/>
    <m/>
    <m/>
    <m/>
  </r>
  <r>
    <s v="Id1234"/>
    <s v="Howard"/>
    <n v="37.07"/>
    <s v="Normal"/>
    <s v="No"/>
    <s v="No"/>
    <x v="0"/>
    <n v="2"/>
    <x v="1"/>
    <s v="Obesity"/>
    <s v="Normal"/>
    <m/>
    <m/>
    <m/>
    <m/>
    <m/>
  </r>
  <r>
    <s v="Id1235"/>
    <s v="Patrick"/>
    <n v="39.799999999999997"/>
    <s v="Normal"/>
    <s v="No"/>
    <s v="No"/>
    <x v="1"/>
    <n v="1"/>
    <x v="1"/>
    <s v="Obesity"/>
    <s v="Normal"/>
    <m/>
    <m/>
    <m/>
    <m/>
    <m/>
  </r>
  <r>
    <s v="Id1236"/>
    <s v="Dacko"/>
    <n v="26.36"/>
    <s v="Normal"/>
    <s v="No"/>
    <s v="No"/>
    <x v="1"/>
    <n v="1"/>
    <x v="1"/>
    <s v="Overweight"/>
    <s v="Normal"/>
    <m/>
    <m/>
    <m/>
    <m/>
    <m/>
  </r>
  <r>
    <s v="Id1237"/>
    <s v="Glassey"/>
    <n v="29.925000000000001"/>
    <s v="Diabetes"/>
    <s v="No"/>
    <s v="No"/>
    <x v="0"/>
    <n v="2"/>
    <x v="1"/>
    <e v="#N/A"/>
    <s v="Diabetes"/>
    <m/>
    <m/>
    <m/>
    <m/>
    <m/>
  </r>
  <r>
    <s v="Id1238"/>
    <s v="Frechette"/>
    <n v="37.29"/>
    <s v="Diabetes"/>
    <s v="No"/>
    <s v="No"/>
    <x v="0"/>
    <s v="No major surgery"/>
    <x v="1"/>
    <s v="Obesity"/>
    <s v="Diabetes"/>
    <m/>
    <m/>
    <m/>
    <m/>
    <m/>
  </r>
  <r>
    <s v="Id1239"/>
    <s v="Benitez"/>
    <n v="30.2"/>
    <s v="Diabetes"/>
    <s v="No"/>
    <s v="No"/>
    <x v="0"/>
    <s v="No major surgery"/>
    <x v="1"/>
    <s v="Obesity"/>
    <s v="Diabetes"/>
    <m/>
    <m/>
    <m/>
    <m/>
    <m/>
  </r>
  <r>
    <s v="Id1240"/>
    <s v="Gauthier"/>
    <n v="24.225000000000001"/>
    <s v="Normal"/>
    <s v="yes"/>
    <s v="No"/>
    <x v="1"/>
    <n v="1"/>
    <x v="1"/>
    <s v="Normal Weight"/>
    <s v="Normal"/>
    <m/>
    <m/>
    <m/>
    <m/>
    <m/>
  </r>
  <r>
    <s v="Id1241"/>
    <s v="Fazioli"/>
    <n v="31.445"/>
    <s v="Diabetes"/>
    <s v="No"/>
    <s v="No"/>
    <x v="0"/>
    <s v="No major surgery"/>
    <x v="1"/>
    <s v="Obesity"/>
    <s v="Diabetes"/>
    <m/>
    <m/>
    <m/>
    <m/>
    <m/>
  </r>
  <r>
    <s v="Id1242"/>
    <s v="Chorney"/>
    <n v="38.880000000000003"/>
    <s v="Normal"/>
    <s v="No"/>
    <s v="No"/>
    <x v="0"/>
    <n v="1"/>
    <x v="1"/>
    <s v="Obesity"/>
    <s v="Normal"/>
    <m/>
    <m/>
    <m/>
    <m/>
    <m/>
  </r>
  <r>
    <s v="Id1243"/>
    <s v="Dannenhauer"/>
    <n v="43.89"/>
    <s v="Prediabetes"/>
    <s v="yes"/>
    <s v="No"/>
    <x v="0"/>
    <s v="No major surgery"/>
    <x v="1"/>
    <s v="Obesity"/>
    <s v="Prediabetes"/>
    <m/>
    <m/>
    <m/>
    <m/>
    <m/>
  </r>
  <r>
    <s v="Id1244"/>
    <s v="McComb"/>
    <n v="25.6"/>
    <s v="Normal"/>
    <s v="No"/>
    <s v="No"/>
    <x v="0"/>
    <n v="2"/>
    <x v="1"/>
    <s v="Overweight"/>
    <s v="Normal"/>
    <m/>
    <m/>
    <m/>
    <m/>
    <m/>
  </r>
  <r>
    <s v="Id1245"/>
    <s v="Blake"/>
    <n v="29.545000000000002"/>
    <s v="Diabetes"/>
    <s v="yes"/>
    <s v="No"/>
    <x v="0"/>
    <n v="1"/>
    <x v="1"/>
    <s v="Overweight"/>
    <s v="Diabetes"/>
    <m/>
    <m/>
    <m/>
    <m/>
    <m/>
  </r>
  <r>
    <s v="Id1246"/>
    <s v="Sambasivam"/>
    <n v="23.25"/>
    <s v="Diabetes"/>
    <s v="yes"/>
    <s v="No"/>
    <x v="0"/>
    <s v="No major surgery"/>
    <x v="1"/>
    <s v="Normal Weight"/>
    <s v="Diabetes"/>
    <m/>
    <m/>
    <m/>
    <m/>
    <m/>
  </r>
  <r>
    <s v="Id1247"/>
    <s v="Maina"/>
    <n v="43.95"/>
    <s v="Normal"/>
    <s v="yes"/>
    <s v="No"/>
    <x v="1"/>
    <n v="1"/>
    <x v="1"/>
    <s v="Obesity"/>
    <s v="Normal"/>
    <m/>
    <m/>
    <m/>
    <m/>
    <m/>
  </r>
  <r>
    <s v="Id1248"/>
    <s v="Keshian"/>
    <n v="21.85"/>
    <s v="Diabetes"/>
    <s v="No"/>
    <s v="No"/>
    <x v="0"/>
    <s v="No major surgery"/>
    <x v="1"/>
    <s v="Normal Weight"/>
    <s v="Diabetes"/>
    <m/>
    <m/>
    <m/>
    <m/>
    <m/>
  </r>
  <r>
    <s v="Id1249"/>
    <s v="Maas"/>
    <n v="25.73"/>
    <s v="Diabetes"/>
    <s v="No"/>
    <s v="No"/>
    <x v="0"/>
    <n v="2"/>
    <x v="1"/>
    <s v="Overweight"/>
    <s v="Diabetes"/>
    <m/>
    <m/>
    <m/>
    <m/>
    <m/>
  </r>
  <r>
    <s v="Id1250"/>
    <s v="Sinasac"/>
    <n v="32.229999999999997"/>
    <s v="Diabetes"/>
    <s v="No"/>
    <s v="No"/>
    <x v="0"/>
    <s v="No major surgery"/>
    <x v="1"/>
    <s v="Obesity"/>
    <s v="Diabetes"/>
    <m/>
    <m/>
    <m/>
    <m/>
    <m/>
  </r>
  <r>
    <s v="Id1251"/>
    <s v="Van De Kamp"/>
    <n v="32.204999999999998"/>
    <s v="Prediabetes"/>
    <s v="No"/>
    <s v="No"/>
    <x v="0"/>
    <n v="2"/>
    <x v="1"/>
    <s v="Obesity"/>
    <s v="Prediabetes"/>
    <m/>
    <m/>
    <m/>
    <m/>
    <m/>
  </r>
  <r>
    <s v="Id1252"/>
    <s v="Ruffo"/>
    <n v="26.41"/>
    <s v="Normal"/>
    <s v="No"/>
    <s v="No"/>
    <x v="0"/>
    <n v="2"/>
    <x v="1"/>
    <s v="Overweight"/>
    <s v="Normal"/>
    <m/>
    <m/>
    <m/>
    <m/>
    <m/>
  </r>
  <r>
    <s v="Id1253"/>
    <s v="Long"/>
    <n v="30.2"/>
    <s v="Prediabetes"/>
    <s v="yes"/>
    <s v="No"/>
    <x v="0"/>
    <s v="No major surgery"/>
    <x v="1"/>
    <s v="Obesity"/>
    <s v="Prediabetes"/>
    <m/>
    <m/>
    <m/>
    <m/>
    <m/>
  </r>
  <r>
    <s v="Id1254"/>
    <s v="Rohde"/>
    <n v="31.26"/>
    <s v="Prediabetes"/>
    <s v="yes"/>
    <s v="No"/>
    <x v="0"/>
    <n v="1"/>
    <x v="1"/>
    <s v="Obesity"/>
    <s v="Prediabetes"/>
    <m/>
    <m/>
    <m/>
    <m/>
    <m/>
  </r>
  <r>
    <s v="Id1255"/>
    <s v="Bonzi"/>
    <n v="33.725000000000001"/>
    <e v="#N/A"/>
    <s v="yes"/>
    <s v="No"/>
    <x v="0"/>
    <s v="No major surgery"/>
    <x v="1"/>
    <s v="Obesity"/>
    <e v="#N/A"/>
    <m/>
    <m/>
    <m/>
    <m/>
    <m/>
  </r>
  <r>
    <s v="Id1256"/>
    <s v="Moore"/>
    <n v="28.9"/>
    <s v="Prediabetes"/>
    <s v="yes"/>
    <s v="No"/>
    <x v="0"/>
    <s v="No major surgery"/>
    <x v="1"/>
    <s v="Overweight"/>
    <s v="Prediabetes"/>
    <m/>
    <m/>
    <m/>
    <m/>
    <m/>
  </r>
  <r>
    <s v="Id1257"/>
    <s v="McGrane"/>
    <n v="45.69"/>
    <s v="Normal"/>
    <s v="yes"/>
    <s v="No"/>
    <x v="0"/>
    <s v="No major surgery"/>
    <x v="1"/>
    <s v="Obesity"/>
    <s v="Normal"/>
    <m/>
    <m/>
    <m/>
    <m/>
    <m/>
  </r>
  <r>
    <s v="Id1258"/>
    <s v="Stepnowski"/>
    <n v="21.03"/>
    <s v="Diabetes"/>
    <s v="No"/>
    <s v="No"/>
    <x v="0"/>
    <s v="No major surgery"/>
    <x v="1"/>
    <s v="Normal Weight"/>
    <s v="Diabetes"/>
    <m/>
    <m/>
    <m/>
    <m/>
    <m/>
  </r>
  <r>
    <s v="Id1259"/>
    <s v="Merkle"/>
    <n v="37"/>
    <s v="Diabetes"/>
    <s v="No"/>
    <s v="No"/>
    <x v="0"/>
    <s v="No major surgery"/>
    <x v="1"/>
    <s v="Obesity"/>
    <s v="Diabetes"/>
    <m/>
    <m/>
    <m/>
    <m/>
    <m/>
  </r>
  <r>
    <s v="Id1260"/>
    <s v="Schaefer"/>
    <n v="25.4"/>
    <s v="Diabetes"/>
    <s v="No"/>
    <s v="No"/>
    <x v="0"/>
    <s v="No major surgery"/>
    <x v="1"/>
    <s v="Overweight"/>
    <s v="Diabetes"/>
    <m/>
    <m/>
    <m/>
    <m/>
    <m/>
  </r>
  <r>
    <s v="Id1261"/>
    <s v="Vigneron"/>
    <n v="32.299999999999997"/>
    <s v="Diabetes"/>
    <s v="No"/>
    <s v="No"/>
    <x v="0"/>
    <s v="No major surgery"/>
    <x v="1"/>
    <s v="Obesity"/>
    <s v="Diabetes"/>
    <m/>
    <m/>
    <m/>
    <m/>
    <m/>
  </r>
  <r>
    <s v="Id1262"/>
    <s v="Mucci"/>
    <n v="23.94"/>
    <s v="Normal"/>
    <s v="yes"/>
    <s v="No"/>
    <x v="1"/>
    <n v="1"/>
    <x v="1"/>
    <s v="Normal Weight"/>
    <s v="Normal"/>
    <m/>
    <m/>
    <m/>
    <m/>
    <m/>
  </r>
  <r>
    <s v="Id1263"/>
    <s v="MacDonald"/>
    <n v="46.4"/>
    <s v="Prediabetes"/>
    <s v="No"/>
    <s v="No"/>
    <x v="0"/>
    <s v="No major surgery"/>
    <x v="1"/>
    <s v="Obesity"/>
    <s v="Prediabetes"/>
    <m/>
    <m/>
    <m/>
    <m/>
    <m/>
  </r>
  <r>
    <s v="Id1264"/>
    <s v="Deng"/>
    <n v="40.375"/>
    <s v="Prediabetes"/>
    <s v="yes"/>
    <s v="No"/>
    <x v="0"/>
    <s v="No major surgery"/>
    <x v="1"/>
    <s v="Obesity"/>
    <s v="Prediabetes"/>
    <m/>
    <m/>
    <m/>
    <m/>
    <m/>
  </r>
  <r>
    <s v="Id1265"/>
    <s v="De Mata"/>
    <n v="28.7"/>
    <s v="Diabetes"/>
    <s v="No"/>
    <s v="No"/>
    <x v="0"/>
    <n v="2"/>
    <x v="1"/>
    <s v="Overweight"/>
    <s v="Diabetes"/>
    <m/>
    <m/>
    <m/>
    <m/>
    <m/>
  </r>
  <r>
    <s v="Id1266"/>
    <s v="Strickland"/>
    <n v="26.63"/>
    <s v="Prediabetes"/>
    <s v="No"/>
    <s v="No"/>
    <x v="0"/>
    <s v="No major surgery"/>
    <x v="1"/>
    <s v="Overweight"/>
    <s v="Prediabetes"/>
    <m/>
    <m/>
    <m/>
    <m/>
    <m/>
  </r>
  <r>
    <s v="Id1267"/>
    <s v="Cheney"/>
    <n v="22.515000000000001"/>
    <s v="Diabetes"/>
    <s v="No"/>
    <s v="No"/>
    <x v="0"/>
    <n v="2"/>
    <x v="1"/>
    <s v="Normal Weight"/>
    <s v="Diabetes"/>
    <m/>
    <m/>
    <m/>
    <m/>
    <m/>
  </r>
  <r>
    <s v="Id1268"/>
    <s v="Godoy"/>
    <n v="36.575000000000003"/>
    <s v="Diabetes"/>
    <s v="No"/>
    <s v="No"/>
    <x v="0"/>
    <s v="No major surgery"/>
    <x v="1"/>
    <s v="Obesity"/>
    <s v="Diabetes"/>
    <m/>
    <m/>
    <m/>
    <m/>
    <m/>
  </r>
  <r>
    <s v="Id1269"/>
    <s v="Rider"/>
    <n v="23.66"/>
    <s v="Normal"/>
    <s v="yes"/>
    <s v="No"/>
    <x v="1"/>
    <n v="1"/>
    <x v="1"/>
    <s v="Normal Weight"/>
    <s v="Normal"/>
    <m/>
    <m/>
    <m/>
    <m/>
    <m/>
  </r>
  <r>
    <s v="Id1270"/>
    <s v="Evans"/>
    <n v="18.62"/>
    <s v="Diabetes"/>
    <s v="No"/>
    <s v="No"/>
    <x v="0"/>
    <s v="No major surgery"/>
    <x v="1"/>
    <s v="Normal Weight"/>
    <s v="Diabetes"/>
    <m/>
    <m/>
    <m/>
    <m/>
    <m/>
  </r>
  <r>
    <s v="Id1271"/>
    <s v="Anderson"/>
    <n v="19.190000000000001"/>
    <s v="Diabetes"/>
    <s v="yes"/>
    <s v="No"/>
    <x v="0"/>
    <n v="1"/>
    <x v="1"/>
    <s v="Normal Weight"/>
    <s v="Diabetes"/>
    <m/>
    <m/>
    <m/>
    <m/>
    <m/>
  </r>
  <r>
    <s v="Id1272"/>
    <s v="Walters"/>
    <n v="27.5"/>
    <s v="Prediabetes"/>
    <s v="No"/>
    <s v="No"/>
    <x v="0"/>
    <s v="No major surgery"/>
    <x v="1"/>
    <s v="Overweight"/>
    <s v="Prediabetes"/>
    <m/>
    <m/>
    <m/>
    <m/>
    <m/>
  </r>
  <r>
    <s v="Id1273"/>
    <s v="Leboeuf"/>
    <n v="27.36"/>
    <s v="Prediabetes"/>
    <s v="No"/>
    <s v="No"/>
    <x v="1"/>
    <n v="1"/>
    <x v="1"/>
    <s v="Overweight"/>
    <s v="Prediabetes"/>
    <m/>
    <m/>
    <m/>
    <m/>
    <m/>
  </r>
  <r>
    <s v="Id1274"/>
    <s v="Scheibel"/>
    <n v="20.350000000000001"/>
    <s v="Normal"/>
    <s v="No"/>
    <s v="No"/>
    <x v="0"/>
    <s v="No major surgery"/>
    <x v="1"/>
    <s v="Normal Weight"/>
    <s v="Normal"/>
    <m/>
    <m/>
    <m/>
    <m/>
    <m/>
  </r>
  <r>
    <s v="Id1275"/>
    <s v="Ritter"/>
    <n v="24.035"/>
    <s v="Prediabetes"/>
    <s v="No"/>
    <s v="No"/>
    <x v="0"/>
    <s v="No major surgery"/>
    <x v="1"/>
    <s v="Normal Weight"/>
    <s v="Prediabetes"/>
    <m/>
    <m/>
    <m/>
    <m/>
    <m/>
  </r>
  <r>
    <s v="Id1276"/>
    <s v="Deeg"/>
    <n v="23.56"/>
    <s v="Prediabetes"/>
    <s v="No"/>
    <s v="No"/>
    <x v="0"/>
    <s v="No major surgery"/>
    <x v="1"/>
    <s v="Normal Weight"/>
    <s v="Prediabetes"/>
    <m/>
    <m/>
    <m/>
    <m/>
    <m/>
  </r>
  <r>
    <s v="Id1277"/>
    <s v="Pretot"/>
    <n v="27.17"/>
    <s v="Diabetes"/>
    <s v="No"/>
    <s v="No"/>
    <x v="0"/>
    <n v="2"/>
    <x v="1"/>
    <s v="Overweight"/>
    <s v="Diabetes"/>
    <m/>
    <m/>
    <m/>
    <m/>
    <m/>
  </r>
  <r>
    <s v="Id1278"/>
    <s v="Willsey"/>
    <n v="34.32"/>
    <s v="Prediabetes"/>
    <s v="yes"/>
    <s v="No"/>
    <x v="1"/>
    <n v="1"/>
    <x v="1"/>
    <s v="Obesity"/>
    <s v="Prediabetes"/>
    <m/>
    <m/>
    <m/>
    <m/>
    <m/>
  </r>
  <r>
    <s v="Id1279"/>
    <s v="Roach"/>
    <n v="23.87"/>
    <s v="Normal"/>
    <s v="yes"/>
    <s v="No"/>
    <x v="1"/>
    <n v="1"/>
    <x v="1"/>
    <s v="Normal Weight"/>
    <s v="Normal"/>
    <m/>
    <m/>
    <m/>
    <m/>
    <m/>
  </r>
  <r>
    <s v="Id1280"/>
    <s v="Jacobsen"/>
    <n v="30.15"/>
    <s v="Normal"/>
    <s v="No"/>
    <s v="No"/>
    <x v="0"/>
    <n v="1"/>
    <x v="1"/>
    <s v="Obesity"/>
    <s v="Normal"/>
    <m/>
    <m/>
    <m/>
    <m/>
    <m/>
  </r>
  <r>
    <s v="Id1281"/>
    <s v="O'Hora"/>
    <n v="26.36"/>
    <s v="Normal"/>
    <s v="No"/>
    <s v="No"/>
    <x v="0"/>
    <s v="No major surgery"/>
    <x v="1"/>
    <s v="Overweight"/>
    <s v="Normal"/>
    <m/>
    <m/>
    <m/>
    <m/>
    <m/>
  </r>
  <r>
    <s v="Id1282"/>
    <s v="Amato"/>
    <n v="45.32"/>
    <s v="Diabetes"/>
    <s v="yes"/>
    <s v="No"/>
    <x v="0"/>
    <n v="1"/>
    <x v="1"/>
    <s v="Obesity"/>
    <s v="Diabetes"/>
    <m/>
    <m/>
    <m/>
    <m/>
    <m/>
  </r>
  <r>
    <s v="Id1283"/>
    <s v="Reed"/>
    <n v="31.93"/>
    <s v="Normal"/>
    <s v="yes"/>
    <s v="No"/>
    <x v="0"/>
    <n v="1"/>
    <x v="1"/>
    <s v="Obesity"/>
    <s v="Normal"/>
    <m/>
    <m/>
    <m/>
    <m/>
    <m/>
  </r>
  <r>
    <s v="Id1284"/>
    <s v="Wegner"/>
    <n v="36"/>
    <s v="Diabetes"/>
    <s v="yes"/>
    <s v="No"/>
    <x v="0"/>
    <n v="1"/>
    <x v="1"/>
    <s v="Obesity"/>
    <s v="Diabetes"/>
    <m/>
    <m/>
    <m/>
    <m/>
    <m/>
  </r>
  <r>
    <s v="Id1285"/>
    <s v="Bokun"/>
    <n v="32"/>
    <s v="Diabetes"/>
    <s v="yes"/>
    <s v="No"/>
    <x v="0"/>
    <n v="1"/>
    <x v="1"/>
    <s v="Obesity"/>
    <s v="Diabetes"/>
    <m/>
    <m/>
    <m/>
    <m/>
    <m/>
  </r>
  <r>
    <s v="Id1286"/>
    <s v="Ainsley"/>
    <n v="29.37"/>
    <s v="Diabetes"/>
    <s v="yes"/>
    <s v="No"/>
    <x v="0"/>
    <n v="1"/>
    <x v="1"/>
    <s v="Overweight"/>
    <s v="Diabetes"/>
    <m/>
    <m/>
    <m/>
    <m/>
    <m/>
  </r>
  <r>
    <s v="Id1287"/>
    <s v="Foster"/>
    <n v="23.6"/>
    <s v="Diabetes"/>
    <s v="yes"/>
    <s v="No"/>
    <x v="0"/>
    <n v="1"/>
    <x v="1"/>
    <s v="Normal Weight"/>
    <s v="Diabetes"/>
    <m/>
    <m/>
    <m/>
    <m/>
    <m/>
  </r>
  <r>
    <s v="Id1288"/>
    <s v="Overpeck"/>
    <n v="33.155000000000001"/>
    <s v="Diabetes"/>
    <s v="yes"/>
    <s v="No"/>
    <x v="0"/>
    <s v="No major surgery"/>
    <x v="1"/>
    <s v="Obesity"/>
    <s v="Diabetes"/>
    <m/>
    <m/>
    <m/>
    <m/>
    <m/>
  </r>
  <r>
    <s v="Id1289"/>
    <s v="Levine"/>
    <n v="24.32"/>
    <s v="Diabetes"/>
    <s v="yes"/>
    <s v="No"/>
    <x v="0"/>
    <n v="1"/>
    <x v="1"/>
    <s v="Normal Weight"/>
    <s v="Diabetes"/>
    <m/>
    <m/>
    <m/>
    <m/>
    <m/>
  </r>
  <r>
    <s v="Id1290"/>
    <s v="Jean"/>
    <n v="36.299999999999997"/>
    <s v="Normal"/>
    <s v="No"/>
    <s v="No"/>
    <x v="0"/>
    <s v="No major surgery"/>
    <x v="1"/>
    <s v="Obesity"/>
    <s v="Normal"/>
    <m/>
    <m/>
    <m/>
    <m/>
    <m/>
  </r>
  <r>
    <s v="Id1291"/>
    <s v="Wild"/>
    <n v="34.4"/>
    <s v="Normal"/>
    <s v="No"/>
    <s v="No"/>
    <x v="1"/>
    <n v="1"/>
    <x v="1"/>
    <s v="Obesity"/>
    <s v="Normal"/>
    <m/>
    <m/>
    <m/>
    <m/>
    <m/>
  </r>
  <r>
    <s v="Id1292"/>
    <s v="Tabor"/>
    <n v="30.9"/>
    <s v="Normal"/>
    <s v="No"/>
    <s v="No"/>
    <x v="0"/>
    <s v="No major surgery"/>
    <x v="1"/>
    <s v="Obesity"/>
    <s v="Normal"/>
    <m/>
    <m/>
    <m/>
    <m/>
    <m/>
  </r>
  <r>
    <s v="Id1293"/>
    <s v="Steffen"/>
    <n v="28.6"/>
    <s v="Normal"/>
    <s v="No"/>
    <s v="No"/>
    <x v="0"/>
    <s v="No major surgery"/>
    <x v="1"/>
    <s v="Overweight"/>
    <s v="Normal"/>
    <m/>
    <m/>
    <m/>
    <m/>
    <m/>
  </r>
  <r>
    <s v="Id1294"/>
    <s v="Tadich"/>
    <n v="27.83"/>
    <s v="Normal"/>
    <s v="No"/>
    <s v="No"/>
    <x v="0"/>
    <s v="No major surgery"/>
    <x v="1"/>
    <s v="Overweight"/>
    <s v="Normal"/>
    <m/>
    <m/>
    <m/>
    <m/>
    <m/>
  </r>
  <r>
    <s v="Id1295"/>
    <s v="Christenson"/>
    <n v="39.64"/>
    <s v="Prediabetes"/>
    <s v="No"/>
    <s v="No"/>
    <x v="1"/>
    <n v="1"/>
    <x v="1"/>
    <s v="Obesity"/>
    <s v="Prediabetes"/>
    <m/>
    <m/>
    <m/>
    <m/>
    <m/>
  </r>
  <r>
    <s v="Id1296"/>
    <s v="Shell"/>
    <n v="38.479999999999997"/>
    <s v="Prediabetes"/>
    <s v="No"/>
    <s v="No"/>
    <x v="0"/>
    <n v="1"/>
    <x v="1"/>
    <s v="Obesity"/>
    <s v="Prediabetes"/>
    <m/>
    <m/>
    <m/>
    <m/>
    <m/>
  </r>
  <r>
    <s v="Id1297"/>
    <s v="Rao"/>
    <n v="36.200000000000003"/>
    <s v="Normal"/>
    <s v="No"/>
    <s v="No"/>
    <x v="0"/>
    <n v="2"/>
    <x v="1"/>
    <s v="Obesity"/>
    <s v="Normal"/>
    <m/>
    <m/>
    <m/>
    <m/>
    <m/>
  </r>
  <r>
    <s v="Id1298"/>
    <s v="Myers"/>
    <n v="27.13"/>
    <s v="Normal"/>
    <s v="No"/>
    <s v="No"/>
    <x v="0"/>
    <n v="1"/>
    <x v="1"/>
    <s v="Overweight"/>
    <s v="Normal"/>
    <m/>
    <m/>
    <m/>
    <m/>
    <m/>
  </r>
  <r>
    <s v="Id1299"/>
    <s v="McLean"/>
    <n v="20.75"/>
    <s v="Normal"/>
    <s v="yes"/>
    <s v="No"/>
    <x v="0"/>
    <n v="2"/>
    <x v="1"/>
    <s v="Normal Weight"/>
    <s v="Normal"/>
    <m/>
    <m/>
    <m/>
    <m/>
    <m/>
  </r>
  <r>
    <s v="Id1300"/>
    <s v="Gomez"/>
    <n v="26.6"/>
    <s v="Prediabetes"/>
    <s v="No"/>
    <s v="No"/>
    <x v="0"/>
    <n v="2"/>
    <x v="1"/>
    <s v="Overweight"/>
    <s v="Prediabetes"/>
    <m/>
    <m/>
    <m/>
    <m/>
    <m/>
  </r>
  <r>
    <s v="Id1301"/>
    <s v="Hemingway"/>
    <n v="25.3"/>
    <s v="Normal"/>
    <s v="No"/>
    <s v="No"/>
    <x v="0"/>
    <n v="2"/>
    <x v="1"/>
    <s v="Overweight"/>
    <s v="Normal"/>
    <m/>
    <m/>
    <m/>
    <m/>
    <m/>
  </r>
  <r>
    <s v="Id1302"/>
    <s v="Pett"/>
    <n v="18.84"/>
    <s v="Diabetes"/>
    <s v="yes"/>
    <s v="No"/>
    <x v="1"/>
    <n v="1"/>
    <x v="1"/>
    <s v="Normal Weight"/>
    <s v="Diabetes"/>
    <m/>
    <m/>
    <m/>
    <m/>
    <m/>
  </r>
  <r>
    <s v="Id1303"/>
    <s v="Meingast"/>
    <n v="19.57"/>
    <s v="Diabetes"/>
    <s v="yes"/>
    <s v="No"/>
    <x v="0"/>
    <n v="1"/>
    <x v="1"/>
    <s v="Normal Weight"/>
    <s v="Diabetes"/>
    <m/>
    <m/>
    <m/>
    <m/>
    <m/>
  </r>
  <r>
    <s v="Id1304"/>
    <s v="McCarthy"/>
    <n v="30.495000000000001"/>
    <s v="Prediabetes"/>
    <s v="No"/>
    <s v="No"/>
    <x v="0"/>
    <s v="No major surgery"/>
    <x v="1"/>
    <s v="Obesity"/>
    <s v="Prediabetes"/>
    <m/>
    <m/>
    <m/>
    <m/>
    <m/>
  </r>
  <r>
    <s v="Id1305"/>
    <s v="Boyle"/>
    <n v="30.114999999999998"/>
    <s v="Prediabetes"/>
    <s v="No"/>
    <s v="No"/>
    <x v="1"/>
    <n v="1"/>
    <x v="1"/>
    <s v="Obesity"/>
    <s v="Prediabetes"/>
    <m/>
    <m/>
    <m/>
    <m/>
    <m/>
  </r>
  <r>
    <s v="Id1306"/>
    <s v="Gundersen"/>
    <n v="24.78"/>
    <s v="Diabetes"/>
    <s v="No"/>
    <s v="No"/>
    <x v="0"/>
    <s v="No major surgery"/>
    <x v="1"/>
    <s v="Normal Weight"/>
    <s v="Diabetes"/>
    <m/>
    <m/>
    <m/>
    <m/>
    <m/>
  </r>
  <r>
    <s v="Id1307"/>
    <s v="Wolswinkel"/>
    <n v="24.77"/>
    <s v="Diabetes"/>
    <s v="No"/>
    <s v="No"/>
    <x v="0"/>
    <s v="No major surgery"/>
    <x v="1"/>
    <s v="Normal Weight"/>
    <s v="Diabetes"/>
    <m/>
    <m/>
    <m/>
    <m/>
    <m/>
  </r>
  <r>
    <s v="Id1308"/>
    <s v="Bomberger"/>
    <n v="16.579999999999998"/>
    <s v="Diabetes"/>
    <s v="yes"/>
    <s v="No"/>
    <x v="1"/>
    <n v="1"/>
    <x v="1"/>
    <s v="Underweight"/>
    <s v="Diabetes"/>
    <m/>
    <m/>
    <m/>
    <m/>
    <m/>
  </r>
  <r>
    <s v="Id1309"/>
    <s v="Roy"/>
    <n v="38.17"/>
    <s v="Normal"/>
    <s v="yes"/>
    <s v="No"/>
    <x v="0"/>
    <s v="No major surgery"/>
    <x v="1"/>
    <s v="Obesity"/>
    <s v="Normal"/>
    <m/>
    <m/>
    <m/>
    <m/>
    <m/>
  </r>
  <r>
    <s v="Id1310"/>
    <s v="Lapierre"/>
    <n v="39.424999999999997"/>
    <s v="Normal"/>
    <s v="yes"/>
    <s v="No"/>
    <x v="0"/>
    <s v="No major surgery"/>
    <x v="1"/>
    <s v="Obesity"/>
    <s v="Normal"/>
    <m/>
    <m/>
    <m/>
    <m/>
    <m/>
  </r>
  <r>
    <s v="Id1311"/>
    <s v="Beaty"/>
    <n v="33.44"/>
    <s v="Prediabetes"/>
    <s v="yes"/>
    <s v="No"/>
    <x v="0"/>
    <s v="No major surgery"/>
    <x v="1"/>
    <s v="Obesity"/>
    <s v="Prediabetes"/>
    <m/>
    <m/>
    <m/>
    <m/>
    <m/>
  </r>
  <r>
    <s v="Id1312"/>
    <s v="Hammer"/>
    <n v="33.344999999999999"/>
    <s v="Normal"/>
    <s v="yes"/>
    <s v="No"/>
    <x v="0"/>
    <s v="No major surgery"/>
    <x v="1"/>
    <s v="Obesity"/>
    <s v="Normal"/>
    <m/>
    <m/>
    <m/>
    <m/>
    <m/>
  </r>
  <r>
    <s v="Id1313"/>
    <s v="Randolph"/>
    <n v="38.79"/>
    <s v="Normal"/>
    <s v="No"/>
    <s v="No"/>
    <x v="1"/>
    <n v="1"/>
    <x v="1"/>
    <s v="Obesity"/>
    <s v="Normal"/>
    <m/>
    <m/>
    <m/>
    <m/>
    <m/>
  </r>
  <r>
    <s v="Id1314"/>
    <s v="Masterson"/>
    <n v="30.684999999999999"/>
    <s v="Normal"/>
    <s v="No"/>
    <s v="No"/>
    <x v="1"/>
    <n v="1"/>
    <x v="1"/>
    <s v="Obesity"/>
    <s v="Normal"/>
    <m/>
    <m/>
    <m/>
    <m/>
    <m/>
  </r>
  <r>
    <s v="Id1315"/>
    <s v="Friess"/>
    <n v="22.135000000000002"/>
    <s v="Diabetes"/>
    <s v="No"/>
    <s v="No"/>
    <x v="0"/>
    <s v="No major surgery"/>
    <x v="1"/>
    <s v="Normal Weight"/>
    <s v="Diabetes"/>
    <m/>
    <m/>
    <m/>
    <m/>
    <m/>
  </r>
  <r>
    <s v="Id1316"/>
    <s v="Mantoni"/>
    <n v="33.33"/>
    <s v="Diabetes"/>
    <s v="No"/>
    <s v="No"/>
    <x v="0"/>
    <s v="No major surgery"/>
    <x v="1"/>
    <s v="Obesity"/>
    <s v="Diabetes"/>
    <m/>
    <m/>
    <m/>
    <m/>
    <m/>
  </r>
  <r>
    <s v="Id1317"/>
    <s v="Bodeen"/>
    <n v="31.13"/>
    <s v="Diabetes"/>
    <s v="No"/>
    <s v="No"/>
    <x v="0"/>
    <s v="No major surgery"/>
    <x v="1"/>
    <s v="Obesity"/>
    <s v="Diabetes"/>
    <m/>
    <m/>
    <m/>
    <m/>
    <m/>
  </r>
  <r>
    <s v="Id1318"/>
    <s v="McPherson"/>
    <n v="28.9"/>
    <s v="Diabetes"/>
    <s v="No"/>
    <s v="No"/>
    <x v="0"/>
    <s v="No major surgery"/>
    <x v="1"/>
    <s v="Overweight"/>
    <s v="Diabetes"/>
    <m/>
    <m/>
    <m/>
    <m/>
    <m/>
  </r>
  <r>
    <s v="Id1319"/>
    <s v="Palko"/>
    <n v="43.31"/>
    <s v="Prediabetes"/>
    <s v="yes"/>
    <s v="yes"/>
    <x v="0"/>
    <n v="1"/>
    <x v="1"/>
    <s v="Obesity"/>
    <s v="Prediabetes"/>
    <m/>
    <m/>
    <m/>
    <m/>
    <m/>
  </r>
  <r>
    <s v="Id1320"/>
    <s v="Breathitt"/>
    <n v="22.8"/>
    <s v="Diabetes"/>
    <s v="No"/>
    <s v="No"/>
    <x v="0"/>
    <s v="No major surgery"/>
    <x v="1"/>
    <s v="Normal Weight"/>
    <s v="Diabetes"/>
    <m/>
    <m/>
    <m/>
    <m/>
    <m/>
  </r>
  <r>
    <s v="Id1321"/>
    <s v="Evora"/>
    <n v="19.09"/>
    <s v="Normal"/>
    <s v="yes"/>
    <s v="No"/>
    <x v="0"/>
    <n v="1"/>
    <x v="1"/>
    <s v="Normal Weight"/>
    <s v="Normal"/>
    <m/>
    <m/>
    <m/>
    <m/>
    <m/>
  </r>
  <r>
    <s v="Id1322"/>
    <s v="Fischer"/>
    <n v="23.37"/>
    <s v="Normal"/>
    <s v="No"/>
    <s v="No"/>
    <x v="0"/>
    <s v="No major surgery"/>
    <x v="1"/>
    <s v="Normal Weight"/>
    <s v="Normal"/>
    <m/>
    <m/>
    <m/>
    <m/>
    <m/>
  </r>
  <r>
    <s v="Id1323"/>
    <s v="Deba"/>
    <n v="33.44"/>
    <s v="Normal"/>
    <s v="yes"/>
    <s v="No"/>
    <x v="0"/>
    <s v="No major surgery"/>
    <x v="1"/>
    <s v="Obesity"/>
    <s v="Normal"/>
    <m/>
    <m/>
    <m/>
    <m/>
    <m/>
  </r>
  <r>
    <s v="Id1324"/>
    <s v="Leloup"/>
    <n v="28.05"/>
    <s v="Normal"/>
    <s v="yes"/>
    <s v="No"/>
    <x v="0"/>
    <s v="No major surgery"/>
    <x v="1"/>
    <s v="Overweight"/>
    <s v="Normal"/>
    <m/>
    <m/>
    <m/>
    <m/>
    <m/>
  </r>
  <r>
    <s v="Id1325"/>
    <s v="Labare"/>
    <n v="27.72"/>
    <s v="Prediabetes"/>
    <s v="yes"/>
    <s v="No"/>
    <x v="0"/>
    <s v="No major surgery"/>
    <x v="1"/>
    <s v="Overweight"/>
    <s v="Prediabetes"/>
    <m/>
    <m/>
    <m/>
    <m/>
    <m/>
  </r>
  <r>
    <s v="Id1326"/>
    <s v="Arouca"/>
    <n v="29.81"/>
    <s v="Diabetes"/>
    <s v="No"/>
    <s v="No"/>
    <x v="0"/>
    <s v="No major surgery"/>
    <x v="1"/>
    <s v="Overweight"/>
    <s v="Diabetes"/>
    <m/>
    <m/>
    <m/>
    <m/>
    <m/>
  </r>
  <r>
    <s v="Id1327"/>
    <s v="Reese"/>
    <n v="23.98"/>
    <s v="Diabetes"/>
    <s v="No"/>
    <s v="No"/>
    <x v="0"/>
    <s v="No major surgery"/>
    <x v="1"/>
    <s v="Normal Weight"/>
    <s v="Diabetes"/>
    <m/>
    <m/>
    <m/>
    <m/>
    <m/>
  </r>
  <r>
    <s v="Id1328"/>
    <s v="McCloskey"/>
    <n v="17.34"/>
    <s v="Diabetes"/>
    <s v="No"/>
    <s v="No"/>
    <x v="0"/>
    <s v="No major surgery"/>
    <x v="1"/>
    <s v="Underweight"/>
    <s v="Diabetes"/>
    <m/>
    <m/>
    <m/>
    <m/>
    <m/>
  </r>
  <r>
    <s v="Id1329"/>
    <s v="Tedsen"/>
    <n v="40.39"/>
    <s v="Normal"/>
    <s v="yes"/>
    <s v="No"/>
    <x v="1"/>
    <n v="1"/>
    <x v="1"/>
    <s v="Obesity"/>
    <s v="Normal"/>
    <m/>
    <m/>
    <m/>
    <m/>
    <m/>
  </r>
  <r>
    <s v="Id1330"/>
    <s v="Koehlinger"/>
    <n v="25.96"/>
    <s v="Normal"/>
    <s v="yes"/>
    <s v="No"/>
    <x v="1"/>
    <n v="1"/>
    <x v="1"/>
    <s v="Overweight"/>
    <s v="Normal"/>
    <m/>
    <m/>
    <m/>
    <m/>
    <m/>
  </r>
  <r>
    <s v="Id1331"/>
    <s v="Pielechaty"/>
    <n v="17.68"/>
    <s v="Diabetes"/>
    <s v="yes"/>
    <s v="No"/>
    <x v="1"/>
    <n v="1"/>
    <x v="1"/>
    <s v="Underweight"/>
    <s v="Diabetes"/>
    <m/>
    <m/>
    <m/>
    <m/>
    <m/>
  </r>
  <r>
    <s v="Id1332"/>
    <s v="Korhonen"/>
    <n v="30.875"/>
    <s v="Normal"/>
    <s v="No"/>
    <s v="No"/>
    <x v="0"/>
    <s v="No major surgery"/>
    <x v="1"/>
    <s v="Obesity"/>
    <s v="Normal"/>
    <m/>
    <m/>
    <m/>
    <m/>
    <m/>
  </r>
  <r>
    <s v="Id1333"/>
    <s v="Kehr"/>
    <n v="30.81"/>
    <s v="Normal"/>
    <s v="No"/>
    <s v="No"/>
    <x v="0"/>
    <s v="No major surgery"/>
    <x v="1"/>
    <s v="Obesity"/>
    <s v="Normal"/>
    <m/>
    <m/>
    <m/>
    <m/>
    <m/>
  </r>
  <r>
    <s v="Id1334"/>
    <s v="Montagna"/>
    <n v="36.85"/>
    <s v="Diabetes"/>
    <s v="No"/>
    <s v="No"/>
    <x v="0"/>
    <n v="2"/>
    <x v="1"/>
    <s v="Obesity"/>
    <s v="Diabetes"/>
    <m/>
    <m/>
    <m/>
    <m/>
    <m/>
  </r>
  <r>
    <s v="Id1335"/>
    <s v="M√ºller"/>
    <n v="35.86"/>
    <s v="Diabetes"/>
    <s v="No"/>
    <s v="No"/>
    <x v="0"/>
    <n v="2"/>
    <x v="1"/>
    <s v="Obesity"/>
    <s v="Diabetes"/>
    <m/>
    <m/>
    <m/>
    <m/>
    <m/>
  </r>
  <r>
    <s v="Id1336"/>
    <s v="Baker"/>
    <n v="30.3"/>
    <s v="Diabetes"/>
    <s v="No"/>
    <s v="No"/>
    <x v="0"/>
    <n v="2"/>
    <x v="1"/>
    <s v="Obesity"/>
    <s v="Diabetes"/>
    <m/>
    <m/>
    <m/>
    <m/>
    <m/>
  </r>
  <r>
    <s v="Id1337"/>
    <s v="Sidebottom"/>
    <n v="32.015000000000001"/>
    <s v="Diabetes"/>
    <s v="No"/>
    <s v="No"/>
    <x v="0"/>
    <s v="No major surgery"/>
    <x v="1"/>
    <s v="Obesity"/>
    <s v="Diabetes"/>
    <m/>
    <m/>
    <m/>
    <m/>
    <m/>
  </r>
  <r>
    <s v="Id1338"/>
    <s v="Johnson"/>
    <n v="25.06"/>
    <s v="Diabetes"/>
    <s v="No"/>
    <s v="No"/>
    <x v="0"/>
    <n v="2"/>
    <x v="1"/>
    <s v="Overweight"/>
    <s v="Diabetes"/>
    <m/>
    <m/>
    <m/>
    <m/>
    <m/>
  </r>
  <r>
    <s v="Id1339"/>
    <s v="Morris"/>
    <n v="18.829999999999998"/>
    <s v="Diabetes"/>
    <s v="yes"/>
    <s v="No"/>
    <x v="0"/>
    <s v="No major surgery"/>
    <x v="1"/>
    <s v="Normal Weight"/>
    <s v="Diabetes"/>
    <m/>
    <m/>
    <m/>
    <m/>
    <m/>
  </r>
  <r>
    <s v="Id1340"/>
    <s v="Chaisson"/>
    <n v="47.52"/>
    <s v="Diabetes"/>
    <s v="yes"/>
    <s v="No"/>
    <x v="0"/>
    <n v="1"/>
    <x v="1"/>
    <s v="Obesity"/>
    <s v="Diabetes"/>
    <m/>
    <m/>
    <m/>
    <m/>
    <m/>
  </r>
  <r>
    <s v="Id1341"/>
    <s v="Pigott"/>
    <n v="37.82"/>
    <s v="Prediabetes"/>
    <s v="No"/>
    <s v="No"/>
    <x v="0"/>
    <s v="No major surgery"/>
    <x v="1"/>
    <s v="Obesity"/>
    <s v="Prediabetes"/>
    <m/>
    <m/>
    <m/>
    <m/>
    <m/>
  </r>
  <r>
    <s v="Id1342"/>
    <s v="Cochrane"/>
    <n v="44.16"/>
    <s v="Normal"/>
    <s v="yes"/>
    <s v="No"/>
    <x v="0"/>
    <s v="No major surgery"/>
    <x v="1"/>
    <s v="Obesity"/>
    <s v="Normal"/>
    <m/>
    <m/>
    <m/>
    <m/>
    <m/>
  </r>
  <r>
    <s v="Id1343"/>
    <s v="Armitage"/>
    <n v="37.049999999999997"/>
    <s v="Normal"/>
    <s v="No"/>
    <s v="No"/>
    <x v="1"/>
    <n v="1"/>
    <x v="1"/>
    <s v="Obesity"/>
    <s v="Normal"/>
    <m/>
    <m/>
    <m/>
    <m/>
    <m/>
  </r>
  <r>
    <s v="Id1344"/>
    <s v="Shen"/>
    <n v="18.66"/>
    <s v="Diabetes"/>
    <s v="No"/>
    <s v="No"/>
    <x v="0"/>
    <s v="No major surgery"/>
    <x v="1"/>
    <s v="Normal Weight"/>
    <s v="Diabetes"/>
    <m/>
    <m/>
    <m/>
    <m/>
    <m/>
  </r>
  <r>
    <s v="Id1345"/>
    <s v="O'Kelly"/>
    <n v="36.200000000000003"/>
    <s v="Diabetes"/>
    <s v="yes"/>
    <s v="No"/>
    <x v="0"/>
    <n v="1"/>
    <x v="1"/>
    <s v="Obesity"/>
    <s v="Diabetes"/>
    <m/>
    <m/>
    <m/>
    <m/>
    <m/>
  </r>
  <r>
    <s v="Id1346"/>
    <s v="Huff"/>
    <n v="18.87"/>
    <s v="Diabetes"/>
    <s v="No"/>
    <s v="No"/>
    <x v="0"/>
    <s v="No major surgery"/>
    <x v="1"/>
    <s v="Normal Weight"/>
    <s v="Diabetes"/>
    <m/>
    <m/>
    <m/>
    <m/>
    <m/>
  </r>
  <r>
    <s v="Id1347"/>
    <s v="Dye"/>
    <n v="32.299999999999997"/>
    <s v="Diabetes"/>
    <s v="yes"/>
    <s v="No"/>
    <x v="0"/>
    <n v="1"/>
    <x v="1"/>
    <s v="Obesity"/>
    <s v="Diabetes"/>
    <m/>
    <m/>
    <m/>
    <m/>
    <m/>
  </r>
  <r>
    <s v="Id1348"/>
    <s v="Willard"/>
    <n v="22.64"/>
    <s v="Diabetes"/>
    <s v="yes"/>
    <s v="No"/>
    <x v="0"/>
    <n v="2"/>
    <x v="1"/>
    <s v="Normal Weight"/>
    <s v="Diabetes"/>
    <m/>
    <m/>
    <m/>
    <m/>
    <m/>
  </r>
  <r>
    <s v="Id1349"/>
    <s v="D'Addario"/>
    <n v="28.69"/>
    <s v="Normal"/>
    <s v="No"/>
    <s v="No"/>
    <x v="0"/>
    <s v="No major surgery"/>
    <x v="1"/>
    <s v="Overweight"/>
    <s v="Normal"/>
    <m/>
    <m/>
    <m/>
    <m/>
    <m/>
  </r>
  <r>
    <s v="Id1350"/>
    <s v="Buchanan"/>
    <n v="28.16"/>
    <s v="Normal"/>
    <s v="yes"/>
    <s v="No"/>
    <x v="0"/>
    <s v="No major surgery"/>
    <x v="1"/>
    <s v="Overweight"/>
    <s v="Normal"/>
    <m/>
    <m/>
    <m/>
    <m/>
    <m/>
  </r>
  <r>
    <s v="Id1351"/>
    <s v="Clark"/>
    <n v="45.54"/>
    <s v="Prediabetes"/>
    <s v="No"/>
    <s v="No"/>
    <x v="1"/>
    <n v="1"/>
    <x v="1"/>
    <s v="Obesity"/>
    <s v="Prediabetes"/>
    <m/>
    <m/>
    <m/>
    <m/>
    <m/>
  </r>
  <r>
    <s v="Id1352"/>
    <s v="Waterson"/>
    <n v="28.7"/>
    <s v="Normal"/>
    <s v="No"/>
    <s v="No"/>
    <x v="0"/>
    <s v="No major surgery"/>
    <x v="1"/>
    <s v="Overweight"/>
    <s v="Normal"/>
    <m/>
    <m/>
    <m/>
    <m/>
    <m/>
  </r>
  <r>
    <s v="Id1353"/>
    <s v="Piras"/>
    <n v="27.74"/>
    <s v="Prediabetes"/>
    <s v="yes"/>
    <s v="No"/>
    <x v="0"/>
    <s v="No major surgery"/>
    <x v="1"/>
    <s v="Overweight"/>
    <s v="Prediabetes"/>
    <m/>
    <m/>
    <m/>
    <m/>
    <m/>
  </r>
  <r>
    <s v="Id1354"/>
    <s v="Olson"/>
    <n v="36.954999999999998"/>
    <s v="Diabetes"/>
    <s v="No"/>
    <s v="No"/>
    <x v="0"/>
    <s v="No major surgery"/>
    <x v="1"/>
    <s v="Obesity"/>
    <s v="Diabetes"/>
    <m/>
    <m/>
    <m/>
    <m/>
    <m/>
  </r>
  <r>
    <s v="Id1355"/>
    <s v="Manfredi"/>
    <n v="30.69"/>
    <s v="Prediabetes"/>
    <s v="No"/>
    <s v="No"/>
    <x v="0"/>
    <s v="No major surgery"/>
    <x v="1"/>
    <s v="Obesity"/>
    <s v="Prediabetes"/>
    <m/>
    <m/>
    <m/>
    <m/>
    <m/>
  </r>
  <r>
    <s v="Id1356"/>
    <s v="Landberg"/>
    <n v="24.984999999999999"/>
    <s v="Normal"/>
    <s v="No"/>
    <s v="No"/>
    <x v="0"/>
    <s v="No major surgery"/>
    <x v="1"/>
    <s v="Overweight"/>
    <s v="Normal"/>
    <m/>
    <m/>
    <m/>
    <m/>
    <m/>
  </r>
  <r>
    <s v="Id1357"/>
    <s v="Flynn"/>
    <n v="39.42"/>
    <s v="Normal"/>
    <s v="yes"/>
    <s v="No"/>
    <x v="0"/>
    <n v="1"/>
    <x v="1"/>
    <s v="Obesity"/>
    <s v="Normal"/>
    <m/>
    <m/>
    <m/>
    <m/>
    <m/>
  </r>
  <r>
    <s v="Id1358"/>
    <s v="Bishop"/>
    <n v="16.8"/>
    <s v="Diabetes"/>
    <s v="No"/>
    <s v="No"/>
    <x v="0"/>
    <s v="No major surgery"/>
    <x v="1"/>
    <s v="Underweight"/>
    <s v="Diabetes"/>
    <m/>
    <m/>
    <m/>
    <m/>
    <m/>
  </r>
  <r>
    <s v="Id1359"/>
    <s v="Devitt"/>
    <n v="23.274999999999999"/>
    <s v="Prediabetes"/>
    <s v="yes"/>
    <s v="No"/>
    <x v="1"/>
    <n v="1"/>
    <x v="1"/>
    <s v="Normal Weight"/>
    <s v="Prediabetes"/>
    <m/>
    <m/>
    <m/>
    <m/>
    <m/>
  </r>
  <r>
    <s v="Id1360"/>
    <s v="Lynch"/>
    <n v="22.8"/>
    <s v="Normal"/>
    <s v="yes"/>
    <s v="No"/>
    <x v="1"/>
    <n v="1"/>
    <x v="1"/>
    <s v="Normal Weight"/>
    <s v="Normal"/>
    <m/>
    <m/>
    <m/>
    <m/>
    <m/>
  </r>
  <r>
    <s v="Id1361"/>
    <s v="Tramontano"/>
    <n v="24.3"/>
    <s v="Normal"/>
    <s v="No"/>
    <s v="No"/>
    <x v="0"/>
    <n v="2"/>
    <x v="1"/>
    <s v="Normal Weight"/>
    <s v="Normal"/>
    <m/>
    <m/>
    <m/>
    <m/>
    <m/>
  </r>
  <r>
    <s v="Id1362"/>
    <s v="Davidson"/>
    <n v="25.13"/>
    <s v="Diabetes"/>
    <s v="yes"/>
    <s v="No"/>
    <x v="0"/>
    <n v="1"/>
    <x v="1"/>
    <s v="Overweight"/>
    <s v="Diabetes"/>
    <m/>
    <m/>
    <m/>
    <m/>
    <m/>
  </r>
  <r>
    <s v="Id1363"/>
    <s v="Burke"/>
    <n v="22.72"/>
    <s v="Diabetes"/>
    <s v="yes"/>
    <s v="No"/>
    <x v="0"/>
    <n v="2"/>
    <x v="1"/>
    <s v="Normal Weight"/>
    <s v="Diabetes"/>
    <m/>
    <m/>
    <m/>
    <m/>
    <m/>
  </r>
  <r>
    <s v="Id1364"/>
    <s v="McGraw"/>
    <n v="32.6"/>
    <s v="Diabetes"/>
    <s v="yes"/>
    <s v="No"/>
    <x v="0"/>
    <s v="No major surgery"/>
    <x v="1"/>
    <s v="Obesity"/>
    <s v="Diabetes"/>
    <m/>
    <m/>
    <m/>
    <m/>
    <m/>
  </r>
  <r>
    <s v="Id1365"/>
    <s v="Fellure"/>
    <n v="17.28"/>
    <s v="Prediabetes"/>
    <s v="yes"/>
    <s v="No"/>
    <x v="0"/>
    <n v="2"/>
    <x v="1"/>
    <s v="Underweight"/>
    <s v="Prediabetes"/>
    <m/>
    <m/>
    <m/>
    <m/>
    <m/>
  </r>
  <r>
    <s v="Id1366"/>
    <s v="Sanford"/>
    <n v="27.92"/>
    <s v="Prediabetes"/>
    <s v="No"/>
    <s v="No"/>
    <x v="0"/>
    <n v="1"/>
    <x v="1"/>
    <s v="Overweight"/>
    <s v="Prediabetes"/>
    <m/>
    <m/>
    <m/>
    <m/>
    <m/>
  </r>
  <r>
    <s v="Id1367"/>
    <s v="Wrenn"/>
    <n v="38.284999999999997"/>
    <s v="Normal"/>
    <s v="No"/>
    <s v="No"/>
    <x v="0"/>
    <s v="No major surgery"/>
    <x v="1"/>
    <s v="Obesity"/>
    <s v="Normal"/>
    <m/>
    <m/>
    <m/>
    <m/>
    <m/>
  </r>
  <r>
    <s v="Id1368"/>
    <s v="Lindsey"/>
    <n v="16.48"/>
    <s v="Diabetes"/>
    <s v="No"/>
    <s v="No"/>
    <x v="0"/>
    <s v="No major surgery"/>
    <x v="1"/>
    <s v="Underweight"/>
    <s v="Diabetes"/>
    <m/>
    <m/>
    <m/>
    <m/>
    <m/>
  </r>
  <r>
    <s v="Id1369"/>
    <s v="Krueger"/>
    <n v="38.57"/>
    <s v="Prediabetes"/>
    <s v="No"/>
    <s v="No"/>
    <x v="0"/>
    <s v="No major surgery"/>
    <x v="1"/>
    <s v="Obesity"/>
    <s v="Prediabetes"/>
    <m/>
    <m/>
    <m/>
    <m/>
    <m/>
  </r>
  <r>
    <s v="Id1370"/>
    <s v="Babler"/>
    <n v="43.85"/>
    <s v="Normal"/>
    <s v="yes"/>
    <s v="No"/>
    <x v="0"/>
    <s v="No major surgery"/>
    <x v="1"/>
    <s v="Obesity"/>
    <s v="Normal"/>
    <m/>
    <m/>
    <m/>
    <m/>
    <m/>
  </r>
  <r>
    <s v="Id1371"/>
    <s v="Brezenski"/>
    <n v="30.11"/>
    <s v="Normal"/>
    <s v="No"/>
    <s v="No"/>
    <x v="0"/>
    <s v="No major surgery"/>
    <x v="1"/>
    <s v="Obesity"/>
    <s v="Normal"/>
    <m/>
    <m/>
    <m/>
    <m/>
    <m/>
  </r>
  <r>
    <s v="Id1372"/>
    <s v="Marschner"/>
    <n v="31.59"/>
    <s v="Prediabetes"/>
    <s v="No"/>
    <s v="No"/>
    <x v="0"/>
    <s v="No major surgery"/>
    <x v="1"/>
    <s v="Obesity"/>
    <s v="Prediabetes"/>
    <m/>
    <m/>
    <m/>
    <m/>
    <m/>
  </r>
  <r>
    <s v="Id1373"/>
    <s v="King"/>
    <n v="40.15"/>
    <s v="Diabetes"/>
    <s v="No"/>
    <s v="No"/>
    <x v="0"/>
    <s v="No major surgery"/>
    <x v="1"/>
    <s v="Obesity"/>
    <s v="Diabetes"/>
    <m/>
    <m/>
    <m/>
    <m/>
    <m/>
  </r>
  <r>
    <s v="Id1374"/>
    <s v="Montez"/>
    <n v="40.700000000000003"/>
    <s v="Prediabetes"/>
    <s v="yes"/>
    <s v="No"/>
    <x v="1"/>
    <n v="1"/>
    <x v="1"/>
    <s v="Obesity"/>
    <s v="Prediabetes"/>
    <m/>
    <m/>
    <m/>
    <m/>
    <m/>
  </r>
  <r>
    <s v="Id1375"/>
    <s v="Campbell"/>
    <n v="40.76"/>
    <s v="Normal"/>
    <s v="No"/>
    <s v="No"/>
    <x v="0"/>
    <s v="No major surgery"/>
    <x v="1"/>
    <s v="Obesity"/>
    <s v="Normal"/>
    <m/>
    <m/>
    <m/>
    <m/>
    <m/>
  </r>
  <r>
    <s v="Id1376"/>
    <s v="Hurt"/>
    <n v="29.7"/>
    <s v="Diabetes"/>
    <s v="No"/>
    <s v="No"/>
    <x v="0"/>
    <s v="No major surgery"/>
    <x v="1"/>
    <s v="Overweight"/>
    <s v="Diabetes"/>
    <m/>
    <m/>
    <m/>
    <m/>
    <m/>
  </r>
  <r>
    <s v="Id1377"/>
    <s v="Garey"/>
    <n v="40.58"/>
    <s v="Normal"/>
    <s v="yes"/>
    <s v="No"/>
    <x v="1"/>
    <n v="1"/>
    <x v="1"/>
    <s v="Obesity"/>
    <s v="Normal"/>
    <m/>
    <m/>
    <m/>
    <m/>
    <m/>
  </r>
  <r>
    <s v="Id1378"/>
    <s v="Reddy"/>
    <n v="33.06"/>
    <s v="Diabetes"/>
    <s v="yes"/>
    <s v="No"/>
    <x v="0"/>
    <s v="No major surgery"/>
    <x v="1"/>
    <s v="Obesity"/>
    <s v="Diabetes"/>
    <m/>
    <m/>
    <m/>
    <m/>
    <m/>
  </r>
  <r>
    <s v="Id1379"/>
    <s v="Mueller"/>
    <n v="26.62"/>
    <s v="Prediabetes"/>
    <s v="yes"/>
    <s v="No"/>
    <x v="0"/>
    <s v="No major surgery"/>
    <x v="1"/>
    <s v="Overweight"/>
    <s v="Prediabetes"/>
    <m/>
    <m/>
    <m/>
    <m/>
    <m/>
  </r>
  <r>
    <s v="Id1380"/>
    <s v="Julia"/>
    <n v="37.1"/>
    <s v="Diabetes"/>
    <s v="No"/>
    <s v="No"/>
    <x v="0"/>
    <s v="No major surgery"/>
    <x v="1"/>
    <s v="Obesity"/>
    <s v="Diabetes"/>
    <m/>
    <m/>
    <m/>
    <m/>
    <m/>
  </r>
  <r>
    <s v="Id1381"/>
    <s v="Uribe"/>
    <n v="18.28"/>
    <s v="Diabetes"/>
    <s v="No"/>
    <s v="No"/>
    <x v="0"/>
    <s v="No major surgery"/>
    <x v="1"/>
    <s v="Underweight"/>
    <s v="Diabetes"/>
    <m/>
    <m/>
    <m/>
    <m/>
    <m/>
  </r>
  <r>
    <s v="Id1382"/>
    <s v="Hand"/>
    <n v="35.814999999999998"/>
    <s v="Prediabetes"/>
    <s v="No"/>
    <s v="No"/>
    <x v="0"/>
    <s v="No major surgery"/>
    <x v="1"/>
    <s v="Obesity"/>
    <s v="Prediabetes"/>
    <m/>
    <m/>
    <m/>
    <m/>
    <m/>
  </r>
  <r>
    <s v="Id1383"/>
    <s v="Petersen"/>
    <n v="30.69"/>
    <s v="Diabetes"/>
    <s v="No"/>
    <s v="No"/>
    <x v="0"/>
    <s v="No major surgery"/>
    <x v="1"/>
    <s v="Obesity"/>
    <s v="Diabetes"/>
    <m/>
    <m/>
    <m/>
    <m/>
    <m/>
  </r>
  <r>
    <s v="Id1384"/>
    <s v="Mac-Thiong"/>
    <n v="26.125"/>
    <s v="Normal"/>
    <s v="No"/>
    <s v="No"/>
    <x v="0"/>
    <s v="No major surgery"/>
    <x v="1"/>
    <s v="Overweight"/>
    <s v="Normal"/>
    <m/>
    <m/>
    <m/>
    <m/>
    <m/>
  </r>
  <r>
    <s v="Id1385"/>
    <s v="Walker"/>
    <n v="34.58"/>
    <s v="Prediabetes"/>
    <s v="No"/>
    <s v="No"/>
    <x v="1"/>
    <n v="1"/>
    <x v="1"/>
    <s v="Obesity"/>
    <s v="Prediabetes"/>
    <m/>
    <m/>
    <m/>
    <m/>
    <m/>
  </r>
  <r>
    <s v="Id1386"/>
    <s v="Steidl"/>
    <n v="27.4"/>
    <s v="Diabetes"/>
    <s v="No"/>
    <s v="No"/>
    <x v="0"/>
    <s v="No major surgery"/>
    <x v="1"/>
    <s v="Overweight"/>
    <s v="Diabetes"/>
    <m/>
    <m/>
    <m/>
    <m/>
    <m/>
  </r>
  <r>
    <s v="Id1387"/>
    <s v="Rose"/>
    <n v="27.53"/>
    <s v="Normal"/>
    <s v="No"/>
    <s v="No"/>
    <x v="0"/>
    <n v="1"/>
    <x v="1"/>
    <s v="Overweight"/>
    <s v="Normal"/>
    <m/>
    <m/>
    <m/>
    <m/>
    <m/>
  </r>
  <r>
    <s v="Id1388"/>
    <s v="Alderfer"/>
    <n v="33"/>
    <s v="Normal"/>
    <s v="No"/>
    <s v="No"/>
    <x v="0"/>
    <s v="No major surgery"/>
    <x v="1"/>
    <s v="Obesity"/>
    <s v="Normal"/>
    <m/>
    <m/>
    <m/>
    <m/>
    <m/>
  </r>
  <r>
    <s v="Id1389"/>
    <s v="Ryland"/>
    <n v="25.78"/>
    <s v="Diabetes"/>
    <s v="yes"/>
    <s v="No"/>
    <x v="0"/>
    <s v="No major surgery"/>
    <x v="1"/>
    <s v="Overweight"/>
    <s v="Diabetes"/>
    <m/>
    <m/>
    <m/>
    <m/>
    <m/>
  </r>
  <r>
    <s v="Id1390"/>
    <s v="Bethea"/>
    <n v="22.66"/>
    <s v="Diabetes"/>
    <s v="No"/>
    <s v="No"/>
    <x v="0"/>
    <s v="No major surgery"/>
    <x v="1"/>
    <s v="Normal Weight"/>
    <s v="Diabetes"/>
    <m/>
    <m/>
    <m/>
    <m/>
    <m/>
  </r>
  <r>
    <s v="Id1391"/>
    <s v="Kelly"/>
    <n v="38.81"/>
    <s v="Prediabetes"/>
    <s v="yes"/>
    <s v="No"/>
    <x v="0"/>
    <n v="1"/>
    <x v="1"/>
    <s v="Obesity"/>
    <s v="Prediabetes"/>
    <m/>
    <m/>
    <m/>
    <m/>
    <m/>
  </r>
  <r>
    <s v="Id1392"/>
    <s v="Blois"/>
    <n v="38.51"/>
    <s v="Normal"/>
    <s v="yes"/>
    <s v="No"/>
    <x v="0"/>
    <s v="No major surgery"/>
    <x v="1"/>
    <s v="Obesity"/>
    <s v="Normal"/>
    <m/>
    <m/>
    <m/>
    <m/>
    <m/>
  </r>
  <r>
    <s v="Id1393"/>
    <s v="Dayton"/>
    <n v="22.98"/>
    <s v="Prediabetes"/>
    <s v="yes"/>
    <s v="No"/>
    <x v="0"/>
    <s v="No major surgery"/>
    <x v="1"/>
    <s v="Normal Weight"/>
    <s v="Prediabetes"/>
    <m/>
    <m/>
    <m/>
    <m/>
    <m/>
  </r>
  <r>
    <s v="Id1394"/>
    <s v="Cloud"/>
    <n v="15.65"/>
    <s v="Diabetes"/>
    <s v="No"/>
    <s v="No"/>
    <x v="0"/>
    <s v="No major surgery"/>
    <x v="1"/>
    <s v="Underweight"/>
    <s v="Diabetes"/>
    <m/>
    <m/>
    <m/>
    <m/>
    <m/>
  </r>
  <r>
    <s v="Id1395"/>
    <s v="Betournay"/>
    <n v="39.97"/>
    <s v="Normal"/>
    <s v="No"/>
    <s v="No"/>
    <x v="0"/>
    <n v="1"/>
    <x v="1"/>
    <s v="Obesity"/>
    <s v="Normal"/>
    <m/>
    <m/>
    <m/>
    <m/>
    <m/>
  </r>
  <r>
    <s v="Id1396"/>
    <s v="Temple"/>
    <n v="37.22"/>
    <s v="Normal"/>
    <s v="No"/>
    <s v="No"/>
    <x v="1"/>
    <n v="1"/>
    <x v="1"/>
    <s v="Obesity"/>
    <s v="Normal"/>
    <m/>
    <m/>
    <m/>
    <m/>
    <m/>
  </r>
  <r>
    <s v="Id1397"/>
    <s v="Rollie"/>
    <n v="41.325000000000003"/>
    <s v="Prediabetes"/>
    <s v="No"/>
    <s v="No"/>
    <x v="0"/>
    <s v="No major surgery"/>
    <x v="1"/>
    <s v="Obesity"/>
    <s v="Prediabetes"/>
    <m/>
    <m/>
    <m/>
    <m/>
    <m/>
  </r>
  <r>
    <s v="Id1398"/>
    <s v="Roybal"/>
    <n v="40.31"/>
    <s v="Prediabetes"/>
    <s v="No"/>
    <s v="No"/>
    <x v="0"/>
    <s v="No major surgery"/>
    <x v="1"/>
    <s v="Obesity"/>
    <s v="Prediabetes"/>
    <m/>
    <m/>
    <m/>
    <m/>
    <m/>
  </r>
  <r>
    <s v="Id1399"/>
    <s v="Turgeon"/>
    <n v="29.48"/>
    <s v="Normal"/>
    <s v="No"/>
    <s v="No"/>
    <x v="0"/>
    <s v="No major surgery"/>
    <x v="1"/>
    <s v="Overweight"/>
    <s v="Normal"/>
    <m/>
    <m/>
    <m/>
    <m/>
    <m/>
  </r>
  <r>
    <s v="Id1400"/>
    <s v="Deingenis"/>
    <n v="33.155000000000001"/>
    <s v="Normal"/>
    <s v="No"/>
    <s v="No"/>
    <x v="0"/>
    <s v="No major surgery"/>
    <x v="1"/>
    <s v="Obesity"/>
    <s v="Normal"/>
    <m/>
    <m/>
    <m/>
    <m/>
    <m/>
  </r>
  <r>
    <s v="Id1401"/>
    <s v="Hodge"/>
    <n v="42.85"/>
    <s v="Prediabetes"/>
    <s v="yes"/>
    <s v="No"/>
    <x v="0"/>
    <s v="No major surgery"/>
    <x v="1"/>
    <s v="Obesity"/>
    <s v="Prediabetes"/>
    <m/>
    <m/>
    <m/>
    <m/>
    <m/>
  </r>
  <r>
    <s v="Id1402"/>
    <s v="Gibbs"/>
    <n v="32.340000000000003"/>
    <s v="Diabetes"/>
    <s v="No"/>
    <s v="No"/>
    <x v="0"/>
    <s v="No major surgery"/>
    <x v="1"/>
    <s v="Obesity"/>
    <s v="Diabetes"/>
    <m/>
    <m/>
    <m/>
    <m/>
    <m/>
  </r>
  <r>
    <s v="Id1403"/>
    <s v="Trom"/>
    <n v="27.5"/>
    <s v="Diabetes"/>
    <s v="No"/>
    <s v="No"/>
    <x v="0"/>
    <s v="No major surgery"/>
    <x v="1"/>
    <s v="Overweight"/>
    <s v="Diabetes"/>
    <m/>
    <m/>
    <m/>
    <m/>
    <m/>
  </r>
  <r>
    <s v="Id1404"/>
    <s v="Sizer"/>
    <n v="25.8"/>
    <s v="Diabetes"/>
    <s v="No"/>
    <s v="No"/>
    <x v="0"/>
    <s v="No major surgery"/>
    <x v="1"/>
    <s v="Overweight"/>
    <s v="Diabetes"/>
    <m/>
    <m/>
    <m/>
    <m/>
    <m/>
  </r>
  <r>
    <s v="Id1405"/>
    <s v="Ellison"/>
    <n v="25"/>
    <s v="Diabetes"/>
    <s v="No"/>
    <s v="No"/>
    <x v="0"/>
    <s v="No major surgery"/>
    <x v="1"/>
    <s v="Overweight"/>
    <s v="Diabetes"/>
    <m/>
    <m/>
    <m/>
    <m/>
    <m/>
  </r>
  <r>
    <s v="Id1406"/>
    <s v="Sulkowski"/>
    <n v="41.2"/>
    <s v="Normal"/>
    <s v="yes"/>
    <s v="No"/>
    <x v="0"/>
    <s v="No major surgery"/>
    <x v="1"/>
    <s v="Obesity"/>
    <s v="Normal"/>
    <m/>
    <m/>
    <m/>
    <m/>
    <m/>
  </r>
  <r>
    <s v="Id1407"/>
    <s v="Maringo"/>
    <n v="17.78"/>
    <s v="Diabetes"/>
    <s v="No"/>
    <s v="No"/>
    <x v="0"/>
    <s v="No major surgery"/>
    <x v="1"/>
    <s v="Underweight"/>
    <s v="Diabetes"/>
    <m/>
    <m/>
    <m/>
    <m/>
    <m/>
  </r>
  <r>
    <s v="Id1408"/>
    <s v="Lattin"/>
    <n v="40.119999999999997"/>
    <s v="Prediabetes"/>
    <s v="yes"/>
    <s v="No"/>
    <x v="1"/>
    <n v="1"/>
    <x v="1"/>
    <s v="Obesity"/>
    <s v="Prediabetes"/>
    <m/>
    <m/>
    <m/>
    <m/>
    <m/>
  </r>
  <r>
    <s v="Id1409"/>
    <s v="Deblander"/>
    <n v="19.350000000000001"/>
    <s v="Diabetes"/>
    <s v="yes"/>
    <s v="No"/>
    <x v="0"/>
    <s v="No major surgery"/>
    <x v="1"/>
    <s v="Normal Weight"/>
    <s v="Diabetes"/>
    <m/>
    <m/>
    <m/>
    <m/>
    <m/>
  </r>
  <r>
    <s v="Id1410"/>
    <s v="O'Neill"/>
    <n v="36.69"/>
    <s v="Prediabetes"/>
    <s v="No"/>
    <s v="No"/>
    <x v="0"/>
    <s v="No major surgery"/>
    <x v="1"/>
    <s v="Obesity"/>
    <s v="Prediabetes"/>
    <m/>
    <m/>
    <m/>
    <m/>
    <m/>
  </r>
  <r>
    <s v="Id1411"/>
    <s v="Davis"/>
    <n v="28.51"/>
    <s v="Normal"/>
    <s v="yes"/>
    <s v="No"/>
    <x v="0"/>
    <n v="1"/>
    <x v="1"/>
    <s v="Overweight"/>
    <s v="Normal"/>
    <m/>
    <m/>
    <m/>
    <m/>
    <m/>
  </r>
  <r>
    <s v="Id1412"/>
    <s v="Stanek"/>
    <n v="30.21"/>
    <s v="Normal"/>
    <s v="No"/>
    <s v="No"/>
    <x v="0"/>
    <n v="1"/>
    <x v="1"/>
    <s v="Obesity"/>
    <s v="Normal"/>
    <m/>
    <m/>
    <m/>
    <m/>
    <m/>
  </r>
  <r>
    <s v="Id1413"/>
    <s v="Harris"/>
    <n v="24.33"/>
    <s v="Diabetes"/>
    <s v="No"/>
    <s v="No"/>
    <x v="0"/>
    <s v="No major surgery"/>
    <x v="1"/>
    <s v="Normal Weight"/>
    <s v="Diabetes"/>
    <m/>
    <m/>
    <m/>
    <m/>
    <m/>
  </r>
  <r>
    <s v="Id1414"/>
    <s v="Manning"/>
    <n v="19.855"/>
    <s v="Prediabetes"/>
    <s v="yes"/>
    <s v="No"/>
    <x v="0"/>
    <s v="No major surgery"/>
    <x v="1"/>
    <s v="Normal Weight"/>
    <s v="Prediabetes"/>
    <m/>
    <m/>
    <m/>
    <m/>
    <m/>
  </r>
  <r>
    <s v="Id1415"/>
    <s v="Barrera Munoz"/>
    <n v="25.364999999999998"/>
    <s v="Diabetes"/>
    <s v="No"/>
    <s v="No"/>
    <x v="0"/>
    <s v="No major surgery"/>
    <x v="1"/>
    <s v="Overweight"/>
    <s v="Diabetes"/>
    <m/>
    <m/>
    <m/>
    <m/>
    <m/>
  </r>
  <r>
    <s v="Id1416"/>
    <s v="Schauwaers"/>
    <n v="29.6"/>
    <s v="Prediabetes"/>
    <s v="yes"/>
    <s v="No"/>
    <x v="1"/>
    <n v="1"/>
    <x v="1"/>
    <s v="Overweight"/>
    <s v="Prediabetes"/>
    <m/>
    <m/>
    <m/>
    <m/>
    <m/>
  </r>
  <r>
    <s v="Id1417"/>
    <s v="Hartman"/>
    <n v="39.43"/>
    <s v="Prediabetes"/>
    <s v="yes"/>
    <s v="No"/>
    <x v="1"/>
    <n v="1"/>
    <x v="1"/>
    <s v="Obesity"/>
    <s v="Prediabetes"/>
    <m/>
    <m/>
    <m/>
    <m/>
    <m/>
  </r>
  <r>
    <s v="Id1418"/>
    <s v="Fire"/>
    <n v="27.34"/>
    <s v="Normal"/>
    <s v="yes"/>
    <s v="No"/>
    <x v="0"/>
    <n v="1"/>
    <x v="1"/>
    <s v="Overweight"/>
    <s v="Normal"/>
    <m/>
    <m/>
    <m/>
    <m/>
    <m/>
  </r>
  <r>
    <s v="Id1419"/>
    <s v="Waliaula"/>
    <n v="39.01"/>
    <s v="Normal"/>
    <s v="yes"/>
    <s v="No"/>
    <x v="0"/>
    <s v="No major surgery"/>
    <x v="1"/>
    <s v="Obesity"/>
    <s v="Normal"/>
    <m/>
    <m/>
    <m/>
    <m/>
    <m/>
  </r>
  <r>
    <s v="Id1420"/>
    <s v="Blackshear"/>
    <n v="18.989999999999998"/>
    <s v="Diabetes"/>
    <s v="yes"/>
    <s v="No"/>
    <x v="0"/>
    <s v="No major surgery"/>
    <x v="1"/>
    <s v="Normal Weight"/>
    <s v="Diabetes"/>
    <m/>
    <m/>
    <m/>
    <m/>
    <m/>
  </r>
  <r>
    <s v="Id1421"/>
    <s v="Nettik"/>
    <n v="42.3"/>
    <s v="Prediabetes"/>
    <s v="yes"/>
    <s v="No"/>
    <x v="0"/>
    <s v="No major surgery"/>
    <x v="1"/>
    <s v="Obesity"/>
    <s v="Prediabetes"/>
    <m/>
    <m/>
    <m/>
    <m/>
    <m/>
  </r>
  <r>
    <s v="Id1422"/>
    <s v="Novales"/>
    <n v="39.805"/>
    <s v="Prediabetes"/>
    <s v="No"/>
    <s v="No"/>
    <x v="0"/>
    <s v="No major surgery"/>
    <x v="1"/>
    <s v="Obesity"/>
    <s v="Prediabetes"/>
    <m/>
    <m/>
    <m/>
    <m/>
    <m/>
  </r>
  <r>
    <s v="Id1423"/>
    <s v="Rosauer"/>
    <n v="33.700000000000003"/>
    <s v="Prediabetes"/>
    <s v="No"/>
    <s v="No"/>
    <x v="0"/>
    <s v="No major surgery"/>
    <x v="1"/>
    <s v="Obesity"/>
    <s v="Prediabetes"/>
    <m/>
    <m/>
    <m/>
    <m/>
    <m/>
  </r>
  <r>
    <s v="Id1424"/>
    <s v="Ryder"/>
    <n v="36.195"/>
    <s v="Prediabetes"/>
    <s v="No"/>
    <s v="No"/>
    <x v="0"/>
    <s v="No major surgery"/>
    <x v="1"/>
    <s v="Obesity"/>
    <s v="Prediabetes"/>
    <m/>
    <m/>
    <m/>
    <m/>
    <m/>
  </r>
  <r>
    <s v="Id1425"/>
    <s v="Larsen"/>
    <n v="32.6"/>
    <s v="Prediabetes"/>
    <s v="No"/>
    <s v="No"/>
    <x v="1"/>
    <n v="1"/>
    <x v="1"/>
    <s v="Obesity"/>
    <s v="Prediabetes"/>
    <m/>
    <m/>
    <m/>
    <m/>
    <m/>
  </r>
  <r>
    <s v="Id1426"/>
    <s v="Keate"/>
    <n v="30.2"/>
    <s v="Prediabetes"/>
    <s v="No"/>
    <s v="No"/>
    <x v="0"/>
    <s v="No major surgery"/>
    <x v="1"/>
    <s v="Obesity"/>
    <s v="Prediabetes"/>
    <m/>
    <m/>
    <m/>
    <m/>
    <m/>
  </r>
  <r>
    <s v="Id1427"/>
    <s v="Williams"/>
    <n v="27.645"/>
    <s v="Diabetes"/>
    <s v="No"/>
    <s v="No"/>
    <x v="0"/>
    <s v="No major surgery"/>
    <x v="1"/>
    <s v="Overweight"/>
    <s v="Diabetes"/>
    <m/>
    <m/>
    <m/>
    <m/>
    <m/>
  </r>
  <r>
    <s v="Id1428"/>
    <s v="Starosciak"/>
    <n v="26.41"/>
    <s v="Diabetes"/>
    <s v="No"/>
    <s v="No"/>
    <x v="0"/>
    <s v="No major surgery"/>
    <x v="1"/>
    <s v="Overweight"/>
    <s v="Diabetes"/>
    <m/>
    <m/>
    <m/>
    <m/>
    <m/>
  </r>
  <r>
    <s v="Id1429"/>
    <s v="Smith"/>
    <n v="34.1"/>
    <s v="Prediabetes"/>
    <s v="yes"/>
    <s v="No"/>
    <x v="1"/>
    <n v="1"/>
    <x v="1"/>
    <s v="Obesity"/>
    <s v="Prediabetes"/>
    <m/>
    <m/>
    <m/>
    <m/>
    <m/>
  </r>
  <r>
    <s v="Id1430"/>
    <s v="Henderson"/>
    <n v="17.3"/>
    <s v="Diabetes"/>
    <s v="No"/>
    <s v="No"/>
    <x v="0"/>
    <s v="No major surgery"/>
    <x v="1"/>
    <s v="Underweight"/>
    <s v="Diabetes"/>
    <m/>
    <m/>
    <m/>
    <m/>
    <m/>
  </r>
  <r>
    <s v="Id1431"/>
    <s v="Winkelman"/>
    <n v="35.020000000000003"/>
    <s v="Normal"/>
    <s v="No"/>
    <s v="No"/>
    <x v="1"/>
    <n v="1"/>
    <x v="1"/>
    <s v="Obesity"/>
    <s v="Normal"/>
    <m/>
    <m/>
    <m/>
    <m/>
    <m/>
  </r>
  <r>
    <s v="Id1432"/>
    <s v="Monette"/>
    <n v="37.1"/>
    <s v="Diabetes"/>
    <s v="yes"/>
    <s v="No"/>
    <x v="0"/>
    <s v="No major surgery"/>
    <x v="1"/>
    <s v="Obesity"/>
    <s v="Diabetes"/>
    <m/>
    <m/>
    <m/>
    <m/>
    <m/>
  </r>
  <r>
    <s v="Id1433"/>
    <s v="Kramer"/>
    <n v="16.79"/>
    <s v="Diabetes"/>
    <s v="No"/>
    <s v="No"/>
    <x v="0"/>
    <s v="No major surgery"/>
    <x v="1"/>
    <s v="Underweight"/>
    <s v="Diabetes"/>
    <m/>
    <m/>
    <m/>
    <m/>
    <m/>
  </r>
  <r>
    <s v="Id1434"/>
    <s v="Goldstein"/>
    <n v="31.635000000000002"/>
    <s v="Diabetes"/>
    <s v="yes"/>
    <s v="No"/>
    <x v="0"/>
    <s v="No major surgery"/>
    <x v="1"/>
    <s v="Obesity"/>
    <s v="Diabetes"/>
    <m/>
    <m/>
    <m/>
    <m/>
    <m/>
  </r>
  <r>
    <s v="Id1435"/>
    <s v="Gonzalez"/>
    <n v="24.19"/>
    <s v="Prediabetes"/>
    <s v="yes"/>
    <s v="No"/>
    <x v="1"/>
    <n v="1"/>
    <x v="1"/>
    <s v="Normal Weight"/>
    <s v="Prediabetes"/>
    <m/>
    <m/>
    <m/>
    <m/>
    <m/>
  </r>
  <r>
    <s v="Id1436"/>
    <s v="Barrett"/>
    <n v="35.29"/>
    <s v="Prediabetes"/>
    <s v="No"/>
    <s v="No"/>
    <x v="1"/>
    <n v="1"/>
    <x v="1"/>
    <s v="Obesity"/>
    <s v="Prediabetes"/>
    <m/>
    <m/>
    <m/>
    <m/>
    <m/>
  </r>
  <r>
    <s v="Id1437"/>
    <s v="Irwin"/>
    <n v="35.299999999999997"/>
    <s v="Normal"/>
    <s v="No"/>
    <s v="No"/>
    <x v="0"/>
    <s v="No major surgery"/>
    <x v="1"/>
    <s v="Obesity"/>
    <s v="Normal"/>
    <m/>
    <m/>
    <m/>
    <m/>
    <m/>
  </r>
  <r>
    <s v="Id1438"/>
    <s v="Glenn"/>
    <n v="35.64"/>
    <s v="Prediabetes"/>
    <s v="No"/>
    <s v="No"/>
    <x v="1"/>
    <n v="1"/>
    <x v="1"/>
    <s v="Obesity"/>
    <s v="Prediabetes"/>
    <m/>
    <m/>
    <m/>
    <m/>
    <m/>
  </r>
  <r>
    <s v="Id1439"/>
    <s v="O'Meara"/>
    <n v="33.1"/>
    <s v="Normal"/>
    <s v="No"/>
    <s v="No"/>
    <x v="0"/>
    <s v="No major surgery"/>
    <x v="1"/>
    <s v="Obesity"/>
    <s v="Normal"/>
    <m/>
    <m/>
    <m/>
    <m/>
    <m/>
  </r>
  <r>
    <s v="Id1440"/>
    <s v="Budrow"/>
    <n v="26.41"/>
    <s v="Diabetes"/>
    <s v="yes"/>
    <s v="No"/>
    <x v="0"/>
    <n v="1"/>
    <x v="1"/>
    <s v="Overweight"/>
    <s v="Diabetes"/>
    <m/>
    <m/>
    <m/>
    <m/>
    <m/>
  </r>
  <r>
    <s v="Id1441"/>
    <s v="Anderson"/>
    <n v="29.9"/>
    <s v="Normal"/>
    <s v="No"/>
    <s v="No"/>
    <x v="1"/>
    <n v="1"/>
    <x v="1"/>
    <s v="Overweight"/>
    <s v="Normal"/>
    <m/>
    <m/>
    <m/>
    <m/>
    <m/>
  </r>
  <r>
    <s v="Id1442"/>
    <s v="Douglas"/>
    <n v="25.24"/>
    <s v="Prediabetes"/>
    <s v="No"/>
    <s v="No"/>
    <x v="0"/>
    <n v="1"/>
    <x v="1"/>
    <s v="Overweight"/>
    <s v="Prediabetes"/>
    <m/>
    <m/>
    <m/>
    <m/>
    <m/>
  </r>
  <r>
    <s v="Id1443"/>
    <s v="Tecklenburg"/>
    <n v="25.08"/>
    <s v="Prediabetes"/>
    <s v="No"/>
    <s v="No"/>
    <x v="1"/>
    <n v="1"/>
    <x v="1"/>
    <s v="Overweight"/>
    <s v="Prediabetes"/>
    <m/>
    <m/>
    <m/>
    <m/>
    <m/>
  </r>
  <r>
    <s v="Id1444"/>
    <s v="Baker"/>
    <n v="29.164999999999999"/>
    <s v="Normal"/>
    <s v="No"/>
    <s v="yes"/>
    <x v="0"/>
    <n v="1"/>
    <x v="1"/>
    <s v="Overweight"/>
    <s v="Normal"/>
    <m/>
    <m/>
    <m/>
    <m/>
    <m/>
  </r>
  <r>
    <s v="Id1445"/>
    <s v="Schenck"/>
    <n v="15.05"/>
    <s v="Diabetes"/>
    <s v="No"/>
    <s v="No"/>
    <x v="0"/>
    <s v="No major surgery"/>
    <x v="1"/>
    <s v="Underweight"/>
    <s v="Diabetes"/>
    <m/>
    <m/>
    <m/>
    <m/>
    <m/>
  </r>
  <r>
    <s v="Id1446"/>
    <s v="Johnson"/>
    <n v="19.95"/>
    <s v="Normal"/>
    <s v="No"/>
    <s v="No"/>
    <x v="0"/>
    <n v="2"/>
    <x v="1"/>
    <s v="Normal Weight"/>
    <s v="Normal"/>
    <m/>
    <m/>
    <m/>
    <m/>
    <m/>
  </r>
  <r>
    <s v="Id1447"/>
    <s v="Blendell"/>
    <n v="16.66"/>
    <s v="Diabetes"/>
    <s v="No"/>
    <s v="No"/>
    <x v="0"/>
    <s v="No major surgery"/>
    <x v="1"/>
    <s v="Underweight"/>
    <s v="Diabetes"/>
    <m/>
    <m/>
    <m/>
    <m/>
    <m/>
  </r>
  <r>
    <s v="Id1448"/>
    <s v="Parodi"/>
    <n v="16.62"/>
    <s v="Diabetes"/>
    <s v="No"/>
    <s v="No"/>
    <x v="0"/>
    <s v="No major surgery"/>
    <x v="1"/>
    <s v="Underweight"/>
    <s v="Diabetes"/>
    <m/>
    <m/>
    <m/>
    <m/>
    <m/>
  </r>
  <r>
    <s v="Id1449"/>
    <s v="Morgan"/>
    <n v="15.36"/>
    <s v="Normal"/>
    <s v="yes"/>
    <s v="No"/>
    <x v="0"/>
    <n v="2"/>
    <x v="1"/>
    <s v="Underweight"/>
    <s v="Normal"/>
    <m/>
    <m/>
    <m/>
    <m/>
    <m/>
  </r>
  <r>
    <s v="Id1450"/>
    <s v="Linden"/>
    <n v="27.74"/>
    <s v="Prediabetes"/>
    <s v="yes"/>
    <s v="No"/>
    <x v="0"/>
    <s v="No major surgery"/>
    <x v="1"/>
    <s v="Overweight"/>
    <s v="Prediabetes"/>
    <m/>
    <m/>
    <m/>
    <m/>
    <m/>
  </r>
  <r>
    <s v="Id1451"/>
    <s v="Horning"/>
    <n v="22.44"/>
    <s v="Normal"/>
    <s v="yes"/>
    <s v="No"/>
    <x v="0"/>
    <s v="No major surgery"/>
    <x v="1"/>
    <s v="Normal Weight"/>
    <s v="Normal"/>
    <m/>
    <m/>
    <m/>
    <m/>
    <m/>
  </r>
  <r>
    <s v="Id1452"/>
    <s v="Goode"/>
    <n v="37.049999999999997"/>
    <s v="Diabetes"/>
    <s v="yes"/>
    <s v="No"/>
    <x v="0"/>
    <s v="No major surgery"/>
    <x v="1"/>
    <s v="Obesity"/>
    <s v="Diabetes"/>
    <m/>
    <m/>
    <m/>
    <m/>
    <m/>
  </r>
  <r>
    <s v="Id1453"/>
    <s v="Doden"/>
    <n v="22.95"/>
    <s v="Diabetes"/>
    <s v="No"/>
    <s v="No"/>
    <x v="0"/>
    <n v="2"/>
    <x v="1"/>
    <s v="Normal Weight"/>
    <s v="Diabetes"/>
    <m/>
    <m/>
    <m/>
    <m/>
    <m/>
  </r>
  <r>
    <s v="Id1454"/>
    <s v="Groff"/>
    <n v="34.200000000000003"/>
    <s v="Diabetes"/>
    <s v="yes"/>
    <s v="No"/>
    <x v="0"/>
    <s v="No major surgery"/>
    <x v="1"/>
    <s v="Obesity"/>
    <s v="Diabetes"/>
    <m/>
    <m/>
    <m/>
    <m/>
    <m/>
  </r>
  <r>
    <s v="Id1455"/>
    <s v="Kuehler"/>
    <n v="30.59"/>
    <s v="Diabetes"/>
    <s v="yes"/>
    <s v="No"/>
    <x v="0"/>
    <s v="No major surgery"/>
    <x v="1"/>
    <s v="Obesity"/>
    <s v="Diabetes"/>
    <m/>
    <m/>
    <m/>
    <m/>
    <m/>
  </r>
  <r>
    <s v="Id1456"/>
    <s v="Daniels"/>
    <n v="25.51"/>
    <s v="Prediabetes"/>
    <s v="No"/>
    <s v="No"/>
    <x v="0"/>
    <s v="No major surgery"/>
    <x v="1"/>
    <s v="Overweight"/>
    <s v="Prediabetes"/>
    <m/>
    <m/>
    <m/>
    <m/>
    <m/>
  </r>
  <r>
    <s v="Id1457"/>
    <s v="Gibby"/>
    <n v="29.04"/>
    <s v="Diabetes"/>
    <s v="yes"/>
    <s v="No"/>
    <x v="0"/>
    <n v="1"/>
    <x v="1"/>
    <s v="Overweight"/>
    <s v="Diabetes"/>
    <m/>
    <m/>
    <m/>
    <m/>
    <m/>
  </r>
  <r>
    <s v="Id1458"/>
    <s v="Busa"/>
    <n v="22.135000000000002"/>
    <s v="Diabetes"/>
    <s v="yes"/>
    <s v="No"/>
    <x v="0"/>
    <n v="1"/>
    <x v="1"/>
    <s v="Normal Weight"/>
    <s v="Diabetes"/>
    <m/>
    <m/>
    <m/>
    <m/>
    <m/>
  </r>
  <r>
    <s v="Id1459"/>
    <s v="Moyo"/>
    <n v="21.375"/>
    <s v="Normal"/>
    <s v="No"/>
    <s v="No"/>
    <x v="0"/>
    <s v="No major surgery"/>
    <x v="1"/>
    <s v="Normal Weight"/>
    <s v="Normal"/>
    <m/>
    <m/>
    <m/>
    <m/>
    <m/>
  </r>
  <r>
    <s v="Id1460"/>
    <s v="Horn"/>
    <n v="29.19"/>
    <s v="Normal"/>
    <s v="No"/>
    <s v="No"/>
    <x v="0"/>
    <s v="No major surgery"/>
    <x v="1"/>
    <s v="Overweight"/>
    <s v="Normal"/>
    <m/>
    <m/>
    <m/>
    <m/>
    <m/>
  </r>
  <r>
    <s v="Id1461"/>
    <s v="Bien"/>
    <n v="31.92"/>
    <s v="Normal"/>
    <s v="yes"/>
    <s v="No"/>
    <x v="1"/>
    <n v="1"/>
    <x v="1"/>
    <s v="Obesity"/>
    <s v="Normal"/>
    <m/>
    <m/>
    <m/>
    <m/>
    <m/>
  </r>
  <r>
    <s v="Id1462"/>
    <s v="O'Connor"/>
    <n v="26.315000000000001"/>
    <s v="Normal"/>
    <s v="yes"/>
    <s v="No"/>
    <x v="1"/>
    <n v="1"/>
    <x v="1"/>
    <s v="Overweight"/>
    <s v="Normal"/>
    <m/>
    <m/>
    <m/>
    <m/>
    <m/>
  </r>
  <r>
    <s v="Id1463"/>
    <s v="Ash"/>
    <n v="35.299999999999997"/>
    <s v="Normal"/>
    <s v="No"/>
    <s v="No"/>
    <x v="0"/>
    <s v="No major surgery"/>
    <x v="1"/>
    <s v="Obesity"/>
    <s v="Normal"/>
    <m/>
    <m/>
    <m/>
    <m/>
    <m/>
  </r>
  <r>
    <s v="Id1464"/>
    <s v="Do Prado"/>
    <n v="18.91"/>
    <s v="Diabetes"/>
    <s v="No"/>
    <s v="No"/>
    <x v="0"/>
    <s v="No major surgery"/>
    <x v="1"/>
    <s v="Normal Weight"/>
    <s v="Diabetes"/>
    <m/>
    <m/>
    <m/>
    <m/>
    <m/>
  </r>
  <r>
    <s v="Id1465"/>
    <s v="Phillips"/>
    <n v="22.41"/>
    <s v="Diabetes"/>
    <s v="yes"/>
    <s v="No"/>
    <x v="0"/>
    <n v="1"/>
    <x v="1"/>
    <s v="Normal Weight"/>
    <s v="Diabetes"/>
    <m/>
    <m/>
    <m/>
    <m/>
    <m/>
  </r>
  <r>
    <s v="Id1466"/>
    <s v="Kelly"/>
    <n v="22.704999999999998"/>
    <s v="Prediabetes"/>
    <s v="No"/>
    <s v="No"/>
    <x v="0"/>
    <s v="No major surgery"/>
    <x v="1"/>
    <s v="Normal Weight"/>
    <s v="Prediabetes"/>
    <m/>
    <m/>
    <m/>
    <m/>
    <m/>
  </r>
  <r>
    <s v="Id1467"/>
    <s v="Dever"/>
    <n v="37.18"/>
    <s v="Normal"/>
    <s v="No"/>
    <s v="No"/>
    <x v="0"/>
    <s v="No major surgery"/>
    <x v="1"/>
    <s v="Obesity"/>
    <s v="Normal"/>
    <m/>
    <m/>
    <m/>
    <m/>
    <m/>
  </r>
  <r>
    <s v="Id1468"/>
    <s v="Horvath"/>
    <n v="35.97"/>
    <s v="Normal"/>
    <s v="No"/>
    <s v="No"/>
    <x v="0"/>
    <s v="No major surgery"/>
    <x v="1"/>
    <s v="Obesity"/>
    <s v="Normal"/>
    <m/>
    <m/>
    <m/>
    <m/>
    <m/>
  </r>
  <r>
    <s v="Id1469"/>
    <s v="Danner"/>
    <n v="35.799999999999997"/>
    <s v="Normal"/>
    <s v="No"/>
    <s v="No"/>
    <x v="0"/>
    <s v="No major surgery"/>
    <x v="1"/>
    <s v="Obesity"/>
    <s v="Normal"/>
    <m/>
    <m/>
    <m/>
    <m/>
    <m/>
  </r>
  <r>
    <s v="Id1470"/>
    <s v="Weiss"/>
    <n v="28.31"/>
    <s v="Diabetes"/>
    <s v="yes"/>
    <s v="No"/>
    <x v="0"/>
    <s v="No major surgery"/>
    <x v="1"/>
    <s v="Overweight"/>
    <s v="Diabetes"/>
    <m/>
    <m/>
    <m/>
    <m/>
    <m/>
  </r>
  <r>
    <s v="Id1471"/>
    <s v="D'Andrea"/>
    <n v="38.06"/>
    <s v="Diabetes"/>
    <s v="No"/>
    <s v="No"/>
    <x v="0"/>
    <s v="No major surgery"/>
    <x v="1"/>
    <s v="Obesity"/>
    <s v="Diabetes"/>
    <m/>
    <m/>
    <m/>
    <m/>
    <m/>
  </r>
  <r>
    <s v="Id1472"/>
    <s v="Olesky"/>
    <n v="28"/>
    <s v="Normal"/>
    <s v="No"/>
    <s v="No"/>
    <x v="0"/>
    <n v="1"/>
    <x v="1"/>
    <s v="Overweight"/>
    <s v="Normal"/>
    <m/>
    <m/>
    <m/>
    <m/>
    <m/>
  </r>
  <r>
    <s v="Id1473"/>
    <s v="Whitcraft"/>
    <n v="34.32"/>
    <s v="Diabetes"/>
    <s v="No"/>
    <s v="No"/>
    <x v="0"/>
    <s v="No major surgery"/>
    <x v="1"/>
    <s v="Obesity"/>
    <s v="Diabetes"/>
    <m/>
    <m/>
    <m/>
    <m/>
    <m/>
  </r>
  <r>
    <s v="Id1474"/>
    <s v="Salazar"/>
    <n v="22.3"/>
    <s v="Normal"/>
    <s v="yes"/>
    <s v="No"/>
    <x v="0"/>
    <s v="No major surgery"/>
    <x v="1"/>
    <s v="Normal Weight"/>
    <s v="Normal"/>
    <m/>
    <m/>
    <m/>
    <m/>
    <m/>
  </r>
  <r>
    <s v="Id1475"/>
    <s v="Todd"/>
    <n v="27.835000000000001"/>
    <s v="Prediabetes"/>
    <s v="No"/>
    <s v="No"/>
    <x v="0"/>
    <n v="1"/>
    <x v="1"/>
    <s v="Overweight"/>
    <s v="Prediabetes"/>
    <m/>
    <m/>
    <m/>
    <m/>
    <m/>
  </r>
  <r>
    <s v="Id1476"/>
    <s v="Pond"/>
    <n v="39.229999999999997"/>
    <s v="Normal"/>
    <s v="No"/>
    <s v="No"/>
    <x v="0"/>
    <s v="No major surgery"/>
    <x v="1"/>
    <s v="Obesity"/>
    <s v="Normal"/>
    <m/>
    <m/>
    <m/>
    <m/>
    <m/>
  </r>
  <r>
    <s v="Id1477"/>
    <s v="Egan"/>
    <n v="19.95"/>
    <s v="Prediabetes"/>
    <s v="No"/>
    <s v="No"/>
    <x v="0"/>
    <n v="1"/>
    <x v="1"/>
    <s v="Normal Weight"/>
    <s v="Prediabetes"/>
    <m/>
    <m/>
    <m/>
    <m/>
    <m/>
  </r>
  <r>
    <s v="Id1478"/>
    <s v="Bersani"/>
    <n v="34.64"/>
    <s v="Normal"/>
    <s v="No"/>
    <s v="No"/>
    <x v="1"/>
    <n v="1"/>
    <x v="1"/>
    <s v="Obesity"/>
    <s v="Normal"/>
    <m/>
    <m/>
    <m/>
    <m/>
    <m/>
  </r>
  <r>
    <s v="Id1479"/>
    <s v="Creech"/>
    <n v="18.75"/>
    <s v="Diabetes"/>
    <s v="No"/>
    <s v="No"/>
    <x v="0"/>
    <s v="No major surgery"/>
    <x v="1"/>
    <s v="Normal Weight"/>
    <s v="Diabetes"/>
    <m/>
    <m/>
    <m/>
    <m/>
    <m/>
  </r>
  <r>
    <s v="Id1480"/>
    <s v="Sudres"/>
    <n v="26.48"/>
    <s v="Normal"/>
    <s v="No"/>
    <s v="No"/>
    <x v="0"/>
    <n v="1"/>
    <x v="1"/>
    <s v="Overweight"/>
    <s v="Normal"/>
    <m/>
    <m/>
    <m/>
    <m/>
    <m/>
  </r>
  <r>
    <s v="Id1481"/>
    <s v="Couture"/>
    <n v="34.83"/>
    <s v="Prediabetes"/>
    <s v="No"/>
    <s v="No"/>
    <x v="0"/>
    <n v="1"/>
    <x v="1"/>
    <s v="Obesity"/>
    <s v="Prediabetes"/>
    <m/>
    <m/>
    <m/>
    <m/>
    <m/>
  </r>
  <r>
    <s v="Id1482"/>
    <s v="Willard"/>
    <n v="25.46"/>
    <s v="Normal"/>
    <s v="No"/>
    <s v="No"/>
    <x v="0"/>
    <s v="No major surgery"/>
    <x v="1"/>
    <s v="Overweight"/>
    <s v="Normal"/>
    <m/>
    <m/>
    <m/>
    <m/>
    <m/>
  </r>
  <r>
    <s v="Id1483"/>
    <s v="Patronick"/>
    <n v="23.31"/>
    <s v="Diabetes"/>
    <s v="No"/>
    <s v="No"/>
    <x v="0"/>
    <s v="No major surgery"/>
    <x v="1"/>
    <s v="Normal Weight"/>
    <s v="Diabetes"/>
    <m/>
    <m/>
    <m/>
    <m/>
    <m/>
  </r>
  <r>
    <s v="Id1484"/>
    <s v="Depasquale"/>
    <n v="29"/>
    <s v="Normal"/>
    <s v="No"/>
    <s v="No"/>
    <x v="0"/>
    <s v="No major surgery"/>
    <x v="1"/>
    <s v="Overweight"/>
    <s v="Normal"/>
    <m/>
    <m/>
    <m/>
    <m/>
    <m/>
  </r>
  <r>
    <s v="Id1485"/>
    <s v="Lavergne"/>
    <n v="32.869999999999997"/>
    <s v="Normal"/>
    <s v="No"/>
    <s v="No"/>
    <x v="0"/>
    <s v="No major surgery"/>
    <x v="1"/>
    <s v="Obesity"/>
    <s v="Normal"/>
    <m/>
    <m/>
    <m/>
    <m/>
    <m/>
  </r>
  <r>
    <s v="Id1486"/>
    <s v="Kawakami"/>
    <n v="26.18"/>
    <s v="Normal"/>
    <s v="No"/>
    <s v="No"/>
    <x v="0"/>
    <s v="No major surgery"/>
    <x v="1"/>
    <s v="Overweight"/>
    <s v="Normal"/>
    <m/>
    <m/>
    <m/>
    <m/>
    <m/>
  </r>
  <r>
    <s v="Id1487"/>
    <s v="Gonsalves"/>
    <n v="25.3"/>
    <s v="Normal"/>
    <s v="No"/>
    <s v="No"/>
    <x v="0"/>
    <s v="No major surgery"/>
    <x v="1"/>
    <s v="Overweight"/>
    <s v="Normal"/>
    <m/>
    <m/>
    <m/>
    <m/>
    <m/>
  </r>
  <r>
    <s v="Id1488"/>
    <s v="Peck"/>
    <n v="36.94"/>
    <s v="Normal"/>
    <s v="yes"/>
    <s v="No"/>
    <x v="0"/>
    <n v="1"/>
    <x v="1"/>
    <s v="Obesity"/>
    <s v="Normal"/>
    <m/>
    <m/>
    <m/>
    <m/>
    <m/>
  </r>
  <r>
    <s v="Id1489"/>
    <s v="Aure"/>
    <n v="22.86"/>
    <s v="Diabetes"/>
    <s v="No"/>
    <s v="No"/>
    <x v="0"/>
    <s v="No major surgery"/>
    <x v="1"/>
    <s v="Normal Weight"/>
    <s v="Diabetes"/>
    <m/>
    <m/>
    <m/>
    <m/>
    <m/>
  </r>
  <r>
    <s v="Id1490"/>
    <s v="Mattingly"/>
    <n v="18.760000000000002"/>
    <s v="Normal"/>
    <s v="yes"/>
    <s v="No"/>
    <x v="1"/>
    <n v="1"/>
    <x v="1"/>
    <s v="Normal Weight"/>
    <s v="Normal"/>
    <m/>
    <m/>
    <m/>
    <m/>
    <m/>
  </r>
  <r>
    <s v="Id1491"/>
    <s v="Stelpflug"/>
    <n v="24.36"/>
    <s v="Normal"/>
    <s v="No"/>
    <s v="No"/>
    <x v="0"/>
    <s v="No major surgery"/>
    <x v="1"/>
    <s v="Normal Weight"/>
    <s v="Normal"/>
    <m/>
    <m/>
    <m/>
    <m/>
    <m/>
  </r>
  <r>
    <s v="Id1492"/>
    <s v="Sanchez Antognini"/>
    <n v="32.299999999999997"/>
    <s v="Normal"/>
    <s v="No"/>
    <s v="No"/>
    <x v="0"/>
    <s v="No major surgery"/>
    <x v="1"/>
    <s v="Obesity"/>
    <s v="Normal"/>
    <m/>
    <m/>
    <m/>
    <m/>
    <m/>
  </r>
  <r>
    <s v="Id1493"/>
    <s v="Condon"/>
    <n v="22.704999999999998"/>
    <s v="Normal"/>
    <s v="yes"/>
    <s v="No"/>
    <x v="0"/>
    <s v="No major surgery"/>
    <x v="1"/>
    <s v="Normal Weight"/>
    <s v="Normal"/>
    <m/>
    <m/>
    <m/>
    <m/>
    <m/>
  </r>
  <r>
    <s v="Id1494"/>
    <s v="Magato"/>
    <n v="21.79"/>
    <s v="Diabetes"/>
    <s v="yes"/>
    <s v="No"/>
    <x v="0"/>
    <n v="1"/>
    <x v="1"/>
    <s v="Normal Weight"/>
    <s v="Diabetes"/>
    <m/>
    <m/>
    <m/>
    <m/>
    <m/>
  </r>
  <r>
    <s v="Id1495"/>
    <s v="Dombrowski"/>
    <n v="24.52"/>
    <s v="Normal"/>
    <s v="No"/>
    <s v="No"/>
    <x v="0"/>
    <s v="No major surgery"/>
    <x v="1"/>
    <s v="Normal Weight"/>
    <s v="Normal"/>
    <m/>
    <m/>
    <m/>
    <m/>
    <m/>
  </r>
  <r>
    <s v="Id1496"/>
    <s v="Ohara"/>
    <n v="39.520000000000003"/>
    <s v="Diabetes"/>
    <s v="No"/>
    <s v="No"/>
    <x v="0"/>
    <s v="No major surgery"/>
    <x v="1"/>
    <s v="Obesity"/>
    <s v="Diabetes"/>
    <m/>
    <m/>
    <m/>
    <m/>
    <m/>
  </r>
  <r>
    <s v="Id1497"/>
    <s v="Cifuentes Fetiva"/>
    <n v="24.49"/>
    <s v="Normal"/>
    <s v="No"/>
    <s v="No"/>
    <x v="0"/>
    <s v="No major surgery"/>
    <x v="1"/>
    <s v="Normal Weight"/>
    <s v="Normal"/>
    <m/>
    <m/>
    <m/>
    <m/>
    <m/>
  </r>
  <r>
    <s v="Id1498"/>
    <s v="Keno"/>
    <n v="26.315000000000001"/>
    <s v="Prediabetes"/>
    <s v="No"/>
    <s v="No"/>
    <x v="0"/>
    <s v="No major surgery"/>
    <x v="1"/>
    <s v="Overweight"/>
    <s v="Prediabetes"/>
    <m/>
    <m/>
    <m/>
    <m/>
    <m/>
  </r>
  <r>
    <s v="Id1499"/>
    <s v="Bruce"/>
    <n v="22.58"/>
    <s v="Diabetes"/>
    <s v="No"/>
    <s v="No"/>
    <x v="0"/>
    <s v="No major surgery"/>
    <x v="1"/>
    <s v="Normal Weight"/>
    <s v="Diabetes"/>
    <m/>
    <m/>
    <m/>
    <m/>
    <m/>
  </r>
  <r>
    <s v="Id1500"/>
    <s v="Lorch"/>
    <n v="19.475000000000001"/>
    <s v="Normal"/>
    <s v="No"/>
    <s v="No"/>
    <x v="0"/>
    <n v="1"/>
    <x v="1"/>
    <s v="Normal Weight"/>
    <s v="Normal"/>
    <m/>
    <m/>
    <m/>
    <m/>
    <m/>
  </r>
  <r>
    <s v="Id1501"/>
    <s v="Sullivan"/>
    <n v="26.33"/>
    <s v="Normal"/>
    <s v="No"/>
    <s v="No"/>
    <x v="0"/>
    <s v="No major surgery"/>
    <x v="1"/>
    <s v="Overweight"/>
    <s v="Normal"/>
    <m/>
    <m/>
    <m/>
    <m/>
    <m/>
  </r>
  <r>
    <s v="Id1502"/>
    <s v="Cave"/>
    <n v="17.29"/>
    <s v="Normal"/>
    <s v="yes"/>
    <s v="No"/>
    <x v="0"/>
    <s v="No major surgery"/>
    <x v="1"/>
    <s v="Underweight"/>
    <s v="Normal"/>
    <m/>
    <m/>
    <m/>
    <m/>
    <m/>
  </r>
  <r>
    <s v="Id1503"/>
    <s v="Gudenkauf"/>
    <n v="42.88"/>
    <s v="Normal"/>
    <s v="No"/>
    <s v="yes"/>
    <x v="0"/>
    <n v="1"/>
    <x v="1"/>
    <s v="Obesity"/>
    <s v="Normal"/>
    <m/>
    <m/>
    <m/>
    <m/>
    <m/>
  </r>
  <r>
    <s v="Id1504"/>
    <s v="Thomas"/>
    <n v="32.200000000000003"/>
    <s v="Diabetes"/>
    <s v="yes"/>
    <s v="No"/>
    <x v="0"/>
    <s v="No major surgery"/>
    <x v="1"/>
    <s v="Obesity"/>
    <s v="Diabetes"/>
    <m/>
    <m/>
    <m/>
    <m/>
    <m/>
  </r>
  <r>
    <s v="Id1505"/>
    <s v="Holley"/>
    <n v="18.75"/>
    <s v="Normal"/>
    <s v="yes"/>
    <s v="No"/>
    <x v="1"/>
    <n v="1"/>
    <x v="1"/>
    <s v="Normal Weight"/>
    <s v="Normal"/>
    <m/>
    <m/>
    <m/>
    <m/>
    <m/>
  </r>
  <r>
    <s v="Id1506"/>
    <s v="Kemble"/>
    <n v="22.36"/>
    <s v="Diabetes"/>
    <s v="No"/>
    <s v="No"/>
    <x v="0"/>
    <s v="No major surgery"/>
    <x v="1"/>
    <s v="Normal Weight"/>
    <s v="Diabetes"/>
    <m/>
    <m/>
    <m/>
    <m/>
    <m/>
  </r>
  <r>
    <s v="Id1507"/>
    <s v="Bentley"/>
    <n v="23.94"/>
    <s v="Diabetes"/>
    <s v="yes"/>
    <s v="No"/>
    <x v="0"/>
    <s v="No major surgery"/>
    <x v="1"/>
    <s v="Normal Weight"/>
    <s v="Diabetes"/>
    <m/>
    <m/>
    <m/>
    <m/>
    <m/>
  </r>
  <r>
    <s v="Id1508"/>
    <s v="Jones"/>
    <n v="30.1"/>
    <s v="Normal"/>
    <s v="No"/>
    <s v="No"/>
    <x v="1"/>
    <n v="1"/>
    <x v="1"/>
    <s v="Obesity"/>
    <s v="Normal"/>
    <m/>
    <m/>
    <m/>
    <m/>
    <m/>
  </r>
  <r>
    <s v="Id1509"/>
    <s v="Tremblay"/>
    <n v="21.93"/>
    <s v="Prediabetes"/>
    <s v="No"/>
    <s v="No"/>
    <x v="0"/>
    <s v="No major surgery"/>
    <x v="1"/>
    <s v="Normal Weight"/>
    <s v="Prediabetes"/>
    <m/>
    <m/>
    <m/>
    <m/>
    <m/>
  </r>
  <r>
    <s v="Id1510"/>
    <s v="Bellucci"/>
    <n v="39.75"/>
    <s v="Normal"/>
    <s v="No"/>
    <s v="yes"/>
    <x v="0"/>
    <n v="1"/>
    <x v="1"/>
    <s v="Obesity"/>
    <s v="Normal"/>
    <m/>
    <m/>
    <m/>
    <m/>
    <m/>
  </r>
  <r>
    <s v="Id1511"/>
    <s v="Collins"/>
    <n v="26.03"/>
    <s v="Normal"/>
    <s v="No"/>
    <s v="No"/>
    <x v="1"/>
    <n v="1"/>
    <x v="1"/>
    <s v="Overweight"/>
    <s v="Normal"/>
    <m/>
    <m/>
    <m/>
    <m/>
    <m/>
  </r>
  <r>
    <s v="Id1512"/>
    <s v="Gillman"/>
    <n v="34.51"/>
    <s v="Prediabetes"/>
    <s v="No"/>
    <s v="No"/>
    <x v="0"/>
    <s v="No major surgery"/>
    <x v="1"/>
    <s v="Obesity"/>
    <s v="Prediabetes"/>
    <m/>
    <m/>
    <m/>
    <m/>
    <m/>
  </r>
  <r>
    <s v="Id1513"/>
    <s v="West"/>
    <n v="19.32"/>
    <s v="Diabetes"/>
    <s v="yes"/>
    <s v="No"/>
    <x v="0"/>
    <n v="1"/>
    <x v="1"/>
    <s v="Normal Weight"/>
    <s v="Diabetes"/>
    <m/>
    <m/>
    <m/>
    <m/>
    <m/>
  </r>
  <r>
    <s v="Id1514"/>
    <s v="Chida"/>
    <n v="28.5"/>
    <s v="Normal"/>
    <s v="No"/>
    <s v="No"/>
    <x v="0"/>
    <s v="No major surgery"/>
    <x v="1"/>
    <s v="Overweight"/>
    <s v="Normal"/>
    <m/>
    <m/>
    <m/>
    <m/>
    <m/>
  </r>
  <r>
    <s v="Id1515"/>
    <s v="Reisenauer"/>
    <n v="30.875"/>
    <s v="Normal"/>
    <s v="yes"/>
    <s v="No"/>
    <x v="0"/>
    <s v="No major surgery"/>
    <x v="1"/>
    <s v="Obesity"/>
    <s v="Normal"/>
    <m/>
    <m/>
    <m/>
    <m/>
    <m/>
  </r>
  <r>
    <s v="Id1516"/>
    <s v="Rosenberg-Wohl"/>
    <n v="24.02"/>
    <s v="Normal"/>
    <s v="No"/>
    <s v="No"/>
    <x v="0"/>
    <s v="No major surgery"/>
    <x v="1"/>
    <s v="Normal Weight"/>
    <s v="Normal"/>
    <m/>
    <m/>
    <m/>
    <m/>
    <m/>
  </r>
  <r>
    <s v="Id1517"/>
    <s v="Theriault"/>
    <n v="36.08"/>
    <s v="Diabetes"/>
    <s v="yes"/>
    <s v="No"/>
    <x v="0"/>
    <s v="No major surgery"/>
    <x v="1"/>
    <s v="Obesity"/>
    <s v="Diabetes"/>
    <m/>
    <m/>
    <m/>
    <m/>
    <m/>
  </r>
  <r>
    <s v="Id1518"/>
    <s v="Manuel"/>
    <n v="32.200000000000003"/>
    <s v="Diabetes"/>
    <s v="yes"/>
    <s v="No"/>
    <x v="0"/>
    <s v="No major surgery"/>
    <x v="1"/>
    <s v="Obesity"/>
    <s v="Diabetes"/>
    <m/>
    <m/>
    <m/>
    <m/>
    <m/>
  </r>
  <r>
    <s v="Id1519"/>
    <s v="Demko"/>
    <n v="28.05"/>
    <s v="Diabetes"/>
    <s v="yes"/>
    <s v="No"/>
    <x v="0"/>
    <s v="No major surgery"/>
    <x v="1"/>
    <s v="Overweight"/>
    <s v="Diabetes"/>
    <m/>
    <m/>
    <m/>
    <m/>
    <m/>
  </r>
  <r>
    <s v="Id1520"/>
    <s v="Battaglia"/>
    <n v="19"/>
    <s v="Normal"/>
    <s v="yes"/>
    <s v="No"/>
    <x v="0"/>
    <n v="1"/>
    <x v="1"/>
    <s v="Normal Weight"/>
    <s v="Normal"/>
    <m/>
    <m/>
    <m/>
    <m/>
    <m/>
  </r>
  <r>
    <s v="Id1521"/>
    <s v="Follo"/>
    <n v="16.13"/>
    <s v="Normal"/>
    <s v="yes"/>
    <s v="No"/>
    <x v="0"/>
    <n v="2"/>
    <x v="1"/>
    <s v="Underweight"/>
    <s v="Normal"/>
    <m/>
    <m/>
    <m/>
    <m/>
    <m/>
  </r>
  <r>
    <s v="Id1522"/>
    <s v="Barana"/>
    <n v="18.77"/>
    <s v="Diabetes"/>
    <s v="yes"/>
    <s v="No"/>
    <x v="0"/>
    <n v="2"/>
    <x v="1"/>
    <s v="Normal Weight"/>
    <s v="Diabetes"/>
    <m/>
    <m/>
    <m/>
    <m/>
    <m/>
  </r>
  <r>
    <s v="Id1523"/>
    <s v="Lysaght"/>
    <n v="28.88"/>
    <s v="Diabetes"/>
    <s v="yes"/>
    <s v="No"/>
    <x v="0"/>
    <n v="1"/>
    <x v="1"/>
    <s v="Overweight"/>
    <s v="Diabetes"/>
    <m/>
    <m/>
    <m/>
    <m/>
    <m/>
  </r>
  <r>
    <s v="Id1524"/>
    <s v="Chalmers"/>
    <n v="27.55"/>
    <s v="Diabetes"/>
    <s v="yes"/>
    <s v="No"/>
    <x v="0"/>
    <n v="1"/>
    <x v="1"/>
    <s v="Overweight"/>
    <s v="Diabetes"/>
    <m/>
    <m/>
    <m/>
    <m/>
    <m/>
  </r>
  <r>
    <s v="Id1525"/>
    <s v="Phillippi"/>
    <n v="15.6"/>
    <s v="Diabetes"/>
    <s v="No"/>
    <s v="No"/>
    <x v="0"/>
    <s v="No major surgery"/>
    <x v="1"/>
    <s v="Underweight"/>
    <s v="Diabetes"/>
    <m/>
    <m/>
    <m/>
    <m/>
    <m/>
  </r>
  <r>
    <s v="Id1526"/>
    <s v="MacPherson"/>
    <n v="21.99"/>
    <s v="Diabetes"/>
    <s v="No"/>
    <s v="No"/>
    <x v="0"/>
    <s v="No major surgery"/>
    <x v="1"/>
    <s v="Normal Weight"/>
    <s v="Diabetes"/>
    <m/>
    <m/>
    <m/>
    <m/>
    <m/>
  </r>
  <r>
    <s v="Id1527"/>
    <s v="Delfidio"/>
    <n v="34.85"/>
    <s v="Prediabetes"/>
    <s v="No"/>
    <s v="No"/>
    <x v="0"/>
    <s v="No major surgery"/>
    <x v="1"/>
    <s v="Obesity"/>
    <s v="Prediabetes"/>
    <m/>
    <m/>
    <m/>
    <m/>
    <m/>
  </r>
  <r>
    <s v="Id1528"/>
    <s v="Cummings"/>
    <n v="24.51"/>
    <s v="Normal"/>
    <s v="yes"/>
    <s v="No"/>
    <x v="1"/>
    <n v="1"/>
    <x v="1"/>
    <s v="Normal Weight"/>
    <s v="Normal"/>
    <m/>
    <m/>
    <m/>
    <m/>
    <m/>
  </r>
  <r>
    <s v="Id1529"/>
    <s v="Schroegel"/>
    <n v="19.399999999999999"/>
    <s v="Diabetes"/>
    <s v="No"/>
    <s v="No"/>
    <x v="0"/>
    <s v="No major surgery"/>
    <x v="1"/>
    <s v="Normal Weight"/>
    <s v="Diabetes"/>
    <m/>
    <m/>
    <m/>
    <m/>
    <m/>
  </r>
  <r>
    <s v="Id1530"/>
    <s v="Williams"/>
    <n v="15.1"/>
    <s v="Diabetes"/>
    <s v="No"/>
    <s v="No"/>
    <x v="0"/>
    <s v="No major surgery"/>
    <x v="1"/>
    <s v="Underweight"/>
    <s v="Diabetes"/>
    <m/>
    <m/>
    <m/>
    <m/>
    <m/>
  </r>
  <r>
    <s v="Id1531"/>
    <s v="Casey"/>
    <n v="23.37"/>
    <s v="Normal"/>
    <s v="yes"/>
    <s v="No"/>
    <x v="0"/>
    <s v="No major surgery"/>
    <x v="1"/>
    <s v="Normal Weight"/>
    <s v="Normal"/>
    <m/>
    <m/>
    <m/>
    <m/>
    <m/>
  </r>
  <r>
    <s v="Id1532"/>
    <s v="Randall"/>
    <n v="42.4"/>
    <s v="Normal"/>
    <s v="No"/>
    <s v="No"/>
    <x v="0"/>
    <s v="No major surgery"/>
    <x v="1"/>
    <s v="Obesity"/>
    <s v="Normal"/>
    <m/>
    <m/>
    <m/>
    <m/>
    <m/>
  </r>
  <r>
    <s v="Id1533"/>
    <s v="Doyon"/>
    <n v="28.405000000000001"/>
    <s v="Diabetes"/>
    <s v="yes"/>
    <s v="No"/>
    <x v="0"/>
    <s v="No major surgery"/>
    <x v="1"/>
    <s v="Overweight"/>
    <s v="Diabetes"/>
    <m/>
    <m/>
    <m/>
    <m/>
    <m/>
  </r>
  <r>
    <s v="Id1534"/>
    <s v="Sankey"/>
    <n v="23.4"/>
    <s v="Normal"/>
    <s v="No"/>
    <s v="No"/>
    <x v="0"/>
    <s v="No major surgery"/>
    <x v="1"/>
    <s v="Normal Weight"/>
    <s v="Normal"/>
    <m/>
    <m/>
    <m/>
    <m/>
    <m/>
  </r>
  <r>
    <s v="Id1535"/>
    <s v="Stilgenbauer"/>
    <n v="33.44"/>
    <s v="Normal"/>
    <s v="No"/>
    <s v="No"/>
    <x v="0"/>
    <s v="No major surgery"/>
    <x v="1"/>
    <s v="Obesity"/>
    <s v="Normal"/>
    <m/>
    <m/>
    <m/>
    <m/>
    <m/>
  </r>
  <r>
    <s v="Id1536"/>
    <s v="Jaskiewicz"/>
    <n v="21.12"/>
    <s v="Normal"/>
    <s v="No"/>
    <s v="No"/>
    <x v="0"/>
    <n v="1"/>
    <x v="1"/>
    <s v="Normal Weight"/>
    <s v="Normal"/>
    <m/>
    <m/>
    <m/>
    <m/>
    <m/>
  </r>
  <r>
    <s v="Id1537"/>
    <s v="Deppen"/>
    <n v="18.48"/>
    <s v="Diabetes"/>
    <s v="yes"/>
    <s v="No"/>
    <x v="0"/>
    <n v="2"/>
    <x v="1"/>
    <s v="Underweight"/>
    <s v="Diabetes"/>
    <m/>
    <m/>
    <m/>
    <m/>
    <m/>
  </r>
  <r>
    <s v="Id1538"/>
    <s v="Hine"/>
    <n v="16.815000000000001"/>
    <s v="Normal"/>
    <s v="No"/>
    <s v="No"/>
    <x v="0"/>
    <n v="1"/>
    <x v="1"/>
    <s v="Underweight"/>
    <s v="Normal"/>
    <m/>
    <m/>
    <m/>
    <m/>
    <m/>
  </r>
  <r>
    <s v="Id1539"/>
    <s v="Mathews"/>
    <n v="26.72"/>
    <s v="Normal"/>
    <s v="No"/>
    <s v="No"/>
    <x v="0"/>
    <s v="No major surgery"/>
    <x v="1"/>
    <s v="Overweight"/>
    <s v="Normal"/>
    <m/>
    <m/>
    <m/>
    <m/>
    <m/>
  </r>
  <r>
    <s v="Id1540"/>
    <s v="Yabu"/>
    <n v="41.42"/>
    <s v="Normal"/>
    <s v="No"/>
    <s v="No"/>
    <x v="1"/>
    <n v="1"/>
    <x v="1"/>
    <s v="Obesity"/>
    <s v="Normal"/>
    <m/>
    <m/>
    <m/>
    <m/>
    <m/>
  </r>
  <r>
    <s v="Id1541"/>
    <s v="Strang"/>
    <n v="20.69"/>
    <s v="Diabetes"/>
    <s v="No"/>
    <s v="No"/>
    <x v="0"/>
    <n v="2"/>
    <x v="1"/>
    <s v="Normal Weight"/>
    <s v="Diabetes"/>
    <m/>
    <m/>
    <m/>
    <m/>
    <m/>
  </r>
  <r>
    <s v="Id1542"/>
    <s v="Frank"/>
    <n v="41.23"/>
    <s v="Normal"/>
    <s v="No"/>
    <s v="No"/>
    <x v="0"/>
    <s v="No major surgery"/>
    <x v="1"/>
    <s v="Obesity"/>
    <s v="Normal"/>
    <m/>
    <m/>
    <m/>
    <m/>
    <m/>
  </r>
  <r>
    <s v="Id1543"/>
    <s v="Shanley"/>
    <n v="29.9"/>
    <s v="Prediabetes"/>
    <s v="No"/>
    <s v="No"/>
    <x v="0"/>
    <s v="No major surgery"/>
    <x v="1"/>
    <s v="Overweight"/>
    <s v="Prediabetes"/>
    <m/>
    <m/>
    <m/>
    <m/>
    <m/>
  </r>
  <r>
    <s v="Id1544"/>
    <s v="Mancebo Garcia"/>
    <n v="34.104999999999997"/>
    <s v="Prediabetes"/>
    <s v="No"/>
    <s v="No"/>
    <x v="0"/>
    <s v="No major surgery"/>
    <x v="1"/>
    <s v="Obesity"/>
    <s v="Prediabetes"/>
    <m/>
    <m/>
    <m/>
    <m/>
    <m/>
  </r>
  <r>
    <s v="Id1545"/>
    <s v="Keehan"/>
    <n v="24.97"/>
    <s v="Normal"/>
    <s v="No"/>
    <s v="No"/>
    <x v="0"/>
    <s v="No major surgery"/>
    <x v="1"/>
    <s v="Overweight"/>
    <s v="Normal"/>
    <m/>
    <m/>
    <m/>
    <m/>
    <m/>
  </r>
  <r>
    <s v="Id1546"/>
    <s v="Mahaney"/>
    <n v="34.799999999999997"/>
    <s v="Normal"/>
    <s v="No"/>
    <s v="No"/>
    <x v="0"/>
    <n v="1"/>
    <x v="1"/>
    <s v="Obesity"/>
    <s v="Normal"/>
    <m/>
    <m/>
    <m/>
    <m/>
    <m/>
  </r>
  <r>
    <s v="Id1547"/>
    <s v="Nolan"/>
    <n v="32.965000000000003"/>
    <s v="Diabetes"/>
    <s v="yes"/>
    <s v="No"/>
    <x v="0"/>
    <s v="No major surgery"/>
    <x v="1"/>
    <s v="Obesity"/>
    <s v="Diabetes"/>
    <m/>
    <m/>
    <m/>
    <m/>
    <m/>
  </r>
  <r>
    <s v="Id1548"/>
    <s v="Sobrino"/>
    <n v="27.265000000000001"/>
    <s v="Normal"/>
    <s v="No"/>
    <s v="No"/>
    <x v="0"/>
    <n v="1"/>
    <x v="1"/>
    <s v="Overweight"/>
    <s v="Normal"/>
    <m/>
    <m/>
    <m/>
    <m/>
    <m/>
  </r>
  <r>
    <s v="Id1549"/>
    <s v="Gennaro"/>
    <n v="17.059999999999999"/>
    <s v="Diabetes"/>
    <s v="No"/>
    <s v="No"/>
    <x v="0"/>
    <s v="No major surgery"/>
    <x v="1"/>
    <s v="Underweight"/>
    <s v="Diabetes"/>
    <m/>
    <m/>
    <m/>
    <m/>
    <m/>
  </r>
  <r>
    <s v="Id1550"/>
    <s v="Mayer"/>
    <n v="36.29"/>
    <s v="Prediabetes"/>
    <s v="No"/>
    <s v="No"/>
    <x v="0"/>
    <s v="No major surgery"/>
    <x v="1"/>
    <s v="Obesity"/>
    <s v="Prediabetes"/>
    <m/>
    <m/>
    <m/>
    <m/>
    <m/>
  </r>
  <r>
    <s v="Id1551"/>
    <s v="Becker"/>
    <n v="28.594999999999999"/>
    <s v="Diabetes"/>
    <s v="yes"/>
    <s v="No"/>
    <x v="0"/>
    <n v="1"/>
    <x v="1"/>
    <s v="Overweight"/>
    <s v="Diabetes"/>
    <m/>
    <m/>
    <m/>
    <m/>
    <m/>
  </r>
  <r>
    <s v="Id1552"/>
    <s v="Moore"/>
    <n v="17.8"/>
    <s v="Prediabetes"/>
    <s v="yes"/>
    <s v="No"/>
    <x v="1"/>
    <n v="1"/>
    <x v="1"/>
    <s v="Underweight"/>
    <s v="Prediabetes"/>
    <m/>
    <m/>
    <m/>
    <m/>
    <m/>
  </r>
  <r>
    <s v="Id1553"/>
    <s v="Platt"/>
    <n v="21.4"/>
    <s v="Normal"/>
    <s v="No"/>
    <s v="No"/>
    <x v="0"/>
    <s v="No major surgery"/>
    <x v="1"/>
    <s v="Normal Weight"/>
    <s v="Normal"/>
    <m/>
    <m/>
    <m/>
    <m/>
    <m/>
  </r>
  <r>
    <s v="Id1554"/>
    <s v="Brodeur"/>
    <n v="23.01"/>
    <s v="Normal"/>
    <s v="No"/>
    <s v="No"/>
    <x v="0"/>
    <s v="No major surgery"/>
    <x v="1"/>
    <s v="Normal Weight"/>
    <s v="Normal"/>
    <m/>
    <m/>
    <m/>
    <m/>
    <m/>
  </r>
  <r>
    <s v="Id1555"/>
    <s v="Knight Pech"/>
    <n v="19.86"/>
    <s v="Normal"/>
    <s v="yes"/>
    <s v="No"/>
    <x v="0"/>
    <s v="No major surgery"/>
    <x v="1"/>
    <s v="Normal Weight"/>
    <s v="Normal"/>
    <m/>
    <m/>
    <m/>
    <m/>
    <m/>
  </r>
  <r>
    <s v="Id1556"/>
    <s v="Richter"/>
    <n v="33.58"/>
    <s v="Normal"/>
    <s v="No"/>
    <s v="No"/>
    <x v="0"/>
    <s v="No major surgery"/>
    <x v="1"/>
    <s v="Obesity"/>
    <s v="Normal"/>
    <m/>
    <m/>
    <m/>
    <m/>
    <m/>
  </r>
  <r>
    <s v="Id1557"/>
    <s v="Jubinski"/>
    <n v="29.81"/>
    <s v="Normal"/>
    <s v="No"/>
    <s v="No"/>
    <x v="0"/>
    <s v="No major surgery"/>
    <x v="1"/>
    <s v="Overweight"/>
    <s v="Normal"/>
    <m/>
    <m/>
    <m/>
    <m/>
    <m/>
  </r>
  <r>
    <s v="Id1558"/>
    <s v="Wall"/>
    <n v="27.4"/>
    <s v="Normal"/>
    <s v="No"/>
    <s v="No"/>
    <x v="0"/>
    <s v="No major surgery"/>
    <x v="1"/>
    <s v="Overweight"/>
    <s v="Normal"/>
    <m/>
    <m/>
    <m/>
    <m/>
    <m/>
  </r>
  <r>
    <s v="Id1559"/>
    <s v="McKay"/>
    <n v="17.98"/>
    <s v="Diabetes"/>
    <s v="yes"/>
    <s v="No"/>
    <x v="0"/>
    <n v="2"/>
    <x v="1"/>
    <s v="Underweight"/>
    <s v="Diabetes"/>
    <m/>
    <m/>
    <m/>
    <m/>
    <m/>
  </r>
  <r>
    <s v="Id1560"/>
    <s v="Oh"/>
    <n v="37.9"/>
    <s v="Prediabetes"/>
    <s v="No"/>
    <s v="No"/>
    <x v="0"/>
    <s v="No major surgery"/>
    <x v="1"/>
    <s v="Obesity"/>
    <s v="Prediabetes"/>
    <m/>
    <m/>
    <m/>
    <m/>
    <m/>
  </r>
  <r>
    <s v="Id1561"/>
    <s v="Kessell"/>
    <n v="25.27"/>
    <s v="Diabetes"/>
    <s v="yes"/>
    <s v="No"/>
    <x v="0"/>
    <s v="No major surgery"/>
    <x v="1"/>
    <s v="Overweight"/>
    <s v="Diabetes"/>
    <m/>
    <m/>
    <m/>
    <m/>
    <m/>
  </r>
  <r>
    <s v="Id1562"/>
    <s v="Hidalgo Zambrano"/>
    <n v="29.26"/>
    <s v="Normal"/>
    <s v="No"/>
    <s v="No"/>
    <x v="0"/>
    <n v="1"/>
    <x v="1"/>
    <s v="Overweight"/>
    <s v="Normal"/>
    <m/>
    <m/>
    <m/>
    <m/>
    <m/>
  </r>
  <r>
    <s v="Id1563"/>
    <s v="Caprario"/>
    <n v="27.835000000000001"/>
    <s v="Normal"/>
    <s v="No"/>
    <s v="No"/>
    <x v="0"/>
    <n v="1"/>
    <x v="1"/>
    <s v="Overweight"/>
    <s v="Normal"/>
    <m/>
    <m/>
    <m/>
    <m/>
    <m/>
  </r>
  <r>
    <s v="Id1564"/>
    <s v="Ryan"/>
    <n v="46.53"/>
    <s v="Normal"/>
    <s v="yes"/>
    <s v="No"/>
    <x v="0"/>
    <s v="No major surgery"/>
    <x v="1"/>
    <s v="Obesity"/>
    <s v="Normal"/>
    <m/>
    <m/>
    <m/>
    <m/>
    <m/>
  </r>
  <r>
    <s v="Id1565"/>
    <s v="Hoffman"/>
    <n v="20.58"/>
    <s v="Diabetes"/>
    <s v="yes"/>
    <s v="No"/>
    <x v="0"/>
    <n v="1"/>
    <x v="1"/>
    <s v="Normal Weight"/>
    <s v="Diabetes"/>
    <m/>
    <m/>
    <m/>
    <m/>
    <m/>
  </r>
  <r>
    <s v="Id1566"/>
    <s v="Wong"/>
    <n v="19.53"/>
    <s v="Prediabetes"/>
    <s v="yes"/>
    <s v="No"/>
    <x v="0"/>
    <s v="No major surgery"/>
    <x v="1"/>
    <s v="Normal Weight"/>
    <s v="Prediabetes"/>
    <m/>
    <m/>
    <m/>
    <m/>
    <m/>
  </r>
  <r>
    <s v="Id1567"/>
    <s v="Lea"/>
    <n v="27.7"/>
    <s v="Normal"/>
    <s v="No"/>
    <s v="No"/>
    <x v="0"/>
    <n v="1"/>
    <x v="1"/>
    <s v="Overweight"/>
    <s v="Normal"/>
    <m/>
    <m/>
    <m/>
    <m/>
    <m/>
  </r>
  <r>
    <s v="Id1568"/>
    <s v="Patterson"/>
    <n v="18.920000000000002"/>
    <s v="Diabetes"/>
    <s v="No"/>
    <s v="No"/>
    <x v="0"/>
    <s v="No major surgery"/>
    <x v="1"/>
    <s v="Normal Weight"/>
    <s v="Diabetes"/>
    <m/>
    <m/>
    <m/>
    <m/>
    <m/>
  </r>
  <r>
    <s v="Id1569"/>
    <s v="Quigley"/>
    <n v="17.760000000000002"/>
    <s v="Diabetes"/>
    <s v="yes"/>
    <s v="No"/>
    <x v="0"/>
    <n v="2"/>
    <x v="1"/>
    <s v="Underweight"/>
    <s v="Diabetes"/>
    <m/>
    <m/>
    <m/>
    <m/>
    <m/>
  </r>
  <r>
    <s v="Id1570"/>
    <s v="Korir"/>
    <n v="29.83"/>
    <s v="Normal"/>
    <s v="yes"/>
    <s v="No"/>
    <x v="0"/>
    <s v="No major surgery"/>
    <x v="1"/>
    <s v="Overweight"/>
    <s v="Normal"/>
    <m/>
    <m/>
    <m/>
    <m/>
    <m/>
  </r>
  <r>
    <s v="Id1571"/>
    <s v="Downs"/>
    <n v="23.465"/>
    <s v="Normal"/>
    <s v="No"/>
    <s v="No"/>
    <x v="0"/>
    <n v="1"/>
    <x v="1"/>
    <s v="Normal Weight"/>
    <s v="Normal"/>
    <m/>
    <m/>
    <m/>
    <m/>
    <m/>
  </r>
  <r>
    <s v="Id1572"/>
    <s v="Young"/>
    <n v="29.355"/>
    <s v="Normal"/>
    <s v="No"/>
    <s v="No"/>
    <x v="0"/>
    <s v="No major surgery"/>
    <x v="1"/>
    <s v="Overweight"/>
    <s v="Normal"/>
    <m/>
    <m/>
    <m/>
    <m/>
    <m/>
  </r>
  <r>
    <s v="Id1573"/>
    <s v="Zywek"/>
    <n v="35.49"/>
    <s v="Normal"/>
    <s v="yes"/>
    <s v="No"/>
    <x v="1"/>
    <n v="1"/>
    <x v="1"/>
    <s v="Obesity"/>
    <s v="Normal"/>
    <m/>
    <m/>
    <m/>
    <m/>
    <m/>
  </r>
  <r>
    <s v="Id1574"/>
    <s v="Faulkner"/>
    <n v="26.315000000000001"/>
    <s v="Prediabetes"/>
    <s v="No"/>
    <s v="No"/>
    <x v="0"/>
    <s v="No major surgery"/>
    <x v="1"/>
    <s v="Overweight"/>
    <s v="Prediabetes"/>
    <m/>
    <m/>
    <m/>
    <m/>
    <m/>
  </r>
  <r>
    <s v="Id1575"/>
    <s v="Erspamer"/>
    <n v="19.79"/>
    <s v="Normal"/>
    <s v="yes"/>
    <s v="No"/>
    <x v="0"/>
    <s v="No major surgery"/>
    <x v="1"/>
    <s v="Normal Weight"/>
    <s v="Normal"/>
    <m/>
    <m/>
    <m/>
    <m/>
    <m/>
  </r>
  <r>
    <s v="Id1576"/>
    <s v="Campbell"/>
    <n v="40.564999999999998"/>
    <s v="Normal"/>
    <s v="No"/>
    <s v="No"/>
    <x v="0"/>
    <n v="1"/>
    <x v="1"/>
    <s v="Obesity"/>
    <s v="Normal"/>
    <m/>
    <m/>
    <m/>
    <m/>
    <m/>
  </r>
  <r>
    <s v="Id1577"/>
    <s v="Addison"/>
    <n v="18.03"/>
    <s v="Diabetes"/>
    <s v="yes"/>
    <s v="No"/>
    <x v="0"/>
    <n v="2"/>
    <x v="1"/>
    <s v="Underweight"/>
    <s v="Diabetes"/>
    <m/>
    <m/>
    <m/>
    <m/>
    <m/>
  </r>
  <r>
    <s v="Id1578"/>
    <s v="Wu"/>
    <n v="34.65"/>
    <s v="Prediabetes"/>
    <s v="yes"/>
    <s v="No"/>
    <x v="0"/>
    <s v="No major surgery"/>
    <x v="1"/>
    <s v="Obesity"/>
    <s v="Prediabetes"/>
    <m/>
    <m/>
    <m/>
    <m/>
    <m/>
  </r>
  <r>
    <s v="Id1579"/>
    <s v="Millett"/>
    <n v="42.94"/>
    <s v="Normal"/>
    <s v="No"/>
    <s v="No"/>
    <x v="0"/>
    <s v="No major surgery"/>
    <x v="1"/>
    <s v="Obesity"/>
    <s v="Normal"/>
    <m/>
    <m/>
    <m/>
    <m/>
    <m/>
  </r>
  <r>
    <s v="Id1580"/>
    <s v="Bosl"/>
    <n v="31.254999999999999"/>
    <s v="Normal"/>
    <s v="No"/>
    <s v="No"/>
    <x v="0"/>
    <s v="No major surgery"/>
    <x v="1"/>
    <s v="Obesity"/>
    <s v="Normal"/>
    <m/>
    <m/>
    <m/>
    <m/>
    <m/>
  </r>
  <r>
    <s v="Id1581"/>
    <s v="Goldberg"/>
    <n v="45.43"/>
    <s v="Normal"/>
    <s v="yes"/>
    <s v="No"/>
    <x v="1"/>
    <n v="1"/>
    <x v="1"/>
    <s v="Obesity"/>
    <s v="Normal"/>
    <m/>
    <m/>
    <m/>
    <m/>
    <m/>
  </r>
  <r>
    <s v="Id1582"/>
    <s v="Kelley"/>
    <n v="32.340000000000003"/>
    <s v="Normal"/>
    <s v="yes"/>
    <s v="No"/>
    <x v="1"/>
    <n v="1"/>
    <x v="1"/>
    <s v="Obesity"/>
    <s v="Normal"/>
    <m/>
    <m/>
    <m/>
    <m/>
    <m/>
  </r>
  <r>
    <s v="Id1583"/>
    <s v="Johnston"/>
    <n v="25.46"/>
    <s v="Diabetes"/>
    <s v="yes"/>
    <s v="No"/>
    <x v="0"/>
    <n v="1"/>
    <x v="1"/>
    <s v="Overweight"/>
    <s v="Diabetes"/>
    <m/>
    <m/>
    <m/>
    <m/>
    <m/>
  </r>
  <r>
    <s v="Id1584"/>
    <s v="Keating"/>
    <n v="37.145000000000003"/>
    <s v="Normal"/>
    <s v="No"/>
    <s v="No"/>
    <x v="0"/>
    <s v="No major surgery"/>
    <x v="1"/>
    <s v="Obesity"/>
    <s v="Normal"/>
    <m/>
    <m/>
    <m/>
    <m/>
    <m/>
  </r>
  <r>
    <s v="Id1585"/>
    <s v="Duhon"/>
    <n v="30.8"/>
    <s v="Prediabetes"/>
    <s v="yes"/>
    <s v="No"/>
    <x v="0"/>
    <s v="No major surgery"/>
    <x v="1"/>
    <s v="Obesity"/>
    <s v="Prediabetes"/>
    <m/>
    <m/>
    <m/>
    <m/>
    <m/>
  </r>
  <r>
    <s v="Id1586"/>
    <s v="Briseno"/>
    <n v="29.5"/>
    <s v="Normal"/>
    <s v="yes"/>
    <s v="No"/>
    <x v="0"/>
    <s v="No major surgery"/>
    <x v="1"/>
    <s v="Overweight"/>
    <s v="Normal"/>
    <m/>
    <m/>
    <m/>
    <m/>
    <m/>
  </r>
  <r>
    <s v="Id1587"/>
    <s v="Besse"/>
    <n v="43.39"/>
    <s v="Prediabetes"/>
    <s v="No"/>
    <s v="yes"/>
    <x v="0"/>
    <n v="1"/>
    <x v="1"/>
    <s v="Obesity"/>
    <s v="Prediabetes"/>
    <m/>
    <m/>
    <m/>
    <m/>
    <m/>
  </r>
  <r>
    <s v="Id1588"/>
    <s v="Shillings"/>
    <n v="15.08"/>
    <s v="Normal"/>
    <s v="yes"/>
    <s v="No"/>
    <x v="1"/>
    <n v="1"/>
    <x v="1"/>
    <s v="Underweight"/>
    <s v="Normal"/>
    <m/>
    <m/>
    <m/>
    <m/>
    <m/>
  </r>
  <r>
    <s v="Id1589"/>
    <s v="Tate"/>
    <n v="20.48"/>
    <s v="Diabetes"/>
    <s v="No"/>
    <s v="No"/>
    <x v="0"/>
    <s v="No major surgery"/>
    <x v="1"/>
    <s v="Normal Weight"/>
    <s v="Diabetes"/>
    <m/>
    <m/>
    <m/>
    <m/>
    <m/>
  </r>
  <r>
    <s v="Id1590"/>
    <s v="Arsenault"/>
    <n v="34.450000000000003"/>
    <s v="Normal"/>
    <s v="yes"/>
    <s v="No"/>
    <x v="0"/>
    <s v="No major surgery"/>
    <x v="1"/>
    <s v="Obesity"/>
    <s v="Normal"/>
    <m/>
    <m/>
    <m/>
    <m/>
    <m/>
  </r>
  <r>
    <s v="Id1591"/>
    <s v="Hengoed"/>
    <n v="34.21"/>
    <s v="Diabetes"/>
    <s v="yes"/>
    <s v="No"/>
    <x v="0"/>
    <s v="No major surgery"/>
    <x v="1"/>
    <s v="Obesity"/>
    <s v="Diabetes"/>
    <m/>
    <m/>
    <m/>
    <m/>
    <m/>
  </r>
  <r>
    <s v="Id1592"/>
    <s v="Aller"/>
    <n v="28.8"/>
    <s v="Diabetes"/>
    <s v="yes"/>
    <s v="No"/>
    <x v="0"/>
    <s v="No major surgery"/>
    <x v="1"/>
    <s v="Overweight"/>
    <s v="Diabetes"/>
    <m/>
    <m/>
    <m/>
    <m/>
    <m/>
  </r>
  <r>
    <s v="Id1593"/>
    <s v="Pisano"/>
    <n v="31.74"/>
    <s v="Normal"/>
    <s v="No"/>
    <s v="No"/>
    <x v="1"/>
    <n v="1"/>
    <x v="1"/>
    <s v="Obesity"/>
    <s v="Normal"/>
    <m/>
    <m/>
    <m/>
    <m/>
    <m/>
  </r>
  <r>
    <s v="Id1594"/>
    <s v="Sanca"/>
    <n v="21.78"/>
    <s v="Diabetes"/>
    <s v="yes"/>
    <s v="No"/>
    <x v="0"/>
    <s v="No major surgery"/>
    <x v="1"/>
    <s v="Normal Weight"/>
    <s v="Diabetes"/>
    <m/>
    <m/>
    <m/>
    <m/>
    <m/>
  </r>
  <r>
    <s v="Id1595"/>
    <s v="Bond"/>
    <n v="23.75"/>
    <s v="Normal"/>
    <s v="No"/>
    <s v="No"/>
    <x v="0"/>
    <n v="1"/>
    <x v="1"/>
    <s v="Normal Weight"/>
    <s v="Normal"/>
    <m/>
    <m/>
    <m/>
    <m/>
    <m/>
  </r>
  <r>
    <s v="Id1596"/>
    <s v="Carron"/>
    <n v="33.21"/>
    <s v="Normal"/>
    <s v="yes"/>
    <s v="No"/>
    <x v="0"/>
    <n v="1"/>
    <x v="1"/>
    <s v="Obesity"/>
    <s v="Normal"/>
    <m/>
    <m/>
    <m/>
    <m/>
    <m/>
  </r>
  <r>
    <s v="Id1597"/>
    <s v="Ellwanger"/>
    <n v="17.7"/>
    <s v="Diabetes"/>
    <s v="yes"/>
    <s v="No"/>
    <x v="0"/>
    <n v="2"/>
    <x v="1"/>
    <s v="Underweight"/>
    <s v="Diabetes"/>
    <m/>
    <m/>
    <m/>
    <m/>
    <m/>
  </r>
  <r>
    <s v="Id1598"/>
    <s v="Hanson"/>
    <n v="17.2"/>
    <e v="#N/A"/>
    <s v="No"/>
    <s v="No"/>
    <x v="0"/>
    <n v="2"/>
    <x v="1"/>
    <s v="Underweight"/>
    <e v="#N/A"/>
    <m/>
    <m/>
    <m/>
    <m/>
    <m/>
  </r>
  <r>
    <s v="Id1599"/>
    <s v="Tucker"/>
    <n v="19.21"/>
    <s v="Normal"/>
    <s v="No"/>
    <s v="No"/>
    <x v="0"/>
    <n v="2"/>
    <x v="1"/>
    <s v="Normal Weight"/>
    <s v="Normal"/>
    <m/>
    <m/>
    <m/>
    <m/>
    <m/>
  </r>
  <r>
    <s v="Id1600"/>
    <s v="Counts"/>
    <n v="23.2"/>
    <s v="Normal"/>
    <s v="No"/>
    <s v="No"/>
    <x v="1"/>
    <n v="1"/>
    <x v="1"/>
    <s v="Normal Weight"/>
    <s v="Normal"/>
    <m/>
    <m/>
    <m/>
    <m/>
    <m/>
  </r>
  <r>
    <s v="Id1601"/>
    <s v="Carson"/>
    <n v="32.5"/>
    <s v="Normal"/>
    <s v="yes"/>
    <s v="No"/>
    <x v="1"/>
    <n v="1"/>
    <x v="1"/>
    <s v="Obesity"/>
    <s v="Normal"/>
    <m/>
    <m/>
    <m/>
    <m/>
    <m/>
  </r>
  <r>
    <s v="Id1602"/>
    <s v="Haines"/>
    <n v="20.9"/>
    <s v="Diabetes"/>
    <s v="No"/>
    <s v="No"/>
    <x v="0"/>
    <s v="No major surgery"/>
    <x v="1"/>
    <s v="Normal Weight"/>
    <s v="Diabetes"/>
    <m/>
    <m/>
    <m/>
    <m/>
    <m/>
  </r>
  <r>
    <s v="Id1603"/>
    <s v="Schnabel"/>
    <n v="19.11"/>
    <s v="Normal"/>
    <s v="No"/>
    <s v="No"/>
    <x v="0"/>
    <n v="2"/>
    <x v="1"/>
    <s v="Normal Weight"/>
    <s v="Normal"/>
    <m/>
    <m/>
    <m/>
    <m/>
    <m/>
  </r>
  <r>
    <s v="Id1604"/>
    <s v="Thind"/>
    <n v="31.17"/>
    <s v="Normal"/>
    <s v="No"/>
    <s v="No"/>
    <x v="0"/>
    <n v="1"/>
    <x v="1"/>
    <s v="Obesity"/>
    <s v="Normal"/>
    <m/>
    <m/>
    <m/>
    <m/>
    <m/>
  </r>
  <r>
    <s v="Id1605"/>
    <s v="Simon"/>
    <n v="36.08"/>
    <s v="Normal"/>
    <s v="No"/>
    <s v="No"/>
    <x v="0"/>
    <s v="No major surgery"/>
    <x v="1"/>
    <s v="Obesity"/>
    <s v="Normal"/>
    <m/>
    <m/>
    <m/>
    <m/>
    <m/>
  </r>
  <r>
    <s v="Id1606"/>
    <s v="Arciniaga"/>
    <n v="28.024999999999999"/>
    <s v="Normal"/>
    <s v="yes"/>
    <s v="No"/>
    <x v="0"/>
    <s v="No major surgery"/>
    <x v="1"/>
    <s v="Overweight"/>
    <s v="Normal"/>
    <m/>
    <m/>
    <m/>
    <m/>
    <m/>
  </r>
  <r>
    <s v="Id1607"/>
    <s v="Ryan"/>
    <n v="24.32"/>
    <s v="Normal"/>
    <s v="yes"/>
    <s v="No"/>
    <x v="0"/>
    <s v="No major surgery"/>
    <x v="1"/>
    <s v="Normal Weight"/>
    <s v="Normal"/>
    <m/>
    <m/>
    <m/>
    <m/>
    <m/>
  </r>
  <r>
    <s v="Id1608"/>
    <s v="Lizak"/>
    <n v="38"/>
    <s v="Normal"/>
    <s v="yes"/>
    <s v="No"/>
    <x v="0"/>
    <n v="1"/>
    <x v="1"/>
    <s v="Obesity"/>
    <s v="Normal"/>
    <m/>
    <m/>
    <m/>
    <m/>
    <m/>
  </r>
  <r>
    <s v="Id1609"/>
    <s v="Howery"/>
    <n v="31.6"/>
    <s v="Diabetes"/>
    <s v="yes"/>
    <s v="No"/>
    <x v="0"/>
    <s v="No major surgery"/>
    <x v="1"/>
    <s v="Obesity"/>
    <s v="Diabetes"/>
    <m/>
    <m/>
    <m/>
    <m/>
    <m/>
  </r>
  <r>
    <s v="Id1610"/>
    <s v="Crain"/>
    <n v="31.02"/>
    <s v="Diabetes"/>
    <s v="yes"/>
    <s v="No"/>
    <x v="0"/>
    <s v="No major surgery"/>
    <x v="1"/>
    <s v="Obesity"/>
    <s v="Diabetes"/>
    <m/>
    <m/>
    <m/>
    <m/>
    <m/>
  </r>
  <r>
    <s v="Id1611"/>
    <s v="Hotze"/>
    <n v="29.26"/>
    <s v="Normal"/>
    <s v="yes"/>
    <s v="No"/>
    <x v="0"/>
    <n v="1"/>
    <x v="1"/>
    <s v="Overweight"/>
    <s v="Normal"/>
    <m/>
    <m/>
    <m/>
    <m/>
    <m/>
  </r>
  <r>
    <s v="Id1612"/>
    <s v="Chauhan"/>
    <n v="15.09"/>
    <s v="Diabetes"/>
    <s v="yes"/>
    <s v="No"/>
    <x v="0"/>
    <n v="2"/>
    <x v="1"/>
    <s v="Underweight"/>
    <s v="Diabetes"/>
    <m/>
    <m/>
    <m/>
    <m/>
    <m/>
  </r>
  <r>
    <s v="Id1613"/>
    <s v="Raab"/>
    <n v="22.63"/>
    <s v="Normal"/>
    <s v="yes"/>
    <s v="No"/>
    <x v="0"/>
    <s v="No major surgery"/>
    <x v="1"/>
    <s v="Normal Weight"/>
    <s v="Normal"/>
    <m/>
    <m/>
    <m/>
    <m/>
    <m/>
  </r>
  <r>
    <s v="Id1614"/>
    <s v="McKown"/>
    <n v="23.46"/>
    <s v="Normal"/>
    <s v="No"/>
    <s v="No"/>
    <x v="0"/>
    <n v="1"/>
    <x v="1"/>
    <s v="Normal Weight"/>
    <s v="Normal"/>
    <m/>
    <m/>
    <m/>
    <m/>
    <m/>
  </r>
  <r>
    <s v="Id1615"/>
    <s v="Schiemann"/>
    <n v="22.56"/>
    <s v="Normal"/>
    <s v="yes"/>
    <s v="No"/>
    <x v="0"/>
    <s v="No major surgery"/>
    <x v="1"/>
    <s v="Normal Weight"/>
    <s v="Normal"/>
    <m/>
    <m/>
    <m/>
    <m/>
    <m/>
  </r>
  <r>
    <s v="Id1616"/>
    <s v="Cress"/>
    <n v="19.28"/>
    <s v="Diabetes"/>
    <s v="No"/>
    <s v="No"/>
    <x v="0"/>
    <n v="2"/>
    <x v="1"/>
    <s v="Normal Weight"/>
    <s v="Diabetes"/>
    <m/>
    <m/>
    <m/>
    <m/>
    <m/>
  </r>
  <r>
    <s v="Id1617"/>
    <s v="Mawson"/>
    <n v="15.37"/>
    <s v="Diabetes"/>
    <s v="yes"/>
    <s v="No"/>
    <x v="0"/>
    <n v="2"/>
    <x v="1"/>
    <s v="Underweight"/>
    <s v="Diabetes"/>
    <m/>
    <m/>
    <m/>
    <m/>
    <m/>
  </r>
  <r>
    <s v="Id1618"/>
    <s v="Wigginton"/>
    <n v="18.71"/>
    <s v="Normal"/>
    <s v="yes"/>
    <s v="No"/>
    <x v="0"/>
    <s v="No major surgery"/>
    <x v="1"/>
    <s v="Normal Weight"/>
    <s v="Normal"/>
    <m/>
    <m/>
    <m/>
    <m/>
    <m/>
  </r>
  <r>
    <s v="Id1619"/>
    <s v="Wang"/>
    <n v="20.61"/>
    <s v="Diabetes"/>
    <s v="No"/>
    <s v="No"/>
    <x v="0"/>
    <s v="No major surgery"/>
    <x v="1"/>
    <s v="Normal Weight"/>
    <s v="Diabetes"/>
    <m/>
    <m/>
    <m/>
    <m/>
    <m/>
  </r>
  <r>
    <s v="Id1620"/>
    <s v="Schroeder"/>
    <n v="15.99"/>
    <s v="Normal"/>
    <s v="yes"/>
    <s v="No"/>
    <x v="1"/>
    <n v="1"/>
    <x v="1"/>
    <s v="Underweight"/>
    <s v="Normal"/>
    <m/>
    <m/>
    <m/>
    <m/>
    <m/>
  </r>
  <r>
    <s v="Id1621"/>
    <s v="Leonard"/>
    <n v="33.155000000000001"/>
    <s v="Normal"/>
    <s v="No"/>
    <s v="No"/>
    <x v="0"/>
    <s v="No major surgery"/>
    <x v="1"/>
    <s v="Obesity"/>
    <s v="Normal"/>
    <m/>
    <m/>
    <m/>
    <m/>
    <m/>
  </r>
  <r>
    <s v="Id1622"/>
    <s v="Tissue"/>
    <n v="26.22"/>
    <s v="Normal"/>
    <s v="yes"/>
    <s v="No"/>
    <x v="1"/>
    <n v="1"/>
    <x v="1"/>
    <s v="Overweight"/>
    <s v="Normal"/>
    <m/>
    <m/>
    <m/>
    <m/>
    <m/>
  </r>
  <r>
    <s v="Id1623"/>
    <s v="Wood"/>
    <n v="21.85"/>
    <s v="Normal"/>
    <s v="yes"/>
    <s v="No"/>
    <x v="1"/>
    <n v="1"/>
    <x v="1"/>
    <s v="Normal Weight"/>
    <s v="Normal"/>
    <m/>
    <m/>
    <m/>
    <m/>
    <m/>
  </r>
  <r>
    <s v="Id1624"/>
    <s v="Denny"/>
    <n v="30.495000000000001"/>
    <s v="Prediabetes"/>
    <s v="No"/>
    <s v="No"/>
    <x v="0"/>
    <s v="No major surgery"/>
    <x v="1"/>
    <s v="Obesity"/>
    <s v="Prediabetes"/>
    <m/>
    <m/>
    <m/>
    <m/>
    <m/>
  </r>
  <r>
    <s v="Id1625"/>
    <s v="Testa"/>
    <n v="34.104999999999997"/>
    <s v="Normal"/>
    <s v="yes"/>
    <s v="No"/>
    <x v="0"/>
    <s v="No major surgery"/>
    <x v="1"/>
    <s v="Obesity"/>
    <s v="Normal"/>
    <m/>
    <m/>
    <m/>
    <m/>
    <m/>
  </r>
  <r>
    <s v="Id1626"/>
    <s v="Mooney"/>
    <n v="32.770000000000003"/>
    <s v="Normal"/>
    <s v="yes"/>
    <s v="No"/>
    <x v="0"/>
    <n v="1"/>
    <x v="1"/>
    <s v="Obesity"/>
    <s v="Normal"/>
    <m/>
    <m/>
    <m/>
    <m/>
    <m/>
  </r>
  <r>
    <s v="Id1627"/>
    <s v="Buchholtz"/>
    <n v="16.850000000000001"/>
    <s v="Diabetes"/>
    <s v="yes"/>
    <s v="No"/>
    <x v="0"/>
    <n v="2"/>
    <x v="1"/>
    <s v="Underweight"/>
    <s v="Diabetes"/>
    <m/>
    <m/>
    <m/>
    <m/>
    <m/>
  </r>
  <r>
    <s v="Id1628"/>
    <s v="Hoyt"/>
    <n v="34.700000000000003"/>
    <s v="Prediabetes"/>
    <s v="No"/>
    <s v="No"/>
    <x v="0"/>
    <n v="1"/>
    <x v="1"/>
    <s v="Obesity"/>
    <s v="Prediabetes"/>
    <m/>
    <m/>
    <m/>
    <m/>
    <m/>
  </r>
  <r>
    <s v="Id1629"/>
    <s v="Cabada"/>
    <n v="37.049999999999997"/>
    <s v="Normal"/>
    <s v="No"/>
    <s v="No"/>
    <x v="0"/>
    <n v="1"/>
    <x v="1"/>
    <s v="Obesity"/>
    <s v="Normal"/>
    <m/>
    <m/>
    <m/>
    <m/>
    <m/>
  </r>
  <r>
    <s v="Id1630"/>
    <s v="Lobaciute"/>
    <n v="18.78"/>
    <s v="Normal"/>
    <s v="No"/>
    <s v="No"/>
    <x v="1"/>
    <n v="1"/>
    <x v="1"/>
    <s v="Normal Weight"/>
    <s v="Normal"/>
    <m/>
    <m/>
    <m/>
    <m/>
    <m/>
  </r>
  <r>
    <s v="Id1631"/>
    <s v="Dawes"/>
    <n v="28.024999999999999"/>
    <s v="Normal"/>
    <s v="No"/>
    <s v="No"/>
    <x v="0"/>
    <n v="1"/>
    <x v="1"/>
    <s v="Overweight"/>
    <s v="Normal"/>
    <m/>
    <m/>
    <m/>
    <m/>
    <m/>
  </r>
  <r>
    <s v="Id1632"/>
    <s v="Deppen"/>
    <n v="35.090000000000003"/>
    <s v="Prediabetes"/>
    <s v="No"/>
    <s v="No"/>
    <x v="0"/>
    <s v="No major surgery"/>
    <x v="1"/>
    <s v="Obesity"/>
    <s v="Prediabetes"/>
    <m/>
    <m/>
    <m/>
    <m/>
    <m/>
  </r>
  <r>
    <s v="Id1633"/>
    <s v="Oberndorfer"/>
    <n v="34.42"/>
    <s v="Normal"/>
    <s v="yes"/>
    <s v="No"/>
    <x v="0"/>
    <s v="No major surgery"/>
    <x v="1"/>
    <s v="Obesity"/>
    <s v="Normal"/>
    <m/>
    <m/>
    <m/>
    <m/>
    <m/>
  </r>
  <r>
    <s v="Id1634"/>
    <s v="Hetherington"/>
    <n v="29.4"/>
    <s v="Normal"/>
    <s v="No"/>
    <s v="No"/>
    <x v="0"/>
    <s v="No major surgery"/>
    <x v="1"/>
    <s v="Overweight"/>
    <s v="Normal"/>
    <m/>
    <m/>
    <m/>
    <m/>
    <m/>
  </r>
  <r>
    <s v="Id1635"/>
    <s v="Murray"/>
    <n v="21.31"/>
    <s v="Normal"/>
    <s v="No"/>
    <s v="No"/>
    <x v="0"/>
    <s v="No major surgery"/>
    <x v="1"/>
    <s v="Normal Weight"/>
    <s v="Normal"/>
    <m/>
    <m/>
    <m/>
    <m/>
    <m/>
  </r>
  <r>
    <s v="Id1636"/>
    <s v="Higden"/>
    <n v="19.559999999999999"/>
    <s v="Diabetes"/>
    <s v="No"/>
    <s v="No"/>
    <x v="0"/>
    <s v="No major surgery"/>
    <x v="1"/>
    <s v="Normal Weight"/>
    <s v="Diabetes"/>
    <m/>
    <m/>
    <m/>
    <m/>
    <m/>
  </r>
  <r>
    <s v="Id1637"/>
    <s v="Rediger"/>
    <n v="37.335000000000001"/>
    <s v="Prediabetes"/>
    <s v="yes"/>
    <s v="No"/>
    <x v="0"/>
    <n v="1"/>
    <x v="1"/>
    <s v="Obesity"/>
    <s v="Prediabetes"/>
    <m/>
    <m/>
    <m/>
    <m/>
    <m/>
  </r>
  <r>
    <s v="Id1638"/>
    <s v="Huff"/>
    <n v="19.53"/>
    <s v="Diabetes"/>
    <s v="No"/>
    <s v="No"/>
    <x v="0"/>
    <s v="No major surgery"/>
    <x v="1"/>
    <s v="Normal Weight"/>
    <s v="Diabetes"/>
    <m/>
    <m/>
    <m/>
    <m/>
    <m/>
  </r>
  <r>
    <s v="Id1639"/>
    <s v="Hall"/>
    <n v="34.1"/>
    <s v="Normal"/>
    <s v="No"/>
    <s v="No"/>
    <x v="0"/>
    <s v="No major surgery"/>
    <x v="1"/>
    <s v="Obesity"/>
    <s v="Normal"/>
    <m/>
    <m/>
    <m/>
    <m/>
    <m/>
  </r>
  <r>
    <s v="Id1640"/>
    <s v="Grise"/>
    <n v="16.5"/>
    <s v="Diabetes"/>
    <s v="yes"/>
    <s v="No"/>
    <x v="0"/>
    <n v="2"/>
    <x v="1"/>
    <s v="Underweight"/>
    <s v="Diabetes"/>
    <m/>
    <m/>
    <m/>
    <m/>
    <m/>
  </r>
  <r>
    <s v="Id1641"/>
    <s v="Skildum"/>
    <n v="30.69"/>
    <s v="Normal"/>
    <s v="No"/>
    <s v="No"/>
    <x v="0"/>
    <n v="1"/>
    <x v="1"/>
    <s v="Obesity"/>
    <s v="Normal"/>
    <m/>
    <m/>
    <m/>
    <m/>
    <m/>
  </r>
  <r>
    <s v="Id1642"/>
    <s v="Yang"/>
    <n v="28.93"/>
    <s v="Normal"/>
    <s v="No"/>
    <s v="No"/>
    <x v="0"/>
    <n v="1"/>
    <x v="1"/>
    <s v="Overweight"/>
    <s v="Normal"/>
    <m/>
    <m/>
    <m/>
    <m/>
    <m/>
  </r>
  <r>
    <s v="Id1643"/>
    <s v="Fischer-Daly"/>
    <n v="38.9"/>
    <s v="Normal"/>
    <s v="No"/>
    <s v="No"/>
    <x v="0"/>
    <s v="No major surgery"/>
    <x v="1"/>
    <s v="Obesity"/>
    <s v="Normal"/>
    <m/>
    <m/>
    <m/>
    <m/>
    <m/>
  </r>
  <r>
    <s v="Id1644"/>
    <s v="Asher"/>
    <n v="26.9"/>
    <s v="Normal"/>
    <s v="No"/>
    <s v="No"/>
    <x v="0"/>
    <s v="No major surgery"/>
    <x v="1"/>
    <s v="Overweight"/>
    <s v="Normal"/>
    <m/>
    <m/>
    <m/>
    <m/>
    <m/>
  </r>
  <r>
    <s v="Id1645"/>
    <s v="Zhou"/>
    <n v="24.86"/>
    <s v="Prediabetes"/>
    <s v="No"/>
    <s v="No"/>
    <x v="0"/>
    <s v="No major surgery"/>
    <x v="1"/>
    <s v="Normal Weight"/>
    <s v="Prediabetes"/>
    <m/>
    <m/>
    <m/>
    <m/>
    <m/>
  </r>
  <r>
    <s v="Id1646"/>
    <s v="Rudder"/>
    <n v="39.14"/>
    <s v="Prediabetes"/>
    <s v="No"/>
    <s v="yes"/>
    <x v="0"/>
    <n v="1"/>
    <x v="1"/>
    <s v="Obesity"/>
    <s v="Prediabetes"/>
    <m/>
    <m/>
    <m/>
    <m/>
    <m/>
  </r>
  <r>
    <s v="Id1647"/>
    <s v="Cartmell"/>
    <n v="39.799999999999997"/>
    <s v="Prediabetes"/>
    <s v="No"/>
    <s v="No"/>
    <x v="1"/>
    <n v="1"/>
    <x v="1"/>
    <s v="Obesity"/>
    <s v="Prediabetes"/>
    <m/>
    <m/>
    <m/>
    <m/>
    <m/>
  </r>
  <r>
    <s v="Id1648"/>
    <s v="Troland"/>
    <n v="34.32"/>
    <s v="Normal"/>
    <s v="No"/>
    <s v="No"/>
    <x v="0"/>
    <n v="1"/>
    <x v="1"/>
    <s v="Obesity"/>
    <s v="Normal"/>
    <m/>
    <m/>
    <m/>
    <m/>
    <m/>
  </r>
  <r>
    <s v="Id1649"/>
    <s v="Hall"/>
    <n v="32.51"/>
    <s v="Normal"/>
    <s v="No"/>
    <s v="No"/>
    <x v="0"/>
    <s v="No major surgery"/>
    <x v="1"/>
    <s v="Obesity"/>
    <s v="Normal"/>
    <m/>
    <m/>
    <m/>
    <m/>
    <m/>
  </r>
  <r>
    <s v="Id1650"/>
    <s v="Berg"/>
    <n v="30.71"/>
    <s v="Prediabetes"/>
    <s v="No"/>
    <s v="No"/>
    <x v="1"/>
    <n v="1"/>
    <x v="1"/>
    <s v="Obesity"/>
    <s v="Prediabetes"/>
    <m/>
    <m/>
    <m/>
    <m/>
    <m/>
  </r>
  <r>
    <s v="Id1651"/>
    <s v="Engtrakul"/>
    <n v="28.9"/>
    <s v="Normal"/>
    <s v="No"/>
    <s v="No"/>
    <x v="0"/>
    <n v="1"/>
    <x v="1"/>
    <s v="Overweight"/>
    <s v="Normal"/>
    <m/>
    <m/>
    <m/>
    <m/>
    <m/>
  </r>
  <r>
    <s v="Id1652"/>
    <s v="Leonhardt"/>
    <n v="36.19"/>
    <s v="Normal"/>
    <s v="No"/>
    <s v="No"/>
    <x v="0"/>
    <s v="No major surgery"/>
    <x v="1"/>
    <s v="Obesity"/>
    <s v="Normal"/>
    <m/>
    <m/>
    <m/>
    <m/>
    <m/>
  </r>
  <r>
    <s v="Id1653"/>
    <s v="Goetz"/>
    <n v="29.6"/>
    <s v="Normal"/>
    <s v="No"/>
    <s v="No"/>
    <x v="0"/>
    <s v="No major surgery"/>
    <x v="1"/>
    <s v="Overweight"/>
    <s v="Normal"/>
    <m/>
    <m/>
    <m/>
    <m/>
    <m/>
  </r>
  <r>
    <s v="Id1654"/>
    <s v="Cacharelis"/>
    <n v="30.95"/>
    <s v="Prediabetes"/>
    <s v="No"/>
    <s v="No"/>
    <x v="1"/>
    <n v="1"/>
    <x v="1"/>
    <s v="Obesity"/>
    <s v="Prediabetes"/>
    <m/>
    <m/>
    <m/>
    <m/>
    <m/>
  </r>
  <r>
    <s v="Id1655"/>
    <s v="Kariolis"/>
    <n v="19.95"/>
    <s v="Normal"/>
    <s v="No"/>
    <s v="No"/>
    <x v="0"/>
    <n v="1"/>
    <x v="1"/>
    <s v="Normal Weight"/>
    <s v="Normal"/>
    <m/>
    <m/>
    <m/>
    <m/>
    <m/>
  </r>
  <r>
    <s v="Id1656"/>
    <s v="Zelwin"/>
    <n v="23.65"/>
    <s v="Prediabetes"/>
    <s v="yes"/>
    <s v="No"/>
    <x v="0"/>
    <s v="No major surgery"/>
    <x v="1"/>
    <s v="Normal Weight"/>
    <s v="Prediabetes"/>
    <m/>
    <m/>
    <m/>
    <m/>
    <m/>
  </r>
  <r>
    <s v="Id1657"/>
    <s v="Barry"/>
    <n v="43.34"/>
    <s v="Normal"/>
    <s v="No"/>
    <s v="No"/>
    <x v="0"/>
    <n v="1"/>
    <x v="1"/>
    <s v="Obesity"/>
    <s v="Normal"/>
    <m/>
    <m/>
    <m/>
    <m/>
    <m/>
  </r>
  <r>
    <s v="Id1658"/>
    <s v="Bannon"/>
    <n v="31.98"/>
    <s v="Normal"/>
    <s v="yes"/>
    <s v="No"/>
    <x v="0"/>
    <n v="1"/>
    <x v="1"/>
    <s v="Obesity"/>
    <s v="Normal"/>
    <m/>
    <m/>
    <m/>
    <m/>
    <m/>
  </r>
  <r>
    <s v="Id1659"/>
    <s v="Chang"/>
    <n v="35.86"/>
    <s v="Prediabetes"/>
    <s v="No"/>
    <s v="No"/>
    <x v="0"/>
    <n v="1"/>
    <x v="1"/>
    <s v="Obesity"/>
    <s v="Prediabetes"/>
    <m/>
    <m/>
    <m/>
    <m/>
    <m/>
  </r>
  <r>
    <s v="Id1660"/>
    <s v="Vetter"/>
    <n v="15.2"/>
    <s v="Diabetes"/>
    <s v="No"/>
    <s v="No"/>
    <x v="0"/>
    <s v="No major surgery"/>
    <x v="1"/>
    <s v="Underweight"/>
    <s v="Diabetes"/>
    <m/>
    <m/>
    <m/>
    <m/>
    <m/>
  </r>
  <r>
    <s v="Id1661"/>
    <s v="Jablonski"/>
    <n v="37.200000000000003"/>
    <s v="Diabetes"/>
    <s v="No"/>
    <s v="No"/>
    <x v="0"/>
    <s v="No major surgery"/>
    <x v="1"/>
    <s v="Obesity"/>
    <s v="Diabetes"/>
    <m/>
    <m/>
    <m/>
    <m/>
    <m/>
  </r>
  <r>
    <s v="Id1662"/>
    <s v="Jakubowitch"/>
    <n v="17.91"/>
    <s v="Normal"/>
    <s v="No"/>
    <s v="No"/>
    <x v="0"/>
    <n v="2"/>
    <x v="1"/>
    <s v="Underweight"/>
    <s v="Normal"/>
    <m/>
    <m/>
    <m/>
    <m/>
    <m/>
  </r>
  <r>
    <s v="Id1663"/>
    <s v="Altshuler"/>
    <n v="20.76"/>
    <s v="Prediabetes"/>
    <s v="No"/>
    <s v="No"/>
    <x v="0"/>
    <s v="No major surgery"/>
    <x v="1"/>
    <s v="Normal Weight"/>
    <s v="Prediabetes"/>
    <m/>
    <m/>
    <m/>
    <m/>
    <m/>
  </r>
  <r>
    <s v="Id1664"/>
    <s v="Ugarte"/>
    <n v="38.99"/>
    <s v="Normal"/>
    <s v="No"/>
    <s v="yes"/>
    <x v="0"/>
    <n v="1"/>
    <x v="1"/>
    <s v="Obesity"/>
    <s v="Normal"/>
    <m/>
    <m/>
    <m/>
    <m/>
    <m/>
  </r>
  <r>
    <s v="Id1665"/>
    <s v="Tusso"/>
    <n v="42.655000000000001"/>
    <s v="Prediabetes"/>
    <s v="yes"/>
    <s v="No"/>
    <x v="1"/>
    <n v="1"/>
    <x v="1"/>
    <s v="Obesity"/>
    <s v="Prediabetes"/>
    <m/>
    <m/>
    <m/>
    <m/>
    <m/>
  </r>
  <r>
    <s v="Id1666"/>
    <s v="Johnson"/>
    <n v="30.57"/>
    <s v="Normal"/>
    <s v="No"/>
    <s v="No"/>
    <x v="1"/>
    <n v="1"/>
    <x v="1"/>
    <s v="Obesity"/>
    <s v="Normal"/>
    <m/>
    <m/>
    <m/>
    <m/>
    <m/>
  </r>
  <r>
    <s v="Id1667"/>
    <s v="Landry"/>
    <n v="17.7"/>
    <s v="Prediabetes"/>
    <s v="No"/>
    <s v="No"/>
    <x v="0"/>
    <n v="2"/>
    <x v="1"/>
    <s v="Underweight"/>
    <s v="Prediabetes"/>
    <m/>
    <m/>
    <m/>
    <m/>
    <m/>
  </r>
  <r>
    <s v="Id1668"/>
    <s v="McDonald"/>
    <n v="34.770000000000003"/>
    <s v="Normal"/>
    <s v="No"/>
    <s v="No"/>
    <x v="0"/>
    <n v="1"/>
    <x v="1"/>
    <s v="Obesity"/>
    <s v="Normal"/>
    <m/>
    <m/>
    <m/>
    <m/>
    <m/>
  </r>
  <r>
    <s v="Id1669"/>
    <s v="Dunlap"/>
    <n v="16.88"/>
    <s v="Diabetes"/>
    <s v="No"/>
    <s v="No"/>
    <x v="0"/>
    <s v="No major surgery"/>
    <x v="1"/>
    <s v="Underweight"/>
    <s v="Diabetes"/>
    <m/>
    <m/>
    <m/>
    <m/>
    <m/>
  </r>
  <r>
    <s v="Id1670"/>
    <s v="Larue"/>
    <n v="40.26"/>
    <s v="Diabetes"/>
    <s v="yes"/>
    <s v="No"/>
    <x v="0"/>
    <s v="No major surgery"/>
    <x v="1"/>
    <s v="Obesity"/>
    <s v="Diabetes"/>
    <m/>
    <m/>
    <m/>
    <m/>
    <m/>
  </r>
  <r>
    <s v="Id1671"/>
    <s v="Hodge"/>
    <n v="25.6"/>
    <s v="Prediabetes"/>
    <s v="No"/>
    <s v="No"/>
    <x v="1"/>
    <n v="1"/>
    <x v="1"/>
    <s v="Overweight"/>
    <s v="Prediabetes"/>
    <m/>
    <m/>
    <m/>
    <m/>
    <m/>
  </r>
  <r>
    <s v="Id1672"/>
    <s v="Marcus"/>
    <n v="33.549999999999997"/>
    <s v="Diabetes"/>
    <s v="yes"/>
    <s v="No"/>
    <x v="0"/>
    <s v="No major surgery"/>
    <x v="1"/>
    <s v="Obesity"/>
    <s v="Diabetes"/>
    <m/>
    <m/>
    <m/>
    <m/>
    <m/>
  </r>
  <r>
    <s v="Id1673"/>
    <s v="Daubert"/>
    <n v="16.690000000000001"/>
    <s v="Diabetes"/>
    <s v="No"/>
    <s v="No"/>
    <x v="0"/>
    <s v="No major surgery"/>
    <x v="1"/>
    <s v="Underweight"/>
    <s v="Diabetes"/>
    <m/>
    <m/>
    <m/>
    <m/>
    <m/>
  </r>
  <r>
    <s v="Id1674"/>
    <s v="Close"/>
    <n v="19.95"/>
    <s v="Normal"/>
    <s v="No"/>
    <s v="No"/>
    <x v="0"/>
    <n v="1"/>
    <x v="1"/>
    <s v="Normal Weight"/>
    <s v="Normal"/>
    <m/>
    <m/>
    <m/>
    <m/>
    <m/>
  </r>
  <r>
    <s v="Id1675"/>
    <s v="Roels"/>
    <n v="17.55"/>
    <s v="Normal"/>
    <s v="No"/>
    <s v="No"/>
    <x v="0"/>
    <n v="2"/>
    <x v="1"/>
    <s v="Underweight"/>
    <s v="Normal"/>
    <m/>
    <m/>
    <m/>
    <m/>
    <m/>
  </r>
  <r>
    <s v="Id1676"/>
    <s v="Venosky"/>
    <n v="22.01"/>
    <s v="Normal"/>
    <s v="No"/>
    <s v="No"/>
    <x v="0"/>
    <n v="1"/>
    <x v="1"/>
    <s v="Normal Weight"/>
    <s v="Normal"/>
    <m/>
    <m/>
    <m/>
    <m/>
    <m/>
  </r>
  <r>
    <s v="Id1677"/>
    <s v="Gosnell"/>
    <n v="41.8"/>
    <s v="Prediabetes"/>
    <s v="yes"/>
    <s v="No"/>
    <x v="1"/>
    <n v="1"/>
    <x v="1"/>
    <s v="Obesity"/>
    <s v="Prediabetes"/>
    <m/>
    <m/>
    <m/>
    <m/>
    <m/>
  </r>
  <r>
    <s v="Id1678"/>
    <s v="Chewning-Kulick"/>
    <n v="19.170000000000002"/>
    <s v="Diabetes"/>
    <s v="No"/>
    <s v="No"/>
    <x v="0"/>
    <s v="No major surgery"/>
    <x v="1"/>
    <s v="Normal Weight"/>
    <s v="Diabetes"/>
    <m/>
    <m/>
    <m/>
    <m/>
    <m/>
  </r>
  <r>
    <s v="Id1679"/>
    <s v="McCarron"/>
    <n v="32.799999999999997"/>
    <s v="Prediabetes"/>
    <s v="yes"/>
    <s v="No"/>
    <x v="1"/>
    <n v="1"/>
    <x v="1"/>
    <s v="Obesity"/>
    <s v="Prediabetes"/>
    <m/>
    <m/>
    <m/>
    <m/>
    <m/>
  </r>
  <r>
    <s v="Id1680"/>
    <s v="Manion"/>
    <n v="35.814999999999998"/>
    <s v="Normal"/>
    <s v="No"/>
    <s v="No"/>
    <x v="0"/>
    <n v="1"/>
    <x v="1"/>
    <s v="Obesity"/>
    <s v="Normal"/>
    <m/>
    <m/>
    <m/>
    <m/>
    <m/>
  </r>
  <r>
    <s v="Id1681"/>
    <s v="Strong"/>
    <n v="24.3"/>
    <s v="Prediabetes"/>
    <s v="No"/>
    <s v="No"/>
    <x v="0"/>
    <s v="No major surgery"/>
    <x v="1"/>
    <s v="Normal Weight"/>
    <s v="Prediabetes"/>
    <m/>
    <m/>
    <m/>
    <m/>
    <m/>
  </r>
  <r>
    <s v="Id1682"/>
    <s v="Leblanc"/>
    <n v="19.059999999999999"/>
    <s v="Diabetes"/>
    <s v="No"/>
    <s v="No"/>
    <x v="0"/>
    <s v="No major surgery"/>
    <x v="1"/>
    <s v="Normal Weight"/>
    <s v="Diabetes"/>
    <m/>
    <m/>
    <m/>
    <m/>
    <m/>
  </r>
  <r>
    <s v="Id1683"/>
    <s v="Palmer"/>
    <n v="33.25"/>
    <s v="Normal"/>
    <s v="yes"/>
    <s v="No"/>
    <x v="0"/>
    <n v="1"/>
    <x v="1"/>
    <s v="Obesity"/>
    <s v="Normal"/>
    <m/>
    <m/>
    <m/>
    <m/>
    <m/>
  </r>
  <r>
    <s v="Id1684"/>
    <s v="Shen"/>
    <n v="21.37"/>
    <s v="Normal"/>
    <s v="yes"/>
    <s v="No"/>
    <x v="1"/>
    <n v="1"/>
    <x v="1"/>
    <s v="Normal Weight"/>
    <s v="Normal"/>
    <m/>
    <m/>
    <m/>
    <m/>
    <m/>
  </r>
  <r>
    <s v="Id1685"/>
    <s v="Goldsby"/>
    <n v="34.43"/>
    <s v="Diabetes"/>
    <s v="yes"/>
    <s v="No"/>
    <x v="0"/>
    <n v="1"/>
    <x v="1"/>
    <s v="Obesity"/>
    <s v="Diabetes"/>
    <m/>
    <m/>
    <m/>
    <m/>
    <m/>
  </r>
  <r>
    <s v="Id1686"/>
    <s v="Whitney"/>
    <n v="20.86"/>
    <s v="Normal"/>
    <s v="yes"/>
    <s v="No"/>
    <x v="0"/>
    <s v="No major surgery"/>
    <x v="1"/>
    <s v="Normal Weight"/>
    <s v="Normal"/>
    <m/>
    <m/>
    <m/>
    <m/>
    <m/>
  </r>
  <r>
    <s v="Id1687"/>
    <s v="Mahoney"/>
    <n v="18.34"/>
    <s v="Diabetes"/>
    <s v="No"/>
    <s v="No"/>
    <x v="0"/>
    <s v="No major surgery"/>
    <x v="1"/>
    <s v="Underweight"/>
    <s v="Diabetes"/>
    <m/>
    <m/>
    <m/>
    <m/>
    <m/>
  </r>
  <r>
    <s v="Id1688"/>
    <s v="McCracken"/>
    <n v="34.15"/>
    <s v="Normal"/>
    <s v="No"/>
    <s v="No"/>
    <x v="0"/>
    <s v="No major surgery"/>
    <x v="1"/>
    <s v="Obesity"/>
    <s v="Normal"/>
    <m/>
    <m/>
    <m/>
    <m/>
    <m/>
  </r>
  <r>
    <s v="Id1689"/>
    <s v="Spewak"/>
    <n v="18.350000000000001"/>
    <s v="Normal"/>
    <s v="No"/>
    <s v="No"/>
    <x v="0"/>
    <s v="No major surgery"/>
    <x v="1"/>
    <s v="Underweight"/>
    <s v="Normal"/>
    <m/>
    <m/>
    <m/>
    <m/>
    <m/>
  </r>
  <r>
    <s v="Id1690"/>
    <s v="Cottini"/>
    <n v="22.13"/>
    <s v="Diabetes"/>
    <s v="yes"/>
    <s v="No"/>
    <x v="0"/>
    <s v="No major surgery"/>
    <x v="1"/>
    <s v="Normal Weight"/>
    <s v="Diabetes"/>
    <m/>
    <m/>
    <m/>
    <m/>
    <m/>
  </r>
  <r>
    <s v="Id1691"/>
    <s v="Findlay"/>
    <n v="22.51"/>
    <s v="Prediabetes"/>
    <s v="yes"/>
    <s v="No"/>
    <x v="0"/>
    <n v="1"/>
    <x v="1"/>
    <s v="Normal Weight"/>
    <s v="Prediabetes"/>
    <m/>
    <m/>
    <m/>
    <m/>
    <m/>
  </r>
  <r>
    <s v="Id1692"/>
    <s v="Strasburg"/>
    <n v="31"/>
    <s v="Normal"/>
    <s v="No"/>
    <s v="No"/>
    <x v="0"/>
    <n v="1"/>
    <x v="1"/>
    <s v="Obesity"/>
    <s v="Normal"/>
    <m/>
    <m/>
    <m/>
    <m/>
    <m/>
  </r>
  <r>
    <s v="Id1693"/>
    <s v="Adams"/>
    <n v="28.27"/>
    <s v="Normal"/>
    <s v="No"/>
    <s v="No"/>
    <x v="0"/>
    <n v="1"/>
    <x v="1"/>
    <s v="Overweight"/>
    <s v="Normal"/>
    <m/>
    <m/>
    <m/>
    <m/>
    <m/>
  </r>
  <r>
    <s v="Id1694"/>
    <s v="Deeter"/>
    <n v="29.92"/>
    <s v="Diabetes"/>
    <s v="yes"/>
    <s v="No"/>
    <x v="0"/>
    <n v="1"/>
    <x v="1"/>
    <e v="#N/A"/>
    <s v="Diabetes"/>
    <m/>
    <m/>
    <m/>
    <m/>
    <m/>
  </r>
  <r>
    <s v="Id1695"/>
    <s v="Arpin"/>
    <n v="25.9"/>
    <s v="Diabetes"/>
    <s v="yes"/>
    <s v="No"/>
    <x v="0"/>
    <n v="1"/>
    <x v="1"/>
    <s v="Overweight"/>
    <s v="Diabetes"/>
    <m/>
    <m/>
    <m/>
    <m/>
    <m/>
  </r>
  <r>
    <s v="Id1696"/>
    <s v="Schoeneck"/>
    <n v="27.74"/>
    <s v="Diabetes"/>
    <s v="yes"/>
    <s v="No"/>
    <x v="0"/>
    <n v="1"/>
    <x v="1"/>
    <s v="Overweight"/>
    <s v="Diabetes"/>
    <m/>
    <m/>
    <m/>
    <m/>
    <m/>
  </r>
  <r>
    <s v="Id1697"/>
    <s v="Mueller"/>
    <n v="17.260000000000002"/>
    <s v="Diabetes"/>
    <s v="No"/>
    <s v="No"/>
    <x v="0"/>
    <n v="2"/>
    <x v="1"/>
    <s v="Underweight"/>
    <s v="Diabetes"/>
    <m/>
    <m/>
    <m/>
    <m/>
    <m/>
  </r>
  <r>
    <s v="Id1698"/>
    <s v="Willits"/>
    <n v="19.855"/>
    <s v="Diabetes"/>
    <s v="yes"/>
    <s v="No"/>
    <x v="0"/>
    <n v="1"/>
    <x v="1"/>
    <s v="Normal Weight"/>
    <s v="Diabetes"/>
    <m/>
    <m/>
    <m/>
    <m/>
    <m/>
  </r>
  <r>
    <s v="Id1699"/>
    <s v="Syring"/>
    <n v="41.69"/>
    <s v="Prediabetes"/>
    <s v="No"/>
    <s v="No"/>
    <x v="0"/>
    <s v="No major surgery"/>
    <x v="1"/>
    <s v="Obesity"/>
    <s v="Prediabetes"/>
    <m/>
    <m/>
    <m/>
    <m/>
    <m/>
  </r>
  <r>
    <s v="Id1700"/>
    <s v="Strike"/>
    <n v="16.12"/>
    <s v="Diabetes"/>
    <s v="No"/>
    <s v="No"/>
    <x v="0"/>
    <s v="No major surgery"/>
    <x v="1"/>
    <s v="Underweight"/>
    <s v="Diabetes"/>
    <m/>
    <m/>
    <m/>
    <m/>
    <m/>
  </r>
  <r>
    <s v="Id1701"/>
    <s v="Hennigar"/>
    <n v="37.43"/>
    <s v="Normal"/>
    <s v="No"/>
    <s v="No"/>
    <x v="0"/>
    <n v="1"/>
    <x v="1"/>
    <s v="Obesity"/>
    <s v="Normal"/>
    <m/>
    <m/>
    <m/>
    <m/>
    <m/>
  </r>
  <r>
    <s v="Id1702"/>
    <s v="May"/>
    <n v="31.065000000000001"/>
    <s v="Prediabetes"/>
    <s v="No"/>
    <s v="No"/>
    <x v="0"/>
    <s v="No major surgery"/>
    <x v="1"/>
    <s v="Obesity"/>
    <s v="Prediabetes"/>
    <m/>
    <m/>
    <m/>
    <m/>
    <m/>
  </r>
  <r>
    <s v="Id1703"/>
    <s v="Metcalf"/>
    <n v="25.08"/>
    <s v="Normal"/>
    <s v="No"/>
    <s v="No"/>
    <x v="0"/>
    <s v="No major surgery"/>
    <x v="1"/>
    <s v="Overweight"/>
    <s v="Normal"/>
    <m/>
    <m/>
    <m/>
    <m/>
    <m/>
  </r>
  <r>
    <s v="Id1704"/>
    <s v="Tiska"/>
    <n v="15.2"/>
    <s v="Diabetes"/>
    <s v="yes"/>
    <s v="No"/>
    <x v="0"/>
    <n v="1"/>
    <x v="1"/>
    <s v="Underweight"/>
    <s v="Diabetes"/>
    <m/>
    <m/>
    <m/>
    <m/>
    <m/>
  </r>
  <r>
    <s v="Id1705"/>
    <s v="McDonough"/>
    <n v="22.34"/>
    <s v="Normal"/>
    <s v="yes"/>
    <s v="No"/>
    <x v="0"/>
    <s v="No major surgery"/>
    <x v="1"/>
    <s v="Normal Weight"/>
    <s v="Normal"/>
    <m/>
    <m/>
    <m/>
    <m/>
    <m/>
  </r>
  <r>
    <s v="Id1706"/>
    <s v="Fairley"/>
    <n v="40.15"/>
    <s v="Prediabetes"/>
    <s v="No"/>
    <s v="No"/>
    <x v="0"/>
    <n v="1"/>
    <x v="1"/>
    <s v="Obesity"/>
    <s v="Prediabetes"/>
    <m/>
    <m/>
    <m/>
    <m/>
    <m/>
  </r>
  <r>
    <s v="Id1707"/>
    <s v="Barnett"/>
    <n v="37.729999999999997"/>
    <s v="Prediabetes"/>
    <s v="No"/>
    <s v="No"/>
    <x v="0"/>
    <n v="1"/>
    <x v="1"/>
    <s v="Obesity"/>
    <s v="Prediabetes"/>
    <m/>
    <m/>
    <m/>
    <m/>
    <m/>
  </r>
  <r>
    <s v="Id1708"/>
    <s v="Piasta"/>
    <n v="25.35"/>
    <s v="Normal"/>
    <s v="No"/>
    <s v="No"/>
    <x v="0"/>
    <s v="No major surgery"/>
    <x v="1"/>
    <s v="Overweight"/>
    <s v="Normal"/>
    <m/>
    <m/>
    <m/>
    <m/>
    <m/>
  </r>
  <r>
    <s v="Id1709"/>
    <s v="Mueller"/>
    <n v="26.41"/>
    <s v="Normal"/>
    <s v="yes"/>
    <s v="No"/>
    <x v="0"/>
    <n v="1"/>
    <x v="1"/>
    <s v="Overweight"/>
    <s v="Normal"/>
    <m/>
    <m/>
    <m/>
    <m/>
    <m/>
  </r>
  <r>
    <s v="Id1710"/>
    <s v="Olsen"/>
    <n v="27.6"/>
    <s v="Normal"/>
    <s v="No"/>
    <s v="No"/>
    <x v="0"/>
    <n v="1"/>
    <x v="1"/>
    <s v="Overweight"/>
    <s v="Normal"/>
    <m/>
    <m/>
    <m/>
    <m/>
    <m/>
  </r>
  <r>
    <s v="Id1711"/>
    <s v="De Jesus"/>
    <n v="33.82"/>
    <s v="Diabetes"/>
    <s v="yes"/>
    <s v="No"/>
    <x v="0"/>
    <n v="1"/>
    <x v="1"/>
    <s v="Obesity"/>
    <s v="Diabetes"/>
    <m/>
    <m/>
    <m/>
    <m/>
    <m/>
  </r>
  <r>
    <s v="Id1712"/>
    <s v="Bartus"/>
    <n v="32.9"/>
    <s v="Normal"/>
    <s v="No"/>
    <s v="No"/>
    <x v="0"/>
    <s v="No major surgery"/>
    <x v="1"/>
    <s v="Obesity"/>
    <s v="Normal"/>
    <m/>
    <m/>
    <m/>
    <m/>
    <m/>
  </r>
  <r>
    <s v="Id1713"/>
    <s v="Stevens"/>
    <n v="30.875"/>
    <s v="Diabetes"/>
    <s v="yes"/>
    <s v="No"/>
    <x v="0"/>
    <n v="1"/>
    <x v="1"/>
    <s v="Obesity"/>
    <s v="Diabetes"/>
    <m/>
    <m/>
    <m/>
    <m/>
    <m/>
  </r>
  <r>
    <s v="Id1714"/>
    <s v="Rich"/>
    <n v="32.64"/>
    <s v="Prediabetes"/>
    <s v="No"/>
    <s v="No"/>
    <x v="0"/>
    <s v="No major surgery"/>
    <x v="1"/>
    <s v="Obesity"/>
    <s v="Prediabetes"/>
    <m/>
    <m/>
    <m/>
    <m/>
    <m/>
  </r>
  <r>
    <s v="Id1715"/>
    <s v="Fayter"/>
    <n v="22.135000000000002"/>
    <s v="Normal"/>
    <s v="No"/>
    <s v="No"/>
    <x v="0"/>
    <s v="No major surgery"/>
    <x v="1"/>
    <s v="Normal Weight"/>
    <s v="Normal"/>
    <m/>
    <m/>
    <m/>
    <m/>
    <m/>
  </r>
  <r>
    <s v="Id1716"/>
    <s v="Parise"/>
    <n v="16.53"/>
    <s v="Normal"/>
    <s v="No"/>
    <s v="No"/>
    <x v="0"/>
    <n v="2"/>
    <x v="1"/>
    <s v="Underweight"/>
    <s v="Normal"/>
    <m/>
    <m/>
    <m/>
    <m/>
    <m/>
  </r>
  <r>
    <s v="Id1717"/>
    <s v="Andrew"/>
    <n v="32.774999999999999"/>
    <s v="Normal"/>
    <s v="No"/>
    <s v="No"/>
    <x v="0"/>
    <s v="No major surgery"/>
    <x v="1"/>
    <s v="Obesity"/>
    <s v="Normal"/>
    <m/>
    <m/>
    <m/>
    <m/>
    <m/>
  </r>
  <r>
    <s v="Id1718"/>
    <s v="Gryniewicz"/>
    <n v="30.9"/>
    <s v="Prediabetes"/>
    <s v="No"/>
    <s v="No"/>
    <x v="0"/>
    <n v="1"/>
    <x v="1"/>
    <s v="Obesity"/>
    <s v="Prediabetes"/>
    <m/>
    <m/>
    <m/>
    <m/>
    <m/>
  </r>
  <r>
    <s v="Id1719"/>
    <s v="Panora"/>
    <n v="15.58"/>
    <s v="Diabetes"/>
    <s v="No"/>
    <s v="No"/>
    <x v="0"/>
    <s v="No major surgery"/>
    <x v="1"/>
    <s v="Underweight"/>
    <s v="Diabetes"/>
    <m/>
    <m/>
    <m/>
    <m/>
    <m/>
  </r>
  <r>
    <s v="Id1720"/>
    <s v="Woodward"/>
    <n v="26.315000000000001"/>
    <s v="Prediabetes"/>
    <s v="No"/>
    <s v="No"/>
    <x v="0"/>
    <s v="No major surgery"/>
    <x v="1"/>
    <s v="Overweight"/>
    <s v="Prediabetes"/>
    <m/>
    <m/>
    <m/>
    <m/>
    <m/>
  </r>
  <r>
    <s v="Id1721"/>
    <s v="Lambe"/>
    <n v="35.61"/>
    <s v="Normal"/>
    <s v="No"/>
    <s v="yes"/>
    <x v="0"/>
    <n v="1"/>
    <x v="1"/>
    <s v="Obesity"/>
    <s v="Normal"/>
    <m/>
    <m/>
    <m/>
    <m/>
    <m/>
  </r>
  <r>
    <s v="Id1722"/>
    <s v="Casto"/>
    <n v="37.56"/>
    <s v="Prediabetes"/>
    <s v="No"/>
    <s v="yes"/>
    <x v="0"/>
    <n v="1"/>
    <x v="1"/>
    <s v="Obesity"/>
    <s v="Prediabetes"/>
    <m/>
    <m/>
    <m/>
    <m/>
    <m/>
  </r>
  <r>
    <s v="Id1723"/>
    <s v="Martelli"/>
    <n v="15.49"/>
    <s v="Diabetes"/>
    <s v="No"/>
    <s v="No"/>
    <x v="0"/>
    <s v="No major surgery"/>
    <x v="1"/>
    <s v="Underweight"/>
    <s v="Diabetes"/>
    <m/>
    <m/>
    <m/>
    <m/>
    <m/>
  </r>
  <r>
    <s v="Id1724"/>
    <s v="Naskret"/>
    <n v="23.48"/>
    <s v="Prediabetes"/>
    <s v="No"/>
    <s v="No"/>
    <x v="0"/>
    <n v="1"/>
    <x v="1"/>
    <s v="Normal Weight"/>
    <s v="Prediabetes"/>
    <m/>
    <m/>
    <m/>
    <m/>
    <m/>
  </r>
  <r>
    <s v="Id1725"/>
    <s v="Morgan"/>
    <n v="30.02"/>
    <s v="Diabetes"/>
    <s v="yes"/>
    <s v="No"/>
    <x v="0"/>
    <n v="1"/>
    <x v="1"/>
    <s v="Obesity"/>
    <s v="Diabetes"/>
    <m/>
    <m/>
    <m/>
    <m/>
    <m/>
  </r>
  <r>
    <s v="Id1726"/>
    <s v="Maloney"/>
    <n v="26.885000000000002"/>
    <s v="Diabetes"/>
    <s v="yes"/>
    <s v="No"/>
    <x v="0"/>
    <n v="1"/>
    <x v="1"/>
    <s v="Overweight"/>
    <s v="Diabetes"/>
    <m/>
    <m/>
    <m/>
    <m/>
    <m/>
  </r>
  <r>
    <s v="Id1727"/>
    <s v="Amherst"/>
    <n v="25.84"/>
    <s v="Diabetes"/>
    <s v="yes"/>
    <s v="No"/>
    <x v="0"/>
    <n v="1"/>
    <x v="1"/>
    <s v="Overweight"/>
    <s v="Diabetes"/>
    <m/>
    <m/>
    <m/>
    <m/>
    <m/>
  </r>
  <r>
    <s v="Id1728"/>
    <s v="Davenport"/>
    <n v="27.454999999999998"/>
    <s v="Normal"/>
    <s v="No"/>
    <s v="No"/>
    <x v="0"/>
    <s v="No major surgery"/>
    <x v="1"/>
    <s v="Overweight"/>
    <s v="Normal"/>
    <m/>
    <m/>
    <m/>
    <m/>
    <m/>
  </r>
  <r>
    <s v="Id1729"/>
    <s v="Johansen"/>
    <n v="24.605"/>
    <s v="Prediabetes"/>
    <s v="No"/>
    <s v="No"/>
    <x v="0"/>
    <s v="No major surgery"/>
    <x v="1"/>
    <s v="Normal Weight"/>
    <s v="Prediabetes"/>
    <m/>
    <m/>
    <m/>
    <m/>
    <m/>
  </r>
  <r>
    <s v="Id1730"/>
    <s v="Bond"/>
    <n v="30.8"/>
    <s v="Normal"/>
    <s v="No"/>
    <s v="No"/>
    <x v="0"/>
    <s v="No major surgery"/>
    <x v="1"/>
    <s v="Obesity"/>
    <s v="Normal"/>
    <m/>
    <m/>
    <m/>
    <m/>
    <m/>
  </r>
  <r>
    <s v="Id1731"/>
    <s v="Reilly"/>
    <n v="34.799999999999997"/>
    <s v="Normal"/>
    <s v="No"/>
    <s v="No"/>
    <x v="0"/>
    <n v="1"/>
    <x v="1"/>
    <s v="Obesity"/>
    <s v="Normal"/>
    <m/>
    <m/>
    <m/>
    <m/>
    <m/>
  </r>
  <r>
    <s v="Id1732"/>
    <s v="Chandler"/>
    <n v="34.21"/>
    <s v="Normal"/>
    <s v="No"/>
    <s v="No"/>
    <x v="0"/>
    <n v="1"/>
    <x v="1"/>
    <s v="Obesity"/>
    <s v="Normal"/>
    <m/>
    <m/>
    <m/>
    <m/>
    <m/>
  </r>
  <r>
    <s v="Id1733"/>
    <s v="Kaufmann"/>
    <n v="31"/>
    <s v="Normal"/>
    <s v="No"/>
    <s v="No"/>
    <x v="0"/>
    <n v="1"/>
    <x v="1"/>
    <s v="Obesity"/>
    <s v="Normal"/>
    <m/>
    <m/>
    <m/>
    <m/>
    <m/>
  </r>
  <r>
    <s v="Id1734"/>
    <s v="Barnes-Zurkinden"/>
    <n v="26.125"/>
    <s v="Normal"/>
    <s v="No"/>
    <s v="No"/>
    <x v="0"/>
    <n v="1"/>
    <x v="1"/>
    <s v="Overweight"/>
    <s v="Normal"/>
    <m/>
    <m/>
    <m/>
    <m/>
    <m/>
  </r>
  <r>
    <s v="Id1735"/>
    <s v="Wolter"/>
    <n v="30.13"/>
    <s v="Normal"/>
    <s v="yes"/>
    <s v="No"/>
    <x v="0"/>
    <n v="1"/>
    <x v="1"/>
    <s v="Obesity"/>
    <s v="Normal"/>
    <m/>
    <m/>
    <m/>
    <m/>
    <m/>
  </r>
  <r>
    <s v="Id1736"/>
    <s v="Pearson"/>
    <n v="34.19"/>
    <s v="Normal"/>
    <s v="No"/>
    <s v="No"/>
    <x v="0"/>
    <s v="No major surgery"/>
    <x v="1"/>
    <s v="Obesity"/>
    <s v="Normal"/>
    <m/>
    <m/>
    <m/>
    <m/>
    <m/>
  </r>
  <r>
    <s v="Id1737"/>
    <s v="Thomas"/>
    <n v="22.515000000000001"/>
    <s v="Normal"/>
    <s v="No"/>
    <s v="No"/>
    <x v="1"/>
    <n v="1"/>
    <x v="1"/>
    <s v="Normal Weight"/>
    <s v="Normal"/>
    <m/>
    <m/>
    <m/>
    <m/>
    <m/>
  </r>
  <r>
    <s v="Id1738"/>
    <s v="Leon"/>
    <n v="18.239999999999998"/>
    <s v="Normal"/>
    <s v="yes"/>
    <s v="No"/>
    <x v="1"/>
    <n v="1"/>
    <x v="1"/>
    <s v="Underweight"/>
    <s v="Normal"/>
    <m/>
    <m/>
    <m/>
    <m/>
    <m/>
  </r>
  <r>
    <s v="Id1739"/>
    <s v="Marriott"/>
    <n v="37.28"/>
    <s v="Normal"/>
    <s v="No"/>
    <s v="yes"/>
    <x v="0"/>
    <n v="1"/>
    <x v="1"/>
    <s v="Obesity"/>
    <s v="Normal"/>
    <m/>
    <m/>
    <m/>
    <m/>
    <m/>
  </r>
  <r>
    <s v="Id1740"/>
    <s v="Wilkins"/>
    <n v="18.2"/>
    <s v="Prediabetes"/>
    <s v="No"/>
    <s v="No"/>
    <x v="1"/>
    <n v="1"/>
    <x v="1"/>
    <s v="Underweight"/>
    <s v="Prediabetes"/>
    <m/>
    <m/>
    <m/>
    <m/>
    <m/>
  </r>
  <r>
    <s v="Id1741"/>
    <s v="Saiter"/>
    <n v="20.53"/>
    <s v="Normal"/>
    <s v="No"/>
    <s v="No"/>
    <x v="0"/>
    <n v="1"/>
    <x v="1"/>
    <s v="Normal Weight"/>
    <s v="Normal"/>
    <m/>
    <m/>
    <m/>
    <m/>
    <m/>
  </r>
  <r>
    <s v="Id1742"/>
    <s v="Winrow"/>
    <n v="23.79"/>
    <s v="Normal"/>
    <s v="No"/>
    <s v="No"/>
    <x v="0"/>
    <s v="No major surgery"/>
    <x v="1"/>
    <s v="Normal Weight"/>
    <s v="Normal"/>
    <m/>
    <m/>
    <m/>
    <m/>
    <m/>
  </r>
  <r>
    <s v="Id1743"/>
    <s v="Gries"/>
    <n v="29.8"/>
    <s v="Prediabetes"/>
    <s v="No"/>
    <s v="No"/>
    <x v="0"/>
    <s v="No major surgery"/>
    <x v="1"/>
    <s v="Overweight"/>
    <s v="Prediabetes"/>
    <m/>
    <m/>
    <m/>
    <m/>
    <m/>
  </r>
  <r>
    <s v="Id1744"/>
    <s v="Strohschein"/>
    <n v="31.54"/>
    <s v="Normal"/>
    <s v="No"/>
    <s v="No"/>
    <x v="0"/>
    <s v="No major surgery"/>
    <x v="1"/>
    <s v="Obesity"/>
    <s v="Normal"/>
    <m/>
    <m/>
    <m/>
    <m/>
    <m/>
  </r>
  <r>
    <s v="Id1745"/>
    <s v="Berger"/>
    <n v="20.82"/>
    <s v="Normal"/>
    <s v="No"/>
    <s v="No"/>
    <x v="0"/>
    <n v="1"/>
    <x v="1"/>
    <s v="Normal Weight"/>
    <s v="Normal"/>
    <m/>
    <m/>
    <m/>
    <m/>
    <m/>
  </r>
  <r>
    <s v="Id1746"/>
    <s v="Coogan"/>
    <n v="38.83"/>
    <s v="Normal"/>
    <s v="No"/>
    <s v="No"/>
    <x v="1"/>
    <n v="1"/>
    <x v="1"/>
    <s v="Obesity"/>
    <s v="Normal"/>
    <m/>
    <m/>
    <m/>
    <m/>
    <m/>
  </r>
  <r>
    <s v="Id1747"/>
    <s v="Gagnon"/>
    <n v="23.44"/>
    <s v="Normal"/>
    <s v="yes"/>
    <s v="No"/>
    <x v="0"/>
    <n v="1"/>
    <x v="1"/>
    <s v="Normal Weight"/>
    <s v="Normal"/>
    <m/>
    <m/>
    <m/>
    <m/>
    <m/>
  </r>
  <r>
    <s v="Id1748"/>
    <s v="Pearson"/>
    <n v="24.13"/>
    <s v="Normal"/>
    <s v="No"/>
    <s v="No"/>
    <x v="0"/>
    <n v="1"/>
    <x v="1"/>
    <s v="Normal Weight"/>
    <s v="Normal"/>
    <m/>
    <m/>
    <m/>
    <m/>
    <m/>
  </r>
  <r>
    <s v="Id1749"/>
    <s v="Brian"/>
    <n v="42.13"/>
    <s v="Normal"/>
    <s v="yes"/>
    <s v="No"/>
    <x v="0"/>
    <n v="1"/>
    <x v="1"/>
    <s v="Obesity"/>
    <s v="Normal"/>
    <m/>
    <m/>
    <m/>
    <m/>
    <m/>
  </r>
  <r>
    <s v="Id1750"/>
    <s v="Brown"/>
    <n v="17.86"/>
    <s v="Normal"/>
    <s v="No"/>
    <s v="No"/>
    <x v="0"/>
    <n v="1"/>
    <x v="1"/>
    <s v="Underweight"/>
    <s v="Normal"/>
    <m/>
    <m/>
    <m/>
    <m/>
    <m/>
  </r>
  <r>
    <s v="Id1751"/>
    <s v="Fox"/>
    <n v="32.78"/>
    <s v="Normal"/>
    <s v="No"/>
    <s v="No"/>
    <x v="0"/>
    <s v="No major surgery"/>
    <x v="1"/>
    <s v="Obesity"/>
    <s v="Normal"/>
    <m/>
    <m/>
    <m/>
    <m/>
    <m/>
  </r>
  <r>
    <s v="Id1752"/>
    <s v="Traver"/>
    <n v="23.9"/>
    <s v="Prediabetes"/>
    <s v="yes"/>
    <s v="No"/>
    <x v="1"/>
    <n v="1"/>
    <x v="1"/>
    <s v="Normal Weight"/>
    <s v="Prediabetes"/>
    <m/>
    <m/>
    <m/>
    <m/>
    <m/>
  </r>
  <r>
    <s v="Id1753"/>
    <s v="Quick"/>
    <n v="15.47"/>
    <s v="Diabetes"/>
    <s v="No"/>
    <s v="No"/>
    <x v="0"/>
    <s v="No major surgery"/>
    <x v="1"/>
    <s v="Underweight"/>
    <s v="Diabetes"/>
    <m/>
    <m/>
    <m/>
    <m/>
    <m/>
  </r>
  <r>
    <s v="Id1754"/>
    <s v="Scott"/>
    <n v="28.54"/>
    <s v="Normal"/>
    <s v="No"/>
    <s v="No"/>
    <x v="1"/>
    <n v="1"/>
    <x v="1"/>
    <s v="Overweight"/>
    <s v="Normal"/>
    <m/>
    <m/>
    <m/>
    <m/>
    <m/>
  </r>
  <r>
    <s v="Id1755"/>
    <s v="Theriot"/>
    <n v="18.54"/>
    <s v="Normal"/>
    <s v="No"/>
    <s v="No"/>
    <x v="0"/>
    <s v="No major surgery"/>
    <x v="1"/>
    <s v="Normal Weight"/>
    <s v="Normal"/>
    <m/>
    <m/>
    <m/>
    <m/>
    <m/>
  </r>
  <r>
    <s v="Id1756"/>
    <s v="Michalis"/>
    <n v="32.18"/>
    <e v="#N/A"/>
    <s v="yes"/>
    <s v="No"/>
    <x v="1"/>
    <n v="1"/>
    <x v="1"/>
    <s v="Obesity"/>
    <e v="#N/A"/>
    <m/>
    <m/>
    <m/>
    <m/>
    <m/>
  </r>
  <r>
    <s v="Id1757"/>
    <s v="Hall"/>
    <n v="37.380000000000003"/>
    <s v="Prediabetes"/>
    <s v="yes"/>
    <s v="No"/>
    <x v="0"/>
    <s v="No major surgery"/>
    <x v="1"/>
    <s v="Obesity"/>
    <s v="Prediabetes"/>
    <m/>
    <m/>
    <m/>
    <m/>
    <m/>
  </r>
  <r>
    <s v="Id1758"/>
    <s v="Tjong Clemons"/>
    <n v="31.12"/>
    <s v="Normal"/>
    <s v="yes"/>
    <s v="No"/>
    <x v="1"/>
    <n v="1"/>
    <x v="1"/>
    <s v="Obesity"/>
    <s v="Normal"/>
    <m/>
    <m/>
    <m/>
    <m/>
    <m/>
  </r>
  <r>
    <s v="Id1759"/>
    <s v="Palma"/>
    <n v="22.01"/>
    <s v="Diabetes"/>
    <s v="yes"/>
    <s v="No"/>
    <x v="0"/>
    <n v="1"/>
    <x v="1"/>
    <s v="Normal Weight"/>
    <s v="Diabetes"/>
    <m/>
    <m/>
    <m/>
    <m/>
    <m/>
  </r>
  <r>
    <s v="Id1760"/>
    <s v="Takaoka"/>
    <n v="27.645"/>
    <s v="Prediabetes"/>
    <s v="No"/>
    <s v="No"/>
    <x v="0"/>
    <s v="No major surgery"/>
    <x v="1"/>
    <s v="Overweight"/>
    <s v="Prediabetes"/>
    <m/>
    <m/>
    <m/>
    <m/>
    <m/>
  </r>
  <r>
    <s v="Id1761"/>
    <s v="Sherman"/>
    <n v="29.64"/>
    <s v="Normal"/>
    <s v="yes"/>
    <s v="No"/>
    <x v="0"/>
    <s v="No major surgery"/>
    <x v="1"/>
    <s v="Overweight"/>
    <s v="Normal"/>
    <m/>
    <m/>
    <m/>
    <m/>
    <m/>
  </r>
  <r>
    <s v="Id1762"/>
    <s v="Andre"/>
    <n v="33.700000000000003"/>
    <s v="Normal"/>
    <s v="yes"/>
    <s v="No"/>
    <x v="0"/>
    <n v="1"/>
    <x v="1"/>
    <s v="Obesity"/>
    <s v="Normal"/>
    <m/>
    <m/>
    <m/>
    <m/>
    <m/>
  </r>
  <r>
    <s v="Id1763"/>
    <s v="Switt"/>
    <n v="27.5"/>
    <s v="Normal"/>
    <s v="yes"/>
    <s v="No"/>
    <x v="0"/>
    <n v="1"/>
    <x v="1"/>
    <s v="Overweight"/>
    <s v="Normal"/>
    <m/>
    <m/>
    <m/>
    <m/>
    <m/>
  </r>
  <r>
    <s v="Id1764"/>
    <s v="Erickson"/>
    <n v="16.12"/>
    <s v="Prediabetes"/>
    <s v="No"/>
    <s v="No"/>
    <x v="0"/>
    <s v="No major surgery"/>
    <x v="1"/>
    <s v="Underweight"/>
    <s v="Prediabetes"/>
    <m/>
    <m/>
    <m/>
    <m/>
    <m/>
  </r>
  <r>
    <s v="Id1765"/>
    <s v="Miller"/>
    <n v="26.73"/>
    <s v="Normal"/>
    <s v="yes"/>
    <s v="No"/>
    <x v="0"/>
    <n v="1"/>
    <x v="1"/>
    <s v="Overweight"/>
    <s v="Normal"/>
    <m/>
    <m/>
    <m/>
    <m/>
    <m/>
  </r>
  <r>
    <s v="Id1766"/>
    <s v="Whitbeck"/>
    <n v="37.25"/>
    <s v="Prediabetes"/>
    <s v="yes"/>
    <s v="No"/>
    <x v="0"/>
    <s v="No major surgery"/>
    <x v="1"/>
    <s v="Obesity"/>
    <s v="Prediabetes"/>
    <m/>
    <m/>
    <m/>
    <m/>
    <m/>
  </r>
  <r>
    <s v="Id1767"/>
    <s v="Auer"/>
    <n v="23.56"/>
    <s v="Normal"/>
    <s v="yes"/>
    <s v="No"/>
    <x v="0"/>
    <n v="1"/>
    <x v="1"/>
    <s v="Normal Weight"/>
    <s v="Normal"/>
    <m/>
    <m/>
    <m/>
    <m/>
    <m/>
  </r>
  <r>
    <s v="Id1768"/>
    <s v="Attar"/>
    <n v="15.84"/>
    <s v="Diabetes"/>
    <s v="No"/>
    <s v="No"/>
    <x v="0"/>
    <n v="2"/>
    <x v="1"/>
    <s v="Underweight"/>
    <s v="Diabetes"/>
    <m/>
    <m/>
    <m/>
    <m/>
    <m/>
  </r>
  <r>
    <s v="Id1769"/>
    <s v="Misuraca"/>
    <n v="36.630000000000003"/>
    <s v="Normal"/>
    <s v="No"/>
    <s v="No"/>
    <x v="0"/>
    <s v="No major surgery"/>
    <x v="1"/>
    <s v="Obesity"/>
    <s v="Normal"/>
    <m/>
    <m/>
    <m/>
    <m/>
    <m/>
  </r>
  <r>
    <s v="Id1770"/>
    <s v="Spannaus"/>
    <n v="16.47"/>
    <s v="Diabetes"/>
    <s v="No"/>
    <s v="No"/>
    <x v="0"/>
    <s v="No major surgery"/>
    <x v="1"/>
    <s v="Underweight"/>
    <s v="Diabetes"/>
    <m/>
    <m/>
    <m/>
    <m/>
    <m/>
  </r>
  <r>
    <s v="Id1771"/>
    <s v="Tarbiat"/>
    <n v="25.8"/>
    <s v="Normal"/>
    <s v="No"/>
    <s v="No"/>
    <x v="0"/>
    <s v="No major surgery"/>
    <x v="1"/>
    <s v="Overweight"/>
    <s v="Normal"/>
    <m/>
    <m/>
    <m/>
    <m/>
    <m/>
  </r>
  <r>
    <s v="Id1772"/>
    <s v="Pulkkinen"/>
    <n v="23.6"/>
    <s v="Normal"/>
    <s v="No"/>
    <s v="No"/>
    <x v="0"/>
    <s v="No major surgery"/>
    <x v="1"/>
    <s v="Normal Weight"/>
    <s v="Normal"/>
    <m/>
    <m/>
    <m/>
    <m/>
    <m/>
  </r>
  <r>
    <s v="Id1773"/>
    <s v="Trnovcova"/>
    <n v="32.11"/>
    <s v="Prediabetes"/>
    <s v="No"/>
    <s v="No"/>
    <x v="1"/>
    <n v="1"/>
    <x v="1"/>
    <s v="Obesity"/>
    <s v="Prediabetes"/>
    <m/>
    <m/>
    <m/>
    <m/>
    <m/>
  </r>
  <r>
    <s v="Id1774"/>
    <s v="Anthony"/>
    <n v="30.114999999999998"/>
    <s v="Diabetes"/>
    <s v="No"/>
    <s v="No"/>
    <x v="0"/>
    <s v="No major surgery"/>
    <x v="1"/>
    <s v="Obesity"/>
    <s v="Diabetes"/>
    <m/>
    <m/>
    <m/>
    <m/>
    <m/>
  </r>
  <r>
    <s v="Id1775"/>
    <s v="Hetrick"/>
    <n v="20.28"/>
    <s v="Diabetes"/>
    <s v="yes"/>
    <s v="No"/>
    <x v="0"/>
    <s v="No major surgery"/>
    <x v="1"/>
    <s v="Normal Weight"/>
    <s v="Diabetes"/>
    <m/>
    <m/>
    <m/>
    <m/>
    <m/>
  </r>
  <r>
    <s v="Id1776"/>
    <s v="Stern"/>
    <n v="20.234999999999999"/>
    <s v="Normal"/>
    <s v="No"/>
    <s v="No"/>
    <x v="1"/>
    <n v="1"/>
    <x v="1"/>
    <s v="Normal Weight"/>
    <s v="Normal"/>
    <m/>
    <m/>
    <m/>
    <m/>
    <m/>
  </r>
  <r>
    <s v="Id1777"/>
    <s v="Newman"/>
    <n v="25.27"/>
    <s v="Prediabetes"/>
    <s v="yes"/>
    <s v="No"/>
    <x v="0"/>
    <n v="1"/>
    <x v="1"/>
    <s v="Overweight"/>
    <s v="Prediabetes"/>
    <m/>
    <m/>
    <m/>
    <m/>
    <m/>
  </r>
  <r>
    <s v="Id1778"/>
    <s v="Reasoner"/>
    <n v="24.24"/>
    <s v="Prediabetes"/>
    <s v="No"/>
    <s v="No"/>
    <x v="0"/>
    <s v="No major surgery"/>
    <x v="1"/>
    <s v="Normal Weight"/>
    <s v="Prediabetes"/>
    <m/>
    <m/>
    <m/>
    <m/>
    <m/>
  </r>
  <r>
    <s v="Id1779"/>
    <s v="Mone"/>
    <n v="35.75"/>
    <s v="Normal"/>
    <s v="No"/>
    <s v="No"/>
    <x v="0"/>
    <s v="No major surgery"/>
    <x v="1"/>
    <s v="Obesity"/>
    <s v="Normal"/>
    <m/>
    <m/>
    <m/>
    <m/>
    <m/>
  </r>
  <r>
    <s v="Id1780"/>
    <s v="Powers"/>
    <n v="29.92"/>
    <s v="Diabetes"/>
    <s v="yes"/>
    <s v="No"/>
    <x v="0"/>
    <n v="1"/>
    <x v="1"/>
    <e v="#N/A"/>
    <s v="Diabetes"/>
    <m/>
    <m/>
    <m/>
    <m/>
    <m/>
  </r>
  <r>
    <s v="Id1781"/>
    <s v="Ulery"/>
    <n v="26.2"/>
    <s v="Diabetes"/>
    <s v="yes"/>
    <s v="No"/>
    <x v="0"/>
    <n v="1"/>
    <x v="1"/>
    <s v="Overweight"/>
    <s v="Diabetes"/>
    <m/>
    <m/>
    <m/>
    <m/>
    <m/>
  </r>
  <r>
    <s v="Id1782"/>
    <s v="Haines"/>
    <n v="26.695"/>
    <s v="Normal"/>
    <s v="yes"/>
    <s v="No"/>
    <x v="1"/>
    <n v="1"/>
    <x v="1"/>
    <s v="Overweight"/>
    <s v="Normal"/>
    <m/>
    <m/>
    <m/>
    <m/>
    <m/>
  </r>
  <r>
    <s v="Id1783"/>
    <s v="Airoldi"/>
    <n v="23.16"/>
    <s v="Normal"/>
    <s v="No"/>
    <s v="No"/>
    <x v="0"/>
    <s v="No major surgery"/>
    <x v="1"/>
    <s v="Normal Weight"/>
    <s v="Normal"/>
    <m/>
    <m/>
    <m/>
    <m/>
    <m/>
  </r>
  <r>
    <s v="Id1784"/>
    <s v="Mattis"/>
    <n v="32.585000000000001"/>
    <s v="Normal"/>
    <s v="yes"/>
    <s v="No"/>
    <x v="0"/>
    <n v="1"/>
    <x v="1"/>
    <s v="Obesity"/>
    <s v="Normal"/>
    <m/>
    <m/>
    <m/>
    <m/>
    <m/>
  </r>
  <r>
    <s v="Id1785"/>
    <s v="Cho"/>
    <n v="33.97"/>
    <s v="Normal"/>
    <s v="yes"/>
    <s v="No"/>
    <x v="0"/>
    <s v="No major surgery"/>
    <x v="1"/>
    <s v="Obesity"/>
    <s v="Normal"/>
    <m/>
    <m/>
    <m/>
    <m/>
    <m/>
  </r>
  <r>
    <s v="Id1786"/>
    <s v="Reumann"/>
    <n v="16.57"/>
    <s v="Diabetes"/>
    <s v="No"/>
    <s v="No"/>
    <x v="0"/>
    <s v="No major surgery"/>
    <x v="1"/>
    <s v="Underweight"/>
    <s v="Diabetes"/>
    <m/>
    <m/>
    <m/>
    <m/>
    <m/>
  </r>
  <r>
    <s v="Id1787"/>
    <s v="Cooper"/>
    <n v="17.55"/>
    <s v="Prediabetes"/>
    <s v="No"/>
    <s v="No"/>
    <x v="1"/>
    <n v="1"/>
    <x v="1"/>
    <s v="Underweight"/>
    <s v="Prediabetes"/>
    <m/>
    <m/>
    <m/>
    <m/>
    <m/>
  </r>
  <r>
    <s v="Id1788"/>
    <s v="Kennedy"/>
    <n v="29.41"/>
    <s v="Prediabetes"/>
    <s v="yes"/>
    <s v="No"/>
    <x v="0"/>
    <n v="1"/>
    <x v="1"/>
    <s v="Overweight"/>
    <s v="Prediabetes"/>
    <m/>
    <m/>
    <m/>
    <m/>
    <m/>
  </r>
  <r>
    <s v="Id1789"/>
    <s v="Cichon"/>
    <n v="17.91"/>
    <s v="Normal"/>
    <s v="No"/>
    <s v="No"/>
    <x v="0"/>
    <n v="1"/>
    <x v="1"/>
    <s v="Underweight"/>
    <s v="Normal"/>
    <m/>
    <m/>
    <m/>
    <m/>
    <m/>
  </r>
  <r>
    <s v="Id1790"/>
    <s v="Maroevic"/>
    <n v="31.57"/>
    <s v="Prediabetes"/>
    <s v="No"/>
    <s v="No"/>
    <x v="0"/>
    <n v="1"/>
    <x v="1"/>
    <s v="Obesity"/>
    <s v="Prediabetes"/>
    <m/>
    <m/>
    <m/>
    <m/>
    <m/>
  </r>
  <r>
    <s v="Id1791"/>
    <s v="Martin"/>
    <n v="33.18"/>
    <s v="Normal"/>
    <s v="No"/>
    <s v="yes"/>
    <x v="0"/>
    <n v="1"/>
    <x v="1"/>
    <s v="Obesity"/>
    <s v="Normal"/>
    <m/>
    <m/>
    <m/>
    <m/>
    <m/>
  </r>
  <r>
    <s v="Id1792"/>
    <s v="Schulz"/>
    <n v="37"/>
    <s v="Diabetes"/>
    <s v="No"/>
    <s v="No"/>
    <x v="0"/>
    <s v="No major surgery"/>
    <x v="1"/>
    <s v="Obesity"/>
    <s v="Diabetes"/>
    <m/>
    <m/>
    <m/>
    <m/>
    <m/>
  </r>
  <r>
    <s v="Id1793"/>
    <s v="Capriolo"/>
    <n v="18.905000000000001"/>
    <s v="Normal"/>
    <s v="yes"/>
    <s v="No"/>
    <x v="0"/>
    <n v="1"/>
    <x v="1"/>
    <s v="Normal Weight"/>
    <s v="Normal"/>
    <m/>
    <m/>
    <m/>
    <m/>
    <m/>
  </r>
  <r>
    <s v="Id1794"/>
    <s v="Borleis"/>
    <n v="20.03"/>
    <s v="Diabetes"/>
    <s v="yes"/>
    <s v="No"/>
    <x v="0"/>
    <s v="No major surgery"/>
    <x v="1"/>
    <s v="Normal Weight"/>
    <s v="Diabetes"/>
    <m/>
    <m/>
    <m/>
    <m/>
    <m/>
  </r>
  <r>
    <s v="Id1795"/>
    <s v="Kramer"/>
    <n v="16.7"/>
    <s v="Diabetes"/>
    <s v="No"/>
    <s v="No"/>
    <x v="0"/>
    <s v="No major surgery"/>
    <x v="1"/>
    <s v="Underweight"/>
    <s v="Diabetes"/>
    <m/>
    <m/>
    <m/>
    <m/>
    <m/>
  </r>
  <r>
    <s v="Id1796"/>
    <s v="Conrad"/>
    <n v="39.82"/>
    <s v="Prediabetes"/>
    <s v="No"/>
    <s v="No"/>
    <x v="0"/>
    <s v="No major surgery"/>
    <x v="1"/>
    <s v="Obesity"/>
    <s v="Prediabetes"/>
    <m/>
    <m/>
    <m/>
    <m/>
    <m/>
  </r>
  <r>
    <s v="Id1797"/>
    <s v="Karakoyunlu"/>
    <n v="22.04"/>
    <s v="Prediabetes"/>
    <s v="No"/>
    <s v="No"/>
    <x v="0"/>
    <n v="1"/>
    <x v="1"/>
    <s v="Normal Weight"/>
    <s v="Prediabetes"/>
    <m/>
    <m/>
    <m/>
    <m/>
    <m/>
  </r>
  <r>
    <s v="Id1798"/>
    <s v="Desrosiers"/>
    <n v="28.27"/>
    <s v="Normal"/>
    <s v="No"/>
    <s v="No"/>
    <x v="0"/>
    <s v="No major surgery"/>
    <x v="1"/>
    <s v="Overweight"/>
    <s v="Normal"/>
    <m/>
    <m/>
    <m/>
    <m/>
    <m/>
  </r>
  <r>
    <s v="Id1799"/>
    <s v="O'Mara"/>
    <n v="18.5"/>
    <s v="Normal"/>
    <s v="No"/>
    <s v="No"/>
    <x v="0"/>
    <s v="No major surgery"/>
    <x v="1"/>
    <s v="Normal Weight"/>
    <s v="Normal"/>
    <m/>
    <m/>
    <m/>
    <m/>
    <m/>
  </r>
  <r>
    <s v="Id1800"/>
    <s v="Shabot Marcos"/>
    <n v="38.6"/>
    <s v="Prediabetes"/>
    <s v="No"/>
    <s v="No"/>
    <x v="0"/>
    <n v="1"/>
    <x v="1"/>
    <s v="Obesity"/>
    <s v="Prediabetes"/>
    <m/>
    <m/>
    <m/>
    <m/>
    <m/>
  </r>
  <r>
    <s v="Id1801"/>
    <s v="Comment"/>
    <n v="43.12"/>
    <s v="Prediabetes"/>
    <s v="No"/>
    <s v="No"/>
    <x v="0"/>
    <n v="1"/>
    <x v="1"/>
    <s v="Obesity"/>
    <s v="Prediabetes"/>
    <m/>
    <m/>
    <m/>
    <m/>
    <m/>
  </r>
  <r>
    <s v="Id1802"/>
    <s v="Moss"/>
    <n v="30.5"/>
    <s v="Normal"/>
    <s v="No"/>
    <s v="No"/>
    <x v="0"/>
    <n v="1"/>
    <x v="1"/>
    <s v="Obesity"/>
    <s v="Normal"/>
    <m/>
    <m/>
    <m/>
    <m/>
    <m/>
  </r>
  <r>
    <s v="Id1803"/>
    <s v="Guzman"/>
    <n v="27.61"/>
    <s v="Normal"/>
    <s v="No"/>
    <s v="No"/>
    <x v="0"/>
    <n v="1"/>
    <x v="1"/>
    <s v="Overweight"/>
    <s v="Normal"/>
    <m/>
    <m/>
    <m/>
    <m/>
    <m/>
  </r>
  <r>
    <s v="Id1804"/>
    <s v="Cox"/>
    <n v="27.1"/>
    <s v="Normal"/>
    <s v="No"/>
    <s v="No"/>
    <x v="0"/>
    <n v="1"/>
    <x v="1"/>
    <s v="Overweight"/>
    <s v="Normal"/>
    <m/>
    <m/>
    <m/>
    <m/>
    <m/>
  </r>
  <r>
    <s v="Id1805"/>
    <s v="Clash"/>
    <n v="35.93"/>
    <s v="Normal"/>
    <s v="No"/>
    <s v="yes"/>
    <x v="0"/>
    <n v="1"/>
    <x v="1"/>
    <s v="Obesity"/>
    <s v="Normal"/>
    <m/>
    <m/>
    <m/>
    <m/>
    <m/>
  </r>
  <r>
    <s v="Id1806"/>
    <s v="Blankenship"/>
    <n v="32.68"/>
    <s v="Normal"/>
    <s v="No"/>
    <s v="No"/>
    <x v="0"/>
    <s v="No major surgery"/>
    <x v="1"/>
    <s v="Obesity"/>
    <s v="Normal"/>
    <m/>
    <m/>
    <m/>
    <m/>
    <m/>
  </r>
  <r>
    <s v="Id1807"/>
    <s v="Lloyd"/>
    <n v="20.74"/>
    <s v="Diabetes"/>
    <s v="yes"/>
    <s v="No"/>
    <x v="0"/>
    <n v="1"/>
    <x v="1"/>
    <s v="Normal Weight"/>
    <s v="Diabetes"/>
    <m/>
    <m/>
    <m/>
    <m/>
    <m/>
  </r>
  <r>
    <s v="Id1808"/>
    <s v="Kong"/>
    <n v="15.57"/>
    <s v="Prediabetes"/>
    <s v="No"/>
    <s v="No"/>
    <x v="0"/>
    <s v="No major surgery"/>
    <x v="1"/>
    <s v="Underweight"/>
    <s v="Prediabetes"/>
    <m/>
    <m/>
    <m/>
    <m/>
    <m/>
  </r>
  <r>
    <s v="Id1809"/>
    <s v="Benson"/>
    <n v="23.844999999999999"/>
    <s v="Normal"/>
    <s v="No"/>
    <s v="No"/>
    <x v="0"/>
    <s v="No major surgery"/>
    <x v="1"/>
    <s v="Normal Weight"/>
    <s v="Normal"/>
    <m/>
    <m/>
    <m/>
    <m/>
    <m/>
  </r>
  <r>
    <s v="Id1810"/>
    <s v="Huntington"/>
    <n v="22.895"/>
    <s v="Normal"/>
    <s v="No"/>
    <s v="No"/>
    <x v="0"/>
    <n v="1"/>
    <x v="1"/>
    <s v="Normal Weight"/>
    <s v="Normal"/>
    <m/>
    <m/>
    <m/>
    <m/>
    <m/>
  </r>
  <r>
    <s v="Id1811"/>
    <s v="Kendall"/>
    <n v="21.945"/>
    <s v="Normal"/>
    <s v="No"/>
    <s v="No"/>
    <x v="0"/>
    <n v="1"/>
    <x v="1"/>
    <s v="Normal Weight"/>
    <s v="Normal"/>
    <m/>
    <m/>
    <m/>
    <m/>
    <m/>
  </r>
  <r>
    <s v="Id1812"/>
    <s v="Gast"/>
    <n v="19.47"/>
    <s v="Diabetes"/>
    <s v="yes"/>
    <s v="No"/>
    <x v="0"/>
    <s v="No major surgery"/>
    <x v="1"/>
    <s v="Normal Weight"/>
    <s v="Diabetes"/>
    <m/>
    <m/>
    <m/>
    <m/>
    <m/>
  </r>
  <r>
    <s v="Id1813"/>
    <s v="Scanlin"/>
    <n v="15.61"/>
    <s v="Prediabetes"/>
    <s v="No"/>
    <s v="No"/>
    <x v="0"/>
    <s v="No major surgery"/>
    <x v="1"/>
    <s v="Underweight"/>
    <s v="Prediabetes"/>
    <m/>
    <m/>
    <m/>
    <m/>
    <m/>
  </r>
  <r>
    <s v="Id1814"/>
    <s v="Philbrook"/>
    <n v="28.6"/>
    <s v="Prediabetes"/>
    <s v="No"/>
    <s v="No"/>
    <x v="1"/>
    <n v="1"/>
    <x v="1"/>
    <s v="Overweight"/>
    <s v="Prediabetes"/>
    <m/>
    <m/>
    <m/>
    <m/>
    <m/>
  </r>
  <r>
    <s v="Id1815"/>
    <s v="Cowan"/>
    <n v="46.53"/>
    <s v="Normal"/>
    <s v="No"/>
    <s v="No"/>
    <x v="0"/>
    <s v="No major surgery"/>
    <x v="1"/>
    <s v="Obesity"/>
    <s v="Normal"/>
    <m/>
    <m/>
    <m/>
    <m/>
    <m/>
  </r>
  <r>
    <s v="Id1816"/>
    <s v="Sousa"/>
    <n v="34.99"/>
    <s v="Normal"/>
    <s v="No"/>
    <s v="No"/>
    <x v="1"/>
    <n v="1"/>
    <x v="1"/>
    <s v="Obesity"/>
    <s v="Normal"/>
    <m/>
    <m/>
    <m/>
    <m/>
    <m/>
  </r>
  <r>
    <s v="Id1817"/>
    <s v="Stanton"/>
    <n v="17.05"/>
    <s v="Normal"/>
    <s v="No"/>
    <s v="No"/>
    <x v="1"/>
    <n v="1"/>
    <x v="1"/>
    <s v="Underweight"/>
    <s v="Normal"/>
    <m/>
    <m/>
    <m/>
    <m/>
    <m/>
  </r>
  <r>
    <s v="Id1818"/>
    <s v="Mollak"/>
    <n v="37.18"/>
    <s v="Normal"/>
    <s v="No"/>
    <s v="No"/>
    <x v="0"/>
    <s v="No major surgery"/>
    <x v="1"/>
    <s v="Obesity"/>
    <s v="Normal"/>
    <m/>
    <m/>
    <m/>
    <m/>
    <m/>
  </r>
  <r>
    <s v="Id1819"/>
    <s v="Bell"/>
    <n v="35.200000000000003"/>
    <s v="Normal"/>
    <s v="No"/>
    <s v="No"/>
    <x v="0"/>
    <s v="No major surgery"/>
    <x v="1"/>
    <s v="Obesity"/>
    <s v="Normal"/>
    <m/>
    <m/>
    <m/>
    <m/>
    <m/>
  </r>
  <r>
    <s v="Id1820"/>
    <s v="Weston"/>
    <n v="37.335000000000001"/>
    <s v="Normal"/>
    <s v="No"/>
    <s v="No"/>
    <x v="0"/>
    <s v="No major surgery"/>
    <x v="1"/>
    <s v="Obesity"/>
    <s v="Normal"/>
    <m/>
    <m/>
    <m/>
    <m/>
    <m/>
  </r>
  <r>
    <s v="Id1821"/>
    <s v="Rabuzzi"/>
    <n v="27.265000000000001"/>
    <e v="#N/A"/>
    <s v="yes"/>
    <s v="No"/>
    <x v="0"/>
    <s v="No major surgery"/>
    <x v="1"/>
    <s v="Overweight"/>
    <e v="#N/A"/>
    <m/>
    <m/>
    <m/>
    <m/>
    <m/>
  </r>
  <r>
    <s v="Id1822"/>
    <s v="Hendrix"/>
    <n v="30.8"/>
    <s v="Normal"/>
    <s v="yes"/>
    <s v="No"/>
    <x v="0"/>
    <s v="No major surgery"/>
    <x v="1"/>
    <s v="Obesity"/>
    <s v="Normal"/>
    <m/>
    <m/>
    <m/>
    <m/>
    <m/>
  </r>
  <r>
    <s v="Id1823"/>
    <s v="Van Nielen"/>
    <n v="30.21"/>
    <s v="Normal"/>
    <s v="No"/>
    <s v="No"/>
    <x v="0"/>
    <n v="1"/>
    <x v="1"/>
    <s v="Obesity"/>
    <s v="Normal"/>
    <m/>
    <m/>
    <m/>
    <m/>
    <m/>
  </r>
  <r>
    <s v="Id1824"/>
    <s v="Blanton"/>
    <n v="35.340000000000003"/>
    <s v="Normal"/>
    <s v="No"/>
    <s v="yes"/>
    <x v="0"/>
    <n v="1"/>
    <x v="1"/>
    <s v="Obesity"/>
    <s v="Normal"/>
    <m/>
    <m/>
    <m/>
    <m/>
    <m/>
  </r>
  <r>
    <s v="Id1825"/>
    <s v="Schout"/>
    <n v="26.695"/>
    <s v="Normal"/>
    <s v="No"/>
    <s v="No"/>
    <x v="0"/>
    <s v="No major surgery"/>
    <x v="1"/>
    <s v="Overweight"/>
    <s v="Normal"/>
    <m/>
    <m/>
    <m/>
    <m/>
    <m/>
  </r>
  <r>
    <s v="Id1826"/>
    <s v="Schmaltz"/>
    <n v="29.355"/>
    <s v="Normal"/>
    <s v="yes"/>
    <s v="No"/>
    <x v="0"/>
    <s v="No major surgery"/>
    <x v="1"/>
    <s v="Overweight"/>
    <s v="Normal"/>
    <m/>
    <m/>
    <m/>
    <m/>
    <m/>
  </r>
  <r>
    <s v="Id1827"/>
    <s v="Eagen"/>
    <n v="29.59"/>
    <s v="Normal"/>
    <s v="No"/>
    <s v="No"/>
    <x v="0"/>
    <s v="No major surgery"/>
    <x v="1"/>
    <s v="Overweight"/>
    <s v="Normal"/>
    <m/>
    <m/>
    <m/>
    <m/>
    <m/>
  </r>
  <r>
    <s v="Id1828"/>
    <s v="Rotramel"/>
    <n v="31.35"/>
    <s v="Normal"/>
    <s v="No"/>
    <s v="yes"/>
    <x v="0"/>
    <n v="1"/>
    <x v="1"/>
    <s v="Obesity"/>
    <s v="Normal"/>
    <m/>
    <m/>
    <m/>
    <m/>
    <m/>
  </r>
  <r>
    <s v="Id1829"/>
    <s v="Prevost"/>
    <n v="20.52"/>
    <s v="Normal"/>
    <s v="No"/>
    <s v="No"/>
    <x v="0"/>
    <s v="No major surgery"/>
    <x v="1"/>
    <s v="Normal Weight"/>
    <s v="Normal"/>
    <m/>
    <m/>
    <m/>
    <m/>
    <m/>
  </r>
  <r>
    <s v="Id1830"/>
    <s v="Boyd"/>
    <n v="42.9"/>
    <s v="Normal"/>
    <s v="yes"/>
    <s v="No"/>
    <x v="0"/>
    <n v="1"/>
    <x v="1"/>
    <s v="Obesity"/>
    <s v="Normal"/>
    <m/>
    <m/>
    <m/>
    <m/>
    <m/>
  </r>
  <r>
    <s v="Id1831"/>
    <s v="Dawes"/>
    <n v="24.6"/>
    <s v="Prediabetes"/>
    <s v="No"/>
    <s v="No"/>
    <x v="1"/>
    <n v="1"/>
    <x v="1"/>
    <s v="Normal Weight"/>
    <s v="Prediabetes"/>
    <m/>
    <m/>
    <m/>
    <m/>
    <m/>
  </r>
  <r>
    <s v="Id1832"/>
    <s v="Jennings"/>
    <n v="28.405000000000001"/>
    <s v="Normal"/>
    <s v="No"/>
    <s v="No"/>
    <x v="0"/>
    <n v="1"/>
    <x v="1"/>
    <s v="Overweight"/>
    <s v="Normal"/>
    <m/>
    <m/>
    <m/>
    <m/>
    <m/>
  </r>
  <r>
    <s v="Id1833"/>
    <s v="Nyambaso"/>
    <n v="34.674999999999997"/>
    <s v="Prediabetes"/>
    <s v="yes"/>
    <s v="No"/>
    <x v="0"/>
    <n v="1"/>
    <x v="1"/>
    <s v="Obesity"/>
    <s v="Prediabetes"/>
    <m/>
    <m/>
    <m/>
    <m/>
    <m/>
  </r>
  <r>
    <s v="Id1834"/>
    <s v="Shaffer"/>
    <n v="18.850000000000001"/>
    <s v="Prediabetes"/>
    <s v="No"/>
    <s v="No"/>
    <x v="0"/>
    <n v="1"/>
    <x v="1"/>
    <s v="Normal Weight"/>
    <s v="Prediabetes"/>
    <m/>
    <m/>
    <m/>
    <m/>
    <m/>
  </r>
  <r>
    <s v="Id1835"/>
    <s v="Corkum"/>
    <n v="34.130000000000003"/>
    <s v="Normal"/>
    <s v="No"/>
    <s v="No"/>
    <x v="1"/>
    <n v="1"/>
    <x v="1"/>
    <s v="Obesity"/>
    <s v="Normal"/>
    <m/>
    <m/>
    <m/>
    <m/>
    <m/>
  </r>
  <r>
    <s v="Id1836"/>
    <s v="Pedersen"/>
    <n v="17.34"/>
    <s v="Normal"/>
    <s v="No"/>
    <s v="No"/>
    <x v="0"/>
    <s v="No major surgery"/>
    <x v="1"/>
    <s v="Underweight"/>
    <s v="Normal"/>
    <m/>
    <m/>
    <m/>
    <m/>
    <m/>
  </r>
  <r>
    <s v="Id1837"/>
    <s v="Melo"/>
    <n v="17.440000000000001"/>
    <s v="Prediabetes"/>
    <s v="No"/>
    <s v="No"/>
    <x v="0"/>
    <s v="No major surgery"/>
    <x v="1"/>
    <s v="Underweight"/>
    <s v="Prediabetes"/>
    <m/>
    <m/>
    <m/>
    <m/>
    <m/>
  </r>
  <r>
    <s v="Id1838"/>
    <s v="Sakamoto"/>
    <n v="33.659999999999997"/>
    <s v="Normal"/>
    <s v="yes"/>
    <s v="No"/>
    <x v="1"/>
    <n v="1"/>
    <x v="1"/>
    <s v="Obesity"/>
    <s v="Normal"/>
    <m/>
    <m/>
    <m/>
    <m/>
    <m/>
  </r>
  <r>
    <s v="Id1839"/>
    <s v="McMahon"/>
    <n v="21.375"/>
    <s v="Prediabetes"/>
    <s v="yes"/>
    <s v="No"/>
    <x v="0"/>
    <n v="1"/>
    <x v="1"/>
    <s v="Normal Weight"/>
    <s v="Prediabetes"/>
    <m/>
    <m/>
    <m/>
    <m/>
    <m/>
  </r>
  <r>
    <s v="Id1840"/>
    <s v="Harris"/>
    <n v="27.14"/>
    <s v="Prediabetes"/>
    <s v="No"/>
    <s v="No"/>
    <x v="0"/>
    <n v="1"/>
    <x v="1"/>
    <s v="Overweight"/>
    <s v="Prediabetes"/>
    <m/>
    <m/>
    <m/>
    <m/>
    <m/>
  </r>
  <r>
    <s v="Id1841"/>
    <s v="Lombardo"/>
    <n v="35.78"/>
    <s v="Prediabetes"/>
    <s v="No"/>
    <s v="yes"/>
    <x v="0"/>
    <n v="1"/>
    <x v="1"/>
    <s v="Obesity"/>
    <s v="Prediabetes"/>
    <m/>
    <m/>
    <m/>
    <m/>
    <m/>
  </r>
  <r>
    <s v="Id1842"/>
    <s v="Bode"/>
    <n v="34.96"/>
    <s v="Normal"/>
    <s v="No"/>
    <s v="No"/>
    <x v="0"/>
    <s v="No major surgery"/>
    <x v="1"/>
    <s v="Obesity"/>
    <s v="Normal"/>
    <m/>
    <m/>
    <m/>
    <m/>
    <m/>
  </r>
  <r>
    <s v="Id1843"/>
    <s v="Johnson"/>
    <n v="38.39"/>
    <s v="Prediabetes"/>
    <s v="No"/>
    <s v="No"/>
    <x v="0"/>
    <s v="No major surgery"/>
    <x v="1"/>
    <s v="Obesity"/>
    <s v="Prediabetes"/>
    <m/>
    <m/>
    <m/>
    <m/>
    <m/>
  </r>
  <r>
    <s v="Id1844"/>
    <s v="Norcross"/>
    <n v="33.82"/>
    <s v="Normal"/>
    <s v="No"/>
    <s v="No"/>
    <x v="0"/>
    <s v="No major surgery"/>
    <x v="1"/>
    <s v="Obesity"/>
    <s v="Normal"/>
    <m/>
    <m/>
    <m/>
    <m/>
    <m/>
  </r>
  <r>
    <s v="Id1845"/>
    <s v="Lazrus"/>
    <n v="27.835000000000001"/>
    <s v="Normal"/>
    <s v="No"/>
    <s v="No"/>
    <x v="0"/>
    <s v="No major surgery"/>
    <x v="1"/>
    <s v="Overweight"/>
    <s v="Normal"/>
    <m/>
    <m/>
    <m/>
    <m/>
    <m/>
  </r>
  <r>
    <s v="Id1846"/>
    <s v="Tsegay"/>
    <n v="33"/>
    <s v="Normal"/>
    <s v="No"/>
    <s v="No"/>
    <x v="0"/>
    <s v="No major surgery"/>
    <x v="1"/>
    <s v="Obesity"/>
    <s v="Normal"/>
    <m/>
    <m/>
    <m/>
    <m/>
    <m/>
  </r>
  <r>
    <s v="Id1847"/>
    <s v="Schneider"/>
    <n v="26.885000000000002"/>
    <s v="Prediabetes"/>
    <s v="No"/>
    <s v="No"/>
    <x v="0"/>
    <s v="No major surgery"/>
    <x v="1"/>
    <s v="Overweight"/>
    <s v="Prediabetes"/>
    <m/>
    <m/>
    <m/>
    <m/>
    <m/>
  </r>
  <r>
    <s v="Id1848"/>
    <s v="Loreto"/>
    <n v="29.26"/>
    <s v="Normal"/>
    <s v="No"/>
    <s v="No"/>
    <x v="0"/>
    <s v="No major surgery"/>
    <x v="1"/>
    <s v="Overweight"/>
    <s v="Normal"/>
    <m/>
    <m/>
    <m/>
    <m/>
    <m/>
  </r>
  <r>
    <s v="Id1849"/>
    <s v="Callahan"/>
    <n v="26.98"/>
    <s v="Normal"/>
    <s v="No"/>
    <s v="No"/>
    <x v="0"/>
    <s v="No major surgery"/>
    <x v="1"/>
    <s v="Overweight"/>
    <s v="Normal"/>
    <m/>
    <m/>
    <m/>
    <m/>
    <m/>
  </r>
  <r>
    <s v="Id1850"/>
    <s v="Timko"/>
    <n v="32.11"/>
    <s v="Normal"/>
    <s v="No"/>
    <s v="No"/>
    <x v="1"/>
    <n v="1"/>
    <x v="1"/>
    <s v="Obesity"/>
    <s v="Normal"/>
    <m/>
    <m/>
    <m/>
    <m/>
    <m/>
  </r>
  <r>
    <s v="Id1851"/>
    <s v="Achatz"/>
    <n v="31.73"/>
    <s v="Normal"/>
    <s v="No"/>
    <s v="No"/>
    <x v="1"/>
    <n v="1"/>
    <x v="1"/>
    <s v="Obesity"/>
    <s v="Normal"/>
    <m/>
    <m/>
    <m/>
    <m/>
    <m/>
  </r>
  <r>
    <s v="Id1852"/>
    <s v="Horwitz"/>
    <n v="22.515000000000001"/>
    <s v="Normal"/>
    <s v="No"/>
    <s v="No"/>
    <x v="0"/>
    <s v="No major surgery"/>
    <x v="1"/>
    <s v="Normal Weight"/>
    <s v="Normal"/>
    <m/>
    <m/>
    <m/>
    <m/>
    <m/>
  </r>
  <r>
    <s v="Id1853"/>
    <s v="Gordyan"/>
    <n v="25.9"/>
    <s v="Normal"/>
    <s v="No"/>
    <s v="No"/>
    <x v="0"/>
    <n v="1"/>
    <x v="1"/>
    <s v="Overweight"/>
    <s v="Normal"/>
    <m/>
    <m/>
    <m/>
    <m/>
    <m/>
  </r>
  <r>
    <s v="Id1854"/>
    <s v="Hetherington"/>
    <n v="27.72"/>
    <s v="Normal"/>
    <s v="yes"/>
    <s v="No"/>
    <x v="0"/>
    <n v="1"/>
    <x v="1"/>
    <s v="Overweight"/>
    <s v="Normal"/>
    <m/>
    <m/>
    <m/>
    <m/>
    <m/>
  </r>
  <r>
    <s v="Id1855"/>
    <s v="Thompson"/>
    <n v="31.5"/>
    <s v="Diabetes"/>
    <s v="yes"/>
    <s v="No"/>
    <x v="0"/>
    <n v="1"/>
    <x v="1"/>
    <s v="Obesity"/>
    <s v="Diabetes"/>
    <m/>
    <m/>
    <m/>
    <m/>
    <m/>
  </r>
  <r>
    <s v="Id1856"/>
    <s v="Battoo"/>
    <n v="29.7"/>
    <s v="Diabetes"/>
    <s v="yes"/>
    <s v="No"/>
    <x v="0"/>
    <n v="1"/>
    <x v="1"/>
    <s v="Overweight"/>
    <s v="Diabetes"/>
    <m/>
    <m/>
    <m/>
    <m/>
    <m/>
  </r>
  <r>
    <s v="Id1857"/>
    <s v="Barker"/>
    <n v="21.26"/>
    <s v="Normal"/>
    <s v="yes"/>
    <s v="No"/>
    <x v="0"/>
    <n v="1"/>
    <x v="1"/>
    <s v="Normal Weight"/>
    <s v="Normal"/>
    <m/>
    <m/>
    <m/>
    <m/>
    <m/>
  </r>
  <r>
    <s v="Id1858"/>
    <s v="Saarnilehto"/>
    <n v="17.09"/>
    <s v="Normal"/>
    <s v="No"/>
    <s v="No"/>
    <x v="0"/>
    <s v="No major surgery"/>
    <x v="1"/>
    <s v="Underweight"/>
    <s v="Normal"/>
    <m/>
    <m/>
    <m/>
    <m/>
    <m/>
  </r>
  <r>
    <s v="Id1859"/>
    <s v="Morton"/>
    <n v="24.3"/>
    <s v="Normal"/>
    <s v="yes"/>
    <s v="No"/>
    <x v="1"/>
    <n v="1"/>
    <x v="1"/>
    <s v="Normal Weight"/>
    <s v="Normal"/>
    <m/>
    <m/>
    <m/>
    <m/>
    <m/>
  </r>
  <r>
    <s v="Id1860"/>
    <s v="Thomas"/>
    <n v="29.734999999999999"/>
    <s v="Prediabetes"/>
    <s v="No"/>
    <s v="No"/>
    <x v="0"/>
    <s v="No major surgery"/>
    <x v="1"/>
    <s v="Overweight"/>
    <s v="Prediabetes"/>
    <m/>
    <m/>
    <m/>
    <m/>
    <m/>
  </r>
  <r>
    <s v="Id1861"/>
    <s v="Hillman"/>
    <n v="29.26"/>
    <s v="Normal"/>
    <s v="No"/>
    <s v="No"/>
    <x v="0"/>
    <s v="No major surgery"/>
    <x v="1"/>
    <s v="Overweight"/>
    <s v="Normal"/>
    <m/>
    <m/>
    <m/>
    <m/>
    <m/>
  </r>
  <r>
    <s v="Id1862"/>
    <s v="Edwards"/>
    <n v="33"/>
    <s v="Prediabetes"/>
    <s v="No"/>
    <s v="No"/>
    <x v="0"/>
    <s v="No major surgery"/>
    <x v="1"/>
    <s v="Obesity"/>
    <s v="Prediabetes"/>
    <m/>
    <m/>
    <m/>
    <m/>
    <m/>
  </r>
  <r>
    <s v="Id1863"/>
    <s v="Bartel"/>
    <n v="31.065000000000001"/>
    <s v="Normal"/>
    <s v="No"/>
    <s v="No"/>
    <x v="0"/>
    <s v="No major surgery"/>
    <x v="1"/>
    <s v="Obesity"/>
    <s v="Normal"/>
    <m/>
    <m/>
    <m/>
    <m/>
    <m/>
  </r>
  <r>
    <s v="Id1864"/>
    <s v="Potekhina"/>
    <n v="26.51"/>
    <s v="Prediabetes"/>
    <s v="No"/>
    <s v="No"/>
    <x v="0"/>
    <s v="No major surgery"/>
    <x v="1"/>
    <s v="Overweight"/>
    <s v="Prediabetes"/>
    <m/>
    <m/>
    <m/>
    <m/>
    <m/>
  </r>
  <r>
    <s v="Id1865"/>
    <s v="Kelly"/>
    <n v="28.88"/>
    <s v="Normal"/>
    <s v="No"/>
    <s v="No"/>
    <x v="0"/>
    <s v="No major surgery"/>
    <x v="1"/>
    <s v="Overweight"/>
    <s v="Normal"/>
    <m/>
    <m/>
    <m/>
    <m/>
    <m/>
  </r>
  <r>
    <s v="Id1866"/>
    <s v="Lapp"/>
    <n v="35.814999999999998"/>
    <s v="Normal"/>
    <s v="yes"/>
    <s v="No"/>
    <x v="0"/>
    <n v="1"/>
    <x v="1"/>
    <s v="Obesity"/>
    <s v="Normal"/>
    <m/>
    <m/>
    <m/>
    <m/>
    <m/>
  </r>
  <r>
    <s v="Id1867"/>
    <s v="Burke"/>
    <n v="21.28"/>
    <s v="Normal"/>
    <s v="No"/>
    <s v="yes"/>
    <x v="0"/>
    <n v="1"/>
    <x v="1"/>
    <s v="Normal Weight"/>
    <s v="Normal"/>
    <m/>
    <m/>
    <m/>
    <m/>
    <m/>
  </r>
  <r>
    <s v="Id1868"/>
    <s v="Barry"/>
    <n v="33.81"/>
    <e v="#N/A"/>
    <s v="No"/>
    <s v="No"/>
    <x v="1"/>
    <n v="1"/>
    <x v="1"/>
    <s v="Obesity"/>
    <e v="#N/A"/>
    <m/>
    <m/>
    <m/>
    <m/>
    <m/>
  </r>
  <r>
    <s v="Id1869"/>
    <s v="McCormick"/>
    <n v="44.22"/>
    <s v="Normal"/>
    <s v="No"/>
    <s v="No"/>
    <x v="0"/>
    <n v="1"/>
    <x v="1"/>
    <s v="Obesity"/>
    <s v="Normal"/>
    <m/>
    <m/>
    <m/>
    <m/>
    <m/>
  </r>
  <r>
    <s v="Id1870"/>
    <s v="McElroy"/>
    <n v="15.46"/>
    <s v="Normal"/>
    <s v="yes"/>
    <s v="No"/>
    <x v="1"/>
    <n v="1"/>
    <x v="1"/>
    <s v="Underweight"/>
    <s v="Normal"/>
    <m/>
    <m/>
    <m/>
    <m/>
    <m/>
  </r>
  <r>
    <s v="Id1871"/>
    <s v="Coffed"/>
    <n v="30.3"/>
    <s v="Normal"/>
    <s v="yes"/>
    <s v="No"/>
    <x v="0"/>
    <n v="1"/>
    <x v="1"/>
    <s v="Obesity"/>
    <s v="Normal"/>
    <m/>
    <m/>
    <m/>
    <m/>
    <m/>
  </r>
  <r>
    <s v="Id1872"/>
    <s v="Estes"/>
    <n v="16.670000000000002"/>
    <s v="Normal"/>
    <s v="No"/>
    <s v="No"/>
    <x v="0"/>
    <s v="No major surgery"/>
    <x v="1"/>
    <s v="Underweight"/>
    <s v="Normal"/>
    <m/>
    <m/>
    <m/>
    <m/>
    <m/>
  </r>
  <r>
    <s v="Id1873"/>
    <s v="Miles"/>
    <n v="28.594999999999999"/>
    <s v="Normal"/>
    <s v="No"/>
    <s v="No"/>
    <x v="0"/>
    <s v="No major surgery"/>
    <x v="1"/>
    <s v="Overweight"/>
    <s v="Normal"/>
    <m/>
    <m/>
    <m/>
    <m/>
    <m/>
  </r>
  <r>
    <s v="Id1874"/>
    <s v="Zamore"/>
    <n v="25.934999999999999"/>
    <s v="Normal"/>
    <s v="No"/>
    <s v="No"/>
    <x v="0"/>
    <s v="No major surgery"/>
    <x v="1"/>
    <s v="Overweight"/>
    <s v="Normal"/>
    <m/>
    <m/>
    <m/>
    <m/>
    <m/>
  </r>
  <r>
    <s v="Id1875"/>
    <s v="Donaghy"/>
    <n v="27.645"/>
    <s v="Normal"/>
    <s v="No"/>
    <s v="No"/>
    <x v="0"/>
    <n v="1"/>
    <x v="1"/>
    <s v="Overweight"/>
    <s v="Normal"/>
    <m/>
    <m/>
    <m/>
    <m/>
    <m/>
  </r>
  <r>
    <s v="Id1876"/>
    <s v="Kennedy"/>
    <n v="30.1"/>
    <s v="Normal"/>
    <s v="No"/>
    <s v="No"/>
    <x v="0"/>
    <n v="1"/>
    <x v="1"/>
    <s v="Obesity"/>
    <s v="Normal"/>
    <m/>
    <m/>
    <m/>
    <m/>
    <m/>
  </r>
  <r>
    <s v="Id1877"/>
    <s v="Fiorini"/>
    <n v="26.79"/>
    <s v="Normal"/>
    <s v="yes"/>
    <s v="No"/>
    <x v="1"/>
    <n v="1"/>
    <x v="1"/>
    <s v="Overweight"/>
    <s v="Normal"/>
    <m/>
    <m/>
    <m/>
    <m/>
    <m/>
  </r>
  <r>
    <s v="Id1878"/>
    <s v="Alexander"/>
    <n v="27.1"/>
    <s v="Normal"/>
    <s v="yes"/>
    <s v="No"/>
    <x v="0"/>
    <n v="1"/>
    <x v="1"/>
    <s v="Overweight"/>
    <s v="Normal"/>
    <m/>
    <m/>
    <m/>
    <m/>
    <m/>
  </r>
  <r>
    <s v="Id1879"/>
    <s v="Watkins"/>
    <n v="24.31"/>
    <s v="Normal"/>
    <s v="No"/>
    <s v="No"/>
    <x v="0"/>
    <s v="No major surgery"/>
    <x v="1"/>
    <s v="Normal Weight"/>
    <s v="Normal"/>
    <m/>
    <m/>
    <m/>
    <m/>
    <m/>
  </r>
  <r>
    <s v="Id1880"/>
    <s v="Cassel"/>
    <n v="15.53"/>
    <s v="Prediabetes"/>
    <s v="No"/>
    <s v="No"/>
    <x v="0"/>
    <n v="1"/>
    <x v="1"/>
    <s v="Underweight"/>
    <s v="Prediabetes"/>
    <m/>
    <m/>
    <m/>
    <m/>
    <m/>
  </r>
  <r>
    <s v="Id1881"/>
    <s v="Ferguson"/>
    <n v="30.7"/>
    <s v="Prediabetes"/>
    <s v="No"/>
    <s v="No"/>
    <x v="0"/>
    <n v="1"/>
    <x v="1"/>
    <s v="Obesity"/>
    <s v="Prediabetes"/>
    <m/>
    <m/>
    <m/>
    <m/>
    <m/>
  </r>
  <r>
    <s v="Id1882"/>
    <s v="O'Sullivan"/>
    <n v="33.33"/>
    <s v="Normal"/>
    <s v="No"/>
    <s v="No"/>
    <x v="0"/>
    <n v="1"/>
    <x v="1"/>
    <s v="Obesity"/>
    <s v="Normal"/>
    <m/>
    <m/>
    <m/>
    <m/>
    <m/>
  </r>
  <r>
    <s v="Id1883"/>
    <s v="Chepkirui"/>
    <n v="32.4"/>
    <s v="Normal"/>
    <s v="No"/>
    <s v="No"/>
    <x v="0"/>
    <n v="1"/>
    <x v="1"/>
    <s v="Obesity"/>
    <s v="Normal"/>
    <m/>
    <m/>
    <m/>
    <m/>
    <m/>
  </r>
  <r>
    <s v="Id1884"/>
    <s v="Gurney"/>
    <n v="27.93"/>
    <s v="Normal"/>
    <s v="No"/>
    <s v="No"/>
    <x v="0"/>
    <n v="1"/>
    <x v="1"/>
    <s v="Overweight"/>
    <s v="Normal"/>
    <m/>
    <m/>
    <m/>
    <m/>
    <m/>
  </r>
  <r>
    <s v="Id1885"/>
    <s v="Francis"/>
    <n v="21.754999999999999"/>
    <s v="Normal"/>
    <s v="No"/>
    <s v="No"/>
    <x v="0"/>
    <s v="No major surgery"/>
    <x v="1"/>
    <s v="Normal Weight"/>
    <s v="Normal"/>
    <m/>
    <m/>
    <m/>
    <m/>
    <m/>
  </r>
  <r>
    <s v="Id1886"/>
    <s v="Gruca"/>
    <n v="25.934999999999999"/>
    <s v="Normal"/>
    <s v="No"/>
    <s v="No"/>
    <x v="0"/>
    <s v="No major surgery"/>
    <x v="1"/>
    <s v="Overweight"/>
    <s v="Normal"/>
    <m/>
    <m/>
    <m/>
    <m/>
    <m/>
  </r>
  <r>
    <s v="Id1887"/>
    <s v="Rojas Alvarez"/>
    <n v="31.5"/>
    <s v="Prediabetes"/>
    <s v="No"/>
    <s v="No"/>
    <x v="0"/>
    <s v="No major surgery"/>
    <x v="1"/>
    <s v="Obesity"/>
    <s v="Prediabetes"/>
    <m/>
    <m/>
    <m/>
    <m/>
    <m/>
  </r>
  <r>
    <s v="Id1888"/>
    <s v="Denton"/>
    <n v="30.03"/>
    <e v="#N/A"/>
    <s v="No"/>
    <s v="No"/>
    <x v="0"/>
    <s v="No major surgery"/>
    <x v="1"/>
    <s v="Obesity"/>
    <e v="#N/A"/>
    <m/>
    <m/>
    <m/>
    <m/>
    <m/>
  </r>
  <r>
    <s v="Id1889"/>
    <s v="Mason"/>
    <n v="33.479999999999997"/>
    <s v="Diabetes"/>
    <s v="No"/>
    <s v="No"/>
    <x v="0"/>
    <s v="No major surgery"/>
    <x v="1"/>
    <s v="Obesity"/>
    <s v="Diabetes"/>
    <m/>
    <m/>
    <m/>
    <m/>
    <m/>
  </r>
  <r>
    <s v="Id1890"/>
    <s v="Trout"/>
    <n v="16.510000000000002"/>
    <s v="Normal"/>
    <s v="yes"/>
    <s v="No"/>
    <x v="1"/>
    <n v="1"/>
    <x v="1"/>
    <s v="Underweight"/>
    <s v="Normal"/>
    <m/>
    <m/>
    <m/>
    <m/>
    <m/>
  </r>
  <r>
    <s v="Id1891"/>
    <s v="Gilbert"/>
    <n v="33.155000000000001"/>
    <s v="Normal"/>
    <s v="yes"/>
    <s v="No"/>
    <x v="0"/>
    <n v="1"/>
    <x v="1"/>
    <s v="Obesity"/>
    <s v="Normal"/>
    <m/>
    <m/>
    <m/>
    <m/>
    <m/>
  </r>
  <r>
    <s v="Id1892"/>
    <s v="Chong"/>
    <n v="37.29"/>
    <s v="Normal"/>
    <s v="No"/>
    <s v="No"/>
    <x v="1"/>
    <n v="1"/>
    <x v="1"/>
    <s v="Obesity"/>
    <s v="Normal"/>
    <m/>
    <m/>
    <m/>
    <m/>
    <m/>
  </r>
  <r>
    <s v="Id1893"/>
    <s v="Henry"/>
    <n v="20.23"/>
    <s v="Prediabetes"/>
    <s v="yes"/>
    <s v="No"/>
    <x v="0"/>
    <n v="1"/>
    <x v="1"/>
    <s v="Normal Weight"/>
    <s v="Prediabetes"/>
    <m/>
    <m/>
    <m/>
    <m/>
    <m/>
  </r>
  <r>
    <s v="Id1894"/>
    <s v="Brenneman"/>
    <n v="28.975000000000001"/>
    <s v="Normal"/>
    <s v="No"/>
    <s v="No"/>
    <x v="1"/>
    <n v="1"/>
    <x v="1"/>
    <s v="Overweight"/>
    <s v="Normal"/>
    <m/>
    <m/>
    <m/>
    <m/>
    <m/>
  </r>
  <r>
    <s v="Id1895"/>
    <s v="Kemp"/>
    <n v="16.420000000000002"/>
    <s v="Prediabetes"/>
    <s v="yes"/>
    <s v="No"/>
    <x v="1"/>
    <n v="1"/>
    <x v="1"/>
    <s v="Underweight"/>
    <s v="Prediabetes"/>
    <m/>
    <m/>
    <m/>
    <m/>
    <m/>
  </r>
  <r>
    <s v="Id1896"/>
    <s v="Wilson"/>
    <n v="17.559999999999999"/>
    <s v="Prediabetes"/>
    <s v="No"/>
    <s v="No"/>
    <x v="0"/>
    <n v="1"/>
    <x v="1"/>
    <s v="Underweight"/>
    <s v="Prediabetes"/>
    <m/>
    <m/>
    <m/>
    <m/>
    <m/>
  </r>
  <r>
    <s v="Id1897"/>
    <s v="Hillyard"/>
    <n v="24.13"/>
    <s v="Normal"/>
    <s v="No"/>
    <s v="No"/>
    <x v="0"/>
    <n v="1"/>
    <x v="1"/>
    <s v="Normal Weight"/>
    <s v="Normal"/>
    <m/>
    <m/>
    <m/>
    <m/>
    <m/>
  </r>
  <r>
    <s v="Id1898"/>
    <s v="Turner"/>
    <n v="19.95"/>
    <s v="Normal"/>
    <s v="No"/>
    <s v="yes"/>
    <x v="0"/>
    <n v="2"/>
    <x v="1"/>
    <s v="Normal Weight"/>
    <s v="Normal"/>
    <m/>
    <m/>
    <m/>
    <m/>
    <m/>
  </r>
  <r>
    <s v="Id1899"/>
    <s v="Benestad"/>
    <n v="21.24"/>
    <s v="Normal"/>
    <s v="No"/>
    <s v="No"/>
    <x v="0"/>
    <s v="No major surgery"/>
    <x v="1"/>
    <s v="Normal Weight"/>
    <s v="Normal"/>
    <m/>
    <m/>
    <m/>
    <m/>
    <m/>
  </r>
  <r>
    <s v="Id1900"/>
    <s v="Gonzales"/>
    <n v="44.22"/>
    <s v="Prediabetes"/>
    <s v="No"/>
    <s v="No"/>
    <x v="0"/>
    <s v="No major surgery"/>
    <x v="1"/>
    <s v="Obesity"/>
    <s v="Prediabetes"/>
    <m/>
    <m/>
    <m/>
    <m/>
    <m/>
  </r>
  <r>
    <s v="Id1901"/>
    <s v="Newman"/>
    <n v="41.1"/>
    <s v="Prediabetes"/>
    <s v="No"/>
    <s v="No"/>
    <x v="0"/>
    <s v="No major surgery"/>
    <x v="1"/>
    <s v="Obesity"/>
    <s v="Prediabetes"/>
    <m/>
    <m/>
    <m/>
    <m/>
    <m/>
  </r>
  <r>
    <s v="Id1902"/>
    <s v="Sayre"/>
    <n v="34.200000000000003"/>
    <s v="Normal"/>
    <s v="yes"/>
    <s v="No"/>
    <x v="0"/>
    <s v="No major surgery"/>
    <x v="1"/>
    <s v="Obesity"/>
    <s v="Normal"/>
    <m/>
    <m/>
    <m/>
    <m/>
    <m/>
  </r>
  <r>
    <s v="Id1903"/>
    <s v="Panke"/>
    <n v="29.92"/>
    <s v="Prediabetes"/>
    <s v="yes"/>
    <s v="No"/>
    <x v="0"/>
    <s v="No major surgery"/>
    <x v="1"/>
    <e v="#N/A"/>
    <s v="Prediabetes"/>
    <m/>
    <m/>
    <m/>
    <m/>
    <m/>
  </r>
  <r>
    <s v="Id1904"/>
    <s v="Brennan"/>
    <n v="28.93"/>
    <s v="Normal"/>
    <s v="No"/>
    <s v="No"/>
    <x v="0"/>
    <s v="No major surgery"/>
    <x v="1"/>
    <s v="Overweight"/>
    <s v="Normal"/>
    <m/>
    <m/>
    <m/>
    <m/>
    <m/>
  </r>
  <r>
    <s v="Id1905"/>
    <s v="Ngo"/>
    <n v="31.254999999999999"/>
    <s v="Prediabetes"/>
    <s v="yes"/>
    <s v="No"/>
    <x v="0"/>
    <n v="1"/>
    <x v="1"/>
    <s v="Obesity"/>
    <s v="Prediabetes"/>
    <m/>
    <m/>
    <m/>
    <m/>
    <m/>
  </r>
  <r>
    <s v="Id1906"/>
    <s v="Guerdan"/>
    <n v="29.83"/>
    <s v="Normal"/>
    <s v="No"/>
    <s v="No"/>
    <x v="0"/>
    <s v="No major surgery"/>
    <x v="1"/>
    <s v="Overweight"/>
    <s v="Normal"/>
    <m/>
    <m/>
    <m/>
    <m/>
    <m/>
  </r>
  <r>
    <s v="Id1907"/>
    <s v="Shaw"/>
    <n v="29.59"/>
    <s v="Prediabetes"/>
    <s v="No"/>
    <s v="No"/>
    <x v="1"/>
    <n v="1"/>
    <x v="1"/>
    <s v="Overweight"/>
    <s v="Prediabetes"/>
    <m/>
    <m/>
    <m/>
    <m/>
    <m/>
  </r>
  <r>
    <s v="Id1908"/>
    <s v="Mills-Honarvar"/>
    <n v="31.16"/>
    <s v="Normal"/>
    <s v="No"/>
    <s v="No"/>
    <x v="1"/>
    <n v="1"/>
    <x v="1"/>
    <s v="Obesity"/>
    <s v="Normal"/>
    <m/>
    <m/>
    <m/>
    <m/>
    <m/>
  </r>
  <r>
    <s v="Id1909"/>
    <s v="Farvard"/>
    <n v="34.21"/>
    <s v="Normal"/>
    <s v="yes"/>
    <s v="No"/>
    <x v="0"/>
    <n v="1"/>
    <x v="1"/>
    <s v="Obesity"/>
    <s v="Normal"/>
    <m/>
    <m/>
    <m/>
    <m/>
    <m/>
  </r>
  <r>
    <s v="Id1910"/>
    <s v="Kelly"/>
    <n v="34.86"/>
    <s v="Diabetes"/>
    <s v="No"/>
    <s v="No"/>
    <x v="0"/>
    <s v="No major surgery"/>
    <x v="1"/>
    <s v="Obesity"/>
    <s v="Diabetes"/>
    <m/>
    <m/>
    <m/>
    <m/>
    <m/>
  </r>
  <r>
    <s v="Id1911"/>
    <s v="Skinner"/>
    <n v="34.58"/>
    <s v="Normal"/>
    <s v="No"/>
    <s v="yes"/>
    <x v="0"/>
    <n v="2"/>
    <x v="1"/>
    <s v="Obesity"/>
    <s v="Normal"/>
    <m/>
    <m/>
    <m/>
    <m/>
    <m/>
  </r>
  <r>
    <s v="Id1912"/>
    <s v="Murphy"/>
    <n v="17.940000000000001"/>
    <s v="Normal"/>
    <s v="yes"/>
    <s v="No"/>
    <x v="0"/>
    <s v="No major surgery"/>
    <x v="1"/>
    <s v="Underweight"/>
    <s v="Normal"/>
    <m/>
    <m/>
    <m/>
    <m/>
    <m/>
  </r>
  <r>
    <s v="Id1913"/>
    <s v="Shue"/>
    <n v="26.8"/>
    <s v="Prediabetes"/>
    <s v="yes"/>
    <s v="No"/>
    <x v="1"/>
    <n v="1"/>
    <x v="1"/>
    <s v="Overweight"/>
    <s v="Prediabetes"/>
    <m/>
    <m/>
    <m/>
    <m/>
    <m/>
  </r>
  <r>
    <s v="Id1914"/>
    <s v="Reilly"/>
    <n v="17.690000000000001"/>
    <s v="Diabetes"/>
    <s v="yes"/>
    <s v="No"/>
    <x v="0"/>
    <s v="No major surgery"/>
    <x v="1"/>
    <s v="Underweight"/>
    <s v="Diabetes"/>
    <m/>
    <m/>
    <m/>
    <m/>
    <m/>
  </r>
  <r>
    <s v="Id1915"/>
    <s v="Blinn"/>
    <n v="25.77"/>
    <s v="Normal"/>
    <s v="No"/>
    <s v="No"/>
    <x v="1"/>
    <n v="1"/>
    <x v="1"/>
    <s v="Overweight"/>
    <s v="Normal"/>
    <m/>
    <m/>
    <m/>
    <m/>
    <m/>
  </r>
  <r>
    <s v="Id1916"/>
    <s v="Duyn"/>
    <n v="34.46"/>
    <s v="Normal"/>
    <s v="No"/>
    <s v="yes"/>
    <x v="0"/>
    <n v="1"/>
    <x v="1"/>
    <s v="Obesity"/>
    <s v="Normal"/>
    <m/>
    <m/>
    <m/>
    <m/>
    <m/>
  </r>
  <r>
    <s v="Id1917"/>
    <s v="Wardian"/>
    <n v="30.875"/>
    <s v="Normal"/>
    <s v="yes"/>
    <s v="No"/>
    <x v="0"/>
    <s v="No major surgery"/>
    <x v="1"/>
    <s v="Obesity"/>
    <s v="Normal"/>
    <m/>
    <m/>
    <m/>
    <m/>
    <m/>
  </r>
  <r>
    <s v="Id1918"/>
    <s v="Heuninck"/>
    <n v="39.49"/>
    <s v="Normal"/>
    <s v="No"/>
    <s v="No"/>
    <x v="0"/>
    <s v="No major surgery"/>
    <x v="1"/>
    <s v="Obesity"/>
    <s v="Normal"/>
    <m/>
    <m/>
    <m/>
    <m/>
    <m/>
  </r>
  <r>
    <s v="Id1919"/>
    <s v="Kipyego"/>
    <n v="28.88"/>
    <s v="Normal"/>
    <s v="No"/>
    <s v="No"/>
    <x v="0"/>
    <s v="No major surgery"/>
    <x v="1"/>
    <s v="Overweight"/>
    <s v="Normal"/>
    <m/>
    <m/>
    <m/>
    <m/>
    <m/>
  </r>
  <r>
    <s v="Id1920"/>
    <s v="Kuehl"/>
    <n v="20.234999999999999"/>
    <s v="Normal"/>
    <s v="yes"/>
    <s v="No"/>
    <x v="0"/>
    <s v="No major surgery"/>
    <x v="1"/>
    <s v="Normal Weight"/>
    <s v="Normal"/>
    <m/>
    <m/>
    <m/>
    <m/>
    <m/>
  </r>
  <r>
    <s v="Id1921"/>
    <s v="Burkholder"/>
    <n v="30.67"/>
    <s v="Normal"/>
    <s v="yes"/>
    <s v="No"/>
    <x v="0"/>
    <s v="No major surgery"/>
    <x v="1"/>
    <s v="Obesity"/>
    <s v="Normal"/>
    <m/>
    <m/>
    <m/>
    <m/>
    <m/>
  </r>
  <r>
    <s v="Id1922"/>
    <s v="Stadolnik"/>
    <n v="30.875"/>
    <e v="#N/A"/>
    <s v="No"/>
    <s v="No"/>
    <x v="0"/>
    <s v="No major surgery"/>
    <x v="1"/>
    <s v="Obesity"/>
    <e v="#N/A"/>
    <m/>
    <m/>
    <m/>
    <m/>
    <m/>
  </r>
  <r>
    <s v="Id1923"/>
    <s v="Shields"/>
    <n v="23.8"/>
    <s v="Normal"/>
    <s v="No"/>
    <s v="No"/>
    <x v="0"/>
    <s v="No major surgery"/>
    <x v="1"/>
    <s v="Normal Weight"/>
    <s v="Normal"/>
    <m/>
    <m/>
    <m/>
    <m/>
    <m/>
  </r>
  <r>
    <s v="Id1924"/>
    <s v="Margolis"/>
    <n v="15.37"/>
    <s v="Diabetes"/>
    <s v="yes"/>
    <s v="No"/>
    <x v="0"/>
    <s v="No major surgery"/>
    <x v="1"/>
    <s v="Underweight"/>
    <s v="Diabetes"/>
    <m/>
    <m/>
    <m/>
    <m/>
    <m/>
  </r>
  <r>
    <s v="Id1925"/>
    <s v="Uffenbeck"/>
    <n v="30.4"/>
    <s v="Normal"/>
    <s v="No"/>
    <s v="No"/>
    <x v="0"/>
    <s v="No major surgery"/>
    <x v="1"/>
    <s v="Obesity"/>
    <s v="Normal"/>
    <m/>
    <m/>
    <m/>
    <m/>
    <m/>
  </r>
  <r>
    <s v="Id1926"/>
    <s v="Brake"/>
    <n v="19.48"/>
    <s v="Normal"/>
    <s v="yes"/>
    <s v="No"/>
    <x v="0"/>
    <n v="1"/>
    <x v="1"/>
    <s v="Normal Weight"/>
    <s v="Normal"/>
    <m/>
    <m/>
    <m/>
    <m/>
    <m/>
  </r>
  <r>
    <s v="Id1927"/>
    <s v="Stepanova"/>
    <n v="16.96"/>
    <s v="Diabetes"/>
    <s v="yes"/>
    <s v="No"/>
    <x v="0"/>
    <s v="No major surgery"/>
    <x v="1"/>
    <s v="Underweight"/>
    <s v="Diabetes"/>
    <m/>
    <m/>
    <m/>
    <m/>
    <m/>
  </r>
  <r>
    <s v="Id1928"/>
    <s v="Verdi"/>
    <n v="19.05"/>
    <s v="Normal"/>
    <s v="No"/>
    <s v="No"/>
    <x v="0"/>
    <n v="1"/>
    <x v="1"/>
    <s v="Normal Weight"/>
    <s v="Normal"/>
    <m/>
    <m/>
    <m/>
    <m/>
    <m/>
  </r>
  <r>
    <s v="Id1929"/>
    <s v="McLean"/>
    <n v="37.619999999999997"/>
    <s v="Normal"/>
    <s v="No"/>
    <s v="No"/>
    <x v="0"/>
    <s v="No major surgery"/>
    <x v="1"/>
    <s v="Obesity"/>
    <s v="Normal"/>
    <m/>
    <m/>
    <m/>
    <m/>
    <m/>
  </r>
  <r>
    <s v="Id1930"/>
    <s v="Ryan"/>
    <n v="29.1"/>
    <s v="Normal"/>
    <s v="No"/>
    <s v="No"/>
    <x v="0"/>
    <s v="No major surgery"/>
    <x v="1"/>
    <s v="Overweight"/>
    <s v="Normal"/>
    <m/>
    <m/>
    <m/>
    <m/>
    <m/>
  </r>
  <r>
    <s v="Id1931"/>
    <s v="Mickelson"/>
    <n v="26.62"/>
    <s v="Prediabetes"/>
    <s v="No"/>
    <s v="No"/>
    <x v="0"/>
    <s v="No major surgery"/>
    <x v="1"/>
    <s v="Overweight"/>
    <s v="Prediabetes"/>
    <m/>
    <m/>
    <m/>
    <m/>
    <m/>
  </r>
  <r>
    <s v="Id1932"/>
    <s v="Dibaba"/>
    <n v="25.74"/>
    <s v="Prediabetes"/>
    <s v="No"/>
    <s v="No"/>
    <x v="0"/>
    <s v="No major surgery"/>
    <x v="1"/>
    <s v="Overweight"/>
    <s v="Prediabetes"/>
    <m/>
    <m/>
    <m/>
    <m/>
    <m/>
  </r>
  <r>
    <s v="Id1933"/>
    <s v="Shilling"/>
    <n v="18.22"/>
    <s v="Diabetes"/>
    <s v="yes"/>
    <s v="No"/>
    <x v="0"/>
    <n v="1"/>
    <x v="1"/>
    <s v="Underweight"/>
    <s v="Diabetes"/>
    <m/>
    <m/>
    <m/>
    <m/>
    <m/>
  </r>
  <r>
    <s v="Id1934"/>
    <s v="Bashaw"/>
    <n v="26.03"/>
    <s v="Prediabetes"/>
    <s v="No"/>
    <s v="No"/>
    <x v="1"/>
    <n v="1"/>
    <x v="1"/>
    <s v="Overweight"/>
    <s v="Prediabetes"/>
    <m/>
    <m/>
    <m/>
    <m/>
    <m/>
  </r>
  <r>
    <s v="Id1935"/>
    <s v="Jacob"/>
    <n v="17.29"/>
    <s v="Normal"/>
    <s v="No"/>
    <s v="No"/>
    <x v="0"/>
    <s v="No major surgery"/>
    <x v="1"/>
    <s v="Underweight"/>
    <s v="Normal"/>
    <m/>
    <m/>
    <m/>
    <m/>
    <m/>
  </r>
  <r>
    <s v="Id1936"/>
    <s v="McCutcheon"/>
    <n v="18.170000000000002"/>
    <s v="Diabetes"/>
    <s v="yes"/>
    <s v="No"/>
    <x v="0"/>
    <n v="1"/>
    <x v="1"/>
    <s v="Underweight"/>
    <s v="Diabetes"/>
    <m/>
    <m/>
    <m/>
    <m/>
    <m/>
  </r>
  <r>
    <s v="Id1937"/>
    <s v="Connor"/>
    <n v="32.54"/>
    <s v="Prediabetes"/>
    <s v="No"/>
    <s v="yes"/>
    <x v="0"/>
    <n v="1"/>
    <x v="1"/>
    <s v="Obesity"/>
    <s v="Prediabetes"/>
    <m/>
    <m/>
    <m/>
    <m/>
    <m/>
  </r>
  <r>
    <s v="Id1938"/>
    <s v="May"/>
    <n v="30.25"/>
    <s v="Normal"/>
    <s v="No"/>
    <s v="No"/>
    <x v="0"/>
    <s v="No major surgery"/>
    <x v="1"/>
    <s v="Obesity"/>
    <s v="Normal"/>
    <m/>
    <m/>
    <m/>
    <m/>
    <m/>
  </r>
  <r>
    <s v="Id1939"/>
    <s v="Geoghegan"/>
    <n v="19.59"/>
    <s v="Prediabetes"/>
    <s v="yes"/>
    <s v="No"/>
    <x v="0"/>
    <n v="1"/>
    <x v="1"/>
    <s v="Normal Weight"/>
    <s v="Prediabetes"/>
    <m/>
    <m/>
    <m/>
    <m/>
    <m/>
  </r>
  <r>
    <s v="Id1940"/>
    <s v="McGinn"/>
    <n v="45.9"/>
    <s v="Normal"/>
    <s v="yes"/>
    <s v="No"/>
    <x v="0"/>
    <n v="1"/>
    <x v="1"/>
    <s v="Obesity"/>
    <s v="Normal"/>
    <m/>
    <m/>
    <m/>
    <m/>
    <m/>
  </r>
  <r>
    <s v="Id1941"/>
    <s v="Jones"/>
    <n v="17.059999999999999"/>
    <s v="Diabetes"/>
    <s v="yes"/>
    <s v="No"/>
    <x v="0"/>
    <s v="No major surgery"/>
    <x v="1"/>
    <s v="Underweight"/>
    <s v="Diabetes"/>
    <m/>
    <m/>
    <m/>
    <m/>
    <m/>
  </r>
  <r>
    <s v="Id1942"/>
    <s v="Quinteros"/>
    <n v="32.07"/>
    <s v="Normal"/>
    <s v="No"/>
    <s v="No"/>
    <x v="1"/>
    <n v="1"/>
    <x v="1"/>
    <s v="Obesity"/>
    <s v="Normal"/>
    <m/>
    <m/>
    <m/>
    <m/>
    <m/>
  </r>
  <r>
    <s v="Id1943"/>
    <s v="Loenser"/>
    <n v="16.5"/>
    <s v="Normal"/>
    <s v="No"/>
    <s v="No"/>
    <x v="0"/>
    <n v="1"/>
    <x v="1"/>
    <s v="Underweight"/>
    <s v="Normal"/>
    <m/>
    <m/>
    <m/>
    <m/>
    <m/>
  </r>
  <r>
    <s v="Id1944"/>
    <s v="Aitken"/>
    <n v="31.4"/>
    <s v="Prediabetes"/>
    <s v="No"/>
    <s v="No"/>
    <x v="0"/>
    <n v="1"/>
    <x v="1"/>
    <s v="Obesity"/>
    <s v="Prediabetes"/>
    <m/>
    <m/>
    <m/>
    <m/>
    <m/>
  </r>
  <r>
    <s v="Id1945"/>
    <s v="Furrer"/>
    <n v="20.36"/>
    <s v="Normal"/>
    <s v="No"/>
    <s v="No"/>
    <x v="0"/>
    <s v="No major surgery"/>
    <x v="1"/>
    <s v="Normal Weight"/>
    <s v="Normal"/>
    <m/>
    <m/>
    <m/>
    <m/>
    <m/>
  </r>
  <r>
    <s v="Id1946"/>
    <s v="Konigs"/>
    <n v="25.46"/>
    <s v="Normal"/>
    <s v="No"/>
    <s v="No"/>
    <x v="0"/>
    <n v="1"/>
    <x v="1"/>
    <s v="Overweight"/>
    <s v="Normal"/>
    <m/>
    <m/>
    <m/>
    <m/>
    <m/>
  </r>
  <r>
    <s v="Id1947"/>
    <s v="Tesdahl"/>
    <n v="17.09"/>
    <s v="Prediabetes"/>
    <s v="yes"/>
    <s v="No"/>
    <x v="0"/>
    <s v="No major surgery"/>
    <x v="1"/>
    <s v="Underweight"/>
    <s v="Prediabetes"/>
    <m/>
    <m/>
    <m/>
    <m/>
    <m/>
  </r>
  <r>
    <s v="Id1948"/>
    <s v="Engel"/>
    <n v="20.83"/>
    <s v="Normal"/>
    <s v="No"/>
    <s v="No"/>
    <x v="0"/>
    <s v="No major surgery"/>
    <x v="1"/>
    <s v="Normal Weight"/>
    <s v="Normal"/>
    <m/>
    <m/>
    <m/>
    <m/>
    <m/>
  </r>
  <r>
    <s v="Id1949"/>
    <s v="Kuck"/>
    <n v="18.920000000000002"/>
    <s v="Prediabetes"/>
    <s v="yes"/>
    <s v="No"/>
    <x v="0"/>
    <n v="1"/>
    <x v="1"/>
    <s v="Normal Weight"/>
    <s v="Prediabetes"/>
    <m/>
    <m/>
    <m/>
    <m/>
    <m/>
  </r>
  <r>
    <s v="Id1950"/>
    <s v="Dillon"/>
    <n v="37.1"/>
    <s v="Normal"/>
    <s v="No"/>
    <s v="No"/>
    <x v="0"/>
    <s v="No major surgery"/>
    <x v="1"/>
    <s v="Obesity"/>
    <s v="Normal"/>
    <m/>
    <m/>
    <m/>
    <m/>
    <m/>
  </r>
  <r>
    <s v="Id1951"/>
    <s v="Neuschel"/>
    <n v="22.515000000000001"/>
    <s v="Normal"/>
    <s v="yes"/>
    <s v="No"/>
    <x v="1"/>
    <n v="1"/>
    <x v="1"/>
    <s v="Normal Weight"/>
    <s v="Normal"/>
    <m/>
    <m/>
    <m/>
    <m/>
    <m/>
  </r>
  <r>
    <s v="Id1952"/>
    <s v="Rosales Ramirez"/>
    <n v="32.700000000000003"/>
    <s v="Normal"/>
    <s v="No"/>
    <s v="No"/>
    <x v="0"/>
    <s v="No major surgery"/>
    <x v="1"/>
    <s v="Obesity"/>
    <s v="Normal"/>
    <m/>
    <m/>
    <m/>
    <m/>
    <m/>
  </r>
  <r>
    <s v="Id1953"/>
    <s v="Marquez"/>
    <n v="17.75"/>
    <s v="Diabetes"/>
    <s v="yes"/>
    <s v="No"/>
    <x v="0"/>
    <n v="1"/>
    <x v="1"/>
    <s v="Underweight"/>
    <s v="Diabetes"/>
    <m/>
    <m/>
    <m/>
    <m/>
    <m/>
  </r>
  <r>
    <s v="Id1954"/>
    <s v="Green"/>
    <n v="33.630000000000003"/>
    <s v="Normal"/>
    <s v="yes"/>
    <s v="No"/>
    <x v="0"/>
    <s v="No major surgery"/>
    <x v="1"/>
    <s v="Obesity"/>
    <s v="Normal"/>
    <m/>
    <m/>
    <m/>
    <m/>
    <m/>
  </r>
  <r>
    <s v="Id1955"/>
    <s v="Schubel"/>
    <n v="34.799999999999997"/>
    <s v="Normal"/>
    <s v="yes"/>
    <s v="No"/>
    <x v="0"/>
    <n v="1"/>
    <x v="1"/>
    <s v="Obesity"/>
    <s v="Normal"/>
    <m/>
    <m/>
    <m/>
    <m/>
    <m/>
  </r>
  <r>
    <s v="Id1956"/>
    <s v="Jimenez"/>
    <n v="16.809999999999999"/>
    <s v="Normal"/>
    <s v="yes"/>
    <s v="No"/>
    <x v="0"/>
    <n v="1"/>
    <x v="1"/>
    <s v="Underweight"/>
    <s v="Normal"/>
    <m/>
    <m/>
    <m/>
    <m/>
    <m/>
  </r>
  <r>
    <s v="Id1957"/>
    <s v="Zimny-Schmitt"/>
    <n v="16.690000000000001"/>
    <s v="Diabetes"/>
    <s v="yes"/>
    <s v="No"/>
    <x v="0"/>
    <s v="No major surgery"/>
    <x v="1"/>
    <s v="Underweight"/>
    <s v="Diabetes"/>
    <m/>
    <m/>
    <m/>
    <m/>
    <m/>
  </r>
  <r>
    <s v="Id1958"/>
    <s v="Hill"/>
    <n v="23.21"/>
    <s v="Normal"/>
    <s v="yes"/>
    <s v="No"/>
    <x v="0"/>
    <n v="1"/>
    <x v="1"/>
    <s v="Normal Weight"/>
    <s v="Normal"/>
    <m/>
    <m/>
    <m/>
    <m/>
    <m/>
  </r>
  <r>
    <s v="Id1959"/>
    <s v="Brohart"/>
    <n v="25.175000000000001"/>
    <s v="Normal"/>
    <s v="yes"/>
    <s v="No"/>
    <x v="0"/>
    <n v="1"/>
    <x v="1"/>
    <s v="Overweight"/>
    <s v="Normal"/>
    <m/>
    <m/>
    <m/>
    <m/>
    <m/>
  </r>
  <r>
    <s v="Id1960"/>
    <s v="Ryan"/>
    <n v="34.770000000000003"/>
    <s v="Prediabetes"/>
    <s v="No"/>
    <s v="No"/>
    <x v="0"/>
    <s v="No major surgery"/>
    <x v="1"/>
    <s v="Obesity"/>
    <s v="Prediabetes"/>
    <m/>
    <m/>
    <m/>
    <m/>
    <m/>
  </r>
  <r>
    <s v="Id1961"/>
    <s v="Oka"/>
    <n v="27.7"/>
    <s v="Normal"/>
    <s v="No"/>
    <s v="No"/>
    <x v="0"/>
    <n v="1"/>
    <x v="1"/>
    <s v="Overweight"/>
    <s v="Normal"/>
    <m/>
    <m/>
    <m/>
    <m/>
    <m/>
  </r>
  <r>
    <s v="Id1962"/>
    <s v="Newman"/>
    <n v="19.12"/>
    <s v="Normal"/>
    <s v="yes"/>
    <s v="No"/>
    <x v="0"/>
    <n v="1"/>
    <x v="1"/>
    <s v="Normal Weight"/>
    <s v="Normal"/>
    <m/>
    <m/>
    <m/>
    <m/>
    <m/>
  </r>
  <r>
    <s v="Id1963"/>
    <s v="Metzger"/>
    <n v="32.67"/>
    <s v="Normal"/>
    <s v="No"/>
    <s v="No"/>
    <x v="1"/>
    <n v="1"/>
    <x v="1"/>
    <s v="Obesity"/>
    <s v="Normal"/>
    <m/>
    <m/>
    <m/>
    <m/>
    <m/>
  </r>
  <r>
    <s v="Id1964"/>
    <s v="Gonzalez"/>
    <n v="28.5"/>
    <s v="Prediabetes"/>
    <s v="No"/>
    <s v="No"/>
    <x v="0"/>
    <n v="1"/>
    <x v="1"/>
    <s v="Overweight"/>
    <s v="Prediabetes"/>
    <m/>
    <m/>
    <m/>
    <m/>
    <m/>
  </r>
  <r>
    <s v="Id1965"/>
    <s v="Vaughn"/>
    <n v="39.270000000000003"/>
    <s v="Prediabetes"/>
    <s v="No"/>
    <s v="No"/>
    <x v="0"/>
    <s v="No major surgery"/>
    <x v="1"/>
    <s v="Obesity"/>
    <s v="Prediabetes"/>
    <m/>
    <m/>
    <m/>
    <m/>
    <m/>
  </r>
  <r>
    <s v="Id1966"/>
    <s v="Clifford"/>
    <n v="32.49"/>
    <s v="Normal"/>
    <s v="yes"/>
    <s v="No"/>
    <x v="0"/>
    <s v="No major surgery"/>
    <x v="1"/>
    <s v="Obesity"/>
    <s v="Normal"/>
    <m/>
    <m/>
    <m/>
    <m/>
    <m/>
  </r>
  <r>
    <s v="Id1967"/>
    <s v="Petty"/>
    <n v="23.7"/>
    <s v="Normal"/>
    <s v="yes"/>
    <s v="No"/>
    <x v="0"/>
    <s v="No major surgery"/>
    <x v="1"/>
    <s v="Normal Weight"/>
    <s v="Normal"/>
    <m/>
    <m/>
    <m/>
    <m/>
    <m/>
  </r>
  <r>
    <s v="Id1968"/>
    <s v="Sanford"/>
    <n v="30.4"/>
    <s v="Prediabetes"/>
    <s v="No"/>
    <s v="yes"/>
    <x v="0"/>
    <n v="1"/>
    <x v="1"/>
    <s v="Obesity"/>
    <s v="Prediabetes"/>
    <m/>
    <m/>
    <m/>
    <m/>
    <m/>
  </r>
  <r>
    <s v="Id1969"/>
    <s v="Sprague"/>
    <n v="38.94"/>
    <s v="Normal"/>
    <s v="No"/>
    <s v="No"/>
    <x v="1"/>
    <n v="1"/>
    <x v="1"/>
    <s v="Obesity"/>
    <s v="Normal"/>
    <m/>
    <m/>
    <m/>
    <m/>
    <m/>
  </r>
  <r>
    <s v="Id1970"/>
    <s v="Lasseron"/>
    <n v="31.02"/>
    <s v="Normal"/>
    <s v="No"/>
    <s v="No"/>
    <x v="1"/>
    <n v="1"/>
    <x v="1"/>
    <s v="Obesity"/>
    <s v="Normal"/>
    <m/>
    <m/>
    <m/>
    <m/>
    <m/>
  </r>
  <r>
    <s v="Id1971"/>
    <s v="Bushong"/>
    <n v="17.5"/>
    <s v="Normal"/>
    <s v="No"/>
    <s v="No"/>
    <x v="0"/>
    <n v="1"/>
    <x v="1"/>
    <s v="Underweight"/>
    <s v="Normal"/>
    <m/>
    <m/>
    <m/>
    <m/>
    <m/>
  </r>
  <r>
    <s v="Id1972"/>
    <s v="Dennison"/>
    <n v="34.799999999999997"/>
    <s v="Normal"/>
    <s v="yes"/>
    <s v="yes"/>
    <x v="0"/>
    <n v="2"/>
    <x v="1"/>
    <s v="Obesity"/>
    <s v="Normal"/>
    <m/>
    <m/>
    <m/>
    <m/>
    <m/>
  </r>
  <r>
    <s v="Id1973"/>
    <s v="Lira"/>
    <n v="17.3"/>
    <s v="Diabetes"/>
    <s v="yes"/>
    <s v="No"/>
    <x v="0"/>
    <n v="1"/>
    <x v="1"/>
    <s v="Underweight"/>
    <s v="Diabetes"/>
    <m/>
    <m/>
    <m/>
    <m/>
    <m/>
  </r>
  <r>
    <s v="Id1974"/>
    <s v="Nahigian"/>
    <n v="32.25"/>
    <s v="Normal"/>
    <s v="yes"/>
    <s v="No"/>
    <x v="0"/>
    <s v="No major surgery"/>
    <x v="1"/>
    <s v="Obesity"/>
    <s v="Normal"/>
    <m/>
    <m/>
    <m/>
    <m/>
    <m/>
  </r>
  <r>
    <s v="Id1975"/>
    <s v="Cackett"/>
    <n v="42.4"/>
    <s v="Normal"/>
    <s v="yes"/>
    <s v="No"/>
    <x v="0"/>
    <s v="No major surgery"/>
    <x v="1"/>
    <s v="Obesity"/>
    <s v="Normal"/>
    <m/>
    <m/>
    <m/>
    <m/>
    <m/>
  </r>
  <r>
    <s v="Id1976"/>
    <s v="Hunter-Galvan"/>
    <n v="38.664999999999999"/>
    <s v="Normal"/>
    <s v="No"/>
    <s v="yes"/>
    <x v="0"/>
    <n v="1"/>
    <x v="1"/>
    <s v="Obesity"/>
    <s v="Normal"/>
    <m/>
    <m/>
    <m/>
    <m/>
    <m/>
  </r>
  <r>
    <s v="Id1977"/>
    <s v="Pierret"/>
    <n v="29.92"/>
    <s v="Normal"/>
    <s v="yes"/>
    <s v="No"/>
    <x v="0"/>
    <s v="No major surgery"/>
    <x v="1"/>
    <e v="#N/A"/>
    <s v="Normal"/>
    <m/>
    <m/>
    <m/>
    <m/>
    <m/>
  </r>
  <r>
    <s v="Id1978"/>
    <s v="White"/>
    <n v="29.48"/>
    <s v="Normal"/>
    <s v="yes"/>
    <s v="No"/>
    <x v="0"/>
    <s v="No major surgery"/>
    <x v="1"/>
    <s v="Overweight"/>
    <s v="Normal"/>
    <m/>
    <m/>
    <m/>
    <m/>
    <m/>
  </r>
  <r>
    <s v="Id1979"/>
    <s v="O'Neil"/>
    <n v="28.785"/>
    <s v="Normal"/>
    <s v="yes"/>
    <s v="No"/>
    <x v="0"/>
    <s v="No major surgery"/>
    <x v="1"/>
    <s v="Overweight"/>
    <s v="Normal"/>
    <m/>
    <m/>
    <m/>
    <m/>
    <m/>
  </r>
  <r>
    <s v="Id1980"/>
    <s v="Leitz"/>
    <n v="19.8"/>
    <s v="Normal"/>
    <s v="yes"/>
    <s v="No"/>
    <x v="0"/>
    <s v="No major surgery"/>
    <x v="1"/>
    <s v="Normal Weight"/>
    <s v="Normal"/>
    <m/>
    <m/>
    <m/>
    <m/>
    <m/>
  </r>
  <r>
    <s v="Id1981"/>
    <s v="Durfee"/>
    <n v="35.53"/>
    <s v="Normal"/>
    <s v="No"/>
    <s v="No"/>
    <x v="1"/>
    <n v="1"/>
    <x v="1"/>
    <s v="Obesity"/>
    <s v="Normal"/>
    <m/>
    <m/>
    <m/>
    <m/>
    <m/>
  </r>
  <r>
    <s v="Id1982"/>
    <s v="Maylone"/>
    <n v="21.47"/>
    <s v="Normal"/>
    <s v="yes"/>
    <s v="No"/>
    <x v="0"/>
    <n v="1"/>
    <x v="1"/>
    <s v="Normal Weight"/>
    <s v="Normal"/>
    <m/>
    <m/>
    <m/>
    <m/>
    <m/>
  </r>
  <r>
    <s v="Id1983"/>
    <s v="Reiland"/>
    <n v="25.9"/>
    <s v="Normal"/>
    <s v="No"/>
    <s v="No"/>
    <x v="1"/>
    <n v="1"/>
    <x v="1"/>
    <s v="Overweight"/>
    <s v="Normal"/>
    <m/>
    <m/>
    <m/>
    <m/>
    <m/>
  </r>
  <r>
    <s v="Id1984"/>
    <s v="Hu"/>
    <n v="20.81"/>
    <s v="Normal"/>
    <s v="No"/>
    <s v="No"/>
    <x v="0"/>
    <s v="No major surgery"/>
    <x v="1"/>
    <s v="Normal Weight"/>
    <s v="Normal"/>
    <m/>
    <m/>
    <m/>
    <m/>
    <m/>
  </r>
  <r>
    <s v="Id1985"/>
    <s v="Lessek"/>
    <n v="25.84"/>
    <s v="Prediabetes"/>
    <s v="yes"/>
    <s v="No"/>
    <x v="1"/>
    <n v="1"/>
    <x v="1"/>
    <s v="Overweight"/>
    <s v="Prediabetes"/>
    <m/>
    <m/>
    <m/>
    <m/>
    <m/>
  </r>
  <r>
    <s v="Id1986"/>
    <s v="Colavincenzo"/>
    <n v="30.95"/>
    <s v="Normal"/>
    <s v="No"/>
    <s v="No"/>
    <x v="1"/>
    <n v="1"/>
    <x v="1"/>
    <s v="Obesity"/>
    <s v="Normal"/>
    <m/>
    <m/>
    <m/>
    <m/>
    <m/>
  </r>
  <r>
    <s v="Id1987"/>
    <s v="Mendez-Karr"/>
    <n v="30.54"/>
    <s v="Normal"/>
    <s v="No"/>
    <s v="No"/>
    <x v="1"/>
    <n v="1"/>
    <x v="1"/>
    <s v="Obesity"/>
    <s v="Normal"/>
    <m/>
    <m/>
    <m/>
    <m/>
    <m/>
  </r>
  <r>
    <s v="Id1988"/>
    <s v="Saulnier"/>
    <n v="33.914999999999999"/>
    <s v="Prediabetes"/>
    <s v="yes"/>
    <s v="No"/>
    <x v="0"/>
    <s v="No major surgery"/>
    <x v="1"/>
    <s v="Obesity"/>
    <s v="Prediabetes"/>
    <m/>
    <m/>
    <m/>
    <m/>
    <m/>
  </r>
  <r>
    <s v="Id1989"/>
    <s v="Schoonover"/>
    <n v="33.31"/>
    <s v="Normal"/>
    <s v="No"/>
    <s v="No"/>
    <x v="1"/>
    <n v="1"/>
    <x v="1"/>
    <s v="Obesity"/>
    <s v="Normal"/>
    <m/>
    <m/>
    <m/>
    <m/>
    <m/>
  </r>
  <r>
    <s v="Id1990"/>
    <s v="Hass"/>
    <n v="25.745000000000001"/>
    <s v="Normal"/>
    <s v="yes"/>
    <s v="No"/>
    <x v="0"/>
    <s v="No major surgery"/>
    <x v="1"/>
    <s v="Overweight"/>
    <s v="Normal"/>
    <m/>
    <m/>
    <m/>
    <m/>
    <m/>
  </r>
  <r>
    <s v="Id1991"/>
    <s v="Cadotte"/>
    <n v="37.1"/>
    <s v="Prediabetes"/>
    <s v="No"/>
    <s v="No"/>
    <x v="0"/>
    <s v="No major surgery"/>
    <x v="1"/>
    <s v="Obesity"/>
    <s v="Prediabetes"/>
    <m/>
    <m/>
    <m/>
    <m/>
    <m/>
  </r>
  <r>
    <s v="Id1992"/>
    <s v="Cacciapaglia"/>
    <n v="35.435000000000002"/>
    <s v="Prediabetes"/>
    <s v="No"/>
    <s v="No"/>
    <x v="0"/>
    <s v="No major surgery"/>
    <x v="1"/>
    <s v="Obesity"/>
    <s v="Prediabetes"/>
    <m/>
    <m/>
    <m/>
    <m/>
    <m/>
  </r>
  <r>
    <s v="Id1993"/>
    <s v="Mininger"/>
    <n v="20.399999999999999"/>
    <s v="Normal"/>
    <s v="No"/>
    <s v="No"/>
    <x v="0"/>
    <s v="No major surgery"/>
    <x v="1"/>
    <s v="Normal Weight"/>
    <s v="Normal"/>
    <m/>
    <m/>
    <m/>
    <m/>
    <m/>
  </r>
  <r>
    <s v="Id1994"/>
    <s v="Mayo"/>
    <n v="42.13"/>
    <s v="Prediabetes"/>
    <s v="yes"/>
    <s v="No"/>
    <x v="1"/>
    <n v="1"/>
    <x v="1"/>
    <s v="Obesity"/>
    <s v="Prediabetes"/>
    <m/>
    <m/>
    <m/>
    <m/>
    <m/>
  </r>
  <r>
    <s v="Id1995"/>
    <s v="Zicko"/>
    <n v="33.99"/>
    <s v="Normal"/>
    <s v="yes"/>
    <s v="No"/>
    <x v="1"/>
    <n v="1"/>
    <x v="1"/>
    <s v="Obesity"/>
    <s v="Normal"/>
    <m/>
    <m/>
    <m/>
    <m/>
    <m/>
  </r>
  <r>
    <s v="Id1996"/>
    <s v="Graham"/>
    <n v="28.594999999999999"/>
    <s v="Normal"/>
    <s v="yes"/>
    <s v="No"/>
    <x v="1"/>
    <n v="1"/>
    <x v="1"/>
    <s v="Overweight"/>
    <s v="Normal"/>
    <m/>
    <m/>
    <m/>
    <m/>
    <m/>
  </r>
  <r>
    <s v="Id1997"/>
    <s v="Boland"/>
    <n v="20.8"/>
    <s v="Normal"/>
    <s v="yes"/>
    <s v="No"/>
    <x v="1"/>
    <n v="1"/>
    <x v="1"/>
    <s v="Normal Weight"/>
    <s v="Normal"/>
    <m/>
    <m/>
    <m/>
    <m/>
    <m/>
  </r>
  <r>
    <s v="Id1998"/>
    <s v="Cupp"/>
    <n v="23.465"/>
    <s v="Prediabetes"/>
    <s v="yes"/>
    <s v="No"/>
    <x v="1"/>
    <n v="1"/>
    <x v="1"/>
    <s v="Normal Weight"/>
    <s v="Prediabetes"/>
    <m/>
    <m/>
    <m/>
    <m/>
    <m/>
  </r>
  <r>
    <s v="Id1999"/>
    <s v="Shaw"/>
    <n v="40.185000000000002"/>
    <s v="Prediabetes"/>
    <s v="yes"/>
    <s v="No"/>
    <x v="0"/>
    <s v="No major surgery"/>
    <x v="1"/>
    <s v="Obesity"/>
    <s v="Prediabetes"/>
    <m/>
    <m/>
    <m/>
    <m/>
    <m/>
  </r>
  <r>
    <s v="Id2000"/>
    <s v="Klassen"/>
    <n v="21.89"/>
    <s v="Prediabetes"/>
    <s v="yes"/>
    <s v="No"/>
    <x v="0"/>
    <s v="No major surgery"/>
    <x v="1"/>
    <s v="Normal Weight"/>
    <s v="Prediabetes"/>
    <m/>
    <m/>
    <m/>
    <m/>
    <m/>
  </r>
  <r>
    <s v="Id2001"/>
    <s v="Musal"/>
    <n v="29.34"/>
    <s v="Prediabetes"/>
    <s v="yes"/>
    <s v="yes"/>
    <x v="0"/>
    <n v="2"/>
    <x v="1"/>
    <s v="Overweight"/>
    <s v="Prediabetes"/>
    <m/>
    <m/>
    <m/>
    <m/>
    <m/>
  </r>
  <r>
    <s v="Id2002"/>
    <s v="Kitayama"/>
    <n v="22.61"/>
    <s v="Normal"/>
    <s v="yes"/>
    <s v="No"/>
    <x v="0"/>
    <s v="No major surgery"/>
    <x v="1"/>
    <s v="Normal Weight"/>
    <s v="Normal"/>
    <m/>
    <m/>
    <m/>
    <m/>
    <m/>
  </r>
  <r>
    <s v="Id2003"/>
    <s v="Altman"/>
    <n v="22.23"/>
    <s v="Prediabetes"/>
    <s v="yes"/>
    <s v="No"/>
    <x v="0"/>
    <s v="No major surgery"/>
    <x v="1"/>
    <s v="Normal Weight"/>
    <s v="Prediabetes"/>
    <m/>
    <m/>
    <m/>
    <m/>
    <m/>
  </r>
  <r>
    <s v="Id2004"/>
    <s v="Demchko"/>
    <n v="33.4"/>
    <s v="Normal"/>
    <s v="No"/>
    <s v="No"/>
    <x v="0"/>
    <s v="No major surgery"/>
    <x v="1"/>
    <s v="Obesity"/>
    <s v="Normal"/>
    <m/>
    <m/>
    <m/>
    <m/>
    <m/>
  </r>
  <r>
    <s v="Id2005"/>
    <s v="Wild"/>
    <n v="33.11"/>
    <s v="Normal"/>
    <s v="No"/>
    <s v="No"/>
    <x v="0"/>
    <s v="No major surgery"/>
    <x v="1"/>
    <s v="Obesity"/>
    <s v="Normal"/>
    <m/>
    <m/>
    <m/>
    <m/>
    <m/>
  </r>
  <r>
    <s v="Id2006"/>
    <s v="Betts"/>
    <n v="16.815000000000001"/>
    <s v="Normal"/>
    <s v="yes"/>
    <s v="No"/>
    <x v="0"/>
    <s v="No major surgery"/>
    <x v="1"/>
    <s v="Underweight"/>
    <s v="Normal"/>
    <m/>
    <m/>
    <m/>
    <m/>
    <m/>
  </r>
  <r>
    <s v="Id2007"/>
    <s v="Martin"/>
    <n v="25.61"/>
    <s v="Normal"/>
    <s v="No"/>
    <s v="No"/>
    <x v="1"/>
    <n v="1"/>
    <x v="1"/>
    <s v="Overweight"/>
    <s v="Normal"/>
    <m/>
    <m/>
    <m/>
    <m/>
    <m/>
  </r>
  <r>
    <s v="Id2008"/>
    <s v="Vandeventer"/>
    <n v="25.8"/>
    <s v="Normal"/>
    <s v="No"/>
    <s v="No"/>
    <x v="0"/>
    <s v="No major surgery"/>
    <x v="1"/>
    <s v="Overweight"/>
    <s v="Normal"/>
    <m/>
    <m/>
    <m/>
    <m/>
    <m/>
  </r>
  <r>
    <s v="Id2009"/>
    <s v="Hirano"/>
    <n v="27.39"/>
    <s v="Normal"/>
    <s v="No"/>
    <s v="No"/>
    <x v="0"/>
    <s v="No major surgery"/>
    <x v="1"/>
    <s v="Overweight"/>
    <s v="Normal"/>
    <m/>
    <m/>
    <m/>
    <m/>
    <m/>
  </r>
  <r>
    <s v="Id2010"/>
    <s v="Davi"/>
    <n v="17.03"/>
    <s v="Normal"/>
    <s v="No"/>
    <s v="No"/>
    <x v="0"/>
    <n v="1"/>
    <x v="1"/>
    <s v="Underweight"/>
    <s v="Normal"/>
    <m/>
    <m/>
    <m/>
    <m/>
    <m/>
  </r>
  <r>
    <s v="Id2011"/>
    <s v="Sloan"/>
    <n v="23.75"/>
    <s v="Normal"/>
    <s v="yes"/>
    <s v="No"/>
    <x v="0"/>
    <s v="No major surgery"/>
    <x v="1"/>
    <s v="Normal Weight"/>
    <s v="Normal"/>
    <m/>
    <m/>
    <m/>
    <m/>
    <m/>
  </r>
  <r>
    <s v="Id2012"/>
    <s v="Homich"/>
    <n v="26.03"/>
    <s v="Normal"/>
    <s v="yes"/>
    <s v="No"/>
    <x v="0"/>
    <n v="1"/>
    <x v="1"/>
    <s v="Overweight"/>
    <s v="Normal"/>
    <m/>
    <m/>
    <m/>
    <m/>
    <m/>
  </r>
  <r>
    <s v="Id2013"/>
    <s v="Bell"/>
    <n v="16.079999999999998"/>
    <s v="Prediabetes"/>
    <s v="No"/>
    <s v="No"/>
    <x v="0"/>
    <s v="No major surgery"/>
    <x v="1"/>
    <s v="Underweight"/>
    <s v="Prediabetes"/>
    <m/>
    <m/>
    <m/>
    <m/>
    <m/>
  </r>
  <r>
    <s v="Id2014"/>
    <s v="Kristjansson"/>
    <n v="30.875"/>
    <s v="Normal"/>
    <s v="No"/>
    <s v="No"/>
    <x v="0"/>
    <s v="No major surgery"/>
    <x v="1"/>
    <s v="Obesity"/>
    <s v="Normal"/>
    <m/>
    <m/>
    <m/>
    <m/>
    <m/>
  </r>
  <r>
    <s v="Id2015"/>
    <s v="Pitman"/>
    <n v="31.79"/>
    <s v="Diabetes"/>
    <s v="No"/>
    <s v="No"/>
    <x v="0"/>
    <s v="No major surgery"/>
    <x v="1"/>
    <s v="Obesity"/>
    <s v="Diabetes"/>
    <m/>
    <m/>
    <m/>
    <m/>
    <m/>
  </r>
  <r>
    <s v="Id2016"/>
    <s v="Curley"/>
    <n v="28.48"/>
    <s v="Prediabetes"/>
    <s v="yes"/>
    <s v="No"/>
    <x v="1"/>
    <n v="1"/>
    <x v="1"/>
    <s v="Overweight"/>
    <s v="Prediabetes"/>
    <m/>
    <m/>
    <m/>
    <m/>
    <m/>
  </r>
  <r>
    <s v="Id2017"/>
    <s v="Zimmer"/>
    <n v="26.6"/>
    <s v="Normal"/>
    <s v="No"/>
    <s v="No"/>
    <x v="0"/>
    <n v="1"/>
    <x v="1"/>
    <s v="Overweight"/>
    <s v="Normal"/>
    <m/>
    <m/>
    <m/>
    <m/>
    <m/>
  </r>
  <r>
    <s v="Id2018"/>
    <s v="Granski"/>
    <n v="25.27"/>
    <s v="Prediabetes"/>
    <s v="No"/>
    <s v="No"/>
    <x v="0"/>
    <n v="1"/>
    <x v="1"/>
    <s v="Overweight"/>
    <s v="Prediabetes"/>
    <m/>
    <m/>
    <m/>
    <m/>
    <m/>
  </r>
  <r>
    <s v="Id2019"/>
    <s v="Dunn"/>
    <n v="34.484999999999999"/>
    <s v="Normal"/>
    <s v="yes"/>
    <s v="No"/>
    <x v="1"/>
    <n v="1"/>
    <x v="1"/>
    <s v="Obesity"/>
    <s v="Normal"/>
    <m/>
    <m/>
    <m/>
    <m/>
    <m/>
  </r>
  <r>
    <s v="Id2020"/>
    <s v="Regina"/>
    <n v="15.57"/>
    <s v="Normal"/>
    <s v="yes"/>
    <s v="No"/>
    <x v="0"/>
    <n v="1"/>
    <x v="1"/>
    <s v="Underweight"/>
    <s v="Normal"/>
    <m/>
    <m/>
    <m/>
    <m/>
    <m/>
  </r>
  <r>
    <s v="Id2021"/>
    <s v="O'Connor"/>
    <n v="30.36"/>
    <s v="Diabetes"/>
    <s v="No"/>
    <s v="No"/>
    <x v="0"/>
    <s v="No major surgery"/>
    <x v="1"/>
    <s v="Obesity"/>
    <s v="Diabetes"/>
    <m/>
    <m/>
    <m/>
    <m/>
    <m/>
  </r>
  <r>
    <s v="Id2022"/>
    <s v="Howe"/>
    <n v="19.37"/>
    <s v="Normal"/>
    <s v="No"/>
    <s v="No"/>
    <x v="0"/>
    <s v="No major surgery"/>
    <x v="1"/>
    <s v="Normal Weight"/>
    <s v="Normal"/>
    <m/>
    <m/>
    <m/>
    <m/>
    <m/>
  </r>
  <r>
    <s v="Id2023"/>
    <s v="Atwater"/>
    <n v="16.71"/>
    <s v="Normal"/>
    <s v="No"/>
    <s v="No"/>
    <x v="0"/>
    <n v="1"/>
    <x v="1"/>
    <s v="Underweight"/>
    <s v="Normal"/>
    <m/>
    <m/>
    <m/>
    <m/>
    <m/>
  </r>
  <r>
    <s v="Id2024"/>
    <s v="Gurganus"/>
    <n v="24.1"/>
    <s v="Normal"/>
    <s v="yes"/>
    <s v="No"/>
    <x v="0"/>
    <n v="1"/>
    <x v="1"/>
    <s v="Normal Weight"/>
    <s v="Normal"/>
    <m/>
    <m/>
    <m/>
    <m/>
    <m/>
  </r>
  <r>
    <s v="Id2025"/>
    <s v="Holden"/>
    <n v="29.77"/>
    <s v="Diabetes"/>
    <s v="No"/>
    <s v="No"/>
    <x v="0"/>
    <s v="No major surgery"/>
    <x v="1"/>
    <s v="Overweight"/>
    <s v="Diabetes"/>
    <m/>
    <m/>
    <m/>
    <m/>
    <m/>
  </r>
  <r>
    <s v="Id2026"/>
    <s v="Parton"/>
    <n v="46.53"/>
    <s v="Normal"/>
    <s v="yes"/>
    <s v="No"/>
    <x v="0"/>
    <s v="No major surgery"/>
    <x v="1"/>
    <s v="Obesity"/>
    <s v="Normal"/>
    <m/>
    <m/>
    <m/>
    <m/>
    <m/>
  </r>
  <r>
    <s v="Id2027"/>
    <s v="Downs"/>
    <n v="23.4"/>
    <s v="Normal"/>
    <s v="No"/>
    <s v="No"/>
    <x v="1"/>
    <n v="1"/>
    <x v="1"/>
    <s v="Normal Weight"/>
    <s v="Normal"/>
    <m/>
    <m/>
    <m/>
    <m/>
    <m/>
  </r>
  <r>
    <s v="Id2028"/>
    <s v="Dent"/>
    <n v="30"/>
    <s v="Normal"/>
    <s v="yes"/>
    <s v="No"/>
    <x v="0"/>
    <s v="No major surgery"/>
    <x v="1"/>
    <s v="Obesity"/>
    <s v="Normal"/>
    <m/>
    <m/>
    <m/>
    <m/>
    <m/>
  </r>
  <r>
    <s v="Id2029"/>
    <s v="Ranti"/>
    <n v="29.15"/>
    <s v="Normal"/>
    <s v="yes"/>
    <s v="No"/>
    <x v="0"/>
    <s v="No major surgery"/>
    <x v="1"/>
    <s v="Overweight"/>
    <s v="Normal"/>
    <m/>
    <m/>
    <m/>
    <m/>
    <m/>
  </r>
  <r>
    <s v="Id2030"/>
    <s v="Ishaq"/>
    <n v="34.865000000000002"/>
    <s v="Normal"/>
    <s v="No"/>
    <s v="No"/>
    <x v="0"/>
    <s v="No major surgery"/>
    <x v="1"/>
    <s v="Obesity"/>
    <s v="Normal"/>
    <m/>
    <m/>
    <m/>
    <m/>
    <m/>
  </r>
  <r>
    <s v="Id2031"/>
    <s v="Wiles"/>
    <n v="28.12"/>
    <s v="Normal"/>
    <s v="yes"/>
    <s v="yes"/>
    <x v="0"/>
    <n v="2"/>
    <x v="1"/>
    <s v="Overweight"/>
    <s v="Normal"/>
    <m/>
    <m/>
    <m/>
    <m/>
    <m/>
  </r>
  <r>
    <s v="Id2032"/>
    <s v="Roberts"/>
    <n v="29.45"/>
    <s v="Normal"/>
    <s v="yes"/>
    <s v="No"/>
    <x v="0"/>
    <s v="No major surgery"/>
    <x v="1"/>
    <s v="Overweight"/>
    <s v="Normal"/>
    <m/>
    <m/>
    <m/>
    <m/>
    <m/>
  </r>
  <r>
    <s v="Id2033"/>
    <s v="Serafini"/>
    <n v="27.94"/>
    <s v="Prediabetes"/>
    <s v="No"/>
    <s v="No"/>
    <x v="1"/>
    <n v="1"/>
    <x v="1"/>
    <s v="Overweight"/>
    <s v="Prediabetes"/>
    <m/>
    <m/>
    <m/>
    <m/>
    <m/>
  </r>
  <r>
    <s v="Id2034"/>
    <s v="Button"/>
    <n v="27.2"/>
    <s v="Prediabetes"/>
    <s v="No"/>
    <s v="No"/>
    <x v="1"/>
    <n v="1"/>
    <x v="1"/>
    <s v="Overweight"/>
    <s v="Prediabetes"/>
    <m/>
    <m/>
    <m/>
    <m/>
    <m/>
  </r>
  <r>
    <s v="Id2035"/>
    <s v="Gaal"/>
    <n v="33.344999999999999"/>
    <s v="Normal"/>
    <s v="No"/>
    <s v="No"/>
    <x v="0"/>
    <n v="1"/>
    <x v="1"/>
    <s v="Obesity"/>
    <s v="Normal"/>
    <m/>
    <m/>
    <m/>
    <m/>
    <m/>
  </r>
  <r>
    <s v="Id2036"/>
    <s v="Liptak"/>
    <n v="29.925000000000001"/>
    <s v="Normal"/>
    <s v="No"/>
    <s v="No"/>
    <x v="0"/>
    <n v="1"/>
    <x v="1"/>
    <e v="#N/A"/>
    <s v="Normal"/>
    <m/>
    <m/>
    <m/>
    <m/>
    <m/>
  </r>
  <r>
    <s v="Id2037"/>
    <s v="Kellam"/>
    <n v="24.225000000000001"/>
    <s v="Normal"/>
    <s v="No"/>
    <s v="No"/>
    <x v="0"/>
    <n v="1"/>
    <x v="1"/>
    <s v="Normal Weight"/>
    <s v="Normal"/>
    <m/>
    <m/>
    <m/>
    <m/>
    <m/>
  </r>
  <r>
    <s v="Id2038"/>
    <s v="Gordon"/>
    <n v="29.68"/>
    <s v="Normal"/>
    <s v="No"/>
    <s v="yes"/>
    <x v="0"/>
    <n v="1"/>
    <x v="1"/>
    <s v="Overweight"/>
    <s v="Normal"/>
    <m/>
    <m/>
    <m/>
    <m/>
    <m/>
  </r>
  <r>
    <s v="Id2039"/>
    <s v="Hyland"/>
    <n v="20.614999999999998"/>
    <s v="Prediabetes"/>
    <s v="No"/>
    <s v="No"/>
    <x v="1"/>
    <n v="1"/>
    <x v="1"/>
    <s v="Normal Weight"/>
    <s v="Prediabetes"/>
    <m/>
    <m/>
    <m/>
    <m/>
    <m/>
  </r>
  <r>
    <s v="Id2040"/>
    <s v="Wagoner"/>
    <n v="32.119999999999997"/>
    <s v="Normal"/>
    <s v="No"/>
    <s v="yes"/>
    <x v="0"/>
    <n v="1"/>
    <x v="1"/>
    <s v="Obesity"/>
    <s v="Normal"/>
    <m/>
    <m/>
    <m/>
    <m/>
    <m/>
  </r>
  <r>
    <s v="Id2041"/>
    <s v="Thomas"/>
    <n v="27.36"/>
    <s v="Prediabetes"/>
    <s v="No"/>
    <s v="No"/>
    <x v="0"/>
    <s v="No major surgery"/>
    <x v="1"/>
    <s v="Overweight"/>
    <s v="Prediabetes"/>
    <m/>
    <m/>
    <m/>
    <m/>
    <m/>
  </r>
  <r>
    <s v="Id2042"/>
    <s v="Goffi"/>
    <n v="17.385000000000002"/>
    <s v="Prediabetes"/>
    <s v="No"/>
    <s v="No"/>
    <x v="0"/>
    <s v="No major surgery"/>
    <x v="1"/>
    <s v="Underweight"/>
    <s v="Prediabetes"/>
    <m/>
    <m/>
    <m/>
    <m/>
    <m/>
  </r>
  <r>
    <s v="Id2043"/>
    <s v="Salovaara"/>
    <n v="30.13"/>
    <s v="Prediabetes"/>
    <s v="No"/>
    <s v="yes"/>
    <x v="0"/>
    <n v="1"/>
    <x v="1"/>
    <s v="Obesity"/>
    <s v="Prediabetes"/>
    <m/>
    <m/>
    <m/>
    <m/>
    <m/>
  </r>
  <r>
    <s v="Id2044"/>
    <s v="Reid"/>
    <n v="25.44"/>
    <s v="Prediabetes"/>
    <s v="yes"/>
    <s v="No"/>
    <x v="1"/>
    <n v="1"/>
    <x v="1"/>
    <s v="Overweight"/>
    <s v="Prediabetes"/>
    <m/>
    <m/>
    <m/>
    <m/>
    <m/>
  </r>
  <r>
    <s v="Id2045"/>
    <s v="Allan"/>
    <n v="39.805"/>
    <s v="Normal"/>
    <s v="No"/>
    <s v="yes"/>
    <x v="0"/>
    <n v="1"/>
    <x v="1"/>
    <s v="Obesity"/>
    <s v="Normal"/>
    <m/>
    <m/>
    <m/>
    <m/>
    <m/>
  </r>
  <r>
    <s v="Id2046"/>
    <s v="McLaughlin"/>
    <n v="30.4"/>
    <s v="Normal"/>
    <s v="yes"/>
    <s v="yes"/>
    <x v="0"/>
    <n v="1"/>
    <x v="1"/>
    <s v="Obesity"/>
    <s v="Normal"/>
    <m/>
    <m/>
    <m/>
    <m/>
    <m/>
  </r>
  <r>
    <s v="Id2047"/>
    <s v="Lee"/>
    <n v="23.18"/>
    <s v="Normal"/>
    <s v="No"/>
    <s v="yes"/>
    <x v="0"/>
    <n v="1"/>
    <x v="1"/>
    <s v="Normal Weight"/>
    <s v="Normal"/>
    <m/>
    <m/>
    <m/>
    <m/>
    <m/>
  </r>
  <r>
    <s v="Id2048"/>
    <s v="Tang"/>
    <n v="39.615000000000002"/>
    <s v="Prediabetes"/>
    <s v="No"/>
    <s v="No"/>
    <x v="1"/>
    <n v="1"/>
    <x v="1"/>
    <s v="Obesity"/>
    <s v="Prediabetes"/>
    <m/>
    <m/>
    <m/>
    <m/>
    <m/>
  </r>
  <r>
    <s v="Id2049"/>
    <s v="Kennedy"/>
    <n v="30.59"/>
    <s v="Prediabetes"/>
    <s v="yes"/>
    <s v="No"/>
    <x v="1"/>
    <n v="1"/>
    <x v="1"/>
    <s v="Obesity"/>
    <s v="Prediabetes"/>
    <m/>
    <m/>
    <m/>
    <m/>
    <m/>
  </r>
  <r>
    <s v="Id2050"/>
    <s v="Condon"/>
    <n v="16.72"/>
    <s v="Normal"/>
    <s v="yes"/>
    <s v="No"/>
    <x v="0"/>
    <n v="1"/>
    <x v="1"/>
    <s v="Underweight"/>
    <s v="Normal"/>
    <m/>
    <m/>
    <m/>
    <m/>
    <m/>
  </r>
  <r>
    <s v="Id2051"/>
    <s v="Chepkwony"/>
    <n v="26.22"/>
    <s v="Normal"/>
    <s v="yes"/>
    <s v="No"/>
    <x v="1"/>
    <n v="1"/>
    <x v="1"/>
    <s v="Overweight"/>
    <s v="Normal"/>
    <m/>
    <m/>
    <m/>
    <m/>
    <m/>
  </r>
  <r>
    <s v="Id2052"/>
    <s v="Rodriguez"/>
    <n v="31.824999999999999"/>
    <s v="Normal"/>
    <s v="No"/>
    <s v="No"/>
    <x v="1"/>
    <n v="1"/>
    <x v="1"/>
    <s v="Obesity"/>
    <s v="Normal"/>
    <m/>
    <m/>
    <m/>
    <m/>
    <m/>
  </r>
  <r>
    <s v="Id2053"/>
    <s v="Szynkarczuk"/>
    <n v="25.745000000000001"/>
    <s v="Normal"/>
    <s v="No"/>
    <s v="No"/>
    <x v="1"/>
    <n v="1"/>
    <x v="1"/>
    <s v="Overweight"/>
    <s v="Normal"/>
    <m/>
    <m/>
    <m/>
    <m/>
    <m/>
  </r>
  <r>
    <s v="Id2054"/>
    <s v="Brill"/>
    <n v="24.605"/>
    <s v="Normal"/>
    <s v="No"/>
    <s v="No"/>
    <x v="1"/>
    <n v="1"/>
    <x v="1"/>
    <s v="Normal Weight"/>
    <s v="Normal"/>
    <m/>
    <m/>
    <m/>
    <m/>
    <m/>
  </r>
  <r>
    <s v="Id2055"/>
    <s v="Adams"/>
    <n v="24.51"/>
    <s v="Normal"/>
    <s v="No"/>
    <s v="No"/>
    <x v="1"/>
    <n v="1"/>
    <x v="1"/>
    <s v="Normal Weight"/>
    <s v="Normal"/>
    <m/>
    <m/>
    <m/>
    <m/>
    <m/>
  </r>
  <r>
    <s v="Id2056"/>
    <s v="Nunn"/>
    <n v="31.065000000000001"/>
    <s v="Normal"/>
    <s v="yes"/>
    <s v="No"/>
    <x v="0"/>
    <s v="No major surgery"/>
    <x v="1"/>
    <s v="Obesity"/>
    <s v="Normal"/>
    <m/>
    <m/>
    <m/>
    <m/>
    <m/>
  </r>
  <r>
    <s v="Id2057"/>
    <s v="Blair"/>
    <n v="28.12"/>
    <s v="Normal"/>
    <s v="No"/>
    <s v="No"/>
    <x v="0"/>
    <s v="No major surgery"/>
    <x v="1"/>
    <s v="Overweight"/>
    <s v="Normal"/>
    <m/>
    <m/>
    <m/>
    <m/>
    <m/>
  </r>
  <r>
    <s v="Id2058"/>
    <s v="Sharkey"/>
    <n v="38.06"/>
    <s v="Prediabetes"/>
    <s v="No"/>
    <s v="No"/>
    <x v="0"/>
    <s v="No major surgery"/>
    <x v="1"/>
    <s v="Obesity"/>
    <s v="Prediabetes"/>
    <m/>
    <m/>
    <m/>
    <m/>
    <m/>
  </r>
  <r>
    <s v="Id2059"/>
    <s v="Scalard"/>
    <n v="24.96"/>
    <s v="Normal"/>
    <s v="No"/>
    <s v="No"/>
    <x v="0"/>
    <s v="No major surgery"/>
    <x v="1"/>
    <s v="Overweight"/>
    <s v="Normal"/>
    <m/>
    <m/>
    <m/>
    <m/>
    <m/>
  </r>
  <r>
    <s v="Id2060"/>
    <s v="Burget"/>
    <n v="17.670000000000002"/>
    <s v="Normal"/>
    <s v="yes"/>
    <s v="No"/>
    <x v="0"/>
    <s v="No major surgery"/>
    <x v="1"/>
    <s v="Underweight"/>
    <s v="Normal"/>
    <m/>
    <m/>
    <m/>
    <m/>
    <m/>
  </r>
  <r>
    <s v="Id2061"/>
    <s v="English"/>
    <n v="31.35"/>
    <s v="Prediabetes"/>
    <s v="No"/>
    <s v="yes"/>
    <x v="0"/>
    <n v="1"/>
    <x v="1"/>
    <s v="Obesity"/>
    <s v="Prediabetes"/>
    <m/>
    <m/>
    <m/>
    <m/>
    <m/>
  </r>
  <r>
    <s v="Id2062"/>
    <s v="Hampton"/>
    <n v="28.31"/>
    <e v="#N/A"/>
    <s v="No"/>
    <s v="yes"/>
    <x v="0"/>
    <n v="1"/>
    <x v="1"/>
    <s v="Overweight"/>
    <e v="#N/A"/>
    <m/>
    <m/>
    <m/>
    <m/>
    <m/>
  </r>
  <r>
    <s v="Id2063"/>
    <s v="Flynn"/>
    <n v="30.3"/>
    <s v="Normal"/>
    <s v="yes"/>
    <s v="No"/>
    <x v="1"/>
    <n v="1"/>
    <x v="1"/>
    <s v="Obesity"/>
    <s v="Normal"/>
    <m/>
    <m/>
    <m/>
    <m/>
    <m/>
  </r>
  <r>
    <s v="Id2064"/>
    <s v="Knast"/>
    <n v="26.4"/>
    <s v="Prediabetes"/>
    <s v="yes"/>
    <s v="No"/>
    <x v="0"/>
    <s v="No major surgery"/>
    <x v="1"/>
    <s v="Overweight"/>
    <s v="Prediabetes"/>
    <m/>
    <m/>
    <m/>
    <m/>
    <m/>
  </r>
  <r>
    <s v="Id2065"/>
    <s v="Lucas"/>
    <n v="22.135000000000002"/>
    <s v="Normal"/>
    <s v="yes"/>
    <s v="No"/>
    <x v="0"/>
    <s v="No major surgery"/>
    <x v="1"/>
    <s v="Normal Weight"/>
    <s v="Normal"/>
    <m/>
    <m/>
    <m/>
    <m/>
    <m/>
  </r>
  <r>
    <s v="Id2066"/>
    <s v="Thomas"/>
    <n v="17.399999999999999"/>
    <s v="Normal"/>
    <s v="yes"/>
    <s v="No"/>
    <x v="0"/>
    <s v="No major surgery"/>
    <x v="1"/>
    <s v="Underweight"/>
    <s v="Normal"/>
    <m/>
    <m/>
    <m/>
    <m/>
    <m/>
  </r>
  <r>
    <s v="Id2067"/>
    <s v="Cherewatti"/>
    <n v="28.06"/>
    <s v="Diabetes"/>
    <s v="No"/>
    <s v="No"/>
    <x v="0"/>
    <s v="No major surgery"/>
    <x v="1"/>
    <s v="Overweight"/>
    <s v="Diabetes"/>
    <m/>
    <m/>
    <m/>
    <m/>
    <m/>
  </r>
  <r>
    <s v="Id2068"/>
    <s v="Olle"/>
    <n v="31.13"/>
    <s v="Diabetes"/>
    <s v="No"/>
    <s v="No"/>
    <x v="0"/>
    <s v="No major surgery"/>
    <x v="1"/>
    <s v="Obesity"/>
    <s v="Diabetes"/>
    <m/>
    <m/>
    <m/>
    <m/>
    <m/>
  </r>
  <r>
    <s v="Id2069"/>
    <s v="Hamsi"/>
    <n v="18.46"/>
    <s v="Normal"/>
    <s v="No"/>
    <s v="No"/>
    <x v="0"/>
    <s v="No major surgery"/>
    <x v="1"/>
    <s v="Underweight"/>
    <s v="Normal"/>
    <m/>
    <m/>
    <m/>
    <m/>
    <m/>
  </r>
  <r>
    <s v="Id2070"/>
    <s v="Finnegan"/>
    <n v="17.3"/>
    <s v="Normal"/>
    <s v="No"/>
    <s v="No"/>
    <x v="0"/>
    <s v="No major surgery"/>
    <x v="1"/>
    <s v="Underweight"/>
    <s v="Normal"/>
    <m/>
    <m/>
    <m/>
    <m/>
    <m/>
  </r>
  <r>
    <s v="Id2071"/>
    <s v="Walsh"/>
    <n v="35.625"/>
    <s v="Normal"/>
    <s v="yes"/>
    <s v="No"/>
    <x v="1"/>
    <n v="1"/>
    <x v="1"/>
    <s v="Obesity"/>
    <s v="Normal"/>
    <m/>
    <m/>
    <m/>
    <m/>
    <m/>
  </r>
  <r>
    <s v="Id2072"/>
    <s v="Villa"/>
    <n v="20.234999999999999"/>
    <s v="Prediabetes"/>
    <s v="yes"/>
    <s v="yes"/>
    <x v="0"/>
    <n v="2"/>
    <x v="1"/>
    <s v="Normal Weight"/>
    <s v="Prediabetes"/>
    <m/>
    <m/>
    <m/>
    <m/>
    <m/>
  </r>
  <r>
    <s v="Id2073"/>
    <s v="Cable"/>
    <n v="27.55"/>
    <s v="Normal"/>
    <s v="yes"/>
    <s v="No"/>
    <x v="1"/>
    <n v="1"/>
    <x v="1"/>
    <s v="Overweight"/>
    <s v="Normal"/>
    <m/>
    <m/>
    <m/>
    <m/>
    <m/>
  </r>
  <r>
    <s v="Id2074"/>
    <s v="Eiring"/>
    <n v="17.97"/>
    <s v="Prediabetes"/>
    <s v="No"/>
    <s v="No"/>
    <x v="0"/>
    <s v="No major surgery"/>
    <x v="1"/>
    <s v="Underweight"/>
    <s v="Prediabetes"/>
    <m/>
    <m/>
    <m/>
    <m/>
    <m/>
  </r>
  <r>
    <s v="Id2075"/>
    <s v="Connor"/>
    <n v="29.98"/>
    <s v="Prediabetes"/>
    <s v="No"/>
    <s v="yes"/>
    <x v="0"/>
    <n v="1"/>
    <x v="1"/>
    <e v="#N/A"/>
    <s v="Prediabetes"/>
    <m/>
    <m/>
    <m/>
    <m/>
    <m/>
  </r>
  <r>
    <s v="Id2076"/>
    <s v="Friedman"/>
    <n v="33.659999999999997"/>
    <s v="Normal"/>
    <s v="yes"/>
    <s v="No"/>
    <x v="0"/>
    <n v="1"/>
    <x v="1"/>
    <s v="Obesity"/>
    <s v="Normal"/>
    <m/>
    <m/>
    <m/>
    <m/>
    <m/>
  </r>
  <r>
    <s v="Id2077"/>
    <s v="Croker"/>
    <n v="32.67"/>
    <s v="Normal"/>
    <s v="yes"/>
    <s v="No"/>
    <x v="0"/>
    <n v="1"/>
    <x v="1"/>
    <s v="Obesity"/>
    <s v="Normal"/>
    <m/>
    <m/>
    <m/>
    <m/>
    <m/>
  </r>
  <r>
    <s v="Id2078"/>
    <s v="Beganics"/>
    <n v="30.5"/>
    <s v="Prediabetes"/>
    <s v="yes"/>
    <s v="No"/>
    <x v="0"/>
    <n v="1"/>
    <x v="1"/>
    <s v="Obesity"/>
    <s v="Prediabetes"/>
    <m/>
    <m/>
    <m/>
    <m/>
    <m/>
  </r>
  <r>
    <s v="Id2079"/>
    <s v="Huberty"/>
    <n v="23.1"/>
    <s v="Prediabetes"/>
    <s v="yes"/>
    <s v="No"/>
    <x v="0"/>
    <n v="1"/>
    <x v="1"/>
    <s v="Normal Weight"/>
    <s v="Prediabetes"/>
    <m/>
    <m/>
    <m/>
    <m/>
    <m/>
  </r>
  <r>
    <s v="Id2080"/>
    <s v="Jacobs"/>
    <n v="39.49"/>
    <s v="Normal"/>
    <s v="No"/>
    <s v="No"/>
    <x v="0"/>
    <n v="1"/>
    <x v="1"/>
    <s v="Obesity"/>
    <s v="Normal"/>
    <m/>
    <m/>
    <m/>
    <m/>
    <m/>
  </r>
  <r>
    <s v="Id2081"/>
    <s v="Hazlehurst"/>
    <n v="33.99"/>
    <s v="Normal"/>
    <s v="No"/>
    <s v="No"/>
    <x v="0"/>
    <n v="1"/>
    <x v="1"/>
    <s v="Obesity"/>
    <s v="Normal"/>
    <m/>
    <m/>
    <m/>
    <m/>
    <m/>
  </r>
  <r>
    <s v="Id2082"/>
    <s v="Marin"/>
    <n v="27.72"/>
    <e v="#N/A"/>
    <s v="No"/>
    <s v="No"/>
    <x v="0"/>
    <n v="1"/>
    <x v="1"/>
    <s v="Overweight"/>
    <e v="#N/A"/>
    <m/>
    <m/>
    <m/>
    <m/>
    <m/>
  </r>
  <r>
    <s v="Id2083"/>
    <s v="Dear"/>
    <n v="30.59"/>
    <s v="Diabetes"/>
    <s v="No"/>
    <s v="No"/>
    <x v="0"/>
    <s v="No major surgery"/>
    <x v="1"/>
    <s v="Obesity"/>
    <s v="Diabetes"/>
    <m/>
    <m/>
    <m/>
    <m/>
    <m/>
  </r>
  <r>
    <s v="Id2084"/>
    <s v="Lederer"/>
    <n v="22.6"/>
    <s v="Prediabetes"/>
    <s v="No"/>
    <s v="No"/>
    <x v="0"/>
    <n v="1"/>
    <x v="1"/>
    <s v="Normal Weight"/>
    <s v="Prediabetes"/>
    <m/>
    <m/>
    <m/>
    <m/>
    <m/>
  </r>
  <r>
    <s v="Id2085"/>
    <s v="Robson"/>
    <n v="28.785"/>
    <s v="Diabetes"/>
    <s v="No"/>
    <s v="No"/>
    <x v="0"/>
    <s v="No major surgery"/>
    <x v="1"/>
    <s v="Overweight"/>
    <s v="Diabetes"/>
    <m/>
    <m/>
    <m/>
    <m/>
    <m/>
  </r>
  <r>
    <s v="Id2086"/>
    <s v="Galvan"/>
    <n v="50.38"/>
    <s v="Prediabetes"/>
    <s v="No"/>
    <s v="No"/>
    <x v="0"/>
    <s v="No major surgery"/>
    <x v="1"/>
    <s v="Obesity"/>
    <s v="Prediabetes"/>
    <m/>
    <m/>
    <m/>
    <m/>
    <m/>
  </r>
  <r>
    <s v="Id2087"/>
    <s v="Walsh"/>
    <n v="35.200000000000003"/>
    <s v="Normal"/>
    <s v="No"/>
    <s v="No"/>
    <x v="0"/>
    <s v="No major surgery"/>
    <x v="1"/>
    <s v="Obesity"/>
    <s v="Normal"/>
    <m/>
    <m/>
    <m/>
    <m/>
    <m/>
  </r>
  <r>
    <s v="Id2088"/>
    <s v="Teeuwen"/>
    <n v="35.72"/>
    <s v="Normal"/>
    <s v="yes"/>
    <s v="No"/>
    <x v="0"/>
    <s v="No major surgery"/>
    <x v="1"/>
    <s v="Obesity"/>
    <s v="Normal"/>
    <m/>
    <m/>
    <m/>
    <m/>
    <m/>
  </r>
  <r>
    <s v="Id2089"/>
    <s v="List"/>
    <n v="24.51"/>
    <s v="Normal"/>
    <s v="No"/>
    <s v="No"/>
    <x v="0"/>
    <s v="No major surgery"/>
    <x v="1"/>
    <s v="Normal Weight"/>
    <s v="Normal"/>
    <m/>
    <m/>
    <m/>
    <m/>
    <m/>
  </r>
  <r>
    <s v="Id2090"/>
    <s v="Shafar"/>
    <n v="23.844999999999999"/>
    <s v="Normal"/>
    <s v="No"/>
    <s v="No"/>
    <x v="0"/>
    <s v="No major surgery"/>
    <x v="1"/>
    <s v="Normal Weight"/>
    <s v="Normal"/>
    <m/>
    <m/>
    <m/>
    <m/>
    <m/>
  </r>
  <r>
    <s v="Id2091"/>
    <s v="Copenhaver"/>
    <n v="15.68"/>
    <s v="Prediabetes"/>
    <s v="yes"/>
    <s v="No"/>
    <x v="0"/>
    <n v="1"/>
    <x v="1"/>
    <s v="Underweight"/>
    <s v="Prediabetes"/>
    <m/>
    <m/>
    <m/>
    <m/>
    <m/>
  </r>
  <r>
    <s v="Id2092"/>
    <s v="Stump"/>
    <n v="32.395000000000003"/>
    <s v="Diabetes"/>
    <s v="No"/>
    <s v="No"/>
    <x v="0"/>
    <s v="No major surgery"/>
    <x v="1"/>
    <s v="Obesity"/>
    <s v="Diabetes"/>
    <m/>
    <m/>
    <m/>
    <m/>
    <m/>
  </r>
  <r>
    <s v="Id2093"/>
    <s v="Wehrman"/>
    <n v="23.655000000000001"/>
    <s v="Prediabetes"/>
    <s v="No"/>
    <s v="No"/>
    <x v="0"/>
    <n v="1"/>
    <x v="1"/>
    <s v="Normal Weight"/>
    <s v="Prediabetes"/>
    <m/>
    <m/>
    <m/>
    <m/>
    <m/>
  </r>
  <r>
    <s v="Id2094"/>
    <s v="Sischo"/>
    <n v="28.4"/>
    <s v="Prediabetes"/>
    <s v="No"/>
    <s v="No"/>
    <x v="1"/>
    <n v="1"/>
    <x v="1"/>
    <s v="Overweight"/>
    <s v="Prediabetes"/>
    <m/>
    <m/>
    <m/>
    <m/>
    <m/>
  </r>
  <r>
    <s v="Id2095"/>
    <s v="Fonti"/>
    <n v="35.42"/>
    <s v="Normal"/>
    <s v="yes"/>
    <s v="No"/>
    <x v="0"/>
    <s v="No major surgery"/>
    <x v="1"/>
    <s v="Obesity"/>
    <s v="Normal"/>
    <m/>
    <m/>
    <m/>
    <m/>
    <m/>
  </r>
  <r>
    <s v="Id2096"/>
    <s v="Merlis"/>
    <n v="26.18"/>
    <s v="Prediabetes"/>
    <s v="No"/>
    <s v="yes"/>
    <x v="0"/>
    <n v="1"/>
    <x v="1"/>
    <s v="Overweight"/>
    <s v="Prediabetes"/>
    <m/>
    <m/>
    <m/>
    <m/>
    <m/>
  </r>
  <r>
    <s v="Id2097"/>
    <s v="Hasegawa"/>
    <n v="20.8"/>
    <s v="Normal"/>
    <s v="yes"/>
    <s v="No"/>
    <x v="0"/>
    <s v="No major surgery"/>
    <x v="1"/>
    <s v="Normal Weight"/>
    <s v="Normal"/>
    <m/>
    <m/>
    <m/>
    <m/>
    <m/>
  </r>
  <r>
    <s v="Id2098"/>
    <s v="Haselden"/>
    <n v="15.82"/>
    <s v="Normal"/>
    <s v="No"/>
    <s v="No"/>
    <x v="0"/>
    <s v="No major surgery"/>
    <x v="1"/>
    <s v="Underweight"/>
    <s v="Normal"/>
    <m/>
    <m/>
    <m/>
    <m/>
    <m/>
  </r>
  <r>
    <s v="Id2099"/>
    <s v="Simonson"/>
    <n v="17.670000000000002"/>
    <s v="Normal"/>
    <s v="No"/>
    <s v="No"/>
    <x v="0"/>
    <s v="No major surgery"/>
    <x v="1"/>
    <s v="Underweight"/>
    <s v="Normal"/>
    <m/>
    <m/>
    <m/>
    <m/>
    <m/>
  </r>
  <r>
    <s v="Id2100"/>
    <s v="Montag"/>
    <n v="31.92"/>
    <s v="Diabetes"/>
    <s v="No"/>
    <s v="No"/>
    <x v="0"/>
    <s v="No major surgery"/>
    <x v="1"/>
    <s v="Obesity"/>
    <s v="Diabetes"/>
    <m/>
    <m/>
    <m/>
    <m/>
    <m/>
  </r>
  <r>
    <s v="Id2101"/>
    <s v="Deroian"/>
    <n v="28.975000000000001"/>
    <s v="Diabetes"/>
    <s v="No"/>
    <s v="No"/>
    <x v="0"/>
    <s v="No major surgery"/>
    <x v="1"/>
    <s v="Overweight"/>
    <s v="Diabetes"/>
    <m/>
    <m/>
    <m/>
    <m/>
    <m/>
  </r>
  <r>
    <s v="Id2102"/>
    <s v="Goetz"/>
    <n v="31.73"/>
    <s v="Normal"/>
    <s v="yes"/>
    <s v="yes"/>
    <x v="0"/>
    <n v="2"/>
    <x v="1"/>
    <s v="Obesity"/>
    <s v="Normal"/>
    <m/>
    <m/>
    <m/>
    <m/>
    <m/>
  </r>
  <r>
    <s v="Id2103"/>
    <s v="Brady"/>
    <n v="28.88"/>
    <s v="Prediabetes"/>
    <s v="yes"/>
    <s v="yes"/>
    <x v="0"/>
    <n v="2"/>
    <x v="1"/>
    <s v="Overweight"/>
    <s v="Prediabetes"/>
    <m/>
    <m/>
    <m/>
    <m/>
    <m/>
  </r>
  <r>
    <s v="Id2104"/>
    <s v="Moran"/>
    <n v="25.555"/>
    <s v="Normal"/>
    <s v="No"/>
    <s v="No"/>
    <x v="1"/>
    <n v="1"/>
    <x v="1"/>
    <s v="Overweight"/>
    <s v="Normal"/>
    <m/>
    <m/>
    <m/>
    <m/>
    <m/>
  </r>
  <r>
    <s v="Id2105"/>
    <s v="Strickler"/>
    <n v="37.29"/>
    <s v="Normal"/>
    <s v="No"/>
    <s v="yes"/>
    <x v="0"/>
    <n v="1"/>
    <x v="1"/>
    <s v="Obesity"/>
    <s v="Normal"/>
    <m/>
    <m/>
    <m/>
    <m/>
    <m/>
  </r>
  <r>
    <s v="Id2106"/>
    <s v="Simone"/>
    <n v="40.28"/>
    <s v="Prediabetes"/>
    <s v="No"/>
    <s v="yes"/>
    <x v="0"/>
    <n v="1"/>
    <x v="1"/>
    <s v="Obesity"/>
    <s v="Prediabetes"/>
    <m/>
    <m/>
    <m/>
    <m/>
    <m/>
  </r>
  <r>
    <s v="Id2107"/>
    <s v="Von Rock"/>
    <n v="40.185000000000002"/>
    <s v="Normal"/>
    <s v="No"/>
    <s v="yes"/>
    <x v="0"/>
    <n v="1"/>
    <x v="1"/>
    <s v="Obesity"/>
    <s v="Normal"/>
    <m/>
    <m/>
    <m/>
    <m/>
    <m/>
  </r>
  <r>
    <s v="Id2108"/>
    <s v="Woodard"/>
    <n v="23.57"/>
    <s v="Prediabetes"/>
    <s v="No"/>
    <s v="No"/>
    <x v="0"/>
    <s v="No major surgery"/>
    <x v="1"/>
    <s v="Normal Weight"/>
    <s v="Prediabetes"/>
    <m/>
    <m/>
    <m/>
    <m/>
    <m/>
  </r>
  <r>
    <s v="Id2109"/>
    <s v="Li"/>
    <n v="35.625"/>
    <s v="Prediabetes"/>
    <s v="No"/>
    <s v="yes"/>
    <x v="0"/>
    <n v="1"/>
    <x v="1"/>
    <s v="Obesity"/>
    <s v="Prediabetes"/>
    <m/>
    <m/>
    <m/>
    <m/>
    <m/>
  </r>
  <r>
    <s v="Id2110"/>
    <s v="Sinda"/>
    <n v="33.155000000000001"/>
    <s v="Normal"/>
    <s v="No"/>
    <s v="yes"/>
    <x v="0"/>
    <n v="1"/>
    <x v="1"/>
    <s v="Obesity"/>
    <s v="Normal"/>
    <m/>
    <m/>
    <m/>
    <m/>
    <m/>
  </r>
  <r>
    <s v="Id2111"/>
    <s v="Rydland"/>
    <n v="31.92"/>
    <s v="Normal"/>
    <s v="No"/>
    <s v="yes"/>
    <x v="0"/>
    <n v="1"/>
    <x v="1"/>
    <s v="Obesity"/>
    <s v="Normal"/>
    <m/>
    <m/>
    <m/>
    <m/>
    <m/>
  </r>
  <r>
    <s v="Id2112"/>
    <s v="Vespa"/>
    <n v="30.305"/>
    <s v="Normal"/>
    <s v="No"/>
    <s v="yes"/>
    <x v="0"/>
    <n v="1"/>
    <x v="1"/>
    <s v="Obesity"/>
    <s v="Normal"/>
    <m/>
    <m/>
    <m/>
    <m/>
    <m/>
  </r>
  <r>
    <s v="Id2113"/>
    <s v="Meadows"/>
    <n v="30.114999999999998"/>
    <s v="Normal"/>
    <s v="No"/>
    <s v="yes"/>
    <x v="0"/>
    <n v="1"/>
    <x v="1"/>
    <s v="Obesity"/>
    <s v="Normal"/>
    <m/>
    <m/>
    <m/>
    <m/>
    <m/>
  </r>
  <r>
    <s v="Id2114"/>
    <s v="Toppen"/>
    <n v="24.09"/>
    <s v="Normal"/>
    <s v="No"/>
    <s v="yes"/>
    <x v="0"/>
    <n v="1"/>
    <x v="1"/>
    <s v="Normal Weight"/>
    <s v="Normal"/>
    <m/>
    <m/>
    <m/>
    <m/>
    <m/>
  </r>
  <r>
    <s v="Id2115"/>
    <s v="Ermer"/>
    <n v="28.215"/>
    <s v="Normal"/>
    <s v="No"/>
    <s v="yes"/>
    <x v="0"/>
    <n v="1"/>
    <x v="1"/>
    <s v="Overweight"/>
    <s v="Normal"/>
    <m/>
    <m/>
    <m/>
    <m/>
    <m/>
  </r>
  <r>
    <s v="Id2116"/>
    <s v="Dionne"/>
    <n v="26.315000000000001"/>
    <s v="Normal"/>
    <s v="No"/>
    <s v="yes"/>
    <x v="0"/>
    <n v="1"/>
    <x v="1"/>
    <s v="Overweight"/>
    <s v="Normal"/>
    <m/>
    <m/>
    <m/>
    <m/>
    <m/>
  </r>
  <r>
    <s v="Id2117"/>
    <s v="Stasulli"/>
    <n v="25.08"/>
    <s v="Normal"/>
    <s v="No"/>
    <s v="yes"/>
    <x v="0"/>
    <n v="1"/>
    <x v="1"/>
    <s v="Overweight"/>
    <s v="Normal"/>
    <m/>
    <m/>
    <m/>
    <m/>
    <m/>
  </r>
  <r>
    <s v="Id2118"/>
    <s v="Duran"/>
    <n v="15.41"/>
    <s v="Normal"/>
    <s v="No"/>
    <s v="No"/>
    <x v="0"/>
    <s v="No major surgery"/>
    <x v="1"/>
    <s v="Underweight"/>
    <s v="Normal"/>
    <m/>
    <m/>
    <m/>
    <m/>
    <m/>
  </r>
  <r>
    <s v="Id2119"/>
    <s v="Klundt"/>
    <n v="23.83"/>
    <s v="Normal"/>
    <s v="No"/>
    <s v="No"/>
    <x v="0"/>
    <s v="No major surgery"/>
    <x v="1"/>
    <s v="Normal Weight"/>
    <s v="Normal"/>
    <m/>
    <m/>
    <m/>
    <m/>
    <m/>
  </r>
  <r>
    <s v="Id2120"/>
    <s v="Waters"/>
    <n v="36"/>
    <s v="Normal"/>
    <s v="No"/>
    <s v="yes"/>
    <x v="0"/>
    <n v="1"/>
    <x v="1"/>
    <s v="Obesity"/>
    <s v="Normal"/>
    <m/>
    <m/>
    <m/>
    <m/>
    <m/>
  </r>
  <r>
    <s v="Id2121"/>
    <s v="Rusk"/>
    <n v="28.82"/>
    <s v="Normal"/>
    <s v="No"/>
    <s v="yes"/>
    <x v="0"/>
    <n v="1"/>
    <x v="1"/>
    <s v="Overweight"/>
    <s v="Normal"/>
    <m/>
    <m/>
    <m/>
    <m/>
    <m/>
  </r>
  <r>
    <s v="Id2122"/>
    <s v="Gersbach"/>
    <n v="28.05"/>
    <s v="Prediabetes"/>
    <s v="No"/>
    <s v="yes"/>
    <x v="0"/>
    <n v="1"/>
    <x v="1"/>
    <s v="Overweight"/>
    <s v="Prediabetes"/>
    <m/>
    <m/>
    <m/>
    <m/>
    <m/>
  </r>
  <r>
    <s v="Id2123"/>
    <s v="Taylor-Watson"/>
    <n v="27.1"/>
    <s v="Normal"/>
    <s v="No"/>
    <s v="yes"/>
    <x v="0"/>
    <n v="1"/>
    <x v="1"/>
    <s v="Overweight"/>
    <s v="Normal"/>
    <m/>
    <m/>
    <m/>
    <m/>
    <m/>
  </r>
  <r>
    <s v="Id2124"/>
    <s v="Crawford"/>
    <n v="24.3"/>
    <s v="Prediabetes"/>
    <s v="yes"/>
    <s v="yes"/>
    <x v="0"/>
    <n v="1"/>
    <x v="1"/>
    <s v="Normal Weight"/>
    <s v="Prediabetes"/>
    <m/>
    <m/>
    <m/>
    <m/>
    <m/>
  </r>
  <r>
    <s v="Id2125"/>
    <s v="Levitsky"/>
    <n v="30.72"/>
    <s v="Prediabetes"/>
    <s v="No"/>
    <s v="yes"/>
    <x v="0"/>
    <n v="1"/>
    <x v="1"/>
    <s v="Obesity"/>
    <s v="Prediabetes"/>
    <m/>
    <m/>
    <m/>
    <m/>
    <m/>
  </r>
  <r>
    <s v="Id2126"/>
    <s v="Carroll"/>
    <n v="37.43"/>
    <s v="Normal"/>
    <s v="No"/>
    <s v="No"/>
    <x v="1"/>
    <n v="1"/>
    <x v="1"/>
    <s v="Obesity"/>
    <s v="Normal"/>
    <m/>
    <m/>
    <m/>
    <m/>
    <m/>
  </r>
  <r>
    <s v="Id2127"/>
    <s v="Campos"/>
    <n v="25.74"/>
    <e v="#N/A"/>
    <s v="yes"/>
    <s v="No"/>
    <x v="1"/>
    <n v="1"/>
    <x v="1"/>
    <s v="Overweight"/>
    <e v="#N/A"/>
    <m/>
    <m/>
    <m/>
    <m/>
    <m/>
  </r>
  <r>
    <s v="Id2128"/>
    <s v="Flajslik"/>
    <n v="36.575000000000003"/>
    <s v="Normal"/>
    <s v="No"/>
    <s v="No"/>
    <x v="1"/>
    <n v="1"/>
    <x v="1"/>
    <s v="Obesity"/>
    <s v="Normal"/>
    <m/>
    <m/>
    <m/>
    <m/>
    <m/>
  </r>
  <r>
    <s v="Id2129"/>
    <s v="Chua"/>
    <n v="35.15"/>
    <s v="Normal"/>
    <s v="No"/>
    <s v="No"/>
    <x v="1"/>
    <n v="1"/>
    <x v="1"/>
    <s v="Obesity"/>
    <s v="Normal"/>
    <m/>
    <m/>
    <m/>
    <m/>
    <m/>
  </r>
  <r>
    <s v="Id2130"/>
    <s v="Wiltse"/>
    <n v="32.11"/>
    <s v="Normal"/>
    <s v="No"/>
    <s v="No"/>
    <x v="1"/>
    <n v="1"/>
    <x v="1"/>
    <s v="Obesity"/>
    <s v="Normal"/>
    <m/>
    <m/>
    <m/>
    <m/>
    <m/>
  </r>
  <r>
    <s v="Id2131"/>
    <s v="Fisher"/>
    <n v="30.495000000000001"/>
    <s v="Normal"/>
    <s v="No"/>
    <s v="No"/>
    <x v="1"/>
    <n v="1"/>
    <x v="1"/>
    <s v="Obesity"/>
    <s v="Normal"/>
    <m/>
    <m/>
    <m/>
    <m/>
    <m/>
  </r>
  <r>
    <s v="Id2132"/>
    <s v="Wilzbacher"/>
    <n v="29.24"/>
    <s v="Normal"/>
    <s v="No"/>
    <s v="yes"/>
    <x v="0"/>
    <n v="1"/>
    <x v="1"/>
    <s v="Overweight"/>
    <s v="Normal"/>
    <m/>
    <m/>
    <m/>
    <m/>
    <m/>
  </r>
  <r>
    <s v="Id2133"/>
    <s v="Thayer"/>
    <n v="22.515000000000001"/>
    <s v="Prediabetes"/>
    <s v="No"/>
    <s v="No"/>
    <x v="1"/>
    <n v="1"/>
    <x v="1"/>
    <s v="Normal Weight"/>
    <s v="Prediabetes"/>
    <m/>
    <m/>
    <m/>
    <m/>
    <m/>
  </r>
  <r>
    <s v="Id2134"/>
    <s v="Brosseau"/>
    <n v="15.65"/>
    <s v="Normal"/>
    <s v="No"/>
    <s v="No"/>
    <x v="0"/>
    <s v="No major surgery"/>
    <x v="1"/>
    <s v="Underweight"/>
    <s v="Normal"/>
    <m/>
    <m/>
    <m/>
    <m/>
    <m/>
  </r>
  <r>
    <s v="Id2135"/>
    <s v="Phares"/>
    <n v="27.36"/>
    <s v="Normal"/>
    <s v="yes"/>
    <s v="No"/>
    <x v="0"/>
    <s v="No major surgery"/>
    <x v="1"/>
    <s v="Overweight"/>
    <s v="Normal"/>
    <m/>
    <m/>
    <m/>
    <m/>
    <m/>
  </r>
  <r>
    <s v="Id2136"/>
    <s v="Curley"/>
    <n v="22.3"/>
    <s v="Normal"/>
    <s v="yes"/>
    <s v="No"/>
    <x v="0"/>
    <s v="No major surgery"/>
    <x v="1"/>
    <s v="Normal Weight"/>
    <s v="Normal"/>
    <m/>
    <m/>
    <m/>
    <m/>
    <m/>
  </r>
  <r>
    <s v="Id2137"/>
    <s v="Johnston"/>
    <n v="26.03"/>
    <s v="Prediabetes"/>
    <s v="yes"/>
    <s v="No"/>
    <x v="0"/>
    <s v="No major surgery"/>
    <x v="1"/>
    <s v="Overweight"/>
    <s v="Prediabetes"/>
    <m/>
    <m/>
    <m/>
    <m/>
    <m/>
  </r>
  <r>
    <s v="Id2138"/>
    <s v="Padula"/>
    <n v="27.74"/>
    <s v="Normal"/>
    <s v="No"/>
    <s v="yes"/>
    <x v="0"/>
    <n v="1"/>
    <x v="1"/>
    <s v="Overweight"/>
    <s v="Normal"/>
    <m/>
    <m/>
    <m/>
    <m/>
    <m/>
  </r>
  <r>
    <s v="Id2139"/>
    <s v="Gamirov"/>
    <n v="32.11"/>
    <s v="Normal"/>
    <s v="yes"/>
    <s v="yes"/>
    <x v="0"/>
    <n v="2"/>
    <x v="1"/>
    <s v="Obesity"/>
    <s v="Normal"/>
    <m/>
    <m/>
    <m/>
    <m/>
    <m/>
  </r>
  <r>
    <s v="Id2140"/>
    <s v="Briot"/>
    <n v="25.175000000000001"/>
    <s v="Prediabetes"/>
    <s v="yes"/>
    <s v="yes"/>
    <x v="0"/>
    <n v="2"/>
    <x v="1"/>
    <s v="Overweight"/>
    <s v="Prediabetes"/>
    <m/>
    <m/>
    <m/>
    <m/>
    <m/>
  </r>
  <r>
    <s v="Id2141"/>
    <s v="De Hueck"/>
    <n v="39.49"/>
    <s v="Normal"/>
    <s v="yes"/>
    <s v="No"/>
    <x v="0"/>
    <s v="No major surgery"/>
    <x v="1"/>
    <s v="Obesity"/>
    <s v="Normal"/>
    <m/>
    <m/>
    <m/>
    <m/>
    <m/>
  </r>
  <r>
    <s v="Id2142"/>
    <s v="Putt"/>
    <n v="34.869999999999997"/>
    <s v="Normal"/>
    <s v="yes"/>
    <s v="No"/>
    <x v="0"/>
    <s v="No major surgery"/>
    <x v="1"/>
    <s v="Obesity"/>
    <s v="Normal"/>
    <m/>
    <m/>
    <m/>
    <m/>
    <m/>
  </r>
  <r>
    <s v="Id2143"/>
    <s v="Deiman"/>
    <n v="34.6"/>
    <s v="Normal"/>
    <s v="yes"/>
    <s v="No"/>
    <x v="0"/>
    <s v="No major surgery"/>
    <x v="1"/>
    <s v="Obesity"/>
    <s v="Normal"/>
    <m/>
    <m/>
    <m/>
    <m/>
    <m/>
  </r>
  <r>
    <s v="Id2144"/>
    <s v="Bonanni"/>
    <n v="25.8"/>
    <s v="Prediabetes"/>
    <s v="yes"/>
    <s v="No"/>
    <x v="0"/>
    <s v="No major surgery"/>
    <x v="1"/>
    <s v="Overweight"/>
    <s v="Prediabetes"/>
    <m/>
    <m/>
    <m/>
    <m/>
    <m/>
  </r>
  <r>
    <s v="Id2145"/>
    <s v="Stein"/>
    <n v="35.86"/>
    <s v="Normal"/>
    <s v="No"/>
    <s v="No"/>
    <x v="0"/>
    <n v="1"/>
    <x v="1"/>
    <s v="Obesity"/>
    <s v="Normal"/>
    <m/>
    <m/>
    <m/>
    <m/>
    <m/>
  </r>
  <r>
    <s v="Id2146"/>
    <s v="Laumann"/>
    <n v="40.47"/>
    <s v="Diabetes"/>
    <s v="No"/>
    <s v="No"/>
    <x v="0"/>
    <s v="No major surgery"/>
    <x v="1"/>
    <s v="Obesity"/>
    <s v="Diabetes"/>
    <m/>
    <m/>
    <m/>
    <m/>
    <m/>
  </r>
  <r>
    <s v="Id2147"/>
    <s v="Galaviz"/>
    <n v="32.01"/>
    <e v="#N/A"/>
    <s v="No"/>
    <s v="No"/>
    <x v="0"/>
    <n v="1"/>
    <x v="1"/>
    <s v="Obesity"/>
    <e v="#N/A"/>
    <m/>
    <m/>
    <m/>
    <m/>
    <m/>
  </r>
  <r>
    <s v="Id2148"/>
    <s v="Piper"/>
    <n v="33"/>
    <s v="Diabetes"/>
    <s v="No"/>
    <s v="No"/>
    <x v="0"/>
    <s v="No major surgery"/>
    <x v="1"/>
    <s v="Obesity"/>
    <s v="Diabetes"/>
    <m/>
    <m/>
    <m/>
    <m/>
    <m/>
  </r>
  <r>
    <s v="Id2149"/>
    <s v="Cantini"/>
    <n v="29.3"/>
    <s v="Prediabetes"/>
    <s v="No"/>
    <s v="No"/>
    <x v="0"/>
    <n v="1"/>
    <x v="1"/>
    <s v="Overweight"/>
    <s v="Prediabetes"/>
    <m/>
    <m/>
    <m/>
    <m/>
    <m/>
  </r>
  <r>
    <s v="Id2150"/>
    <s v="Hartman"/>
    <n v="25.8"/>
    <s v="Normal"/>
    <s v="No"/>
    <s v="No"/>
    <x v="0"/>
    <n v="1"/>
    <x v="1"/>
    <s v="Overweight"/>
    <s v="Normal"/>
    <m/>
    <m/>
    <m/>
    <m/>
    <m/>
  </r>
  <r>
    <s v="Id2151"/>
    <s v="Werhane"/>
    <n v="23.4"/>
    <s v="Normal"/>
    <s v="No"/>
    <s v="No"/>
    <x v="0"/>
    <n v="1"/>
    <x v="1"/>
    <s v="Normal Weight"/>
    <s v="Normal"/>
    <m/>
    <m/>
    <m/>
    <m/>
    <m/>
  </r>
  <r>
    <s v="Id2152"/>
    <s v="Davies"/>
    <n v="27.93"/>
    <s v="Diabetes"/>
    <s v="No"/>
    <s v="No"/>
    <x v="0"/>
    <s v="No major surgery"/>
    <x v="1"/>
    <s v="Overweight"/>
    <s v="Diabetes"/>
    <m/>
    <m/>
    <m/>
    <m/>
    <m/>
  </r>
  <r>
    <s v="Id2153"/>
    <s v="Hummel"/>
    <n v="22"/>
    <s v="Diabetes"/>
    <s v="No"/>
    <s v="No"/>
    <x v="0"/>
    <s v="No major surgery"/>
    <x v="1"/>
    <s v="Normal Weight"/>
    <s v="Diabetes"/>
    <m/>
    <m/>
    <m/>
    <m/>
    <m/>
  </r>
  <r>
    <s v="Id2154"/>
    <s v="Lutz"/>
    <n v="36.86"/>
    <s v="Normal"/>
    <s v="yes"/>
    <s v="No"/>
    <x v="0"/>
    <s v="No major surgery"/>
    <x v="1"/>
    <s v="Obesity"/>
    <s v="Normal"/>
    <m/>
    <m/>
    <m/>
    <m/>
    <m/>
  </r>
  <r>
    <s v="Id2155"/>
    <s v="Waters"/>
    <n v="31.254999999999999"/>
    <s v="Normal"/>
    <s v="yes"/>
    <s v="No"/>
    <x v="0"/>
    <s v="No major surgery"/>
    <x v="1"/>
    <s v="Obesity"/>
    <s v="Normal"/>
    <m/>
    <m/>
    <m/>
    <m/>
    <m/>
  </r>
  <r>
    <s v="Id2156"/>
    <s v="Viglienzoni"/>
    <n v="23.06"/>
    <s v="Normal"/>
    <s v="No"/>
    <s v="No"/>
    <x v="0"/>
    <s v="No major surgery"/>
    <x v="1"/>
    <s v="Normal Weight"/>
    <s v="Normal"/>
    <m/>
    <m/>
    <m/>
    <m/>
    <m/>
  </r>
  <r>
    <s v="Id2157"/>
    <s v="Rathbun"/>
    <n v="28.975000000000001"/>
    <s v="Normal"/>
    <s v="yes"/>
    <s v="No"/>
    <x v="0"/>
    <s v="No major surgery"/>
    <x v="1"/>
    <s v="Overweight"/>
    <s v="Normal"/>
    <m/>
    <m/>
    <m/>
    <m/>
    <m/>
  </r>
  <r>
    <s v="Id2158"/>
    <s v="crane"/>
    <n v="33.299999999999997"/>
    <s v="Diabetes"/>
    <s v="No"/>
    <s v="No"/>
    <x v="0"/>
    <s v="No major surgery"/>
    <x v="1"/>
    <s v="Obesity"/>
    <s v="Diabetes"/>
    <m/>
    <m/>
    <m/>
    <m/>
    <m/>
  </r>
  <r>
    <s v="Id2159"/>
    <s v="Conant"/>
    <n v="33"/>
    <s v="Diabetes"/>
    <s v="No"/>
    <s v="No"/>
    <x v="0"/>
    <s v="No major surgery"/>
    <x v="1"/>
    <s v="Obesity"/>
    <s v="Diabetes"/>
    <m/>
    <m/>
    <m/>
    <m/>
    <m/>
  </r>
  <r>
    <s v="Id2160"/>
    <s v="Huyser-Wierenga"/>
    <n v="31.46"/>
    <s v="Diabetes"/>
    <s v="No"/>
    <s v="No"/>
    <x v="0"/>
    <s v="No major surgery"/>
    <x v="1"/>
    <s v="Obesity"/>
    <s v="Diabetes"/>
    <m/>
    <m/>
    <m/>
    <m/>
    <m/>
  </r>
  <r>
    <s v="Id2161"/>
    <s v="Natalini"/>
    <n v="29.6"/>
    <s v="Diabetes"/>
    <s v="No"/>
    <s v="No"/>
    <x v="0"/>
    <s v="No major surgery"/>
    <x v="1"/>
    <s v="Overweight"/>
    <s v="Diabetes"/>
    <m/>
    <m/>
    <m/>
    <m/>
    <m/>
  </r>
  <r>
    <s v="Id2162"/>
    <s v="Robbins"/>
    <n v="22.05"/>
    <s v="Normal"/>
    <s v="yes"/>
    <s v="No"/>
    <x v="0"/>
    <s v="No major surgery"/>
    <x v="1"/>
    <s v="Normal Weight"/>
    <s v="Normal"/>
    <m/>
    <m/>
    <m/>
    <m/>
    <m/>
  </r>
  <r>
    <s v="Id2163"/>
    <s v="Stanislav"/>
    <n v="27.06"/>
    <s v="Prediabetes"/>
    <s v="No"/>
    <s v="yes"/>
    <x v="0"/>
    <n v="1"/>
    <x v="1"/>
    <s v="Overweight"/>
    <s v="Prediabetes"/>
    <m/>
    <m/>
    <m/>
    <m/>
    <m/>
  </r>
  <r>
    <s v="Id2164"/>
    <s v="Meyer"/>
    <n v="20.49"/>
    <s v="Normal"/>
    <s v="No"/>
    <s v="No"/>
    <x v="0"/>
    <s v="No major surgery"/>
    <x v="1"/>
    <s v="Normal Weight"/>
    <s v="Normal"/>
    <m/>
    <m/>
    <m/>
    <m/>
    <m/>
  </r>
  <r>
    <s v="Id2165"/>
    <s v="Mears"/>
    <n v="28.4"/>
    <s v="Normal"/>
    <s v="No"/>
    <s v="No"/>
    <x v="1"/>
    <n v="1"/>
    <x v="1"/>
    <s v="Overweight"/>
    <s v="Normal"/>
    <m/>
    <m/>
    <m/>
    <m/>
    <m/>
  </r>
  <r>
    <s v="Id2166"/>
    <s v="Neill"/>
    <n v="41.91"/>
    <s v="Prediabetes"/>
    <s v="No"/>
    <s v="No"/>
    <x v="0"/>
    <s v="No major surgery"/>
    <x v="1"/>
    <s v="Obesity"/>
    <s v="Prediabetes"/>
    <m/>
    <m/>
    <m/>
    <m/>
    <m/>
  </r>
  <r>
    <s v="Id2167"/>
    <s v="Tola"/>
    <n v="24.6"/>
    <s v="Prediabetes"/>
    <s v="No"/>
    <s v="No"/>
    <x v="1"/>
    <n v="1"/>
    <x v="1"/>
    <s v="Normal Weight"/>
    <s v="Prediabetes"/>
    <m/>
    <m/>
    <m/>
    <m/>
    <m/>
  </r>
  <r>
    <s v="Id2168"/>
    <s v="Briskman"/>
    <n v="20.9"/>
    <s v="Normal"/>
    <s v="No"/>
    <s v="No"/>
    <x v="1"/>
    <n v="1"/>
    <x v="1"/>
    <s v="Normal Weight"/>
    <s v="Normal"/>
    <m/>
    <m/>
    <m/>
    <m/>
    <m/>
  </r>
  <r>
    <s v="Id2169"/>
    <s v="Ritzenhein"/>
    <n v="34.4"/>
    <s v="Normal"/>
    <s v="No"/>
    <s v="No"/>
    <x v="0"/>
    <s v="No major surgery"/>
    <x v="1"/>
    <s v="Obesity"/>
    <s v="Normal"/>
    <m/>
    <m/>
    <m/>
    <m/>
    <m/>
  </r>
  <r>
    <s v="Id2170"/>
    <s v="Malkowski"/>
    <n v="32.56"/>
    <s v="Normal"/>
    <s v="No"/>
    <s v="No"/>
    <x v="0"/>
    <s v="No major surgery"/>
    <x v="1"/>
    <s v="Obesity"/>
    <s v="Normal"/>
    <m/>
    <m/>
    <m/>
    <m/>
    <m/>
  </r>
  <r>
    <s v="Id2171"/>
    <s v="Andreyko"/>
    <n v="27.98"/>
    <s v="Normal"/>
    <s v="No"/>
    <s v="yes"/>
    <x v="0"/>
    <n v="1"/>
    <x v="1"/>
    <s v="Overweight"/>
    <s v="Normal"/>
    <m/>
    <m/>
    <m/>
    <m/>
    <m/>
  </r>
  <r>
    <s v="Id2172"/>
    <s v="Landry"/>
    <n v="26.51"/>
    <s v="Normal"/>
    <s v="No"/>
    <s v="No"/>
    <x v="0"/>
    <s v="No major surgery"/>
    <x v="1"/>
    <s v="Overweight"/>
    <s v="Normal"/>
    <m/>
    <m/>
    <m/>
    <m/>
    <m/>
  </r>
  <r>
    <s v="Id2173"/>
    <s v="Lozier"/>
    <n v="29.734999999999999"/>
    <s v="Diabetes"/>
    <s v="No"/>
    <s v="No"/>
    <x v="0"/>
    <s v="No major surgery"/>
    <x v="1"/>
    <s v="Overweight"/>
    <s v="Diabetes"/>
    <m/>
    <m/>
    <m/>
    <m/>
    <m/>
  </r>
  <r>
    <s v="Id2174"/>
    <s v="O'Brien"/>
    <n v="40.5"/>
    <s v="Normal"/>
    <s v="No"/>
    <s v="No"/>
    <x v="1"/>
    <n v="1"/>
    <x v="1"/>
    <s v="Obesity"/>
    <s v="Normal"/>
    <m/>
    <m/>
    <m/>
    <m/>
    <m/>
  </r>
  <r>
    <s v="Id2175"/>
    <s v="Rodas"/>
    <n v="25.64"/>
    <s v="Normal"/>
    <s v="No"/>
    <s v="No"/>
    <x v="0"/>
    <n v="1"/>
    <x v="1"/>
    <s v="Overweight"/>
    <s v="Normal"/>
    <m/>
    <m/>
    <m/>
    <m/>
    <m/>
  </r>
  <r>
    <s v="Id2176"/>
    <s v="O'Connor"/>
    <n v="32.9"/>
    <s v="Normal"/>
    <s v="No"/>
    <s v="No"/>
    <x v="1"/>
    <n v="1"/>
    <x v="1"/>
    <s v="Obesity"/>
    <s v="Normal"/>
    <m/>
    <m/>
    <m/>
    <m/>
    <m/>
  </r>
  <r>
    <s v="Id2177"/>
    <s v="White"/>
    <n v="29.8"/>
    <s v="Normal"/>
    <s v="No"/>
    <s v="No"/>
    <x v="1"/>
    <n v="1"/>
    <x v="1"/>
    <s v="Overweight"/>
    <s v="Normal"/>
    <m/>
    <m/>
    <m/>
    <m/>
    <m/>
  </r>
  <r>
    <s v="Id2178"/>
    <s v="Davenport"/>
    <n v="28.9"/>
    <s v="Prediabetes"/>
    <s v="No"/>
    <s v="No"/>
    <x v="1"/>
    <n v="1"/>
    <x v="1"/>
    <s v="Overweight"/>
    <s v="Prediabetes"/>
    <m/>
    <m/>
    <m/>
    <m/>
    <m/>
  </r>
  <r>
    <s v="Id2179"/>
    <s v="Karmen"/>
    <n v="24.7"/>
    <s v="Normal"/>
    <s v="No"/>
    <s v="No"/>
    <x v="1"/>
    <n v="1"/>
    <x v="1"/>
    <s v="Normal Weight"/>
    <s v="Normal"/>
    <m/>
    <m/>
    <m/>
    <m/>
    <m/>
  </r>
  <r>
    <s v="Id2180"/>
    <s v="Miller"/>
    <n v="20.6"/>
    <s v="Normal"/>
    <s v="No"/>
    <s v="No"/>
    <x v="1"/>
    <n v="1"/>
    <x v="1"/>
    <s v="Normal Weight"/>
    <s v="Normal"/>
    <m/>
    <m/>
    <m/>
    <m/>
    <m/>
  </r>
  <r>
    <s v="Id2181"/>
    <s v="Lippmann"/>
    <n v="18.600000000000001"/>
    <s v="Normal"/>
    <s v="No"/>
    <s v="No"/>
    <x v="1"/>
    <n v="1"/>
    <x v="1"/>
    <s v="Normal Weight"/>
    <s v="Normal"/>
    <m/>
    <m/>
    <m/>
    <m/>
    <m/>
  </r>
  <r>
    <s v="Id2182"/>
    <s v="Klehm"/>
    <n v="17.8"/>
    <s v="Normal"/>
    <s v="No"/>
    <s v="No"/>
    <x v="1"/>
    <n v="1"/>
    <x v="1"/>
    <s v="Underweight"/>
    <s v="Normal"/>
    <m/>
    <m/>
    <m/>
    <m/>
    <m/>
  </r>
  <r>
    <s v="Id2183"/>
    <s v="Murphy"/>
    <n v="35.200000000000003"/>
    <s v="Prediabetes"/>
    <s v="No"/>
    <s v="yes"/>
    <x v="0"/>
    <n v="1"/>
    <x v="1"/>
    <s v="Obesity"/>
    <s v="Prediabetes"/>
    <m/>
    <m/>
    <m/>
    <m/>
    <m/>
  </r>
  <r>
    <s v="Id2184"/>
    <s v="Desisa"/>
    <n v="33.770000000000003"/>
    <s v="Normal"/>
    <s v="No"/>
    <s v="yes"/>
    <x v="0"/>
    <n v="1"/>
    <x v="1"/>
    <s v="Obesity"/>
    <s v="Normal"/>
    <m/>
    <m/>
    <m/>
    <m/>
    <m/>
  </r>
  <r>
    <s v="Id2185"/>
    <s v="Brooks"/>
    <n v="30.03"/>
    <s v="Normal"/>
    <s v="No"/>
    <s v="yes"/>
    <x v="0"/>
    <n v="1"/>
    <x v="1"/>
    <s v="Obesity"/>
    <s v="Normal"/>
    <m/>
    <m/>
    <m/>
    <m/>
    <m/>
  </r>
  <r>
    <s v="Id2186"/>
    <s v="Stone"/>
    <n v="29.37"/>
    <s v="Normal"/>
    <s v="No"/>
    <s v="yes"/>
    <x v="0"/>
    <n v="1"/>
    <x v="1"/>
    <s v="Overweight"/>
    <s v="Normal"/>
    <m/>
    <m/>
    <m/>
    <m/>
    <m/>
  </r>
  <r>
    <s v="Id2187"/>
    <s v="Weispfennig"/>
    <n v="28.5"/>
    <s v="Normal"/>
    <s v="No"/>
    <s v="yes"/>
    <x v="0"/>
    <n v="1"/>
    <x v="1"/>
    <s v="Overweight"/>
    <s v="Normal"/>
    <m/>
    <m/>
    <m/>
    <m/>
    <m/>
  </r>
  <r>
    <s v="Id2188"/>
    <s v="Sorrell"/>
    <n v="23.32"/>
    <s v="Normal"/>
    <s v="No"/>
    <s v="yes"/>
    <x v="0"/>
    <n v="1"/>
    <x v="1"/>
    <s v="Normal Weight"/>
    <s v="Normal"/>
    <m/>
    <m/>
    <m/>
    <m/>
    <m/>
  </r>
  <r>
    <s v="Id2189"/>
    <s v="Morris"/>
    <n v="26.125"/>
    <s v="Normal"/>
    <s v="No"/>
    <s v="yes"/>
    <x v="0"/>
    <n v="1"/>
    <x v="1"/>
    <s v="Overweight"/>
    <s v="Normal"/>
    <m/>
    <m/>
    <m/>
    <m/>
    <m/>
  </r>
  <r>
    <s v="Id2190"/>
    <s v="Marek"/>
    <n v="25.46"/>
    <s v="Normal"/>
    <s v="No"/>
    <s v="yes"/>
    <x v="0"/>
    <n v="1"/>
    <x v="1"/>
    <s v="Overweight"/>
    <s v="Normal"/>
    <m/>
    <m/>
    <m/>
    <m/>
    <m/>
  </r>
  <r>
    <s v="Id2191"/>
    <s v="Armstrong"/>
    <n v="23.75"/>
    <s v="Normal"/>
    <s v="No"/>
    <s v="yes"/>
    <x v="0"/>
    <n v="1"/>
    <x v="1"/>
    <s v="Normal Weight"/>
    <s v="Normal"/>
    <m/>
    <m/>
    <m/>
    <m/>
    <m/>
  </r>
  <r>
    <s v="Id2192"/>
    <s v="Werner"/>
    <n v="23.085000000000001"/>
    <s v="Normal"/>
    <s v="No"/>
    <s v="yes"/>
    <x v="0"/>
    <n v="1"/>
    <x v="1"/>
    <s v="Normal Weight"/>
    <s v="Normal"/>
    <m/>
    <m/>
    <m/>
    <m/>
    <m/>
  </r>
  <r>
    <s v="Id2193"/>
    <s v="Gries"/>
    <n v="22.99"/>
    <s v="Normal"/>
    <s v="No"/>
    <s v="yes"/>
    <x v="0"/>
    <n v="1"/>
    <x v="1"/>
    <s v="Normal Weight"/>
    <s v="Normal"/>
    <m/>
    <m/>
    <m/>
    <m/>
    <m/>
  </r>
  <r>
    <s v="Id2194"/>
    <s v="Mills"/>
    <n v="21.47"/>
    <s v="Normal"/>
    <s v="No"/>
    <s v="yes"/>
    <x v="0"/>
    <n v="1"/>
    <x v="1"/>
    <s v="Normal Weight"/>
    <s v="Normal"/>
    <m/>
    <m/>
    <m/>
    <m/>
    <m/>
  </r>
  <r>
    <s v="Id2195"/>
    <s v="Penny"/>
    <n v="15.96"/>
    <s v="Normal"/>
    <s v="No"/>
    <s v="yes"/>
    <x v="0"/>
    <n v="1"/>
    <x v="1"/>
    <s v="Underweight"/>
    <s v="Normal"/>
    <m/>
    <m/>
    <m/>
    <m/>
    <m/>
  </r>
  <r>
    <s v="Id2196"/>
    <s v="Hicks"/>
    <n v="39.5"/>
    <s v="Normal"/>
    <s v="No"/>
    <s v="yes"/>
    <x v="0"/>
    <n v="1"/>
    <x v="1"/>
    <s v="Obesity"/>
    <s v="Normal"/>
    <m/>
    <m/>
    <m/>
    <m/>
    <m/>
  </r>
  <r>
    <s v="Id2197"/>
    <s v="Masayesva"/>
    <n v="33.770000000000003"/>
    <s v="Prediabetes"/>
    <s v="No"/>
    <s v="yes"/>
    <x v="0"/>
    <n v="1"/>
    <x v="1"/>
    <s v="Obesity"/>
    <s v="Prediabetes"/>
    <m/>
    <m/>
    <m/>
    <m/>
    <m/>
  </r>
  <r>
    <s v="Id2198"/>
    <s v="Paavola"/>
    <n v="26.84"/>
    <s v="Prediabetes"/>
    <s v="yes"/>
    <s v="yes"/>
    <x v="0"/>
    <n v="1"/>
    <x v="1"/>
    <s v="Overweight"/>
    <s v="Prediabetes"/>
    <m/>
    <m/>
    <m/>
    <m/>
    <m/>
  </r>
  <r>
    <s v="Id2199"/>
    <s v="Gehlsen"/>
    <n v="35.53"/>
    <s v="Normal"/>
    <s v="No"/>
    <s v="No"/>
    <x v="1"/>
    <n v="1"/>
    <x v="1"/>
    <s v="Obesity"/>
    <s v="Normal"/>
    <m/>
    <m/>
    <m/>
    <m/>
    <m/>
  </r>
  <r>
    <s v="Id2200"/>
    <s v="Roche"/>
    <n v="30.59"/>
    <s v="Normal"/>
    <s v="No"/>
    <s v="No"/>
    <x v="1"/>
    <n v="1"/>
    <x v="1"/>
    <s v="Obesity"/>
    <s v="Normal"/>
    <m/>
    <m/>
    <m/>
    <m/>
    <m/>
  </r>
  <r>
    <s v="Id2201"/>
    <s v="Hearn"/>
    <n v="30.59"/>
    <s v="Normal"/>
    <s v="No"/>
    <s v="No"/>
    <x v="1"/>
    <n v="1"/>
    <x v="1"/>
    <s v="Obesity"/>
    <s v="Normal"/>
    <m/>
    <m/>
    <m/>
    <m/>
    <m/>
  </r>
  <r>
    <s v="Id2202"/>
    <s v="Dimson"/>
    <n v="27.835000000000001"/>
    <s v="Normal"/>
    <s v="No"/>
    <s v="No"/>
    <x v="1"/>
    <n v="1"/>
    <x v="1"/>
    <s v="Overweight"/>
    <s v="Normal"/>
    <m/>
    <m/>
    <m/>
    <m/>
    <m/>
  </r>
  <r>
    <s v="Id2203"/>
    <s v="Slason"/>
    <n v="40.26"/>
    <s v="Normal"/>
    <s v="No"/>
    <s v="yes"/>
    <x v="0"/>
    <n v="1"/>
    <x v="1"/>
    <s v="Obesity"/>
    <s v="Normal"/>
    <m/>
    <m/>
    <m/>
    <m/>
    <m/>
  </r>
  <r>
    <s v="Id2204"/>
    <s v="Gibson"/>
    <n v="39.82"/>
    <s v="Prediabetes"/>
    <s v="No"/>
    <s v="yes"/>
    <x v="0"/>
    <n v="1"/>
    <x v="1"/>
    <s v="Obesity"/>
    <s v="Prediabetes"/>
    <m/>
    <m/>
    <m/>
    <m/>
    <m/>
  </r>
  <r>
    <s v="Id2205"/>
    <s v="Erdos"/>
    <n v="39.159999999999997"/>
    <s v="Prediabetes"/>
    <s v="No"/>
    <s v="yes"/>
    <x v="0"/>
    <n v="1"/>
    <x v="1"/>
    <s v="Obesity"/>
    <s v="Prediabetes"/>
    <m/>
    <m/>
    <m/>
    <m/>
    <m/>
  </r>
  <r>
    <s v="Id2206"/>
    <s v="Cushman"/>
    <n v="25.555"/>
    <s v="Normal"/>
    <s v="No"/>
    <s v="No"/>
    <x v="1"/>
    <n v="1"/>
    <x v="1"/>
    <s v="Overweight"/>
    <s v="Normal"/>
    <m/>
    <m/>
    <m/>
    <m/>
    <m/>
  </r>
  <r>
    <s v="Id2207"/>
    <s v="Hammel"/>
    <n v="25.175000000000001"/>
    <s v="Prediabetes"/>
    <s v="No"/>
    <s v="No"/>
    <x v="1"/>
    <n v="1"/>
    <x v="1"/>
    <s v="Overweight"/>
    <s v="Prediabetes"/>
    <m/>
    <m/>
    <m/>
    <m/>
    <m/>
  </r>
  <r>
    <s v="Id2208"/>
    <s v="Ytterstad"/>
    <n v="38.28"/>
    <s v="Normal"/>
    <s v="No"/>
    <s v="yes"/>
    <x v="0"/>
    <n v="1"/>
    <x v="1"/>
    <s v="Obesity"/>
    <s v="Normal"/>
    <m/>
    <m/>
    <m/>
    <m/>
    <m/>
  </r>
  <r>
    <s v="Id2209"/>
    <s v="Prince"/>
    <n v="38.17"/>
    <s v="Normal"/>
    <s v="No"/>
    <s v="yes"/>
    <x v="0"/>
    <n v="1"/>
    <x v="1"/>
    <s v="Obesity"/>
    <s v="Normal"/>
    <m/>
    <m/>
    <m/>
    <m/>
    <m/>
  </r>
  <r>
    <s v="Id2210"/>
    <s v="Freeman"/>
    <n v="36.85"/>
    <s v="Normal"/>
    <s v="No"/>
    <s v="yes"/>
    <x v="0"/>
    <n v="1"/>
    <x v="1"/>
    <s v="Obesity"/>
    <s v="Normal"/>
    <m/>
    <m/>
    <m/>
    <m/>
    <m/>
  </r>
  <r>
    <s v="Id2211"/>
    <s v="Petrulak"/>
    <n v="22.61"/>
    <s v="Normal"/>
    <s v="No"/>
    <s v="No"/>
    <x v="1"/>
    <n v="1"/>
    <x v="1"/>
    <s v="Normal Weight"/>
    <s v="Normal"/>
    <m/>
    <m/>
    <m/>
    <m/>
    <m/>
  </r>
  <r>
    <s v="Id2212"/>
    <s v="Lloyd"/>
    <n v="21.754999999999999"/>
    <s v="Prediabetes"/>
    <s v="No"/>
    <s v="No"/>
    <x v="1"/>
    <n v="1"/>
    <x v="1"/>
    <s v="Normal Weight"/>
    <s v="Prediabetes"/>
    <m/>
    <m/>
    <m/>
    <m/>
    <m/>
  </r>
  <r>
    <s v="Id2213"/>
    <s v="Zablocki"/>
    <n v="20.425000000000001"/>
    <s v="Normal"/>
    <s v="No"/>
    <s v="No"/>
    <x v="1"/>
    <n v="1"/>
    <x v="1"/>
    <s v="Normal Weight"/>
    <s v="Normal"/>
    <m/>
    <m/>
    <m/>
    <m/>
    <m/>
  </r>
  <r>
    <s v="Id2214"/>
    <s v="Van Meter"/>
    <n v="31.35"/>
    <s v="Normal"/>
    <s v="No"/>
    <s v="yes"/>
    <x v="0"/>
    <n v="1"/>
    <x v="1"/>
    <s v="Obesity"/>
    <s v="Normal"/>
    <m/>
    <m/>
    <m/>
    <m/>
    <m/>
  </r>
  <r>
    <s v="Id2215"/>
    <s v="Babay"/>
    <n v="31.13"/>
    <s v="Prediabetes"/>
    <s v="No"/>
    <s v="yes"/>
    <x v="0"/>
    <n v="1"/>
    <x v="1"/>
    <s v="Obesity"/>
    <s v="Prediabetes"/>
    <m/>
    <m/>
    <m/>
    <m/>
    <m/>
  </r>
  <r>
    <s v="Id2216"/>
    <s v="Taylor"/>
    <n v="17.48"/>
    <s v="Normal"/>
    <s v="No"/>
    <s v="No"/>
    <x v="1"/>
    <n v="1"/>
    <x v="1"/>
    <s v="Underweight"/>
    <s v="Normal"/>
    <m/>
    <m/>
    <m/>
    <m/>
    <m/>
  </r>
  <r>
    <s v="Id2217"/>
    <s v="Smith"/>
    <n v="22.57"/>
    <s v="Prediabetes"/>
    <s v="yes"/>
    <s v="No"/>
    <x v="0"/>
    <n v="1"/>
    <x v="1"/>
    <s v="Normal Weight"/>
    <s v="Prediabetes"/>
    <m/>
    <m/>
    <m/>
    <m/>
    <m/>
  </r>
  <r>
    <s v="Id2218"/>
    <s v="Moody"/>
    <n v="26.73"/>
    <s v="Normal"/>
    <s v="No"/>
    <s v="yes"/>
    <x v="0"/>
    <n v="1"/>
    <x v="1"/>
    <s v="Overweight"/>
    <s v="Normal"/>
    <m/>
    <m/>
    <m/>
    <m/>
    <m/>
  </r>
  <r>
    <s v="Id2219"/>
    <s v="Swierzbinski"/>
    <n v="20.79"/>
    <s v="Prediabetes"/>
    <s v="No"/>
    <s v="yes"/>
    <x v="0"/>
    <n v="1"/>
    <x v="1"/>
    <s v="Normal Weight"/>
    <s v="Prediabetes"/>
    <m/>
    <m/>
    <m/>
    <m/>
    <m/>
  </r>
  <r>
    <s v="Id2220"/>
    <s v="Schwartz"/>
    <n v="20.149999999999999"/>
    <s v="Normal"/>
    <s v="No"/>
    <s v="No"/>
    <x v="0"/>
    <n v="1"/>
    <x v="1"/>
    <s v="Normal Weight"/>
    <s v="Normal"/>
    <m/>
    <m/>
    <m/>
    <m/>
    <m/>
  </r>
  <r>
    <s v="Id2221"/>
    <s v="Sanseverino"/>
    <n v="36.85"/>
    <s v="Normal"/>
    <s v="yes"/>
    <s v="No"/>
    <x v="0"/>
    <s v="No major surgery"/>
    <x v="1"/>
    <s v="Obesity"/>
    <s v="Normal"/>
    <m/>
    <m/>
    <m/>
    <m/>
    <m/>
  </r>
  <r>
    <s v="Id2222"/>
    <s v="Lawder"/>
    <n v="35.53"/>
    <s v="Normal"/>
    <s v="yes"/>
    <s v="No"/>
    <x v="0"/>
    <s v="No major surgery"/>
    <x v="1"/>
    <s v="Obesity"/>
    <s v="Normal"/>
    <m/>
    <m/>
    <m/>
    <m/>
    <m/>
  </r>
  <r>
    <s v="Id2223"/>
    <s v="Young"/>
    <n v="31.1"/>
    <s v="Normal"/>
    <s v="yes"/>
    <s v="No"/>
    <x v="0"/>
    <s v="No major surgery"/>
    <x v="1"/>
    <s v="Obesity"/>
    <s v="Normal"/>
    <m/>
    <m/>
    <m/>
    <m/>
    <m/>
  </r>
  <r>
    <s v="Id2224"/>
    <s v="Hoerner"/>
    <n v="23.21"/>
    <s v="Normal"/>
    <s v="yes"/>
    <s v="No"/>
    <x v="0"/>
    <s v="No major surgery"/>
    <x v="1"/>
    <s v="Normal Weight"/>
    <s v="Normal"/>
    <m/>
    <m/>
    <m/>
    <m/>
    <m/>
  </r>
  <r>
    <s v="Id2225"/>
    <s v="Benson"/>
    <n v="18.36"/>
    <s v="Prediabetes"/>
    <s v="No"/>
    <s v="No"/>
    <x v="0"/>
    <n v="1"/>
    <x v="1"/>
    <s v="Underweight"/>
    <s v="Prediabetes"/>
    <m/>
    <m/>
    <m/>
    <m/>
    <m/>
  </r>
  <r>
    <s v="Id2226"/>
    <s v="Horton"/>
    <n v="15.92"/>
    <s v="Normal"/>
    <s v="yes"/>
    <s v="No"/>
    <x v="0"/>
    <n v="1"/>
    <x v="1"/>
    <s v="Underweight"/>
    <s v="Normal"/>
    <m/>
    <m/>
    <m/>
    <m/>
    <m/>
  </r>
  <r>
    <s v="Id2227"/>
    <s v="McGraw"/>
    <n v="15.17"/>
    <s v="Normal"/>
    <s v="yes"/>
    <s v="No"/>
    <x v="1"/>
    <n v="1"/>
    <x v="1"/>
    <s v="Underweight"/>
    <s v="Normal"/>
    <m/>
    <m/>
    <m/>
    <m/>
    <m/>
  </r>
  <r>
    <s v="Id2228"/>
    <s v="Beaulne"/>
    <n v="16.63"/>
    <s v="Normal"/>
    <s v="No"/>
    <s v="No"/>
    <x v="0"/>
    <n v="1"/>
    <x v="1"/>
    <s v="Underweight"/>
    <s v="Normal"/>
    <m/>
    <m/>
    <m/>
    <m/>
    <m/>
  </r>
  <r>
    <s v="Id2229"/>
    <s v="Lunz"/>
    <n v="19.39"/>
    <s v="Normal"/>
    <s v="No"/>
    <s v="No"/>
    <x v="1"/>
    <n v="1"/>
    <x v="1"/>
    <s v="Normal Weight"/>
    <s v="Normal"/>
    <m/>
    <m/>
    <m/>
    <m/>
    <m/>
  </r>
  <r>
    <s v="Id2230"/>
    <s v="Kyle"/>
    <n v="17.34"/>
    <s v="Prediabetes"/>
    <s v="yes"/>
    <s v="No"/>
    <x v="1"/>
    <n v="1"/>
    <x v="1"/>
    <s v="Underweight"/>
    <s v="Prediabetes"/>
    <m/>
    <m/>
    <m/>
    <m/>
    <m/>
  </r>
  <r>
    <s v="Id2231"/>
    <s v="Brackenwagen"/>
    <n v="17.940000000000001"/>
    <s v="Normal"/>
    <s v="No"/>
    <s v="yes"/>
    <x v="0"/>
    <n v="1"/>
    <x v="1"/>
    <s v="Underweight"/>
    <s v="Normal"/>
    <m/>
    <m/>
    <m/>
    <m/>
    <m/>
  </r>
  <r>
    <s v="Id2232"/>
    <s v="Schmitt"/>
    <n v="16.670000000000002"/>
    <s v="Normal"/>
    <s v="yes"/>
    <s v="No"/>
    <x v="1"/>
    <n v="1"/>
    <x v="1"/>
    <s v="Underweight"/>
    <s v="Normal"/>
    <m/>
    <m/>
    <m/>
    <m/>
    <m/>
  </r>
  <r>
    <s v="Id2233"/>
    <s v="Borden"/>
    <n v="20.58"/>
    <s v="Normal"/>
    <s v="yes"/>
    <s v="No"/>
    <x v="0"/>
    <s v="No major surgery"/>
    <x v="1"/>
    <s v="Normal Weight"/>
    <s v="Normal"/>
    <m/>
    <m/>
    <m/>
    <m/>
    <m/>
  </r>
  <r>
    <s v="Id2234"/>
    <s v="McLean"/>
    <n v="16.5"/>
    <s v="Normal"/>
    <s v="yes"/>
    <s v="No"/>
    <x v="0"/>
    <s v="No major surgery"/>
    <x v="1"/>
    <s v="Underweight"/>
    <s v="Normal"/>
    <m/>
    <m/>
    <m/>
    <m/>
    <m/>
  </r>
  <r>
    <s v="Id2235"/>
    <s v="Regan"/>
    <n v="15.41"/>
    <s v="Normal"/>
    <s v="yes"/>
    <s v="No"/>
    <x v="1"/>
    <n v="1"/>
    <x v="1"/>
    <s v="Underweight"/>
    <s v="Normal"/>
    <m/>
    <m/>
    <m/>
    <m/>
    <m/>
  </r>
  <r>
    <s v="Id2236"/>
    <s v="Koenis"/>
    <n v="24.59"/>
    <s v="Normal"/>
    <s v="No"/>
    <s v="No"/>
    <x v="0"/>
    <n v="1"/>
    <x v="1"/>
    <s v="Normal Weight"/>
    <s v="Normal"/>
    <m/>
    <m/>
    <m/>
    <m/>
    <m/>
  </r>
  <r>
    <s v="Id2237"/>
    <s v="Kittaka"/>
    <n v="33.33"/>
    <s v="Diabetes"/>
    <s v="No"/>
    <s v="No"/>
    <x v="0"/>
    <s v="No major surgery"/>
    <x v="1"/>
    <s v="Obesity"/>
    <s v="Diabetes"/>
    <m/>
    <m/>
    <m/>
    <m/>
    <m/>
  </r>
  <r>
    <s v="Id2238"/>
    <s v="Concannon"/>
    <n v="18.5"/>
    <s v="Diabetes"/>
    <s v="No"/>
    <s v="No"/>
    <x v="0"/>
    <s v="No major surgery"/>
    <x v="1"/>
    <s v="Normal Weight"/>
    <s v="Diabetes"/>
    <m/>
    <m/>
    <m/>
    <m/>
    <m/>
  </r>
  <r>
    <s v="Id2239"/>
    <s v="Johnson"/>
    <n v="18.579999999999998"/>
    <s v="Prediabetes"/>
    <s v="No"/>
    <s v="No"/>
    <x v="0"/>
    <s v="No major surgery"/>
    <x v="1"/>
    <s v="Normal Weight"/>
    <s v="Prediabetes"/>
    <m/>
    <m/>
    <m/>
    <m/>
    <m/>
  </r>
  <r>
    <s v="Id2240"/>
    <s v="Schultz"/>
    <n v="16.64"/>
    <s v="Diabetes"/>
    <s v="No"/>
    <s v="No"/>
    <x v="0"/>
    <s v="No major surgery"/>
    <x v="1"/>
    <s v="Underweight"/>
    <s v="Diabetes"/>
    <m/>
    <m/>
    <m/>
    <m/>
    <m/>
  </r>
  <r>
    <s v="Id2241"/>
    <s v="Brannigan"/>
    <n v="19.329999999999998"/>
    <s v="Normal"/>
    <s v="No"/>
    <s v="No"/>
    <x v="0"/>
    <n v="1"/>
    <x v="1"/>
    <s v="Normal Weight"/>
    <s v="Normal"/>
    <m/>
    <m/>
    <m/>
    <m/>
    <m/>
  </r>
  <r>
    <s v="Id2242"/>
    <s v="Cavallo"/>
    <n v="21.26"/>
    <s v="Normal"/>
    <s v="yes"/>
    <s v="No"/>
    <x v="1"/>
    <n v="1"/>
    <x v="1"/>
    <s v="Normal Weight"/>
    <s v="Normal"/>
    <m/>
    <m/>
    <m/>
    <m/>
    <m/>
  </r>
  <r>
    <s v="Id2243"/>
    <s v="Chang"/>
    <n v="15.6"/>
    <s v="Normal"/>
    <s v="yes"/>
    <s v="No"/>
    <x v="0"/>
    <n v="1"/>
    <x v="1"/>
    <s v="Underweight"/>
    <s v="Normal"/>
    <m/>
    <m/>
    <m/>
    <m/>
    <m/>
  </r>
  <r>
    <s v="Id2244"/>
    <s v="Axelrod"/>
    <n v="24.39"/>
    <s v="Prediabetes"/>
    <s v="No"/>
    <s v="No"/>
    <x v="0"/>
    <n v="1"/>
    <x v="1"/>
    <s v="Normal Weight"/>
    <s v="Prediabetes"/>
    <m/>
    <m/>
    <m/>
    <m/>
    <m/>
  </r>
  <r>
    <s v="Id2245"/>
    <s v="Davenport"/>
    <n v="24.75"/>
    <s v="Normal"/>
    <s v="No"/>
    <s v="No"/>
    <x v="0"/>
    <s v="No major surgery"/>
    <x v="1"/>
    <s v="Normal Weight"/>
    <s v="Normal"/>
    <m/>
    <m/>
    <m/>
    <m/>
    <m/>
  </r>
  <r>
    <s v="Id2246"/>
    <s v="Roberge"/>
    <n v="20.88"/>
    <s v="Diabetes"/>
    <s v="No"/>
    <s v="No"/>
    <x v="0"/>
    <s v="No major surgery"/>
    <x v="1"/>
    <s v="Normal Weight"/>
    <s v="Diabetes"/>
    <m/>
    <m/>
    <m/>
    <m/>
    <m/>
  </r>
  <r>
    <s v="Id2247"/>
    <s v="Schmidt"/>
    <n v="20.43"/>
    <s v="Normal"/>
    <s v="No"/>
    <s v="No"/>
    <x v="0"/>
    <s v="No major surgery"/>
    <x v="1"/>
    <s v="Normal Weight"/>
    <s v="Normal"/>
    <m/>
    <m/>
    <m/>
    <m/>
    <m/>
  </r>
  <r>
    <s v="Id2248"/>
    <s v="Kosters"/>
    <n v="15.18"/>
    <s v="Diabetes"/>
    <s v="No"/>
    <s v="No"/>
    <x v="0"/>
    <s v="No major surgery"/>
    <x v="1"/>
    <s v="Underweight"/>
    <s v="Diabetes"/>
    <m/>
    <m/>
    <m/>
    <m/>
    <m/>
  </r>
  <r>
    <s v="Id2249"/>
    <s v="Dykes"/>
    <n v="15.12"/>
    <s v="Normal"/>
    <s v="yes"/>
    <s v="No"/>
    <x v="0"/>
    <s v="No major surgery"/>
    <x v="1"/>
    <s v="Underweight"/>
    <s v="Normal"/>
    <m/>
    <m/>
    <m/>
    <m/>
    <m/>
  </r>
  <r>
    <s v="Id2250"/>
    <s v="Velan"/>
    <n v="23.88"/>
    <s v="Normal"/>
    <s v="No"/>
    <s v="No"/>
    <x v="0"/>
    <n v="1"/>
    <x v="1"/>
    <s v="Normal Weight"/>
    <s v="Normal"/>
    <m/>
    <m/>
    <m/>
    <m/>
    <m/>
  </r>
  <r>
    <s v="Id2251"/>
    <s v="Goolik"/>
    <n v="16.13"/>
    <s v="Normal"/>
    <s v="No"/>
    <s v="yes"/>
    <x v="0"/>
    <n v="1"/>
    <x v="1"/>
    <s v="Underweight"/>
    <s v="Normal"/>
    <m/>
    <m/>
    <m/>
    <m/>
    <m/>
  </r>
  <r>
    <s v="Id2252"/>
    <s v="Bain"/>
    <n v="24.09"/>
    <s v="Normal"/>
    <s v="No"/>
    <s v="yes"/>
    <x v="0"/>
    <n v="1"/>
    <x v="1"/>
    <s v="Normal Weight"/>
    <s v="Normal"/>
    <m/>
    <m/>
    <m/>
    <m/>
    <m/>
  </r>
  <r>
    <s v="Id2253"/>
    <s v="Wieck"/>
    <n v="19.43"/>
    <s v="Prediabetes"/>
    <s v="No"/>
    <s v="yes"/>
    <x v="0"/>
    <n v="1"/>
    <x v="1"/>
    <s v="Normal Weight"/>
    <s v="Prediabetes"/>
    <m/>
    <m/>
    <m/>
    <m/>
    <m/>
  </r>
  <r>
    <s v="Id2254"/>
    <s v="Friel"/>
    <n v="15.22"/>
    <s v="Normal"/>
    <s v="yes"/>
    <s v="No"/>
    <x v="1"/>
    <n v="1"/>
    <x v="1"/>
    <s v="Underweight"/>
    <s v="Normal"/>
    <m/>
    <m/>
    <m/>
    <m/>
    <m/>
  </r>
  <r>
    <s v="Id2255"/>
    <s v="Santandreu"/>
    <n v="20.72"/>
    <s v="Diabetes"/>
    <s v="No"/>
    <s v="No"/>
    <x v="0"/>
    <s v="No major surgery"/>
    <x v="1"/>
    <s v="Normal Weight"/>
    <s v="Diabetes"/>
    <m/>
    <m/>
    <m/>
    <m/>
    <m/>
  </r>
  <r>
    <s v="Id2256"/>
    <s v="Johnson"/>
    <n v="35.4"/>
    <s v="Prediabetes"/>
    <s v="No"/>
    <s v="No"/>
    <x v="1"/>
    <n v="1"/>
    <x v="1"/>
    <s v="Obesity"/>
    <s v="Prediabetes"/>
    <m/>
    <m/>
    <m/>
    <m/>
    <m/>
  </r>
  <r>
    <s v="Id2257"/>
    <s v="Gerber"/>
    <n v="34.4"/>
    <s v="Prediabetes"/>
    <s v="No"/>
    <s v="No"/>
    <x v="1"/>
    <n v="1"/>
    <x v="1"/>
    <s v="Obesity"/>
    <s v="Prediabetes"/>
    <m/>
    <m/>
    <m/>
    <m/>
    <m/>
  </r>
  <r>
    <s v="Id2258"/>
    <s v="Benadum"/>
    <n v="34.1"/>
    <s v="Normal"/>
    <s v="No"/>
    <s v="No"/>
    <x v="1"/>
    <n v="1"/>
    <x v="1"/>
    <s v="Obesity"/>
    <s v="Normal"/>
    <m/>
    <m/>
    <m/>
    <m/>
    <m/>
  </r>
  <r>
    <s v="Id2259"/>
    <s v="Ragazzini"/>
    <n v="30.4"/>
    <s v="Normal"/>
    <s v="No"/>
    <s v="No"/>
    <x v="1"/>
    <n v="1"/>
    <x v="1"/>
    <s v="Obesity"/>
    <s v="Normal"/>
    <m/>
    <m/>
    <m/>
    <m/>
    <m/>
  </r>
  <r>
    <s v="Id2260"/>
    <s v="Kessinger"/>
    <n v="28.7"/>
    <s v="Normal"/>
    <s v="No"/>
    <s v="No"/>
    <x v="1"/>
    <n v="1"/>
    <x v="1"/>
    <s v="Overweight"/>
    <s v="Normal"/>
    <m/>
    <m/>
    <m/>
    <m/>
    <m/>
  </r>
  <r>
    <s v="Id2261"/>
    <s v="Bezgin"/>
    <n v="17.440000000000001"/>
    <s v="Normal"/>
    <s v="yes"/>
    <s v="No"/>
    <x v="1"/>
    <n v="1"/>
    <x v="1"/>
    <s v="Underweight"/>
    <s v="Normal"/>
    <m/>
    <m/>
    <m/>
    <m/>
    <m/>
  </r>
  <r>
    <s v="Id2262"/>
    <s v="Woldesilassie"/>
    <n v="27.6"/>
    <s v="Normal"/>
    <s v="No"/>
    <s v="No"/>
    <x v="1"/>
    <n v="1"/>
    <x v="1"/>
    <s v="Overweight"/>
    <s v="Normal"/>
    <m/>
    <m/>
    <m/>
    <m/>
    <m/>
  </r>
  <r>
    <s v="Id2263"/>
    <s v="Ruiz Herrero"/>
    <n v="20.7"/>
    <s v="Normal"/>
    <s v="No"/>
    <s v="No"/>
    <x v="1"/>
    <n v="1"/>
    <x v="1"/>
    <s v="Normal Weight"/>
    <s v="Normal"/>
    <m/>
    <m/>
    <m/>
    <m/>
    <m/>
  </r>
  <r>
    <s v="Id2264"/>
    <s v="Bin Alias"/>
    <n v="20.3"/>
    <s v="Prediabetes"/>
    <s v="No"/>
    <s v="No"/>
    <x v="1"/>
    <n v="1"/>
    <x v="1"/>
    <s v="Normal Weight"/>
    <s v="Prediabetes"/>
    <m/>
    <m/>
    <m/>
    <m/>
    <m/>
  </r>
  <r>
    <s v="Id2265"/>
    <s v="Fischer-Daly"/>
    <n v="19.8"/>
    <s v="Normal"/>
    <s v="No"/>
    <s v="No"/>
    <x v="1"/>
    <n v="1"/>
    <x v="1"/>
    <s v="Normal Weight"/>
    <s v="Normal"/>
    <m/>
    <m/>
    <m/>
    <m/>
    <m/>
  </r>
  <r>
    <s v="Id2266"/>
    <s v="Pulliam"/>
    <n v="21.87"/>
    <s v="Diabetes"/>
    <s v="No"/>
    <s v="No"/>
    <x v="0"/>
    <s v="No major surgery"/>
    <x v="1"/>
    <s v="Normal Weight"/>
    <s v="Diabetes"/>
    <m/>
    <m/>
    <m/>
    <m/>
    <m/>
  </r>
  <r>
    <s v="Id2267"/>
    <s v="Guisinger"/>
    <n v="16.600000000000001"/>
    <s v="Prediabetes"/>
    <s v="No"/>
    <s v="No"/>
    <x v="0"/>
    <n v="1"/>
    <x v="1"/>
    <s v="Underweight"/>
    <s v="Prediabetes"/>
    <m/>
    <m/>
    <m/>
    <m/>
    <m/>
  </r>
  <r>
    <s v="Id2268"/>
    <s v="Arnerich"/>
    <n v="21.98"/>
    <s v="Diabetes"/>
    <s v="No"/>
    <s v="No"/>
    <x v="0"/>
    <s v="No major surgery"/>
    <x v="1"/>
    <s v="Normal Weight"/>
    <s v="Diabetes"/>
    <m/>
    <m/>
    <m/>
    <m/>
    <m/>
  </r>
  <r>
    <s v="Id2269"/>
    <s v="Lynch"/>
    <n v="19.7"/>
    <s v="Normal"/>
    <s v="No"/>
    <s v="No"/>
    <x v="0"/>
    <n v="1"/>
    <x v="1"/>
    <s v="Normal Weight"/>
    <s v="Normal"/>
    <m/>
    <m/>
    <m/>
    <m/>
    <m/>
  </r>
  <r>
    <s v="Id2270"/>
    <s v="Reilly"/>
    <n v="19.21"/>
    <s v="Normal"/>
    <s v="No"/>
    <s v="yes"/>
    <x v="0"/>
    <n v="1"/>
    <x v="1"/>
    <s v="Normal Weight"/>
    <s v="Normal"/>
    <m/>
    <m/>
    <m/>
    <m/>
    <m/>
  </r>
  <r>
    <s v="Id2271"/>
    <s v="Nolette"/>
    <n v="19.3"/>
    <s v="Normal"/>
    <s v="No"/>
    <s v="yes"/>
    <x v="0"/>
    <n v="1"/>
    <x v="1"/>
    <s v="Normal Weight"/>
    <s v="Normal"/>
    <m/>
    <m/>
    <m/>
    <m/>
    <m/>
  </r>
  <r>
    <s v="Id2272"/>
    <s v="Chabrier"/>
    <n v="16.22"/>
    <s v="Prediabetes"/>
    <s v="yes"/>
    <s v="No"/>
    <x v="0"/>
    <s v="No major surgery"/>
    <x v="1"/>
    <s v="Underweight"/>
    <s v="Prediabetes"/>
    <m/>
    <m/>
    <m/>
    <m/>
    <m/>
  </r>
  <r>
    <s v="Id2273"/>
    <s v="Lee"/>
    <n v="17.12"/>
    <s v="Normal"/>
    <s v="No"/>
    <s v="yes"/>
    <x v="0"/>
    <n v="1"/>
    <x v="1"/>
    <s v="Underweight"/>
    <s v="Normal"/>
    <m/>
    <m/>
    <m/>
    <m/>
    <m/>
  </r>
  <r>
    <s v="Id2274"/>
    <s v="Knotts"/>
    <n v="19.07"/>
    <s v="Normal"/>
    <s v="No"/>
    <s v="No"/>
    <x v="0"/>
    <n v="1"/>
    <x v="1"/>
    <s v="Normal Weight"/>
    <s v="Normal"/>
    <m/>
    <m/>
    <m/>
    <m/>
    <m/>
  </r>
  <r>
    <s v="Id2275"/>
    <s v="Pultorak"/>
    <n v="15.56"/>
    <s v="Normal"/>
    <s v="No"/>
    <s v="No"/>
    <x v="0"/>
    <s v="No major surgery"/>
    <x v="1"/>
    <s v="Underweight"/>
    <s v="Normal"/>
    <m/>
    <m/>
    <m/>
    <m/>
    <m/>
  </r>
  <r>
    <s v="Id2276"/>
    <s v="Maxon"/>
    <n v="22.76"/>
    <s v="Diabetes"/>
    <s v="No"/>
    <s v="No"/>
    <x v="0"/>
    <s v="No major surgery"/>
    <x v="1"/>
    <s v="Normal Weight"/>
    <s v="Diabetes"/>
    <m/>
    <m/>
    <m/>
    <m/>
    <m/>
  </r>
  <r>
    <s v="Id2277"/>
    <s v="Kraai"/>
    <n v="22.79"/>
    <s v="Prediabetes"/>
    <s v="yes"/>
    <s v="No"/>
    <x v="1"/>
    <n v="1"/>
    <x v="1"/>
    <s v="Normal Weight"/>
    <s v="Prediabetes"/>
    <m/>
    <m/>
    <m/>
    <m/>
    <m/>
  </r>
  <r>
    <s v="Id2278"/>
    <s v="Larosa"/>
    <n v="17.41"/>
    <s v="Normal"/>
    <s v="yes"/>
    <s v="No"/>
    <x v="0"/>
    <s v="No major surgery"/>
    <x v="1"/>
    <s v="Underweight"/>
    <s v="Normal"/>
    <m/>
    <m/>
    <m/>
    <m/>
    <m/>
  </r>
  <r>
    <s v="Id2279"/>
    <s v="King"/>
    <n v="19.32"/>
    <s v="Normal"/>
    <s v="yes"/>
    <s v="No"/>
    <x v="0"/>
    <s v="No major surgery"/>
    <x v="1"/>
    <s v="Normal Weight"/>
    <s v="Normal"/>
    <m/>
    <m/>
    <m/>
    <m/>
    <m/>
  </r>
  <r>
    <s v="Id2280"/>
    <s v="Haney"/>
    <n v="18.25"/>
    <s v="Diabetes"/>
    <s v="No"/>
    <s v="No"/>
    <x v="0"/>
    <s v="No major surgery"/>
    <x v="1"/>
    <s v="Underweight"/>
    <s v="Diabetes"/>
    <m/>
    <m/>
    <m/>
    <m/>
    <m/>
  </r>
  <r>
    <s v="Id2281"/>
    <s v="Boulay"/>
    <n v="53.13"/>
    <s v="Normal"/>
    <s v="No"/>
    <s v="yes"/>
    <x v="0"/>
    <n v="1"/>
    <x v="1"/>
    <s v="Obesity"/>
    <s v="Normal"/>
    <m/>
    <m/>
    <m/>
    <m/>
    <m/>
  </r>
  <r>
    <s v="Id2282"/>
    <s v="Peters"/>
    <n v="20.46"/>
    <s v="Normal"/>
    <s v="No"/>
    <s v="No"/>
    <x v="0"/>
    <s v="No major surgery"/>
    <x v="1"/>
    <s v="Normal Weight"/>
    <s v="Normal"/>
    <m/>
    <m/>
    <m/>
    <m/>
    <m/>
  </r>
  <r>
    <s v="Id2283"/>
    <s v="Luy"/>
    <n v="43.01"/>
    <s v="Normal"/>
    <s v="No"/>
    <s v="yes"/>
    <x v="0"/>
    <n v="1"/>
    <x v="1"/>
    <s v="Obesity"/>
    <s v="Normal"/>
    <m/>
    <m/>
    <m/>
    <m/>
    <m/>
  </r>
  <r>
    <s v="Id2284"/>
    <s v="Fava"/>
    <n v="15.01"/>
    <s v="Normal"/>
    <s v="No"/>
    <s v="No"/>
    <x v="1"/>
    <n v="1"/>
    <x v="1"/>
    <s v="Underweight"/>
    <s v="Normal"/>
    <m/>
    <m/>
    <m/>
    <m/>
    <m/>
  </r>
  <r>
    <s v="Id2285"/>
    <s v="Montoya"/>
    <n v="41.14"/>
    <s v="Prediabetes"/>
    <s v="No"/>
    <s v="yes"/>
    <x v="0"/>
    <n v="1"/>
    <x v="1"/>
    <s v="Obesity"/>
    <s v="Prediabetes"/>
    <m/>
    <m/>
    <m/>
    <m/>
    <m/>
  </r>
  <r>
    <s v="Id2286"/>
    <s v="Bain"/>
    <n v="16.55"/>
    <s v="Diabetes"/>
    <s v="No"/>
    <s v="No"/>
    <x v="0"/>
    <s v="No major surgery"/>
    <x v="1"/>
    <s v="Underweight"/>
    <s v="Diabetes"/>
    <m/>
    <m/>
    <m/>
    <m/>
    <m/>
  </r>
  <r>
    <s v="Id2287"/>
    <s v="Albertson"/>
    <n v="37.29"/>
    <s v="Normal"/>
    <s v="No"/>
    <s v="yes"/>
    <x v="0"/>
    <n v="1"/>
    <x v="1"/>
    <s v="Obesity"/>
    <s v="Normal"/>
    <m/>
    <m/>
    <m/>
    <m/>
    <m/>
  </r>
  <r>
    <s v="Id2288"/>
    <s v="Barger"/>
    <n v="16.739999999999998"/>
    <s v="Normal"/>
    <s v="yes"/>
    <s v="No"/>
    <x v="0"/>
    <s v="No major surgery"/>
    <x v="1"/>
    <s v="Underweight"/>
    <s v="Normal"/>
    <m/>
    <m/>
    <m/>
    <m/>
    <m/>
  </r>
  <r>
    <s v="Id2289"/>
    <s v="Fraioli"/>
    <n v="34.43"/>
    <s v="Normal"/>
    <s v="No"/>
    <s v="yes"/>
    <x v="0"/>
    <n v="1"/>
    <x v="1"/>
    <s v="Obesity"/>
    <s v="Normal"/>
    <m/>
    <m/>
    <m/>
    <m/>
    <m/>
  </r>
  <r>
    <s v="Id2290"/>
    <s v="April"/>
    <n v="34.1"/>
    <s v="Normal"/>
    <s v="No"/>
    <s v="yes"/>
    <x v="0"/>
    <n v="1"/>
    <x v="1"/>
    <s v="Obesity"/>
    <s v="Normal"/>
    <m/>
    <m/>
    <m/>
    <m/>
    <m/>
  </r>
  <r>
    <s v="Id2291"/>
    <s v="King"/>
    <n v="19.3"/>
    <s v="Diabetes"/>
    <s v="No"/>
    <s v="No"/>
    <x v="0"/>
    <s v="No major surgery"/>
    <x v="1"/>
    <s v="Normal Weight"/>
    <s v="Diabetes"/>
    <m/>
    <m/>
    <m/>
    <m/>
    <m/>
  </r>
  <r>
    <s v="Id2292"/>
    <s v="Talhelm"/>
    <n v="33.659999999999997"/>
    <s v="Prediabetes"/>
    <s v="No"/>
    <s v="yes"/>
    <x v="0"/>
    <n v="1"/>
    <x v="1"/>
    <s v="Obesity"/>
    <s v="Prediabetes"/>
    <m/>
    <m/>
    <m/>
    <m/>
    <m/>
  </r>
  <r>
    <s v="Id2293"/>
    <s v="Regnier"/>
    <n v="33.33"/>
    <s v="Prediabetes"/>
    <s v="No"/>
    <s v="yes"/>
    <x v="0"/>
    <n v="1"/>
    <x v="1"/>
    <s v="Obesity"/>
    <s v="Prediabetes"/>
    <m/>
    <m/>
    <m/>
    <m/>
    <m/>
  </r>
  <r>
    <s v="Id2294"/>
    <s v="Treece"/>
    <n v="21.84"/>
    <s v="Prediabetes"/>
    <s v="No"/>
    <s v="yes"/>
    <x v="0"/>
    <n v="1"/>
    <x v="1"/>
    <s v="Normal Weight"/>
    <s v="Prediabetes"/>
    <m/>
    <m/>
    <m/>
    <m/>
    <m/>
  </r>
  <r>
    <s v="Id2295"/>
    <s v="Beisel"/>
    <n v="16.87"/>
    <s v="Diabetes"/>
    <s v="No"/>
    <s v="No"/>
    <x v="0"/>
    <s v="No major surgery"/>
    <x v="1"/>
    <s v="Underweight"/>
    <s v="Diabetes"/>
    <m/>
    <m/>
    <m/>
    <m/>
    <m/>
  </r>
  <r>
    <s v="Id2296"/>
    <s v="Enke"/>
    <n v="30.14"/>
    <s v="Normal"/>
    <s v="No"/>
    <s v="yes"/>
    <x v="0"/>
    <n v="1"/>
    <x v="1"/>
    <s v="Obesity"/>
    <s v="Normal"/>
    <m/>
    <m/>
    <m/>
    <m/>
    <m/>
  </r>
  <r>
    <s v="Id2297"/>
    <s v="Ruiz-Tagle Barros"/>
    <n v="23.21"/>
    <s v="Normal"/>
    <s v="No"/>
    <s v="yes"/>
    <x v="0"/>
    <n v="1"/>
    <x v="1"/>
    <s v="Normal Weight"/>
    <s v="Normal"/>
    <m/>
    <m/>
    <m/>
    <m/>
    <m/>
  </r>
  <r>
    <s v="Id2298"/>
    <s v="Ferrell"/>
    <n v="17.170000000000002"/>
    <s v="Diabetes"/>
    <s v="No"/>
    <s v="No"/>
    <x v="0"/>
    <s v="No major surgery"/>
    <x v="1"/>
    <s v="Underweight"/>
    <s v="Diabetes"/>
    <m/>
    <m/>
    <m/>
    <m/>
    <m/>
  </r>
  <r>
    <s v="Id2299"/>
    <s v="Gates"/>
    <n v="15.61"/>
    <s v="Normal"/>
    <s v="No"/>
    <s v="No"/>
    <x v="0"/>
    <n v="1"/>
    <x v="1"/>
    <s v="Underweight"/>
    <s v="Normal"/>
    <m/>
    <m/>
    <m/>
    <m/>
    <m/>
  </r>
  <r>
    <s v="Id2300"/>
    <s v="Jeffers"/>
    <n v="17.98"/>
    <s v="Normal"/>
    <s v="yes"/>
    <s v="No"/>
    <x v="1"/>
    <n v="1"/>
    <x v="1"/>
    <s v="Underweight"/>
    <s v="Normal"/>
    <m/>
    <m/>
    <m/>
    <m/>
    <m/>
  </r>
  <r>
    <s v="Id2301"/>
    <s v="Sulhanek"/>
    <n v="21.64"/>
    <s v="Normal"/>
    <s v="No"/>
    <s v="yes"/>
    <x v="0"/>
    <n v="1"/>
    <x v="1"/>
    <s v="Normal Weight"/>
    <s v="Normal"/>
    <m/>
    <m/>
    <m/>
    <m/>
    <m/>
  </r>
  <r>
    <s v="Id2302"/>
    <s v="Ozahowski"/>
    <n v="16.399999999999999"/>
    <s v="Normal"/>
    <s v="No"/>
    <s v="No"/>
    <x v="1"/>
    <n v="1"/>
    <x v="1"/>
    <s v="Underweight"/>
    <s v="Normal"/>
    <m/>
    <m/>
    <m/>
    <m/>
    <m/>
  </r>
  <r>
    <s v="Id2303"/>
    <s v="Caron"/>
    <n v="15.77"/>
    <s v="Prediabetes"/>
    <s v="yes"/>
    <s v="No"/>
    <x v="0"/>
    <n v="1"/>
    <x v="1"/>
    <s v="Underweight"/>
    <s v="Prediabetes"/>
    <m/>
    <m/>
    <m/>
    <m/>
    <m/>
  </r>
  <r>
    <s v="Id2304"/>
    <s v="Fullarton"/>
    <n v="18.27"/>
    <s v="Diabetes"/>
    <s v="No"/>
    <s v="No"/>
    <x v="0"/>
    <s v="No major surgery"/>
    <x v="1"/>
    <s v="Underweight"/>
    <s v="Diabetes"/>
    <m/>
    <m/>
    <m/>
    <m/>
    <m/>
  </r>
  <r>
    <s v="Id2305"/>
    <s v="Lindgren"/>
    <n v="16.489999999999998"/>
    <s v="Diabetes"/>
    <s v="No"/>
    <s v="No"/>
    <x v="0"/>
    <s v="No major surgery"/>
    <x v="1"/>
    <s v="Underweight"/>
    <s v="Diabetes"/>
    <m/>
    <m/>
    <m/>
    <m/>
    <m/>
  </r>
  <r>
    <s v="Id2306"/>
    <s v="Akiha"/>
    <n v="16.14"/>
    <s v="Normal"/>
    <s v="No"/>
    <s v="No"/>
    <x v="0"/>
    <s v="No major surgery"/>
    <x v="1"/>
    <s v="Underweight"/>
    <s v="Normal"/>
    <m/>
    <m/>
    <m/>
    <m/>
    <m/>
  </r>
  <r>
    <s v="Id2307"/>
    <s v="Sweny"/>
    <n v="20.85"/>
    <s v="Normal"/>
    <s v="yes"/>
    <s v="No"/>
    <x v="0"/>
    <n v="1"/>
    <x v="1"/>
    <s v="Normal Weight"/>
    <s v="Normal"/>
    <m/>
    <m/>
    <m/>
    <m/>
    <m/>
  </r>
  <r>
    <s v="Id2308"/>
    <s v="Tobin"/>
    <n v="15.88"/>
    <s v="Normal"/>
    <s v="No"/>
    <s v="No"/>
    <x v="0"/>
    <s v="No major surgery"/>
    <x v="1"/>
    <s v="Underweight"/>
    <s v="Normal"/>
    <m/>
    <m/>
    <m/>
    <m/>
    <m/>
  </r>
  <r>
    <s v="Id2309"/>
    <s v="Pedersen"/>
    <n v="20.66"/>
    <s v="Prediabetes"/>
    <s v="No"/>
    <s v="yes"/>
    <x v="0"/>
    <n v="1"/>
    <x v="1"/>
    <s v="Normal Weight"/>
    <s v="Prediabetes"/>
    <m/>
    <m/>
    <m/>
    <m/>
    <m/>
  </r>
  <r>
    <s v="Id2310"/>
    <s v="Lynch"/>
    <n v="20.399999999999999"/>
    <s v="Normal"/>
    <s v="No"/>
    <s v="No"/>
    <x v="0"/>
    <s v="No major surgery"/>
    <x v="1"/>
    <s v="Normal Weight"/>
    <s v="Normal"/>
    <m/>
    <m/>
    <m/>
    <m/>
    <m/>
  </r>
  <r>
    <s v="Id2311"/>
    <s v="Keys"/>
    <n v="25.19"/>
    <s v="Normal"/>
    <s v="yes"/>
    <s v="No"/>
    <x v="0"/>
    <s v="No major surgery"/>
    <x v="1"/>
    <s v="Overweight"/>
    <s v="Normal"/>
    <m/>
    <m/>
    <m/>
    <m/>
    <m/>
  </r>
  <r>
    <s v="Id2312"/>
    <s v="Wilbur"/>
    <n v="20.54"/>
    <s v="Normal"/>
    <s v="yes"/>
    <s v="No"/>
    <x v="0"/>
    <n v="1"/>
    <x v="1"/>
    <s v="Normal Weight"/>
    <s v="Normal"/>
    <m/>
    <m/>
    <m/>
    <m/>
    <m/>
  </r>
  <r>
    <s v="Id2313"/>
    <s v="Ditota"/>
    <n v="20.13"/>
    <s v="Normal"/>
    <s v="No"/>
    <s v="No"/>
    <x v="0"/>
    <s v="No major surgery"/>
    <x v="1"/>
    <s v="Normal Weight"/>
    <s v="Normal"/>
    <m/>
    <m/>
    <m/>
    <m/>
    <m/>
  </r>
  <r>
    <s v="Id2314"/>
    <s v="Horbol"/>
    <n v="18.93"/>
    <s v="Prediabetes"/>
    <s v="No"/>
    <s v="No"/>
    <x v="1"/>
    <n v="1"/>
    <x v="1"/>
    <s v="Normal Weight"/>
    <s v="Prediabetes"/>
    <m/>
    <m/>
    <m/>
    <m/>
    <m/>
  </r>
  <r>
    <s v="Id2315"/>
    <s v="O'Rourke"/>
    <n v="24.14"/>
    <s v="Normal"/>
    <s v="No"/>
    <s v="yes"/>
    <x v="0"/>
    <n v="1"/>
    <x v="1"/>
    <s v="Normal Weight"/>
    <s v="Normal"/>
    <m/>
    <m/>
    <m/>
    <m/>
    <m/>
  </r>
  <r>
    <s v="Id2316"/>
    <s v="Williams"/>
    <n v="25.03"/>
    <s v="Prediabetes"/>
    <s v="No"/>
    <s v="yes"/>
    <x v="0"/>
    <n v="1"/>
    <x v="1"/>
    <s v="Overweight"/>
    <s v="Prediabetes"/>
    <m/>
    <m/>
    <m/>
    <m/>
    <m/>
  </r>
  <r>
    <s v="Id2317"/>
    <s v="Murakami"/>
    <n v="20.47"/>
    <s v="Prediabetes"/>
    <s v="yes"/>
    <s v="No"/>
    <x v="0"/>
    <n v="1"/>
    <x v="1"/>
    <s v="Normal Weight"/>
    <s v="Prediabetes"/>
    <m/>
    <m/>
    <m/>
    <m/>
    <m/>
  </r>
  <r>
    <s v="Id2318"/>
    <s v="Gagnon"/>
    <n v="18.82"/>
    <s v="Normal"/>
    <s v="yes"/>
    <s v="No"/>
    <x v="0"/>
    <s v="No major surgery"/>
    <x v="1"/>
    <s v="Normal Weight"/>
    <s v="Normal"/>
    <m/>
    <m/>
    <m/>
    <m/>
    <m/>
  </r>
  <r>
    <s v="Id2319"/>
    <s v="Petermann"/>
    <n v="17.079999999999998"/>
    <s v="Prediabetes"/>
    <s v="No"/>
    <s v="No"/>
    <x v="1"/>
    <n v="1"/>
    <x v="1"/>
    <s v="Underweight"/>
    <s v="Prediabetes"/>
    <m/>
    <m/>
    <m/>
    <m/>
    <m/>
  </r>
  <r>
    <s v="Id2320"/>
    <s v="Graves - Rostro"/>
    <n v="19.21"/>
    <s v="Normal"/>
    <s v="yes"/>
    <s v="No"/>
    <x v="0"/>
    <s v="No major surgery"/>
    <x v="1"/>
    <s v="Normal Weight"/>
    <s v="Normal"/>
    <m/>
    <m/>
    <m/>
    <m/>
    <m/>
  </r>
  <r>
    <s v="Id2321"/>
    <s v="Danielson"/>
    <n v="17.86"/>
    <s v="Normal"/>
    <s v="No"/>
    <s v="No"/>
    <x v="1"/>
    <n v="1"/>
    <x v="1"/>
    <s v="Underweight"/>
    <s v="Normal"/>
    <m/>
    <m/>
    <m/>
    <m/>
    <m/>
  </r>
  <r>
    <s v="Id2322"/>
    <s v="Street"/>
    <n v="21.38"/>
    <s v="Diabetes"/>
    <s v="No"/>
    <s v="No"/>
    <x v="0"/>
    <s v="No major surgery"/>
    <x v="1"/>
    <s v="Normal Weight"/>
    <s v="Diabetes"/>
    <m/>
    <m/>
    <m/>
    <m/>
    <m/>
  </r>
  <r>
    <s v="Id2323"/>
    <s v="Buss"/>
    <n v="23.35"/>
    <s v="Prediabetes"/>
    <s v="No"/>
    <s v="No"/>
    <x v="0"/>
    <s v="No major surgery"/>
    <x v="1"/>
    <s v="Normal Weight"/>
    <s v="Prediabetes"/>
    <m/>
    <m/>
    <m/>
    <m/>
    <m/>
  </r>
  <r>
    <s v="Id2324"/>
    <s v="Duffy"/>
    <n v="22.24"/>
    <s v="Normal"/>
    <s v="No"/>
    <s v="No"/>
    <x v="0"/>
    <s v="No major surgery"/>
    <x v="1"/>
    <s v="Normal Weight"/>
    <s v="Normal"/>
    <m/>
    <m/>
    <m/>
    <m/>
    <m/>
  </r>
  <r>
    <s v="Id2325"/>
    <s v="Hines"/>
    <n v="24.76"/>
    <s v="Normal"/>
    <s v="yes"/>
    <s v="No"/>
    <x v="0"/>
    <s v="No major surgery"/>
    <x v="1"/>
    <s v="Normal Weight"/>
    <s v="Normal"/>
    <m/>
    <m/>
    <m/>
    <m/>
    <m/>
  </r>
  <r>
    <s v="Id2326"/>
    <s v="Castro"/>
    <n v="20.100000000000001"/>
    <s v="Normal"/>
    <s v="yes"/>
    <s v="No"/>
    <x v="1"/>
    <n v="1"/>
    <x v="1"/>
    <s v="Normal Weight"/>
    <s v="Normal"/>
    <m/>
    <m/>
    <m/>
    <m/>
    <m/>
  </r>
  <r>
    <s v="Id2327"/>
    <s v="Howell"/>
    <n v="21.77"/>
    <s v="Diabetes"/>
    <s v="No"/>
    <s v="No"/>
    <x v="0"/>
    <s v="No major surgery"/>
    <x v="1"/>
    <s v="Normal Weight"/>
    <s v="Diabetes"/>
    <m/>
    <m/>
    <m/>
    <m/>
    <m/>
  </r>
  <r>
    <s v="Id2328"/>
    <s v="Avery"/>
    <n v="17.82"/>
    <s v="Normal"/>
    <s v="yes"/>
    <s v="No"/>
    <x v="0"/>
    <n v="1"/>
    <x v="1"/>
    <s v="Underweight"/>
    <s v="Normal"/>
    <m/>
    <m/>
    <m/>
    <m/>
    <m/>
  </r>
  <r>
    <s v="Id2329"/>
    <s v="Bohinski"/>
    <n v="17.07"/>
    <s v="Normal"/>
    <s v="No"/>
    <s v="No"/>
    <x v="1"/>
    <n v="1"/>
    <x v="1"/>
    <s v="Underweight"/>
    <s v="Normal"/>
    <m/>
    <m/>
    <m/>
    <m/>
    <m/>
  </r>
  <r>
    <s v="Id2330"/>
    <s v="Kohls"/>
    <n v="22.24"/>
    <s v="Normal"/>
    <s v="yes"/>
    <s v="No"/>
    <x v="0"/>
    <s v="No major surgery"/>
    <x v="1"/>
    <s v="Normal Weight"/>
    <s v="Normal"/>
    <m/>
    <m/>
    <m/>
    <m/>
    <m/>
  </r>
  <r>
    <s v="Id2331"/>
    <s v="Brietzke"/>
    <n v="22.34"/>
    <s v="Normal"/>
    <s v="No"/>
    <s v="No"/>
    <x v="0"/>
    <n v="1"/>
    <x v="1"/>
    <s v="Normal Weight"/>
    <s v="Normal"/>
    <m/>
    <m/>
    <m/>
    <m/>
    <m/>
  </r>
  <r>
    <s v="Id2332"/>
    <s v="Riveros Gonzalez"/>
    <n v="17.7"/>
    <s v="Prediabetes"/>
    <s v="No"/>
    <s v="No"/>
    <x v="0"/>
    <n v="1"/>
    <x v="1"/>
    <s v="Underweight"/>
    <s v="Prediabetes"/>
    <m/>
    <m/>
    <m/>
    <m/>
    <m/>
  </r>
  <r>
    <s v="Id2333"/>
    <s v="Albano"/>
    <n v="16.47"/>
    <s v="Prediabetes"/>
    <s v="No"/>
    <s v="No"/>
    <x v="1"/>
    <n v="1"/>
    <x v="1"/>
    <s v="Underweight"/>
    <s v="Prediabetes"/>
    <m/>
    <m/>
    <m/>
    <m/>
    <m/>
  </r>
  <r>
    <s v="Id2334"/>
    <s v="Rosendahl"/>
    <n v="17.600000000000001"/>
    <s v="Normal"/>
    <s v="No"/>
    <s v="No"/>
    <x v="0"/>
    <n v="1"/>
    <x v="1"/>
    <s v="Underweight"/>
    <s v="Normal"/>
    <m/>
    <m/>
    <m/>
    <m/>
    <m/>
  </r>
  <r>
    <s v="Id2335"/>
    <s v="German"/>
    <n v="17.579999999999998"/>
    <s v="Normal"/>
    <s v="No"/>
    <s v="No"/>
    <x v="0"/>
    <n v="1"/>
    <x v="1"/>
    <s v="Underweight"/>
    <s v="Normal"/>
    <m/>
    <m/>
    <m/>
    <m/>
    <m/>
  </r>
  <r>
    <m/>
    <m/>
    <m/>
    <m/>
    <m/>
    <m/>
    <x v="2"/>
    <m/>
    <x v="2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FC3C77-0E18-4A5F-A195-0E5EF827652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E8" firstHeaderRow="1" firstDataRow="2" firstDataCol="1"/>
  <pivotFields count="16">
    <pivotField dataField="1"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Count of Customer ID" fld="0" subtotal="count" showDataAs="percentOfRow" baseField="0" baseItem="0" numFmtId="10"/>
  </dataFields>
  <chartFormats count="6"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6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36"/>
  <sheetViews>
    <sheetView workbookViewId="0">
      <selection activeCell="A2" sqref="A2"/>
    </sheetView>
  </sheetViews>
  <sheetFormatPr defaultRowHeight="14.5" x14ac:dyDescent="0.35"/>
  <cols>
    <col min="1" max="1" width="15.54296875" customWidth="1"/>
    <col min="2" max="2" width="20.90625" customWidth="1"/>
    <col min="3" max="3" width="37.453125" bestFit="1" customWidth="1"/>
    <col min="4" max="4" width="23.1796875" customWidth="1"/>
  </cols>
  <sheetData>
    <row r="1" spans="1:4" s="2" customFormat="1" ht="19" customHeight="1" x14ac:dyDescent="0.35">
      <c r="A1" s="5" t="s">
        <v>0</v>
      </c>
      <c r="B1" s="18" t="s">
        <v>2395</v>
      </c>
      <c r="C1" s="6" t="s">
        <v>2396</v>
      </c>
      <c r="D1" s="18" t="s">
        <v>2397</v>
      </c>
    </row>
    <row r="2" spans="1:4" ht="15.5" x14ac:dyDescent="0.35">
      <c r="A2" s="1" t="s">
        <v>2372</v>
      </c>
      <c r="B2" s="19" t="s">
        <v>2399</v>
      </c>
      <c r="C2" s="19" t="s">
        <v>2398</v>
      </c>
      <c r="D2" s="19" t="s">
        <v>2400</v>
      </c>
    </row>
    <row r="3" spans="1:4" ht="15.5" x14ac:dyDescent="0.35">
      <c r="A3" s="1" t="s">
        <v>2371</v>
      </c>
      <c r="B3" s="19" t="s">
        <v>2402</v>
      </c>
      <c r="C3" s="19" t="s">
        <v>2401</v>
      </c>
      <c r="D3" s="19" t="s">
        <v>2403</v>
      </c>
    </row>
    <row r="4" spans="1:4" ht="15.5" x14ac:dyDescent="0.35">
      <c r="A4" s="1" t="s">
        <v>2370</v>
      </c>
      <c r="B4" s="19" t="s">
        <v>2402</v>
      </c>
      <c r="C4" s="19" t="s">
        <v>2404</v>
      </c>
      <c r="D4" s="19" t="s">
        <v>2405</v>
      </c>
    </row>
    <row r="5" spans="1:4" ht="15.5" x14ac:dyDescent="0.35">
      <c r="A5" s="1" t="s">
        <v>2369</v>
      </c>
      <c r="B5" s="19" t="s">
        <v>2399</v>
      </c>
      <c r="C5" s="19" t="s">
        <v>2406</v>
      </c>
      <c r="D5" s="19" t="s">
        <v>2407</v>
      </c>
    </row>
    <row r="6" spans="1:4" ht="15.5" x14ac:dyDescent="0.35">
      <c r="A6" s="1" t="s">
        <v>2368</v>
      </c>
      <c r="B6" s="19" t="s">
        <v>2399</v>
      </c>
      <c r="C6" s="19" t="s">
        <v>2408</v>
      </c>
      <c r="D6" s="19" t="s">
        <v>2409</v>
      </c>
    </row>
    <row r="7" spans="1:4" ht="15.5" x14ac:dyDescent="0.35">
      <c r="A7" s="1" t="s">
        <v>2367</v>
      </c>
      <c r="B7" s="19" t="s">
        <v>2402</v>
      </c>
      <c r="C7" s="19" t="s">
        <v>2410</v>
      </c>
      <c r="D7" s="19" t="s">
        <v>2411</v>
      </c>
    </row>
    <row r="8" spans="1:4" ht="15.5" x14ac:dyDescent="0.35">
      <c r="A8" s="1" t="s">
        <v>2366</v>
      </c>
      <c r="B8" s="19" t="s">
        <v>2402</v>
      </c>
      <c r="C8" s="19" t="s">
        <v>2412</v>
      </c>
      <c r="D8" s="19" t="s">
        <v>2413</v>
      </c>
    </row>
    <row r="9" spans="1:4" ht="15.5" x14ac:dyDescent="0.35">
      <c r="A9" s="1" t="s">
        <v>2365</v>
      </c>
      <c r="B9" s="19" t="s">
        <v>2402</v>
      </c>
      <c r="C9" s="19" t="s">
        <v>2414</v>
      </c>
      <c r="D9" s="19" t="s">
        <v>2415</v>
      </c>
    </row>
    <row r="10" spans="1:4" ht="15.5" x14ac:dyDescent="0.35">
      <c r="A10" s="1" t="s">
        <v>2364</v>
      </c>
      <c r="B10" s="19" t="s">
        <v>2402</v>
      </c>
      <c r="C10" s="19" t="s">
        <v>2416</v>
      </c>
      <c r="D10" s="19" t="s">
        <v>2417</v>
      </c>
    </row>
    <row r="11" spans="1:4" ht="15.5" x14ac:dyDescent="0.35">
      <c r="A11" s="1" t="s">
        <v>2363</v>
      </c>
      <c r="B11" s="19" t="s">
        <v>2399</v>
      </c>
      <c r="C11" s="19" t="s">
        <v>2418</v>
      </c>
      <c r="D11" s="19" t="s">
        <v>2419</v>
      </c>
    </row>
    <row r="12" spans="1:4" ht="15.5" x14ac:dyDescent="0.35">
      <c r="A12" s="1" t="s">
        <v>2362</v>
      </c>
      <c r="B12" s="19" t="s">
        <v>2399</v>
      </c>
      <c r="C12" s="19" t="s">
        <v>2420</v>
      </c>
      <c r="D12" s="19" t="s">
        <v>2421</v>
      </c>
    </row>
    <row r="13" spans="1:4" ht="15.5" x14ac:dyDescent="0.35">
      <c r="A13" s="1" t="s">
        <v>2361</v>
      </c>
      <c r="B13" s="19" t="s">
        <v>2402</v>
      </c>
      <c r="C13" s="19" t="s">
        <v>2422</v>
      </c>
      <c r="D13" s="19" t="s">
        <v>2423</v>
      </c>
    </row>
    <row r="14" spans="1:4" ht="15.5" x14ac:dyDescent="0.35">
      <c r="A14" s="1" t="s">
        <v>2360</v>
      </c>
      <c r="B14" s="19" t="s">
        <v>2402</v>
      </c>
      <c r="C14" s="19" t="s">
        <v>2424</v>
      </c>
      <c r="D14" s="19" t="s">
        <v>2425</v>
      </c>
    </row>
    <row r="15" spans="1:4" ht="15.5" x14ac:dyDescent="0.35">
      <c r="A15" s="1" t="s">
        <v>2359</v>
      </c>
      <c r="B15" s="19" t="s">
        <v>2402</v>
      </c>
      <c r="C15" s="19" t="s">
        <v>2426</v>
      </c>
      <c r="D15" s="19" t="s">
        <v>2427</v>
      </c>
    </row>
    <row r="16" spans="1:4" ht="15.5" x14ac:dyDescent="0.35">
      <c r="A16" s="1" t="s">
        <v>2358</v>
      </c>
      <c r="B16" s="19" t="s">
        <v>2399</v>
      </c>
      <c r="C16" s="19" t="s">
        <v>2428</v>
      </c>
      <c r="D16" s="19" t="s">
        <v>2429</v>
      </c>
    </row>
    <row r="17" spans="1:4" ht="15.5" x14ac:dyDescent="0.35">
      <c r="A17" s="1" t="s">
        <v>2357</v>
      </c>
      <c r="B17" s="19" t="s">
        <v>2402</v>
      </c>
      <c r="C17" s="19" t="s">
        <v>2430</v>
      </c>
      <c r="D17" s="19" t="s">
        <v>2431</v>
      </c>
    </row>
    <row r="18" spans="1:4" ht="15.5" x14ac:dyDescent="0.35">
      <c r="A18" s="1" t="s">
        <v>2356</v>
      </c>
      <c r="B18" s="19" t="s">
        <v>2399</v>
      </c>
      <c r="C18" s="19" t="s">
        <v>2432</v>
      </c>
      <c r="D18" s="19" t="s">
        <v>2433</v>
      </c>
    </row>
    <row r="19" spans="1:4" ht="15.5" x14ac:dyDescent="0.35">
      <c r="A19" s="1" t="s">
        <v>2355</v>
      </c>
      <c r="B19" s="19" t="s">
        <v>2399</v>
      </c>
      <c r="C19" s="19" t="s">
        <v>2434</v>
      </c>
      <c r="D19" s="19" t="s">
        <v>2435</v>
      </c>
    </row>
    <row r="20" spans="1:4" ht="15.5" x14ac:dyDescent="0.35">
      <c r="A20" s="1" t="s">
        <v>2354</v>
      </c>
      <c r="B20" s="19" t="s">
        <v>2402</v>
      </c>
      <c r="C20" s="19" t="s">
        <v>2436</v>
      </c>
      <c r="D20" s="19" t="s">
        <v>2437</v>
      </c>
    </row>
    <row r="21" spans="1:4" ht="15.5" x14ac:dyDescent="0.35">
      <c r="A21" s="1" t="s">
        <v>2353</v>
      </c>
      <c r="B21" s="19" t="s">
        <v>2402</v>
      </c>
      <c r="C21" s="19" t="s">
        <v>2438</v>
      </c>
      <c r="D21" s="19" t="s">
        <v>2439</v>
      </c>
    </row>
    <row r="22" spans="1:4" ht="15.5" x14ac:dyDescent="0.35">
      <c r="A22" s="1" t="s">
        <v>2352</v>
      </c>
      <c r="B22" s="19" t="s">
        <v>2402</v>
      </c>
      <c r="C22" s="19" t="s">
        <v>2440</v>
      </c>
      <c r="D22" s="19" t="s">
        <v>2441</v>
      </c>
    </row>
    <row r="23" spans="1:4" ht="15.5" x14ac:dyDescent="0.35">
      <c r="A23" s="1" t="s">
        <v>2351</v>
      </c>
      <c r="B23" s="19" t="s">
        <v>2399</v>
      </c>
      <c r="C23" s="19" t="s">
        <v>2442</v>
      </c>
      <c r="D23" s="19" t="s">
        <v>2443</v>
      </c>
    </row>
    <row r="24" spans="1:4" ht="15.5" x14ac:dyDescent="0.35">
      <c r="A24" s="1" t="s">
        <v>2350</v>
      </c>
      <c r="B24" s="19" t="s">
        <v>2399</v>
      </c>
      <c r="C24" s="19" t="s">
        <v>2444</v>
      </c>
      <c r="D24" s="19" t="s">
        <v>2445</v>
      </c>
    </row>
    <row r="25" spans="1:4" ht="15.5" x14ac:dyDescent="0.35">
      <c r="A25" s="1" t="s">
        <v>2349</v>
      </c>
      <c r="B25" s="19" t="s">
        <v>2402</v>
      </c>
      <c r="C25" s="19" t="s">
        <v>2446</v>
      </c>
      <c r="D25" s="19" t="s">
        <v>2447</v>
      </c>
    </row>
    <row r="26" spans="1:4" ht="15.5" x14ac:dyDescent="0.35">
      <c r="A26" s="1" t="s">
        <v>2348</v>
      </c>
      <c r="B26" s="19" t="s">
        <v>2402</v>
      </c>
      <c r="C26" s="19" t="s">
        <v>2448</v>
      </c>
      <c r="D26" s="19" t="s">
        <v>2449</v>
      </c>
    </row>
    <row r="27" spans="1:4" ht="15.5" x14ac:dyDescent="0.35">
      <c r="A27" s="1" t="s">
        <v>2347</v>
      </c>
      <c r="B27" s="19" t="s">
        <v>2402</v>
      </c>
      <c r="C27" s="19" t="s">
        <v>2450</v>
      </c>
      <c r="D27" s="19" t="s">
        <v>2451</v>
      </c>
    </row>
    <row r="28" spans="1:4" ht="15.5" x14ac:dyDescent="0.35">
      <c r="A28" s="1" t="s">
        <v>2346</v>
      </c>
      <c r="B28" s="19" t="s">
        <v>2402</v>
      </c>
      <c r="C28" s="19" t="s">
        <v>2452</v>
      </c>
      <c r="D28" s="19" t="s">
        <v>2453</v>
      </c>
    </row>
    <row r="29" spans="1:4" ht="15.5" x14ac:dyDescent="0.35">
      <c r="A29" s="1" t="s">
        <v>2345</v>
      </c>
      <c r="B29" s="19" t="s">
        <v>2399</v>
      </c>
      <c r="C29" s="19" t="s">
        <v>2454</v>
      </c>
      <c r="D29" s="19" t="s">
        <v>2455</v>
      </c>
    </row>
    <row r="30" spans="1:4" ht="15.5" x14ac:dyDescent="0.35">
      <c r="A30" s="1" t="s">
        <v>2344</v>
      </c>
      <c r="B30" s="19" t="s">
        <v>2402</v>
      </c>
      <c r="C30" s="19" t="s">
        <v>2456</v>
      </c>
      <c r="D30" s="19" t="s">
        <v>2415</v>
      </c>
    </row>
    <row r="31" spans="1:4" ht="15.5" x14ac:dyDescent="0.35">
      <c r="A31" s="1" t="s">
        <v>2343</v>
      </c>
      <c r="B31" s="19" t="s">
        <v>2399</v>
      </c>
      <c r="C31" s="19" t="s">
        <v>2457</v>
      </c>
      <c r="D31" s="19" t="s">
        <v>2458</v>
      </c>
    </row>
    <row r="32" spans="1:4" ht="15.5" x14ac:dyDescent="0.35">
      <c r="A32" s="1" t="s">
        <v>2342</v>
      </c>
      <c r="B32" s="19" t="s">
        <v>2399</v>
      </c>
      <c r="C32" s="19" t="s">
        <v>2459</v>
      </c>
      <c r="D32" s="19" t="s">
        <v>2460</v>
      </c>
    </row>
    <row r="33" spans="1:4" ht="15.5" x14ac:dyDescent="0.35">
      <c r="A33" s="1" t="s">
        <v>2341</v>
      </c>
      <c r="B33" s="19" t="s">
        <v>2402</v>
      </c>
      <c r="C33" s="19" t="s">
        <v>2461</v>
      </c>
      <c r="D33" s="19" t="s">
        <v>2462</v>
      </c>
    </row>
    <row r="34" spans="1:4" ht="15.5" x14ac:dyDescent="0.35">
      <c r="A34" s="1" t="s">
        <v>2340</v>
      </c>
      <c r="B34" s="19" t="s">
        <v>2402</v>
      </c>
      <c r="C34" s="19" t="s">
        <v>2463</v>
      </c>
      <c r="D34" s="19" t="s">
        <v>2464</v>
      </c>
    </row>
    <row r="35" spans="1:4" ht="15.5" x14ac:dyDescent="0.35">
      <c r="A35" s="1" t="s">
        <v>2339</v>
      </c>
      <c r="B35" s="19" t="s">
        <v>2399</v>
      </c>
      <c r="C35" s="19" t="s">
        <v>2465</v>
      </c>
      <c r="D35" s="19" t="s">
        <v>2466</v>
      </c>
    </row>
    <row r="36" spans="1:4" ht="15.5" x14ac:dyDescent="0.35">
      <c r="A36" s="1" t="s">
        <v>2338</v>
      </c>
      <c r="B36" s="19" t="s">
        <v>2399</v>
      </c>
      <c r="C36" s="19" t="s">
        <v>2467</v>
      </c>
      <c r="D36" s="19" t="s">
        <v>2468</v>
      </c>
    </row>
    <row r="37" spans="1:4" ht="15.5" x14ac:dyDescent="0.35">
      <c r="A37" s="1" t="s">
        <v>2337</v>
      </c>
      <c r="B37" s="19" t="s">
        <v>2402</v>
      </c>
      <c r="C37" s="19" t="s">
        <v>2469</v>
      </c>
      <c r="D37" s="19" t="s">
        <v>2470</v>
      </c>
    </row>
    <row r="38" spans="1:4" ht="15.5" x14ac:dyDescent="0.35">
      <c r="A38" s="1" t="s">
        <v>2336</v>
      </c>
      <c r="B38" s="19" t="s">
        <v>2402</v>
      </c>
      <c r="C38" s="19" t="s">
        <v>2471</v>
      </c>
      <c r="D38" s="19" t="s">
        <v>2472</v>
      </c>
    </row>
    <row r="39" spans="1:4" ht="15.5" x14ac:dyDescent="0.35">
      <c r="A39" s="1" t="s">
        <v>2335</v>
      </c>
      <c r="B39" s="19" t="s">
        <v>2399</v>
      </c>
      <c r="C39" s="19" t="s">
        <v>2473</v>
      </c>
      <c r="D39" s="19" t="s">
        <v>2474</v>
      </c>
    </row>
    <row r="40" spans="1:4" ht="15.5" x14ac:dyDescent="0.35">
      <c r="A40" s="1" t="s">
        <v>2334</v>
      </c>
      <c r="B40" s="19" t="s">
        <v>2399</v>
      </c>
      <c r="C40" s="19" t="s">
        <v>2475</v>
      </c>
      <c r="D40" s="19" t="s">
        <v>2476</v>
      </c>
    </row>
    <row r="41" spans="1:4" ht="15.5" x14ac:dyDescent="0.35">
      <c r="A41" s="1" t="s">
        <v>2333</v>
      </c>
      <c r="B41" s="19" t="s">
        <v>2402</v>
      </c>
      <c r="C41" s="19" t="s">
        <v>2477</v>
      </c>
      <c r="D41" s="19" t="s">
        <v>2478</v>
      </c>
    </row>
    <row r="42" spans="1:4" ht="15.5" x14ac:dyDescent="0.35">
      <c r="A42" s="1" t="s">
        <v>2332</v>
      </c>
      <c r="B42" s="19" t="s">
        <v>2402</v>
      </c>
      <c r="C42" s="19" t="s">
        <v>2479</v>
      </c>
      <c r="D42" s="19" t="s">
        <v>2480</v>
      </c>
    </row>
    <row r="43" spans="1:4" ht="15.5" x14ac:dyDescent="0.35">
      <c r="A43" s="1" t="s">
        <v>2331</v>
      </c>
      <c r="B43" s="19" t="s">
        <v>2399</v>
      </c>
      <c r="C43" s="19" t="s">
        <v>2481</v>
      </c>
      <c r="D43" s="19" t="s">
        <v>2482</v>
      </c>
    </row>
    <row r="44" spans="1:4" ht="15.5" x14ac:dyDescent="0.35">
      <c r="A44" s="1" t="s">
        <v>2330</v>
      </c>
      <c r="B44" s="19" t="s">
        <v>2399</v>
      </c>
      <c r="C44" s="19" t="s">
        <v>2483</v>
      </c>
      <c r="D44" s="19" t="s">
        <v>2445</v>
      </c>
    </row>
    <row r="45" spans="1:4" ht="15.5" x14ac:dyDescent="0.35">
      <c r="A45" s="1" t="s">
        <v>2329</v>
      </c>
      <c r="B45" s="19" t="s">
        <v>2402</v>
      </c>
      <c r="C45" s="19" t="s">
        <v>2484</v>
      </c>
      <c r="D45" s="19" t="s">
        <v>2485</v>
      </c>
    </row>
    <row r="46" spans="1:4" ht="15.5" x14ac:dyDescent="0.35">
      <c r="A46" s="1" t="s">
        <v>2328</v>
      </c>
      <c r="B46" s="19" t="s">
        <v>2402</v>
      </c>
      <c r="C46" s="19" t="s">
        <v>2486</v>
      </c>
      <c r="D46" s="19" t="s">
        <v>2487</v>
      </c>
    </row>
    <row r="47" spans="1:4" ht="15.5" x14ac:dyDescent="0.35">
      <c r="A47" s="1" t="s">
        <v>2327</v>
      </c>
      <c r="B47" s="19" t="s">
        <v>2399</v>
      </c>
      <c r="C47" s="19" t="s">
        <v>2488</v>
      </c>
      <c r="D47" s="19" t="s">
        <v>2489</v>
      </c>
    </row>
    <row r="48" spans="1:4" ht="15.5" x14ac:dyDescent="0.35">
      <c r="A48" s="1" t="s">
        <v>2326</v>
      </c>
      <c r="B48" s="19" t="s">
        <v>2402</v>
      </c>
      <c r="C48" s="19" t="s">
        <v>2490</v>
      </c>
      <c r="D48" s="19" t="s">
        <v>2491</v>
      </c>
    </row>
    <row r="49" spans="1:4" ht="15.5" x14ac:dyDescent="0.35">
      <c r="A49" s="1" t="s">
        <v>2325</v>
      </c>
      <c r="B49" s="19" t="s">
        <v>2399</v>
      </c>
      <c r="C49" s="19" t="s">
        <v>2481</v>
      </c>
      <c r="D49" s="19" t="s">
        <v>2492</v>
      </c>
    </row>
    <row r="50" spans="1:4" ht="15.5" x14ac:dyDescent="0.35">
      <c r="A50" s="1" t="s">
        <v>2324</v>
      </c>
      <c r="B50" s="19" t="s">
        <v>2402</v>
      </c>
      <c r="C50" s="19" t="s">
        <v>2493</v>
      </c>
      <c r="D50" s="19" t="s">
        <v>2494</v>
      </c>
    </row>
    <row r="51" spans="1:4" ht="15.5" x14ac:dyDescent="0.35">
      <c r="A51" s="1" t="s">
        <v>2323</v>
      </c>
      <c r="B51" s="19" t="s">
        <v>2402</v>
      </c>
      <c r="C51" s="19" t="s">
        <v>2495</v>
      </c>
      <c r="D51" s="19" t="s">
        <v>2496</v>
      </c>
    </row>
    <row r="52" spans="1:4" ht="15.5" x14ac:dyDescent="0.35">
      <c r="A52" s="1" t="s">
        <v>2322</v>
      </c>
      <c r="B52" s="19" t="s">
        <v>2402</v>
      </c>
      <c r="C52" s="19" t="s">
        <v>2497</v>
      </c>
      <c r="D52" s="19" t="s">
        <v>2498</v>
      </c>
    </row>
    <row r="53" spans="1:4" ht="15.5" x14ac:dyDescent="0.35">
      <c r="A53" s="1" t="s">
        <v>2321</v>
      </c>
      <c r="B53" s="19" t="s">
        <v>2399</v>
      </c>
      <c r="C53" s="19" t="s">
        <v>2499</v>
      </c>
      <c r="D53" s="19" t="s">
        <v>2500</v>
      </c>
    </row>
    <row r="54" spans="1:4" ht="15.5" x14ac:dyDescent="0.35">
      <c r="A54" s="1" t="s">
        <v>2320</v>
      </c>
      <c r="B54" s="19" t="s">
        <v>2402</v>
      </c>
      <c r="C54" s="19" t="s">
        <v>2501</v>
      </c>
      <c r="D54" s="19" t="s">
        <v>2423</v>
      </c>
    </row>
    <row r="55" spans="1:4" ht="15.5" x14ac:dyDescent="0.35">
      <c r="A55" s="1" t="s">
        <v>2319</v>
      </c>
      <c r="B55" s="19" t="s">
        <v>2402</v>
      </c>
      <c r="C55" s="19" t="s">
        <v>2502</v>
      </c>
      <c r="D55" s="19" t="s">
        <v>2503</v>
      </c>
    </row>
    <row r="56" spans="1:4" ht="15.5" x14ac:dyDescent="0.35">
      <c r="A56" s="1" t="s">
        <v>2318</v>
      </c>
      <c r="B56" s="19" t="s">
        <v>2399</v>
      </c>
      <c r="C56" s="19" t="s">
        <v>2504</v>
      </c>
      <c r="D56" s="19" t="s">
        <v>2505</v>
      </c>
    </row>
    <row r="57" spans="1:4" ht="15.5" x14ac:dyDescent="0.35">
      <c r="A57" s="1" t="s">
        <v>2317</v>
      </c>
      <c r="B57" s="19" t="s">
        <v>2399</v>
      </c>
      <c r="C57" s="19" t="s">
        <v>2506</v>
      </c>
      <c r="D57" s="19" t="s">
        <v>2507</v>
      </c>
    </row>
    <row r="58" spans="1:4" ht="15.5" x14ac:dyDescent="0.35">
      <c r="A58" s="1" t="s">
        <v>2316</v>
      </c>
      <c r="B58" s="19" t="s">
        <v>2402</v>
      </c>
      <c r="C58" s="19" t="s">
        <v>2508</v>
      </c>
      <c r="D58" s="19" t="s">
        <v>2509</v>
      </c>
    </row>
    <row r="59" spans="1:4" ht="15.5" x14ac:dyDescent="0.35">
      <c r="A59" s="1" t="s">
        <v>2315</v>
      </c>
      <c r="B59" s="19" t="s">
        <v>2399</v>
      </c>
      <c r="C59" s="19" t="s">
        <v>2510</v>
      </c>
      <c r="D59" s="19" t="s">
        <v>2511</v>
      </c>
    </row>
    <row r="60" spans="1:4" ht="15.5" x14ac:dyDescent="0.35">
      <c r="A60" s="1" t="s">
        <v>2314</v>
      </c>
      <c r="B60" s="19" t="s">
        <v>2402</v>
      </c>
      <c r="C60" s="19" t="s">
        <v>2512</v>
      </c>
      <c r="D60" s="19" t="s">
        <v>2513</v>
      </c>
    </row>
    <row r="61" spans="1:4" ht="15.5" x14ac:dyDescent="0.35">
      <c r="A61" s="1" t="s">
        <v>2313</v>
      </c>
      <c r="B61" s="19" t="s">
        <v>2399</v>
      </c>
      <c r="C61" s="19" t="s">
        <v>2514</v>
      </c>
      <c r="D61" s="19" t="s">
        <v>2515</v>
      </c>
    </row>
    <row r="62" spans="1:4" ht="15.5" x14ac:dyDescent="0.35">
      <c r="A62" s="1" t="s">
        <v>2312</v>
      </c>
      <c r="B62" s="19" t="s">
        <v>2402</v>
      </c>
      <c r="C62" s="19" t="s">
        <v>2516</v>
      </c>
      <c r="D62" s="19" t="s">
        <v>2517</v>
      </c>
    </row>
    <row r="63" spans="1:4" ht="15.5" x14ac:dyDescent="0.35">
      <c r="A63" s="1" t="s">
        <v>2311</v>
      </c>
      <c r="B63" s="19" t="s">
        <v>2399</v>
      </c>
      <c r="C63" s="19" t="s">
        <v>2518</v>
      </c>
      <c r="D63" s="19" t="s">
        <v>2519</v>
      </c>
    </row>
    <row r="64" spans="1:4" ht="15.5" x14ac:dyDescent="0.35">
      <c r="A64" s="1" t="s">
        <v>2310</v>
      </c>
      <c r="B64" s="19" t="s">
        <v>2399</v>
      </c>
      <c r="C64" s="19" t="s">
        <v>2520</v>
      </c>
      <c r="D64" s="19" t="s">
        <v>2521</v>
      </c>
    </row>
    <row r="65" spans="1:5" ht="15.5" x14ac:dyDescent="0.35">
      <c r="A65" s="1" t="s">
        <v>2309</v>
      </c>
      <c r="B65" s="19" t="s">
        <v>2402</v>
      </c>
      <c r="C65" s="19" t="s">
        <v>2522</v>
      </c>
      <c r="D65" s="19" t="s">
        <v>2423</v>
      </c>
    </row>
    <row r="66" spans="1:5" ht="15.5" x14ac:dyDescent="0.35">
      <c r="A66" s="1" t="s">
        <v>2308</v>
      </c>
      <c r="B66" s="19" t="s">
        <v>2402</v>
      </c>
      <c r="C66" s="19" t="s">
        <v>2523</v>
      </c>
      <c r="D66" s="19" t="s">
        <v>2524</v>
      </c>
    </row>
    <row r="67" spans="1:5" ht="15.5" x14ac:dyDescent="0.35">
      <c r="A67" s="1" t="s">
        <v>2307</v>
      </c>
      <c r="B67" s="19" t="s">
        <v>2399</v>
      </c>
      <c r="C67" s="19" t="s">
        <v>2525</v>
      </c>
      <c r="D67" s="19" t="s">
        <v>2526</v>
      </c>
    </row>
    <row r="68" spans="1:5" ht="15.5" x14ac:dyDescent="0.35">
      <c r="A68" s="1" t="s">
        <v>2306</v>
      </c>
      <c r="B68" s="19" t="s">
        <v>2402</v>
      </c>
      <c r="C68" s="19" t="s">
        <v>2527</v>
      </c>
      <c r="D68" s="19" t="s">
        <v>2528</v>
      </c>
    </row>
    <row r="69" spans="1:5" ht="15.5" x14ac:dyDescent="0.35">
      <c r="A69" s="1" t="s">
        <v>2305</v>
      </c>
      <c r="B69" s="19" t="s">
        <v>2402</v>
      </c>
      <c r="C69" s="19" t="s">
        <v>2529</v>
      </c>
      <c r="D69" s="19" t="s">
        <v>2530</v>
      </c>
    </row>
    <row r="70" spans="1:5" ht="15.5" x14ac:dyDescent="0.35">
      <c r="A70" s="1" t="s">
        <v>2304</v>
      </c>
      <c r="B70" s="19" t="s">
        <v>2399</v>
      </c>
      <c r="C70" s="19" t="s">
        <v>2531</v>
      </c>
      <c r="D70" s="19" t="s">
        <v>2532</v>
      </c>
    </row>
    <row r="71" spans="1:5" ht="15.5" x14ac:dyDescent="0.35">
      <c r="A71" s="1" t="s">
        <v>2303</v>
      </c>
      <c r="B71" s="19" t="s">
        <v>2402</v>
      </c>
      <c r="C71" s="19" t="s">
        <v>2533</v>
      </c>
      <c r="D71" s="19" t="s">
        <v>2534</v>
      </c>
    </row>
    <row r="72" spans="1:5" ht="15.5" x14ac:dyDescent="0.35">
      <c r="A72" s="1" t="s">
        <v>2302</v>
      </c>
      <c r="B72" s="19" t="s">
        <v>2402</v>
      </c>
      <c r="C72" s="19" t="s">
        <v>2535</v>
      </c>
      <c r="D72" s="19" t="s">
        <v>2536</v>
      </c>
    </row>
    <row r="73" spans="1:5" ht="15.5" x14ac:dyDescent="0.35">
      <c r="A73" s="1" t="s">
        <v>2301</v>
      </c>
      <c r="B73" s="19" t="s">
        <v>2402</v>
      </c>
      <c r="C73" s="19" t="s">
        <v>2537</v>
      </c>
      <c r="D73" s="19" t="s">
        <v>2538</v>
      </c>
      <c r="E73" t="s">
        <v>2539</v>
      </c>
    </row>
    <row r="74" spans="1:5" ht="15.5" x14ac:dyDescent="0.35">
      <c r="A74" s="1" t="s">
        <v>2300</v>
      </c>
      <c r="B74" s="19" t="s">
        <v>2399</v>
      </c>
      <c r="C74" s="19" t="s">
        <v>2540</v>
      </c>
      <c r="D74" s="19" t="s">
        <v>2541</v>
      </c>
    </row>
    <row r="75" spans="1:5" ht="15.5" x14ac:dyDescent="0.35">
      <c r="A75" s="1" t="s">
        <v>2299</v>
      </c>
      <c r="B75" s="19" t="s">
        <v>2399</v>
      </c>
      <c r="C75" s="19" t="s">
        <v>2542</v>
      </c>
      <c r="D75" s="19" t="s">
        <v>2543</v>
      </c>
    </row>
    <row r="76" spans="1:5" ht="15.5" x14ac:dyDescent="0.35">
      <c r="A76" s="1" t="s">
        <v>2298</v>
      </c>
      <c r="B76" s="19" t="s">
        <v>2399</v>
      </c>
      <c r="C76" s="19" t="s">
        <v>2544</v>
      </c>
      <c r="D76" s="19" t="s">
        <v>2545</v>
      </c>
    </row>
    <row r="77" spans="1:5" ht="15.5" x14ac:dyDescent="0.35">
      <c r="A77" s="1" t="s">
        <v>2297</v>
      </c>
      <c r="B77" s="19" t="s">
        <v>2402</v>
      </c>
      <c r="C77" s="19" t="s">
        <v>2546</v>
      </c>
      <c r="D77" s="19" t="s">
        <v>2547</v>
      </c>
    </row>
    <row r="78" spans="1:5" ht="15.5" x14ac:dyDescent="0.35">
      <c r="A78" s="1" t="s">
        <v>2296</v>
      </c>
      <c r="B78" s="19" t="s">
        <v>2399</v>
      </c>
      <c r="C78" s="19" t="s">
        <v>2548</v>
      </c>
      <c r="D78" s="19" t="s">
        <v>2549</v>
      </c>
    </row>
    <row r="79" spans="1:5" ht="15.5" x14ac:dyDescent="0.35">
      <c r="A79" s="1" t="s">
        <v>2295</v>
      </c>
      <c r="B79" s="19" t="s">
        <v>2399</v>
      </c>
      <c r="C79" s="19" t="s">
        <v>2550</v>
      </c>
      <c r="D79" s="19" t="s">
        <v>2551</v>
      </c>
    </row>
    <row r="80" spans="1:5" ht="15.5" x14ac:dyDescent="0.35">
      <c r="A80" s="1" t="s">
        <v>2294</v>
      </c>
      <c r="B80" s="19" t="s">
        <v>2402</v>
      </c>
      <c r="C80" s="19" t="s">
        <v>2552</v>
      </c>
      <c r="D80" s="19" t="s">
        <v>2553</v>
      </c>
    </row>
    <row r="81" spans="1:4" ht="15.5" x14ac:dyDescent="0.35">
      <c r="A81" s="1" t="s">
        <v>2293</v>
      </c>
      <c r="B81" s="19" t="s">
        <v>2399</v>
      </c>
      <c r="C81" s="19" t="s">
        <v>2554</v>
      </c>
      <c r="D81" s="19" t="s">
        <v>2555</v>
      </c>
    </row>
    <row r="82" spans="1:4" ht="15.5" x14ac:dyDescent="0.35">
      <c r="A82" s="1" t="s">
        <v>2292</v>
      </c>
      <c r="B82" s="19" t="s">
        <v>2399</v>
      </c>
      <c r="C82" s="19" t="s">
        <v>2556</v>
      </c>
      <c r="D82" s="19" t="s">
        <v>2557</v>
      </c>
    </row>
    <row r="83" spans="1:4" ht="15.5" x14ac:dyDescent="0.35">
      <c r="A83" s="1" t="s">
        <v>2291</v>
      </c>
      <c r="B83" s="19" t="s">
        <v>2402</v>
      </c>
      <c r="C83" s="19" t="s">
        <v>2558</v>
      </c>
      <c r="D83" s="19" t="s">
        <v>2559</v>
      </c>
    </row>
    <row r="84" spans="1:4" ht="15.5" x14ac:dyDescent="0.35">
      <c r="A84" s="1" t="s">
        <v>2290</v>
      </c>
      <c r="B84" s="19" t="s">
        <v>2399</v>
      </c>
      <c r="C84" s="19" t="s">
        <v>2560</v>
      </c>
      <c r="D84" s="19" t="s">
        <v>2561</v>
      </c>
    </row>
    <row r="85" spans="1:4" ht="15.5" x14ac:dyDescent="0.35">
      <c r="A85" s="1" t="s">
        <v>2289</v>
      </c>
      <c r="B85" s="19" t="s">
        <v>2402</v>
      </c>
      <c r="C85" s="19" t="s">
        <v>2562</v>
      </c>
      <c r="D85" s="19" t="s">
        <v>2563</v>
      </c>
    </row>
    <row r="86" spans="1:4" ht="15.5" x14ac:dyDescent="0.35">
      <c r="A86" s="1" t="s">
        <v>2288</v>
      </c>
      <c r="B86" s="19" t="s">
        <v>2402</v>
      </c>
      <c r="C86" s="19" t="s">
        <v>2564</v>
      </c>
      <c r="D86" s="19" t="s">
        <v>2565</v>
      </c>
    </row>
    <row r="87" spans="1:4" ht="15.5" x14ac:dyDescent="0.35">
      <c r="A87" s="1" t="s">
        <v>2287</v>
      </c>
      <c r="B87" s="19" t="s">
        <v>2402</v>
      </c>
      <c r="C87" s="19" t="s">
        <v>2566</v>
      </c>
      <c r="D87" s="19" t="s">
        <v>2567</v>
      </c>
    </row>
    <row r="88" spans="1:4" ht="15.5" x14ac:dyDescent="0.35">
      <c r="A88" s="1" t="s">
        <v>2286</v>
      </c>
      <c r="B88" s="19" t="s">
        <v>2402</v>
      </c>
      <c r="C88" s="19" t="s">
        <v>2568</v>
      </c>
      <c r="D88" s="19" t="s">
        <v>2569</v>
      </c>
    </row>
    <row r="89" spans="1:4" ht="15.5" x14ac:dyDescent="0.35">
      <c r="A89" s="1" t="s">
        <v>2285</v>
      </c>
      <c r="B89" s="19" t="s">
        <v>2399</v>
      </c>
      <c r="C89" s="19" t="s">
        <v>2570</v>
      </c>
      <c r="D89" s="19" t="s">
        <v>2571</v>
      </c>
    </row>
    <row r="90" spans="1:4" ht="15.5" x14ac:dyDescent="0.35">
      <c r="A90" s="1" t="s">
        <v>2284</v>
      </c>
      <c r="B90" s="19" t="s">
        <v>2399</v>
      </c>
      <c r="C90" s="19" t="s">
        <v>2572</v>
      </c>
      <c r="D90" s="19" t="s">
        <v>2573</v>
      </c>
    </row>
    <row r="91" spans="1:4" ht="15.5" x14ac:dyDescent="0.35">
      <c r="A91" s="1" t="s">
        <v>2283</v>
      </c>
      <c r="B91" s="19" t="s">
        <v>2399</v>
      </c>
      <c r="C91" s="19" t="s">
        <v>2574</v>
      </c>
      <c r="D91" s="19" t="s">
        <v>2575</v>
      </c>
    </row>
    <row r="92" spans="1:4" ht="15.5" x14ac:dyDescent="0.35">
      <c r="A92" s="1" t="s">
        <v>2282</v>
      </c>
      <c r="B92" s="19" t="s">
        <v>2399</v>
      </c>
      <c r="C92" s="19" t="s">
        <v>2576</v>
      </c>
      <c r="D92" s="19" t="s">
        <v>2577</v>
      </c>
    </row>
    <row r="93" spans="1:4" ht="15.5" x14ac:dyDescent="0.35">
      <c r="A93" s="1" t="s">
        <v>2281</v>
      </c>
      <c r="B93" s="19" t="s">
        <v>2399</v>
      </c>
      <c r="C93" s="19" t="s">
        <v>2578</v>
      </c>
      <c r="D93" s="19" t="s">
        <v>2579</v>
      </c>
    </row>
    <row r="94" spans="1:4" ht="15.5" x14ac:dyDescent="0.35">
      <c r="A94" s="1" t="s">
        <v>2280</v>
      </c>
      <c r="B94" s="19" t="s">
        <v>2402</v>
      </c>
      <c r="C94" s="19" t="s">
        <v>2580</v>
      </c>
      <c r="D94" s="19" t="s">
        <v>2581</v>
      </c>
    </row>
    <row r="95" spans="1:4" ht="15.5" x14ac:dyDescent="0.35">
      <c r="A95" s="1" t="s">
        <v>2279</v>
      </c>
      <c r="B95" s="19" t="s">
        <v>2402</v>
      </c>
      <c r="C95" s="19" t="s">
        <v>2582</v>
      </c>
      <c r="D95" s="19" t="s">
        <v>2423</v>
      </c>
    </row>
    <row r="96" spans="1:4" ht="15.5" x14ac:dyDescent="0.35">
      <c r="A96" s="1" t="s">
        <v>2278</v>
      </c>
      <c r="B96" s="19" t="s">
        <v>2399</v>
      </c>
      <c r="C96" s="19" t="s">
        <v>2583</v>
      </c>
      <c r="D96" s="19" t="s">
        <v>2458</v>
      </c>
    </row>
    <row r="97" spans="1:4" ht="15.5" x14ac:dyDescent="0.35">
      <c r="A97" s="1" t="s">
        <v>2277</v>
      </c>
      <c r="B97" s="19" t="s">
        <v>2402</v>
      </c>
      <c r="C97" s="19" t="s">
        <v>2584</v>
      </c>
      <c r="D97" s="19" t="s">
        <v>2585</v>
      </c>
    </row>
    <row r="98" spans="1:4" ht="15.5" x14ac:dyDescent="0.35">
      <c r="A98" s="1" t="s">
        <v>2276</v>
      </c>
      <c r="B98" s="19" t="s">
        <v>2399</v>
      </c>
      <c r="C98" s="19" t="s">
        <v>2586</v>
      </c>
      <c r="D98" s="19" t="s">
        <v>2587</v>
      </c>
    </row>
    <row r="99" spans="1:4" ht="15.5" x14ac:dyDescent="0.35">
      <c r="A99" s="1" t="s">
        <v>2275</v>
      </c>
      <c r="B99" s="19" t="s">
        <v>2399</v>
      </c>
      <c r="C99" s="19" t="s">
        <v>2588</v>
      </c>
      <c r="D99" s="19" t="s">
        <v>2589</v>
      </c>
    </row>
    <row r="100" spans="1:4" ht="15.5" x14ac:dyDescent="0.35">
      <c r="A100" s="1" t="s">
        <v>2274</v>
      </c>
      <c r="B100" s="19" t="s">
        <v>2402</v>
      </c>
      <c r="C100" s="19" t="s">
        <v>2590</v>
      </c>
      <c r="D100" s="19" t="s">
        <v>2591</v>
      </c>
    </row>
    <row r="101" spans="1:4" ht="15.5" x14ac:dyDescent="0.35">
      <c r="A101" s="1" t="s">
        <v>2273</v>
      </c>
      <c r="B101" s="19" t="s">
        <v>2402</v>
      </c>
      <c r="C101" s="19" t="s">
        <v>2592</v>
      </c>
      <c r="D101" s="19" t="s">
        <v>2528</v>
      </c>
    </row>
    <row r="102" spans="1:4" ht="15.5" x14ac:dyDescent="0.35">
      <c r="A102" s="1" t="s">
        <v>2272</v>
      </c>
      <c r="B102" s="19" t="s">
        <v>2402</v>
      </c>
      <c r="C102" s="19" t="s">
        <v>2593</v>
      </c>
      <c r="D102" s="19" t="s">
        <v>2594</v>
      </c>
    </row>
    <row r="103" spans="1:4" ht="15.5" x14ac:dyDescent="0.35">
      <c r="A103" s="1" t="s">
        <v>2271</v>
      </c>
      <c r="B103" s="19" t="s">
        <v>2399</v>
      </c>
      <c r="C103" s="19" t="s">
        <v>2595</v>
      </c>
      <c r="D103" s="19" t="s">
        <v>2596</v>
      </c>
    </row>
    <row r="104" spans="1:4" ht="15.5" x14ac:dyDescent="0.35">
      <c r="A104" s="1" t="s">
        <v>2270</v>
      </c>
      <c r="B104" s="19" t="s">
        <v>2402</v>
      </c>
      <c r="C104" s="19" t="s">
        <v>2597</v>
      </c>
      <c r="D104" s="19" t="s">
        <v>2598</v>
      </c>
    </row>
    <row r="105" spans="1:4" ht="15.5" x14ac:dyDescent="0.35">
      <c r="A105" s="1" t="s">
        <v>2269</v>
      </c>
      <c r="B105" s="19" t="s">
        <v>2402</v>
      </c>
      <c r="C105" s="19" t="s">
        <v>2599</v>
      </c>
      <c r="D105" s="19" t="s">
        <v>2600</v>
      </c>
    </row>
    <row r="106" spans="1:4" ht="15.5" x14ac:dyDescent="0.35">
      <c r="A106" s="1" t="s">
        <v>2268</v>
      </c>
      <c r="B106" s="19" t="s">
        <v>2402</v>
      </c>
      <c r="C106" s="19" t="s">
        <v>2601</v>
      </c>
      <c r="D106" s="19" t="s">
        <v>2602</v>
      </c>
    </row>
    <row r="107" spans="1:4" ht="15.5" x14ac:dyDescent="0.35">
      <c r="A107" s="1" t="s">
        <v>2267</v>
      </c>
      <c r="B107" s="19" t="s">
        <v>2402</v>
      </c>
      <c r="C107" s="19" t="s">
        <v>2603</v>
      </c>
      <c r="D107" s="19" t="s">
        <v>2604</v>
      </c>
    </row>
    <row r="108" spans="1:4" ht="15.5" x14ac:dyDescent="0.35">
      <c r="A108" s="1" t="s">
        <v>2266</v>
      </c>
      <c r="B108" s="19" t="s">
        <v>2402</v>
      </c>
      <c r="C108" s="19" t="s">
        <v>2605</v>
      </c>
      <c r="D108" s="19" t="s">
        <v>2606</v>
      </c>
    </row>
    <row r="109" spans="1:4" ht="15.5" x14ac:dyDescent="0.35">
      <c r="A109" s="1" t="s">
        <v>2265</v>
      </c>
      <c r="B109" s="19" t="s">
        <v>2399</v>
      </c>
      <c r="C109" s="19" t="s">
        <v>2607</v>
      </c>
      <c r="D109" s="19" t="s">
        <v>2608</v>
      </c>
    </row>
    <row r="110" spans="1:4" ht="15.5" x14ac:dyDescent="0.35">
      <c r="A110" s="1" t="s">
        <v>2264</v>
      </c>
      <c r="B110" s="19" t="s">
        <v>2399</v>
      </c>
      <c r="C110" s="19" t="s">
        <v>2609</v>
      </c>
      <c r="D110" s="19" t="s">
        <v>2610</v>
      </c>
    </row>
    <row r="111" spans="1:4" ht="15.5" x14ac:dyDescent="0.35">
      <c r="A111" s="1" t="s">
        <v>2263</v>
      </c>
      <c r="B111" s="19" t="s">
        <v>2402</v>
      </c>
      <c r="C111" s="19" t="s">
        <v>2611</v>
      </c>
      <c r="D111" s="19" t="s">
        <v>2581</v>
      </c>
    </row>
    <row r="112" spans="1:4" ht="15.5" x14ac:dyDescent="0.35">
      <c r="A112" s="1" t="s">
        <v>2262</v>
      </c>
      <c r="B112" s="19" t="s">
        <v>2402</v>
      </c>
      <c r="C112" s="19" t="s">
        <v>2612</v>
      </c>
      <c r="D112" s="19" t="s">
        <v>2613</v>
      </c>
    </row>
    <row r="113" spans="1:4" ht="15.5" x14ac:dyDescent="0.35">
      <c r="A113" s="1" t="s">
        <v>2261</v>
      </c>
      <c r="B113" s="19" t="s">
        <v>2399</v>
      </c>
      <c r="C113" s="19" t="s">
        <v>2614</v>
      </c>
      <c r="D113" s="19" t="s">
        <v>2615</v>
      </c>
    </row>
    <row r="114" spans="1:4" ht="15.5" x14ac:dyDescent="0.35">
      <c r="A114" s="1" t="s">
        <v>2260</v>
      </c>
      <c r="B114" s="19" t="s">
        <v>2399</v>
      </c>
      <c r="C114" s="19" t="s">
        <v>2616</v>
      </c>
      <c r="D114" s="19" t="s">
        <v>2617</v>
      </c>
    </row>
    <row r="115" spans="1:4" ht="15.5" x14ac:dyDescent="0.35">
      <c r="A115" s="1" t="s">
        <v>2259</v>
      </c>
      <c r="B115" s="19" t="s">
        <v>2402</v>
      </c>
      <c r="C115" s="19" t="s">
        <v>2618</v>
      </c>
      <c r="D115" s="19" t="s">
        <v>2619</v>
      </c>
    </row>
    <row r="116" spans="1:4" ht="15.5" x14ac:dyDescent="0.35">
      <c r="A116" s="1" t="s">
        <v>2258</v>
      </c>
      <c r="B116" s="19" t="s">
        <v>2402</v>
      </c>
      <c r="C116" s="19" t="s">
        <v>2620</v>
      </c>
      <c r="D116" s="19" t="s">
        <v>2621</v>
      </c>
    </row>
    <row r="117" spans="1:4" ht="15.5" x14ac:dyDescent="0.35">
      <c r="A117" s="1" t="s">
        <v>2257</v>
      </c>
      <c r="B117" s="19" t="s">
        <v>2399</v>
      </c>
      <c r="C117" s="19" t="s">
        <v>2622</v>
      </c>
      <c r="D117" s="19" t="s">
        <v>2623</v>
      </c>
    </row>
    <row r="118" spans="1:4" ht="15.5" x14ac:dyDescent="0.35">
      <c r="A118" s="1" t="s">
        <v>2256</v>
      </c>
      <c r="B118" s="19" t="s">
        <v>2402</v>
      </c>
      <c r="C118" s="19" t="s">
        <v>2624</v>
      </c>
      <c r="D118" s="19" t="s">
        <v>2625</v>
      </c>
    </row>
    <row r="119" spans="1:4" ht="15.5" x14ac:dyDescent="0.35">
      <c r="A119" s="1" t="s">
        <v>2255</v>
      </c>
      <c r="B119" s="19" t="s">
        <v>2402</v>
      </c>
      <c r="C119" s="19" t="s">
        <v>2626</v>
      </c>
      <c r="D119" s="19" t="s">
        <v>2439</v>
      </c>
    </row>
    <row r="120" spans="1:4" ht="15.5" x14ac:dyDescent="0.35">
      <c r="A120" s="1" t="s">
        <v>2254</v>
      </c>
      <c r="B120" s="19" t="s">
        <v>2402</v>
      </c>
      <c r="C120" s="19" t="s">
        <v>2627</v>
      </c>
      <c r="D120" s="19" t="s">
        <v>2628</v>
      </c>
    </row>
    <row r="121" spans="1:4" ht="15.5" x14ac:dyDescent="0.35">
      <c r="A121" s="1" t="s">
        <v>2253</v>
      </c>
      <c r="B121" s="19" t="s">
        <v>2402</v>
      </c>
      <c r="C121" s="19" t="s">
        <v>2629</v>
      </c>
      <c r="D121" s="19" t="s">
        <v>2630</v>
      </c>
    </row>
    <row r="122" spans="1:4" ht="15.5" x14ac:dyDescent="0.35">
      <c r="A122" s="1" t="s">
        <v>2252</v>
      </c>
      <c r="B122" s="19" t="s">
        <v>2402</v>
      </c>
      <c r="C122" s="19" t="s">
        <v>2631</v>
      </c>
      <c r="D122" s="19" t="s">
        <v>2632</v>
      </c>
    </row>
    <row r="123" spans="1:4" ht="15.5" x14ac:dyDescent="0.35">
      <c r="A123" s="1" t="s">
        <v>2251</v>
      </c>
      <c r="B123" s="19" t="s">
        <v>2402</v>
      </c>
      <c r="C123" s="19" t="s">
        <v>2633</v>
      </c>
      <c r="D123" s="19" t="s">
        <v>2634</v>
      </c>
    </row>
    <row r="124" spans="1:4" ht="15.5" x14ac:dyDescent="0.35">
      <c r="A124" s="1" t="s">
        <v>2250</v>
      </c>
      <c r="B124" s="19" t="s">
        <v>2399</v>
      </c>
      <c r="C124" s="19" t="s">
        <v>2635</v>
      </c>
      <c r="D124" s="19" t="s">
        <v>2636</v>
      </c>
    </row>
    <row r="125" spans="1:4" ht="15.5" x14ac:dyDescent="0.35">
      <c r="A125" s="1" t="s">
        <v>2249</v>
      </c>
      <c r="B125" s="19" t="s">
        <v>2402</v>
      </c>
      <c r="C125" s="19" t="s">
        <v>2637</v>
      </c>
      <c r="D125" s="19" t="s">
        <v>2638</v>
      </c>
    </row>
    <row r="126" spans="1:4" ht="15.5" x14ac:dyDescent="0.35">
      <c r="A126" s="1" t="s">
        <v>2248</v>
      </c>
      <c r="B126" s="19" t="s">
        <v>2399</v>
      </c>
      <c r="C126" s="19" t="s">
        <v>2639</v>
      </c>
      <c r="D126" s="19" t="s">
        <v>2640</v>
      </c>
    </row>
    <row r="127" spans="1:4" ht="15.5" x14ac:dyDescent="0.35">
      <c r="A127" s="1" t="s">
        <v>2247</v>
      </c>
      <c r="B127" s="19" t="s">
        <v>2402</v>
      </c>
      <c r="C127" s="19" t="s">
        <v>2641</v>
      </c>
      <c r="D127" s="19" t="s">
        <v>2642</v>
      </c>
    </row>
    <row r="128" spans="1:4" ht="15.5" x14ac:dyDescent="0.35">
      <c r="A128" s="1" t="s">
        <v>2246</v>
      </c>
      <c r="B128" s="19" t="s">
        <v>2402</v>
      </c>
      <c r="C128" s="19" t="s">
        <v>2643</v>
      </c>
      <c r="D128" s="19" t="s">
        <v>2644</v>
      </c>
    </row>
    <row r="129" spans="1:4" ht="15.5" x14ac:dyDescent="0.35">
      <c r="A129" s="1" t="s">
        <v>2245</v>
      </c>
      <c r="B129" s="19" t="s">
        <v>2402</v>
      </c>
      <c r="C129" s="19" t="s">
        <v>2645</v>
      </c>
      <c r="D129" s="19" t="s">
        <v>2646</v>
      </c>
    </row>
    <row r="130" spans="1:4" ht="15.5" x14ac:dyDescent="0.35">
      <c r="A130" s="1" t="s">
        <v>2244</v>
      </c>
      <c r="B130" s="19" t="s">
        <v>2402</v>
      </c>
      <c r="C130" s="19" t="s">
        <v>2647</v>
      </c>
      <c r="D130" s="19" t="s">
        <v>2648</v>
      </c>
    </row>
    <row r="131" spans="1:4" ht="15.5" x14ac:dyDescent="0.35">
      <c r="A131" s="1" t="s">
        <v>2243</v>
      </c>
      <c r="B131" s="19" t="s">
        <v>2402</v>
      </c>
      <c r="C131" s="19" t="s">
        <v>2649</v>
      </c>
      <c r="D131" s="19" t="s">
        <v>2650</v>
      </c>
    </row>
    <row r="132" spans="1:4" ht="15.5" x14ac:dyDescent="0.35">
      <c r="A132" s="1" t="s">
        <v>2242</v>
      </c>
      <c r="B132" s="19" t="s">
        <v>2402</v>
      </c>
      <c r="C132" s="19" t="s">
        <v>2651</v>
      </c>
      <c r="D132" s="19" t="s">
        <v>2652</v>
      </c>
    </row>
    <row r="133" spans="1:4" ht="15.5" x14ac:dyDescent="0.35">
      <c r="A133" s="1" t="s">
        <v>2241</v>
      </c>
      <c r="B133" s="19" t="s">
        <v>2399</v>
      </c>
      <c r="C133" s="19" t="s">
        <v>2653</v>
      </c>
      <c r="D133" s="19" t="s">
        <v>2654</v>
      </c>
    </row>
    <row r="134" spans="1:4" ht="15.5" x14ac:dyDescent="0.35">
      <c r="A134" s="1" t="s">
        <v>2240</v>
      </c>
      <c r="B134" s="19" t="s">
        <v>2402</v>
      </c>
      <c r="C134" s="19" t="s">
        <v>2655</v>
      </c>
      <c r="D134" s="19" t="s">
        <v>2656</v>
      </c>
    </row>
    <row r="135" spans="1:4" ht="15.5" x14ac:dyDescent="0.35">
      <c r="A135" s="1" t="s">
        <v>2239</v>
      </c>
      <c r="B135" s="19" t="s">
        <v>2402</v>
      </c>
      <c r="C135" s="19" t="s">
        <v>2657</v>
      </c>
      <c r="D135" s="19" t="s">
        <v>2658</v>
      </c>
    </row>
    <row r="136" spans="1:4" ht="15.5" x14ac:dyDescent="0.35">
      <c r="A136" s="1" t="s">
        <v>2238</v>
      </c>
      <c r="B136" s="19" t="s">
        <v>2399</v>
      </c>
      <c r="C136" s="19" t="s">
        <v>2659</v>
      </c>
      <c r="D136" s="19" t="s">
        <v>2660</v>
      </c>
    </row>
    <row r="137" spans="1:4" ht="15.5" x14ac:dyDescent="0.35">
      <c r="A137" s="1" t="s">
        <v>2237</v>
      </c>
      <c r="B137" s="19" t="s">
        <v>2399</v>
      </c>
      <c r="C137" s="19" t="s">
        <v>2661</v>
      </c>
      <c r="D137" s="19" t="s">
        <v>2662</v>
      </c>
    </row>
    <row r="138" spans="1:4" ht="15.5" x14ac:dyDescent="0.35">
      <c r="A138" s="1" t="s">
        <v>2236</v>
      </c>
      <c r="B138" s="19" t="s">
        <v>2399</v>
      </c>
      <c r="C138" s="19" t="s">
        <v>2663</v>
      </c>
      <c r="D138" s="19" t="s">
        <v>2664</v>
      </c>
    </row>
    <row r="139" spans="1:4" ht="15.5" x14ac:dyDescent="0.35">
      <c r="A139" s="1" t="s">
        <v>2235</v>
      </c>
      <c r="B139" s="19" t="s">
        <v>2402</v>
      </c>
      <c r="C139" s="19" t="s">
        <v>2665</v>
      </c>
      <c r="D139" s="19" t="s">
        <v>2666</v>
      </c>
    </row>
    <row r="140" spans="1:4" ht="15.5" x14ac:dyDescent="0.35">
      <c r="A140" s="1" t="s">
        <v>2234</v>
      </c>
      <c r="B140" s="19" t="s">
        <v>2402</v>
      </c>
      <c r="C140" s="19" t="s">
        <v>2667</v>
      </c>
      <c r="D140" s="19" t="s">
        <v>2668</v>
      </c>
    </row>
    <row r="141" spans="1:4" ht="15.5" x14ac:dyDescent="0.35">
      <c r="A141" s="1" t="s">
        <v>2233</v>
      </c>
      <c r="B141" s="19" t="s">
        <v>2402</v>
      </c>
      <c r="C141" s="19" t="s">
        <v>2669</v>
      </c>
      <c r="D141" s="19" t="s">
        <v>2670</v>
      </c>
    </row>
    <row r="142" spans="1:4" ht="15.5" x14ac:dyDescent="0.35">
      <c r="A142" s="1" t="s">
        <v>2232</v>
      </c>
      <c r="B142" s="19" t="s">
        <v>2402</v>
      </c>
      <c r="C142" s="19" t="s">
        <v>2671</v>
      </c>
      <c r="D142" s="19" t="s">
        <v>2672</v>
      </c>
    </row>
    <row r="143" spans="1:4" ht="15.5" x14ac:dyDescent="0.35">
      <c r="A143" s="1" t="s">
        <v>2231</v>
      </c>
      <c r="B143" s="19" t="s">
        <v>2402</v>
      </c>
      <c r="C143" s="19" t="s">
        <v>2673</v>
      </c>
      <c r="D143" s="19" t="s">
        <v>2674</v>
      </c>
    </row>
    <row r="144" spans="1:4" ht="15.5" x14ac:dyDescent="0.35">
      <c r="A144" s="1" t="s">
        <v>2230</v>
      </c>
      <c r="B144" s="19" t="s">
        <v>2399</v>
      </c>
      <c r="C144" s="19" t="s">
        <v>2675</v>
      </c>
      <c r="D144" s="19" t="s">
        <v>2676</v>
      </c>
    </row>
    <row r="145" spans="1:4" ht="15.5" x14ac:dyDescent="0.35">
      <c r="A145" s="1" t="s">
        <v>2229</v>
      </c>
      <c r="B145" s="19" t="s">
        <v>2402</v>
      </c>
      <c r="C145" s="19" t="s">
        <v>2677</v>
      </c>
      <c r="D145" s="19" t="s">
        <v>2678</v>
      </c>
    </row>
    <row r="146" spans="1:4" ht="15.5" x14ac:dyDescent="0.35">
      <c r="A146" s="1" t="s">
        <v>2228</v>
      </c>
      <c r="B146" s="19" t="s">
        <v>2402</v>
      </c>
      <c r="C146" s="19" t="s">
        <v>2679</v>
      </c>
      <c r="D146" s="19" t="s">
        <v>2680</v>
      </c>
    </row>
    <row r="147" spans="1:4" ht="15.5" x14ac:dyDescent="0.35">
      <c r="A147" s="1" t="s">
        <v>2227</v>
      </c>
      <c r="B147" s="19" t="s">
        <v>2399</v>
      </c>
      <c r="C147" s="19" t="s">
        <v>2681</v>
      </c>
      <c r="D147" s="19" t="s">
        <v>2682</v>
      </c>
    </row>
    <row r="148" spans="1:4" ht="15.5" x14ac:dyDescent="0.35">
      <c r="A148" s="1" t="s">
        <v>2226</v>
      </c>
      <c r="B148" s="19" t="s">
        <v>2402</v>
      </c>
      <c r="C148" s="19" t="s">
        <v>2556</v>
      </c>
      <c r="D148" s="19" t="s">
        <v>2683</v>
      </c>
    </row>
    <row r="149" spans="1:4" ht="15.5" x14ac:dyDescent="0.35">
      <c r="A149" s="1" t="s">
        <v>2225</v>
      </c>
      <c r="B149" s="19" t="s">
        <v>2402</v>
      </c>
      <c r="C149" s="19" t="s">
        <v>2684</v>
      </c>
      <c r="D149" s="19" t="s">
        <v>2685</v>
      </c>
    </row>
    <row r="150" spans="1:4" ht="15.5" x14ac:dyDescent="0.35">
      <c r="A150" s="1" t="s">
        <v>2224</v>
      </c>
      <c r="B150" s="19" t="s">
        <v>2402</v>
      </c>
      <c r="C150" s="19" t="s">
        <v>2686</v>
      </c>
      <c r="D150" s="19" t="s">
        <v>2687</v>
      </c>
    </row>
    <row r="151" spans="1:4" ht="15.5" x14ac:dyDescent="0.35">
      <c r="A151" s="1" t="s">
        <v>2223</v>
      </c>
      <c r="B151" s="19" t="s">
        <v>2402</v>
      </c>
      <c r="C151" s="19" t="s">
        <v>2688</v>
      </c>
      <c r="D151" s="19" t="s">
        <v>2689</v>
      </c>
    </row>
    <row r="152" spans="1:4" ht="15.5" x14ac:dyDescent="0.35">
      <c r="A152" s="1" t="s">
        <v>2222</v>
      </c>
      <c r="B152" s="19" t="s">
        <v>2399</v>
      </c>
      <c r="C152" s="19" t="s">
        <v>2690</v>
      </c>
      <c r="D152" s="19" t="s">
        <v>2691</v>
      </c>
    </row>
    <row r="153" spans="1:4" ht="15.5" x14ac:dyDescent="0.35">
      <c r="A153" s="1" t="s">
        <v>2221</v>
      </c>
      <c r="B153" s="19" t="s">
        <v>2402</v>
      </c>
      <c r="C153" s="19" t="s">
        <v>2692</v>
      </c>
      <c r="D153" s="19" t="s">
        <v>2683</v>
      </c>
    </row>
    <row r="154" spans="1:4" ht="15.5" x14ac:dyDescent="0.35">
      <c r="A154" s="1" t="s">
        <v>2220</v>
      </c>
      <c r="B154" s="19" t="s">
        <v>2402</v>
      </c>
      <c r="C154" s="19" t="s">
        <v>2693</v>
      </c>
      <c r="D154" s="19" t="s">
        <v>2694</v>
      </c>
    </row>
    <row r="155" spans="1:4" ht="15.5" x14ac:dyDescent="0.35">
      <c r="A155" s="1" t="s">
        <v>2219</v>
      </c>
      <c r="B155" s="19" t="s">
        <v>2402</v>
      </c>
      <c r="C155" s="19" t="s">
        <v>2695</v>
      </c>
      <c r="D155" s="19" t="s">
        <v>2696</v>
      </c>
    </row>
    <row r="156" spans="1:4" ht="15.5" x14ac:dyDescent="0.35">
      <c r="A156" s="1" t="s">
        <v>2218</v>
      </c>
      <c r="B156" s="19" t="s">
        <v>2402</v>
      </c>
      <c r="C156" s="19" t="s">
        <v>2697</v>
      </c>
      <c r="D156" s="19" t="s">
        <v>2698</v>
      </c>
    </row>
    <row r="157" spans="1:4" ht="15.5" x14ac:dyDescent="0.35">
      <c r="A157" s="1" t="s">
        <v>2217</v>
      </c>
      <c r="B157" s="19" t="s">
        <v>2402</v>
      </c>
      <c r="C157" s="19" t="s">
        <v>2699</v>
      </c>
      <c r="D157" s="19" t="s">
        <v>2700</v>
      </c>
    </row>
    <row r="158" spans="1:4" ht="15.5" x14ac:dyDescent="0.35">
      <c r="A158" s="1" t="s">
        <v>2216</v>
      </c>
      <c r="B158" s="19" t="s">
        <v>2402</v>
      </c>
      <c r="C158" s="19" t="s">
        <v>2701</v>
      </c>
      <c r="D158" s="19" t="s">
        <v>2528</v>
      </c>
    </row>
    <row r="159" spans="1:4" ht="15.5" x14ac:dyDescent="0.35">
      <c r="A159" s="1" t="s">
        <v>2215</v>
      </c>
      <c r="B159" s="19" t="s">
        <v>2399</v>
      </c>
      <c r="C159" s="19" t="s">
        <v>2702</v>
      </c>
      <c r="D159" s="19" t="s">
        <v>2703</v>
      </c>
    </row>
    <row r="160" spans="1:4" ht="15.5" x14ac:dyDescent="0.35">
      <c r="A160" s="1" t="s">
        <v>2214</v>
      </c>
      <c r="B160" s="19" t="s">
        <v>2399</v>
      </c>
      <c r="C160" s="19" t="s">
        <v>2704</v>
      </c>
      <c r="D160" s="19" t="s">
        <v>2705</v>
      </c>
    </row>
    <row r="161" spans="1:4" ht="15.5" x14ac:dyDescent="0.35">
      <c r="A161" s="1" t="s">
        <v>2213</v>
      </c>
      <c r="B161" s="19" t="s">
        <v>2402</v>
      </c>
      <c r="C161" s="19" t="s">
        <v>2706</v>
      </c>
      <c r="D161" s="19" t="s">
        <v>2707</v>
      </c>
    </row>
    <row r="162" spans="1:4" ht="15.5" x14ac:dyDescent="0.35">
      <c r="A162" s="1" t="s">
        <v>2212</v>
      </c>
      <c r="B162" s="19" t="s">
        <v>2402</v>
      </c>
      <c r="C162" s="19" t="s">
        <v>2708</v>
      </c>
      <c r="D162" s="19" t="s">
        <v>2709</v>
      </c>
    </row>
    <row r="163" spans="1:4" ht="15.5" x14ac:dyDescent="0.35">
      <c r="A163" s="1" t="s">
        <v>2211</v>
      </c>
      <c r="B163" s="19" t="s">
        <v>2402</v>
      </c>
      <c r="C163" s="19" t="s">
        <v>2710</v>
      </c>
      <c r="D163" s="19" t="s">
        <v>2711</v>
      </c>
    </row>
    <row r="164" spans="1:4" ht="15.5" x14ac:dyDescent="0.35">
      <c r="A164" s="1" t="s">
        <v>2210</v>
      </c>
      <c r="B164" s="19" t="s">
        <v>2402</v>
      </c>
      <c r="C164" s="19" t="s">
        <v>2712</v>
      </c>
      <c r="D164" s="19" t="s">
        <v>2713</v>
      </c>
    </row>
    <row r="165" spans="1:4" ht="15.5" x14ac:dyDescent="0.35">
      <c r="A165" s="1" t="s">
        <v>2209</v>
      </c>
      <c r="B165" s="19" t="s">
        <v>2402</v>
      </c>
      <c r="C165" s="19" t="s">
        <v>2714</v>
      </c>
      <c r="D165" s="19" t="s">
        <v>2715</v>
      </c>
    </row>
    <row r="166" spans="1:4" ht="15.5" x14ac:dyDescent="0.35">
      <c r="A166" s="1" t="s">
        <v>2208</v>
      </c>
      <c r="B166" s="19" t="s">
        <v>2399</v>
      </c>
      <c r="C166" s="19" t="s">
        <v>2716</v>
      </c>
      <c r="D166" s="19" t="s">
        <v>2717</v>
      </c>
    </row>
    <row r="167" spans="1:4" ht="15.5" x14ac:dyDescent="0.35">
      <c r="A167" s="1" t="s">
        <v>2207</v>
      </c>
      <c r="B167" s="19" t="s">
        <v>2402</v>
      </c>
      <c r="C167" s="19" t="s">
        <v>2718</v>
      </c>
      <c r="D167" s="19" t="s">
        <v>2719</v>
      </c>
    </row>
    <row r="168" spans="1:4" ht="15.5" x14ac:dyDescent="0.35">
      <c r="A168" s="1" t="s">
        <v>2206</v>
      </c>
      <c r="B168" s="19" t="s">
        <v>2399</v>
      </c>
      <c r="C168" s="19" t="s">
        <v>2720</v>
      </c>
      <c r="D168" s="19" t="s">
        <v>2721</v>
      </c>
    </row>
    <row r="169" spans="1:4" ht="15.5" x14ac:dyDescent="0.35">
      <c r="A169" s="1" t="s">
        <v>2205</v>
      </c>
      <c r="B169" s="19" t="s">
        <v>2399</v>
      </c>
      <c r="C169" s="19" t="s">
        <v>2722</v>
      </c>
      <c r="D169" s="19" t="s">
        <v>2723</v>
      </c>
    </row>
    <row r="170" spans="1:4" ht="15.5" x14ac:dyDescent="0.35">
      <c r="A170" s="1" t="s">
        <v>2204</v>
      </c>
      <c r="B170" s="19" t="s">
        <v>2402</v>
      </c>
      <c r="C170" s="19" t="s">
        <v>2724</v>
      </c>
      <c r="D170" s="19" t="s">
        <v>2725</v>
      </c>
    </row>
    <row r="171" spans="1:4" ht="15.5" x14ac:dyDescent="0.35">
      <c r="A171" s="1" t="s">
        <v>2203</v>
      </c>
      <c r="B171" s="19" t="s">
        <v>2402</v>
      </c>
      <c r="C171" s="19" t="s">
        <v>2726</v>
      </c>
      <c r="D171" s="19" t="s">
        <v>2727</v>
      </c>
    </row>
    <row r="172" spans="1:4" ht="15.5" x14ac:dyDescent="0.35">
      <c r="A172" s="1" t="s">
        <v>2202</v>
      </c>
      <c r="B172" s="19" t="s">
        <v>2399</v>
      </c>
      <c r="C172" s="19" t="s">
        <v>2728</v>
      </c>
      <c r="D172" s="19" t="s">
        <v>2458</v>
      </c>
    </row>
    <row r="173" spans="1:4" ht="15.5" x14ac:dyDescent="0.35">
      <c r="A173" s="1" t="s">
        <v>2201</v>
      </c>
      <c r="B173" s="19" t="s">
        <v>2399</v>
      </c>
      <c r="C173" s="19" t="s">
        <v>2729</v>
      </c>
      <c r="D173" s="19" t="s">
        <v>2730</v>
      </c>
    </row>
    <row r="174" spans="1:4" ht="15.5" x14ac:dyDescent="0.35">
      <c r="A174" s="1" t="s">
        <v>2200</v>
      </c>
      <c r="B174" s="19" t="s">
        <v>2402</v>
      </c>
      <c r="C174" s="19" t="s">
        <v>2731</v>
      </c>
      <c r="D174" s="19" t="s">
        <v>2732</v>
      </c>
    </row>
    <row r="175" spans="1:4" ht="15.5" x14ac:dyDescent="0.35">
      <c r="A175" s="1" t="s">
        <v>2199</v>
      </c>
      <c r="B175" s="19" t="s">
        <v>2399</v>
      </c>
      <c r="C175" s="19" t="s">
        <v>2733</v>
      </c>
      <c r="D175" s="19" t="s">
        <v>2610</v>
      </c>
    </row>
    <row r="176" spans="1:4" ht="15.5" x14ac:dyDescent="0.35">
      <c r="A176" s="1" t="s">
        <v>2198</v>
      </c>
      <c r="B176" s="19" t="s">
        <v>2402</v>
      </c>
      <c r="C176" s="19" t="s">
        <v>2734</v>
      </c>
      <c r="D176" s="19" t="s">
        <v>2735</v>
      </c>
    </row>
    <row r="177" spans="1:5" ht="15.5" x14ac:dyDescent="0.35">
      <c r="A177" s="1" t="s">
        <v>2197</v>
      </c>
      <c r="B177" s="19" t="s">
        <v>2402</v>
      </c>
      <c r="C177" s="19" t="s">
        <v>2736</v>
      </c>
      <c r="D177" s="19" t="s">
        <v>2439</v>
      </c>
    </row>
    <row r="178" spans="1:5" ht="15.5" x14ac:dyDescent="0.35">
      <c r="A178" s="1" t="s">
        <v>2196</v>
      </c>
      <c r="B178" s="19" t="s">
        <v>2399</v>
      </c>
      <c r="C178" s="19" t="s">
        <v>2737</v>
      </c>
      <c r="D178" s="19" t="s">
        <v>2738</v>
      </c>
    </row>
    <row r="179" spans="1:5" ht="15.5" x14ac:dyDescent="0.35">
      <c r="A179" s="1" t="s">
        <v>2195</v>
      </c>
      <c r="B179" s="19" t="s">
        <v>2399</v>
      </c>
      <c r="C179" s="19" t="s">
        <v>2739</v>
      </c>
      <c r="D179" s="19" t="s">
        <v>2740</v>
      </c>
    </row>
    <row r="180" spans="1:5" ht="15.5" x14ac:dyDescent="0.35">
      <c r="A180" s="1" t="s">
        <v>2194</v>
      </c>
      <c r="B180" s="19" t="s">
        <v>2399</v>
      </c>
      <c r="C180" s="19" t="s">
        <v>2741</v>
      </c>
      <c r="D180" s="19" t="s">
        <v>2742</v>
      </c>
    </row>
    <row r="181" spans="1:5" ht="15.5" x14ac:dyDescent="0.35">
      <c r="A181" s="1" t="s">
        <v>2193</v>
      </c>
      <c r="B181" s="19" t="s">
        <v>2399</v>
      </c>
      <c r="C181" s="19" t="s">
        <v>2743</v>
      </c>
      <c r="D181" s="19" t="s">
        <v>2744</v>
      </c>
    </row>
    <row r="182" spans="1:5" ht="15.5" x14ac:dyDescent="0.35">
      <c r="A182" s="1" t="s">
        <v>2192</v>
      </c>
      <c r="B182" s="19" t="s">
        <v>2399</v>
      </c>
      <c r="C182" s="19" t="s">
        <v>2745</v>
      </c>
      <c r="D182" s="19" t="s">
        <v>2746</v>
      </c>
    </row>
    <row r="183" spans="1:5" ht="15.5" x14ac:dyDescent="0.35">
      <c r="A183" s="1" t="s">
        <v>2191</v>
      </c>
      <c r="B183" s="19" t="s">
        <v>2402</v>
      </c>
      <c r="C183" s="19" t="s">
        <v>2747</v>
      </c>
      <c r="D183" s="19" t="s">
        <v>2748</v>
      </c>
    </row>
    <row r="184" spans="1:5" ht="15.5" x14ac:dyDescent="0.35">
      <c r="A184" s="1" t="s">
        <v>2190</v>
      </c>
      <c r="B184" s="19" t="s">
        <v>2402</v>
      </c>
      <c r="C184" s="19" t="s">
        <v>2749</v>
      </c>
      <c r="D184" s="19" t="s">
        <v>2750</v>
      </c>
    </row>
    <row r="185" spans="1:5" ht="15.5" x14ac:dyDescent="0.35">
      <c r="A185" s="1" t="s">
        <v>2189</v>
      </c>
      <c r="B185" s="19" t="s">
        <v>2402</v>
      </c>
      <c r="C185" s="19" t="s">
        <v>2751</v>
      </c>
      <c r="D185" s="19" t="s">
        <v>2752</v>
      </c>
    </row>
    <row r="186" spans="1:5" ht="15.5" x14ac:dyDescent="0.35">
      <c r="A186" s="1" t="s">
        <v>2188</v>
      </c>
      <c r="B186" s="19" t="s">
        <v>2402</v>
      </c>
      <c r="C186" s="19" t="s">
        <v>2753</v>
      </c>
      <c r="D186" s="19" t="s">
        <v>2754</v>
      </c>
    </row>
    <row r="187" spans="1:5" ht="15.5" x14ac:dyDescent="0.35">
      <c r="A187" s="1" t="s">
        <v>2187</v>
      </c>
      <c r="B187" s="19" t="s">
        <v>2399</v>
      </c>
      <c r="C187" s="19" t="s">
        <v>2755</v>
      </c>
      <c r="D187" s="19" t="s">
        <v>2756</v>
      </c>
    </row>
    <row r="188" spans="1:5" ht="15.5" x14ac:dyDescent="0.35">
      <c r="A188" s="1" t="s">
        <v>2186</v>
      </c>
      <c r="B188" s="19" t="s">
        <v>2402</v>
      </c>
      <c r="C188" s="19" t="s">
        <v>2757</v>
      </c>
      <c r="D188" s="19" t="s">
        <v>2758</v>
      </c>
    </row>
    <row r="189" spans="1:5" ht="15.5" x14ac:dyDescent="0.35">
      <c r="A189" s="1" t="s">
        <v>2185</v>
      </c>
      <c r="B189" s="19" t="s">
        <v>2402</v>
      </c>
      <c r="C189" s="19" t="s">
        <v>2759</v>
      </c>
      <c r="D189" s="19" t="s">
        <v>2760</v>
      </c>
      <c r="E189" t="s">
        <v>2761</v>
      </c>
    </row>
    <row r="190" spans="1:5" ht="15.5" x14ac:dyDescent="0.35">
      <c r="A190" s="1" t="s">
        <v>2184</v>
      </c>
      <c r="B190" s="19" t="s">
        <v>2399</v>
      </c>
      <c r="C190" s="19" t="s">
        <v>2762</v>
      </c>
      <c r="D190" s="19" t="s">
        <v>2763</v>
      </c>
    </row>
    <row r="191" spans="1:5" ht="15.5" x14ac:dyDescent="0.35">
      <c r="A191" s="1" t="s">
        <v>2183</v>
      </c>
      <c r="B191" s="19" t="s">
        <v>2399</v>
      </c>
      <c r="C191" s="19" t="s">
        <v>2764</v>
      </c>
      <c r="D191" s="19" t="s">
        <v>2765</v>
      </c>
    </row>
    <row r="192" spans="1:5" ht="15.5" x14ac:dyDescent="0.35">
      <c r="A192" s="1" t="s">
        <v>2182</v>
      </c>
      <c r="B192" s="19" t="s">
        <v>2402</v>
      </c>
      <c r="C192" s="19" t="s">
        <v>2766</v>
      </c>
      <c r="D192" s="19" t="s">
        <v>2767</v>
      </c>
    </row>
    <row r="193" spans="1:4" ht="15.5" x14ac:dyDescent="0.35">
      <c r="A193" s="1" t="s">
        <v>2181</v>
      </c>
      <c r="B193" s="19" t="s">
        <v>2402</v>
      </c>
      <c r="C193" s="19" t="s">
        <v>2768</v>
      </c>
      <c r="D193" s="19" t="s">
        <v>2769</v>
      </c>
    </row>
    <row r="194" spans="1:4" ht="15.5" x14ac:dyDescent="0.35">
      <c r="A194" s="1" t="s">
        <v>2180</v>
      </c>
      <c r="B194" s="19" t="s">
        <v>2399</v>
      </c>
      <c r="C194" s="19" t="s">
        <v>2770</v>
      </c>
      <c r="D194" s="19" t="s">
        <v>2771</v>
      </c>
    </row>
    <row r="195" spans="1:4" ht="15.5" x14ac:dyDescent="0.35">
      <c r="A195" s="1" t="s">
        <v>2179</v>
      </c>
      <c r="B195" s="19" t="s">
        <v>2402</v>
      </c>
      <c r="C195" s="19" t="s">
        <v>2772</v>
      </c>
      <c r="D195" s="19" t="s">
        <v>2773</v>
      </c>
    </row>
    <row r="196" spans="1:4" ht="15.5" x14ac:dyDescent="0.35">
      <c r="A196" s="1" t="s">
        <v>2178</v>
      </c>
      <c r="B196" s="19" t="s">
        <v>2402</v>
      </c>
      <c r="C196" s="19" t="s">
        <v>2774</v>
      </c>
      <c r="D196" s="19" t="s">
        <v>2775</v>
      </c>
    </row>
    <row r="197" spans="1:4" ht="15.5" x14ac:dyDescent="0.35">
      <c r="A197" s="1" t="s">
        <v>2177</v>
      </c>
      <c r="B197" s="19" t="s">
        <v>2402</v>
      </c>
      <c r="C197" s="19" t="s">
        <v>2776</v>
      </c>
      <c r="D197" s="19" t="s">
        <v>2777</v>
      </c>
    </row>
    <row r="198" spans="1:4" ht="15.5" x14ac:dyDescent="0.35">
      <c r="A198" s="1" t="s">
        <v>2176</v>
      </c>
      <c r="B198" s="19" t="s">
        <v>2402</v>
      </c>
      <c r="C198" s="19" t="s">
        <v>2778</v>
      </c>
      <c r="D198" s="19" t="s">
        <v>2779</v>
      </c>
    </row>
    <row r="199" spans="1:4" ht="15.5" x14ac:dyDescent="0.35">
      <c r="A199" s="1" t="s">
        <v>2175</v>
      </c>
      <c r="B199" s="19" t="s">
        <v>2402</v>
      </c>
      <c r="C199" s="19" t="s">
        <v>2780</v>
      </c>
      <c r="D199" s="19" t="s">
        <v>2674</v>
      </c>
    </row>
    <row r="200" spans="1:4" ht="15.5" x14ac:dyDescent="0.35">
      <c r="A200" s="1" t="s">
        <v>2174</v>
      </c>
      <c r="B200" s="19" t="s">
        <v>2399</v>
      </c>
      <c r="C200" s="19" t="s">
        <v>2781</v>
      </c>
      <c r="D200" s="19" t="s">
        <v>2782</v>
      </c>
    </row>
    <row r="201" spans="1:4" ht="15.5" x14ac:dyDescent="0.35">
      <c r="A201" s="1" t="s">
        <v>2173</v>
      </c>
      <c r="B201" s="19" t="s">
        <v>2402</v>
      </c>
      <c r="C201" s="19" t="s">
        <v>2783</v>
      </c>
      <c r="D201" s="19" t="s">
        <v>2668</v>
      </c>
    </row>
    <row r="202" spans="1:4" ht="15.5" x14ac:dyDescent="0.35">
      <c r="A202" s="1" t="s">
        <v>2172</v>
      </c>
      <c r="B202" s="19" t="s">
        <v>2402</v>
      </c>
      <c r="C202" s="19" t="s">
        <v>2784</v>
      </c>
      <c r="D202" s="19" t="s">
        <v>2785</v>
      </c>
    </row>
    <row r="203" spans="1:4" ht="15.5" x14ac:dyDescent="0.35">
      <c r="A203" s="1" t="s">
        <v>2171</v>
      </c>
      <c r="B203" s="19" t="s">
        <v>2402</v>
      </c>
      <c r="C203" s="19" t="s">
        <v>2786</v>
      </c>
      <c r="D203" s="19" t="s">
        <v>2787</v>
      </c>
    </row>
    <row r="204" spans="1:4" ht="15.5" x14ac:dyDescent="0.35">
      <c r="A204" s="1" t="s">
        <v>2170</v>
      </c>
      <c r="B204" s="19" t="s">
        <v>2402</v>
      </c>
      <c r="C204" s="19" t="s">
        <v>2788</v>
      </c>
      <c r="D204" s="19" t="s">
        <v>2789</v>
      </c>
    </row>
    <row r="205" spans="1:4" ht="15.5" x14ac:dyDescent="0.35">
      <c r="A205" s="1" t="s">
        <v>2169</v>
      </c>
      <c r="B205" s="19" t="s">
        <v>2399</v>
      </c>
      <c r="C205" s="19" t="s">
        <v>2790</v>
      </c>
      <c r="D205" s="19" t="s">
        <v>2571</v>
      </c>
    </row>
    <row r="206" spans="1:4" ht="15.5" x14ac:dyDescent="0.35">
      <c r="A206" s="1" t="s">
        <v>2168</v>
      </c>
      <c r="B206" s="19" t="s">
        <v>2402</v>
      </c>
      <c r="C206" s="19" t="s">
        <v>2791</v>
      </c>
      <c r="D206" s="19" t="s">
        <v>2792</v>
      </c>
    </row>
    <row r="207" spans="1:4" ht="15.5" x14ac:dyDescent="0.35">
      <c r="A207" s="1" t="s">
        <v>2167</v>
      </c>
      <c r="B207" s="19" t="s">
        <v>2399</v>
      </c>
      <c r="C207" s="19" t="s">
        <v>2793</v>
      </c>
      <c r="D207" s="19" t="s">
        <v>2794</v>
      </c>
    </row>
    <row r="208" spans="1:4" ht="15.5" x14ac:dyDescent="0.35">
      <c r="A208" s="1" t="s">
        <v>2166</v>
      </c>
      <c r="B208" s="19" t="s">
        <v>2399</v>
      </c>
      <c r="C208" s="19" t="s">
        <v>2795</v>
      </c>
      <c r="D208" s="19" t="s">
        <v>2796</v>
      </c>
    </row>
    <row r="209" spans="1:4" ht="15.5" x14ac:dyDescent="0.35">
      <c r="A209" s="1" t="s">
        <v>2165</v>
      </c>
      <c r="B209" s="19" t="s">
        <v>2402</v>
      </c>
      <c r="C209" s="19" t="s">
        <v>2797</v>
      </c>
      <c r="D209" s="19" t="s">
        <v>2798</v>
      </c>
    </row>
    <row r="210" spans="1:4" ht="15.5" x14ac:dyDescent="0.35">
      <c r="A210" s="1" t="s">
        <v>2164</v>
      </c>
      <c r="B210" s="19" t="s">
        <v>2399</v>
      </c>
      <c r="C210" s="19" t="s">
        <v>2799</v>
      </c>
      <c r="D210" s="19" t="s">
        <v>2800</v>
      </c>
    </row>
    <row r="211" spans="1:4" ht="15.5" x14ac:dyDescent="0.35">
      <c r="A211" s="1" t="s">
        <v>2163</v>
      </c>
      <c r="B211" s="19" t="s">
        <v>2399</v>
      </c>
      <c r="C211" s="19" t="s">
        <v>2801</v>
      </c>
      <c r="D211" s="19" t="s">
        <v>2802</v>
      </c>
    </row>
    <row r="212" spans="1:4" ht="15.5" x14ac:dyDescent="0.35">
      <c r="A212" s="1" t="s">
        <v>2162</v>
      </c>
      <c r="B212" s="19" t="s">
        <v>2402</v>
      </c>
      <c r="C212" s="19" t="s">
        <v>2803</v>
      </c>
      <c r="D212" s="19" t="s">
        <v>2804</v>
      </c>
    </row>
    <row r="213" spans="1:4" ht="15.5" x14ac:dyDescent="0.35">
      <c r="A213" s="1" t="s">
        <v>2161</v>
      </c>
      <c r="B213" s="19" t="s">
        <v>2402</v>
      </c>
      <c r="C213" s="19" t="s">
        <v>2805</v>
      </c>
      <c r="D213" s="19" t="s">
        <v>2806</v>
      </c>
    </row>
    <row r="214" spans="1:4" ht="15.5" x14ac:dyDescent="0.35">
      <c r="A214" s="1" t="s">
        <v>2160</v>
      </c>
      <c r="B214" s="19" t="s">
        <v>2402</v>
      </c>
      <c r="C214" s="19" t="s">
        <v>2807</v>
      </c>
      <c r="D214" s="19" t="s">
        <v>2808</v>
      </c>
    </row>
    <row r="215" spans="1:4" ht="15.5" x14ac:dyDescent="0.35">
      <c r="A215" s="1" t="s">
        <v>2159</v>
      </c>
      <c r="B215" s="19" t="s">
        <v>2402</v>
      </c>
      <c r="C215" s="19" t="s">
        <v>2809</v>
      </c>
      <c r="D215" s="19" t="s">
        <v>2403</v>
      </c>
    </row>
    <row r="216" spans="1:4" ht="15.5" x14ac:dyDescent="0.35">
      <c r="A216" s="1" t="s">
        <v>2158</v>
      </c>
      <c r="B216" s="19" t="s">
        <v>2399</v>
      </c>
      <c r="C216" s="19" t="s">
        <v>2810</v>
      </c>
      <c r="D216" s="19" t="s">
        <v>2589</v>
      </c>
    </row>
    <row r="217" spans="1:4" ht="15.5" x14ac:dyDescent="0.35">
      <c r="A217" s="1" t="s">
        <v>2157</v>
      </c>
      <c r="B217" s="19" t="s">
        <v>2402</v>
      </c>
      <c r="C217" s="19" t="s">
        <v>2811</v>
      </c>
      <c r="D217" s="19" t="s">
        <v>2812</v>
      </c>
    </row>
    <row r="218" spans="1:4" ht="15.5" x14ac:dyDescent="0.35">
      <c r="A218" s="1" t="s">
        <v>2156</v>
      </c>
      <c r="B218" s="19" t="s">
        <v>2402</v>
      </c>
      <c r="C218" s="19" t="s">
        <v>2813</v>
      </c>
      <c r="D218" s="19" t="s">
        <v>2500</v>
      </c>
    </row>
    <row r="219" spans="1:4" ht="15.5" x14ac:dyDescent="0.35">
      <c r="A219" s="1" t="s">
        <v>2155</v>
      </c>
      <c r="B219" s="19" t="s">
        <v>2402</v>
      </c>
      <c r="C219" s="19" t="s">
        <v>2814</v>
      </c>
      <c r="D219" s="19" t="s">
        <v>2563</v>
      </c>
    </row>
    <row r="220" spans="1:4" ht="15.5" x14ac:dyDescent="0.35">
      <c r="A220" s="1" t="s">
        <v>2154</v>
      </c>
      <c r="B220" s="19" t="s">
        <v>2402</v>
      </c>
      <c r="C220" s="19" t="s">
        <v>2815</v>
      </c>
      <c r="D220" s="19" t="s">
        <v>2816</v>
      </c>
    </row>
    <row r="221" spans="1:4" ht="15.5" x14ac:dyDescent="0.35">
      <c r="A221" s="1" t="s">
        <v>2153</v>
      </c>
      <c r="B221" s="19" t="s">
        <v>2402</v>
      </c>
      <c r="C221" s="19" t="s">
        <v>2556</v>
      </c>
      <c r="D221" s="19" t="s">
        <v>2817</v>
      </c>
    </row>
    <row r="222" spans="1:4" ht="15.5" x14ac:dyDescent="0.35">
      <c r="A222" s="1" t="s">
        <v>2152</v>
      </c>
      <c r="B222" s="19" t="s">
        <v>2399</v>
      </c>
      <c r="C222" s="19" t="s">
        <v>2818</v>
      </c>
      <c r="D222" s="19" t="s">
        <v>2819</v>
      </c>
    </row>
    <row r="223" spans="1:4" ht="15.5" x14ac:dyDescent="0.35">
      <c r="A223" s="1" t="s">
        <v>2151</v>
      </c>
      <c r="B223" s="19" t="s">
        <v>2402</v>
      </c>
      <c r="C223" s="19" t="s">
        <v>2820</v>
      </c>
      <c r="D223" s="19" t="s">
        <v>2821</v>
      </c>
    </row>
    <row r="224" spans="1:4" ht="15.5" x14ac:dyDescent="0.35">
      <c r="A224" s="1" t="s">
        <v>2150</v>
      </c>
      <c r="B224" s="19" t="s">
        <v>2402</v>
      </c>
      <c r="C224" s="19" t="s">
        <v>2822</v>
      </c>
      <c r="D224" s="19" t="s">
        <v>2823</v>
      </c>
    </row>
    <row r="225" spans="1:4" ht="15.5" x14ac:dyDescent="0.35">
      <c r="A225" s="1" t="s">
        <v>2149</v>
      </c>
      <c r="B225" s="19" t="s">
        <v>2399</v>
      </c>
      <c r="C225" s="19" t="s">
        <v>2824</v>
      </c>
      <c r="D225" s="19" t="s">
        <v>2825</v>
      </c>
    </row>
    <row r="226" spans="1:4" ht="15.5" x14ac:dyDescent="0.35">
      <c r="A226" s="1" t="s">
        <v>2148</v>
      </c>
      <c r="B226" s="19" t="s">
        <v>2399</v>
      </c>
      <c r="C226" s="19" t="s">
        <v>2826</v>
      </c>
      <c r="D226" s="19" t="s">
        <v>2555</v>
      </c>
    </row>
    <row r="227" spans="1:4" ht="15.5" x14ac:dyDescent="0.35">
      <c r="A227" s="1" t="s">
        <v>2147</v>
      </c>
      <c r="B227" s="19" t="s">
        <v>2402</v>
      </c>
      <c r="C227" s="19" t="s">
        <v>2523</v>
      </c>
      <c r="D227" s="19" t="s">
        <v>2827</v>
      </c>
    </row>
    <row r="228" spans="1:4" ht="15.5" x14ac:dyDescent="0.35">
      <c r="A228" s="1" t="s">
        <v>2146</v>
      </c>
      <c r="B228" s="19" t="s">
        <v>2399</v>
      </c>
      <c r="C228" s="19" t="s">
        <v>2828</v>
      </c>
      <c r="D228" s="19" t="s">
        <v>2829</v>
      </c>
    </row>
    <row r="229" spans="1:4" ht="15.5" x14ac:dyDescent="0.35">
      <c r="A229" s="1" t="s">
        <v>2145</v>
      </c>
      <c r="B229" s="19" t="s">
        <v>2402</v>
      </c>
      <c r="C229" s="19" t="s">
        <v>2830</v>
      </c>
      <c r="D229" s="19" t="s">
        <v>2831</v>
      </c>
    </row>
    <row r="230" spans="1:4" ht="15.5" x14ac:dyDescent="0.35">
      <c r="A230" s="1" t="s">
        <v>2144</v>
      </c>
      <c r="B230" s="19" t="s">
        <v>2399</v>
      </c>
      <c r="C230" s="19" t="s">
        <v>2832</v>
      </c>
      <c r="D230" s="19" t="s">
        <v>2833</v>
      </c>
    </row>
    <row r="231" spans="1:4" ht="15.5" x14ac:dyDescent="0.35">
      <c r="A231" s="1" t="s">
        <v>2143</v>
      </c>
      <c r="B231" s="19" t="s">
        <v>2399</v>
      </c>
      <c r="C231" s="19" t="s">
        <v>2834</v>
      </c>
      <c r="D231" s="19" t="s">
        <v>2835</v>
      </c>
    </row>
    <row r="232" spans="1:4" ht="15.5" x14ac:dyDescent="0.35">
      <c r="A232" s="1" t="s">
        <v>2142</v>
      </c>
      <c r="B232" s="19" t="s">
        <v>2402</v>
      </c>
      <c r="C232" s="19" t="s">
        <v>2836</v>
      </c>
      <c r="D232" s="19" t="s">
        <v>2837</v>
      </c>
    </row>
    <row r="233" spans="1:4" ht="15.5" x14ac:dyDescent="0.35">
      <c r="A233" s="1" t="s">
        <v>2141</v>
      </c>
      <c r="B233" s="19" t="s">
        <v>2402</v>
      </c>
      <c r="C233" s="19" t="s">
        <v>2838</v>
      </c>
      <c r="D233" s="19" t="s">
        <v>2839</v>
      </c>
    </row>
    <row r="234" spans="1:4" ht="15.5" x14ac:dyDescent="0.35">
      <c r="A234" s="1" t="s">
        <v>2140</v>
      </c>
      <c r="B234" s="19" t="s">
        <v>2402</v>
      </c>
      <c r="C234" s="19" t="s">
        <v>2840</v>
      </c>
      <c r="D234" s="19" t="s">
        <v>2841</v>
      </c>
    </row>
    <row r="235" spans="1:4" ht="15.5" x14ac:dyDescent="0.35">
      <c r="A235" s="1" t="s">
        <v>2139</v>
      </c>
      <c r="B235" s="19" t="s">
        <v>2402</v>
      </c>
      <c r="C235" s="19" t="s">
        <v>2842</v>
      </c>
      <c r="D235" s="19" t="s">
        <v>2843</v>
      </c>
    </row>
    <row r="236" spans="1:4" ht="15.5" x14ac:dyDescent="0.35">
      <c r="A236" s="1" t="s">
        <v>2138</v>
      </c>
      <c r="B236" s="19" t="s">
        <v>2402</v>
      </c>
      <c r="C236" s="19" t="s">
        <v>2657</v>
      </c>
      <c r="D236" s="19" t="s">
        <v>2831</v>
      </c>
    </row>
    <row r="237" spans="1:4" ht="15.5" x14ac:dyDescent="0.35">
      <c r="A237" s="1" t="s">
        <v>2137</v>
      </c>
      <c r="B237" s="19" t="s">
        <v>2399</v>
      </c>
      <c r="C237" s="19" t="s">
        <v>2844</v>
      </c>
      <c r="D237" s="19" t="s">
        <v>2845</v>
      </c>
    </row>
    <row r="238" spans="1:4" ht="15.5" x14ac:dyDescent="0.35">
      <c r="A238" s="1" t="s">
        <v>2136</v>
      </c>
      <c r="B238" s="19" t="s">
        <v>2402</v>
      </c>
      <c r="C238" s="19" t="s">
        <v>2846</v>
      </c>
      <c r="D238" s="19" t="s">
        <v>2847</v>
      </c>
    </row>
    <row r="239" spans="1:4" ht="15.5" x14ac:dyDescent="0.35">
      <c r="A239" s="1" t="s">
        <v>2135</v>
      </c>
      <c r="B239" s="19" t="s">
        <v>2402</v>
      </c>
      <c r="C239" s="19" t="s">
        <v>2848</v>
      </c>
      <c r="D239" s="19" t="s">
        <v>2849</v>
      </c>
    </row>
    <row r="240" spans="1:4" ht="15.5" x14ac:dyDescent="0.35">
      <c r="A240" s="1" t="s">
        <v>2134</v>
      </c>
      <c r="B240" s="19" t="s">
        <v>2399</v>
      </c>
      <c r="C240" s="19" t="s">
        <v>2850</v>
      </c>
      <c r="D240" s="19" t="s">
        <v>2851</v>
      </c>
    </row>
    <row r="241" spans="1:4" ht="15.5" x14ac:dyDescent="0.35">
      <c r="A241" s="1" t="s">
        <v>2133</v>
      </c>
      <c r="B241" s="19" t="s">
        <v>2399</v>
      </c>
      <c r="C241" s="19" t="s">
        <v>2852</v>
      </c>
      <c r="D241" s="19" t="s">
        <v>2853</v>
      </c>
    </row>
    <row r="242" spans="1:4" ht="15.5" x14ac:dyDescent="0.35">
      <c r="A242" s="1" t="s">
        <v>2132</v>
      </c>
      <c r="B242" s="19" t="s">
        <v>2402</v>
      </c>
      <c r="C242" s="19" t="s">
        <v>2854</v>
      </c>
      <c r="D242" s="19" t="s">
        <v>2855</v>
      </c>
    </row>
    <row r="243" spans="1:4" ht="15.5" x14ac:dyDescent="0.35">
      <c r="A243" s="1" t="s">
        <v>2130</v>
      </c>
      <c r="B243" s="19" t="s">
        <v>2402</v>
      </c>
      <c r="C243" s="19" t="s">
        <v>2856</v>
      </c>
      <c r="D243" s="19" t="s">
        <v>2857</v>
      </c>
    </row>
    <row r="244" spans="1:4" ht="15.5" x14ac:dyDescent="0.35">
      <c r="A244" s="1" t="s">
        <v>2129</v>
      </c>
      <c r="B244" s="19" t="s">
        <v>2402</v>
      </c>
      <c r="C244" s="19" t="s">
        <v>2858</v>
      </c>
      <c r="D244" s="19" t="s">
        <v>2859</v>
      </c>
    </row>
    <row r="245" spans="1:4" ht="15.5" x14ac:dyDescent="0.35">
      <c r="A245" s="1" t="s">
        <v>2128</v>
      </c>
      <c r="B245" s="19" t="s">
        <v>2402</v>
      </c>
      <c r="C245" s="19" t="s">
        <v>2860</v>
      </c>
      <c r="D245" s="19" t="s">
        <v>2861</v>
      </c>
    </row>
    <row r="246" spans="1:4" ht="15.5" x14ac:dyDescent="0.35">
      <c r="A246" s="1" t="s">
        <v>2127</v>
      </c>
      <c r="B246" s="19" t="s">
        <v>2402</v>
      </c>
      <c r="C246" s="19" t="s">
        <v>2862</v>
      </c>
      <c r="D246" s="19" t="s">
        <v>2863</v>
      </c>
    </row>
    <row r="247" spans="1:4" ht="15.5" x14ac:dyDescent="0.35">
      <c r="A247" s="1" t="s">
        <v>2126</v>
      </c>
      <c r="B247" s="19" t="s">
        <v>2402</v>
      </c>
      <c r="C247" s="19" t="s">
        <v>2864</v>
      </c>
      <c r="D247" s="19" t="s">
        <v>2865</v>
      </c>
    </row>
    <row r="248" spans="1:4" ht="15.5" x14ac:dyDescent="0.35">
      <c r="A248" s="1" t="s">
        <v>2125</v>
      </c>
      <c r="B248" s="19" t="s">
        <v>2399</v>
      </c>
      <c r="C248" s="19" t="s">
        <v>2866</v>
      </c>
      <c r="D248" s="19" t="s">
        <v>2867</v>
      </c>
    </row>
    <row r="249" spans="1:4" ht="15.5" x14ac:dyDescent="0.35">
      <c r="A249" s="1" t="s">
        <v>2124</v>
      </c>
      <c r="B249" s="19" t="s">
        <v>2399</v>
      </c>
      <c r="C249" s="19" t="s">
        <v>2868</v>
      </c>
      <c r="D249" s="19" t="s">
        <v>2869</v>
      </c>
    </row>
    <row r="250" spans="1:4" ht="15.5" x14ac:dyDescent="0.35">
      <c r="A250" s="1" t="s">
        <v>2123</v>
      </c>
      <c r="B250" s="19" t="s">
        <v>2399</v>
      </c>
      <c r="C250" s="19" t="s">
        <v>2870</v>
      </c>
      <c r="D250" s="19" t="s">
        <v>2871</v>
      </c>
    </row>
    <row r="251" spans="1:4" ht="15.5" x14ac:dyDescent="0.35">
      <c r="A251" s="1" t="s">
        <v>2122</v>
      </c>
      <c r="B251" s="19" t="s">
        <v>2399</v>
      </c>
      <c r="C251" s="19" t="s">
        <v>2872</v>
      </c>
      <c r="D251" s="19" t="s">
        <v>2873</v>
      </c>
    </row>
    <row r="252" spans="1:4" ht="15.5" x14ac:dyDescent="0.35">
      <c r="A252" s="1" t="s">
        <v>2121</v>
      </c>
      <c r="B252" s="19" t="s">
        <v>2399</v>
      </c>
      <c r="C252" s="19" t="s">
        <v>2874</v>
      </c>
      <c r="D252" s="19" t="s">
        <v>2875</v>
      </c>
    </row>
    <row r="253" spans="1:4" ht="15.5" x14ac:dyDescent="0.35">
      <c r="A253" s="1" t="s">
        <v>2120</v>
      </c>
      <c r="B253" s="19" t="s">
        <v>2399</v>
      </c>
      <c r="C253" s="19" t="s">
        <v>2876</v>
      </c>
      <c r="D253" s="19" t="s">
        <v>2400</v>
      </c>
    </row>
    <row r="254" spans="1:4" ht="15.5" x14ac:dyDescent="0.35">
      <c r="A254" s="1" t="s">
        <v>2119</v>
      </c>
      <c r="B254" s="19" t="s">
        <v>2399</v>
      </c>
      <c r="C254" s="19" t="s">
        <v>2877</v>
      </c>
      <c r="D254" s="19" t="s">
        <v>2878</v>
      </c>
    </row>
    <row r="255" spans="1:4" ht="15.5" x14ac:dyDescent="0.35">
      <c r="A255" s="1" t="s">
        <v>2118</v>
      </c>
      <c r="B255" s="19" t="s">
        <v>2402</v>
      </c>
      <c r="C255" s="19" t="s">
        <v>2879</v>
      </c>
      <c r="D255" s="19" t="s">
        <v>2500</v>
      </c>
    </row>
    <row r="256" spans="1:4" ht="15.5" x14ac:dyDescent="0.35">
      <c r="A256" s="1" t="s">
        <v>2117</v>
      </c>
      <c r="B256" s="19" t="s">
        <v>2402</v>
      </c>
      <c r="C256" s="19" t="s">
        <v>2880</v>
      </c>
      <c r="D256" s="19" t="s">
        <v>2881</v>
      </c>
    </row>
    <row r="257" spans="1:4" ht="15.5" x14ac:dyDescent="0.35">
      <c r="A257" s="1" t="s">
        <v>2116</v>
      </c>
      <c r="B257" s="19" t="s">
        <v>2402</v>
      </c>
      <c r="C257" s="19" t="s">
        <v>2882</v>
      </c>
      <c r="D257" s="19" t="s">
        <v>2883</v>
      </c>
    </row>
    <row r="258" spans="1:4" ht="15.5" x14ac:dyDescent="0.35">
      <c r="A258" s="1" t="s">
        <v>2115</v>
      </c>
      <c r="B258" s="19" t="s">
        <v>2402</v>
      </c>
      <c r="C258" s="19" t="s">
        <v>2884</v>
      </c>
      <c r="D258" s="19" t="s">
        <v>2885</v>
      </c>
    </row>
    <row r="259" spans="1:4" ht="15.5" x14ac:dyDescent="0.35">
      <c r="A259" s="1" t="s">
        <v>2114</v>
      </c>
      <c r="B259" s="19" t="s">
        <v>2402</v>
      </c>
      <c r="C259" s="19" t="s">
        <v>2886</v>
      </c>
      <c r="D259" s="19" t="s">
        <v>2887</v>
      </c>
    </row>
    <row r="260" spans="1:4" ht="15.5" x14ac:dyDescent="0.35">
      <c r="A260" s="1" t="s">
        <v>2113</v>
      </c>
      <c r="B260" s="19" t="s">
        <v>2402</v>
      </c>
      <c r="C260" s="19" t="s">
        <v>2888</v>
      </c>
      <c r="D260" s="19" t="s">
        <v>2889</v>
      </c>
    </row>
    <row r="261" spans="1:4" ht="15.5" x14ac:dyDescent="0.35">
      <c r="A261" s="1" t="s">
        <v>2112</v>
      </c>
      <c r="B261" s="19" t="s">
        <v>2399</v>
      </c>
      <c r="C261" s="19" t="s">
        <v>2890</v>
      </c>
      <c r="D261" s="19" t="s">
        <v>2891</v>
      </c>
    </row>
    <row r="262" spans="1:4" ht="15.5" x14ac:dyDescent="0.35">
      <c r="A262" s="1" t="s">
        <v>2111</v>
      </c>
      <c r="B262" s="19" t="s">
        <v>2402</v>
      </c>
      <c r="C262" s="19" t="s">
        <v>2892</v>
      </c>
      <c r="D262" s="19" t="s">
        <v>2893</v>
      </c>
    </row>
    <row r="263" spans="1:4" ht="15.5" x14ac:dyDescent="0.35">
      <c r="A263" s="1" t="s">
        <v>2110</v>
      </c>
      <c r="B263" s="19" t="s">
        <v>2399</v>
      </c>
      <c r="C263" s="19" t="s">
        <v>2894</v>
      </c>
      <c r="D263" s="19" t="s">
        <v>2895</v>
      </c>
    </row>
    <row r="264" spans="1:4" ht="15.5" x14ac:dyDescent="0.35">
      <c r="A264" s="1" t="s">
        <v>2109</v>
      </c>
      <c r="B264" s="19" t="s">
        <v>2402</v>
      </c>
      <c r="C264" s="19" t="s">
        <v>2896</v>
      </c>
      <c r="D264" s="19" t="s">
        <v>2897</v>
      </c>
    </row>
    <row r="265" spans="1:4" ht="15.5" x14ac:dyDescent="0.35">
      <c r="A265" s="1" t="s">
        <v>2108</v>
      </c>
      <c r="B265" s="19" t="s">
        <v>2399</v>
      </c>
      <c r="C265" s="19" t="s">
        <v>2898</v>
      </c>
      <c r="D265" s="19" t="s">
        <v>2899</v>
      </c>
    </row>
    <row r="266" spans="1:4" ht="15.5" x14ac:dyDescent="0.35">
      <c r="A266" s="1" t="s">
        <v>2107</v>
      </c>
      <c r="B266" s="19" t="s">
        <v>2399</v>
      </c>
      <c r="C266" s="19" t="s">
        <v>2900</v>
      </c>
      <c r="D266" s="19" t="s">
        <v>2901</v>
      </c>
    </row>
    <row r="267" spans="1:4" ht="15.5" x14ac:dyDescent="0.35">
      <c r="A267" s="1" t="s">
        <v>2106</v>
      </c>
      <c r="B267" s="19" t="s">
        <v>2402</v>
      </c>
      <c r="C267" s="19" t="s">
        <v>2902</v>
      </c>
      <c r="D267" s="19" t="s">
        <v>2823</v>
      </c>
    </row>
    <row r="268" spans="1:4" ht="15.5" x14ac:dyDescent="0.35">
      <c r="A268" s="1" t="s">
        <v>2105</v>
      </c>
      <c r="B268" s="19" t="s">
        <v>2399</v>
      </c>
      <c r="C268" s="19" t="s">
        <v>2903</v>
      </c>
      <c r="D268" s="19" t="s">
        <v>2904</v>
      </c>
    </row>
    <row r="269" spans="1:4" ht="15.5" x14ac:dyDescent="0.35">
      <c r="A269" s="1" t="s">
        <v>2104</v>
      </c>
      <c r="B269" s="19" t="s">
        <v>2399</v>
      </c>
      <c r="C269" s="19" t="s">
        <v>2764</v>
      </c>
      <c r="D269" s="19" t="s">
        <v>2905</v>
      </c>
    </row>
    <row r="270" spans="1:4" ht="15.5" x14ac:dyDescent="0.35">
      <c r="A270" s="1" t="s">
        <v>2103</v>
      </c>
      <c r="B270" s="19" t="s">
        <v>2402</v>
      </c>
      <c r="C270" s="19" t="s">
        <v>2906</v>
      </c>
      <c r="D270" s="19" t="s">
        <v>2451</v>
      </c>
    </row>
    <row r="271" spans="1:4" ht="15.5" x14ac:dyDescent="0.35">
      <c r="A271" s="1" t="s">
        <v>2102</v>
      </c>
      <c r="B271" s="19" t="s">
        <v>2402</v>
      </c>
      <c r="C271" s="19" t="s">
        <v>2907</v>
      </c>
      <c r="D271" s="19" t="s">
        <v>2908</v>
      </c>
    </row>
    <row r="272" spans="1:4" ht="15.5" x14ac:dyDescent="0.35">
      <c r="A272" s="1" t="s">
        <v>2101</v>
      </c>
      <c r="B272" s="19" t="s">
        <v>2402</v>
      </c>
      <c r="C272" s="19" t="s">
        <v>2909</v>
      </c>
      <c r="D272" s="19" t="s">
        <v>2910</v>
      </c>
    </row>
    <row r="273" spans="1:4" ht="15.5" x14ac:dyDescent="0.35">
      <c r="A273" s="1" t="s">
        <v>2100</v>
      </c>
      <c r="B273" s="19" t="s">
        <v>2402</v>
      </c>
      <c r="C273" s="19" t="s">
        <v>2911</v>
      </c>
      <c r="D273" s="19" t="s">
        <v>2415</v>
      </c>
    </row>
    <row r="274" spans="1:4" ht="15.5" x14ac:dyDescent="0.35">
      <c r="A274" s="1" t="s">
        <v>2099</v>
      </c>
      <c r="B274" s="19" t="s">
        <v>2402</v>
      </c>
      <c r="C274" s="19" t="s">
        <v>2912</v>
      </c>
      <c r="D274" s="19" t="s">
        <v>2503</v>
      </c>
    </row>
    <row r="275" spans="1:4" ht="15.5" x14ac:dyDescent="0.35">
      <c r="A275" s="1" t="s">
        <v>2098</v>
      </c>
      <c r="B275" s="19" t="s">
        <v>2402</v>
      </c>
      <c r="C275" s="19" t="s">
        <v>2913</v>
      </c>
      <c r="D275" s="19" t="s">
        <v>2914</v>
      </c>
    </row>
    <row r="276" spans="1:4" ht="15.5" x14ac:dyDescent="0.35">
      <c r="A276" s="1" t="s">
        <v>2097</v>
      </c>
      <c r="B276" s="19" t="s">
        <v>2402</v>
      </c>
      <c r="C276" s="19" t="s">
        <v>2915</v>
      </c>
      <c r="D276" s="19" t="s">
        <v>2916</v>
      </c>
    </row>
    <row r="277" spans="1:4" ht="15.5" x14ac:dyDescent="0.35">
      <c r="A277" s="1" t="s">
        <v>2096</v>
      </c>
      <c r="B277" s="19" t="s">
        <v>2402</v>
      </c>
      <c r="C277" s="19" t="s">
        <v>2917</v>
      </c>
      <c r="D277" s="19" t="s">
        <v>2792</v>
      </c>
    </row>
    <row r="278" spans="1:4" ht="15.5" x14ac:dyDescent="0.35">
      <c r="A278" s="1" t="s">
        <v>2095</v>
      </c>
      <c r="B278" s="19" t="s">
        <v>2402</v>
      </c>
      <c r="C278" s="19" t="s">
        <v>2918</v>
      </c>
      <c r="D278" s="19" t="s">
        <v>2919</v>
      </c>
    </row>
    <row r="279" spans="1:4" ht="15.5" x14ac:dyDescent="0.35">
      <c r="A279" s="1" t="s">
        <v>2094</v>
      </c>
      <c r="B279" s="19" t="s">
        <v>2402</v>
      </c>
      <c r="C279" s="19" t="s">
        <v>2920</v>
      </c>
      <c r="D279" s="19" t="s">
        <v>2921</v>
      </c>
    </row>
    <row r="280" spans="1:4" ht="15.5" x14ac:dyDescent="0.35">
      <c r="A280" s="1" t="s">
        <v>2093</v>
      </c>
      <c r="B280" s="19" t="s">
        <v>2399</v>
      </c>
      <c r="C280" s="19" t="s">
        <v>2745</v>
      </c>
      <c r="D280" s="19" t="s">
        <v>2922</v>
      </c>
    </row>
    <row r="281" spans="1:4" ht="15.5" x14ac:dyDescent="0.35">
      <c r="A281" s="1" t="s">
        <v>2092</v>
      </c>
      <c r="B281" s="19" t="s">
        <v>2402</v>
      </c>
      <c r="C281" s="19" t="s">
        <v>2923</v>
      </c>
      <c r="D281" s="19" t="s">
        <v>2924</v>
      </c>
    </row>
    <row r="282" spans="1:4" ht="15.5" x14ac:dyDescent="0.35">
      <c r="A282" s="1" t="s">
        <v>2091</v>
      </c>
      <c r="B282" s="19" t="s">
        <v>2399</v>
      </c>
      <c r="C282" s="19" t="s">
        <v>2925</v>
      </c>
      <c r="D282" s="19" t="s">
        <v>2926</v>
      </c>
    </row>
    <row r="283" spans="1:4" ht="15.5" x14ac:dyDescent="0.35">
      <c r="A283" s="1" t="s">
        <v>2090</v>
      </c>
      <c r="B283" s="19" t="s">
        <v>2402</v>
      </c>
      <c r="C283" s="19" t="s">
        <v>2582</v>
      </c>
      <c r="D283" s="19" t="s">
        <v>2927</v>
      </c>
    </row>
    <row r="284" spans="1:4" ht="15.5" x14ac:dyDescent="0.35">
      <c r="A284" s="1" t="s">
        <v>2089</v>
      </c>
      <c r="B284" s="19" t="s">
        <v>2402</v>
      </c>
      <c r="C284" s="19" t="s">
        <v>2928</v>
      </c>
      <c r="D284" s="19" t="s">
        <v>2929</v>
      </c>
    </row>
    <row r="285" spans="1:4" ht="15.5" x14ac:dyDescent="0.35">
      <c r="A285" s="1" t="s">
        <v>2088</v>
      </c>
      <c r="B285" s="19" t="s">
        <v>2402</v>
      </c>
      <c r="C285" s="19" t="s">
        <v>2930</v>
      </c>
      <c r="D285" s="19" t="s">
        <v>2931</v>
      </c>
    </row>
    <row r="286" spans="1:4" ht="15.5" x14ac:dyDescent="0.35">
      <c r="A286" s="1" t="s">
        <v>2087</v>
      </c>
      <c r="B286" s="19" t="s">
        <v>2402</v>
      </c>
      <c r="C286" s="19" t="s">
        <v>2932</v>
      </c>
      <c r="D286" s="19" t="s">
        <v>2933</v>
      </c>
    </row>
    <row r="287" spans="1:4" ht="15.5" x14ac:dyDescent="0.35">
      <c r="A287" s="1" t="s">
        <v>2086</v>
      </c>
      <c r="B287" s="19" t="s">
        <v>2399</v>
      </c>
      <c r="C287" s="19" t="s">
        <v>2934</v>
      </c>
      <c r="D287" s="19" t="s">
        <v>2935</v>
      </c>
    </row>
    <row r="288" spans="1:4" ht="15.5" x14ac:dyDescent="0.35">
      <c r="A288" s="1" t="s">
        <v>2085</v>
      </c>
      <c r="B288" s="19" t="s">
        <v>2399</v>
      </c>
      <c r="C288" s="19" t="s">
        <v>2936</v>
      </c>
      <c r="D288" s="19" t="s">
        <v>2937</v>
      </c>
    </row>
    <row r="289" spans="1:4" ht="15.5" x14ac:dyDescent="0.35">
      <c r="A289" s="1" t="s">
        <v>2084</v>
      </c>
      <c r="B289" s="19" t="s">
        <v>2402</v>
      </c>
      <c r="C289" s="19" t="s">
        <v>2938</v>
      </c>
      <c r="D289" s="19" t="s">
        <v>2792</v>
      </c>
    </row>
    <row r="290" spans="1:4" ht="15.5" x14ac:dyDescent="0.35">
      <c r="A290" s="1" t="s">
        <v>2083</v>
      </c>
      <c r="B290" s="19" t="s">
        <v>2402</v>
      </c>
      <c r="C290" s="19" t="s">
        <v>2939</v>
      </c>
      <c r="D290" s="19" t="s">
        <v>2940</v>
      </c>
    </row>
    <row r="291" spans="1:4" ht="15.5" x14ac:dyDescent="0.35">
      <c r="A291" s="1" t="s">
        <v>2082</v>
      </c>
      <c r="B291" s="19" t="s">
        <v>2402</v>
      </c>
      <c r="C291" s="19" t="s">
        <v>2941</v>
      </c>
      <c r="D291" s="19" t="s">
        <v>2827</v>
      </c>
    </row>
    <row r="292" spans="1:4" ht="15.5" x14ac:dyDescent="0.35">
      <c r="A292" s="1" t="s">
        <v>2081</v>
      </c>
      <c r="B292" s="19" t="s">
        <v>2402</v>
      </c>
      <c r="C292" s="19" t="s">
        <v>2942</v>
      </c>
      <c r="D292" s="19" t="s">
        <v>2943</v>
      </c>
    </row>
    <row r="293" spans="1:4" ht="15.5" x14ac:dyDescent="0.35">
      <c r="A293" s="1" t="s">
        <v>2080</v>
      </c>
      <c r="B293" s="19" t="s">
        <v>2402</v>
      </c>
      <c r="C293" s="19" t="s">
        <v>2944</v>
      </c>
      <c r="D293" s="19" t="s">
        <v>2945</v>
      </c>
    </row>
    <row r="294" spans="1:4" ht="15.5" x14ac:dyDescent="0.35">
      <c r="A294" s="1" t="s">
        <v>2079</v>
      </c>
      <c r="B294" s="19" t="s">
        <v>2402</v>
      </c>
      <c r="C294" s="19" t="s">
        <v>2946</v>
      </c>
      <c r="D294" s="19" t="s">
        <v>2947</v>
      </c>
    </row>
    <row r="295" spans="1:4" ht="15.5" x14ac:dyDescent="0.35">
      <c r="A295" s="1" t="s">
        <v>2078</v>
      </c>
      <c r="B295" s="19" t="s">
        <v>2399</v>
      </c>
      <c r="C295" s="19" t="s">
        <v>2948</v>
      </c>
      <c r="D295" s="19" t="s">
        <v>2949</v>
      </c>
    </row>
    <row r="296" spans="1:4" ht="15.5" x14ac:dyDescent="0.35">
      <c r="A296" s="1" t="s">
        <v>2077</v>
      </c>
      <c r="B296" s="19" t="s">
        <v>2402</v>
      </c>
      <c r="C296" s="19" t="s">
        <v>2950</v>
      </c>
      <c r="D296" s="19" t="s">
        <v>2951</v>
      </c>
    </row>
    <row r="297" spans="1:4" ht="15.5" x14ac:dyDescent="0.35">
      <c r="A297" s="1" t="s">
        <v>2076</v>
      </c>
      <c r="B297" s="19" t="s">
        <v>2402</v>
      </c>
      <c r="C297" s="19" t="s">
        <v>2952</v>
      </c>
      <c r="D297" s="19" t="s">
        <v>2953</v>
      </c>
    </row>
    <row r="298" spans="1:4" ht="15.5" x14ac:dyDescent="0.35">
      <c r="A298" s="1" t="s">
        <v>2075</v>
      </c>
      <c r="B298" s="19" t="s">
        <v>2402</v>
      </c>
      <c r="C298" s="19" t="s">
        <v>2954</v>
      </c>
      <c r="D298" s="19" t="s">
        <v>2955</v>
      </c>
    </row>
    <row r="299" spans="1:4" ht="15.5" x14ac:dyDescent="0.35">
      <c r="A299" s="1" t="s">
        <v>2074</v>
      </c>
      <c r="B299" s="19" t="s">
        <v>2399</v>
      </c>
      <c r="C299" s="19" t="s">
        <v>2956</v>
      </c>
      <c r="D299" s="19" t="s">
        <v>2957</v>
      </c>
    </row>
    <row r="300" spans="1:4" ht="15.5" x14ac:dyDescent="0.35">
      <c r="A300" s="1" t="s">
        <v>2073</v>
      </c>
      <c r="B300" s="19" t="s">
        <v>2402</v>
      </c>
      <c r="C300" s="19" t="s">
        <v>2958</v>
      </c>
      <c r="D300" s="19" t="s">
        <v>2959</v>
      </c>
    </row>
    <row r="301" spans="1:4" ht="15.5" x14ac:dyDescent="0.35">
      <c r="A301" s="1" t="s">
        <v>2072</v>
      </c>
      <c r="B301" s="19" t="s">
        <v>2399</v>
      </c>
      <c r="C301" s="19" t="s">
        <v>2960</v>
      </c>
      <c r="D301" s="19" t="s">
        <v>2961</v>
      </c>
    </row>
    <row r="302" spans="1:4" ht="15.5" x14ac:dyDescent="0.35">
      <c r="A302" s="1" t="s">
        <v>2071</v>
      </c>
      <c r="B302" s="19" t="s">
        <v>2402</v>
      </c>
      <c r="C302" s="19" t="s">
        <v>2858</v>
      </c>
      <c r="D302" s="19" t="s">
        <v>2962</v>
      </c>
    </row>
    <row r="303" spans="1:4" ht="15.5" x14ac:dyDescent="0.35">
      <c r="A303" s="1" t="s">
        <v>2070</v>
      </c>
      <c r="B303" s="19" t="s">
        <v>2399</v>
      </c>
      <c r="C303" s="19" t="s">
        <v>2963</v>
      </c>
      <c r="D303" s="19" t="s">
        <v>2561</v>
      </c>
    </row>
    <row r="304" spans="1:4" ht="15.5" x14ac:dyDescent="0.35">
      <c r="A304" s="1" t="s">
        <v>2069</v>
      </c>
      <c r="B304" s="19" t="s">
        <v>2402</v>
      </c>
      <c r="C304" s="19" t="s">
        <v>2964</v>
      </c>
      <c r="D304" s="19" t="s">
        <v>2965</v>
      </c>
    </row>
    <row r="305" spans="1:4" ht="15.5" x14ac:dyDescent="0.35">
      <c r="A305" s="1" t="s">
        <v>2068</v>
      </c>
      <c r="B305" s="19" t="s">
        <v>2399</v>
      </c>
      <c r="C305" s="19" t="s">
        <v>2966</v>
      </c>
      <c r="D305" s="19" t="s">
        <v>2967</v>
      </c>
    </row>
    <row r="306" spans="1:4" ht="15.5" x14ac:dyDescent="0.35">
      <c r="A306" s="1" t="s">
        <v>2067</v>
      </c>
      <c r="B306" s="19" t="s">
        <v>2399</v>
      </c>
      <c r="C306" s="19" t="s">
        <v>2968</v>
      </c>
      <c r="D306" s="19" t="s">
        <v>2969</v>
      </c>
    </row>
    <row r="307" spans="1:4" ht="15.5" x14ac:dyDescent="0.35">
      <c r="A307" s="1" t="s">
        <v>2066</v>
      </c>
      <c r="B307" s="19" t="s">
        <v>2399</v>
      </c>
      <c r="C307" s="19" t="s">
        <v>2852</v>
      </c>
      <c r="D307" s="19" t="s">
        <v>2970</v>
      </c>
    </row>
    <row r="308" spans="1:4" ht="15.5" x14ac:dyDescent="0.35">
      <c r="A308" s="1" t="s">
        <v>2065</v>
      </c>
      <c r="B308" s="19" t="s">
        <v>2399</v>
      </c>
      <c r="C308" s="19" t="s">
        <v>2971</v>
      </c>
      <c r="D308" s="19" t="s">
        <v>2526</v>
      </c>
    </row>
    <row r="309" spans="1:4" ht="15.5" x14ac:dyDescent="0.35">
      <c r="A309" s="1" t="s">
        <v>2064</v>
      </c>
      <c r="B309" s="19" t="s">
        <v>2402</v>
      </c>
      <c r="C309" s="19" t="s">
        <v>2972</v>
      </c>
      <c r="D309" s="19" t="s">
        <v>2973</v>
      </c>
    </row>
    <row r="310" spans="1:4" ht="15.5" x14ac:dyDescent="0.35">
      <c r="A310" s="1" t="s">
        <v>2063</v>
      </c>
      <c r="B310" s="19" t="s">
        <v>2399</v>
      </c>
      <c r="C310" s="19" t="s">
        <v>2974</v>
      </c>
      <c r="D310" s="19" t="s">
        <v>2975</v>
      </c>
    </row>
    <row r="311" spans="1:4" ht="15.5" x14ac:dyDescent="0.35">
      <c r="A311" s="1" t="s">
        <v>2062</v>
      </c>
      <c r="B311" s="19" t="s">
        <v>2399</v>
      </c>
      <c r="C311" s="19" t="s">
        <v>2976</v>
      </c>
      <c r="D311" s="19" t="s">
        <v>2977</v>
      </c>
    </row>
    <row r="312" spans="1:4" ht="15.5" x14ac:dyDescent="0.35">
      <c r="A312" s="1" t="s">
        <v>2061</v>
      </c>
      <c r="B312" s="19" t="s">
        <v>2402</v>
      </c>
      <c r="C312" s="19" t="s">
        <v>2535</v>
      </c>
      <c r="D312" s="19" t="s">
        <v>2978</v>
      </c>
    </row>
    <row r="313" spans="1:4" ht="15.5" x14ac:dyDescent="0.35">
      <c r="A313" s="1" t="s">
        <v>2060</v>
      </c>
      <c r="B313" s="19" t="s">
        <v>2402</v>
      </c>
      <c r="C313" s="19" t="s">
        <v>2979</v>
      </c>
      <c r="D313" s="19" t="s">
        <v>2980</v>
      </c>
    </row>
    <row r="314" spans="1:4" ht="15.5" x14ac:dyDescent="0.35">
      <c r="A314" s="1" t="s">
        <v>2059</v>
      </c>
      <c r="B314" s="19" t="s">
        <v>2402</v>
      </c>
      <c r="C314" s="19" t="s">
        <v>2981</v>
      </c>
      <c r="D314" s="19" t="s">
        <v>2982</v>
      </c>
    </row>
    <row r="315" spans="1:4" ht="15.5" x14ac:dyDescent="0.35">
      <c r="A315" s="1" t="s">
        <v>2058</v>
      </c>
      <c r="B315" s="19" t="s">
        <v>2399</v>
      </c>
      <c r="C315" s="19" t="s">
        <v>2983</v>
      </c>
      <c r="D315" s="19" t="s">
        <v>2984</v>
      </c>
    </row>
    <row r="316" spans="1:4" ht="15.5" x14ac:dyDescent="0.35">
      <c r="A316" s="1" t="s">
        <v>2057</v>
      </c>
      <c r="B316" s="19" t="s">
        <v>2399</v>
      </c>
      <c r="C316" s="19" t="s">
        <v>2985</v>
      </c>
      <c r="D316" s="19" t="s">
        <v>2986</v>
      </c>
    </row>
    <row r="317" spans="1:4" ht="15.5" x14ac:dyDescent="0.35">
      <c r="A317" s="1" t="s">
        <v>2056</v>
      </c>
      <c r="B317" s="19" t="s">
        <v>2402</v>
      </c>
      <c r="C317" s="19" t="s">
        <v>2987</v>
      </c>
      <c r="D317" s="19" t="s">
        <v>2735</v>
      </c>
    </row>
    <row r="318" spans="1:4" ht="15.5" x14ac:dyDescent="0.35">
      <c r="A318" s="1" t="s">
        <v>2055</v>
      </c>
      <c r="B318" s="19" t="s">
        <v>2402</v>
      </c>
      <c r="C318" s="19" t="s">
        <v>2988</v>
      </c>
      <c r="D318" s="19" t="s">
        <v>2439</v>
      </c>
    </row>
    <row r="319" spans="1:4" ht="15.5" x14ac:dyDescent="0.35">
      <c r="A319" s="1" t="s">
        <v>2054</v>
      </c>
      <c r="B319" s="19" t="s">
        <v>2402</v>
      </c>
      <c r="C319" s="19" t="s">
        <v>2989</v>
      </c>
      <c r="D319" s="19" t="s">
        <v>2990</v>
      </c>
    </row>
    <row r="320" spans="1:4" ht="15.5" x14ac:dyDescent="0.35">
      <c r="A320" s="1" t="s">
        <v>2053</v>
      </c>
      <c r="B320" s="19" t="s">
        <v>2402</v>
      </c>
      <c r="C320" s="19" t="s">
        <v>2991</v>
      </c>
      <c r="D320" s="19" t="s">
        <v>2992</v>
      </c>
    </row>
    <row r="321" spans="1:4" ht="15.5" x14ac:dyDescent="0.35">
      <c r="A321" s="1" t="s">
        <v>2052</v>
      </c>
      <c r="B321" s="19" t="s">
        <v>2399</v>
      </c>
      <c r="C321" s="19" t="s">
        <v>2993</v>
      </c>
      <c r="D321" s="19" t="s">
        <v>2994</v>
      </c>
    </row>
    <row r="322" spans="1:4" ht="15.5" x14ac:dyDescent="0.35">
      <c r="A322" s="1" t="s">
        <v>2051</v>
      </c>
      <c r="B322" s="19" t="s">
        <v>2399</v>
      </c>
      <c r="C322" s="19" t="s">
        <v>2995</v>
      </c>
      <c r="D322" s="19" t="s">
        <v>2996</v>
      </c>
    </row>
    <row r="323" spans="1:4" ht="15.5" x14ac:dyDescent="0.35">
      <c r="A323" s="1" t="s">
        <v>2050</v>
      </c>
      <c r="B323" s="19" t="s">
        <v>2402</v>
      </c>
      <c r="C323" s="19" t="s">
        <v>2997</v>
      </c>
      <c r="D323" s="19" t="s">
        <v>2998</v>
      </c>
    </row>
    <row r="324" spans="1:4" ht="15.5" x14ac:dyDescent="0.35">
      <c r="A324" s="1" t="s">
        <v>2049</v>
      </c>
      <c r="B324" s="19" t="s">
        <v>2402</v>
      </c>
      <c r="C324" s="19" t="s">
        <v>2928</v>
      </c>
      <c r="D324" s="19" t="s">
        <v>2999</v>
      </c>
    </row>
    <row r="325" spans="1:4" ht="15.5" x14ac:dyDescent="0.35">
      <c r="A325" s="1" t="s">
        <v>2048</v>
      </c>
      <c r="B325" s="19" t="s">
        <v>2402</v>
      </c>
      <c r="C325" s="19" t="s">
        <v>3000</v>
      </c>
      <c r="D325" s="19" t="s">
        <v>2696</v>
      </c>
    </row>
    <row r="326" spans="1:4" ht="15.5" x14ac:dyDescent="0.35">
      <c r="A326" s="1" t="s">
        <v>2047</v>
      </c>
      <c r="B326" s="19" t="s">
        <v>2399</v>
      </c>
      <c r="C326" s="19" t="s">
        <v>3001</v>
      </c>
      <c r="D326" s="19" t="s">
        <v>3002</v>
      </c>
    </row>
    <row r="327" spans="1:4" ht="15.5" x14ac:dyDescent="0.35">
      <c r="A327" s="1" t="s">
        <v>2046</v>
      </c>
      <c r="B327" s="19" t="s">
        <v>2402</v>
      </c>
      <c r="C327" s="19" t="s">
        <v>3003</v>
      </c>
      <c r="D327" s="19" t="s">
        <v>3004</v>
      </c>
    </row>
    <row r="328" spans="1:4" ht="15.5" x14ac:dyDescent="0.35">
      <c r="A328" s="1" t="s">
        <v>2045</v>
      </c>
      <c r="B328" s="19" t="s">
        <v>2402</v>
      </c>
      <c r="C328" s="19" t="s">
        <v>3005</v>
      </c>
      <c r="D328" s="19" t="s">
        <v>2837</v>
      </c>
    </row>
    <row r="329" spans="1:4" ht="15.5" x14ac:dyDescent="0.35">
      <c r="A329" s="1" t="s">
        <v>2044</v>
      </c>
      <c r="B329" s="19" t="s">
        <v>2402</v>
      </c>
      <c r="C329" s="19" t="s">
        <v>3006</v>
      </c>
      <c r="D329" s="19" t="s">
        <v>3007</v>
      </c>
    </row>
    <row r="330" spans="1:4" ht="15.5" x14ac:dyDescent="0.35">
      <c r="A330" s="1" t="s">
        <v>2043</v>
      </c>
      <c r="B330" s="19" t="s">
        <v>2402</v>
      </c>
      <c r="C330" s="19" t="s">
        <v>3008</v>
      </c>
      <c r="D330" s="19" t="s">
        <v>2827</v>
      </c>
    </row>
    <row r="331" spans="1:4" ht="15.5" x14ac:dyDescent="0.35">
      <c r="A331" s="1" t="s">
        <v>2042</v>
      </c>
      <c r="B331" s="19" t="s">
        <v>2402</v>
      </c>
      <c r="C331" s="19" t="s">
        <v>3009</v>
      </c>
      <c r="D331" s="19" t="s">
        <v>3010</v>
      </c>
    </row>
    <row r="332" spans="1:4" ht="15.5" x14ac:dyDescent="0.35">
      <c r="A332" s="1" t="s">
        <v>2041</v>
      </c>
      <c r="B332" s="19" t="s">
        <v>2402</v>
      </c>
      <c r="C332" s="19" t="s">
        <v>3011</v>
      </c>
      <c r="D332" s="19" t="s">
        <v>3012</v>
      </c>
    </row>
    <row r="333" spans="1:4" ht="15.5" x14ac:dyDescent="0.35">
      <c r="A333" s="1" t="s">
        <v>2040</v>
      </c>
      <c r="B333" s="19" t="s">
        <v>2402</v>
      </c>
      <c r="C333" s="19" t="s">
        <v>3013</v>
      </c>
      <c r="D333" s="19" t="s">
        <v>2992</v>
      </c>
    </row>
    <row r="334" spans="1:4" ht="15.5" x14ac:dyDescent="0.35">
      <c r="A334" s="1" t="s">
        <v>2039</v>
      </c>
      <c r="B334" s="19" t="s">
        <v>2399</v>
      </c>
      <c r="C334" s="19" t="s">
        <v>3014</v>
      </c>
      <c r="D334" s="19" t="s">
        <v>3015</v>
      </c>
    </row>
    <row r="335" spans="1:4" ht="15.5" x14ac:dyDescent="0.35">
      <c r="A335" s="1" t="s">
        <v>2038</v>
      </c>
      <c r="B335" s="19" t="s">
        <v>2402</v>
      </c>
      <c r="C335" s="19" t="s">
        <v>3016</v>
      </c>
      <c r="D335" s="19" t="s">
        <v>3017</v>
      </c>
    </row>
    <row r="336" spans="1:4" ht="15.5" x14ac:dyDescent="0.35">
      <c r="A336" s="1" t="s">
        <v>2037</v>
      </c>
      <c r="B336" s="19" t="s">
        <v>2399</v>
      </c>
      <c r="C336" s="19" t="s">
        <v>3018</v>
      </c>
      <c r="D336" s="19" t="s">
        <v>3019</v>
      </c>
    </row>
    <row r="337" spans="1:4" ht="15.5" x14ac:dyDescent="0.35">
      <c r="A337" s="1" t="s">
        <v>2036</v>
      </c>
      <c r="B337" s="19" t="s">
        <v>2402</v>
      </c>
      <c r="C337" s="19" t="s">
        <v>3020</v>
      </c>
      <c r="D337" s="19" t="s">
        <v>3021</v>
      </c>
    </row>
    <row r="338" spans="1:4" ht="15.5" x14ac:dyDescent="0.35">
      <c r="A338" s="1" t="s">
        <v>2035</v>
      </c>
      <c r="B338" s="19" t="s">
        <v>2399</v>
      </c>
      <c r="C338" s="19" t="s">
        <v>3022</v>
      </c>
      <c r="D338" s="19" t="s">
        <v>3023</v>
      </c>
    </row>
    <row r="339" spans="1:4" ht="15.5" x14ac:dyDescent="0.35">
      <c r="A339" s="1" t="s">
        <v>2034</v>
      </c>
      <c r="B339" s="19" t="s">
        <v>2399</v>
      </c>
      <c r="C339" s="19" t="s">
        <v>3024</v>
      </c>
      <c r="D339" s="19" t="s">
        <v>2794</v>
      </c>
    </row>
    <row r="340" spans="1:4" ht="15.5" x14ac:dyDescent="0.35">
      <c r="A340" s="1" t="s">
        <v>2033</v>
      </c>
      <c r="B340" s="19" t="s">
        <v>2402</v>
      </c>
      <c r="C340" s="19" t="s">
        <v>3025</v>
      </c>
      <c r="D340" s="19" t="s">
        <v>2715</v>
      </c>
    </row>
    <row r="341" spans="1:4" ht="15.5" x14ac:dyDescent="0.35">
      <c r="A341" s="1" t="s">
        <v>2032</v>
      </c>
      <c r="B341" s="19" t="s">
        <v>2399</v>
      </c>
      <c r="C341" s="19" t="s">
        <v>3026</v>
      </c>
      <c r="D341" s="19" t="s">
        <v>3027</v>
      </c>
    </row>
    <row r="342" spans="1:4" ht="15.5" x14ac:dyDescent="0.35">
      <c r="A342" s="1" t="s">
        <v>2031</v>
      </c>
      <c r="B342" s="19" t="s">
        <v>2399</v>
      </c>
      <c r="C342" s="19" t="s">
        <v>3028</v>
      </c>
      <c r="D342" s="19" t="s">
        <v>3029</v>
      </c>
    </row>
    <row r="343" spans="1:4" ht="15.5" x14ac:dyDescent="0.35">
      <c r="A343" s="1" t="s">
        <v>2030</v>
      </c>
      <c r="B343" s="19" t="s">
        <v>2399</v>
      </c>
      <c r="C343" s="19" t="s">
        <v>3030</v>
      </c>
      <c r="D343" s="19" t="s">
        <v>3031</v>
      </c>
    </row>
    <row r="344" spans="1:4" ht="15.5" x14ac:dyDescent="0.35">
      <c r="A344" s="1" t="s">
        <v>2029</v>
      </c>
      <c r="B344" s="19" t="s">
        <v>2399</v>
      </c>
      <c r="C344" s="19" t="s">
        <v>3032</v>
      </c>
      <c r="D344" s="19" t="s">
        <v>2589</v>
      </c>
    </row>
    <row r="345" spans="1:4" ht="15.5" x14ac:dyDescent="0.35">
      <c r="A345" s="1" t="s">
        <v>2028</v>
      </c>
      <c r="B345" s="19" t="s">
        <v>2402</v>
      </c>
      <c r="C345" s="19" t="s">
        <v>3033</v>
      </c>
      <c r="D345" s="19" t="s">
        <v>3034</v>
      </c>
    </row>
    <row r="346" spans="1:4" ht="15.5" x14ac:dyDescent="0.35">
      <c r="A346" s="1" t="s">
        <v>2027</v>
      </c>
      <c r="B346" s="19" t="s">
        <v>2399</v>
      </c>
      <c r="C346" s="19" t="s">
        <v>3035</v>
      </c>
      <c r="D346" s="19" t="s">
        <v>3036</v>
      </c>
    </row>
    <row r="347" spans="1:4" ht="15.5" x14ac:dyDescent="0.35">
      <c r="A347" s="1" t="s">
        <v>2026</v>
      </c>
      <c r="B347" s="19" t="s">
        <v>2402</v>
      </c>
      <c r="C347" s="19" t="s">
        <v>3037</v>
      </c>
      <c r="D347" s="19" t="s">
        <v>2500</v>
      </c>
    </row>
    <row r="348" spans="1:4" ht="15.5" x14ac:dyDescent="0.35">
      <c r="A348" s="1" t="s">
        <v>2025</v>
      </c>
      <c r="B348" s="19" t="s">
        <v>2399</v>
      </c>
      <c r="C348" s="19" t="s">
        <v>3038</v>
      </c>
      <c r="D348" s="19" t="s">
        <v>3039</v>
      </c>
    </row>
    <row r="349" spans="1:4" ht="15.5" x14ac:dyDescent="0.35">
      <c r="A349" s="1" t="s">
        <v>2024</v>
      </c>
      <c r="B349" s="19" t="s">
        <v>2399</v>
      </c>
      <c r="C349" s="19" t="s">
        <v>3040</v>
      </c>
      <c r="D349" s="19" t="s">
        <v>3041</v>
      </c>
    </row>
    <row r="350" spans="1:4" ht="15.5" x14ac:dyDescent="0.35">
      <c r="A350" s="1" t="s">
        <v>2023</v>
      </c>
      <c r="B350" s="19" t="s">
        <v>2402</v>
      </c>
      <c r="C350" s="19" t="s">
        <v>3042</v>
      </c>
      <c r="D350" s="19" t="s">
        <v>3043</v>
      </c>
    </row>
    <row r="351" spans="1:4" ht="15.5" x14ac:dyDescent="0.35">
      <c r="A351" s="1" t="s">
        <v>2022</v>
      </c>
      <c r="B351" s="19" t="s">
        <v>2399</v>
      </c>
      <c r="C351" s="19" t="s">
        <v>3044</v>
      </c>
      <c r="D351" s="19" t="s">
        <v>3045</v>
      </c>
    </row>
    <row r="352" spans="1:4" ht="15.5" x14ac:dyDescent="0.35">
      <c r="A352" s="1" t="s">
        <v>2021</v>
      </c>
      <c r="B352" s="19" t="s">
        <v>2402</v>
      </c>
      <c r="C352" s="19" t="s">
        <v>3046</v>
      </c>
      <c r="D352" s="19" t="s">
        <v>3047</v>
      </c>
    </row>
    <row r="353" spans="1:4" ht="15.5" x14ac:dyDescent="0.35">
      <c r="A353" s="1" t="s">
        <v>2020</v>
      </c>
      <c r="B353" s="19" t="s">
        <v>2399</v>
      </c>
      <c r="C353" s="19" t="s">
        <v>3048</v>
      </c>
      <c r="D353" s="19" t="s">
        <v>3049</v>
      </c>
    </row>
    <row r="354" spans="1:4" ht="15.5" x14ac:dyDescent="0.35">
      <c r="A354" s="1" t="s">
        <v>2019</v>
      </c>
      <c r="B354" s="19" t="s">
        <v>2402</v>
      </c>
      <c r="C354" s="19" t="s">
        <v>2556</v>
      </c>
      <c r="D354" s="19" t="s">
        <v>3050</v>
      </c>
    </row>
    <row r="355" spans="1:4" ht="15.5" x14ac:dyDescent="0.35">
      <c r="A355" s="1" t="s">
        <v>2018</v>
      </c>
      <c r="B355" s="19" t="s">
        <v>2399</v>
      </c>
      <c r="C355" s="19" t="s">
        <v>3051</v>
      </c>
      <c r="D355" s="19" t="s">
        <v>3052</v>
      </c>
    </row>
    <row r="356" spans="1:4" ht="15.5" x14ac:dyDescent="0.35">
      <c r="A356" s="1" t="s">
        <v>2017</v>
      </c>
      <c r="B356" s="19" t="s">
        <v>2399</v>
      </c>
      <c r="C356" s="19" t="s">
        <v>3053</v>
      </c>
      <c r="D356" s="19" t="s">
        <v>3054</v>
      </c>
    </row>
    <row r="357" spans="1:4" ht="15.5" x14ac:dyDescent="0.35">
      <c r="A357" s="1" t="s">
        <v>2016</v>
      </c>
      <c r="B357" s="19" t="s">
        <v>2399</v>
      </c>
      <c r="C357" s="19" t="s">
        <v>3055</v>
      </c>
      <c r="D357" s="19" t="s">
        <v>3056</v>
      </c>
    </row>
    <row r="358" spans="1:4" ht="15.5" x14ac:dyDescent="0.35">
      <c r="A358" s="1" t="s">
        <v>2015</v>
      </c>
      <c r="B358" s="19" t="s">
        <v>2402</v>
      </c>
      <c r="C358" s="19" t="s">
        <v>3057</v>
      </c>
      <c r="D358" s="19" t="s">
        <v>3058</v>
      </c>
    </row>
    <row r="359" spans="1:4" ht="15.5" x14ac:dyDescent="0.35">
      <c r="A359" s="1" t="s">
        <v>2014</v>
      </c>
      <c r="B359" s="19" t="s">
        <v>2402</v>
      </c>
      <c r="C359" s="19" t="s">
        <v>3059</v>
      </c>
      <c r="D359" s="19" t="s">
        <v>3060</v>
      </c>
    </row>
    <row r="360" spans="1:4" ht="15.5" x14ac:dyDescent="0.35">
      <c r="A360" s="1" t="s">
        <v>2013</v>
      </c>
      <c r="B360" s="19" t="s">
        <v>2402</v>
      </c>
      <c r="C360" s="19" t="s">
        <v>3061</v>
      </c>
      <c r="D360" s="19" t="s">
        <v>3062</v>
      </c>
    </row>
    <row r="361" spans="1:4" ht="15.5" x14ac:dyDescent="0.35">
      <c r="A361" s="1" t="s">
        <v>2012</v>
      </c>
      <c r="B361" s="19" t="s">
        <v>2402</v>
      </c>
      <c r="C361" s="19" t="s">
        <v>2762</v>
      </c>
      <c r="D361" s="19" t="s">
        <v>3063</v>
      </c>
    </row>
    <row r="362" spans="1:4" ht="15.5" x14ac:dyDescent="0.35">
      <c r="A362" s="1" t="s">
        <v>2011</v>
      </c>
      <c r="B362" s="19" t="s">
        <v>2402</v>
      </c>
      <c r="C362" s="19" t="s">
        <v>3064</v>
      </c>
      <c r="D362" s="19" t="s">
        <v>3065</v>
      </c>
    </row>
    <row r="363" spans="1:4" ht="15.5" x14ac:dyDescent="0.35">
      <c r="A363" s="1" t="s">
        <v>2010</v>
      </c>
      <c r="B363" s="19" t="s">
        <v>2402</v>
      </c>
      <c r="C363" s="19" t="s">
        <v>3066</v>
      </c>
      <c r="D363" s="19" t="s">
        <v>2528</v>
      </c>
    </row>
    <row r="364" spans="1:4" ht="15.5" x14ac:dyDescent="0.35">
      <c r="A364" s="1" t="s">
        <v>2009</v>
      </c>
      <c r="B364" s="19" t="s">
        <v>2402</v>
      </c>
      <c r="C364" s="19" t="s">
        <v>3067</v>
      </c>
      <c r="D364" s="19" t="s">
        <v>3068</v>
      </c>
    </row>
    <row r="365" spans="1:4" ht="15.5" x14ac:dyDescent="0.35">
      <c r="A365" s="1" t="s">
        <v>2008</v>
      </c>
      <c r="B365" s="19" t="s">
        <v>2399</v>
      </c>
      <c r="C365" s="19" t="s">
        <v>3069</v>
      </c>
      <c r="D365" s="19" t="s">
        <v>3070</v>
      </c>
    </row>
    <row r="366" spans="1:4" ht="15.5" x14ac:dyDescent="0.35">
      <c r="A366" s="1" t="s">
        <v>2007</v>
      </c>
      <c r="B366" s="19" t="s">
        <v>2399</v>
      </c>
      <c r="C366" s="19" t="s">
        <v>3071</v>
      </c>
      <c r="D366" s="19" t="s">
        <v>3072</v>
      </c>
    </row>
    <row r="367" spans="1:4" ht="15.5" x14ac:dyDescent="0.35">
      <c r="A367" s="1" t="s">
        <v>2006</v>
      </c>
      <c r="B367" s="19" t="s">
        <v>2402</v>
      </c>
      <c r="C367" s="19" t="s">
        <v>3073</v>
      </c>
      <c r="D367" s="19" t="s">
        <v>3074</v>
      </c>
    </row>
    <row r="368" spans="1:4" ht="15.5" x14ac:dyDescent="0.35">
      <c r="A368" s="1" t="s">
        <v>2005</v>
      </c>
      <c r="B368" s="19" t="s">
        <v>2402</v>
      </c>
      <c r="C368" s="19" t="s">
        <v>3075</v>
      </c>
      <c r="D368" s="19" t="s">
        <v>3076</v>
      </c>
    </row>
    <row r="369" spans="1:4" ht="15.5" x14ac:dyDescent="0.35">
      <c r="A369" s="1" t="s">
        <v>2004</v>
      </c>
      <c r="B369" s="19" t="s">
        <v>2399</v>
      </c>
      <c r="C369" s="19" t="s">
        <v>3077</v>
      </c>
      <c r="D369" s="19" t="s">
        <v>3078</v>
      </c>
    </row>
    <row r="370" spans="1:4" ht="15.5" x14ac:dyDescent="0.35">
      <c r="A370" s="1" t="s">
        <v>2003</v>
      </c>
      <c r="B370" s="19" t="s">
        <v>2402</v>
      </c>
      <c r="C370" s="19" t="s">
        <v>3079</v>
      </c>
      <c r="D370" s="19" t="s">
        <v>3080</v>
      </c>
    </row>
    <row r="371" spans="1:4" ht="15.5" x14ac:dyDescent="0.35">
      <c r="A371" s="1" t="s">
        <v>2002</v>
      </c>
      <c r="B371" s="19" t="s">
        <v>2402</v>
      </c>
      <c r="C371" s="19" t="s">
        <v>3081</v>
      </c>
      <c r="D371" s="19" t="s">
        <v>3082</v>
      </c>
    </row>
    <row r="372" spans="1:4" ht="15.5" x14ac:dyDescent="0.35">
      <c r="A372" s="1" t="s">
        <v>2001</v>
      </c>
      <c r="B372" s="19" t="s">
        <v>2399</v>
      </c>
      <c r="C372" s="19" t="s">
        <v>3083</v>
      </c>
      <c r="D372" s="19" t="s">
        <v>3084</v>
      </c>
    </row>
    <row r="373" spans="1:4" ht="15.5" x14ac:dyDescent="0.35">
      <c r="A373" s="1" t="s">
        <v>2000</v>
      </c>
      <c r="B373" s="19" t="s">
        <v>2402</v>
      </c>
      <c r="C373" s="19" t="s">
        <v>3085</v>
      </c>
      <c r="D373" s="19" t="s">
        <v>3086</v>
      </c>
    </row>
    <row r="374" spans="1:4" ht="15.5" x14ac:dyDescent="0.35">
      <c r="A374" s="1" t="s">
        <v>1999</v>
      </c>
      <c r="B374" s="19" t="s">
        <v>2399</v>
      </c>
      <c r="C374" s="19" t="s">
        <v>3087</v>
      </c>
      <c r="D374" s="19" t="s">
        <v>3088</v>
      </c>
    </row>
    <row r="375" spans="1:4" ht="15.5" x14ac:dyDescent="0.35">
      <c r="A375" s="1" t="s">
        <v>1998</v>
      </c>
      <c r="B375" s="19" t="s">
        <v>2399</v>
      </c>
      <c r="C375" s="19" t="s">
        <v>3089</v>
      </c>
      <c r="D375" s="19" t="s">
        <v>2935</v>
      </c>
    </row>
    <row r="376" spans="1:4" ht="15.5" x14ac:dyDescent="0.35">
      <c r="A376" s="1" t="s">
        <v>1997</v>
      </c>
      <c r="B376" s="19" t="s">
        <v>2399</v>
      </c>
      <c r="C376" s="19" t="s">
        <v>3090</v>
      </c>
      <c r="D376" s="19" t="s">
        <v>3091</v>
      </c>
    </row>
    <row r="377" spans="1:4" ht="15.5" x14ac:dyDescent="0.35">
      <c r="A377" s="1" t="s">
        <v>1996</v>
      </c>
      <c r="B377" s="19" t="s">
        <v>2402</v>
      </c>
      <c r="C377" s="19" t="s">
        <v>3092</v>
      </c>
      <c r="D377" s="19" t="s">
        <v>3093</v>
      </c>
    </row>
    <row r="378" spans="1:4" ht="15.5" x14ac:dyDescent="0.35">
      <c r="A378" s="1" t="s">
        <v>1995</v>
      </c>
      <c r="B378" s="19" t="s">
        <v>2402</v>
      </c>
      <c r="C378" s="19" t="s">
        <v>3094</v>
      </c>
      <c r="D378" s="19" t="s">
        <v>2696</v>
      </c>
    </row>
    <row r="379" spans="1:4" ht="15.5" x14ac:dyDescent="0.35">
      <c r="A379" s="1" t="s">
        <v>1994</v>
      </c>
      <c r="B379" s="19" t="s">
        <v>2399</v>
      </c>
      <c r="C379" s="19" t="s">
        <v>3095</v>
      </c>
      <c r="D379" s="19" t="s">
        <v>3096</v>
      </c>
    </row>
    <row r="380" spans="1:4" ht="15.5" x14ac:dyDescent="0.35">
      <c r="A380" s="1" t="s">
        <v>1993</v>
      </c>
      <c r="B380" s="19" t="s">
        <v>2399</v>
      </c>
      <c r="C380" s="19" t="s">
        <v>3097</v>
      </c>
      <c r="D380" s="19" t="s">
        <v>2771</v>
      </c>
    </row>
    <row r="381" spans="1:4" ht="15.5" x14ac:dyDescent="0.35">
      <c r="A381" s="1" t="s">
        <v>1992</v>
      </c>
      <c r="B381" s="19" t="s">
        <v>2402</v>
      </c>
      <c r="C381" s="19" t="s">
        <v>3098</v>
      </c>
      <c r="D381" s="19" t="s">
        <v>3099</v>
      </c>
    </row>
    <row r="382" spans="1:4" ht="15.5" x14ac:dyDescent="0.35">
      <c r="A382" s="1" t="s">
        <v>1991</v>
      </c>
      <c r="B382" s="19" t="s">
        <v>2399</v>
      </c>
      <c r="C382" s="19" t="s">
        <v>3100</v>
      </c>
      <c r="D382" s="19" t="s">
        <v>3101</v>
      </c>
    </row>
    <row r="383" spans="1:4" ht="15.5" x14ac:dyDescent="0.35">
      <c r="A383" s="1" t="s">
        <v>1990</v>
      </c>
      <c r="B383" s="19" t="s">
        <v>2402</v>
      </c>
      <c r="C383" s="19" t="s">
        <v>3102</v>
      </c>
      <c r="D383" s="19" t="s">
        <v>2413</v>
      </c>
    </row>
    <row r="384" spans="1:4" ht="15.5" x14ac:dyDescent="0.35">
      <c r="A384" s="1" t="s">
        <v>1989</v>
      </c>
      <c r="B384" s="19" t="s">
        <v>2402</v>
      </c>
      <c r="C384" s="19" t="s">
        <v>3103</v>
      </c>
      <c r="D384" s="19" t="s">
        <v>2841</v>
      </c>
    </row>
    <row r="385" spans="1:4" ht="15.5" x14ac:dyDescent="0.35">
      <c r="A385" s="1" t="s">
        <v>1988</v>
      </c>
      <c r="B385" s="19" t="s">
        <v>2399</v>
      </c>
      <c r="C385" s="19" t="s">
        <v>3104</v>
      </c>
      <c r="D385" s="19" t="s">
        <v>2549</v>
      </c>
    </row>
    <row r="386" spans="1:4" ht="15.5" x14ac:dyDescent="0.35">
      <c r="A386" s="1" t="s">
        <v>1987</v>
      </c>
      <c r="B386" s="19" t="s">
        <v>2402</v>
      </c>
      <c r="C386" s="19" t="s">
        <v>3105</v>
      </c>
      <c r="D386" s="19" t="s">
        <v>3106</v>
      </c>
    </row>
    <row r="387" spans="1:4" ht="15.5" x14ac:dyDescent="0.35">
      <c r="A387" s="1" t="s">
        <v>1986</v>
      </c>
      <c r="B387" s="19" t="s">
        <v>2402</v>
      </c>
      <c r="C387" s="19" t="s">
        <v>3107</v>
      </c>
      <c r="D387" s="19" t="s">
        <v>3108</v>
      </c>
    </row>
    <row r="388" spans="1:4" ht="15.5" x14ac:dyDescent="0.35">
      <c r="A388" s="1" t="s">
        <v>1985</v>
      </c>
      <c r="B388" s="19" t="s">
        <v>2399</v>
      </c>
      <c r="C388" s="19" t="s">
        <v>3109</v>
      </c>
      <c r="D388" s="19" t="s">
        <v>3110</v>
      </c>
    </row>
    <row r="389" spans="1:4" ht="15.5" x14ac:dyDescent="0.35">
      <c r="A389" s="1" t="s">
        <v>1984</v>
      </c>
      <c r="B389" s="19" t="s">
        <v>2402</v>
      </c>
      <c r="C389" s="19" t="s">
        <v>3111</v>
      </c>
      <c r="D389" s="19" t="s">
        <v>3112</v>
      </c>
    </row>
    <row r="390" spans="1:4" ht="15.5" x14ac:dyDescent="0.35">
      <c r="A390" s="1" t="s">
        <v>1983</v>
      </c>
      <c r="B390" s="19" t="s">
        <v>2399</v>
      </c>
      <c r="C390" s="19" t="s">
        <v>3113</v>
      </c>
      <c r="D390" s="19" t="s">
        <v>2977</v>
      </c>
    </row>
    <row r="391" spans="1:4" ht="15.5" x14ac:dyDescent="0.35">
      <c r="A391" s="1" t="s">
        <v>1982</v>
      </c>
      <c r="B391" s="19" t="s">
        <v>2399</v>
      </c>
      <c r="C391" s="19" t="s">
        <v>3114</v>
      </c>
      <c r="D391" s="19" t="s">
        <v>3115</v>
      </c>
    </row>
    <row r="392" spans="1:4" ht="15.5" x14ac:dyDescent="0.35">
      <c r="A392" s="1" t="s">
        <v>1981</v>
      </c>
      <c r="B392" s="19" t="s">
        <v>2402</v>
      </c>
      <c r="C392" s="19" t="s">
        <v>3116</v>
      </c>
      <c r="D392" s="19" t="s">
        <v>3117</v>
      </c>
    </row>
    <row r="393" spans="1:4" ht="15.5" x14ac:dyDescent="0.35">
      <c r="A393" s="1" t="s">
        <v>1980</v>
      </c>
      <c r="B393" s="19" t="s">
        <v>2402</v>
      </c>
      <c r="C393" s="19" t="s">
        <v>3118</v>
      </c>
      <c r="D393" s="19" t="s">
        <v>2496</v>
      </c>
    </row>
    <row r="394" spans="1:4" ht="15.5" x14ac:dyDescent="0.35">
      <c r="A394" s="1" t="s">
        <v>1979</v>
      </c>
      <c r="B394" s="19" t="s">
        <v>2399</v>
      </c>
      <c r="C394" s="19" t="s">
        <v>3119</v>
      </c>
      <c r="D394" s="19" t="s">
        <v>3120</v>
      </c>
    </row>
    <row r="395" spans="1:4" ht="15.5" x14ac:dyDescent="0.35">
      <c r="A395" s="1" t="s">
        <v>1978</v>
      </c>
      <c r="B395" s="19" t="s">
        <v>2402</v>
      </c>
      <c r="C395" s="19" t="s">
        <v>2793</v>
      </c>
      <c r="D395" s="19" t="s">
        <v>3121</v>
      </c>
    </row>
    <row r="396" spans="1:4" ht="15.5" x14ac:dyDescent="0.35">
      <c r="A396" s="1" t="s">
        <v>1977</v>
      </c>
      <c r="B396" s="19" t="s">
        <v>2399</v>
      </c>
      <c r="C396" s="19" t="s">
        <v>3122</v>
      </c>
      <c r="D396" s="19" t="s">
        <v>3123</v>
      </c>
    </row>
    <row r="397" spans="1:4" ht="15.5" x14ac:dyDescent="0.35">
      <c r="A397" s="1" t="s">
        <v>1976</v>
      </c>
      <c r="B397" s="19" t="s">
        <v>2399</v>
      </c>
      <c r="C397" s="19" t="s">
        <v>3124</v>
      </c>
      <c r="D397" s="19" t="s">
        <v>3125</v>
      </c>
    </row>
    <row r="398" spans="1:4" ht="15.5" x14ac:dyDescent="0.35">
      <c r="A398" s="1" t="s">
        <v>1975</v>
      </c>
      <c r="B398" s="19" t="s">
        <v>2399</v>
      </c>
      <c r="C398" s="19" t="s">
        <v>3126</v>
      </c>
      <c r="D398" s="19" t="s">
        <v>3127</v>
      </c>
    </row>
    <row r="399" spans="1:4" ht="15.5" x14ac:dyDescent="0.35">
      <c r="A399" s="1" t="s">
        <v>1974</v>
      </c>
      <c r="B399" s="19" t="s">
        <v>2402</v>
      </c>
      <c r="C399" s="19" t="s">
        <v>3128</v>
      </c>
      <c r="D399" s="19" t="s">
        <v>3129</v>
      </c>
    </row>
    <row r="400" spans="1:4" ht="15.5" x14ac:dyDescent="0.35">
      <c r="A400" s="1" t="s">
        <v>1973</v>
      </c>
      <c r="B400" s="19" t="s">
        <v>2399</v>
      </c>
      <c r="C400" s="19" t="s">
        <v>3130</v>
      </c>
      <c r="D400" s="19" t="s">
        <v>2571</v>
      </c>
    </row>
    <row r="401" spans="1:4" ht="15.5" x14ac:dyDescent="0.35">
      <c r="A401" s="1" t="s">
        <v>1972</v>
      </c>
      <c r="B401" s="19" t="s">
        <v>2399</v>
      </c>
      <c r="C401" s="19" t="s">
        <v>3131</v>
      </c>
      <c r="D401" s="19" t="s">
        <v>3132</v>
      </c>
    </row>
    <row r="402" spans="1:4" ht="15.5" x14ac:dyDescent="0.35">
      <c r="A402" s="1" t="s">
        <v>1971</v>
      </c>
      <c r="B402" s="19" t="s">
        <v>2402</v>
      </c>
      <c r="C402" s="19" t="s">
        <v>3133</v>
      </c>
      <c r="D402" s="19" t="s">
        <v>3134</v>
      </c>
    </row>
    <row r="403" spans="1:4" ht="15.5" x14ac:dyDescent="0.35">
      <c r="A403" s="1" t="s">
        <v>1970</v>
      </c>
      <c r="B403" s="19" t="s">
        <v>2399</v>
      </c>
      <c r="C403" s="19" t="s">
        <v>3135</v>
      </c>
      <c r="D403" s="19" t="s">
        <v>3136</v>
      </c>
    </row>
    <row r="404" spans="1:4" ht="15.5" x14ac:dyDescent="0.35">
      <c r="A404" s="1" t="s">
        <v>1969</v>
      </c>
      <c r="B404" s="19" t="s">
        <v>2399</v>
      </c>
      <c r="C404" s="19" t="s">
        <v>3137</v>
      </c>
      <c r="D404" s="19" t="s">
        <v>3138</v>
      </c>
    </row>
    <row r="405" spans="1:4" ht="15.5" x14ac:dyDescent="0.35">
      <c r="A405" s="1" t="s">
        <v>1968</v>
      </c>
      <c r="B405" s="19" t="s">
        <v>2402</v>
      </c>
      <c r="C405" s="19" t="s">
        <v>3139</v>
      </c>
      <c r="D405" s="19" t="s">
        <v>3140</v>
      </c>
    </row>
    <row r="406" spans="1:4" ht="15.5" x14ac:dyDescent="0.35">
      <c r="A406" s="1" t="s">
        <v>1967</v>
      </c>
      <c r="B406" s="19" t="s">
        <v>2402</v>
      </c>
      <c r="C406" s="19" t="s">
        <v>3141</v>
      </c>
      <c r="D406" s="19" t="s">
        <v>3142</v>
      </c>
    </row>
    <row r="407" spans="1:4" ht="15.5" x14ac:dyDescent="0.35">
      <c r="A407" s="1" t="s">
        <v>1966</v>
      </c>
      <c r="B407" s="19" t="s">
        <v>2402</v>
      </c>
      <c r="C407" s="19" t="s">
        <v>3143</v>
      </c>
      <c r="D407" s="19" t="s">
        <v>3144</v>
      </c>
    </row>
    <row r="408" spans="1:4" ht="15.5" x14ac:dyDescent="0.35">
      <c r="A408" s="1" t="s">
        <v>1965</v>
      </c>
      <c r="B408" s="19" t="s">
        <v>2402</v>
      </c>
      <c r="C408" s="19" t="s">
        <v>3145</v>
      </c>
      <c r="D408" s="19" t="s">
        <v>3146</v>
      </c>
    </row>
    <row r="409" spans="1:4" ht="15.5" x14ac:dyDescent="0.35">
      <c r="A409" s="1" t="s">
        <v>1964</v>
      </c>
      <c r="B409" s="19" t="s">
        <v>2402</v>
      </c>
      <c r="C409" s="19" t="s">
        <v>3147</v>
      </c>
      <c r="D409" s="19" t="s">
        <v>3148</v>
      </c>
    </row>
    <row r="410" spans="1:4" ht="15.5" x14ac:dyDescent="0.35">
      <c r="A410" s="1" t="s">
        <v>1963</v>
      </c>
      <c r="B410" s="19" t="s">
        <v>2402</v>
      </c>
      <c r="C410" s="19" t="s">
        <v>3149</v>
      </c>
      <c r="D410" s="19" t="s">
        <v>3150</v>
      </c>
    </row>
    <row r="411" spans="1:4" ht="15.5" x14ac:dyDescent="0.35">
      <c r="A411" s="1" t="s">
        <v>1962</v>
      </c>
      <c r="B411" s="19" t="s">
        <v>2399</v>
      </c>
      <c r="C411" s="19" t="s">
        <v>3151</v>
      </c>
      <c r="D411" s="19" t="s">
        <v>3152</v>
      </c>
    </row>
    <row r="412" spans="1:4" ht="15.5" x14ac:dyDescent="0.35">
      <c r="A412" s="1" t="s">
        <v>1961</v>
      </c>
      <c r="B412" s="19" t="s">
        <v>2399</v>
      </c>
      <c r="C412" s="19" t="s">
        <v>3153</v>
      </c>
      <c r="D412" s="19" t="s">
        <v>3154</v>
      </c>
    </row>
    <row r="413" spans="1:4" ht="15.5" x14ac:dyDescent="0.35">
      <c r="A413" s="1" t="s">
        <v>1960</v>
      </c>
      <c r="B413" s="19" t="s">
        <v>2402</v>
      </c>
      <c r="C413" s="19" t="s">
        <v>3155</v>
      </c>
      <c r="D413" s="19" t="s">
        <v>3156</v>
      </c>
    </row>
    <row r="414" spans="1:4" ht="15.5" x14ac:dyDescent="0.35">
      <c r="A414" s="1" t="s">
        <v>1959</v>
      </c>
      <c r="B414" s="19" t="s">
        <v>2399</v>
      </c>
      <c r="C414" s="19" t="s">
        <v>3157</v>
      </c>
      <c r="D414" s="19" t="s">
        <v>3158</v>
      </c>
    </row>
    <row r="415" spans="1:4" ht="15.5" x14ac:dyDescent="0.35">
      <c r="A415" s="1" t="s">
        <v>1958</v>
      </c>
      <c r="B415" s="19" t="s">
        <v>2399</v>
      </c>
      <c r="C415" s="19" t="s">
        <v>3159</v>
      </c>
      <c r="D415" s="19" t="s">
        <v>3160</v>
      </c>
    </row>
    <row r="416" spans="1:4" ht="15.5" x14ac:dyDescent="0.35">
      <c r="A416" s="1" t="s">
        <v>1957</v>
      </c>
      <c r="B416" s="19" t="s">
        <v>2402</v>
      </c>
      <c r="C416" s="19" t="s">
        <v>3161</v>
      </c>
      <c r="D416" s="19" t="s">
        <v>3162</v>
      </c>
    </row>
    <row r="417" spans="1:4" ht="15.5" x14ac:dyDescent="0.35">
      <c r="A417" s="1" t="s">
        <v>1956</v>
      </c>
      <c r="B417" s="19" t="s">
        <v>2402</v>
      </c>
      <c r="C417" s="19" t="s">
        <v>3163</v>
      </c>
      <c r="D417" s="19" t="s">
        <v>2413</v>
      </c>
    </row>
    <row r="418" spans="1:4" ht="15.5" x14ac:dyDescent="0.35">
      <c r="A418" s="1" t="s">
        <v>1955</v>
      </c>
      <c r="B418" s="19" t="s">
        <v>2399</v>
      </c>
      <c r="C418" s="19" t="s">
        <v>3164</v>
      </c>
      <c r="D418" s="19" t="s">
        <v>3165</v>
      </c>
    </row>
    <row r="419" spans="1:4" ht="15.5" x14ac:dyDescent="0.35">
      <c r="A419" s="1" t="s">
        <v>1954</v>
      </c>
      <c r="B419" s="19" t="s">
        <v>2399</v>
      </c>
      <c r="C419" s="19" t="s">
        <v>3166</v>
      </c>
      <c r="D419" s="19" t="s">
        <v>3036</v>
      </c>
    </row>
    <row r="420" spans="1:4" ht="15.5" x14ac:dyDescent="0.35">
      <c r="A420" s="1" t="s">
        <v>1953</v>
      </c>
      <c r="B420" s="19" t="s">
        <v>2399</v>
      </c>
      <c r="C420" s="19" t="s">
        <v>3167</v>
      </c>
      <c r="D420" s="19" t="s">
        <v>3168</v>
      </c>
    </row>
    <row r="421" spans="1:4" ht="15.5" x14ac:dyDescent="0.35">
      <c r="A421" s="1" t="s">
        <v>1952</v>
      </c>
      <c r="B421" s="19" t="s">
        <v>2399</v>
      </c>
      <c r="C421" s="19" t="s">
        <v>3169</v>
      </c>
      <c r="D421" s="19" t="s">
        <v>3170</v>
      </c>
    </row>
    <row r="422" spans="1:4" ht="15.5" x14ac:dyDescent="0.35">
      <c r="A422" s="1" t="s">
        <v>1951</v>
      </c>
      <c r="B422" s="19" t="s">
        <v>2402</v>
      </c>
      <c r="C422" s="19" t="s">
        <v>3171</v>
      </c>
      <c r="D422" s="19" t="s">
        <v>3172</v>
      </c>
    </row>
    <row r="423" spans="1:4" ht="15.5" x14ac:dyDescent="0.35">
      <c r="A423" s="1" t="s">
        <v>1950</v>
      </c>
      <c r="B423" s="19" t="s">
        <v>2399</v>
      </c>
      <c r="C423" s="19" t="s">
        <v>2612</v>
      </c>
      <c r="D423" s="19" t="s">
        <v>3173</v>
      </c>
    </row>
    <row r="424" spans="1:4" ht="15.5" x14ac:dyDescent="0.35">
      <c r="A424" s="1" t="s">
        <v>1949</v>
      </c>
      <c r="B424" s="19" t="s">
        <v>2399</v>
      </c>
      <c r="C424" s="19" t="s">
        <v>3174</v>
      </c>
      <c r="D424" s="19" t="s">
        <v>3175</v>
      </c>
    </row>
    <row r="425" spans="1:4" ht="15.5" x14ac:dyDescent="0.35">
      <c r="A425" s="1" t="s">
        <v>1948</v>
      </c>
      <c r="B425" s="19" t="s">
        <v>2399</v>
      </c>
      <c r="C425" s="19" t="s">
        <v>3176</v>
      </c>
      <c r="D425" s="19" t="s">
        <v>3177</v>
      </c>
    </row>
    <row r="426" spans="1:4" ht="15.5" x14ac:dyDescent="0.35">
      <c r="A426" s="1" t="s">
        <v>1947</v>
      </c>
      <c r="B426" s="19" t="s">
        <v>2402</v>
      </c>
      <c r="C426" s="19" t="s">
        <v>3178</v>
      </c>
      <c r="D426" s="19" t="s">
        <v>3160</v>
      </c>
    </row>
    <row r="427" spans="1:4" ht="15.5" x14ac:dyDescent="0.35">
      <c r="A427" s="1" t="s">
        <v>1946</v>
      </c>
      <c r="B427" s="19" t="s">
        <v>2402</v>
      </c>
      <c r="C427" s="19" t="s">
        <v>3179</v>
      </c>
      <c r="D427" s="19" t="s">
        <v>2792</v>
      </c>
    </row>
    <row r="428" spans="1:4" ht="15.5" x14ac:dyDescent="0.35">
      <c r="A428" s="1" t="s">
        <v>1945</v>
      </c>
      <c r="B428" s="19" t="s">
        <v>2399</v>
      </c>
      <c r="C428" s="19" t="s">
        <v>3180</v>
      </c>
      <c r="D428" s="19" t="s">
        <v>3181</v>
      </c>
    </row>
    <row r="429" spans="1:4" ht="15.5" x14ac:dyDescent="0.35">
      <c r="A429" s="1" t="s">
        <v>1944</v>
      </c>
      <c r="B429" s="19" t="s">
        <v>2399</v>
      </c>
      <c r="C429" s="19" t="s">
        <v>3182</v>
      </c>
      <c r="D429" s="19" t="s">
        <v>3183</v>
      </c>
    </row>
    <row r="430" spans="1:4" ht="15.5" x14ac:dyDescent="0.35">
      <c r="A430" s="1" t="s">
        <v>1943</v>
      </c>
      <c r="B430" s="19" t="s">
        <v>2399</v>
      </c>
      <c r="C430" s="19" t="s">
        <v>3184</v>
      </c>
      <c r="D430" s="19" t="s">
        <v>2555</v>
      </c>
    </row>
    <row r="431" spans="1:4" ht="15.5" x14ac:dyDescent="0.35">
      <c r="A431" s="1" t="s">
        <v>1942</v>
      </c>
      <c r="B431" s="19" t="s">
        <v>2399</v>
      </c>
      <c r="C431" s="19" t="s">
        <v>3185</v>
      </c>
      <c r="D431" s="19" t="s">
        <v>3186</v>
      </c>
    </row>
    <row r="432" spans="1:4" ht="15.5" x14ac:dyDescent="0.35">
      <c r="A432" s="1" t="s">
        <v>1941</v>
      </c>
      <c r="B432" s="19" t="s">
        <v>2399</v>
      </c>
      <c r="C432" s="19" t="s">
        <v>3187</v>
      </c>
      <c r="D432" s="19" t="s">
        <v>3188</v>
      </c>
    </row>
    <row r="433" spans="1:4" ht="15.5" x14ac:dyDescent="0.35">
      <c r="A433" s="1" t="s">
        <v>1940</v>
      </c>
      <c r="B433" s="19" t="s">
        <v>2399</v>
      </c>
      <c r="C433" s="19" t="s">
        <v>3189</v>
      </c>
      <c r="D433" s="19" t="s">
        <v>3190</v>
      </c>
    </row>
    <row r="434" spans="1:4" ht="15.5" x14ac:dyDescent="0.35">
      <c r="A434" s="1" t="s">
        <v>1939</v>
      </c>
      <c r="B434" s="19" t="s">
        <v>2402</v>
      </c>
      <c r="C434" s="19" t="s">
        <v>3191</v>
      </c>
      <c r="D434" s="19" t="s">
        <v>3146</v>
      </c>
    </row>
    <row r="435" spans="1:4" ht="15.5" x14ac:dyDescent="0.35">
      <c r="A435" s="1" t="s">
        <v>1938</v>
      </c>
      <c r="B435" s="19" t="s">
        <v>2399</v>
      </c>
      <c r="C435" s="19" t="s">
        <v>3192</v>
      </c>
      <c r="D435" s="19" t="s">
        <v>2571</v>
      </c>
    </row>
    <row r="436" spans="1:4" ht="15.5" x14ac:dyDescent="0.35">
      <c r="A436" s="1" t="s">
        <v>1937</v>
      </c>
      <c r="B436" s="19" t="s">
        <v>2402</v>
      </c>
      <c r="C436" s="19" t="s">
        <v>3193</v>
      </c>
      <c r="D436" s="19" t="s">
        <v>3194</v>
      </c>
    </row>
    <row r="437" spans="1:4" ht="15.5" x14ac:dyDescent="0.35">
      <c r="A437" s="1" t="s">
        <v>1936</v>
      </c>
      <c r="B437" s="19" t="s">
        <v>2402</v>
      </c>
      <c r="C437" s="19" t="s">
        <v>3195</v>
      </c>
      <c r="D437" s="19" t="s">
        <v>3196</v>
      </c>
    </row>
    <row r="438" spans="1:4" ht="15.5" x14ac:dyDescent="0.35">
      <c r="A438" s="1" t="s">
        <v>1935</v>
      </c>
      <c r="B438" s="19" t="s">
        <v>2402</v>
      </c>
      <c r="C438" s="19" t="s">
        <v>3197</v>
      </c>
      <c r="D438" s="19" t="s">
        <v>3198</v>
      </c>
    </row>
    <row r="439" spans="1:4" ht="15.5" x14ac:dyDescent="0.35">
      <c r="A439" s="1" t="s">
        <v>1934</v>
      </c>
      <c r="B439" s="19" t="s">
        <v>2399</v>
      </c>
      <c r="C439" s="19" t="s">
        <v>3199</v>
      </c>
      <c r="D439" s="19" t="s">
        <v>3072</v>
      </c>
    </row>
    <row r="440" spans="1:4" ht="15.5" x14ac:dyDescent="0.35">
      <c r="A440" s="1" t="s">
        <v>1933</v>
      </c>
      <c r="B440" s="19" t="s">
        <v>2402</v>
      </c>
      <c r="C440" s="19" t="s">
        <v>3200</v>
      </c>
      <c r="D440" s="19" t="s">
        <v>3201</v>
      </c>
    </row>
    <row r="441" spans="1:4" ht="15.5" x14ac:dyDescent="0.35">
      <c r="A441" s="1" t="s">
        <v>1932</v>
      </c>
      <c r="B441" s="19" t="s">
        <v>2399</v>
      </c>
      <c r="C441" s="19" t="s">
        <v>3202</v>
      </c>
      <c r="D441" s="19" t="s">
        <v>3203</v>
      </c>
    </row>
    <row r="442" spans="1:4" ht="15.5" x14ac:dyDescent="0.35">
      <c r="A442" s="1" t="s">
        <v>1931</v>
      </c>
      <c r="B442" s="19" t="s">
        <v>2399</v>
      </c>
      <c r="C442" s="19" t="s">
        <v>3204</v>
      </c>
      <c r="D442" s="19" t="s">
        <v>3205</v>
      </c>
    </row>
    <row r="443" spans="1:4" ht="15.5" x14ac:dyDescent="0.35">
      <c r="A443" s="1" t="s">
        <v>1930</v>
      </c>
      <c r="B443" s="19" t="s">
        <v>2402</v>
      </c>
      <c r="C443" s="19" t="s">
        <v>3206</v>
      </c>
      <c r="D443" s="19" t="s">
        <v>3207</v>
      </c>
    </row>
    <row r="444" spans="1:4" ht="15.5" x14ac:dyDescent="0.35">
      <c r="A444" s="1" t="s">
        <v>1929</v>
      </c>
      <c r="B444" s="19" t="s">
        <v>2402</v>
      </c>
      <c r="C444" s="19" t="s">
        <v>2533</v>
      </c>
      <c r="D444" s="19" t="s">
        <v>3208</v>
      </c>
    </row>
    <row r="445" spans="1:4" ht="15.5" x14ac:dyDescent="0.35">
      <c r="A445" s="1" t="s">
        <v>1928</v>
      </c>
      <c r="B445" s="19" t="s">
        <v>2399</v>
      </c>
      <c r="C445" s="19" t="s">
        <v>3209</v>
      </c>
      <c r="D445" s="19" t="s">
        <v>3210</v>
      </c>
    </row>
    <row r="446" spans="1:4" ht="15.5" x14ac:dyDescent="0.35">
      <c r="A446" s="1" t="s">
        <v>1927</v>
      </c>
      <c r="B446" s="19" t="s">
        <v>2399</v>
      </c>
      <c r="C446" s="19" t="s">
        <v>3211</v>
      </c>
      <c r="D446" s="19" t="s">
        <v>3212</v>
      </c>
    </row>
    <row r="447" spans="1:4" ht="15.5" x14ac:dyDescent="0.35">
      <c r="A447" s="1" t="s">
        <v>1926</v>
      </c>
      <c r="B447" s="19" t="s">
        <v>2402</v>
      </c>
      <c r="C447" s="19" t="s">
        <v>3213</v>
      </c>
      <c r="D447" s="19" t="s">
        <v>3007</v>
      </c>
    </row>
    <row r="448" spans="1:4" ht="15.5" x14ac:dyDescent="0.35">
      <c r="A448" s="1" t="s">
        <v>1925</v>
      </c>
      <c r="B448" s="19" t="s">
        <v>2399</v>
      </c>
      <c r="C448" s="19" t="s">
        <v>3214</v>
      </c>
      <c r="D448" s="19" t="s">
        <v>3215</v>
      </c>
    </row>
    <row r="449" spans="1:4" ht="15.5" x14ac:dyDescent="0.35">
      <c r="A449" s="1" t="s">
        <v>1924</v>
      </c>
      <c r="B449" s="19" t="s">
        <v>2402</v>
      </c>
      <c r="C449" s="19" t="s">
        <v>3216</v>
      </c>
      <c r="D449" s="19" t="s">
        <v>3217</v>
      </c>
    </row>
    <row r="450" spans="1:4" ht="15.5" x14ac:dyDescent="0.35">
      <c r="A450" s="1" t="s">
        <v>1923</v>
      </c>
      <c r="B450" s="19" t="s">
        <v>2402</v>
      </c>
      <c r="C450" s="19" t="s">
        <v>3218</v>
      </c>
      <c r="D450" s="19" t="s">
        <v>3219</v>
      </c>
    </row>
    <row r="451" spans="1:4" ht="15.5" x14ac:dyDescent="0.35">
      <c r="A451" s="1" t="s">
        <v>1922</v>
      </c>
      <c r="B451" s="19" t="s">
        <v>2399</v>
      </c>
      <c r="C451" s="19" t="s">
        <v>3220</v>
      </c>
      <c r="D451" s="19" t="s">
        <v>3221</v>
      </c>
    </row>
    <row r="452" spans="1:4" ht="15.5" x14ac:dyDescent="0.35">
      <c r="A452" s="1" t="s">
        <v>1921</v>
      </c>
      <c r="B452" s="19" t="s">
        <v>2399</v>
      </c>
      <c r="C452" s="19" t="s">
        <v>3044</v>
      </c>
      <c r="D452" s="19" t="s">
        <v>3222</v>
      </c>
    </row>
    <row r="453" spans="1:4" ht="15.5" x14ac:dyDescent="0.35">
      <c r="A453" s="1" t="s">
        <v>1920</v>
      </c>
      <c r="B453" s="19" t="s">
        <v>2402</v>
      </c>
      <c r="C453" s="19" t="s">
        <v>2499</v>
      </c>
      <c r="D453" s="19" t="s">
        <v>3223</v>
      </c>
    </row>
    <row r="454" spans="1:4" ht="15.5" x14ac:dyDescent="0.35">
      <c r="A454" s="1" t="s">
        <v>1919</v>
      </c>
      <c r="B454" s="19" t="s">
        <v>2399</v>
      </c>
      <c r="C454" s="19" t="s">
        <v>3224</v>
      </c>
      <c r="D454" s="19" t="s">
        <v>3225</v>
      </c>
    </row>
    <row r="455" spans="1:4" ht="15.5" x14ac:dyDescent="0.35">
      <c r="A455" s="1" t="s">
        <v>1918</v>
      </c>
      <c r="B455" s="19" t="s">
        <v>2402</v>
      </c>
      <c r="C455" s="19" t="s">
        <v>3226</v>
      </c>
      <c r="D455" s="19" t="s">
        <v>2656</v>
      </c>
    </row>
    <row r="456" spans="1:4" ht="15.5" x14ac:dyDescent="0.35">
      <c r="A456" s="1" t="s">
        <v>1917</v>
      </c>
      <c r="B456" s="19" t="s">
        <v>2402</v>
      </c>
      <c r="C456" s="19" t="s">
        <v>3227</v>
      </c>
      <c r="D456" s="19" t="s">
        <v>2413</v>
      </c>
    </row>
    <row r="457" spans="1:4" ht="15.5" x14ac:dyDescent="0.35">
      <c r="A457" s="1" t="s">
        <v>1916</v>
      </c>
      <c r="B457" s="19" t="s">
        <v>2402</v>
      </c>
      <c r="C457" s="19" t="s">
        <v>3228</v>
      </c>
      <c r="D457" s="19" t="s">
        <v>3229</v>
      </c>
    </row>
    <row r="458" spans="1:4" ht="15.5" x14ac:dyDescent="0.35">
      <c r="A458" s="1" t="s">
        <v>1915</v>
      </c>
      <c r="B458" s="19" t="s">
        <v>2402</v>
      </c>
      <c r="C458" s="19" t="s">
        <v>3230</v>
      </c>
      <c r="D458" s="19" t="s">
        <v>2940</v>
      </c>
    </row>
    <row r="459" spans="1:4" ht="15.5" x14ac:dyDescent="0.35">
      <c r="A459" s="1" t="s">
        <v>1914</v>
      </c>
      <c r="B459" s="19" t="s">
        <v>2402</v>
      </c>
      <c r="C459" s="19" t="s">
        <v>3231</v>
      </c>
      <c r="D459" s="19" t="s">
        <v>3232</v>
      </c>
    </row>
    <row r="460" spans="1:4" ht="15.5" x14ac:dyDescent="0.35">
      <c r="A460" s="1" t="s">
        <v>1913</v>
      </c>
      <c r="B460" s="19" t="s">
        <v>2399</v>
      </c>
      <c r="C460" s="19" t="s">
        <v>3233</v>
      </c>
      <c r="D460" s="19" t="s">
        <v>3234</v>
      </c>
    </row>
    <row r="461" spans="1:4" ht="15.5" x14ac:dyDescent="0.35">
      <c r="A461" s="1" t="s">
        <v>1912</v>
      </c>
      <c r="B461" s="19" t="s">
        <v>2402</v>
      </c>
      <c r="C461" s="19" t="s">
        <v>2523</v>
      </c>
      <c r="D461" s="19" t="s">
        <v>3235</v>
      </c>
    </row>
    <row r="462" spans="1:4" ht="15.5" x14ac:dyDescent="0.35">
      <c r="A462" s="1" t="s">
        <v>1911</v>
      </c>
      <c r="B462" s="19" t="s">
        <v>2399</v>
      </c>
      <c r="C462" s="19" t="s">
        <v>2950</v>
      </c>
      <c r="D462" s="19" t="s">
        <v>3236</v>
      </c>
    </row>
    <row r="463" spans="1:4" ht="15.5" x14ac:dyDescent="0.35">
      <c r="A463" s="1" t="s">
        <v>1910</v>
      </c>
      <c r="B463" s="19" t="s">
        <v>2399</v>
      </c>
      <c r="C463" s="19" t="s">
        <v>2556</v>
      </c>
      <c r="D463" s="19" t="s">
        <v>2511</v>
      </c>
    </row>
    <row r="464" spans="1:4" ht="15.5" x14ac:dyDescent="0.35">
      <c r="A464" s="1" t="s">
        <v>1909</v>
      </c>
      <c r="B464" s="19" t="s">
        <v>2399</v>
      </c>
      <c r="C464" s="19" t="s">
        <v>3237</v>
      </c>
      <c r="D464" s="19" t="s">
        <v>3238</v>
      </c>
    </row>
    <row r="465" spans="1:5" ht="15.5" x14ac:dyDescent="0.35">
      <c r="A465" s="1" t="s">
        <v>1908</v>
      </c>
      <c r="B465" s="19" t="s">
        <v>2402</v>
      </c>
      <c r="C465" s="19" t="s">
        <v>3239</v>
      </c>
      <c r="D465" s="19" t="s">
        <v>3240</v>
      </c>
    </row>
    <row r="466" spans="1:5" ht="15.5" x14ac:dyDescent="0.35">
      <c r="A466" s="1" t="s">
        <v>1907</v>
      </c>
      <c r="B466" s="19" t="s">
        <v>2399</v>
      </c>
      <c r="C466" s="19" t="s">
        <v>3241</v>
      </c>
      <c r="D466" s="19" t="s">
        <v>2549</v>
      </c>
    </row>
    <row r="467" spans="1:5" ht="15.5" x14ac:dyDescent="0.35">
      <c r="A467" s="1" t="s">
        <v>1906</v>
      </c>
      <c r="B467" s="19" t="s">
        <v>2402</v>
      </c>
      <c r="C467" s="19" t="s">
        <v>3242</v>
      </c>
      <c r="D467" s="19" t="s">
        <v>3243</v>
      </c>
    </row>
    <row r="468" spans="1:5" ht="15.5" x14ac:dyDescent="0.35">
      <c r="A468" s="1" t="s">
        <v>1905</v>
      </c>
      <c r="B468" s="19" t="s">
        <v>2402</v>
      </c>
      <c r="C468" s="19" t="s">
        <v>2529</v>
      </c>
      <c r="D468" s="19" t="s">
        <v>3244</v>
      </c>
    </row>
    <row r="469" spans="1:5" ht="15.5" x14ac:dyDescent="0.35">
      <c r="A469" s="1" t="s">
        <v>1904</v>
      </c>
      <c r="B469" s="19" t="s">
        <v>2399</v>
      </c>
      <c r="C469" s="19" t="s">
        <v>3245</v>
      </c>
      <c r="D469" s="19" t="s">
        <v>3246</v>
      </c>
    </row>
    <row r="470" spans="1:5" ht="15.5" x14ac:dyDescent="0.35">
      <c r="A470" s="1" t="s">
        <v>1903</v>
      </c>
      <c r="B470" s="19" t="s">
        <v>2399</v>
      </c>
      <c r="C470" s="19" t="s">
        <v>3247</v>
      </c>
      <c r="D470" s="19" t="s">
        <v>3248</v>
      </c>
    </row>
    <row r="471" spans="1:5" ht="15.5" x14ac:dyDescent="0.35">
      <c r="A471" s="1" t="s">
        <v>1902</v>
      </c>
      <c r="B471" s="19" t="s">
        <v>2402</v>
      </c>
      <c r="C471" s="19" t="s">
        <v>3249</v>
      </c>
      <c r="D471" s="19" t="s">
        <v>3250</v>
      </c>
    </row>
    <row r="472" spans="1:5" ht="15.5" x14ac:dyDescent="0.35">
      <c r="A472" s="1" t="s">
        <v>1901</v>
      </c>
      <c r="B472" s="19" t="s">
        <v>2402</v>
      </c>
      <c r="C472" s="19" t="s">
        <v>3251</v>
      </c>
      <c r="D472" s="19" t="s">
        <v>3252</v>
      </c>
    </row>
    <row r="473" spans="1:5" ht="15.5" x14ac:dyDescent="0.35">
      <c r="A473" s="1" t="s">
        <v>1900</v>
      </c>
      <c r="B473" s="19" t="s">
        <v>2402</v>
      </c>
      <c r="C473" s="19" t="s">
        <v>3253</v>
      </c>
      <c r="D473" s="19" t="s">
        <v>2827</v>
      </c>
    </row>
    <row r="474" spans="1:5" ht="15.5" x14ac:dyDescent="0.35">
      <c r="A474" s="1" t="s">
        <v>1899</v>
      </c>
      <c r="B474" s="19" t="s">
        <v>2402</v>
      </c>
      <c r="C474" s="19" t="s">
        <v>2862</v>
      </c>
      <c r="D474" s="19" t="s">
        <v>3254</v>
      </c>
    </row>
    <row r="475" spans="1:5" ht="15.5" x14ac:dyDescent="0.35">
      <c r="A475" s="1" t="s">
        <v>1898</v>
      </c>
      <c r="B475" s="19" t="s">
        <v>2402</v>
      </c>
      <c r="C475" s="19" t="s">
        <v>3255</v>
      </c>
      <c r="D475" s="19" t="s">
        <v>2423</v>
      </c>
    </row>
    <row r="476" spans="1:5" ht="15.5" x14ac:dyDescent="0.35">
      <c r="A476" s="1" t="s">
        <v>1897</v>
      </c>
      <c r="B476" s="19" t="s">
        <v>2402</v>
      </c>
      <c r="C476" s="19" t="s">
        <v>3256</v>
      </c>
      <c r="D476" s="19" t="s">
        <v>3257</v>
      </c>
    </row>
    <row r="477" spans="1:5" ht="15.5" x14ac:dyDescent="0.35">
      <c r="A477" s="1" t="s">
        <v>1895</v>
      </c>
      <c r="B477" s="19" t="s">
        <v>2402</v>
      </c>
      <c r="C477" s="19" t="s">
        <v>3258</v>
      </c>
      <c r="D477" s="19" t="s">
        <v>3259</v>
      </c>
      <c r="E477" t="s">
        <v>3260</v>
      </c>
    </row>
    <row r="478" spans="1:5" ht="15.5" x14ac:dyDescent="0.35">
      <c r="A478" s="1" t="s">
        <v>1894</v>
      </c>
      <c r="B478" s="19" t="s">
        <v>2399</v>
      </c>
      <c r="C478" s="19" t="s">
        <v>3261</v>
      </c>
      <c r="D478" s="19" t="s">
        <v>3262</v>
      </c>
    </row>
    <row r="479" spans="1:5" ht="15.5" x14ac:dyDescent="0.35">
      <c r="A479" s="1" t="s">
        <v>1893</v>
      </c>
      <c r="B479" s="19" t="s">
        <v>2402</v>
      </c>
      <c r="C479" s="19" t="s">
        <v>3263</v>
      </c>
      <c r="D479" s="19" t="s">
        <v>3264</v>
      </c>
    </row>
    <row r="480" spans="1:5" ht="15.5" x14ac:dyDescent="0.35">
      <c r="A480" s="1" t="s">
        <v>1892</v>
      </c>
      <c r="B480" s="19" t="s">
        <v>2402</v>
      </c>
      <c r="C480" s="19" t="s">
        <v>3265</v>
      </c>
      <c r="D480" s="19" t="s">
        <v>3266</v>
      </c>
    </row>
    <row r="481" spans="1:4" ht="15.5" x14ac:dyDescent="0.35">
      <c r="A481" s="1" t="s">
        <v>1891</v>
      </c>
      <c r="B481" s="19" t="s">
        <v>2402</v>
      </c>
      <c r="C481" s="19" t="s">
        <v>3267</v>
      </c>
      <c r="D481" s="19" t="s">
        <v>3268</v>
      </c>
    </row>
    <row r="482" spans="1:4" ht="15.5" x14ac:dyDescent="0.35">
      <c r="A482" s="1" t="s">
        <v>1890</v>
      </c>
      <c r="B482" s="19" t="s">
        <v>2402</v>
      </c>
      <c r="C482" s="19" t="s">
        <v>3269</v>
      </c>
      <c r="D482" s="19" t="s">
        <v>2750</v>
      </c>
    </row>
    <row r="483" spans="1:4" ht="15.5" x14ac:dyDescent="0.35">
      <c r="A483" s="1" t="s">
        <v>1889</v>
      </c>
      <c r="B483" s="19" t="s">
        <v>2402</v>
      </c>
      <c r="C483" s="19" t="s">
        <v>3270</v>
      </c>
      <c r="D483" s="19" t="s">
        <v>3271</v>
      </c>
    </row>
    <row r="484" spans="1:4" ht="15.5" x14ac:dyDescent="0.35">
      <c r="A484" s="1" t="s">
        <v>1888</v>
      </c>
      <c r="B484" s="19" t="s">
        <v>2399</v>
      </c>
      <c r="C484" s="19" t="s">
        <v>3272</v>
      </c>
      <c r="D484" s="19" t="s">
        <v>3273</v>
      </c>
    </row>
    <row r="485" spans="1:4" ht="15.5" x14ac:dyDescent="0.35">
      <c r="A485" s="1" t="s">
        <v>1887</v>
      </c>
      <c r="B485" s="19" t="s">
        <v>2399</v>
      </c>
      <c r="C485" s="19" t="s">
        <v>2651</v>
      </c>
      <c r="D485" s="19" t="s">
        <v>3274</v>
      </c>
    </row>
    <row r="486" spans="1:4" ht="15.5" x14ac:dyDescent="0.35">
      <c r="A486" s="1" t="s">
        <v>1886</v>
      </c>
      <c r="B486" s="19" t="s">
        <v>2402</v>
      </c>
      <c r="C486" s="19" t="s">
        <v>3275</v>
      </c>
      <c r="D486" s="19" t="s">
        <v>2700</v>
      </c>
    </row>
    <row r="487" spans="1:4" ht="15.5" x14ac:dyDescent="0.35">
      <c r="A487" s="1" t="s">
        <v>1885</v>
      </c>
      <c r="B487" s="19" t="s">
        <v>2402</v>
      </c>
      <c r="C487" s="19" t="s">
        <v>3008</v>
      </c>
      <c r="D487" s="19" t="s">
        <v>2536</v>
      </c>
    </row>
    <row r="488" spans="1:4" ht="15.5" x14ac:dyDescent="0.35">
      <c r="A488" s="1" t="s">
        <v>1884</v>
      </c>
      <c r="B488" s="19" t="s">
        <v>3277</v>
      </c>
      <c r="C488" s="19" t="s">
        <v>3276</v>
      </c>
      <c r="D488" s="19" t="s">
        <v>3278</v>
      </c>
    </row>
    <row r="489" spans="1:4" ht="15.5" x14ac:dyDescent="0.35">
      <c r="A489" s="1" t="s">
        <v>1883</v>
      </c>
      <c r="B489" s="19" t="s">
        <v>2399</v>
      </c>
      <c r="C489" s="19" t="s">
        <v>3279</v>
      </c>
      <c r="D489" s="19" t="s">
        <v>3280</v>
      </c>
    </row>
    <row r="490" spans="1:4" ht="15.5" x14ac:dyDescent="0.35">
      <c r="A490" s="1" t="s">
        <v>1882</v>
      </c>
      <c r="B490" s="19" t="s">
        <v>2402</v>
      </c>
      <c r="C490" s="19" t="s">
        <v>3281</v>
      </c>
      <c r="D490" s="19" t="s">
        <v>2658</v>
      </c>
    </row>
    <row r="491" spans="1:4" ht="15.5" x14ac:dyDescent="0.35">
      <c r="A491" s="1" t="s">
        <v>1881</v>
      </c>
      <c r="B491" s="19" t="s">
        <v>2402</v>
      </c>
      <c r="C491" s="19" t="s">
        <v>3282</v>
      </c>
      <c r="D491" s="19" t="s">
        <v>2413</v>
      </c>
    </row>
    <row r="492" spans="1:4" ht="15.5" x14ac:dyDescent="0.35">
      <c r="A492" s="1" t="s">
        <v>1880</v>
      </c>
      <c r="B492" s="19" t="s">
        <v>2399</v>
      </c>
      <c r="C492" s="19" t="s">
        <v>3283</v>
      </c>
      <c r="D492" s="19" t="s">
        <v>3284</v>
      </c>
    </row>
    <row r="493" spans="1:4" ht="15.5" x14ac:dyDescent="0.35">
      <c r="A493" s="1" t="s">
        <v>1879</v>
      </c>
      <c r="B493" s="19" t="s">
        <v>2399</v>
      </c>
      <c r="C493" s="19" t="s">
        <v>3285</v>
      </c>
      <c r="D493" s="19" t="s">
        <v>3286</v>
      </c>
    </row>
    <row r="494" spans="1:4" ht="15.5" x14ac:dyDescent="0.35">
      <c r="A494" s="1" t="s">
        <v>1878</v>
      </c>
      <c r="B494" s="19" t="s">
        <v>2399</v>
      </c>
      <c r="C494" s="19" t="s">
        <v>3287</v>
      </c>
      <c r="D494" s="19" t="s">
        <v>2967</v>
      </c>
    </row>
    <row r="495" spans="1:4" ht="15.5" x14ac:dyDescent="0.35">
      <c r="A495" s="1" t="s">
        <v>1877</v>
      </c>
      <c r="B495" s="19" t="s">
        <v>2402</v>
      </c>
      <c r="C495" s="19" t="s">
        <v>3288</v>
      </c>
      <c r="D495" s="19" t="s">
        <v>3289</v>
      </c>
    </row>
    <row r="496" spans="1:4" ht="15.5" x14ac:dyDescent="0.35">
      <c r="A496" s="1" t="s">
        <v>1876</v>
      </c>
      <c r="B496" s="19" t="s">
        <v>2402</v>
      </c>
      <c r="C496" s="19" t="s">
        <v>3269</v>
      </c>
      <c r="D496" s="19" t="s">
        <v>3290</v>
      </c>
    </row>
    <row r="497" spans="1:4" ht="15.5" x14ac:dyDescent="0.35">
      <c r="A497" s="1" t="s">
        <v>1875</v>
      </c>
      <c r="B497" s="19" t="s">
        <v>3277</v>
      </c>
      <c r="C497" s="19" t="s">
        <v>3291</v>
      </c>
      <c r="D497" s="19" t="s">
        <v>2589</v>
      </c>
    </row>
    <row r="498" spans="1:4" ht="15.5" x14ac:dyDescent="0.35">
      <c r="A498" s="1" t="s">
        <v>1874</v>
      </c>
      <c r="B498" s="19" t="s">
        <v>2399</v>
      </c>
      <c r="C498" s="19" t="s">
        <v>3292</v>
      </c>
      <c r="D498" s="19" t="s">
        <v>3293</v>
      </c>
    </row>
    <row r="499" spans="1:4" ht="15.5" x14ac:dyDescent="0.35">
      <c r="A499" s="1" t="s">
        <v>1873</v>
      </c>
      <c r="B499" s="19" t="s">
        <v>2402</v>
      </c>
      <c r="C499" s="19" t="s">
        <v>3294</v>
      </c>
      <c r="D499" s="19" t="s">
        <v>2827</v>
      </c>
    </row>
    <row r="500" spans="1:4" ht="15.5" x14ac:dyDescent="0.35">
      <c r="A500" s="1" t="s">
        <v>1872</v>
      </c>
      <c r="B500" s="19" t="s">
        <v>2399</v>
      </c>
      <c r="C500" s="19" t="s">
        <v>3295</v>
      </c>
      <c r="D500" s="19" t="s">
        <v>3296</v>
      </c>
    </row>
    <row r="501" spans="1:4" ht="15.5" x14ac:dyDescent="0.35">
      <c r="A501" s="1" t="s">
        <v>1871</v>
      </c>
      <c r="B501" s="19" t="s">
        <v>2399</v>
      </c>
      <c r="C501" s="19" t="s">
        <v>3297</v>
      </c>
      <c r="D501" s="19" t="s">
        <v>2589</v>
      </c>
    </row>
    <row r="502" spans="1:4" ht="15.5" x14ac:dyDescent="0.35">
      <c r="A502" s="1" t="s">
        <v>1870</v>
      </c>
      <c r="B502" s="19" t="s">
        <v>2402</v>
      </c>
      <c r="C502" s="19" t="s">
        <v>3298</v>
      </c>
      <c r="D502" s="19" t="s">
        <v>3299</v>
      </c>
    </row>
    <row r="503" spans="1:4" ht="15.5" x14ac:dyDescent="0.35">
      <c r="A503" s="1" t="s">
        <v>1869</v>
      </c>
      <c r="B503" s="19" t="s">
        <v>2402</v>
      </c>
      <c r="C503" s="19" t="s">
        <v>2533</v>
      </c>
      <c r="D503" s="19" t="s">
        <v>3300</v>
      </c>
    </row>
    <row r="504" spans="1:4" ht="15.5" x14ac:dyDescent="0.35">
      <c r="A504" s="1" t="s">
        <v>1868</v>
      </c>
      <c r="B504" s="19" t="s">
        <v>2399</v>
      </c>
      <c r="C504" s="19" t="s">
        <v>3301</v>
      </c>
      <c r="D504" s="19" t="s">
        <v>3302</v>
      </c>
    </row>
    <row r="505" spans="1:4" ht="15.5" x14ac:dyDescent="0.35">
      <c r="A505" s="1" t="s">
        <v>1867</v>
      </c>
      <c r="B505" s="19" t="s">
        <v>2399</v>
      </c>
      <c r="C505" s="19" t="s">
        <v>3303</v>
      </c>
      <c r="D505" s="19" t="s">
        <v>3304</v>
      </c>
    </row>
    <row r="506" spans="1:4" ht="15.5" x14ac:dyDescent="0.35">
      <c r="A506" s="1" t="s">
        <v>1866</v>
      </c>
      <c r="B506" s="19" t="s">
        <v>2399</v>
      </c>
      <c r="C506" s="19" t="s">
        <v>3305</v>
      </c>
      <c r="D506" s="19" t="s">
        <v>2555</v>
      </c>
    </row>
    <row r="507" spans="1:4" ht="15.5" x14ac:dyDescent="0.35">
      <c r="A507" s="1" t="s">
        <v>1865</v>
      </c>
      <c r="B507" s="19" t="s">
        <v>2399</v>
      </c>
      <c r="C507" s="19" t="s">
        <v>3306</v>
      </c>
      <c r="D507" s="19" t="s">
        <v>3307</v>
      </c>
    </row>
    <row r="508" spans="1:4" ht="15.5" x14ac:dyDescent="0.35">
      <c r="A508" s="1" t="s">
        <v>1864</v>
      </c>
      <c r="B508" s="19" t="s">
        <v>2402</v>
      </c>
      <c r="C508" s="19" t="s">
        <v>3308</v>
      </c>
      <c r="D508" s="19" t="s">
        <v>3309</v>
      </c>
    </row>
    <row r="509" spans="1:4" ht="15.5" x14ac:dyDescent="0.35">
      <c r="A509" s="1" t="s">
        <v>1863</v>
      </c>
      <c r="B509" s="19" t="s">
        <v>2402</v>
      </c>
      <c r="C509" s="19" t="s">
        <v>3310</v>
      </c>
      <c r="D509" s="19" t="s">
        <v>3311</v>
      </c>
    </row>
    <row r="510" spans="1:4" ht="15.5" x14ac:dyDescent="0.35">
      <c r="A510" s="1" t="s">
        <v>1862</v>
      </c>
      <c r="B510" s="19" t="s">
        <v>2399</v>
      </c>
      <c r="C510" s="19" t="s">
        <v>3312</v>
      </c>
      <c r="D510" s="19" t="s">
        <v>3313</v>
      </c>
    </row>
    <row r="511" spans="1:4" ht="15.5" x14ac:dyDescent="0.35">
      <c r="A511" s="1" t="s">
        <v>1861</v>
      </c>
      <c r="B511" s="19" t="s">
        <v>2402</v>
      </c>
      <c r="C511" s="19" t="s">
        <v>3314</v>
      </c>
      <c r="D511" s="19" t="s">
        <v>3315</v>
      </c>
    </row>
    <row r="512" spans="1:4" ht="15.5" x14ac:dyDescent="0.35">
      <c r="A512" s="1" t="s">
        <v>1860</v>
      </c>
      <c r="B512" s="19" t="s">
        <v>2402</v>
      </c>
      <c r="C512" s="19" t="s">
        <v>3316</v>
      </c>
      <c r="D512" s="19" t="s">
        <v>3063</v>
      </c>
    </row>
    <row r="513" spans="1:4" ht="15.5" x14ac:dyDescent="0.35">
      <c r="A513" s="1" t="s">
        <v>1859</v>
      </c>
      <c r="B513" s="19" t="s">
        <v>2402</v>
      </c>
      <c r="C513" s="19" t="s">
        <v>3317</v>
      </c>
      <c r="D513" s="19" t="s">
        <v>2700</v>
      </c>
    </row>
    <row r="514" spans="1:4" ht="15.5" x14ac:dyDescent="0.35">
      <c r="A514" s="1" t="s">
        <v>1858</v>
      </c>
      <c r="B514" s="19" t="s">
        <v>2402</v>
      </c>
      <c r="C514" s="19" t="s">
        <v>3318</v>
      </c>
      <c r="D514" s="19" t="s">
        <v>3319</v>
      </c>
    </row>
    <row r="515" spans="1:4" ht="15.5" x14ac:dyDescent="0.35">
      <c r="A515" s="1" t="s">
        <v>1857</v>
      </c>
      <c r="B515" s="19" t="s">
        <v>2399</v>
      </c>
      <c r="C515" s="19" t="s">
        <v>3320</v>
      </c>
      <c r="D515" s="19" t="s">
        <v>3321</v>
      </c>
    </row>
    <row r="516" spans="1:4" ht="15.5" x14ac:dyDescent="0.35">
      <c r="A516" s="1" t="s">
        <v>1856</v>
      </c>
      <c r="B516" s="19" t="s">
        <v>2402</v>
      </c>
      <c r="C516" s="19" t="s">
        <v>3322</v>
      </c>
      <c r="D516" s="19" t="s">
        <v>3323</v>
      </c>
    </row>
    <row r="517" spans="1:4" ht="15.5" x14ac:dyDescent="0.35">
      <c r="A517" s="1" t="s">
        <v>1855</v>
      </c>
      <c r="B517" s="19" t="s">
        <v>2402</v>
      </c>
      <c r="C517" s="19" t="s">
        <v>3324</v>
      </c>
      <c r="D517" s="19" t="s">
        <v>2528</v>
      </c>
    </row>
    <row r="518" spans="1:4" ht="15.5" x14ac:dyDescent="0.35">
      <c r="A518" s="1" t="s">
        <v>1854</v>
      </c>
      <c r="B518" s="19" t="s">
        <v>2399</v>
      </c>
      <c r="C518" s="19" t="s">
        <v>3325</v>
      </c>
      <c r="D518" s="19" t="s">
        <v>2610</v>
      </c>
    </row>
    <row r="519" spans="1:4" ht="15.5" x14ac:dyDescent="0.35">
      <c r="A519" s="1" t="s">
        <v>1853</v>
      </c>
      <c r="B519" s="19" t="s">
        <v>2399</v>
      </c>
      <c r="C519" s="19" t="s">
        <v>3326</v>
      </c>
      <c r="D519" s="19" t="s">
        <v>3296</v>
      </c>
    </row>
    <row r="520" spans="1:4" ht="15.5" x14ac:dyDescent="0.35">
      <c r="A520" s="1" t="s">
        <v>1852</v>
      </c>
      <c r="B520" s="19" t="s">
        <v>2402</v>
      </c>
      <c r="C520" s="19" t="s">
        <v>3327</v>
      </c>
      <c r="D520" s="19" t="s">
        <v>3134</v>
      </c>
    </row>
    <row r="521" spans="1:4" ht="15.5" x14ac:dyDescent="0.35">
      <c r="A521" s="1" t="s">
        <v>1851</v>
      </c>
      <c r="B521" s="19" t="s">
        <v>2399</v>
      </c>
      <c r="C521" s="19" t="s">
        <v>3328</v>
      </c>
      <c r="D521" s="19" t="s">
        <v>3329</v>
      </c>
    </row>
    <row r="522" spans="1:4" ht="15.5" x14ac:dyDescent="0.35">
      <c r="A522" s="1" t="s">
        <v>1850</v>
      </c>
      <c r="B522" s="19" t="s">
        <v>2402</v>
      </c>
      <c r="C522" s="19" t="s">
        <v>3330</v>
      </c>
      <c r="D522" s="19" t="s">
        <v>3331</v>
      </c>
    </row>
    <row r="523" spans="1:4" ht="15.5" x14ac:dyDescent="0.35">
      <c r="A523" s="1" t="s">
        <v>1849</v>
      </c>
      <c r="B523" s="19" t="s">
        <v>2402</v>
      </c>
      <c r="C523" s="19" t="s">
        <v>3332</v>
      </c>
      <c r="D523" s="19" t="s">
        <v>2451</v>
      </c>
    </row>
    <row r="524" spans="1:4" ht="15.5" x14ac:dyDescent="0.35">
      <c r="A524" s="1" t="s">
        <v>1848</v>
      </c>
      <c r="B524" s="19" t="s">
        <v>2399</v>
      </c>
      <c r="C524" s="19" t="s">
        <v>3333</v>
      </c>
      <c r="D524" s="19" t="s">
        <v>3334</v>
      </c>
    </row>
    <row r="525" spans="1:4" ht="15.5" x14ac:dyDescent="0.35">
      <c r="A525" s="1" t="s">
        <v>1847</v>
      </c>
      <c r="B525" s="19" t="s">
        <v>3277</v>
      </c>
      <c r="C525" s="19" t="s">
        <v>3335</v>
      </c>
      <c r="D525" s="19" t="s">
        <v>3336</v>
      </c>
    </row>
    <row r="526" spans="1:4" ht="15.5" x14ac:dyDescent="0.35">
      <c r="A526" s="1" t="s">
        <v>1846</v>
      </c>
      <c r="B526" s="19" t="s">
        <v>2399</v>
      </c>
      <c r="C526" s="19" t="s">
        <v>3337</v>
      </c>
      <c r="D526" s="19" t="s">
        <v>3338</v>
      </c>
    </row>
    <row r="527" spans="1:4" ht="15.5" x14ac:dyDescent="0.35">
      <c r="A527" s="1" t="s">
        <v>1845</v>
      </c>
      <c r="B527" s="19" t="s">
        <v>2399</v>
      </c>
      <c r="C527" s="19" t="s">
        <v>3339</v>
      </c>
      <c r="D527" s="19" t="s">
        <v>2763</v>
      </c>
    </row>
    <row r="528" spans="1:4" ht="15.5" x14ac:dyDescent="0.35">
      <c r="A528" s="1" t="s">
        <v>1844</v>
      </c>
      <c r="B528" s="19" t="s">
        <v>3277</v>
      </c>
      <c r="C528" s="19" t="s">
        <v>3340</v>
      </c>
      <c r="D528" s="19" t="s">
        <v>3341</v>
      </c>
    </row>
    <row r="529" spans="1:4" ht="15.5" x14ac:dyDescent="0.35">
      <c r="A529" s="1" t="s">
        <v>1843</v>
      </c>
      <c r="B529" s="19" t="s">
        <v>2399</v>
      </c>
      <c r="C529" s="19" t="s">
        <v>3342</v>
      </c>
      <c r="D529" s="19" t="s">
        <v>2511</v>
      </c>
    </row>
    <row r="530" spans="1:4" ht="15.5" x14ac:dyDescent="0.35">
      <c r="A530" s="1" t="s">
        <v>1842</v>
      </c>
      <c r="B530" s="19" t="s">
        <v>2402</v>
      </c>
      <c r="C530" s="19" t="s">
        <v>3343</v>
      </c>
      <c r="D530" s="19" t="s">
        <v>2883</v>
      </c>
    </row>
    <row r="531" spans="1:4" ht="15.5" x14ac:dyDescent="0.35">
      <c r="A531" s="1" t="s">
        <v>1841</v>
      </c>
      <c r="B531" s="19" t="s">
        <v>2402</v>
      </c>
      <c r="C531" s="19" t="s">
        <v>3344</v>
      </c>
      <c r="D531" s="19" t="s">
        <v>3345</v>
      </c>
    </row>
    <row r="532" spans="1:4" ht="15.5" x14ac:dyDescent="0.35">
      <c r="A532" s="1" t="s">
        <v>1840</v>
      </c>
      <c r="B532" s="19" t="s">
        <v>2399</v>
      </c>
      <c r="C532" s="19" t="s">
        <v>3346</v>
      </c>
      <c r="D532" s="19" t="s">
        <v>3347</v>
      </c>
    </row>
    <row r="533" spans="1:4" ht="15.5" x14ac:dyDescent="0.35">
      <c r="A533" s="1" t="s">
        <v>1839</v>
      </c>
      <c r="B533" s="19" t="s">
        <v>2402</v>
      </c>
      <c r="C533" s="19" t="s">
        <v>3348</v>
      </c>
      <c r="D533" s="19" t="s">
        <v>2680</v>
      </c>
    </row>
    <row r="534" spans="1:4" ht="15.5" x14ac:dyDescent="0.35">
      <c r="A534" s="1" t="s">
        <v>1838</v>
      </c>
      <c r="B534" s="19" t="s">
        <v>2399</v>
      </c>
      <c r="C534" s="19" t="s">
        <v>3349</v>
      </c>
      <c r="D534" s="19" t="s">
        <v>3350</v>
      </c>
    </row>
    <row r="535" spans="1:4" ht="15.5" x14ac:dyDescent="0.35">
      <c r="A535" s="1" t="s">
        <v>1837</v>
      </c>
      <c r="B535" s="19" t="s">
        <v>2402</v>
      </c>
      <c r="C535" s="19" t="s">
        <v>3351</v>
      </c>
      <c r="D535" s="19" t="s">
        <v>3311</v>
      </c>
    </row>
    <row r="536" spans="1:4" ht="15.5" x14ac:dyDescent="0.35">
      <c r="A536" s="1" t="s">
        <v>1836</v>
      </c>
      <c r="B536" s="19" t="s">
        <v>2399</v>
      </c>
      <c r="C536" s="19" t="s">
        <v>3352</v>
      </c>
      <c r="D536" s="19" t="s">
        <v>3353</v>
      </c>
    </row>
    <row r="537" spans="1:4" ht="15.5" x14ac:dyDescent="0.35">
      <c r="A537" s="1" t="s">
        <v>1835</v>
      </c>
      <c r="B537" s="19" t="s">
        <v>2402</v>
      </c>
      <c r="C537" s="19" t="s">
        <v>2533</v>
      </c>
      <c r="D537" s="19" t="s">
        <v>3354</v>
      </c>
    </row>
    <row r="538" spans="1:4" ht="15.5" x14ac:dyDescent="0.35">
      <c r="A538" s="1" t="s">
        <v>1834</v>
      </c>
      <c r="B538" s="19" t="s">
        <v>2399</v>
      </c>
      <c r="C538" s="19" t="s">
        <v>3355</v>
      </c>
      <c r="D538" s="19" t="s">
        <v>3356</v>
      </c>
    </row>
    <row r="539" spans="1:4" ht="15.5" x14ac:dyDescent="0.35">
      <c r="A539" s="1" t="s">
        <v>1833</v>
      </c>
      <c r="B539" s="19" t="s">
        <v>2399</v>
      </c>
      <c r="C539" s="19" t="s">
        <v>3357</v>
      </c>
      <c r="D539" s="19" t="s">
        <v>3358</v>
      </c>
    </row>
    <row r="540" spans="1:4" ht="15.5" x14ac:dyDescent="0.35">
      <c r="A540" s="1" t="s">
        <v>1832</v>
      </c>
      <c r="B540" s="19" t="s">
        <v>2399</v>
      </c>
      <c r="C540" s="19" t="s">
        <v>3359</v>
      </c>
      <c r="D540" s="19" t="s">
        <v>3347</v>
      </c>
    </row>
    <row r="541" spans="1:4" ht="15.5" x14ac:dyDescent="0.35">
      <c r="A541" s="1" t="s">
        <v>1831</v>
      </c>
      <c r="B541" s="19" t="s">
        <v>2402</v>
      </c>
      <c r="C541" s="19" t="s">
        <v>3360</v>
      </c>
      <c r="D541" s="19" t="s">
        <v>2528</v>
      </c>
    </row>
    <row r="542" spans="1:4" ht="15.5" x14ac:dyDescent="0.35">
      <c r="A542" s="1" t="s">
        <v>1830</v>
      </c>
      <c r="B542" s="19" t="s">
        <v>2402</v>
      </c>
      <c r="C542" s="19" t="s">
        <v>3361</v>
      </c>
      <c r="D542" s="19" t="s">
        <v>3362</v>
      </c>
    </row>
    <row r="543" spans="1:4" ht="15.5" x14ac:dyDescent="0.35">
      <c r="A543" s="1" t="s">
        <v>1829</v>
      </c>
      <c r="B543" s="19" t="s">
        <v>2402</v>
      </c>
      <c r="C543" s="19" t="s">
        <v>3363</v>
      </c>
      <c r="D543" s="19" t="s">
        <v>3364</v>
      </c>
    </row>
    <row r="544" spans="1:4" ht="15.5" x14ac:dyDescent="0.35">
      <c r="A544" s="1" t="s">
        <v>1828</v>
      </c>
      <c r="B544" s="19" t="s">
        <v>2399</v>
      </c>
      <c r="C544" s="19" t="s">
        <v>3365</v>
      </c>
      <c r="D544" s="19" t="s">
        <v>2835</v>
      </c>
    </row>
    <row r="545" spans="1:4" ht="15.5" x14ac:dyDescent="0.35">
      <c r="A545" s="1" t="s">
        <v>1827</v>
      </c>
      <c r="B545" s="19" t="s">
        <v>2399</v>
      </c>
      <c r="C545" s="19" t="s">
        <v>3366</v>
      </c>
      <c r="D545" s="19" t="s">
        <v>3367</v>
      </c>
    </row>
    <row r="546" spans="1:4" ht="15.5" x14ac:dyDescent="0.35">
      <c r="A546" s="1" t="s">
        <v>1826</v>
      </c>
      <c r="B546" s="19" t="s">
        <v>3277</v>
      </c>
      <c r="C546" s="19" t="s">
        <v>3368</v>
      </c>
      <c r="D546" s="19" t="s">
        <v>3369</v>
      </c>
    </row>
    <row r="547" spans="1:4" ht="15.5" x14ac:dyDescent="0.35">
      <c r="A547" s="1" t="s">
        <v>1825</v>
      </c>
      <c r="B547" s="19" t="s">
        <v>2402</v>
      </c>
      <c r="C547" s="19" t="s">
        <v>3370</v>
      </c>
      <c r="D547" s="19" t="s">
        <v>3093</v>
      </c>
    </row>
    <row r="548" spans="1:4" ht="15.5" x14ac:dyDescent="0.35">
      <c r="A548" s="1" t="s">
        <v>1824</v>
      </c>
      <c r="B548" s="19" t="s">
        <v>2399</v>
      </c>
      <c r="C548" s="19" t="s">
        <v>3371</v>
      </c>
      <c r="D548" s="19" t="s">
        <v>3372</v>
      </c>
    </row>
    <row r="549" spans="1:4" ht="15.5" x14ac:dyDescent="0.35">
      <c r="A549" s="1" t="s">
        <v>1823</v>
      </c>
      <c r="B549" s="19" t="s">
        <v>2402</v>
      </c>
      <c r="C549" s="19" t="s">
        <v>3373</v>
      </c>
      <c r="D549" s="19" t="s">
        <v>3374</v>
      </c>
    </row>
    <row r="550" spans="1:4" ht="15.5" x14ac:dyDescent="0.35">
      <c r="A550" s="1" t="s">
        <v>1822</v>
      </c>
      <c r="B550" s="19" t="s">
        <v>2402</v>
      </c>
      <c r="C550" s="19" t="s">
        <v>3375</v>
      </c>
      <c r="D550" s="19" t="s">
        <v>3376</v>
      </c>
    </row>
    <row r="551" spans="1:4" ht="15.5" x14ac:dyDescent="0.35">
      <c r="A551" s="1" t="s">
        <v>1821</v>
      </c>
      <c r="B551" s="19" t="s">
        <v>2402</v>
      </c>
      <c r="C551" s="19" t="s">
        <v>3377</v>
      </c>
      <c r="D551" s="19" t="s">
        <v>3378</v>
      </c>
    </row>
    <row r="552" spans="1:4" ht="15.5" x14ac:dyDescent="0.35">
      <c r="A552" s="1" t="s">
        <v>1820</v>
      </c>
      <c r="B552" s="19" t="s">
        <v>2399</v>
      </c>
      <c r="C552" s="19" t="s">
        <v>3379</v>
      </c>
      <c r="D552" s="19" t="s">
        <v>3380</v>
      </c>
    </row>
    <row r="553" spans="1:4" ht="15.5" x14ac:dyDescent="0.35">
      <c r="A553" s="1" t="s">
        <v>1819</v>
      </c>
      <c r="B553" s="19" t="s">
        <v>2402</v>
      </c>
      <c r="C553" s="19" t="s">
        <v>2743</v>
      </c>
      <c r="D553" s="19" t="s">
        <v>3252</v>
      </c>
    </row>
    <row r="554" spans="1:4" ht="15.5" x14ac:dyDescent="0.35">
      <c r="A554" s="1" t="s">
        <v>1818</v>
      </c>
      <c r="B554" s="19" t="s">
        <v>2402</v>
      </c>
      <c r="C554" s="19" t="s">
        <v>3381</v>
      </c>
      <c r="D554" s="19" t="s">
        <v>3382</v>
      </c>
    </row>
    <row r="555" spans="1:4" ht="15.5" x14ac:dyDescent="0.35">
      <c r="A555" s="1" t="s">
        <v>1817</v>
      </c>
      <c r="B555" s="19" t="s">
        <v>2399</v>
      </c>
      <c r="C555" s="19" t="s">
        <v>3383</v>
      </c>
      <c r="D555" s="19" t="s">
        <v>3384</v>
      </c>
    </row>
    <row r="556" spans="1:4" ht="15.5" x14ac:dyDescent="0.35">
      <c r="A556" s="1" t="s">
        <v>1816</v>
      </c>
      <c r="B556" s="19" t="s">
        <v>2402</v>
      </c>
      <c r="C556" s="19" t="s">
        <v>3385</v>
      </c>
      <c r="D556" s="19" t="s">
        <v>2594</v>
      </c>
    </row>
    <row r="557" spans="1:4" ht="15.5" x14ac:dyDescent="0.35">
      <c r="A557" s="1" t="s">
        <v>1815</v>
      </c>
      <c r="B557" s="19" t="s">
        <v>2402</v>
      </c>
      <c r="C557" s="19" t="s">
        <v>3386</v>
      </c>
      <c r="D557" s="19" t="s">
        <v>3387</v>
      </c>
    </row>
    <row r="558" spans="1:4" ht="15.5" x14ac:dyDescent="0.35">
      <c r="A558" s="1" t="s">
        <v>1814</v>
      </c>
      <c r="B558" s="19" t="s">
        <v>2399</v>
      </c>
      <c r="C558" s="19" t="s">
        <v>3388</v>
      </c>
      <c r="D558" s="19" t="s">
        <v>3389</v>
      </c>
    </row>
    <row r="559" spans="1:4" ht="15.5" x14ac:dyDescent="0.35">
      <c r="A559" s="1" t="s">
        <v>1813</v>
      </c>
      <c r="B559" s="19" t="s">
        <v>2402</v>
      </c>
      <c r="C559" s="19" t="s">
        <v>3390</v>
      </c>
      <c r="D559" s="19" t="s">
        <v>2581</v>
      </c>
    </row>
    <row r="560" spans="1:4" ht="15.5" x14ac:dyDescent="0.35">
      <c r="A560" s="1" t="s">
        <v>1812</v>
      </c>
      <c r="B560" s="19" t="s">
        <v>2399</v>
      </c>
      <c r="C560" s="19" t="s">
        <v>3391</v>
      </c>
      <c r="D560" s="19" t="s">
        <v>3262</v>
      </c>
    </row>
    <row r="561" spans="1:4" ht="15.5" x14ac:dyDescent="0.35">
      <c r="A561" s="1" t="s">
        <v>1811</v>
      </c>
      <c r="B561" s="19" t="s">
        <v>2402</v>
      </c>
      <c r="C561" s="19" t="s">
        <v>3392</v>
      </c>
      <c r="D561" s="19" t="s">
        <v>3393</v>
      </c>
    </row>
    <row r="562" spans="1:4" ht="15.5" x14ac:dyDescent="0.35">
      <c r="A562" s="1" t="s">
        <v>1810</v>
      </c>
      <c r="B562" s="19" t="s">
        <v>2399</v>
      </c>
      <c r="C562" s="19" t="s">
        <v>3394</v>
      </c>
      <c r="D562" s="19" t="s">
        <v>3395</v>
      </c>
    </row>
    <row r="563" spans="1:4" ht="15.5" x14ac:dyDescent="0.35">
      <c r="A563" s="1" t="s">
        <v>1809</v>
      </c>
      <c r="B563" s="19" t="s">
        <v>2402</v>
      </c>
      <c r="C563" s="19" t="s">
        <v>3396</v>
      </c>
      <c r="D563" s="19" t="s">
        <v>3397</v>
      </c>
    </row>
    <row r="564" spans="1:4" ht="15.5" x14ac:dyDescent="0.35">
      <c r="A564" s="1" t="s">
        <v>1808</v>
      </c>
      <c r="B564" s="19" t="s">
        <v>2402</v>
      </c>
      <c r="C564" s="19" t="s">
        <v>3398</v>
      </c>
      <c r="D564" s="19" t="s">
        <v>3399</v>
      </c>
    </row>
    <row r="565" spans="1:4" ht="15.5" x14ac:dyDescent="0.35">
      <c r="A565" s="1" t="s">
        <v>1807</v>
      </c>
      <c r="B565" s="19" t="s">
        <v>2399</v>
      </c>
      <c r="C565" s="19" t="s">
        <v>3400</v>
      </c>
      <c r="D565" s="19" t="s">
        <v>3401</v>
      </c>
    </row>
    <row r="566" spans="1:4" ht="15.5" x14ac:dyDescent="0.35">
      <c r="A566" s="1" t="s">
        <v>1806</v>
      </c>
      <c r="B566" s="19" t="s">
        <v>3277</v>
      </c>
      <c r="C566" s="19" t="s">
        <v>3402</v>
      </c>
      <c r="D566" s="19" t="s">
        <v>3347</v>
      </c>
    </row>
    <row r="567" spans="1:4" ht="15.5" x14ac:dyDescent="0.35">
      <c r="A567" s="1" t="s">
        <v>1805</v>
      </c>
      <c r="B567" s="19" t="s">
        <v>2402</v>
      </c>
      <c r="C567" s="19" t="s">
        <v>3403</v>
      </c>
      <c r="D567" s="19" t="s">
        <v>3404</v>
      </c>
    </row>
    <row r="568" spans="1:4" ht="15.5" x14ac:dyDescent="0.35">
      <c r="A568" s="1" t="s">
        <v>1804</v>
      </c>
      <c r="B568" s="19" t="s">
        <v>2399</v>
      </c>
      <c r="C568" s="19" t="s">
        <v>3405</v>
      </c>
      <c r="D568" s="19" t="s">
        <v>3406</v>
      </c>
    </row>
    <row r="569" spans="1:4" ht="15.5" x14ac:dyDescent="0.35">
      <c r="A569" s="1" t="s">
        <v>1803</v>
      </c>
      <c r="B569" s="19" t="s">
        <v>2399</v>
      </c>
      <c r="C569" s="19" t="s">
        <v>3407</v>
      </c>
      <c r="D569" s="19" t="s">
        <v>3408</v>
      </c>
    </row>
    <row r="570" spans="1:4" ht="15.5" x14ac:dyDescent="0.35">
      <c r="A570" s="1" t="s">
        <v>1802</v>
      </c>
      <c r="B570" s="19" t="s">
        <v>2399</v>
      </c>
      <c r="C570" s="19" t="s">
        <v>3409</v>
      </c>
      <c r="D570" s="19" t="s">
        <v>3410</v>
      </c>
    </row>
    <row r="571" spans="1:4" ht="15.5" x14ac:dyDescent="0.35">
      <c r="A571" s="1" t="s">
        <v>1801</v>
      </c>
      <c r="B571" s="19" t="s">
        <v>2402</v>
      </c>
      <c r="C571" s="19" t="s">
        <v>3411</v>
      </c>
      <c r="D571" s="19" t="s">
        <v>3412</v>
      </c>
    </row>
    <row r="572" spans="1:4" ht="15.5" x14ac:dyDescent="0.35">
      <c r="A572" s="1" t="s">
        <v>1800</v>
      </c>
      <c r="B572" s="19" t="s">
        <v>2402</v>
      </c>
      <c r="C572" s="19" t="s">
        <v>3413</v>
      </c>
      <c r="D572" s="19" t="s">
        <v>3414</v>
      </c>
    </row>
    <row r="573" spans="1:4" ht="15.5" x14ac:dyDescent="0.35">
      <c r="A573" s="1" t="s">
        <v>1799</v>
      </c>
      <c r="B573" s="19" t="s">
        <v>2402</v>
      </c>
      <c r="C573" s="19" t="s">
        <v>3415</v>
      </c>
      <c r="D573" s="19" t="s">
        <v>2785</v>
      </c>
    </row>
    <row r="574" spans="1:4" ht="15.5" x14ac:dyDescent="0.35">
      <c r="A574" s="1" t="s">
        <v>1798</v>
      </c>
      <c r="B574" s="19" t="s">
        <v>3277</v>
      </c>
      <c r="C574" s="19" t="s">
        <v>3416</v>
      </c>
      <c r="D574" s="19" t="s">
        <v>3417</v>
      </c>
    </row>
    <row r="575" spans="1:4" ht="15.5" x14ac:dyDescent="0.35">
      <c r="A575" s="1" t="s">
        <v>1797</v>
      </c>
      <c r="B575" s="19" t="s">
        <v>2402</v>
      </c>
      <c r="C575" s="19" t="s">
        <v>3418</v>
      </c>
      <c r="D575" s="19" t="s">
        <v>3419</v>
      </c>
    </row>
    <row r="576" spans="1:4" ht="15.5" x14ac:dyDescent="0.35">
      <c r="A576" s="1" t="s">
        <v>1796</v>
      </c>
      <c r="B576" s="19" t="s">
        <v>2402</v>
      </c>
      <c r="C576" s="19" t="s">
        <v>3420</v>
      </c>
      <c r="D576" s="19" t="s">
        <v>3421</v>
      </c>
    </row>
    <row r="577" spans="1:4" ht="15.5" x14ac:dyDescent="0.35">
      <c r="A577" s="1" t="s">
        <v>1795</v>
      </c>
      <c r="B577" s="19" t="s">
        <v>2399</v>
      </c>
      <c r="C577" s="19" t="s">
        <v>3422</v>
      </c>
      <c r="D577" s="19" t="s">
        <v>3423</v>
      </c>
    </row>
    <row r="578" spans="1:4" ht="15.5" x14ac:dyDescent="0.35">
      <c r="A578" s="1" t="s">
        <v>1794</v>
      </c>
      <c r="B578" s="19" t="s">
        <v>3277</v>
      </c>
      <c r="C578" s="19" t="s">
        <v>3424</v>
      </c>
      <c r="D578" s="19" t="s">
        <v>2636</v>
      </c>
    </row>
    <row r="579" spans="1:4" ht="15.5" x14ac:dyDescent="0.35">
      <c r="A579" s="1" t="s">
        <v>1793</v>
      </c>
      <c r="B579" s="19" t="s">
        <v>2402</v>
      </c>
      <c r="C579" s="19" t="s">
        <v>3425</v>
      </c>
      <c r="D579" s="19" t="s">
        <v>3426</v>
      </c>
    </row>
    <row r="580" spans="1:4" ht="15.5" x14ac:dyDescent="0.35">
      <c r="A580" s="1" t="s">
        <v>1792</v>
      </c>
      <c r="B580" s="19" t="s">
        <v>2399</v>
      </c>
      <c r="C580" s="19" t="s">
        <v>3427</v>
      </c>
      <c r="D580" s="19" t="s">
        <v>3428</v>
      </c>
    </row>
    <row r="581" spans="1:4" ht="15.5" x14ac:dyDescent="0.35">
      <c r="A581" s="1" t="s">
        <v>1791</v>
      </c>
      <c r="B581" s="19" t="s">
        <v>2399</v>
      </c>
      <c r="C581" s="19" t="s">
        <v>3429</v>
      </c>
      <c r="D581" s="19" t="s">
        <v>3430</v>
      </c>
    </row>
    <row r="582" spans="1:4" ht="15.5" x14ac:dyDescent="0.35">
      <c r="A582" s="1" t="s">
        <v>1790</v>
      </c>
      <c r="B582" s="19" t="s">
        <v>2402</v>
      </c>
      <c r="C582" s="19" t="s">
        <v>3431</v>
      </c>
      <c r="D582" s="19" t="s">
        <v>3432</v>
      </c>
    </row>
    <row r="583" spans="1:4" ht="15.5" x14ac:dyDescent="0.35">
      <c r="A583" s="1" t="s">
        <v>1789</v>
      </c>
      <c r="B583" s="19" t="s">
        <v>2402</v>
      </c>
      <c r="C583" s="19" t="s">
        <v>3433</v>
      </c>
      <c r="D583" s="19" t="s">
        <v>2405</v>
      </c>
    </row>
    <row r="584" spans="1:4" ht="15.5" x14ac:dyDescent="0.35">
      <c r="A584" s="1" t="s">
        <v>1788</v>
      </c>
      <c r="B584" s="19" t="s">
        <v>2399</v>
      </c>
      <c r="C584" s="19" t="s">
        <v>3434</v>
      </c>
      <c r="D584" s="19" t="s">
        <v>3435</v>
      </c>
    </row>
    <row r="585" spans="1:4" ht="15.5" x14ac:dyDescent="0.35">
      <c r="A585" s="1" t="s">
        <v>1787</v>
      </c>
      <c r="B585" s="19" t="s">
        <v>2402</v>
      </c>
      <c r="C585" s="19" t="s">
        <v>3436</v>
      </c>
      <c r="D585" s="19" t="s">
        <v>3156</v>
      </c>
    </row>
    <row r="586" spans="1:4" ht="15.5" x14ac:dyDescent="0.35">
      <c r="A586" s="1" t="s">
        <v>1786</v>
      </c>
      <c r="B586" s="19" t="s">
        <v>2399</v>
      </c>
      <c r="C586" s="19" t="s">
        <v>3437</v>
      </c>
      <c r="D586" s="19" t="s">
        <v>3438</v>
      </c>
    </row>
    <row r="587" spans="1:4" ht="15.5" x14ac:dyDescent="0.35">
      <c r="A587" s="1" t="s">
        <v>1785</v>
      </c>
      <c r="B587" s="19" t="s">
        <v>2399</v>
      </c>
      <c r="C587" s="19" t="s">
        <v>3439</v>
      </c>
      <c r="D587" s="19" t="s">
        <v>3072</v>
      </c>
    </row>
    <row r="588" spans="1:4" ht="15.5" x14ac:dyDescent="0.35">
      <c r="A588" s="1" t="s">
        <v>1784</v>
      </c>
      <c r="B588" s="19" t="s">
        <v>2399</v>
      </c>
      <c r="C588" s="19" t="s">
        <v>3440</v>
      </c>
      <c r="D588" s="19" t="s">
        <v>3441</v>
      </c>
    </row>
    <row r="589" spans="1:4" ht="15.5" x14ac:dyDescent="0.35">
      <c r="A589" s="1" t="s">
        <v>1783</v>
      </c>
      <c r="B589" s="19" t="s">
        <v>2399</v>
      </c>
      <c r="C589" s="19" t="s">
        <v>3442</v>
      </c>
      <c r="D589" s="19" t="s">
        <v>3443</v>
      </c>
    </row>
    <row r="590" spans="1:4" ht="15.5" x14ac:dyDescent="0.35">
      <c r="A590" s="1" t="s">
        <v>1782</v>
      </c>
      <c r="B590" s="19" t="s">
        <v>3277</v>
      </c>
      <c r="C590" s="19" t="s">
        <v>2552</v>
      </c>
      <c r="D590" s="19" t="s">
        <v>3444</v>
      </c>
    </row>
    <row r="591" spans="1:4" ht="15.5" x14ac:dyDescent="0.35">
      <c r="A591" s="1" t="s">
        <v>1781</v>
      </c>
      <c r="B591" s="19" t="s">
        <v>2399</v>
      </c>
      <c r="C591" s="19" t="s">
        <v>3445</v>
      </c>
      <c r="D591" s="19" t="s">
        <v>3446</v>
      </c>
    </row>
    <row r="592" spans="1:4" ht="15.5" x14ac:dyDescent="0.35">
      <c r="A592" s="1" t="s">
        <v>1780</v>
      </c>
      <c r="B592" s="19" t="s">
        <v>2402</v>
      </c>
      <c r="C592" s="19" t="s">
        <v>3447</v>
      </c>
      <c r="D592" s="19" t="s">
        <v>2889</v>
      </c>
    </row>
    <row r="593" spans="1:4" ht="15.5" x14ac:dyDescent="0.35">
      <c r="A593" s="1" t="s">
        <v>1779</v>
      </c>
      <c r="B593" s="19" t="s">
        <v>2399</v>
      </c>
      <c r="C593" s="19" t="s">
        <v>2529</v>
      </c>
      <c r="D593" s="19" t="s">
        <v>3448</v>
      </c>
    </row>
    <row r="594" spans="1:4" ht="15.5" x14ac:dyDescent="0.35">
      <c r="A594" s="1" t="s">
        <v>1778</v>
      </c>
      <c r="B594" s="19" t="s">
        <v>2399</v>
      </c>
      <c r="C594" s="19" t="s">
        <v>3449</v>
      </c>
      <c r="D594" s="19" t="s">
        <v>3450</v>
      </c>
    </row>
    <row r="595" spans="1:4" ht="15.5" x14ac:dyDescent="0.35">
      <c r="A595" s="1" t="s">
        <v>1777</v>
      </c>
      <c r="B595" s="19" t="s">
        <v>3277</v>
      </c>
      <c r="C595" s="19" t="s">
        <v>3451</v>
      </c>
      <c r="D595" s="19" t="s">
        <v>3452</v>
      </c>
    </row>
    <row r="596" spans="1:4" ht="15.5" x14ac:dyDescent="0.35">
      <c r="A596" s="1" t="s">
        <v>1776</v>
      </c>
      <c r="B596" s="19" t="s">
        <v>2399</v>
      </c>
      <c r="C596" s="19" t="s">
        <v>3453</v>
      </c>
      <c r="D596" s="19" t="s">
        <v>3454</v>
      </c>
    </row>
    <row r="597" spans="1:4" ht="15.5" x14ac:dyDescent="0.35">
      <c r="A597" s="1" t="s">
        <v>1775</v>
      </c>
      <c r="B597" s="19" t="s">
        <v>2402</v>
      </c>
      <c r="C597" s="19" t="s">
        <v>3455</v>
      </c>
      <c r="D597" s="19" t="s">
        <v>3456</v>
      </c>
    </row>
    <row r="598" spans="1:4" ht="15.5" x14ac:dyDescent="0.35">
      <c r="A598" s="1" t="s">
        <v>1774</v>
      </c>
      <c r="B598" s="19" t="s">
        <v>2402</v>
      </c>
      <c r="C598" s="19" t="s">
        <v>3457</v>
      </c>
      <c r="D598" s="19" t="s">
        <v>3458</v>
      </c>
    </row>
    <row r="599" spans="1:4" ht="15.5" x14ac:dyDescent="0.35">
      <c r="A599" s="1" t="s">
        <v>1773</v>
      </c>
      <c r="B599" s="19" t="s">
        <v>2399</v>
      </c>
      <c r="C599" s="19" t="s">
        <v>3459</v>
      </c>
      <c r="D599" s="19" t="s">
        <v>3460</v>
      </c>
    </row>
    <row r="600" spans="1:4" ht="15.5" x14ac:dyDescent="0.35">
      <c r="A600" s="1" t="s">
        <v>1772</v>
      </c>
      <c r="B600" s="19" t="s">
        <v>2399</v>
      </c>
      <c r="C600" s="19" t="s">
        <v>3461</v>
      </c>
      <c r="D600" s="19" t="s">
        <v>3462</v>
      </c>
    </row>
    <row r="601" spans="1:4" ht="15.5" x14ac:dyDescent="0.35">
      <c r="A601" s="1" t="s">
        <v>1771</v>
      </c>
      <c r="B601" s="19" t="s">
        <v>2402</v>
      </c>
      <c r="C601" s="19" t="s">
        <v>3463</v>
      </c>
      <c r="D601" s="19" t="s">
        <v>3464</v>
      </c>
    </row>
    <row r="602" spans="1:4" ht="15.5" x14ac:dyDescent="0.35">
      <c r="A602" s="1" t="s">
        <v>1770</v>
      </c>
      <c r="B602" s="19" t="s">
        <v>2399</v>
      </c>
      <c r="C602" s="19" t="s">
        <v>3465</v>
      </c>
      <c r="D602" s="19" t="s">
        <v>3466</v>
      </c>
    </row>
    <row r="603" spans="1:4" ht="15.5" x14ac:dyDescent="0.35">
      <c r="A603" s="1" t="s">
        <v>1769</v>
      </c>
      <c r="B603" s="19" t="s">
        <v>3277</v>
      </c>
      <c r="C603" s="19" t="s">
        <v>3467</v>
      </c>
      <c r="D603" s="19" t="s">
        <v>2771</v>
      </c>
    </row>
    <row r="604" spans="1:4" ht="15.5" x14ac:dyDescent="0.35">
      <c r="A604" s="1" t="s">
        <v>1768</v>
      </c>
      <c r="B604" s="19" t="s">
        <v>3277</v>
      </c>
      <c r="C604" s="19" t="s">
        <v>3468</v>
      </c>
      <c r="D604" s="19" t="s">
        <v>3469</v>
      </c>
    </row>
    <row r="605" spans="1:4" ht="15.5" x14ac:dyDescent="0.35">
      <c r="A605" s="1" t="s">
        <v>1767</v>
      </c>
      <c r="B605" s="19" t="s">
        <v>2402</v>
      </c>
      <c r="C605" s="19" t="s">
        <v>3470</v>
      </c>
      <c r="D605" s="19" t="s">
        <v>3432</v>
      </c>
    </row>
    <row r="606" spans="1:4" ht="15.5" x14ac:dyDescent="0.35">
      <c r="A606" s="1" t="s">
        <v>1766</v>
      </c>
      <c r="B606" s="19" t="s">
        <v>2402</v>
      </c>
      <c r="C606" s="19" t="s">
        <v>2622</v>
      </c>
      <c r="D606" s="19" t="s">
        <v>3471</v>
      </c>
    </row>
    <row r="607" spans="1:4" ht="15.5" x14ac:dyDescent="0.35">
      <c r="A607" s="1" t="s">
        <v>1765</v>
      </c>
      <c r="B607" s="19" t="s">
        <v>2402</v>
      </c>
      <c r="C607" s="19" t="s">
        <v>3472</v>
      </c>
      <c r="D607" s="19" t="s">
        <v>3473</v>
      </c>
    </row>
    <row r="608" spans="1:4" ht="15.5" x14ac:dyDescent="0.35">
      <c r="A608" s="1" t="s">
        <v>1764</v>
      </c>
      <c r="B608" s="19" t="s">
        <v>2402</v>
      </c>
      <c r="C608" s="19" t="s">
        <v>3474</v>
      </c>
      <c r="D608" s="19" t="s">
        <v>3475</v>
      </c>
    </row>
    <row r="609" spans="1:4" ht="15.5" x14ac:dyDescent="0.35">
      <c r="A609" s="1" t="s">
        <v>1763</v>
      </c>
      <c r="B609" s="19" t="s">
        <v>2402</v>
      </c>
      <c r="C609" s="19" t="s">
        <v>3476</v>
      </c>
      <c r="D609" s="19" t="s">
        <v>3477</v>
      </c>
    </row>
    <row r="610" spans="1:4" ht="15.5" x14ac:dyDescent="0.35">
      <c r="A610" s="1" t="s">
        <v>1762</v>
      </c>
      <c r="B610" s="19" t="s">
        <v>2402</v>
      </c>
      <c r="C610" s="19" t="s">
        <v>3478</v>
      </c>
      <c r="D610" s="19" t="s">
        <v>3479</v>
      </c>
    </row>
    <row r="611" spans="1:4" ht="15.5" x14ac:dyDescent="0.35">
      <c r="A611" s="1" t="s">
        <v>1761</v>
      </c>
      <c r="B611" s="19" t="s">
        <v>3277</v>
      </c>
      <c r="C611" s="19" t="s">
        <v>3480</v>
      </c>
      <c r="D611" s="19" t="s">
        <v>3481</v>
      </c>
    </row>
    <row r="612" spans="1:4" ht="15.5" x14ac:dyDescent="0.35">
      <c r="A612" s="1" t="s">
        <v>1760</v>
      </c>
      <c r="B612" s="19" t="s">
        <v>2402</v>
      </c>
      <c r="C612" s="19" t="s">
        <v>3482</v>
      </c>
      <c r="D612" s="19" t="s">
        <v>3483</v>
      </c>
    </row>
    <row r="613" spans="1:4" ht="15.5" x14ac:dyDescent="0.35">
      <c r="A613" s="1" t="s">
        <v>1759</v>
      </c>
      <c r="B613" s="19" t="s">
        <v>2399</v>
      </c>
      <c r="C613" s="19" t="s">
        <v>3484</v>
      </c>
      <c r="D613" s="19" t="s">
        <v>2891</v>
      </c>
    </row>
    <row r="614" spans="1:4" ht="15.5" x14ac:dyDescent="0.35">
      <c r="A614" s="1" t="s">
        <v>1758</v>
      </c>
      <c r="B614" s="19" t="s">
        <v>2399</v>
      </c>
      <c r="C614" s="19" t="s">
        <v>3485</v>
      </c>
      <c r="D614" s="19" t="s">
        <v>3486</v>
      </c>
    </row>
    <row r="615" spans="1:4" ht="15.5" x14ac:dyDescent="0.35">
      <c r="A615" s="1" t="s">
        <v>1757</v>
      </c>
      <c r="B615" s="19" t="s">
        <v>2402</v>
      </c>
      <c r="C615" s="19" t="s">
        <v>3487</v>
      </c>
      <c r="D615" s="19" t="s">
        <v>3488</v>
      </c>
    </row>
    <row r="616" spans="1:4" ht="15.5" x14ac:dyDescent="0.35">
      <c r="A616" s="1" t="s">
        <v>1756</v>
      </c>
      <c r="B616" s="19" t="s">
        <v>2399</v>
      </c>
      <c r="C616" s="19" t="s">
        <v>3489</v>
      </c>
      <c r="D616" s="19" t="s">
        <v>3490</v>
      </c>
    </row>
    <row r="617" spans="1:4" ht="15.5" x14ac:dyDescent="0.35">
      <c r="A617" s="1" t="s">
        <v>1755</v>
      </c>
      <c r="B617" s="19" t="s">
        <v>2399</v>
      </c>
      <c r="C617" s="19" t="s">
        <v>2535</v>
      </c>
      <c r="D617" s="19" t="s">
        <v>3491</v>
      </c>
    </row>
    <row r="618" spans="1:4" ht="15.5" x14ac:dyDescent="0.35">
      <c r="A618" s="1" t="s">
        <v>1754</v>
      </c>
      <c r="B618" s="19" t="s">
        <v>3277</v>
      </c>
      <c r="C618" s="19" t="s">
        <v>2928</v>
      </c>
      <c r="D618" s="19" t="s">
        <v>2763</v>
      </c>
    </row>
    <row r="619" spans="1:4" ht="15.5" x14ac:dyDescent="0.35">
      <c r="A619" s="1" t="s">
        <v>1753</v>
      </c>
      <c r="B619" s="19" t="s">
        <v>2399</v>
      </c>
      <c r="C619" s="19" t="s">
        <v>3492</v>
      </c>
      <c r="D619" s="19" t="s">
        <v>2756</v>
      </c>
    </row>
    <row r="620" spans="1:4" ht="15.5" x14ac:dyDescent="0.35">
      <c r="A620" s="1" t="s">
        <v>1752</v>
      </c>
      <c r="B620" s="19" t="s">
        <v>2399</v>
      </c>
      <c r="C620" s="19" t="s">
        <v>3493</v>
      </c>
      <c r="D620" s="19" t="s">
        <v>2851</v>
      </c>
    </row>
    <row r="621" spans="1:4" ht="15.5" x14ac:dyDescent="0.35">
      <c r="A621" s="1" t="s">
        <v>1751</v>
      </c>
      <c r="B621" s="19" t="s">
        <v>2399</v>
      </c>
      <c r="C621" s="19" t="s">
        <v>3494</v>
      </c>
      <c r="D621" s="19" t="s">
        <v>3495</v>
      </c>
    </row>
    <row r="622" spans="1:4" ht="15.5" x14ac:dyDescent="0.35">
      <c r="A622" s="1" t="s">
        <v>1750</v>
      </c>
      <c r="B622" s="19" t="s">
        <v>3277</v>
      </c>
      <c r="C622" s="19" t="s">
        <v>3496</v>
      </c>
      <c r="D622" s="19" t="s">
        <v>3497</v>
      </c>
    </row>
    <row r="623" spans="1:4" ht="15.5" x14ac:dyDescent="0.35">
      <c r="A623" s="1" t="s">
        <v>1749</v>
      </c>
      <c r="B623" s="19" t="s">
        <v>2402</v>
      </c>
      <c r="C623" s="19" t="s">
        <v>3498</v>
      </c>
      <c r="D623" s="19" t="s">
        <v>3499</v>
      </c>
    </row>
    <row r="624" spans="1:4" ht="15.5" x14ac:dyDescent="0.35">
      <c r="A624" s="1" t="s">
        <v>1748</v>
      </c>
      <c r="B624" s="19" t="s">
        <v>2399</v>
      </c>
      <c r="C624" s="19" t="s">
        <v>3500</v>
      </c>
      <c r="D624" s="19" t="s">
        <v>3501</v>
      </c>
    </row>
    <row r="625" spans="1:4" ht="15.5" x14ac:dyDescent="0.35">
      <c r="A625" s="1" t="s">
        <v>1747</v>
      </c>
      <c r="B625" s="19" t="s">
        <v>2402</v>
      </c>
      <c r="C625" s="19" t="s">
        <v>3502</v>
      </c>
      <c r="D625" s="19" t="s">
        <v>3503</v>
      </c>
    </row>
    <row r="626" spans="1:4" ht="15.5" x14ac:dyDescent="0.35">
      <c r="A626" s="1" t="s">
        <v>1746</v>
      </c>
      <c r="B626" s="19" t="s">
        <v>2402</v>
      </c>
      <c r="C626" s="19" t="s">
        <v>3504</v>
      </c>
      <c r="D626" s="19" t="s">
        <v>3505</v>
      </c>
    </row>
    <row r="627" spans="1:4" ht="15.5" x14ac:dyDescent="0.35">
      <c r="A627" s="1" t="s">
        <v>1745</v>
      </c>
      <c r="B627" s="19" t="s">
        <v>2402</v>
      </c>
      <c r="C627" s="19" t="s">
        <v>3506</v>
      </c>
      <c r="D627" s="19" t="s">
        <v>3507</v>
      </c>
    </row>
    <row r="628" spans="1:4" ht="15.5" x14ac:dyDescent="0.35">
      <c r="A628" s="1" t="s">
        <v>1744</v>
      </c>
      <c r="B628" s="19" t="s">
        <v>2402</v>
      </c>
      <c r="C628" s="19" t="s">
        <v>3508</v>
      </c>
      <c r="D628" s="19" t="s">
        <v>3509</v>
      </c>
    </row>
    <row r="629" spans="1:4" ht="15.5" x14ac:dyDescent="0.35">
      <c r="A629" s="1" t="s">
        <v>1743</v>
      </c>
      <c r="B629" s="19" t="s">
        <v>3277</v>
      </c>
      <c r="C629" s="19" t="s">
        <v>3510</v>
      </c>
      <c r="D629" s="19" t="s">
        <v>3511</v>
      </c>
    </row>
    <row r="630" spans="1:4" ht="15.5" x14ac:dyDescent="0.35">
      <c r="A630" s="1" t="s">
        <v>1742</v>
      </c>
      <c r="B630" s="19" t="s">
        <v>2402</v>
      </c>
      <c r="C630" s="19" t="s">
        <v>3512</v>
      </c>
      <c r="D630" s="19" t="s">
        <v>3513</v>
      </c>
    </row>
    <row r="631" spans="1:4" ht="15.5" x14ac:dyDescent="0.35">
      <c r="A631" s="1" t="s">
        <v>1741</v>
      </c>
      <c r="B631" s="19" t="s">
        <v>2399</v>
      </c>
      <c r="C631" s="19" t="s">
        <v>2909</v>
      </c>
      <c r="D631" s="19" t="s">
        <v>3514</v>
      </c>
    </row>
    <row r="632" spans="1:4" ht="15.5" x14ac:dyDescent="0.35">
      <c r="A632" s="1" t="s">
        <v>1740</v>
      </c>
      <c r="B632" s="19" t="s">
        <v>3277</v>
      </c>
      <c r="C632" s="19" t="s">
        <v>3515</v>
      </c>
      <c r="D632" s="19" t="s">
        <v>3516</v>
      </c>
    </row>
    <row r="633" spans="1:4" ht="15.5" x14ac:dyDescent="0.35">
      <c r="A633" s="1" t="s">
        <v>1739</v>
      </c>
      <c r="B633" s="19" t="s">
        <v>2402</v>
      </c>
      <c r="C633" s="19" t="s">
        <v>3517</v>
      </c>
      <c r="D633" s="19" t="s">
        <v>2823</v>
      </c>
    </row>
    <row r="634" spans="1:4" ht="15.5" x14ac:dyDescent="0.35">
      <c r="A634" s="1" t="s">
        <v>1738</v>
      </c>
      <c r="B634" s="19" t="s">
        <v>2402</v>
      </c>
      <c r="C634" s="19" t="s">
        <v>3518</v>
      </c>
      <c r="D634" s="19" t="s">
        <v>3156</v>
      </c>
    </row>
    <row r="635" spans="1:4" ht="15.5" x14ac:dyDescent="0.35">
      <c r="A635" s="1" t="s">
        <v>1737</v>
      </c>
      <c r="B635" s="19" t="s">
        <v>3277</v>
      </c>
      <c r="C635" s="19" t="s">
        <v>3519</v>
      </c>
      <c r="D635" s="19" t="s">
        <v>3520</v>
      </c>
    </row>
    <row r="636" spans="1:4" ht="15.5" x14ac:dyDescent="0.35">
      <c r="A636" s="1" t="s">
        <v>1736</v>
      </c>
      <c r="B636" s="19" t="s">
        <v>2402</v>
      </c>
      <c r="C636" s="19" t="s">
        <v>3013</v>
      </c>
      <c r="D636" s="19" t="s">
        <v>3521</v>
      </c>
    </row>
    <row r="637" spans="1:4" ht="15.5" x14ac:dyDescent="0.35">
      <c r="A637" s="1" t="s">
        <v>1735</v>
      </c>
      <c r="B637" s="19" t="s">
        <v>3277</v>
      </c>
      <c r="C637" s="19" t="s">
        <v>3522</v>
      </c>
      <c r="D637" s="19" t="s">
        <v>3523</v>
      </c>
    </row>
    <row r="638" spans="1:4" ht="15.5" x14ac:dyDescent="0.35">
      <c r="A638" s="1" t="s">
        <v>1734</v>
      </c>
      <c r="B638" s="19" t="s">
        <v>2399</v>
      </c>
      <c r="C638" s="19" t="s">
        <v>3524</v>
      </c>
      <c r="D638" s="19" t="s">
        <v>2867</v>
      </c>
    </row>
    <row r="639" spans="1:4" ht="15.5" x14ac:dyDescent="0.35">
      <c r="A639" s="1" t="s">
        <v>1733</v>
      </c>
      <c r="B639" s="19" t="s">
        <v>2402</v>
      </c>
      <c r="C639" s="19" t="s">
        <v>3525</v>
      </c>
      <c r="D639" s="19" t="s">
        <v>2638</v>
      </c>
    </row>
    <row r="640" spans="1:4" ht="15.5" x14ac:dyDescent="0.35">
      <c r="A640" s="1" t="s">
        <v>1732</v>
      </c>
      <c r="B640" s="19" t="s">
        <v>2399</v>
      </c>
      <c r="C640" s="19" t="s">
        <v>3526</v>
      </c>
      <c r="D640" s="19" t="s">
        <v>3527</v>
      </c>
    </row>
    <row r="641" spans="1:4" ht="15.5" x14ac:dyDescent="0.35">
      <c r="A641" s="1" t="s">
        <v>1731</v>
      </c>
      <c r="B641" s="19" t="s">
        <v>3277</v>
      </c>
      <c r="C641" s="19" t="s">
        <v>2406</v>
      </c>
      <c r="D641" s="19" t="s">
        <v>3528</v>
      </c>
    </row>
    <row r="642" spans="1:4" ht="15.5" x14ac:dyDescent="0.35">
      <c r="A642" s="1" t="s">
        <v>1730</v>
      </c>
      <c r="B642" s="19" t="s">
        <v>2402</v>
      </c>
      <c r="C642" s="19" t="s">
        <v>3529</v>
      </c>
      <c r="D642" s="19" t="s">
        <v>3530</v>
      </c>
    </row>
    <row r="643" spans="1:4" ht="15.5" x14ac:dyDescent="0.35">
      <c r="A643" s="1" t="s">
        <v>1729</v>
      </c>
      <c r="B643" s="19" t="s">
        <v>2399</v>
      </c>
      <c r="C643" s="19" t="s">
        <v>2523</v>
      </c>
      <c r="D643" s="19" t="s">
        <v>3531</v>
      </c>
    </row>
    <row r="644" spans="1:4" ht="15.5" x14ac:dyDescent="0.35">
      <c r="A644" s="1" t="s">
        <v>1728</v>
      </c>
      <c r="B644" s="19" t="s">
        <v>2402</v>
      </c>
      <c r="C644" s="19" t="s">
        <v>3532</v>
      </c>
      <c r="D644" s="19" t="s">
        <v>2413</v>
      </c>
    </row>
    <row r="645" spans="1:4" ht="15.5" x14ac:dyDescent="0.35">
      <c r="A645" s="1" t="s">
        <v>1727</v>
      </c>
      <c r="B645" s="19" t="s">
        <v>2402</v>
      </c>
      <c r="C645" s="19" t="s">
        <v>3533</v>
      </c>
      <c r="D645" s="19" t="s">
        <v>3534</v>
      </c>
    </row>
    <row r="646" spans="1:4" ht="15.5" x14ac:dyDescent="0.35">
      <c r="A646" s="1" t="s">
        <v>1726</v>
      </c>
      <c r="B646" s="19" t="s">
        <v>2399</v>
      </c>
      <c r="C646" s="19" t="s">
        <v>3535</v>
      </c>
      <c r="D646" s="19" t="s">
        <v>3132</v>
      </c>
    </row>
    <row r="647" spans="1:4" ht="15.5" x14ac:dyDescent="0.35">
      <c r="A647" s="1" t="s">
        <v>1725</v>
      </c>
      <c r="B647" s="19" t="s">
        <v>2399</v>
      </c>
      <c r="C647" s="19" t="s">
        <v>3536</v>
      </c>
      <c r="D647" s="19" t="s">
        <v>3537</v>
      </c>
    </row>
    <row r="648" spans="1:4" ht="15.5" x14ac:dyDescent="0.35">
      <c r="A648" s="1" t="s">
        <v>1724</v>
      </c>
      <c r="B648" s="19" t="s">
        <v>2399</v>
      </c>
      <c r="C648" s="19" t="s">
        <v>3538</v>
      </c>
      <c r="D648" s="19" t="s">
        <v>3539</v>
      </c>
    </row>
    <row r="649" spans="1:4" ht="15.5" x14ac:dyDescent="0.35">
      <c r="A649" s="1" t="s">
        <v>1723</v>
      </c>
      <c r="B649" s="19" t="s">
        <v>2402</v>
      </c>
      <c r="C649" s="19" t="s">
        <v>3540</v>
      </c>
      <c r="D649" s="19" t="s">
        <v>3541</v>
      </c>
    </row>
    <row r="650" spans="1:4" ht="15.5" x14ac:dyDescent="0.35">
      <c r="A650" s="1" t="s">
        <v>1722</v>
      </c>
      <c r="B650" s="19" t="s">
        <v>2402</v>
      </c>
      <c r="C650" s="19" t="s">
        <v>3542</v>
      </c>
      <c r="D650" s="19" t="s">
        <v>3134</v>
      </c>
    </row>
    <row r="651" spans="1:4" ht="15.5" x14ac:dyDescent="0.35">
      <c r="A651" s="1" t="s">
        <v>1721</v>
      </c>
      <c r="B651" s="19" t="s">
        <v>2399</v>
      </c>
      <c r="C651" s="19" t="s">
        <v>3543</v>
      </c>
      <c r="D651" s="19" t="s">
        <v>3544</v>
      </c>
    </row>
    <row r="652" spans="1:4" ht="15.5" x14ac:dyDescent="0.35">
      <c r="A652" s="1" t="s">
        <v>1720</v>
      </c>
      <c r="B652" s="19" t="s">
        <v>2402</v>
      </c>
      <c r="C652" s="19" t="s">
        <v>3545</v>
      </c>
      <c r="D652" s="19" t="s">
        <v>2423</v>
      </c>
    </row>
    <row r="653" spans="1:4" ht="15.5" x14ac:dyDescent="0.35">
      <c r="A653" s="1" t="s">
        <v>1719</v>
      </c>
      <c r="B653" s="19" t="s">
        <v>2399</v>
      </c>
      <c r="C653" s="19" t="s">
        <v>3546</v>
      </c>
      <c r="D653" s="19" t="s">
        <v>3547</v>
      </c>
    </row>
    <row r="654" spans="1:4" ht="15.5" x14ac:dyDescent="0.35">
      <c r="A654" s="1" t="s">
        <v>1718</v>
      </c>
      <c r="B654" s="19" t="s">
        <v>2402</v>
      </c>
      <c r="C654" s="19" t="s">
        <v>3548</v>
      </c>
      <c r="D654" s="19" t="s">
        <v>3549</v>
      </c>
    </row>
    <row r="655" spans="1:4" ht="15.5" x14ac:dyDescent="0.35">
      <c r="A655" s="1" t="s">
        <v>1717</v>
      </c>
      <c r="B655" s="19" t="s">
        <v>2402</v>
      </c>
      <c r="C655" s="19" t="s">
        <v>3550</v>
      </c>
      <c r="D655" s="19" t="s">
        <v>2585</v>
      </c>
    </row>
    <row r="656" spans="1:4" ht="15.5" x14ac:dyDescent="0.35">
      <c r="A656" s="1" t="s">
        <v>1716</v>
      </c>
      <c r="B656" s="19" t="s">
        <v>2402</v>
      </c>
      <c r="C656" s="19" t="s">
        <v>3551</v>
      </c>
      <c r="D656" s="19" t="s">
        <v>3552</v>
      </c>
    </row>
    <row r="657" spans="1:4" ht="15.5" x14ac:dyDescent="0.35">
      <c r="A657" s="1" t="s">
        <v>1715</v>
      </c>
      <c r="B657" s="19" t="s">
        <v>2402</v>
      </c>
      <c r="C657" s="19" t="s">
        <v>3553</v>
      </c>
      <c r="D657" s="19" t="s">
        <v>3554</v>
      </c>
    </row>
    <row r="658" spans="1:4" ht="15.5" x14ac:dyDescent="0.35">
      <c r="A658" s="1" t="s">
        <v>1714</v>
      </c>
      <c r="B658" s="19" t="s">
        <v>2399</v>
      </c>
      <c r="C658" s="19" t="s">
        <v>3555</v>
      </c>
      <c r="D658" s="19" t="s">
        <v>3556</v>
      </c>
    </row>
    <row r="659" spans="1:4" ht="15.5" x14ac:dyDescent="0.35">
      <c r="A659" s="1" t="s">
        <v>1713</v>
      </c>
      <c r="B659" s="19" t="s">
        <v>2399</v>
      </c>
      <c r="C659" s="19" t="s">
        <v>3557</v>
      </c>
      <c r="D659" s="19" t="s">
        <v>3558</v>
      </c>
    </row>
    <row r="660" spans="1:4" ht="15.5" x14ac:dyDescent="0.35">
      <c r="A660" s="1" t="s">
        <v>1712</v>
      </c>
      <c r="B660" s="19" t="s">
        <v>2399</v>
      </c>
      <c r="C660" s="19" t="s">
        <v>3559</v>
      </c>
      <c r="D660" s="19" t="s">
        <v>3560</v>
      </c>
    </row>
    <row r="661" spans="1:4" ht="15.5" x14ac:dyDescent="0.35">
      <c r="A661" s="1" t="s">
        <v>1711</v>
      </c>
      <c r="B661" s="19" t="s">
        <v>2399</v>
      </c>
      <c r="C661" s="19" t="s">
        <v>3561</v>
      </c>
      <c r="D661" s="19" t="s">
        <v>3562</v>
      </c>
    </row>
    <row r="662" spans="1:4" ht="15.5" x14ac:dyDescent="0.35">
      <c r="A662" s="1" t="s">
        <v>1710</v>
      </c>
      <c r="B662" s="19" t="s">
        <v>2402</v>
      </c>
      <c r="C662" s="19" t="s">
        <v>3563</v>
      </c>
      <c r="D662" s="19" t="s">
        <v>3564</v>
      </c>
    </row>
    <row r="663" spans="1:4" ht="15.5" x14ac:dyDescent="0.35">
      <c r="A663" s="1" t="s">
        <v>1709</v>
      </c>
      <c r="B663" s="19" t="s">
        <v>2402</v>
      </c>
      <c r="C663" s="19" t="s">
        <v>3565</v>
      </c>
      <c r="D663" s="19" t="s">
        <v>3566</v>
      </c>
    </row>
    <row r="664" spans="1:4" ht="15.5" x14ac:dyDescent="0.35">
      <c r="A664" s="1" t="s">
        <v>1708</v>
      </c>
      <c r="B664" s="19" t="s">
        <v>2402</v>
      </c>
      <c r="C664" s="19" t="s">
        <v>3567</v>
      </c>
      <c r="D664" s="19" t="s">
        <v>3568</v>
      </c>
    </row>
    <row r="665" spans="1:4" ht="15.5" x14ac:dyDescent="0.35">
      <c r="A665" s="1" t="s">
        <v>1707</v>
      </c>
      <c r="B665" s="19" t="s">
        <v>2399</v>
      </c>
      <c r="C665" s="19" t="s">
        <v>3569</v>
      </c>
      <c r="D665" s="19" t="s">
        <v>3570</v>
      </c>
    </row>
    <row r="666" spans="1:4" ht="15.5" x14ac:dyDescent="0.35">
      <c r="A666" s="1" t="s">
        <v>1706</v>
      </c>
      <c r="B666" s="19" t="s">
        <v>2399</v>
      </c>
      <c r="C666" s="19" t="s">
        <v>3571</v>
      </c>
      <c r="D666" s="19" t="s">
        <v>3572</v>
      </c>
    </row>
    <row r="667" spans="1:4" ht="15.5" x14ac:dyDescent="0.35">
      <c r="A667" s="1" t="s">
        <v>1705</v>
      </c>
      <c r="B667" s="19" t="s">
        <v>2402</v>
      </c>
      <c r="C667" s="19" t="s">
        <v>3573</v>
      </c>
      <c r="D667" s="19" t="s">
        <v>3574</v>
      </c>
    </row>
    <row r="668" spans="1:4" ht="15.5" x14ac:dyDescent="0.35">
      <c r="A668" s="1" t="s">
        <v>1704</v>
      </c>
      <c r="B668" s="19" t="s">
        <v>3277</v>
      </c>
      <c r="C668" s="19" t="s">
        <v>3575</v>
      </c>
      <c r="D668" s="19" t="s">
        <v>3395</v>
      </c>
    </row>
    <row r="669" spans="1:4" ht="15.5" x14ac:dyDescent="0.35">
      <c r="A669" s="1" t="s">
        <v>1703</v>
      </c>
      <c r="B669" s="19" t="s">
        <v>3277</v>
      </c>
      <c r="C669" s="19" t="s">
        <v>3576</v>
      </c>
      <c r="D669" s="19" t="s">
        <v>3577</v>
      </c>
    </row>
    <row r="670" spans="1:4" ht="15.5" x14ac:dyDescent="0.35">
      <c r="A670" s="1" t="s">
        <v>1702</v>
      </c>
      <c r="B670" s="19" t="s">
        <v>2402</v>
      </c>
      <c r="C670" s="19" t="s">
        <v>3578</v>
      </c>
      <c r="D670" s="19" t="s">
        <v>2754</v>
      </c>
    </row>
    <row r="671" spans="1:4" ht="15.5" x14ac:dyDescent="0.35">
      <c r="A671" s="1" t="s">
        <v>1701</v>
      </c>
      <c r="B671" s="19" t="s">
        <v>3277</v>
      </c>
      <c r="C671" s="19" t="s">
        <v>3073</v>
      </c>
      <c r="D671" s="19" t="s">
        <v>2555</v>
      </c>
    </row>
    <row r="672" spans="1:4" ht="15.5" x14ac:dyDescent="0.35">
      <c r="A672" s="1" t="s">
        <v>1700</v>
      </c>
      <c r="B672" s="19" t="s">
        <v>2402</v>
      </c>
      <c r="C672" s="19" t="s">
        <v>3579</v>
      </c>
      <c r="D672" s="19" t="s">
        <v>3580</v>
      </c>
    </row>
    <row r="673" spans="1:4" ht="15.5" x14ac:dyDescent="0.35">
      <c r="A673" s="1" t="s">
        <v>1699</v>
      </c>
      <c r="B673" s="19" t="s">
        <v>2399</v>
      </c>
      <c r="C673" s="19" t="s">
        <v>3581</v>
      </c>
      <c r="D673" s="19" t="s">
        <v>3582</v>
      </c>
    </row>
    <row r="674" spans="1:4" ht="15.5" x14ac:dyDescent="0.35">
      <c r="A674" s="1" t="s">
        <v>1698</v>
      </c>
      <c r="B674" s="19" t="s">
        <v>2399</v>
      </c>
      <c r="C674" s="19" t="s">
        <v>3583</v>
      </c>
      <c r="D674" s="19" t="s">
        <v>3584</v>
      </c>
    </row>
    <row r="675" spans="1:4" ht="15.5" x14ac:dyDescent="0.35">
      <c r="A675" s="1" t="s">
        <v>1697</v>
      </c>
      <c r="B675" s="19" t="s">
        <v>2399</v>
      </c>
      <c r="C675" s="19" t="s">
        <v>3585</v>
      </c>
      <c r="D675" s="19" t="s">
        <v>3586</v>
      </c>
    </row>
    <row r="676" spans="1:4" ht="15.5" x14ac:dyDescent="0.35">
      <c r="A676" s="1" t="s">
        <v>1696</v>
      </c>
      <c r="B676" s="19" t="s">
        <v>2399</v>
      </c>
      <c r="C676" s="19" t="s">
        <v>3587</v>
      </c>
      <c r="D676" s="19" t="s">
        <v>3588</v>
      </c>
    </row>
    <row r="677" spans="1:4" ht="15.5" x14ac:dyDescent="0.35">
      <c r="A677" s="1" t="s">
        <v>1695</v>
      </c>
      <c r="B677" s="19" t="s">
        <v>2399</v>
      </c>
      <c r="C677" s="19" t="s">
        <v>3589</v>
      </c>
      <c r="D677" s="19" t="s">
        <v>3590</v>
      </c>
    </row>
    <row r="678" spans="1:4" ht="15.5" x14ac:dyDescent="0.35">
      <c r="A678" s="1" t="s">
        <v>1694</v>
      </c>
      <c r="B678" s="19" t="s">
        <v>3277</v>
      </c>
      <c r="C678" s="19" t="s">
        <v>3591</v>
      </c>
      <c r="D678" s="19" t="s">
        <v>3592</v>
      </c>
    </row>
    <row r="679" spans="1:4" ht="15.5" x14ac:dyDescent="0.35">
      <c r="A679" s="1" t="s">
        <v>1693</v>
      </c>
      <c r="B679" s="19" t="s">
        <v>2399</v>
      </c>
      <c r="C679" s="19" t="s">
        <v>3593</v>
      </c>
      <c r="D679" s="19" t="s">
        <v>3594</v>
      </c>
    </row>
    <row r="680" spans="1:4" ht="15.5" x14ac:dyDescent="0.35">
      <c r="A680" s="1" t="s">
        <v>1692</v>
      </c>
      <c r="B680" s="19" t="s">
        <v>2402</v>
      </c>
      <c r="C680" s="19" t="s">
        <v>3595</v>
      </c>
      <c r="D680" s="19" t="s">
        <v>3596</v>
      </c>
    </row>
    <row r="681" spans="1:4" ht="15.5" x14ac:dyDescent="0.35">
      <c r="A681" s="1" t="s">
        <v>1691</v>
      </c>
      <c r="B681" s="19" t="s">
        <v>2402</v>
      </c>
      <c r="C681" s="19" t="s">
        <v>3597</v>
      </c>
      <c r="D681" s="19" t="s">
        <v>3129</v>
      </c>
    </row>
    <row r="682" spans="1:4" ht="15.5" x14ac:dyDescent="0.35">
      <c r="A682" s="1" t="s">
        <v>1690</v>
      </c>
      <c r="B682" s="19" t="s">
        <v>2399</v>
      </c>
      <c r="C682" s="19" t="s">
        <v>3598</v>
      </c>
      <c r="D682" s="19" t="s">
        <v>3599</v>
      </c>
    </row>
    <row r="683" spans="1:4" ht="15.5" x14ac:dyDescent="0.35">
      <c r="A683" s="1" t="s">
        <v>1689</v>
      </c>
      <c r="B683" s="19" t="s">
        <v>3277</v>
      </c>
      <c r="C683" s="19" t="s">
        <v>3600</v>
      </c>
      <c r="D683" s="19" t="s">
        <v>3601</v>
      </c>
    </row>
    <row r="684" spans="1:4" ht="15.5" x14ac:dyDescent="0.35">
      <c r="A684" s="1" t="s">
        <v>1688</v>
      </c>
      <c r="B684" s="19" t="s">
        <v>2399</v>
      </c>
      <c r="C684" s="19" t="s">
        <v>3602</v>
      </c>
      <c r="D684" s="19" t="s">
        <v>2589</v>
      </c>
    </row>
    <row r="685" spans="1:4" ht="15.5" x14ac:dyDescent="0.35">
      <c r="A685" s="1" t="s">
        <v>1687</v>
      </c>
      <c r="B685" s="19" t="s">
        <v>2399</v>
      </c>
      <c r="C685" s="19" t="s">
        <v>3603</v>
      </c>
      <c r="D685" s="19" t="s">
        <v>3604</v>
      </c>
    </row>
    <row r="686" spans="1:4" ht="15.5" x14ac:dyDescent="0.35">
      <c r="A686" s="1" t="s">
        <v>1686</v>
      </c>
      <c r="B686" s="19" t="s">
        <v>2402</v>
      </c>
      <c r="C686" s="19" t="s">
        <v>3605</v>
      </c>
      <c r="D686" s="19" t="s">
        <v>3606</v>
      </c>
    </row>
    <row r="687" spans="1:4" ht="15.5" x14ac:dyDescent="0.35">
      <c r="A687" s="1" t="s">
        <v>1685</v>
      </c>
      <c r="B687" s="19" t="s">
        <v>2402</v>
      </c>
      <c r="C687" s="19" t="s">
        <v>3607</v>
      </c>
      <c r="D687" s="19" t="s">
        <v>3608</v>
      </c>
    </row>
    <row r="688" spans="1:4" ht="15.5" x14ac:dyDescent="0.35">
      <c r="A688" s="1" t="s">
        <v>1684</v>
      </c>
      <c r="B688" s="19" t="s">
        <v>2399</v>
      </c>
      <c r="C688" s="19" t="s">
        <v>3609</v>
      </c>
      <c r="D688" s="19" t="s">
        <v>3610</v>
      </c>
    </row>
    <row r="689" spans="1:4" ht="15.5" x14ac:dyDescent="0.35">
      <c r="A689" s="1" t="s">
        <v>1683</v>
      </c>
      <c r="B689" s="19" t="s">
        <v>2399</v>
      </c>
      <c r="C689" s="19" t="s">
        <v>3611</v>
      </c>
      <c r="D689" s="19" t="s">
        <v>3612</v>
      </c>
    </row>
    <row r="690" spans="1:4" ht="15.5" x14ac:dyDescent="0.35">
      <c r="A690" s="1" t="s">
        <v>1682</v>
      </c>
      <c r="B690" s="19" t="s">
        <v>2399</v>
      </c>
      <c r="C690" s="19" t="s">
        <v>3613</v>
      </c>
      <c r="D690" s="19" t="s">
        <v>3614</v>
      </c>
    </row>
    <row r="691" spans="1:4" ht="15.5" x14ac:dyDescent="0.35">
      <c r="A691" s="1" t="s">
        <v>1681</v>
      </c>
      <c r="B691" s="19" t="s">
        <v>2399</v>
      </c>
      <c r="C691" s="19" t="s">
        <v>3615</v>
      </c>
      <c r="D691" s="19" t="s">
        <v>3616</v>
      </c>
    </row>
    <row r="692" spans="1:4" ht="15.5" x14ac:dyDescent="0.35">
      <c r="A692" s="1" t="s">
        <v>1680</v>
      </c>
      <c r="B692" s="19" t="s">
        <v>2399</v>
      </c>
      <c r="C692" s="19" t="s">
        <v>3617</v>
      </c>
      <c r="D692" s="19" t="s">
        <v>3618</v>
      </c>
    </row>
    <row r="693" spans="1:4" ht="15.5" x14ac:dyDescent="0.35">
      <c r="A693" s="1" t="s">
        <v>1679</v>
      </c>
      <c r="B693" s="19" t="s">
        <v>2402</v>
      </c>
      <c r="C693" s="19" t="s">
        <v>3619</v>
      </c>
      <c r="D693" s="19" t="s">
        <v>3620</v>
      </c>
    </row>
    <row r="694" spans="1:4" ht="15.5" x14ac:dyDescent="0.35">
      <c r="A694" s="1" t="s">
        <v>1678</v>
      </c>
      <c r="B694" s="19" t="s">
        <v>3277</v>
      </c>
      <c r="C694" s="19" t="s">
        <v>3621</v>
      </c>
      <c r="D694" s="19" t="s">
        <v>3622</v>
      </c>
    </row>
    <row r="695" spans="1:4" ht="15.5" x14ac:dyDescent="0.35">
      <c r="A695" s="1" t="s">
        <v>1677</v>
      </c>
      <c r="B695" s="19" t="s">
        <v>2399</v>
      </c>
      <c r="C695" s="19" t="s">
        <v>3623</v>
      </c>
      <c r="D695" s="19" t="s">
        <v>3624</v>
      </c>
    </row>
    <row r="696" spans="1:4" ht="15.5" x14ac:dyDescent="0.35">
      <c r="A696" s="1" t="s">
        <v>1676</v>
      </c>
      <c r="B696" s="19" t="s">
        <v>2402</v>
      </c>
      <c r="C696" s="19" t="s">
        <v>3625</v>
      </c>
      <c r="D696" s="19" t="s">
        <v>3626</v>
      </c>
    </row>
    <row r="697" spans="1:4" ht="15.5" x14ac:dyDescent="0.35">
      <c r="A697" s="1" t="s">
        <v>1675</v>
      </c>
      <c r="B697" s="19" t="s">
        <v>2402</v>
      </c>
      <c r="C697" s="19" t="s">
        <v>3627</v>
      </c>
      <c r="D697" s="19" t="s">
        <v>3628</v>
      </c>
    </row>
    <row r="698" spans="1:4" ht="15.5" x14ac:dyDescent="0.35">
      <c r="A698" s="1" t="s">
        <v>1674</v>
      </c>
      <c r="B698" s="19" t="s">
        <v>2402</v>
      </c>
      <c r="C698" s="19" t="s">
        <v>3629</v>
      </c>
      <c r="D698" s="19" t="s">
        <v>3630</v>
      </c>
    </row>
    <row r="699" spans="1:4" ht="15.5" x14ac:dyDescent="0.35">
      <c r="A699" s="1" t="s">
        <v>1673</v>
      </c>
      <c r="B699" s="19" t="s">
        <v>2399</v>
      </c>
      <c r="C699" s="19" t="s">
        <v>3631</v>
      </c>
      <c r="D699" s="19" t="s">
        <v>2561</v>
      </c>
    </row>
    <row r="700" spans="1:4" ht="15.5" x14ac:dyDescent="0.35">
      <c r="A700" s="1" t="s">
        <v>1672</v>
      </c>
      <c r="B700" s="19" t="s">
        <v>2399</v>
      </c>
      <c r="C700" s="19" t="s">
        <v>3632</v>
      </c>
      <c r="D700" s="19" t="s">
        <v>3633</v>
      </c>
    </row>
    <row r="701" spans="1:4" ht="15.5" x14ac:dyDescent="0.35">
      <c r="A701" s="1" t="s">
        <v>1671</v>
      </c>
      <c r="B701" s="19" t="s">
        <v>2402</v>
      </c>
      <c r="C701" s="19" t="s">
        <v>3634</v>
      </c>
      <c r="D701" s="19" t="s">
        <v>3635</v>
      </c>
    </row>
    <row r="702" spans="1:4" ht="15.5" x14ac:dyDescent="0.35">
      <c r="A702" s="1" t="s">
        <v>1670</v>
      </c>
      <c r="B702" s="19" t="s">
        <v>3277</v>
      </c>
      <c r="C702" s="19" t="s">
        <v>3636</v>
      </c>
      <c r="D702" s="19" t="s">
        <v>3637</v>
      </c>
    </row>
    <row r="703" spans="1:4" ht="15.5" x14ac:dyDescent="0.35">
      <c r="A703" s="1" t="s">
        <v>1669</v>
      </c>
      <c r="B703" s="19" t="s">
        <v>2402</v>
      </c>
      <c r="C703" s="19" t="s">
        <v>3638</v>
      </c>
      <c r="D703" s="19" t="s">
        <v>3639</v>
      </c>
    </row>
    <row r="704" spans="1:4" ht="15.5" x14ac:dyDescent="0.35">
      <c r="A704" s="1" t="s">
        <v>1668</v>
      </c>
      <c r="B704" s="19" t="s">
        <v>2402</v>
      </c>
      <c r="C704" s="19" t="s">
        <v>3640</v>
      </c>
      <c r="D704" s="19" t="s">
        <v>3641</v>
      </c>
    </row>
    <row r="705" spans="1:4" ht="15.5" x14ac:dyDescent="0.35">
      <c r="A705" s="1" t="s">
        <v>1667</v>
      </c>
      <c r="B705" s="19" t="s">
        <v>2399</v>
      </c>
      <c r="C705" s="19" t="s">
        <v>3642</v>
      </c>
      <c r="D705" s="19" t="s">
        <v>2549</v>
      </c>
    </row>
    <row r="706" spans="1:4" ht="15.5" x14ac:dyDescent="0.35">
      <c r="A706" s="1" t="s">
        <v>1666</v>
      </c>
      <c r="B706" s="19" t="s">
        <v>2399</v>
      </c>
      <c r="C706" s="19" t="s">
        <v>3643</v>
      </c>
      <c r="D706" s="19" t="s">
        <v>3644</v>
      </c>
    </row>
    <row r="707" spans="1:4" ht="15.5" x14ac:dyDescent="0.35">
      <c r="A707" s="1" t="s">
        <v>1665</v>
      </c>
      <c r="B707" s="19" t="s">
        <v>2402</v>
      </c>
      <c r="C707" s="19" t="s">
        <v>3645</v>
      </c>
      <c r="D707" s="19" t="s">
        <v>3646</v>
      </c>
    </row>
    <row r="708" spans="1:4" ht="15.5" x14ac:dyDescent="0.35">
      <c r="A708" s="1" t="s">
        <v>1664</v>
      </c>
      <c r="B708" s="19" t="s">
        <v>2399</v>
      </c>
      <c r="C708" s="19" t="s">
        <v>3647</v>
      </c>
      <c r="D708" s="19" t="s">
        <v>3175</v>
      </c>
    </row>
    <row r="709" spans="1:4" ht="15.5" x14ac:dyDescent="0.35">
      <c r="A709" s="1" t="s">
        <v>1663</v>
      </c>
      <c r="B709" s="19" t="s">
        <v>3277</v>
      </c>
      <c r="C709" s="19" t="s">
        <v>3269</v>
      </c>
      <c r="D709" s="19" t="s">
        <v>3347</v>
      </c>
    </row>
    <row r="710" spans="1:4" ht="15.5" x14ac:dyDescent="0.35">
      <c r="A710" s="1" t="s">
        <v>1662</v>
      </c>
      <c r="B710" s="19" t="s">
        <v>3277</v>
      </c>
      <c r="C710" s="19" t="s">
        <v>3648</v>
      </c>
      <c r="D710" s="19" t="s">
        <v>3649</v>
      </c>
    </row>
    <row r="711" spans="1:4" ht="15.5" x14ac:dyDescent="0.35">
      <c r="A711" s="1" t="s">
        <v>1661</v>
      </c>
      <c r="B711" s="19" t="s">
        <v>2399</v>
      </c>
      <c r="C711" s="19" t="s">
        <v>3650</v>
      </c>
      <c r="D711" s="19" t="s">
        <v>3651</v>
      </c>
    </row>
    <row r="712" spans="1:4" ht="15.5" x14ac:dyDescent="0.35">
      <c r="A712" s="1" t="s">
        <v>1660</v>
      </c>
      <c r="B712" s="19" t="s">
        <v>2399</v>
      </c>
      <c r="C712" s="19" t="s">
        <v>3652</v>
      </c>
      <c r="D712" s="19" t="s">
        <v>3653</v>
      </c>
    </row>
    <row r="713" spans="1:4" ht="15.5" x14ac:dyDescent="0.35">
      <c r="A713" s="1" t="s">
        <v>1659</v>
      </c>
      <c r="B713" s="19" t="s">
        <v>2399</v>
      </c>
      <c r="C713" s="19" t="s">
        <v>3654</v>
      </c>
      <c r="D713" s="19" t="s">
        <v>3655</v>
      </c>
    </row>
    <row r="714" spans="1:4" ht="15.5" x14ac:dyDescent="0.35">
      <c r="A714" s="1" t="s">
        <v>1658</v>
      </c>
      <c r="B714" s="19" t="s">
        <v>2402</v>
      </c>
      <c r="C714" s="19" t="s">
        <v>3656</v>
      </c>
      <c r="D714" s="19" t="s">
        <v>3657</v>
      </c>
    </row>
    <row r="715" spans="1:4" ht="15.5" x14ac:dyDescent="0.35">
      <c r="A715" s="1" t="s">
        <v>1657</v>
      </c>
      <c r="B715" s="19" t="s">
        <v>3277</v>
      </c>
      <c r="C715" s="19" t="s">
        <v>3658</v>
      </c>
      <c r="D715" s="19" t="s">
        <v>2871</v>
      </c>
    </row>
    <row r="716" spans="1:4" ht="15.5" x14ac:dyDescent="0.35">
      <c r="A716" s="1" t="s">
        <v>1656</v>
      </c>
      <c r="B716" s="19" t="s">
        <v>3277</v>
      </c>
      <c r="C716" s="19" t="s">
        <v>2523</v>
      </c>
      <c r="D716" s="19" t="s">
        <v>3659</v>
      </c>
    </row>
    <row r="717" spans="1:4" ht="15.5" x14ac:dyDescent="0.35">
      <c r="A717" s="1" t="s">
        <v>1655</v>
      </c>
      <c r="B717" s="19" t="s">
        <v>2399</v>
      </c>
      <c r="C717" s="19" t="s">
        <v>3660</v>
      </c>
      <c r="D717" s="19" t="s">
        <v>3661</v>
      </c>
    </row>
    <row r="718" spans="1:4" ht="15.5" x14ac:dyDescent="0.35">
      <c r="A718" s="1" t="s">
        <v>1654</v>
      </c>
      <c r="B718" s="19" t="s">
        <v>2399</v>
      </c>
      <c r="C718" s="19" t="s">
        <v>3662</v>
      </c>
      <c r="D718" s="19" t="s">
        <v>3663</v>
      </c>
    </row>
    <row r="719" spans="1:4" ht="15.5" x14ac:dyDescent="0.35">
      <c r="A719" s="1" t="s">
        <v>1653</v>
      </c>
      <c r="B719" s="19" t="s">
        <v>2402</v>
      </c>
      <c r="C719" s="19" t="s">
        <v>3664</v>
      </c>
      <c r="D719" s="19" t="s">
        <v>3665</v>
      </c>
    </row>
    <row r="720" spans="1:4" ht="15.5" x14ac:dyDescent="0.35">
      <c r="A720" s="1" t="s">
        <v>1652</v>
      </c>
      <c r="B720" s="19" t="s">
        <v>2402</v>
      </c>
      <c r="C720" s="19" t="s">
        <v>3666</v>
      </c>
      <c r="D720" s="19" t="s">
        <v>3667</v>
      </c>
    </row>
    <row r="721" spans="1:5" ht="15.5" x14ac:dyDescent="0.35">
      <c r="A721" s="1" t="s">
        <v>1651</v>
      </c>
      <c r="B721" s="19" t="s">
        <v>2402</v>
      </c>
      <c r="C721" s="19" t="s">
        <v>3668</v>
      </c>
      <c r="D721" s="19" t="s">
        <v>3669</v>
      </c>
    </row>
    <row r="722" spans="1:5" ht="15.5" x14ac:dyDescent="0.35">
      <c r="A722" s="1" t="s">
        <v>1650</v>
      </c>
      <c r="B722" s="19" t="s">
        <v>2399</v>
      </c>
      <c r="C722" s="19" t="s">
        <v>3670</v>
      </c>
      <c r="D722" s="19" t="s">
        <v>2458</v>
      </c>
    </row>
    <row r="723" spans="1:5" ht="15.5" x14ac:dyDescent="0.35">
      <c r="A723" s="1" t="s">
        <v>1649</v>
      </c>
      <c r="B723" s="19" t="s">
        <v>2399</v>
      </c>
      <c r="C723" s="19" t="s">
        <v>3671</v>
      </c>
      <c r="D723" s="19" t="s">
        <v>3152</v>
      </c>
    </row>
    <row r="724" spans="1:5" ht="15.5" x14ac:dyDescent="0.35">
      <c r="A724" s="1" t="s">
        <v>1648</v>
      </c>
      <c r="B724" s="19" t="s">
        <v>2399</v>
      </c>
      <c r="C724" s="19" t="s">
        <v>3672</v>
      </c>
      <c r="D724" s="19" t="s">
        <v>3673</v>
      </c>
    </row>
    <row r="725" spans="1:5" ht="15.5" x14ac:dyDescent="0.35">
      <c r="A725" s="1" t="s">
        <v>1647</v>
      </c>
      <c r="B725" s="19" t="s">
        <v>3277</v>
      </c>
      <c r="C725" s="19" t="s">
        <v>3674</v>
      </c>
      <c r="D725" s="19" t="s">
        <v>3286</v>
      </c>
    </row>
    <row r="726" spans="1:5" ht="15.5" x14ac:dyDescent="0.35">
      <c r="A726" s="1" t="s">
        <v>1646</v>
      </c>
      <c r="B726" s="19" t="s">
        <v>2402</v>
      </c>
      <c r="C726" s="19" t="s">
        <v>3675</v>
      </c>
      <c r="D726" s="19" t="s">
        <v>3676</v>
      </c>
      <c r="E726" t="s">
        <v>3677</v>
      </c>
    </row>
    <row r="727" spans="1:5" ht="15.5" x14ac:dyDescent="0.35">
      <c r="A727" s="1" t="s">
        <v>1645</v>
      </c>
      <c r="B727" s="19" t="s">
        <v>2402</v>
      </c>
      <c r="C727" s="19" t="s">
        <v>2572</v>
      </c>
      <c r="D727" s="19" t="s">
        <v>2914</v>
      </c>
    </row>
    <row r="728" spans="1:5" ht="15.5" x14ac:dyDescent="0.35">
      <c r="A728" s="1" t="s">
        <v>1644</v>
      </c>
      <c r="B728" s="19" t="s">
        <v>2402</v>
      </c>
      <c r="C728" s="19" t="s">
        <v>3678</v>
      </c>
      <c r="D728" s="19" t="s">
        <v>2439</v>
      </c>
    </row>
    <row r="729" spans="1:5" ht="15.5" x14ac:dyDescent="0.35">
      <c r="A729" s="1" t="s">
        <v>1643</v>
      </c>
      <c r="B729" s="19" t="s">
        <v>2402</v>
      </c>
      <c r="C729" s="19" t="s">
        <v>3679</v>
      </c>
      <c r="D729" s="19" t="s">
        <v>3680</v>
      </c>
    </row>
    <row r="730" spans="1:5" ht="15.5" x14ac:dyDescent="0.35">
      <c r="A730" s="1" t="s">
        <v>1642</v>
      </c>
      <c r="B730" s="19" t="s">
        <v>2402</v>
      </c>
      <c r="C730" s="19" t="s">
        <v>3666</v>
      </c>
      <c r="D730" s="19" t="s">
        <v>3681</v>
      </c>
    </row>
    <row r="731" spans="1:5" ht="15.5" x14ac:dyDescent="0.35">
      <c r="A731" s="1" t="s">
        <v>1641</v>
      </c>
      <c r="B731" s="19" t="s">
        <v>2399</v>
      </c>
      <c r="C731" s="19" t="s">
        <v>3682</v>
      </c>
      <c r="D731" s="19" t="s">
        <v>3683</v>
      </c>
    </row>
    <row r="732" spans="1:5" ht="15.5" x14ac:dyDescent="0.35">
      <c r="A732" s="1" t="s">
        <v>1640</v>
      </c>
      <c r="B732" s="19" t="s">
        <v>2399</v>
      </c>
      <c r="C732" s="19" t="s">
        <v>3684</v>
      </c>
      <c r="D732" s="19" t="s">
        <v>2744</v>
      </c>
    </row>
    <row r="733" spans="1:5" ht="15.5" x14ac:dyDescent="0.35">
      <c r="A733" s="1" t="s">
        <v>1639</v>
      </c>
      <c r="B733" s="19" t="s">
        <v>2402</v>
      </c>
      <c r="C733" s="19" t="s">
        <v>3685</v>
      </c>
      <c r="D733" s="19" t="s">
        <v>3686</v>
      </c>
    </row>
    <row r="734" spans="1:5" ht="15.5" x14ac:dyDescent="0.35">
      <c r="A734" s="1" t="s">
        <v>1638</v>
      </c>
      <c r="B734" s="19" t="s">
        <v>2399</v>
      </c>
      <c r="C734" s="19" t="s">
        <v>3687</v>
      </c>
      <c r="D734" s="19" t="s">
        <v>3688</v>
      </c>
    </row>
    <row r="735" spans="1:5" ht="15.5" x14ac:dyDescent="0.35">
      <c r="A735" s="1" t="s">
        <v>1637</v>
      </c>
      <c r="B735" s="19" t="s">
        <v>2399</v>
      </c>
      <c r="C735" s="19" t="s">
        <v>2529</v>
      </c>
      <c r="D735" s="19" t="s">
        <v>3689</v>
      </c>
    </row>
    <row r="736" spans="1:5" ht="15.5" x14ac:dyDescent="0.35">
      <c r="A736" s="1" t="s">
        <v>1636</v>
      </c>
      <c r="B736" s="19" t="s">
        <v>2399</v>
      </c>
      <c r="C736" s="19" t="s">
        <v>3690</v>
      </c>
      <c r="D736" s="19" t="s">
        <v>3691</v>
      </c>
    </row>
    <row r="737" spans="1:4" ht="15.5" x14ac:dyDescent="0.35">
      <c r="A737" s="1" t="s">
        <v>1635</v>
      </c>
      <c r="B737" s="19" t="s">
        <v>2399</v>
      </c>
      <c r="C737" s="19" t="s">
        <v>3692</v>
      </c>
      <c r="D737" s="19" t="s">
        <v>3693</v>
      </c>
    </row>
    <row r="738" spans="1:4" ht="15.5" x14ac:dyDescent="0.35">
      <c r="A738" s="1" t="s">
        <v>1634</v>
      </c>
      <c r="B738" s="19" t="s">
        <v>2402</v>
      </c>
      <c r="C738" s="19" t="s">
        <v>3694</v>
      </c>
      <c r="D738" s="19" t="s">
        <v>2962</v>
      </c>
    </row>
    <row r="739" spans="1:4" ht="15.5" x14ac:dyDescent="0.35">
      <c r="A739" s="1" t="s">
        <v>1633</v>
      </c>
      <c r="B739" s="19" t="s">
        <v>2402</v>
      </c>
      <c r="C739" s="19" t="s">
        <v>3695</v>
      </c>
      <c r="D739" s="19" t="s">
        <v>3696</v>
      </c>
    </row>
    <row r="740" spans="1:4" ht="15.5" x14ac:dyDescent="0.35">
      <c r="A740" s="1" t="s">
        <v>1632</v>
      </c>
      <c r="B740" s="19" t="s">
        <v>2402</v>
      </c>
      <c r="C740" s="19" t="s">
        <v>3697</v>
      </c>
      <c r="D740" s="19" t="s">
        <v>3698</v>
      </c>
    </row>
    <row r="741" spans="1:4" ht="15.5" x14ac:dyDescent="0.35">
      <c r="A741" s="1" t="s">
        <v>1631</v>
      </c>
      <c r="B741" s="19" t="s">
        <v>3277</v>
      </c>
      <c r="C741" s="19" t="s">
        <v>3699</v>
      </c>
      <c r="D741" s="19" t="s">
        <v>3700</v>
      </c>
    </row>
    <row r="742" spans="1:4" ht="15.5" x14ac:dyDescent="0.35">
      <c r="A742" s="1" t="s">
        <v>1630</v>
      </c>
      <c r="B742" s="19" t="s">
        <v>2402</v>
      </c>
      <c r="C742" s="19" t="s">
        <v>3701</v>
      </c>
      <c r="D742" s="19" t="s">
        <v>2827</v>
      </c>
    </row>
    <row r="743" spans="1:4" ht="15.5" x14ac:dyDescent="0.35">
      <c r="A743" s="1" t="s">
        <v>1629</v>
      </c>
      <c r="B743" s="19" t="s">
        <v>2402</v>
      </c>
      <c r="C743" s="19" t="s">
        <v>3702</v>
      </c>
      <c r="D743" s="19" t="s">
        <v>3703</v>
      </c>
    </row>
    <row r="744" spans="1:4" ht="15.5" x14ac:dyDescent="0.35">
      <c r="A744" s="1" t="s">
        <v>1628</v>
      </c>
      <c r="B744" s="19" t="s">
        <v>3277</v>
      </c>
      <c r="C744" s="19" t="s">
        <v>3704</v>
      </c>
      <c r="D744" s="19" t="s">
        <v>3221</v>
      </c>
    </row>
    <row r="745" spans="1:4" ht="15.5" x14ac:dyDescent="0.35">
      <c r="A745" s="1" t="s">
        <v>1627</v>
      </c>
      <c r="B745" s="19" t="s">
        <v>3277</v>
      </c>
      <c r="C745" s="19" t="s">
        <v>2442</v>
      </c>
      <c r="D745" s="19" t="s">
        <v>3705</v>
      </c>
    </row>
    <row r="746" spans="1:4" ht="15.5" x14ac:dyDescent="0.35">
      <c r="A746" s="1" t="s">
        <v>1626</v>
      </c>
      <c r="B746" s="19" t="s">
        <v>2399</v>
      </c>
      <c r="C746" s="19" t="s">
        <v>3706</v>
      </c>
      <c r="D746" s="19" t="s">
        <v>3707</v>
      </c>
    </row>
    <row r="747" spans="1:4" ht="15.5" x14ac:dyDescent="0.35">
      <c r="A747" s="1" t="s">
        <v>1625</v>
      </c>
      <c r="B747" s="19" t="s">
        <v>2402</v>
      </c>
      <c r="C747" s="19" t="s">
        <v>3708</v>
      </c>
      <c r="D747" s="19" t="s">
        <v>3709</v>
      </c>
    </row>
    <row r="748" spans="1:4" ht="15.5" x14ac:dyDescent="0.35">
      <c r="A748" s="1" t="s">
        <v>1624</v>
      </c>
      <c r="B748" s="19" t="s">
        <v>3277</v>
      </c>
      <c r="C748" s="19" t="s">
        <v>3710</v>
      </c>
      <c r="D748" s="19" t="s">
        <v>3711</v>
      </c>
    </row>
    <row r="749" spans="1:4" ht="15.5" x14ac:dyDescent="0.35">
      <c r="A749" s="1" t="s">
        <v>1623</v>
      </c>
      <c r="B749" s="19" t="s">
        <v>2402</v>
      </c>
      <c r="C749" s="19" t="s">
        <v>3712</v>
      </c>
      <c r="D749" s="19" t="s">
        <v>2827</v>
      </c>
    </row>
    <row r="750" spans="1:4" ht="15.5" x14ac:dyDescent="0.35">
      <c r="A750" s="1" t="s">
        <v>1622</v>
      </c>
      <c r="B750" s="19" t="s">
        <v>2402</v>
      </c>
      <c r="C750" s="19" t="s">
        <v>3713</v>
      </c>
      <c r="D750" s="19" t="s">
        <v>2528</v>
      </c>
    </row>
    <row r="751" spans="1:4" ht="15.5" x14ac:dyDescent="0.35">
      <c r="A751" s="1" t="s">
        <v>1621</v>
      </c>
      <c r="B751" s="19" t="s">
        <v>2399</v>
      </c>
      <c r="C751" s="19" t="s">
        <v>3714</v>
      </c>
      <c r="D751" s="19" t="s">
        <v>2526</v>
      </c>
    </row>
    <row r="752" spans="1:4" ht="15.5" x14ac:dyDescent="0.35">
      <c r="A752" s="1" t="s">
        <v>1620</v>
      </c>
      <c r="B752" s="19" t="s">
        <v>2402</v>
      </c>
      <c r="C752" s="19" t="s">
        <v>3715</v>
      </c>
      <c r="D752" s="19" t="s">
        <v>2563</v>
      </c>
    </row>
    <row r="753" spans="1:4" ht="15.5" x14ac:dyDescent="0.35">
      <c r="A753" s="1" t="s">
        <v>1619</v>
      </c>
      <c r="B753" s="19" t="s">
        <v>2399</v>
      </c>
      <c r="C753" s="19" t="s">
        <v>3716</v>
      </c>
      <c r="D753" s="19" t="s">
        <v>3717</v>
      </c>
    </row>
    <row r="754" spans="1:4" ht="15.5" x14ac:dyDescent="0.35">
      <c r="A754" s="1" t="s">
        <v>1618</v>
      </c>
      <c r="B754" s="19" t="s">
        <v>2399</v>
      </c>
      <c r="C754" s="19" t="s">
        <v>3718</v>
      </c>
      <c r="D754" s="19" t="s">
        <v>3719</v>
      </c>
    </row>
    <row r="755" spans="1:4" ht="15.5" x14ac:dyDescent="0.35">
      <c r="A755" s="1" t="s">
        <v>1617</v>
      </c>
      <c r="B755" s="19" t="s">
        <v>2399</v>
      </c>
      <c r="C755" s="19" t="s">
        <v>3720</v>
      </c>
      <c r="D755" s="19" t="s">
        <v>3721</v>
      </c>
    </row>
    <row r="756" spans="1:4" ht="15.5" x14ac:dyDescent="0.35">
      <c r="A756" s="1" t="s">
        <v>1616</v>
      </c>
      <c r="B756" s="19" t="s">
        <v>3277</v>
      </c>
      <c r="C756" s="19" t="s">
        <v>3722</v>
      </c>
      <c r="D756" s="19" t="s">
        <v>3723</v>
      </c>
    </row>
    <row r="757" spans="1:4" ht="15.5" x14ac:dyDescent="0.35">
      <c r="A757" s="1" t="s">
        <v>1615</v>
      </c>
      <c r="B757" s="19" t="s">
        <v>2402</v>
      </c>
      <c r="C757" s="19" t="s">
        <v>3724</v>
      </c>
      <c r="D757" s="19" t="s">
        <v>3725</v>
      </c>
    </row>
    <row r="758" spans="1:4" ht="15.5" x14ac:dyDescent="0.35">
      <c r="A758" s="1" t="s">
        <v>1614</v>
      </c>
      <c r="B758" s="19" t="s">
        <v>2402</v>
      </c>
      <c r="C758" s="19" t="s">
        <v>3726</v>
      </c>
      <c r="D758" s="19" t="s">
        <v>3727</v>
      </c>
    </row>
    <row r="759" spans="1:4" ht="15.5" x14ac:dyDescent="0.35">
      <c r="A759" s="1" t="s">
        <v>1613</v>
      </c>
      <c r="B759" s="19" t="s">
        <v>2402</v>
      </c>
      <c r="C759" s="19" t="s">
        <v>3728</v>
      </c>
      <c r="D759" s="19" t="s">
        <v>2735</v>
      </c>
    </row>
    <row r="760" spans="1:4" ht="15.5" x14ac:dyDescent="0.35">
      <c r="A760" s="1" t="s">
        <v>1612</v>
      </c>
      <c r="B760" s="19" t="s">
        <v>2402</v>
      </c>
      <c r="C760" s="19" t="s">
        <v>3729</v>
      </c>
      <c r="D760" s="19" t="s">
        <v>3730</v>
      </c>
    </row>
    <row r="761" spans="1:4" ht="15.5" x14ac:dyDescent="0.35">
      <c r="A761" s="1" t="s">
        <v>1611</v>
      </c>
      <c r="B761" s="19" t="s">
        <v>2399</v>
      </c>
      <c r="C761" s="19" t="s">
        <v>3731</v>
      </c>
      <c r="D761" s="19" t="s">
        <v>3732</v>
      </c>
    </row>
    <row r="762" spans="1:4" ht="15.5" x14ac:dyDescent="0.35">
      <c r="A762" s="1" t="s">
        <v>1610</v>
      </c>
      <c r="B762" s="19" t="s">
        <v>2399</v>
      </c>
      <c r="C762" s="19" t="s">
        <v>3733</v>
      </c>
      <c r="D762" s="19" t="s">
        <v>3286</v>
      </c>
    </row>
    <row r="763" spans="1:4" ht="15.5" x14ac:dyDescent="0.35">
      <c r="A763" s="1" t="s">
        <v>1609</v>
      </c>
      <c r="B763" s="19" t="s">
        <v>2402</v>
      </c>
      <c r="C763" s="19" t="s">
        <v>3734</v>
      </c>
      <c r="D763" s="19" t="s">
        <v>2889</v>
      </c>
    </row>
    <row r="764" spans="1:4" ht="15.5" x14ac:dyDescent="0.35">
      <c r="A764" s="1" t="s">
        <v>1608</v>
      </c>
      <c r="B764" s="19" t="s">
        <v>2399</v>
      </c>
      <c r="C764" s="19" t="s">
        <v>3735</v>
      </c>
      <c r="D764" s="19" t="s">
        <v>2466</v>
      </c>
    </row>
    <row r="765" spans="1:4" ht="15.5" x14ac:dyDescent="0.35">
      <c r="A765" s="1" t="s">
        <v>1607</v>
      </c>
      <c r="B765" s="19" t="s">
        <v>2399</v>
      </c>
      <c r="C765" s="19" t="s">
        <v>3736</v>
      </c>
      <c r="D765" s="19" t="s">
        <v>3737</v>
      </c>
    </row>
    <row r="766" spans="1:4" ht="15.5" x14ac:dyDescent="0.35">
      <c r="A766" s="1" t="s">
        <v>1606</v>
      </c>
      <c r="B766" s="19" t="s">
        <v>2399</v>
      </c>
      <c r="C766" s="19" t="s">
        <v>3738</v>
      </c>
      <c r="D766" s="19" t="s">
        <v>3739</v>
      </c>
    </row>
    <row r="767" spans="1:4" ht="15.5" x14ac:dyDescent="0.35">
      <c r="A767" s="1" t="s">
        <v>1605</v>
      </c>
      <c r="B767" s="19" t="s">
        <v>2399</v>
      </c>
      <c r="C767" s="19" t="s">
        <v>3740</v>
      </c>
      <c r="D767" s="19" t="s">
        <v>3741</v>
      </c>
    </row>
    <row r="768" spans="1:4" ht="15.5" x14ac:dyDescent="0.35">
      <c r="A768" s="1" t="s">
        <v>1604</v>
      </c>
      <c r="B768" s="19" t="s">
        <v>2399</v>
      </c>
      <c r="C768" s="19" t="s">
        <v>3742</v>
      </c>
      <c r="D768" s="19" t="s">
        <v>3743</v>
      </c>
    </row>
    <row r="769" spans="1:4" ht="15.5" x14ac:dyDescent="0.35">
      <c r="A769" s="1" t="s">
        <v>1603</v>
      </c>
      <c r="B769" s="19" t="s">
        <v>2399</v>
      </c>
      <c r="C769" s="19" t="s">
        <v>3744</v>
      </c>
      <c r="D769" s="19" t="s">
        <v>3745</v>
      </c>
    </row>
    <row r="770" spans="1:4" ht="15.5" x14ac:dyDescent="0.35">
      <c r="A770" s="1" t="s">
        <v>1602</v>
      </c>
      <c r="B770" s="19" t="s">
        <v>2399</v>
      </c>
      <c r="C770" s="19" t="s">
        <v>3746</v>
      </c>
      <c r="D770" s="19" t="s">
        <v>2967</v>
      </c>
    </row>
    <row r="771" spans="1:4" ht="15.5" x14ac:dyDescent="0.35">
      <c r="A771" s="1" t="s">
        <v>1601</v>
      </c>
      <c r="B771" s="19" t="s">
        <v>2399</v>
      </c>
      <c r="C771" s="19" t="s">
        <v>3747</v>
      </c>
      <c r="D771" s="19" t="s">
        <v>3748</v>
      </c>
    </row>
    <row r="772" spans="1:4" ht="15.5" x14ac:dyDescent="0.35">
      <c r="A772" s="1" t="s">
        <v>1600</v>
      </c>
      <c r="B772" s="19" t="s">
        <v>2402</v>
      </c>
      <c r="C772" s="19" t="s">
        <v>3749</v>
      </c>
      <c r="D772" s="19" t="s">
        <v>2403</v>
      </c>
    </row>
    <row r="773" spans="1:4" ht="15.5" x14ac:dyDescent="0.35">
      <c r="A773" s="1" t="s">
        <v>1599</v>
      </c>
      <c r="B773" s="19" t="s">
        <v>2402</v>
      </c>
      <c r="C773" s="19" t="s">
        <v>3750</v>
      </c>
      <c r="D773" s="19" t="s">
        <v>2696</v>
      </c>
    </row>
    <row r="774" spans="1:4" ht="15.5" x14ac:dyDescent="0.35">
      <c r="A774" s="1" t="s">
        <v>1598</v>
      </c>
      <c r="B774" s="19" t="s">
        <v>2402</v>
      </c>
      <c r="C774" s="19" t="s">
        <v>3751</v>
      </c>
      <c r="D774" s="19" t="s">
        <v>2715</v>
      </c>
    </row>
    <row r="775" spans="1:4" ht="15.5" x14ac:dyDescent="0.35">
      <c r="A775" s="1" t="s">
        <v>1597</v>
      </c>
      <c r="B775" s="19" t="s">
        <v>2402</v>
      </c>
      <c r="C775" s="19" t="s">
        <v>3752</v>
      </c>
      <c r="D775" s="19" t="s">
        <v>2827</v>
      </c>
    </row>
    <row r="776" spans="1:4" ht="15.5" x14ac:dyDescent="0.35">
      <c r="A776" s="1" t="s">
        <v>1596</v>
      </c>
      <c r="B776" s="19" t="s">
        <v>2402</v>
      </c>
      <c r="C776" s="19" t="s">
        <v>3753</v>
      </c>
      <c r="D776" s="19" t="s">
        <v>3754</v>
      </c>
    </row>
    <row r="777" spans="1:4" ht="15.5" x14ac:dyDescent="0.35">
      <c r="A777" s="1" t="s">
        <v>1595</v>
      </c>
      <c r="B777" s="19" t="s">
        <v>3277</v>
      </c>
      <c r="C777" s="19" t="s">
        <v>3755</v>
      </c>
      <c r="D777" s="19" t="s">
        <v>3756</v>
      </c>
    </row>
    <row r="778" spans="1:4" ht="15.5" x14ac:dyDescent="0.35">
      <c r="A778" s="1" t="s">
        <v>1594</v>
      </c>
      <c r="B778" s="19" t="s">
        <v>3277</v>
      </c>
      <c r="C778" s="19" t="s">
        <v>2533</v>
      </c>
      <c r="D778" s="19" t="s">
        <v>3757</v>
      </c>
    </row>
    <row r="779" spans="1:4" ht="15.5" x14ac:dyDescent="0.35">
      <c r="A779" s="1" t="s">
        <v>1593</v>
      </c>
      <c r="B779" s="19" t="s">
        <v>2399</v>
      </c>
      <c r="C779" s="19" t="s">
        <v>3758</v>
      </c>
      <c r="D779" s="19" t="s">
        <v>3759</v>
      </c>
    </row>
    <row r="780" spans="1:4" ht="15.5" x14ac:dyDescent="0.35">
      <c r="A780" s="1" t="s">
        <v>1592</v>
      </c>
      <c r="B780" s="19" t="s">
        <v>2402</v>
      </c>
      <c r="C780" s="19" t="s">
        <v>3760</v>
      </c>
      <c r="D780" s="19" t="s">
        <v>2792</v>
      </c>
    </row>
    <row r="781" spans="1:4" ht="15.5" x14ac:dyDescent="0.35">
      <c r="A781" s="1" t="s">
        <v>1591</v>
      </c>
      <c r="B781" s="19" t="s">
        <v>2399</v>
      </c>
      <c r="C781" s="19" t="s">
        <v>3761</v>
      </c>
      <c r="D781" s="19" t="s">
        <v>3175</v>
      </c>
    </row>
    <row r="782" spans="1:4" ht="15.5" x14ac:dyDescent="0.35">
      <c r="A782" s="1" t="s">
        <v>1590</v>
      </c>
      <c r="B782" s="19" t="s">
        <v>2402</v>
      </c>
      <c r="C782" s="19" t="s">
        <v>3762</v>
      </c>
      <c r="D782" s="19" t="s">
        <v>3763</v>
      </c>
    </row>
    <row r="783" spans="1:4" ht="15.5" x14ac:dyDescent="0.35">
      <c r="A783" s="1" t="s">
        <v>1589</v>
      </c>
      <c r="B783" s="19" t="s">
        <v>2399</v>
      </c>
      <c r="C783" s="19" t="s">
        <v>3575</v>
      </c>
      <c r="D783" s="19" t="s">
        <v>3764</v>
      </c>
    </row>
    <row r="784" spans="1:4" ht="15.5" x14ac:dyDescent="0.35">
      <c r="A784" s="1" t="s">
        <v>1588</v>
      </c>
      <c r="B784" s="19" t="s">
        <v>2399</v>
      </c>
      <c r="C784" s="19" t="s">
        <v>3765</v>
      </c>
      <c r="D784" s="19" t="s">
        <v>3766</v>
      </c>
    </row>
    <row r="785" spans="1:4" ht="15.5" x14ac:dyDescent="0.35">
      <c r="A785" s="1" t="s">
        <v>1587</v>
      </c>
      <c r="B785" s="19" t="s">
        <v>2399</v>
      </c>
      <c r="C785" s="19" t="s">
        <v>3767</v>
      </c>
      <c r="D785" s="19" t="s">
        <v>3768</v>
      </c>
    </row>
    <row r="786" spans="1:4" ht="15.5" x14ac:dyDescent="0.35">
      <c r="A786" s="1" t="s">
        <v>1586</v>
      </c>
      <c r="B786" s="19" t="s">
        <v>2399</v>
      </c>
      <c r="C786" s="19" t="s">
        <v>3769</v>
      </c>
      <c r="D786" s="19" t="s">
        <v>3770</v>
      </c>
    </row>
    <row r="787" spans="1:4" ht="15.5" x14ac:dyDescent="0.35">
      <c r="A787" s="1" t="s">
        <v>1585</v>
      </c>
      <c r="B787" s="19" t="s">
        <v>2399</v>
      </c>
      <c r="C787" s="19" t="s">
        <v>3771</v>
      </c>
      <c r="D787" s="19" t="s">
        <v>3772</v>
      </c>
    </row>
    <row r="788" spans="1:4" ht="15.5" x14ac:dyDescent="0.35">
      <c r="A788" s="1" t="s">
        <v>1584</v>
      </c>
      <c r="B788" s="19" t="s">
        <v>2399</v>
      </c>
      <c r="C788" s="19" t="s">
        <v>3773</v>
      </c>
      <c r="D788" s="19" t="s">
        <v>3774</v>
      </c>
    </row>
    <row r="789" spans="1:4" ht="15.5" x14ac:dyDescent="0.35">
      <c r="A789" s="1" t="s">
        <v>1583</v>
      </c>
      <c r="B789" s="19" t="s">
        <v>2402</v>
      </c>
      <c r="C789" s="19" t="s">
        <v>2477</v>
      </c>
      <c r="D789" s="19" t="s">
        <v>3775</v>
      </c>
    </row>
    <row r="790" spans="1:4" ht="15.5" x14ac:dyDescent="0.35">
      <c r="A790" s="1" t="s">
        <v>1582</v>
      </c>
      <c r="B790" s="19" t="s">
        <v>2402</v>
      </c>
      <c r="C790" s="19" t="s">
        <v>3776</v>
      </c>
      <c r="D790" s="19" t="s">
        <v>3777</v>
      </c>
    </row>
    <row r="791" spans="1:4" ht="15.5" x14ac:dyDescent="0.35">
      <c r="A791" s="1" t="s">
        <v>1581</v>
      </c>
      <c r="B791" s="19" t="s">
        <v>2402</v>
      </c>
      <c r="C791" s="19" t="s">
        <v>3778</v>
      </c>
      <c r="D791" s="19" t="s">
        <v>3779</v>
      </c>
    </row>
    <row r="792" spans="1:4" ht="15.5" x14ac:dyDescent="0.35">
      <c r="A792" s="1" t="s">
        <v>1580</v>
      </c>
      <c r="B792" s="19" t="s">
        <v>2399</v>
      </c>
      <c r="C792" s="19" t="s">
        <v>3780</v>
      </c>
      <c r="D792" s="19" t="s">
        <v>2587</v>
      </c>
    </row>
    <row r="793" spans="1:4" ht="15.5" x14ac:dyDescent="0.35">
      <c r="A793" s="1" t="s">
        <v>1579</v>
      </c>
      <c r="B793" s="19" t="s">
        <v>2399</v>
      </c>
      <c r="C793" s="19" t="s">
        <v>3781</v>
      </c>
      <c r="D793" s="19" t="s">
        <v>3782</v>
      </c>
    </row>
    <row r="794" spans="1:4" ht="15.5" x14ac:dyDescent="0.35">
      <c r="A794" s="1" t="s">
        <v>1578</v>
      </c>
      <c r="B794" s="19" t="s">
        <v>3277</v>
      </c>
      <c r="C794" s="19" t="s">
        <v>3783</v>
      </c>
      <c r="D794" s="19" t="s">
        <v>3784</v>
      </c>
    </row>
    <row r="795" spans="1:4" ht="15.5" x14ac:dyDescent="0.35">
      <c r="A795" s="1" t="s">
        <v>1577</v>
      </c>
      <c r="B795" s="19" t="s">
        <v>2402</v>
      </c>
      <c r="C795" s="19" t="s">
        <v>3785</v>
      </c>
      <c r="D795" s="19" t="s">
        <v>3786</v>
      </c>
    </row>
    <row r="796" spans="1:4" ht="15.5" x14ac:dyDescent="0.35">
      <c r="A796" s="1" t="s">
        <v>1576</v>
      </c>
      <c r="B796" s="19" t="s">
        <v>2399</v>
      </c>
      <c r="C796" s="19" t="s">
        <v>3787</v>
      </c>
      <c r="D796" s="19" t="s">
        <v>2763</v>
      </c>
    </row>
    <row r="797" spans="1:4" ht="15.5" x14ac:dyDescent="0.35">
      <c r="A797" s="1" t="s">
        <v>1575</v>
      </c>
      <c r="B797" s="19" t="s">
        <v>3277</v>
      </c>
      <c r="C797" s="19" t="s">
        <v>3788</v>
      </c>
      <c r="D797" s="19" t="s">
        <v>3789</v>
      </c>
    </row>
    <row r="798" spans="1:4" ht="15.5" x14ac:dyDescent="0.35">
      <c r="A798" s="1" t="s">
        <v>1574</v>
      </c>
      <c r="B798" s="19" t="s">
        <v>2399</v>
      </c>
      <c r="C798" s="19" t="s">
        <v>3790</v>
      </c>
      <c r="D798" s="19" t="s">
        <v>3791</v>
      </c>
    </row>
    <row r="799" spans="1:4" ht="15.5" x14ac:dyDescent="0.35">
      <c r="A799" s="1" t="s">
        <v>1573</v>
      </c>
      <c r="B799" s="19" t="s">
        <v>3277</v>
      </c>
      <c r="C799" s="19" t="s">
        <v>3792</v>
      </c>
      <c r="D799" s="19" t="s">
        <v>3793</v>
      </c>
    </row>
    <row r="800" spans="1:4" ht="15.5" x14ac:dyDescent="0.35">
      <c r="A800" s="1" t="s">
        <v>1572</v>
      </c>
      <c r="B800" s="19" t="s">
        <v>2399</v>
      </c>
      <c r="C800" s="19" t="s">
        <v>3285</v>
      </c>
      <c r="D800" s="19" t="s">
        <v>3794</v>
      </c>
    </row>
    <row r="801" spans="1:4" ht="15.5" x14ac:dyDescent="0.35">
      <c r="A801" s="1" t="s">
        <v>1571</v>
      </c>
      <c r="B801" s="19" t="s">
        <v>2399</v>
      </c>
      <c r="C801" s="19" t="s">
        <v>3795</v>
      </c>
      <c r="D801" s="19" t="s">
        <v>3136</v>
      </c>
    </row>
    <row r="802" spans="1:4" ht="15.5" x14ac:dyDescent="0.35">
      <c r="A802" s="1" t="s">
        <v>1570</v>
      </c>
      <c r="B802" s="19" t="s">
        <v>2399</v>
      </c>
      <c r="C802" s="19" t="s">
        <v>3796</v>
      </c>
      <c r="D802" s="19" t="s">
        <v>3797</v>
      </c>
    </row>
    <row r="803" spans="1:4" ht="15.5" x14ac:dyDescent="0.35">
      <c r="A803" s="1" t="s">
        <v>1569</v>
      </c>
      <c r="B803" s="19" t="s">
        <v>3277</v>
      </c>
      <c r="C803" s="19" t="s">
        <v>3798</v>
      </c>
      <c r="D803" s="19" t="s">
        <v>3799</v>
      </c>
    </row>
    <row r="804" spans="1:4" ht="15.5" x14ac:dyDescent="0.35">
      <c r="A804" s="1" t="s">
        <v>1568</v>
      </c>
      <c r="B804" s="19" t="s">
        <v>2399</v>
      </c>
      <c r="C804" s="19" t="s">
        <v>2909</v>
      </c>
      <c r="D804" s="19" t="s">
        <v>3210</v>
      </c>
    </row>
    <row r="805" spans="1:4" ht="15.5" x14ac:dyDescent="0.35">
      <c r="A805" s="1" t="s">
        <v>1567</v>
      </c>
      <c r="B805" s="19" t="s">
        <v>2399</v>
      </c>
      <c r="C805" s="19" t="s">
        <v>3800</v>
      </c>
      <c r="D805" s="19" t="s">
        <v>3210</v>
      </c>
    </row>
    <row r="806" spans="1:4" ht="15.5" x14ac:dyDescent="0.35">
      <c r="A806" s="1" t="s">
        <v>1566</v>
      </c>
      <c r="B806" s="19" t="s">
        <v>2402</v>
      </c>
      <c r="C806" s="19" t="s">
        <v>3801</v>
      </c>
      <c r="D806" s="19" t="s">
        <v>3802</v>
      </c>
    </row>
    <row r="807" spans="1:4" ht="15.5" x14ac:dyDescent="0.35">
      <c r="A807" s="1" t="s">
        <v>1565</v>
      </c>
      <c r="B807" s="19" t="s">
        <v>2402</v>
      </c>
      <c r="C807" s="19" t="s">
        <v>3803</v>
      </c>
      <c r="D807" s="19" t="s">
        <v>2415</v>
      </c>
    </row>
    <row r="808" spans="1:4" ht="15.5" x14ac:dyDescent="0.35">
      <c r="A808" s="1" t="s">
        <v>1564</v>
      </c>
      <c r="B808" s="19" t="s">
        <v>2402</v>
      </c>
      <c r="C808" s="19" t="s">
        <v>3804</v>
      </c>
      <c r="D808" s="19" t="s">
        <v>3805</v>
      </c>
    </row>
    <row r="809" spans="1:4" ht="15.5" x14ac:dyDescent="0.35">
      <c r="A809" s="1" t="s">
        <v>1563</v>
      </c>
      <c r="B809" s="19" t="s">
        <v>2402</v>
      </c>
      <c r="C809" s="19" t="s">
        <v>3806</v>
      </c>
      <c r="D809" s="19" t="s">
        <v>3807</v>
      </c>
    </row>
    <row r="810" spans="1:4" ht="15.5" x14ac:dyDescent="0.35">
      <c r="A810" s="1" t="s">
        <v>1562</v>
      </c>
      <c r="B810" s="19" t="s">
        <v>3277</v>
      </c>
      <c r="C810" s="19" t="s">
        <v>3808</v>
      </c>
      <c r="D810" s="19" t="s">
        <v>3809</v>
      </c>
    </row>
    <row r="811" spans="1:4" ht="15.5" x14ac:dyDescent="0.35">
      <c r="A811" s="1" t="s">
        <v>1561</v>
      </c>
      <c r="B811" s="19" t="s">
        <v>2402</v>
      </c>
      <c r="C811" s="19" t="s">
        <v>3810</v>
      </c>
      <c r="D811" s="19" t="s">
        <v>3811</v>
      </c>
    </row>
    <row r="812" spans="1:4" ht="15.5" x14ac:dyDescent="0.35">
      <c r="A812" s="1" t="s">
        <v>1560</v>
      </c>
      <c r="B812" s="19" t="s">
        <v>2402</v>
      </c>
      <c r="C812" s="19" t="s">
        <v>3812</v>
      </c>
      <c r="D812" s="19" t="s">
        <v>2638</v>
      </c>
    </row>
    <row r="813" spans="1:4" ht="15.5" x14ac:dyDescent="0.35">
      <c r="A813" s="1" t="s">
        <v>1559</v>
      </c>
      <c r="B813" s="19" t="s">
        <v>2402</v>
      </c>
      <c r="C813" s="19" t="s">
        <v>3131</v>
      </c>
      <c r="D813" s="19" t="s">
        <v>3813</v>
      </c>
    </row>
    <row r="814" spans="1:4" ht="15.5" x14ac:dyDescent="0.35">
      <c r="A814" s="1" t="s">
        <v>1558</v>
      </c>
      <c r="B814" s="19" t="s">
        <v>2402</v>
      </c>
      <c r="C814" s="19" t="s">
        <v>3814</v>
      </c>
      <c r="D814" s="19" t="s">
        <v>3432</v>
      </c>
    </row>
    <row r="815" spans="1:4" ht="15.5" x14ac:dyDescent="0.35">
      <c r="A815" s="1" t="s">
        <v>1557</v>
      </c>
      <c r="B815" s="19" t="s">
        <v>2402</v>
      </c>
      <c r="C815" s="19" t="s">
        <v>3815</v>
      </c>
      <c r="D815" s="19" t="s">
        <v>3816</v>
      </c>
    </row>
    <row r="816" spans="1:4" ht="15.5" x14ac:dyDescent="0.35">
      <c r="A816" s="1" t="s">
        <v>1556</v>
      </c>
      <c r="B816" s="19" t="s">
        <v>2402</v>
      </c>
      <c r="C816" s="19" t="s">
        <v>3817</v>
      </c>
      <c r="D816" s="19" t="s">
        <v>3818</v>
      </c>
    </row>
    <row r="817" spans="1:4" ht="15.5" x14ac:dyDescent="0.35">
      <c r="A817" s="1" t="s">
        <v>1555</v>
      </c>
      <c r="B817" s="19" t="s">
        <v>2402</v>
      </c>
      <c r="C817" s="19" t="s">
        <v>3819</v>
      </c>
      <c r="D817" s="19" t="s">
        <v>3820</v>
      </c>
    </row>
    <row r="818" spans="1:4" ht="15.5" x14ac:dyDescent="0.35">
      <c r="A818" s="1" t="s">
        <v>1554</v>
      </c>
      <c r="B818" s="19" t="s">
        <v>2402</v>
      </c>
      <c r="C818" s="19" t="s">
        <v>3821</v>
      </c>
      <c r="D818" s="19" t="s">
        <v>3822</v>
      </c>
    </row>
    <row r="819" spans="1:4" ht="15.5" x14ac:dyDescent="0.35">
      <c r="A819" s="1" t="s">
        <v>1553</v>
      </c>
      <c r="B819" s="19" t="s">
        <v>2402</v>
      </c>
      <c r="C819" s="19" t="s">
        <v>2966</v>
      </c>
      <c r="D819" s="19" t="s">
        <v>3121</v>
      </c>
    </row>
    <row r="820" spans="1:4" ht="15.5" x14ac:dyDescent="0.35">
      <c r="A820" s="1" t="s">
        <v>1552</v>
      </c>
      <c r="B820" s="19" t="s">
        <v>2402</v>
      </c>
      <c r="C820" s="19" t="s">
        <v>3823</v>
      </c>
      <c r="D820" s="19" t="s">
        <v>3824</v>
      </c>
    </row>
    <row r="821" spans="1:4" ht="15.5" x14ac:dyDescent="0.35">
      <c r="A821" s="1" t="s">
        <v>1551</v>
      </c>
      <c r="B821" s="19" t="s">
        <v>2399</v>
      </c>
      <c r="C821" s="19" t="s">
        <v>3825</v>
      </c>
      <c r="D821" s="19" t="s">
        <v>3448</v>
      </c>
    </row>
    <row r="822" spans="1:4" ht="15.5" x14ac:dyDescent="0.35">
      <c r="A822" s="1" t="s">
        <v>1550</v>
      </c>
      <c r="B822" s="19" t="s">
        <v>2402</v>
      </c>
      <c r="C822" s="19" t="s">
        <v>3826</v>
      </c>
      <c r="D822" s="19" t="s">
        <v>3827</v>
      </c>
    </row>
    <row r="823" spans="1:4" ht="15.5" x14ac:dyDescent="0.35">
      <c r="A823" s="1" t="s">
        <v>1549</v>
      </c>
      <c r="B823" s="19" t="s">
        <v>2402</v>
      </c>
      <c r="C823" s="19" t="s">
        <v>3828</v>
      </c>
      <c r="D823" s="19" t="s">
        <v>3829</v>
      </c>
    </row>
    <row r="824" spans="1:4" ht="15.5" x14ac:dyDescent="0.35">
      <c r="A824" s="1" t="s">
        <v>1548</v>
      </c>
      <c r="B824" s="19" t="s">
        <v>2402</v>
      </c>
      <c r="C824" s="19" t="s">
        <v>3830</v>
      </c>
      <c r="D824" s="19" t="s">
        <v>2478</v>
      </c>
    </row>
    <row r="825" spans="1:4" ht="15.5" x14ac:dyDescent="0.35">
      <c r="A825" s="1" t="s">
        <v>1547</v>
      </c>
      <c r="B825" s="19" t="s">
        <v>2402</v>
      </c>
      <c r="C825" s="19" t="s">
        <v>3615</v>
      </c>
      <c r="D825" s="19" t="s">
        <v>3831</v>
      </c>
    </row>
    <row r="826" spans="1:4" ht="15.5" x14ac:dyDescent="0.35">
      <c r="A826" s="1" t="s">
        <v>1546</v>
      </c>
      <c r="B826" s="19" t="s">
        <v>2402</v>
      </c>
      <c r="C826" s="19" t="s">
        <v>3832</v>
      </c>
      <c r="D826" s="19" t="s">
        <v>3833</v>
      </c>
    </row>
    <row r="827" spans="1:4" ht="15.5" x14ac:dyDescent="0.35">
      <c r="A827" s="1" t="s">
        <v>1545</v>
      </c>
      <c r="B827" s="19" t="s">
        <v>2399</v>
      </c>
      <c r="C827" s="19" t="s">
        <v>3834</v>
      </c>
      <c r="D827" s="19" t="s">
        <v>3835</v>
      </c>
    </row>
    <row r="828" spans="1:4" ht="15.5" x14ac:dyDescent="0.35">
      <c r="A828" s="1" t="s">
        <v>1544</v>
      </c>
      <c r="B828" s="19" t="s">
        <v>2399</v>
      </c>
      <c r="C828" s="19" t="s">
        <v>3836</v>
      </c>
      <c r="D828" s="19" t="s">
        <v>3837</v>
      </c>
    </row>
    <row r="829" spans="1:4" ht="15.5" x14ac:dyDescent="0.35">
      <c r="A829" s="1" t="s">
        <v>1543</v>
      </c>
      <c r="B829" s="19" t="s">
        <v>3277</v>
      </c>
      <c r="C829" s="19" t="s">
        <v>3285</v>
      </c>
      <c r="D829" s="19" t="s">
        <v>3838</v>
      </c>
    </row>
    <row r="830" spans="1:4" ht="15.5" x14ac:dyDescent="0.35">
      <c r="A830" s="1" t="s">
        <v>1542</v>
      </c>
      <c r="B830" s="19" t="s">
        <v>3277</v>
      </c>
      <c r="C830" s="19" t="s">
        <v>3314</v>
      </c>
      <c r="D830" s="19" t="s">
        <v>3839</v>
      </c>
    </row>
    <row r="831" spans="1:4" ht="15.5" x14ac:dyDescent="0.35">
      <c r="A831" s="1" t="s">
        <v>1541</v>
      </c>
      <c r="B831" s="19" t="s">
        <v>3277</v>
      </c>
      <c r="C831" s="19" t="s">
        <v>3840</v>
      </c>
      <c r="D831" s="19" t="s">
        <v>3841</v>
      </c>
    </row>
    <row r="832" spans="1:4" ht="15.5" x14ac:dyDescent="0.35">
      <c r="A832" s="1" t="s">
        <v>1540</v>
      </c>
      <c r="B832" s="19" t="s">
        <v>2402</v>
      </c>
      <c r="C832" s="19" t="s">
        <v>3842</v>
      </c>
      <c r="D832" s="19" t="s">
        <v>2696</v>
      </c>
    </row>
    <row r="833" spans="1:4" ht="15.5" x14ac:dyDescent="0.35">
      <c r="A833" s="1" t="s">
        <v>1539</v>
      </c>
      <c r="B833" s="19" t="s">
        <v>2402</v>
      </c>
      <c r="C833" s="19" t="s">
        <v>3843</v>
      </c>
      <c r="D833" s="19" t="s">
        <v>3844</v>
      </c>
    </row>
    <row r="834" spans="1:4" ht="15.5" x14ac:dyDescent="0.35">
      <c r="A834" s="1" t="s">
        <v>1538</v>
      </c>
      <c r="B834" s="19" t="s">
        <v>2402</v>
      </c>
      <c r="C834" s="19" t="s">
        <v>3845</v>
      </c>
      <c r="D834" s="19" t="s">
        <v>3846</v>
      </c>
    </row>
    <row r="835" spans="1:4" ht="15.5" x14ac:dyDescent="0.35">
      <c r="A835" s="1" t="s">
        <v>1537</v>
      </c>
      <c r="B835" s="19" t="s">
        <v>3277</v>
      </c>
      <c r="C835" s="19" t="s">
        <v>3847</v>
      </c>
      <c r="D835" s="19" t="s">
        <v>3610</v>
      </c>
    </row>
    <row r="836" spans="1:4" ht="15.5" x14ac:dyDescent="0.35">
      <c r="A836" s="1" t="s">
        <v>1536</v>
      </c>
      <c r="B836" s="19" t="s">
        <v>2399</v>
      </c>
      <c r="C836" s="19" t="s">
        <v>3848</v>
      </c>
      <c r="D836" s="19" t="s">
        <v>3849</v>
      </c>
    </row>
    <row r="837" spans="1:4" ht="15.5" x14ac:dyDescent="0.35">
      <c r="A837" s="1" t="s">
        <v>1535</v>
      </c>
      <c r="B837" s="19" t="s">
        <v>2399</v>
      </c>
      <c r="C837" s="19" t="s">
        <v>2815</v>
      </c>
      <c r="D837" s="19" t="s">
        <v>3850</v>
      </c>
    </row>
    <row r="838" spans="1:4" ht="15.5" x14ac:dyDescent="0.35">
      <c r="A838" s="1" t="s">
        <v>1534</v>
      </c>
      <c r="B838" s="19" t="s">
        <v>2399</v>
      </c>
      <c r="C838" s="19" t="s">
        <v>3851</v>
      </c>
      <c r="D838" s="19" t="s">
        <v>3852</v>
      </c>
    </row>
    <row r="839" spans="1:4" ht="15.5" x14ac:dyDescent="0.35">
      <c r="A839" s="1" t="s">
        <v>1533</v>
      </c>
      <c r="B839" s="19" t="s">
        <v>2402</v>
      </c>
      <c r="C839" s="19" t="s">
        <v>3512</v>
      </c>
      <c r="D839" s="19" t="s">
        <v>3404</v>
      </c>
    </row>
    <row r="840" spans="1:4" ht="15.5" x14ac:dyDescent="0.35">
      <c r="A840" s="1" t="s">
        <v>1532</v>
      </c>
      <c r="B840" s="19" t="s">
        <v>2399</v>
      </c>
      <c r="C840" s="19" t="s">
        <v>3853</v>
      </c>
      <c r="D840" s="19" t="s">
        <v>2835</v>
      </c>
    </row>
    <row r="841" spans="1:4" ht="15.5" x14ac:dyDescent="0.35">
      <c r="A841" s="1" t="s">
        <v>1531</v>
      </c>
      <c r="B841" s="19" t="s">
        <v>2399</v>
      </c>
      <c r="C841" s="19" t="s">
        <v>3854</v>
      </c>
      <c r="D841" s="19" t="s">
        <v>3855</v>
      </c>
    </row>
    <row r="842" spans="1:4" ht="15.5" x14ac:dyDescent="0.35">
      <c r="A842" s="1" t="s">
        <v>1530</v>
      </c>
      <c r="B842" s="19" t="s">
        <v>2399</v>
      </c>
      <c r="C842" s="19" t="s">
        <v>3856</v>
      </c>
      <c r="D842" s="19" t="s">
        <v>3857</v>
      </c>
    </row>
    <row r="843" spans="1:4" ht="15.5" x14ac:dyDescent="0.35">
      <c r="A843" s="1" t="s">
        <v>1529</v>
      </c>
      <c r="B843" s="19" t="s">
        <v>2399</v>
      </c>
      <c r="C843" s="19" t="s">
        <v>3858</v>
      </c>
      <c r="D843" s="19" t="s">
        <v>3756</v>
      </c>
    </row>
    <row r="844" spans="1:4" ht="15.5" x14ac:dyDescent="0.35">
      <c r="A844" s="1" t="s">
        <v>1528</v>
      </c>
      <c r="B844" s="19" t="s">
        <v>2399</v>
      </c>
      <c r="C844" s="19" t="s">
        <v>3859</v>
      </c>
      <c r="D844" s="19" t="s">
        <v>3860</v>
      </c>
    </row>
    <row r="845" spans="1:4" ht="15.5" x14ac:dyDescent="0.35">
      <c r="A845" s="1" t="s">
        <v>1527</v>
      </c>
      <c r="B845" s="19" t="s">
        <v>2399</v>
      </c>
      <c r="C845" s="19" t="s">
        <v>2677</v>
      </c>
      <c r="D845" s="19" t="s">
        <v>3338</v>
      </c>
    </row>
    <row r="846" spans="1:4" ht="15.5" x14ac:dyDescent="0.35">
      <c r="A846" s="1" t="s">
        <v>1526</v>
      </c>
      <c r="B846" s="19" t="s">
        <v>3277</v>
      </c>
      <c r="C846" s="19" t="s">
        <v>3861</v>
      </c>
      <c r="D846" s="19" t="s">
        <v>3862</v>
      </c>
    </row>
    <row r="847" spans="1:4" ht="15.5" x14ac:dyDescent="0.35">
      <c r="A847" s="1" t="s">
        <v>1525</v>
      </c>
      <c r="B847" s="19" t="s">
        <v>2399</v>
      </c>
      <c r="C847" s="19" t="s">
        <v>3863</v>
      </c>
      <c r="D847" s="19" t="s">
        <v>3864</v>
      </c>
    </row>
    <row r="848" spans="1:4" ht="15.5" x14ac:dyDescent="0.35">
      <c r="A848" s="1" t="s">
        <v>1524</v>
      </c>
      <c r="B848" s="19" t="s">
        <v>2399</v>
      </c>
      <c r="C848" s="19" t="s">
        <v>3865</v>
      </c>
      <c r="D848" s="19" t="s">
        <v>3866</v>
      </c>
    </row>
    <row r="849" spans="1:4" ht="15.5" x14ac:dyDescent="0.35">
      <c r="A849" s="1" t="s">
        <v>1523</v>
      </c>
      <c r="B849" s="19" t="s">
        <v>2399</v>
      </c>
      <c r="C849" s="19" t="s">
        <v>3867</v>
      </c>
      <c r="D849" s="19" t="s">
        <v>3868</v>
      </c>
    </row>
    <row r="850" spans="1:4" ht="15.5" x14ac:dyDescent="0.35">
      <c r="A850" s="1" t="s">
        <v>1522</v>
      </c>
      <c r="B850" s="19" t="s">
        <v>2402</v>
      </c>
      <c r="C850" s="19" t="s">
        <v>3869</v>
      </c>
      <c r="D850" s="19" t="s">
        <v>2500</v>
      </c>
    </row>
    <row r="851" spans="1:4" ht="15.5" x14ac:dyDescent="0.35">
      <c r="A851" s="1" t="s">
        <v>1521</v>
      </c>
      <c r="B851" s="19" t="s">
        <v>2402</v>
      </c>
      <c r="C851" s="19" t="s">
        <v>3870</v>
      </c>
      <c r="D851" s="19" t="s">
        <v>2485</v>
      </c>
    </row>
    <row r="852" spans="1:4" ht="15.5" x14ac:dyDescent="0.35">
      <c r="A852" s="1" t="s">
        <v>1520</v>
      </c>
      <c r="B852" s="19" t="s">
        <v>2399</v>
      </c>
      <c r="C852" s="19" t="s">
        <v>3871</v>
      </c>
      <c r="D852" s="19" t="s">
        <v>3872</v>
      </c>
    </row>
    <row r="853" spans="1:4" ht="15.5" x14ac:dyDescent="0.35">
      <c r="A853" s="1" t="s">
        <v>1519</v>
      </c>
      <c r="B853" s="19" t="s">
        <v>3277</v>
      </c>
      <c r="C853" s="19" t="s">
        <v>3873</v>
      </c>
      <c r="D853" s="19" t="s">
        <v>2756</v>
      </c>
    </row>
    <row r="854" spans="1:4" ht="15.5" x14ac:dyDescent="0.35">
      <c r="A854" s="1" t="s">
        <v>1518</v>
      </c>
      <c r="B854" s="19" t="s">
        <v>2402</v>
      </c>
      <c r="C854" s="19" t="s">
        <v>2736</v>
      </c>
      <c r="D854" s="19" t="s">
        <v>2553</v>
      </c>
    </row>
    <row r="855" spans="1:4" ht="15.5" x14ac:dyDescent="0.35">
      <c r="A855" s="1" t="s">
        <v>1517</v>
      </c>
      <c r="B855" s="19" t="s">
        <v>2402</v>
      </c>
      <c r="C855" s="19" t="s">
        <v>3874</v>
      </c>
      <c r="D855" s="19" t="s">
        <v>3875</v>
      </c>
    </row>
    <row r="856" spans="1:4" ht="15.5" x14ac:dyDescent="0.35">
      <c r="A856" s="1" t="s">
        <v>1516</v>
      </c>
      <c r="B856" s="19" t="s">
        <v>2402</v>
      </c>
      <c r="C856" s="19" t="s">
        <v>3876</v>
      </c>
      <c r="D856" s="19" t="s">
        <v>2831</v>
      </c>
    </row>
    <row r="857" spans="1:4" ht="15.5" x14ac:dyDescent="0.35">
      <c r="A857" s="1" t="s">
        <v>1515</v>
      </c>
      <c r="B857" s="19" t="s">
        <v>2402</v>
      </c>
      <c r="C857" s="19" t="s">
        <v>3877</v>
      </c>
      <c r="D857" s="19" t="s">
        <v>3878</v>
      </c>
    </row>
    <row r="858" spans="1:4" ht="15.5" x14ac:dyDescent="0.35">
      <c r="A858" s="1" t="s">
        <v>1514</v>
      </c>
      <c r="B858" s="19" t="s">
        <v>2399</v>
      </c>
      <c r="C858" s="19" t="s">
        <v>3879</v>
      </c>
      <c r="D858" s="19" t="s">
        <v>3880</v>
      </c>
    </row>
    <row r="859" spans="1:4" ht="15.5" x14ac:dyDescent="0.35">
      <c r="A859" s="1" t="s">
        <v>1513</v>
      </c>
      <c r="B859" s="19" t="s">
        <v>2399</v>
      </c>
      <c r="C859" s="19" t="s">
        <v>3881</v>
      </c>
      <c r="D859" s="19" t="s">
        <v>3210</v>
      </c>
    </row>
    <row r="860" spans="1:4" ht="15.5" x14ac:dyDescent="0.35">
      <c r="A860" s="1" t="s">
        <v>1512</v>
      </c>
      <c r="B860" s="19" t="s">
        <v>2399</v>
      </c>
      <c r="C860" s="19" t="s">
        <v>3882</v>
      </c>
      <c r="D860" s="19" t="s">
        <v>3883</v>
      </c>
    </row>
    <row r="861" spans="1:4" ht="15.5" x14ac:dyDescent="0.35">
      <c r="A861" s="1" t="s">
        <v>1511</v>
      </c>
      <c r="B861" s="19" t="s">
        <v>2399</v>
      </c>
      <c r="C861" s="19" t="s">
        <v>3884</v>
      </c>
      <c r="D861" s="19" t="s">
        <v>3885</v>
      </c>
    </row>
    <row r="862" spans="1:4" ht="15.5" x14ac:dyDescent="0.35">
      <c r="A862" s="1" t="s">
        <v>1510</v>
      </c>
      <c r="B862" s="19" t="s">
        <v>2402</v>
      </c>
      <c r="C862" s="19" t="s">
        <v>3886</v>
      </c>
      <c r="D862" s="19" t="s">
        <v>2500</v>
      </c>
    </row>
    <row r="863" spans="1:4" ht="15.5" x14ac:dyDescent="0.35">
      <c r="A863" s="1" t="s">
        <v>1509</v>
      </c>
      <c r="B863" s="19" t="s">
        <v>2399</v>
      </c>
      <c r="C863" s="19" t="s">
        <v>3887</v>
      </c>
      <c r="D863" s="19" t="s">
        <v>3023</v>
      </c>
    </row>
    <row r="864" spans="1:4" ht="15.5" x14ac:dyDescent="0.35">
      <c r="A864" s="1" t="s">
        <v>1508</v>
      </c>
      <c r="B864" s="19" t="s">
        <v>2402</v>
      </c>
      <c r="C864" s="19" t="s">
        <v>3888</v>
      </c>
      <c r="D864" s="19" t="s">
        <v>3889</v>
      </c>
    </row>
    <row r="865" spans="1:4" ht="15.5" x14ac:dyDescent="0.35">
      <c r="A865" s="1" t="s">
        <v>1507</v>
      </c>
      <c r="B865" s="19" t="s">
        <v>2402</v>
      </c>
      <c r="C865" s="19" t="s">
        <v>3890</v>
      </c>
      <c r="D865" s="19" t="s">
        <v>3891</v>
      </c>
    </row>
    <row r="866" spans="1:4" ht="15.5" x14ac:dyDescent="0.35">
      <c r="A866" s="1" t="s">
        <v>1506</v>
      </c>
      <c r="B866" s="19" t="s">
        <v>2402</v>
      </c>
      <c r="C866" s="19" t="s">
        <v>3892</v>
      </c>
      <c r="D866" s="19" t="s">
        <v>2530</v>
      </c>
    </row>
    <row r="867" spans="1:4" ht="15.5" x14ac:dyDescent="0.35">
      <c r="A867" s="1" t="s">
        <v>1505</v>
      </c>
      <c r="B867" s="19" t="s">
        <v>3277</v>
      </c>
      <c r="C867" s="19" t="s">
        <v>3893</v>
      </c>
      <c r="D867" s="19" t="s">
        <v>3894</v>
      </c>
    </row>
    <row r="868" spans="1:4" ht="15.5" x14ac:dyDescent="0.35">
      <c r="A868" s="1" t="s">
        <v>1504</v>
      </c>
      <c r="B868" s="19" t="s">
        <v>2402</v>
      </c>
      <c r="C868" s="19" t="s">
        <v>3895</v>
      </c>
      <c r="D868" s="19" t="s">
        <v>3896</v>
      </c>
    </row>
    <row r="869" spans="1:4" ht="15.5" x14ac:dyDescent="0.35">
      <c r="A869" s="1" t="s">
        <v>1503</v>
      </c>
      <c r="B869" s="19" t="s">
        <v>2402</v>
      </c>
      <c r="C869" s="19" t="s">
        <v>3897</v>
      </c>
      <c r="D869" s="19" t="s">
        <v>2604</v>
      </c>
    </row>
    <row r="870" spans="1:4" ht="15.5" x14ac:dyDescent="0.35">
      <c r="A870" s="1" t="s">
        <v>1502</v>
      </c>
      <c r="B870" s="19" t="s">
        <v>2402</v>
      </c>
      <c r="C870" s="19" t="s">
        <v>3898</v>
      </c>
      <c r="D870" s="19" t="s">
        <v>2423</v>
      </c>
    </row>
    <row r="871" spans="1:4" ht="15.5" x14ac:dyDescent="0.35">
      <c r="A871" s="1" t="s">
        <v>1501</v>
      </c>
      <c r="B871" s="19" t="s">
        <v>2402</v>
      </c>
      <c r="C871" s="19" t="s">
        <v>3899</v>
      </c>
      <c r="D871" s="19" t="s">
        <v>3900</v>
      </c>
    </row>
    <row r="872" spans="1:4" ht="15.5" x14ac:dyDescent="0.35">
      <c r="A872" s="1" t="s">
        <v>1500</v>
      </c>
      <c r="B872" s="19" t="s">
        <v>3277</v>
      </c>
      <c r="C872" s="19" t="s">
        <v>3901</v>
      </c>
      <c r="D872" s="19" t="s">
        <v>3902</v>
      </c>
    </row>
    <row r="873" spans="1:4" ht="15.5" x14ac:dyDescent="0.35">
      <c r="A873" s="1" t="s">
        <v>1499</v>
      </c>
      <c r="B873" s="19" t="s">
        <v>2399</v>
      </c>
      <c r="C873" s="19" t="s">
        <v>3903</v>
      </c>
      <c r="D873" s="19" t="s">
        <v>3904</v>
      </c>
    </row>
    <row r="874" spans="1:4" ht="15.5" x14ac:dyDescent="0.35">
      <c r="A874" s="1" t="s">
        <v>1498</v>
      </c>
      <c r="B874" s="19" t="s">
        <v>3277</v>
      </c>
      <c r="C874" s="19" t="s">
        <v>3905</v>
      </c>
      <c r="D874" s="19" t="s">
        <v>3175</v>
      </c>
    </row>
    <row r="875" spans="1:4" ht="15.5" x14ac:dyDescent="0.35">
      <c r="A875" s="1" t="s">
        <v>1497</v>
      </c>
      <c r="B875" s="19" t="s">
        <v>2399</v>
      </c>
      <c r="C875" s="19" t="s">
        <v>3906</v>
      </c>
      <c r="D875" s="19" t="s">
        <v>3907</v>
      </c>
    </row>
    <row r="876" spans="1:4" ht="15.5" x14ac:dyDescent="0.35">
      <c r="A876" s="1" t="s">
        <v>1496</v>
      </c>
      <c r="B876" s="19" t="s">
        <v>2399</v>
      </c>
      <c r="C876" s="19" t="s">
        <v>3908</v>
      </c>
      <c r="D876" s="19" t="s">
        <v>3909</v>
      </c>
    </row>
    <row r="877" spans="1:4" ht="15.5" x14ac:dyDescent="0.35">
      <c r="A877" s="1" t="s">
        <v>1495</v>
      </c>
      <c r="B877" s="19" t="s">
        <v>2399</v>
      </c>
      <c r="C877" s="19" t="s">
        <v>3910</v>
      </c>
      <c r="D877" s="19" t="s">
        <v>3911</v>
      </c>
    </row>
    <row r="878" spans="1:4" ht="15.5" x14ac:dyDescent="0.35">
      <c r="A878" s="1" t="s">
        <v>1494</v>
      </c>
      <c r="B878" s="19" t="s">
        <v>3277</v>
      </c>
      <c r="C878" s="19" t="s">
        <v>3912</v>
      </c>
      <c r="D878" s="19" t="s">
        <v>3547</v>
      </c>
    </row>
    <row r="879" spans="1:4" ht="15.5" x14ac:dyDescent="0.35">
      <c r="A879" s="1" t="s">
        <v>1493</v>
      </c>
      <c r="B879" s="19" t="s">
        <v>3277</v>
      </c>
      <c r="C879" s="19" t="s">
        <v>3913</v>
      </c>
      <c r="D879" s="19" t="s">
        <v>3914</v>
      </c>
    </row>
    <row r="880" spans="1:4" ht="15.5" x14ac:dyDescent="0.35">
      <c r="A880" s="1" t="s">
        <v>1492</v>
      </c>
      <c r="B880" s="19" t="s">
        <v>2399</v>
      </c>
      <c r="C880" s="19" t="s">
        <v>3915</v>
      </c>
      <c r="D880" s="19" t="s">
        <v>3916</v>
      </c>
    </row>
    <row r="881" spans="1:5" ht="15.5" x14ac:dyDescent="0.35">
      <c r="A881" s="1" t="s">
        <v>1491</v>
      </c>
      <c r="B881" s="19" t="s">
        <v>2399</v>
      </c>
      <c r="C881" s="19" t="s">
        <v>3917</v>
      </c>
      <c r="D881" s="19" t="s">
        <v>3918</v>
      </c>
    </row>
    <row r="882" spans="1:5" ht="15.5" x14ac:dyDescent="0.35">
      <c r="A882" s="1" t="s">
        <v>1490</v>
      </c>
      <c r="B882" s="19" t="s">
        <v>2399</v>
      </c>
      <c r="C882" s="19" t="s">
        <v>3919</v>
      </c>
      <c r="D882" s="19" t="s">
        <v>3920</v>
      </c>
    </row>
    <row r="883" spans="1:5" ht="15.5" x14ac:dyDescent="0.35">
      <c r="A883" s="1" t="s">
        <v>1489</v>
      </c>
      <c r="B883" s="19" t="s">
        <v>2399</v>
      </c>
      <c r="C883" s="19" t="s">
        <v>3921</v>
      </c>
      <c r="D883" s="19" t="s">
        <v>2922</v>
      </c>
    </row>
    <row r="884" spans="1:5" ht="15.5" x14ac:dyDescent="0.35">
      <c r="A884" s="1" t="s">
        <v>1488</v>
      </c>
      <c r="B884" s="19" t="s">
        <v>2399</v>
      </c>
      <c r="C884" s="19" t="s">
        <v>3922</v>
      </c>
      <c r="D884" s="19" t="s">
        <v>3923</v>
      </c>
    </row>
    <row r="885" spans="1:5" ht="15.5" x14ac:dyDescent="0.35">
      <c r="A885" s="1" t="s">
        <v>1487</v>
      </c>
      <c r="B885" s="19" t="s">
        <v>2399</v>
      </c>
      <c r="C885" s="19" t="s">
        <v>3924</v>
      </c>
      <c r="D885" s="19" t="s">
        <v>3925</v>
      </c>
    </row>
    <row r="886" spans="1:5" ht="15.5" x14ac:dyDescent="0.35">
      <c r="A886" s="1" t="s">
        <v>1486</v>
      </c>
      <c r="B886" s="19" t="s">
        <v>2399</v>
      </c>
      <c r="C886" s="19" t="s">
        <v>3926</v>
      </c>
      <c r="D886" s="19" t="s">
        <v>3927</v>
      </c>
    </row>
    <row r="887" spans="1:5" ht="15.5" x14ac:dyDescent="0.35">
      <c r="A887" s="1" t="s">
        <v>1485</v>
      </c>
      <c r="B887" s="19" t="s">
        <v>2399</v>
      </c>
      <c r="C887" s="19" t="s">
        <v>3928</v>
      </c>
      <c r="D887" s="19" t="s">
        <v>3929</v>
      </c>
    </row>
    <row r="888" spans="1:5" ht="15.5" x14ac:dyDescent="0.35">
      <c r="A888" s="1" t="s">
        <v>1484</v>
      </c>
      <c r="B888" s="19" t="s">
        <v>2399</v>
      </c>
      <c r="C888" s="19" t="s">
        <v>3930</v>
      </c>
      <c r="D888" s="19" t="s">
        <v>3931</v>
      </c>
    </row>
    <row r="889" spans="1:5" ht="15.5" x14ac:dyDescent="0.35">
      <c r="A889" s="1" t="s">
        <v>1483</v>
      </c>
      <c r="B889" s="19" t="s">
        <v>3277</v>
      </c>
      <c r="C889" s="19" t="s">
        <v>3932</v>
      </c>
      <c r="D889" s="19" t="s">
        <v>3933</v>
      </c>
    </row>
    <row r="890" spans="1:5" ht="15.5" x14ac:dyDescent="0.35">
      <c r="A890" s="1" t="s">
        <v>1482</v>
      </c>
      <c r="B890" s="19" t="s">
        <v>2402</v>
      </c>
      <c r="C890" s="19" t="s">
        <v>3934</v>
      </c>
      <c r="D890" s="19" t="s">
        <v>3935</v>
      </c>
    </row>
    <row r="891" spans="1:5" ht="15.5" x14ac:dyDescent="0.35">
      <c r="A891" s="1" t="s">
        <v>1481</v>
      </c>
      <c r="B891" s="19" t="s">
        <v>2402</v>
      </c>
      <c r="C891" s="19" t="s">
        <v>3936</v>
      </c>
      <c r="D891" s="19" t="s">
        <v>2750</v>
      </c>
    </row>
    <row r="892" spans="1:5" ht="15.5" x14ac:dyDescent="0.35">
      <c r="A892" s="1" t="s">
        <v>1480</v>
      </c>
      <c r="B892" s="19" t="s">
        <v>2402</v>
      </c>
      <c r="C892" s="19" t="s">
        <v>3937</v>
      </c>
      <c r="D892" s="19" t="s">
        <v>3938</v>
      </c>
    </row>
    <row r="893" spans="1:5" ht="15.5" x14ac:dyDescent="0.35">
      <c r="A893" s="1" t="s">
        <v>1479</v>
      </c>
      <c r="B893" s="19" t="s">
        <v>2402</v>
      </c>
      <c r="C893" s="19" t="s">
        <v>3939</v>
      </c>
      <c r="D893" s="19" t="s">
        <v>3940</v>
      </c>
      <c r="E893" t="s">
        <v>2539</v>
      </c>
    </row>
    <row r="894" spans="1:5" ht="15.5" x14ac:dyDescent="0.35">
      <c r="A894" s="1" t="s">
        <v>1478</v>
      </c>
      <c r="B894" s="19" t="s">
        <v>3277</v>
      </c>
      <c r="C894" s="19" t="s">
        <v>3941</v>
      </c>
      <c r="D894" s="19" t="s">
        <v>3942</v>
      </c>
    </row>
    <row r="895" spans="1:5" ht="15.5" x14ac:dyDescent="0.35">
      <c r="A895" s="1" t="s">
        <v>1477</v>
      </c>
      <c r="B895" s="19" t="s">
        <v>2402</v>
      </c>
      <c r="C895" s="19" t="s">
        <v>3943</v>
      </c>
      <c r="D895" s="19" t="s">
        <v>2439</v>
      </c>
    </row>
    <row r="896" spans="1:5" ht="15.5" x14ac:dyDescent="0.35">
      <c r="A896" s="1" t="s">
        <v>1476</v>
      </c>
      <c r="B896" s="19" t="s">
        <v>2402</v>
      </c>
      <c r="C896" s="19" t="s">
        <v>3944</v>
      </c>
      <c r="D896" s="19" t="s">
        <v>3945</v>
      </c>
    </row>
    <row r="897" spans="1:4" ht="15.5" x14ac:dyDescent="0.35">
      <c r="A897" s="1" t="s">
        <v>1475</v>
      </c>
      <c r="B897" s="19" t="s">
        <v>2399</v>
      </c>
      <c r="C897" s="19" t="s">
        <v>3946</v>
      </c>
      <c r="D897" s="19" t="s">
        <v>3947</v>
      </c>
    </row>
    <row r="898" spans="1:4" ht="15.5" x14ac:dyDescent="0.35">
      <c r="A898" s="1" t="s">
        <v>1474</v>
      </c>
      <c r="B898" s="19" t="s">
        <v>2399</v>
      </c>
      <c r="C898" s="19" t="s">
        <v>3335</v>
      </c>
      <c r="D898" s="19" t="s">
        <v>3948</v>
      </c>
    </row>
    <row r="899" spans="1:4" ht="15.5" x14ac:dyDescent="0.35">
      <c r="A899" s="1" t="s">
        <v>1473</v>
      </c>
      <c r="B899" s="19" t="s">
        <v>2399</v>
      </c>
      <c r="C899" s="19" t="s">
        <v>3949</v>
      </c>
      <c r="D899" s="19" t="s">
        <v>3950</v>
      </c>
    </row>
    <row r="900" spans="1:4" ht="15.5" x14ac:dyDescent="0.35">
      <c r="A900" s="1" t="s">
        <v>1472</v>
      </c>
      <c r="B900" s="19" t="s">
        <v>2402</v>
      </c>
      <c r="C900" s="19" t="s">
        <v>2783</v>
      </c>
      <c r="D900" s="19" t="s">
        <v>2478</v>
      </c>
    </row>
    <row r="901" spans="1:4" ht="15.5" x14ac:dyDescent="0.35">
      <c r="A901" s="1" t="s">
        <v>1471</v>
      </c>
      <c r="B901" s="19" t="s">
        <v>3277</v>
      </c>
      <c r="C901" s="19" t="s">
        <v>2813</v>
      </c>
      <c r="D901" s="19" t="s">
        <v>3951</v>
      </c>
    </row>
    <row r="902" spans="1:4" ht="15.5" x14ac:dyDescent="0.35">
      <c r="A902" s="1" t="s">
        <v>1470</v>
      </c>
      <c r="B902" s="19" t="s">
        <v>2399</v>
      </c>
      <c r="C902" s="19" t="s">
        <v>3952</v>
      </c>
      <c r="D902" s="19" t="s">
        <v>3953</v>
      </c>
    </row>
    <row r="903" spans="1:4" ht="15.5" x14ac:dyDescent="0.35">
      <c r="A903" s="1" t="s">
        <v>1469</v>
      </c>
      <c r="B903" s="19" t="s">
        <v>2402</v>
      </c>
      <c r="C903" s="19" t="s">
        <v>3954</v>
      </c>
      <c r="D903" s="19" t="s">
        <v>3414</v>
      </c>
    </row>
    <row r="904" spans="1:4" ht="15.5" x14ac:dyDescent="0.35">
      <c r="A904" s="1" t="s">
        <v>1468</v>
      </c>
      <c r="B904" s="19" t="s">
        <v>2399</v>
      </c>
      <c r="C904" s="19" t="s">
        <v>3955</v>
      </c>
      <c r="D904" s="19" t="s">
        <v>3956</v>
      </c>
    </row>
    <row r="905" spans="1:4" ht="15.5" x14ac:dyDescent="0.35">
      <c r="A905" s="1" t="s">
        <v>1467</v>
      </c>
      <c r="B905" s="19" t="s">
        <v>2399</v>
      </c>
      <c r="C905" s="19" t="s">
        <v>3957</v>
      </c>
      <c r="D905" s="19" t="s">
        <v>3958</v>
      </c>
    </row>
    <row r="906" spans="1:4" ht="15.5" x14ac:dyDescent="0.35">
      <c r="A906" s="1" t="s">
        <v>1466</v>
      </c>
      <c r="B906" s="19" t="s">
        <v>2402</v>
      </c>
      <c r="C906" s="19" t="s">
        <v>3959</v>
      </c>
      <c r="D906" s="19" t="s">
        <v>3960</v>
      </c>
    </row>
    <row r="907" spans="1:4" ht="15.5" x14ac:dyDescent="0.35">
      <c r="A907" s="1" t="s">
        <v>1465</v>
      </c>
      <c r="B907" s="19" t="s">
        <v>2399</v>
      </c>
      <c r="C907" s="19" t="s">
        <v>3961</v>
      </c>
      <c r="D907" s="19" t="s">
        <v>3852</v>
      </c>
    </row>
    <row r="908" spans="1:4" ht="15.5" x14ac:dyDescent="0.35">
      <c r="A908" s="1" t="s">
        <v>1464</v>
      </c>
      <c r="B908" s="19" t="s">
        <v>3277</v>
      </c>
      <c r="C908" s="19" t="s">
        <v>3962</v>
      </c>
      <c r="D908" s="19" t="s">
        <v>3963</v>
      </c>
    </row>
    <row r="909" spans="1:4" ht="15.5" x14ac:dyDescent="0.35">
      <c r="A909" s="1" t="s">
        <v>1463</v>
      </c>
      <c r="B909" s="19" t="s">
        <v>2402</v>
      </c>
      <c r="C909" s="19" t="s">
        <v>3964</v>
      </c>
      <c r="D909" s="19" t="s">
        <v>3965</v>
      </c>
    </row>
    <row r="910" spans="1:4" ht="15.5" x14ac:dyDescent="0.35">
      <c r="A910" s="1" t="s">
        <v>1462</v>
      </c>
      <c r="B910" s="19" t="s">
        <v>2402</v>
      </c>
      <c r="C910" s="19" t="s">
        <v>3966</v>
      </c>
      <c r="D910" s="19" t="s">
        <v>2992</v>
      </c>
    </row>
    <row r="911" spans="1:4" ht="15.5" x14ac:dyDescent="0.35">
      <c r="A911" s="1" t="s">
        <v>1461</v>
      </c>
      <c r="B911" s="19" t="s">
        <v>2402</v>
      </c>
      <c r="C911" s="19" t="s">
        <v>3967</v>
      </c>
      <c r="D911" s="19" t="s">
        <v>3968</v>
      </c>
    </row>
    <row r="912" spans="1:4" ht="15.5" x14ac:dyDescent="0.35">
      <c r="A912" s="1" t="s">
        <v>1460</v>
      </c>
      <c r="B912" s="19" t="s">
        <v>2402</v>
      </c>
      <c r="C912" s="19" t="s">
        <v>3969</v>
      </c>
      <c r="D912" s="19" t="s">
        <v>3970</v>
      </c>
    </row>
    <row r="913" spans="1:4" ht="15.5" x14ac:dyDescent="0.35">
      <c r="A913" s="1" t="s">
        <v>1459</v>
      </c>
      <c r="B913" s="19" t="s">
        <v>2402</v>
      </c>
      <c r="C913" s="19" t="s">
        <v>3971</v>
      </c>
      <c r="D913" s="19" t="s">
        <v>3156</v>
      </c>
    </row>
    <row r="914" spans="1:4" ht="15.5" x14ac:dyDescent="0.35">
      <c r="A914" s="1" t="s">
        <v>1458</v>
      </c>
      <c r="B914" s="19" t="s">
        <v>2402</v>
      </c>
      <c r="C914" s="19" t="s">
        <v>3972</v>
      </c>
      <c r="D914" s="19" t="s">
        <v>2563</v>
      </c>
    </row>
    <row r="915" spans="1:4" ht="15.5" x14ac:dyDescent="0.35">
      <c r="A915" s="1" t="s">
        <v>1457</v>
      </c>
      <c r="B915" s="19" t="s">
        <v>2402</v>
      </c>
      <c r="C915" s="19" t="s">
        <v>2651</v>
      </c>
      <c r="D915" s="19" t="s">
        <v>3973</v>
      </c>
    </row>
    <row r="916" spans="1:4" ht="15.5" x14ac:dyDescent="0.35">
      <c r="A916" s="1" t="s">
        <v>1456</v>
      </c>
      <c r="B916" s="19" t="s">
        <v>2402</v>
      </c>
      <c r="C916" s="19" t="s">
        <v>3974</v>
      </c>
      <c r="D916" s="19" t="s">
        <v>3975</v>
      </c>
    </row>
    <row r="917" spans="1:4" ht="15.5" x14ac:dyDescent="0.35">
      <c r="A917" s="1" t="s">
        <v>1455</v>
      </c>
      <c r="B917" s="19" t="s">
        <v>2402</v>
      </c>
      <c r="C917" s="19" t="s">
        <v>2813</v>
      </c>
      <c r="D917" s="19" t="s">
        <v>3976</v>
      </c>
    </row>
    <row r="918" spans="1:4" ht="15.5" x14ac:dyDescent="0.35">
      <c r="A918" s="1" t="s">
        <v>1454</v>
      </c>
      <c r="B918" s="19" t="s">
        <v>2399</v>
      </c>
      <c r="C918" s="19" t="s">
        <v>3977</v>
      </c>
      <c r="D918" s="19" t="s">
        <v>3978</v>
      </c>
    </row>
    <row r="919" spans="1:4" ht="15.5" x14ac:dyDescent="0.35">
      <c r="A919" s="1" t="s">
        <v>1453</v>
      </c>
      <c r="B919" s="19" t="s">
        <v>2399</v>
      </c>
      <c r="C919" s="19" t="s">
        <v>3979</v>
      </c>
      <c r="D919" s="19" t="s">
        <v>3173</v>
      </c>
    </row>
    <row r="920" spans="1:4" ht="15.5" x14ac:dyDescent="0.35">
      <c r="A920" s="1" t="s">
        <v>1452</v>
      </c>
      <c r="B920" s="19" t="s">
        <v>2399</v>
      </c>
      <c r="C920" s="19" t="s">
        <v>3980</v>
      </c>
      <c r="D920" s="19" t="s">
        <v>2492</v>
      </c>
    </row>
    <row r="921" spans="1:4" ht="15.5" x14ac:dyDescent="0.35">
      <c r="A921" s="1" t="s">
        <v>1451</v>
      </c>
      <c r="B921" s="19" t="s">
        <v>2399</v>
      </c>
      <c r="C921" s="19" t="s">
        <v>3981</v>
      </c>
      <c r="D921" s="19" t="s">
        <v>3982</v>
      </c>
    </row>
    <row r="922" spans="1:4" ht="15.5" x14ac:dyDescent="0.35">
      <c r="A922" s="1" t="s">
        <v>1450</v>
      </c>
      <c r="B922" s="19" t="s">
        <v>2399</v>
      </c>
      <c r="C922" s="19" t="s">
        <v>3983</v>
      </c>
      <c r="D922" s="19" t="s">
        <v>3984</v>
      </c>
    </row>
    <row r="923" spans="1:4" ht="15.5" x14ac:dyDescent="0.35">
      <c r="A923" s="1" t="s">
        <v>1449</v>
      </c>
      <c r="B923" s="19" t="s">
        <v>2399</v>
      </c>
      <c r="C923" s="19" t="s">
        <v>3985</v>
      </c>
      <c r="D923" s="19" t="s">
        <v>3986</v>
      </c>
    </row>
    <row r="924" spans="1:4" ht="15.5" x14ac:dyDescent="0.35">
      <c r="A924" s="1" t="s">
        <v>1448</v>
      </c>
      <c r="B924" s="19" t="s">
        <v>2399</v>
      </c>
      <c r="C924" s="19" t="s">
        <v>3987</v>
      </c>
      <c r="D924" s="19" t="s">
        <v>3988</v>
      </c>
    </row>
    <row r="925" spans="1:4" ht="15.5" x14ac:dyDescent="0.35">
      <c r="A925" s="1" t="s">
        <v>1447</v>
      </c>
      <c r="B925" s="19" t="s">
        <v>2399</v>
      </c>
      <c r="C925" s="19" t="s">
        <v>3989</v>
      </c>
      <c r="D925" s="19" t="s">
        <v>3990</v>
      </c>
    </row>
    <row r="926" spans="1:4" ht="15.5" x14ac:dyDescent="0.35">
      <c r="A926" s="1" t="s">
        <v>1446</v>
      </c>
      <c r="B926" s="19" t="s">
        <v>2399</v>
      </c>
      <c r="C926" s="19" t="s">
        <v>3991</v>
      </c>
      <c r="D926" s="19" t="s">
        <v>3992</v>
      </c>
    </row>
    <row r="927" spans="1:4" ht="15.5" x14ac:dyDescent="0.35">
      <c r="A927" s="1" t="s">
        <v>1445</v>
      </c>
      <c r="B927" s="19" t="s">
        <v>2399</v>
      </c>
      <c r="C927" s="19" t="s">
        <v>3993</v>
      </c>
      <c r="D927" s="19" t="s">
        <v>3994</v>
      </c>
    </row>
    <row r="928" spans="1:4" ht="15.5" x14ac:dyDescent="0.35">
      <c r="A928" s="1" t="s">
        <v>1444</v>
      </c>
      <c r="B928" s="19" t="s">
        <v>2399</v>
      </c>
      <c r="C928" s="19" t="s">
        <v>3995</v>
      </c>
      <c r="D928" s="19" t="s">
        <v>3622</v>
      </c>
    </row>
    <row r="929" spans="1:4" ht="15.5" x14ac:dyDescent="0.35">
      <c r="A929" s="1" t="s">
        <v>1443</v>
      </c>
      <c r="B929" s="19" t="s">
        <v>2399</v>
      </c>
      <c r="C929" s="19" t="s">
        <v>3996</v>
      </c>
      <c r="D929" s="19" t="s">
        <v>3997</v>
      </c>
    </row>
    <row r="930" spans="1:4" ht="15.5" x14ac:dyDescent="0.35">
      <c r="A930" s="1" t="s">
        <v>1442</v>
      </c>
      <c r="B930" s="19" t="s">
        <v>3277</v>
      </c>
      <c r="C930" s="19" t="s">
        <v>3998</v>
      </c>
      <c r="D930" s="19" t="s">
        <v>3999</v>
      </c>
    </row>
    <row r="931" spans="1:4" ht="15.5" x14ac:dyDescent="0.35">
      <c r="A931" s="1" t="s">
        <v>1441</v>
      </c>
      <c r="B931" s="19" t="s">
        <v>2402</v>
      </c>
      <c r="C931" s="19" t="s">
        <v>4000</v>
      </c>
      <c r="D931" s="19" t="s">
        <v>4001</v>
      </c>
    </row>
    <row r="932" spans="1:4" ht="15.5" x14ac:dyDescent="0.35">
      <c r="A932" s="1" t="s">
        <v>1440</v>
      </c>
      <c r="B932" s="19" t="s">
        <v>3277</v>
      </c>
      <c r="C932" s="19" t="s">
        <v>4002</v>
      </c>
      <c r="D932" s="19" t="s">
        <v>3624</v>
      </c>
    </row>
    <row r="933" spans="1:4" ht="15.5" x14ac:dyDescent="0.35">
      <c r="A933" s="1" t="s">
        <v>1439</v>
      </c>
      <c r="B933" s="19" t="s">
        <v>2402</v>
      </c>
      <c r="C933" s="19" t="s">
        <v>4003</v>
      </c>
      <c r="D933" s="19" t="s">
        <v>2735</v>
      </c>
    </row>
    <row r="934" spans="1:4" ht="15.5" x14ac:dyDescent="0.35">
      <c r="A934" s="1" t="s">
        <v>1438</v>
      </c>
      <c r="B934" s="19" t="s">
        <v>2402</v>
      </c>
      <c r="C934" s="19" t="s">
        <v>4004</v>
      </c>
      <c r="D934" s="19" t="s">
        <v>4005</v>
      </c>
    </row>
    <row r="935" spans="1:4" ht="15.5" x14ac:dyDescent="0.35">
      <c r="A935" s="1" t="s">
        <v>1437</v>
      </c>
      <c r="B935" s="19" t="s">
        <v>2399</v>
      </c>
      <c r="C935" s="19" t="s">
        <v>2416</v>
      </c>
      <c r="D935" s="19" t="s">
        <v>4006</v>
      </c>
    </row>
    <row r="936" spans="1:4" ht="15.5" x14ac:dyDescent="0.35">
      <c r="A936" s="1" t="s">
        <v>1436</v>
      </c>
      <c r="B936" s="19" t="s">
        <v>2402</v>
      </c>
      <c r="C936" s="19" t="s">
        <v>4007</v>
      </c>
      <c r="D936" s="19" t="s">
        <v>4008</v>
      </c>
    </row>
    <row r="937" spans="1:4" ht="15.5" x14ac:dyDescent="0.35">
      <c r="A937" s="1" t="s">
        <v>1435</v>
      </c>
      <c r="B937" s="19" t="s">
        <v>2402</v>
      </c>
      <c r="C937" s="19" t="s">
        <v>4009</v>
      </c>
      <c r="D937" s="19" t="s">
        <v>2517</v>
      </c>
    </row>
    <row r="938" spans="1:4" ht="15.5" x14ac:dyDescent="0.35">
      <c r="A938" s="1" t="s">
        <v>1434</v>
      </c>
      <c r="B938" s="19" t="s">
        <v>3277</v>
      </c>
      <c r="C938" s="19" t="s">
        <v>3977</v>
      </c>
      <c r="D938" s="19" t="s">
        <v>4010</v>
      </c>
    </row>
    <row r="939" spans="1:4" ht="15.5" x14ac:dyDescent="0.35">
      <c r="A939" s="1" t="s">
        <v>1433</v>
      </c>
      <c r="B939" s="19" t="s">
        <v>2399</v>
      </c>
      <c r="C939" s="19" t="s">
        <v>4011</v>
      </c>
      <c r="D939" s="19" t="s">
        <v>4012</v>
      </c>
    </row>
    <row r="940" spans="1:4" ht="15.5" x14ac:dyDescent="0.35">
      <c r="A940" s="1" t="s">
        <v>1432</v>
      </c>
      <c r="B940" s="19" t="s">
        <v>2402</v>
      </c>
      <c r="C940" s="19" t="s">
        <v>4013</v>
      </c>
      <c r="D940" s="19" t="s">
        <v>4014</v>
      </c>
    </row>
    <row r="941" spans="1:4" ht="15.5" x14ac:dyDescent="0.35">
      <c r="A941" s="1" t="s">
        <v>1431</v>
      </c>
      <c r="B941" s="19" t="s">
        <v>2402</v>
      </c>
      <c r="C941" s="19" t="s">
        <v>4015</v>
      </c>
      <c r="D941" s="19" t="s">
        <v>3129</v>
      </c>
    </row>
    <row r="942" spans="1:4" ht="15.5" x14ac:dyDescent="0.35">
      <c r="A942" s="1" t="s">
        <v>1430</v>
      </c>
      <c r="B942" s="19" t="s">
        <v>2399</v>
      </c>
      <c r="C942" s="19" t="s">
        <v>4016</v>
      </c>
      <c r="D942" s="19" t="s">
        <v>4017</v>
      </c>
    </row>
    <row r="943" spans="1:4" ht="15.5" x14ac:dyDescent="0.35">
      <c r="A943" s="1" t="s">
        <v>1429</v>
      </c>
      <c r="B943" s="19" t="s">
        <v>2399</v>
      </c>
      <c r="C943" s="19" t="s">
        <v>4018</v>
      </c>
      <c r="D943" s="19" t="s">
        <v>4019</v>
      </c>
    </row>
    <row r="944" spans="1:4" ht="15.5" x14ac:dyDescent="0.35">
      <c r="A944" s="1" t="s">
        <v>1428</v>
      </c>
      <c r="B944" s="19" t="s">
        <v>2399</v>
      </c>
      <c r="C944" s="19" t="s">
        <v>4020</v>
      </c>
      <c r="D944" s="19" t="s">
        <v>4021</v>
      </c>
    </row>
    <row r="945" spans="1:4" ht="15.5" x14ac:dyDescent="0.35">
      <c r="A945" s="1" t="s">
        <v>1427</v>
      </c>
      <c r="B945" s="19" t="s">
        <v>2402</v>
      </c>
      <c r="C945" s="19" t="s">
        <v>3111</v>
      </c>
      <c r="D945" s="19" t="s">
        <v>4022</v>
      </c>
    </row>
    <row r="946" spans="1:4" ht="15.5" x14ac:dyDescent="0.35">
      <c r="A946" s="1" t="s">
        <v>1426</v>
      </c>
      <c r="B946" s="19" t="s">
        <v>2399</v>
      </c>
      <c r="C946" s="19" t="s">
        <v>4023</v>
      </c>
      <c r="D946" s="19" t="s">
        <v>2571</v>
      </c>
    </row>
    <row r="947" spans="1:4" ht="15.5" x14ac:dyDescent="0.35">
      <c r="A947" s="1" t="s">
        <v>1425</v>
      </c>
      <c r="B947" s="19" t="s">
        <v>2402</v>
      </c>
      <c r="C947" s="19" t="s">
        <v>4024</v>
      </c>
      <c r="D947" s="19" t="s">
        <v>2439</v>
      </c>
    </row>
    <row r="948" spans="1:4" ht="15.5" x14ac:dyDescent="0.35">
      <c r="A948" s="1" t="s">
        <v>1424</v>
      </c>
      <c r="B948" s="19" t="s">
        <v>2402</v>
      </c>
      <c r="C948" s="19" t="s">
        <v>3467</v>
      </c>
      <c r="D948" s="19" t="s">
        <v>4025</v>
      </c>
    </row>
    <row r="949" spans="1:4" ht="15.5" x14ac:dyDescent="0.35">
      <c r="A949" s="1" t="s">
        <v>1423</v>
      </c>
      <c r="B949" s="19" t="s">
        <v>2402</v>
      </c>
      <c r="C949" s="19" t="s">
        <v>4026</v>
      </c>
      <c r="D949" s="19" t="s">
        <v>2680</v>
      </c>
    </row>
    <row r="950" spans="1:4" ht="15.5" x14ac:dyDescent="0.35">
      <c r="A950" s="1" t="s">
        <v>1422</v>
      </c>
      <c r="B950" s="19" t="s">
        <v>2402</v>
      </c>
      <c r="C950" s="19" t="s">
        <v>4027</v>
      </c>
      <c r="D950" s="19" t="s">
        <v>2823</v>
      </c>
    </row>
    <row r="951" spans="1:4" ht="15.5" x14ac:dyDescent="0.35">
      <c r="A951" s="1" t="s">
        <v>1421</v>
      </c>
      <c r="B951" s="19" t="s">
        <v>2402</v>
      </c>
      <c r="C951" s="19" t="s">
        <v>4028</v>
      </c>
      <c r="D951" s="19" t="s">
        <v>3244</v>
      </c>
    </row>
    <row r="952" spans="1:4" ht="15.5" x14ac:dyDescent="0.35">
      <c r="A952" s="1" t="s">
        <v>1420</v>
      </c>
      <c r="B952" s="19" t="s">
        <v>2399</v>
      </c>
      <c r="C952" s="19" t="s">
        <v>4029</v>
      </c>
      <c r="D952" s="19" t="s">
        <v>4030</v>
      </c>
    </row>
    <row r="953" spans="1:4" ht="15.5" x14ac:dyDescent="0.35">
      <c r="A953" s="1" t="s">
        <v>1419</v>
      </c>
      <c r="B953" s="19" t="s">
        <v>2399</v>
      </c>
      <c r="C953" s="19" t="s">
        <v>3024</v>
      </c>
      <c r="D953" s="19" t="s">
        <v>4031</v>
      </c>
    </row>
    <row r="954" spans="1:4" ht="15.5" x14ac:dyDescent="0.35">
      <c r="A954" s="1" t="s">
        <v>1418</v>
      </c>
      <c r="B954" s="19" t="s">
        <v>2399</v>
      </c>
      <c r="C954" s="19" t="s">
        <v>4032</v>
      </c>
      <c r="D954" s="19" t="s">
        <v>4033</v>
      </c>
    </row>
    <row r="955" spans="1:4" ht="15.5" x14ac:dyDescent="0.35">
      <c r="A955" s="1" t="s">
        <v>1417</v>
      </c>
      <c r="B955" s="19" t="s">
        <v>2402</v>
      </c>
      <c r="C955" s="19" t="s">
        <v>4034</v>
      </c>
      <c r="D955" s="19" t="s">
        <v>4035</v>
      </c>
    </row>
    <row r="956" spans="1:4" ht="15.5" x14ac:dyDescent="0.35">
      <c r="A956" s="1" t="s">
        <v>1416</v>
      </c>
      <c r="B956" s="19" t="s">
        <v>2402</v>
      </c>
      <c r="C956" s="19" t="s">
        <v>4036</v>
      </c>
      <c r="D956" s="19" t="s">
        <v>3900</v>
      </c>
    </row>
    <row r="957" spans="1:4" ht="15.5" x14ac:dyDescent="0.35">
      <c r="A957" s="1" t="s">
        <v>1415</v>
      </c>
      <c r="B957" s="19" t="s">
        <v>3277</v>
      </c>
      <c r="C957" s="19" t="s">
        <v>4037</v>
      </c>
      <c r="D957" s="19" t="s">
        <v>4038</v>
      </c>
    </row>
    <row r="958" spans="1:4" ht="15.5" x14ac:dyDescent="0.35">
      <c r="A958" s="1" t="s">
        <v>1414</v>
      </c>
      <c r="B958" s="19" t="s">
        <v>2402</v>
      </c>
      <c r="C958" s="19" t="s">
        <v>3939</v>
      </c>
      <c r="D958" s="19" t="s">
        <v>2680</v>
      </c>
    </row>
    <row r="959" spans="1:4" ht="15.5" x14ac:dyDescent="0.35">
      <c r="A959" s="1" t="s">
        <v>1413</v>
      </c>
      <c r="B959" s="19" t="s">
        <v>2399</v>
      </c>
      <c r="C959" s="19" t="s">
        <v>4039</v>
      </c>
      <c r="D959" s="19" t="s">
        <v>4040</v>
      </c>
    </row>
    <row r="960" spans="1:4" ht="15.5" x14ac:dyDescent="0.35">
      <c r="A960" s="1" t="s">
        <v>1412</v>
      </c>
      <c r="B960" s="19" t="s">
        <v>3277</v>
      </c>
      <c r="C960" s="19" t="s">
        <v>4041</v>
      </c>
      <c r="D960" s="19" t="s">
        <v>4042</v>
      </c>
    </row>
    <row r="961" spans="1:4" ht="15.5" x14ac:dyDescent="0.35">
      <c r="A961" s="1" t="s">
        <v>1411</v>
      </c>
      <c r="B961" s="19" t="s">
        <v>2399</v>
      </c>
      <c r="C961" s="19" t="s">
        <v>4043</v>
      </c>
      <c r="D961" s="19" t="s">
        <v>3614</v>
      </c>
    </row>
    <row r="962" spans="1:4" ht="15.5" x14ac:dyDescent="0.35">
      <c r="A962" s="1" t="s">
        <v>1410</v>
      </c>
      <c r="B962" s="19" t="s">
        <v>3277</v>
      </c>
      <c r="C962" s="19" t="s">
        <v>4044</v>
      </c>
      <c r="D962" s="19" t="s">
        <v>3136</v>
      </c>
    </row>
    <row r="963" spans="1:4" ht="15.5" x14ac:dyDescent="0.35">
      <c r="A963" s="1" t="s">
        <v>1409</v>
      </c>
      <c r="B963" s="19" t="s">
        <v>2402</v>
      </c>
      <c r="C963" s="19" t="s">
        <v>2948</v>
      </c>
      <c r="D963" s="19" t="s">
        <v>2978</v>
      </c>
    </row>
    <row r="964" spans="1:4" ht="15.5" x14ac:dyDescent="0.35">
      <c r="A964" s="1" t="s">
        <v>1408</v>
      </c>
      <c r="B964" s="19" t="s">
        <v>2399</v>
      </c>
      <c r="C964" s="19" t="s">
        <v>4045</v>
      </c>
      <c r="D964" s="19" t="s">
        <v>4046</v>
      </c>
    </row>
    <row r="965" spans="1:4" ht="15.5" x14ac:dyDescent="0.35">
      <c r="A965" s="1" t="s">
        <v>1407</v>
      </c>
      <c r="B965" s="19" t="s">
        <v>3277</v>
      </c>
      <c r="C965" s="19" t="s">
        <v>4047</v>
      </c>
      <c r="D965" s="19" t="s">
        <v>4048</v>
      </c>
    </row>
    <row r="966" spans="1:4" ht="15.5" x14ac:dyDescent="0.35">
      <c r="A966" s="1" t="s">
        <v>1406</v>
      </c>
      <c r="B966" s="19" t="s">
        <v>2399</v>
      </c>
      <c r="C966" s="19" t="s">
        <v>4049</v>
      </c>
      <c r="D966" s="19" t="s">
        <v>4050</v>
      </c>
    </row>
    <row r="967" spans="1:4" ht="15.5" x14ac:dyDescent="0.35">
      <c r="A967" s="1" t="s">
        <v>1405</v>
      </c>
      <c r="B967" s="19" t="s">
        <v>2399</v>
      </c>
      <c r="C967" s="19" t="s">
        <v>4051</v>
      </c>
      <c r="D967" s="19" t="s">
        <v>4052</v>
      </c>
    </row>
    <row r="968" spans="1:4" ht="15.5" x14ac:dyDescent="0.35">
      <c r="A968" s="1" t="s">
        <v>1404</v>
      </c>
      <c r="B968" s="19" t="s">
        <v>2399</v>
      </c>
      <c r="C968" s="19" t="s">
        <v>4053</v>
      </c>
      <c r="D968" s="19" t="s">
        <v>4054</v>
      </c>
    </row>
    <row r="969" spans="1:4" ht="15.5" x14ac:dyDescent="0.35">
      <c r="A969" s="1" t="s">
        <v>1403</v>
      </c>
      <c r="B969" s="19" t="s">
        <v>2402</v>
      </c>
      <c r="C969" s="19" t="s">
        <v>4055</v>
      </c>
      <c r="D969" s="19" t="s">
        <v>2521</v>
      </c>
    </row>
    <row r="970" spans="1:4" ht="15.5" x14ac:dyDescent="0.35">
      <c r="A970" s="1" t="s">
        <v>1402</v>
      </c>
      <c r="B970" s="19" t="s">
        <v>2399</v>
      </c>
      <c r="C970" s="19" t="s">
        <v>4056</v>
      </c>
      <c r="D970" s="19" t="s">
        <v>3495</v>
      </c>
    </row>
    <row r="971" spans="1:4" ht="15.5" x14ac:dyDescent="0.35">
      <c r="A971" s="1" t="s">
        <v>1401</v>
      </c>
      <c r="B971" s="19" t="s">
        <v>2402</v>
      </c>
      <c r="C971" s="19" t="s">
        <v>4057</v>
      </c>
      <c r="D971" s="19" t="s">
        <v>4058</v>
      </c>
    </row>
    <row r="972" spans="1:4" ht="15.5" x14ac:dyDescent="0.35">
      <c r="A972" s="1" t="s">
        <v>1400</v>
      </c>
      <c r="B972" s="19" t="s">
        <v>2399</v>
      </c>
      <c r="C972" s="19" t="s">
        <v>4059</v>
      </c>
      <c r="D972" s="19" t="s">
        <v>3152</v>
      </c>
    </row>
    <row r="973" spans="1:4" ht="15.5" x14ac:dyDescent="0.35">
      <c r="A973" s="1" t="s">
        <v>1399</v>
      </c>
      <c r="B973" s="19" t="s">
        <v>2399</v>
      </c>
      <c r="C973" s="19" t="s">
        <v>4060</v>
      </c>
      <c r="D973" s="19" t="s">
        <v>4061</v>
      </c>
    </row>
    <row r="974" spans="1:4" ht="15.5" x14ac:dyDescent="0.35">
      <c r="A974" s="1" t="s">
        <v>1398</v>
      </c>
      <c r="B974" s="19" t="s">
        <v>2402</v>
      </c>
      <c r="C974" s="19" t="s">
        <v>4062</v>
      </c>
      <c r="D974" s="19" t="s">
        <v>2700</v>
      </c>
    </row>
    <row r="975" spans="1:4" ht="15.5" x14ac:dyDescent="0.35">
      <c r="A975" s="1" t="s">
        <v>1397</v>
      </c>
      <c r="B975" s="19" t="s">
        <v>3277</v>
      </c>
      <c r="C975" s="19" t="s">
        <v>3736</v>
      </c>
      <c r="D975" s="19" t="s">
        <v>4063</v>
      </c>
    </row>
    <row r="976" spans="1:4" ht="15.5" x14ac:dyDescent="0.35">
      <c r="A976" s="1" t="s">
        <v>1396</v>
      </c>
      <c r="B976" s="19" t="s">
        <v>2402</v>
      </c>
      <c r="C976" s="19" t="s">
        <v>4064</v>
      </c>
      <c r="D976" s="19" t="s">
        <v>3626</v>
      </c>
    </row>
    <row r="977" spans="1:4" ht="15.5" x14ac:dyDescent="0.35">
      <c r="A977" s="1" t="s">
        <v>1395</v>
      </c>
      <c r="B977" s="19" t="s">
        <v>3277</v>
      </c>
      <c r="C977" s="19" t="s">
        <v>4065</v>
      </c>
      <c r="D977" s="19" t="s">
        <v>4066</v>
      </c>
    </row>
    <row r="978" spans="1:4" ht="15.5" x14ac:dyDescent="0.35">
      <c r="A978" s="1" t="s">
        <v>1394</v>
      </c>
      <c r="B978" s="19" t="s">
        <v>3277</v>
      </c>
      <c r="C978" s="19" t="s">
        <v>3269</v>
      </c>
      <c r="D978" s="19" t="s">
        <v>4067</v>
      </c>
    </row>
    <row r="979" spans="1:4" ht="15.5" x14ac:dyDescent="0.35">
      <c r="A979" s="1" t="s">
        <v>1393</v>
      </c>
      <c r="B979" s="19" t="s">
        <v>2402</v>
      </c>
      <c r="C979" s="19" t="s">
        <v>4068</v>
      </c>
      <c r="D979" s="19" t="s">
        <v>2962</v>
      </c>
    </row>
    <row r="980" spans="1:4" ht="15.5" x14ac:dyDescent="0.35">
      <c r="A980" s="1" t="s">
        <v>1392</v>
      </c>
      <c r="B980" s="19" t="s">
        <v>2402</v>
      </c>
      <c r="C980" s="19" t="s">
        <v>4069</v>
      </c>
      <c r="D980" s="19" t="s">
        <v>2491</v>
      </c>
    </row>
    <row r="981" spans="1:4" ht="15.5" x14ac:dyDescent="0.35">
      <c r="A981" s="1" t="s">
        <v>1391</v>
      </c>
      <c r="B981" s="19" t="s">
        <v>2402</v>
      </c>
      <c r="C981" s="19" t="s">
        <v>4070</v>
      </c>
      <c r="D981" s="19" t="s">
        <v>2827</v>
      </c>
    </row>
    <row r="982" spans="1:4" ht="15.5" x14ac:dyDescent="0.35">
      <c r="A982" s="1" t="s">
        <v>1390</v>
      </c>
      <c r="B982" s="19" t="s">
        <v>2402</v>
      </c>
      <c r="C982" s="19" t="s">
        <v>4071</v>
      </c>
      <c r="D982" s="19" t="s">
        <v>4072</v>
      </c>
    </row>
    <row r="983" spans="1:4" ht="15.5" x14ac:dyDescent="0.35">
      <c r="A983" s="1" t="s">
        <v>1389</v>
      </c>
      <c r="B983" s="19" t="s">
        <v>2402</v>
      </c>
      <c r="C983" s="19" t="s">
        <v>4073</v>
      </c>
      <c r="D983" s="19" t="s">
        <v>4074</v>
      </c>
    </row>
    <row r="984" spans="1:4" ht="15.5" x14ac:dyDescent="0.35">
      <c r="A984" s="1" t="s">
        <v>1388</v>
      </c>
      <c r="B984" s="19" t="s">
        <v>2402</v>
      </c>
      <c r="C984" s="19" t="s">
        <v>4075</v>
      </c>
      <c r="D984" s="19" t="s">
        <v>2837</v>
      </c>
    </row>
    <row r="985" spans="1:4" ht="15.5" x14ac:dyDescent="0.35">
      <c r="A985" s="1" t="s">
        <v>1387</v>
      </c>
      <c r="B985" s="19" t="s">
        <v>3277</v>
      </c>
      <c r="C985" s="19" t="s">
        <v>4076</v>
      </c>
      <c r="D985" s="19" t="s">
        <v>4077</v>
      </c>
    </row>
    <row r="986" spans="1:4" ht="15.5" x14ac:dyDescent="0.35">
      <c r="A986" s="1" t="s">
        <v>1386</v>
      </c>
      <c r="B986" s="19" t="s">
        <v>2402</v>
      </c>
      <c r="C986" s="19" t="s">
        <v>4078</v>
      </c>
      <c r="D986" s="19" t="s">
        <v>4079</v>
      </c>
    </row>
    <row r="987" spans="1:4" ht="15.5" x14ac:dyDescent="0.35">
      <c r="A987" s="1" t="s">
        <v>1385</v>
      </c>
      <c r="B987" s="19" t="s">
        <v>2399</v>
      </c>
      <c r="C987" s="19" t="s">
        <v>4080</v>
      </c>
      <c r="D987" s="19" t="s">
        <v>4081</v>
      </c>
    </row>
    <row r="988" spans="1:4" ht="15.5" x14ac:dyDescent="0.35">
      <c r="A988" s="1" t="s">
        <v>1384</v>
      </c>
      <c r="B988" s="19" t="s">
        <v>2399</v>
      </c>
      <c r="C988" s="19" t="s">
        <v>2677</v>
      </c>
      <c r="D988" s="19" t="s">
        <v>2878</v>
      </c>
    </row>
    <row r="989" spans="1:4" ht="15.5" x14ac:dyDescent="0.35">
      <c r="A989" s="1" t="s">
        <v>1383</v>
      </c>
      <c r="B989" s="19" t="s">
        <v>3277</v>
      </c>
      <c r="C989" s="19" t="s">
        <v>4082</v>
      </c>
      <c r="D989" s="19" t="s">
        <v>3925</v>
      </c>
    </row>
    <row r="990" spans="1:4" ht="15.5" x14ac:dyDescent="0.35">
      <c r="A990" s="1" t="s">
        <v>1382</v>
      </c>
      <c r="B990" s="19" t="s">
        <v>2399</v>
      </c>
      <c r="C990" s="19" t="s">
        <v>4083</v>
      </c>
      <c r="D990" s="19" t="s">
        <v>4084</v>
      </c>
    </row>
    <row r="991" spans="1:4" ht="15.5" x14ac:dyDescent="0.35">
      <c r="A991" s="1" t="s">
        <v>1381</v>
      </c>
      <c r="B991" s="19" t="s">
        <v>2399</v>
      </c>
      <c r="C991" s="19" t="s">
        <v>4085</v>
      </c>
      <c r="D991" s="19" t="s">
        <v>2555</v>
      </c>
    </row>
    <row r="992" spans="1:4" ht="15.5" x14ac:dyDescent="0.35">
      <c r="A992" s="1" t="s">
        <v>1380</v>
      </c>
      <c r="B992" s="19" t="s">
        <v>2399</v>
      </c>
      <c r="C992" s="19" t="s">
        <v>4086</v>
      </c>
      <c r="D992" s="19" t="s">
        <v>4087</v>
      </c>
    </row>
    <row r="993" spans="1:4" ht="15.5" x14ac:dyDescent="0.35">
      <c r="A993" s="1" t="s">
        <v>1379</v>
      </c>
      <c r="B993" s="19" t="s">
        <v>2402</v>
      </c>
      <c r="C993" s="19" t="s">
        <v>2574</v>
      </c>
      <c r="D993" s="19" t="s">
        <v>4088</v>
      </c>
    </row>
    <row r="994" spans="1:4" ht="15.5" x14ac:dyDescent="0.35">
      <c r="A994" s="1" t="s">
        <v>1378</v>
      </c>
      <c r="B994" s="19" t="s">
        <v>2402</v>
      </c>
      <c r="C994" s="19" t="s">
        <v>4089</v>
      </c>
      <c r="D994" s="19" t="s">
        <v>4090</v>
      </c>
    </row>
    <row r="995" spans="1:4" ht="15.5" x14ac:dyDescent="0.35">
      <c r="A995" s="1" t="s">
        <v>1377</v>
      </c>
      <c r="B995" s="19" t="s">
        <v>2399</v>
      </c>
      <c r="C995" s="19" t="s">
        <v>4091</v>
      </c>
      <c r="D995" s="19" t="s">
        <v>4092</v>
      </c>
    </row>
    <row r="996" spans="1:4" ht="15.5" x14ac:dyDescent="0.35">
      <c r="A996" s="1" t="s">
        <v>1376</v>
      </c>
      <c r="B996" s="19" t="s">
        <v>2402</v>
      </c>
      <c r="C996" s="19" t="s">
        <v>2481</v>
      </c>
      <c r="D996" s="19" t="s">
        <v>4093</v>
      </c>
    </row>
    <row r="997" spans="1:4" ht="15.5" x14ac:dyDescent="0.35">
      <c r="A997" s="1" t="s">
        <v>1375</v>
      </c>
      <c r="B997" s="19" t="s">
        <v>3277</v>
      </c>
      <c r="C997" s="19" t="s">
        <v>4094</v>
      </c>
      <c r="D997" s="19" t="s">
        <v>4095</v>
      </c>
    </row>
    <row r="998" spans="1:4" ht="15.5" x14ac:dyDescent="0.35">
      <c r="A998" s="1" t="s">
        <v>1374</v>
      </c>
      <c r="B998" s="19" t="s">
        <v>2402</v>
      </c>
      <c r="C998" s="19" t="s">
        <v>2448</v>
      </c>
      <c r="D998" s="19" t="s">
        <v>4096</v>
      </c>
    </row>
    <row r="999" spans="1:4" ht="15.5" x14ac:dyDescent="0.35">
      <c r="A999" s="1" t="s">
        <v>1373</v>
      </c>
      <c r="B999" s="19" t="s">
        <v>3277</v>
      </c>
      <c r="C999" s="19" t="s">
        <v>4097</v>
      </c>
      <c r="D999" s="19" t="s">
        <v>3221</v>
      </c>
    </row>
    <row r="1000" spans="1:4" ht="15.5" x14ac:dyDescent="0.35">
      <c r="A1000" s="1" t="s">
        <v>1372</v>
      </c>
      <c r="B1000" s="19" t="s">
        <v>2402</v>
      </c>
      <c r="C1000" s="19" t="s">
        <v>3383</v>
      </c>
      <c r="D1000" s="19" t="s">
        <v>4098</v>
      </c>
    </row>
    <row r="1001" spans="1:4" ht="15.5" x14ac:dyDescent="0.35">
      <c r="A1001" s="1" t="s">
        <v>1371</v>
      </c>
      <c r="B1001" s="19" t="s">
        <v>3277</v>
      </c>
      <c r="C1001" s="19" t="s">
        <v>4099</v>
      </c>
      <c r="D1001" s="19" t="s">
        <v>4100</v>
      </c>
    </row>
    <row r="1002" spans="1:4" ht="15.5" x14ac:dyDescent="0.35">
      <c r="A1002" s="1" t="s">
        <v>1370</v>
      </c>
      <c r="B1002" s="19" t="s">
        <v>2402</v>
      </c>
      <c r="C1002" s="19" t="s">
        <v>4101</v>
      </c>
      <c r="D1002" s="19" t="s">
        <v>2559</v>
      </c>
    </row>
    <row r="1003" spans="1:4" ht="15.5" x14ac:dyDescent="0.35">
      <c r="A1003" s="1" t="s">
        <v>1369</v>
      </c>
      <c r="B1003" s="19" t="s">
        <v>3277</v>
      </c>
      <c r="C1003" s="19" t="s">
        <v>4102</v>
      </c>
      <c r="D1003" s="19" t="s">
        <v>4103</v>
      </c>
    </row>
    <row r="1004" spans="1:4" ht="15.5" x14ac:dyDescent="0.35">
      <c r="A1004" s="1" t="s">
        <v>1368</v>
      </c>
      <c r="B1004" s="19" t="s">
        <v>2399</v>
      </c>
      <c r="C1004" s="19" t="s">
        <v>4104</v>
      </c>
      <c r="D1004" s="19" t="s">
        <v>4105</v>
      </c>
    </row>
    <row r="1005" spans="1:4" ht="15.5" x14ac:dyDescent="0.35">
      <c r="A1005" s="1" t="s">
        <v>1367</v>
      </c>
      <c r="B1005" s="19" t="s">
        <v>2402</v>
      </c>
      <c r="C1005" s="19" t="s">
        <v>4106</v>
      </c>
      <c r="D1005" s="19" t="s">
        <v>2472</v>
      </c>
    </row>
    <row r="1006" spans="1:4" ht="15.5" x14ac:dyDescent="0.35">
      <c r="A1006" s="1" t="s">
        <v>1366</v>
      </c>
      <c r="B1006" s="19" t="s">
        <v>2402</v>
      </c>
      <c r="C1006" s="19" t="s">
        <v>4107</v>
      </c>
      <c r="D1006" s="19" t="s">
        <v>2585</v>
      </c>
    </row>
    <row r="1007" spans="1:4" ht="15.5" x14ac:dyDescent="0.35">
      <c r="A1007" s="1" t="s">
        <v>1365</v>
      </c>
      <c r="B1007" s="19" t="s">
        <v>2399</v>
      </c>
      <c r="C1007" s="19" t="s">
        <v>4108</v>
      </c>
      <c r="D1007" s="19" t="s">
        <v>4109</v>
      </c>
    </row>
    <row r="1008" spans="1:4" ht="15.5" x14ac:dyDescent="0.35">
      <c r="A1008" s="1" t="s">
        <v>1364</v>
      </c>
      <c r="B1008" s="19" t="s">
        <v>2399</v>
      </c>
      <c r="C1008" s="19" t="s">
        <v>2892</v>
      </c>
      <c r="D1008" s="19" t="s">
        <v>4110</v>
      </c>
    </row>
    <row r="1009" spans="1:4" ht="15.5" x14ac:dyDescent="0.35">
      <c r="A1009" s="1" t="s">
        <v>1363</v>
      </c>
      <c r="B1009" s="19" t="s">
        <v>2402</v>
      </c>
      <c r="C1009" s="19" t="s">
        <v>4111</v>
      </c>
      <c r="D1009" s="19" t="s">
        <v>4112</v>
      </c>
    </row>
    <row r="1010" spans="1:4" ht="15.5" x14ac:dyDescent="0.35">
      <c r="A1010" s="1" t="s">
        <v>1362</v>
      </c>
      <c r="B1010" s="19" t="s">
        <v>2399</v>
      </c>
      <c r="C1010" s="19" t="s">
        <v>4113</v>
      </c>
      <c r="D1010" s="19" t="s">
        <v>2756</v>
      </c>
    </row>
    <row r="1011" spans="1:4" ht="15.5" x14ac:dyDescent="0.35">
      <c r="A1011" s="1" t="s">
        <v>1361</v>
      </c>
      <c r="B1011" s="19" t="s">
        <v>2399</v>
      </c>
      <c r="C1011" s="19" t="s">
        <v>4114</v>
      </c>
      <c r="D1011" s="19" t="s">
        <v>4115</v>
      </c>
    </row>
    <row r="1012" spans="1:4" ht="15.5" x14ac:dyDescent="0.35">
      <c r="A1012" s="1" t="s">
        <v>1360</v>
      </c>
      <c r="B1012" s="19" t="s">
        <v>2399</v>
      </c>
      <c r="C1012" s="19" t="s">
        <v>4116</v>
      </c>
      <c r="D1012" s="19" t="s">
        <v>2871</v>
      </c>
    </row>
    <row r="1013" spans="1:4" ht="15.5" x14ac:dyDescent="0.35">
      <c r="A1013" s="1" t="s">
        <v>1359</v>
      </c>
      <c r="B1013" s="19" t="s">
        <v>2399</v>
      </c>
      <c r="C1013" s="19" t="s">
        <v>4117</v>
      </c>
      <c r="D1013" s="19" t="s">
        <v>3978</v>
      </c>
    </row>
    <row r="1014" spans="1:4" ht="15.5" x14ac:dyDescent="0.35">
      <c r="A1014" s="1" t="s">
        <v>1358</v>
      </c>
      <c r="B1014" s="19" t="s">
        <v>2399</v>
      </c>
      <c r="C1014" s="19" t="s">
        <v>4118</v>
      </c>
      <c r="D1014" s="19" t="s">
        <v>4119</v>
      </c>
    </row>
    <row r="1015" spans="1:4" ht="15.5" x14ac:dyDescent="0.35">
      <c r="A1015" s="1" t="s">
        <v>1357</v>
      </c>
      <c r="B1015" s="19" t="s">
        <v>2399</v>
      </c>
      <c r="C1015" s="19" t="s">
        <v>4120</v>
      </c>
      <c r="D1015" s="19" t="s">
        <v>3341</v>
      </c>
    </row>
    <row r="1016" spans="1:4" ht="15.5" x14ac:dyDescent="0.35">
      <c r="A1016" s="1" t="s">
        <v>1356</v>
      </c>
      <c r="B1016" s="19" t="s">
        <v>2399</v>
      </c>
      <c r="C1016" s="19" t="s">
        <v>4121</v>
      </c>
      <c r="D1016" s="19" t="s">
        <v>2705</v>
      </c>
    </row>
    <row r="1017" spans="1:4" ht="15.5" x14ac:dyDescent="0.35">
      <c r="A1017" s="1" t="s">
        <v>1355</v>
      </c>
      <c r="B1017" s="19" t="s">
        <v>2399</v>
      </c>
      <c r="C1017" s="19" t="s">
        <v>4122</v>
      </c>
      <c r="D1017" s="19" t="s">
        <v>4123</v>
      </c>
    </row>
    <row r="1018" spans="1:4" ht="15.5" x14ac:dyDescent="0.35">
      <c r="A1018" s="1" t="s">
        <v>1354</v>
      </c>
      <c r="B1018" s="19" t="s">
        <v>3277</v>
      </c>
      <c r="C1018" s="19" t="s">
        <v>4124</v>
      </c>
      <c r="D1018" s="19" t="s">
        <v>4125</v>
      </c>
    </row>
    <row r="1019" spans="1:4" ht="15.5" x14ac:dyDescent="0.35">
      <c r="A1019" s="1" t="s">
        <v>1353</v>
      </c>
      <c r="B1019" s="19" t="s">
        <v>3277</v>
      </c>
      <c r="C1019" s="19" t="s">
        <v>4126</v>
      </c>
      <c r="D1019" s="19" t="s">
        <v>4127</v>
      </c>
    </row>
    <row r="1020" spans="1:4" ht="15.5" x14ac:dyDescent="0.35">
      <c r="A1020" s="1" t="s">
        <v>1352</v>
      </c>
      <c r="B1020" s="19" t="s">
        <v>2402</v>
      </c>
      <c r="C1020" s="19" t="s">
        <v>4128</v>
      </c>
      <c r="D1020" s="19" t="s">
        <v>2415</v>
      </c>
    </row>
    <row r="1021" spans="1:4" ht="15.5" x14ac:dyDescent="0.35">
      <c r="A1021" s="1" t="s">
        <v>1351</v>
      </c>
      <c r="B1021" s="19" t="s">
        <v>2399</v>
      </c>
      <c r="C1021" s="19" t="s">
        <v>4129</v>
      </c>
      <c r="D1021" s="19" t="s">
        <v>4130</v>
      </c>
    </row>
    <row r="1022" spans="1:4" ht="15.5" x14ac:dyDescent="0.35">
      <c r="A1022" s="1" t="s">
        <v>1350</v>
      </c>
      <c r="B1022" s="19" t="s">
        <v>2402</v>
      </c>
      <c r="C1022" s="19" t="s">
        <v>4131</v>
      </c>
      <c r="D1022" s="19" t="s">
        <v>4132</v>
      </c>
    </row>
    <row r="1023" spans="1:4" ht="15.5" x14ac:dyDescent="0.35">
      <c r="A1023" s="1" t="s">
        <v>1349</v>
      </c>
      <c r="B1023" s="19" t="s">
        <v>2399</v>
      </c>
      <c r="C1023" s="19" t="s">
        <v>4133</v>
      </c>
      <c r="D1023" s="19" t="s">
        <v>4134</v>
      </c>
    </row>
    <row r="1024" spans="1:4" ht="15.5" x14ac:dyDescent="0.35">
      <c r="A1024" s="1" t="s">
        <v>1348</v>
      </c>
      <c r="B1024" s="19" t="s">
        <v>2399</v>
      </c>
      <c r="C1024" s="19" t="s">
        <v>4135</v>
      </c>
      <c r="D1024" s="19" t="s">
        <v>4136</v>
      </c>
    </row>
    <row r="1025" spans="1:4" ht="15.5" x14ac:dyDescent="0.35">
      <c r="A1025" s="1" t="s">
        <v>1347</v>
      </c>
      <c r="B1025" s="19" t="s">
        <v>2402</v>
      </c>
      <c r="C1025" s="19" t="s">
        <v>4137</v>
      </c>
      <c r="D1025" s="19" t="s">
        <v>4138</v>
      </c>
    </row>
    <row r="1026" spans="1:4" ht="15.5" x14ac:dyDescent="0.35">
      <c r="A1026" s="1" t="s">
        <v>1346</v>
      </c>
      <c r="B1026" s="19" t="s">
        <v>2402</v>
      </c>
      <c r="C1026" s="19" t="s">
        <v>4139</v>
      </c>
      <c r="D1026" s="19" t="s">
        <v>2423</v>
      </c>
    </row>
    <row r="1027" spans="1:4" ht="15.5" x14ac:dyDescent="0.35">
      <c r="A1027" s="1" t="s">
        <v>1345</v>
      </c>
      <c r="B1027" s="19" t="s">
        <v>2402</v>
      </c>
      <c r="C1027" s="19" t="s">
        <v>4140</v>
      </c>
      <c r="D1027" s="19" t="s">
        <v>4141</v>
      </c>
    </row>
    <row r="1028" spans="1:4" ht="15.5" x14ac:dyDescent="0.35">
      <c r="A1028" s="1" t="s">
        <v>1344</v>
      </c>
      <c r="B1028" s="19" t="s">
        <v>2399</v>
      </c>
      <c r="C1028" s="19" t="s">
        <v>4142</v>
      </c>
      <c r="D1028" s="19" t="s">
        <v>4143</v>
      </c>
    </row>
    <row r="1029" spans="1:4" ht="15.5" x14ac:dyDescent="0.35">
      <c r="A1029" s="1" t="s">
        <v>1343</v>
      </c>
      <c r="B1029" s="19" t="s">
        <v>2402</v>
      </c>
      <c r="C1029" s="19" t="s">
        <v>4144</v>
      </c>
      <c r="D1029" s="19" t="s">
        <v>4141</v>
      </c>
    </row>
    <row r="1030" spans="1:4" ht="15.5" x14ac:dyDescent="0.35">
      <c r="A1030" s="1" t="s">
        <v>1342</v>
      </c>
      <c r="B1030" s="19" t="s">
        <v>2402</v>
      </c>
      <c r="C1030" s="19" t="s">
        <v>4145</v>
      </c>
      <c r="D1030" s="19" t="s">
        <v>2559</v>
      </c>
    </row>
    <row r="1031" spans="1:4" ht="15.5" x14ac:dyDescent="0.35">
      <c r="A1031" s="1" t="s">
        <v>1341</v>
      </c>
      <c r="B1031" s="19" t="s">
        <v>2399</v>
      </c>
      <c r="C1031" s="19" t="s">
        <v>4146</v>
      </c>
      <c r="D1031" s="19" t="s">
        <v>4147</v>
      </c>
    </row>
    <row r="1032" spans="1:4" ht="15.5" x14ac:dyDescent="0.35">
      <c r="A1032" s="1" t="s">
        <v>1340</v>
      </c>
      <c r="B1032" s="19" t="s">
        <v>2402</v>
      </c>
      <c r="C1032" s="19" t="s">
        <v>4148</v>
      </c>
      <c r="D1032" s="19" t="s">
        <v>4149</v>
      </c>
    </row>
    <row r="1033" spans="1:4" ht="15.5" x14ac:dyDescent="0.35">
      <c r="A1033" s="1" t="s">
        <v>1339</v>
      </c>
      <c r="B1033" s="19" t="s">
        <v>2399</v>
      </c>
      <c r="C1033" s="19" t="s">
        <v>4150</v>
      </c>
      <c r="D1033" s="19" t="s">
        <v>4151</v>
      </c>
    </row>
    <row r="1034" spans="1:4" ht="15.5" x14ac:dyDescent="0.35">
      <c r="A1034" s="1" t="s">
        <v>1338</v>
      </c>
      <c r="B1034" s="19" t="s">
        <v>2399</v>
      </c>
      <c r="C1034" s="19" t="s">
        <v>3565</v>
      </c>
      <c r="D1034" s="19" t="s">
        <v>4152</v>
      </c>
    </row>
    <row r="1035" spans="1:4" ht="15.5" x14ac:dyDescent="0.35">
      <c r="A1035" s="1" t="s">
        <v>1337</v>
      </c>
      <c r="B1035" s="19" t="s">
        <v>2399</v>
      </c>
      <c r="C1035" s="19" t="s">
        <v>4153</v>
      </c>
      <c r="D1035" s="19" t="s">
        <v>3110</v>
      </c>
    </row>
    <row r="1036" spans="1:4" ht="15.5" x14ac:dyDescent="0.35">
      <c r="A1036" s="1" t="s">
        <v>1336</v>
      </c>
      <c r="B1036" s="19" t="s">
        <v>2399</v>
      </c>
      <c r="C1036" s="19" t="s">
        <v>4154</v>
      </c>
      <c r="D1036" s="19" t="s">
        <v>4155</v>
      </c>
    </row>
    <row r="1037" spans="1:4" ht="15.5" x14ac:dyDescent="0.35">
      <c r="A1037" s="1" t="s">
        <v>1335</v>
      </c>
      <c r="B1037" s="19" t="s">
        <v>2399</v>
      </c>
      <c r="C1037" s="19" t="s">
        <v>4156</v>
      </c>
      <c r="D1037" s="19" t="s">
        <v>3406</v>
      </c>
    </row>
    <row r="1038" spans="1:4" ht="15.5" x14ac:dyDescent="0.35">
      <c r="A1038" s="1" t="s">
        <v>1334</v>
      </c>
      <c r="B1038" s="19" t="s">
        <v>2402</v>
      </c>
      <c r="C1038" s="19" t="s">
        <v>4157</v>
      </c>
      <c r="D1038" s="19" t="s">
        <v>2528</v>
      </c>
    </row>
    <row r="1039" spans="1:4" ht="15.5" x14ac:dyDescent="0.35">
      <c r="A1039" s="1" t="s">
        <v>1333</v>
      </c>
      <c r="B1039" s="19" t="s">
        <v>2402</v>
      </c>
      <c r="C1039" s="19" t="s">
        <v>4158</v>
      </c>
      <c r="D1039" s="19" t="s">
        <v>4159</v>
      </c>
    </row>
    <row r="1040" spans="1:4" ht="15.5" x14ac:dyDescent="0.35">
      <c r="A1040" s="1" t="s">
        <v>1332</v>
      </c>
      <c r="B1040" s="19" t="s">
        <v>2399</v>
      </c>
      <c r="C1040" s="19" t="s">
        <v>4160</v>
      </c>
      <c r="D1040" s="19" t="s">
        <v>2904</v>
      </c>
    </row>
    <row r="1041" spans="1:4" ht="15.5" x14ac:dyDescent="0.35">
      <c r="A1041" s="1" t="s">
        <v>1331</v>
      </c>
      <c r="B1041" s="19" t="s">
        <v>2399</v>
      </c>
      <c r="C1041" s="19" t="s">
        <v>4161</v>
      </c>
      <c r="D1041" s="19" t="s">
        <v>4162</v>
      </c>
    </row>
    <row r="1042" spans="1:4" ht="15.5" x14ac:dyDescent="0.35">
      <c r="A1042" s="1" t="s">
        <v>1330</v>
      </c>
      <c r="B1042" s="19" t="s">
        <v>2402</v>
      </c>
      <c r="C1042" s="19" t="s">
        <v>3615</v>
      </c>
      <c r="D1042" s="19" t="s">
        <v>2709</v>
      </c>
    </row>
    <row r="1043" spans="1:4" ht="15.5" x14ac:dyDescent="0.35">
      <c r="A1043" s="1" t="s">
        <v>1329</v>
      </c>
      <c r="B1043" s="19" t="s">
        <v>2399</v>
      </c>
      <c r="C1043" s="19" t="s">
        <v>4163</v>
      </c>
      <c r="D1043" s="19" t="s">
        <v>4164</v>
      </c>
    </row>
    <row r="1044" spans="1:4" ht="15.5" x14ac:dyDescent="0.35">
      <c r="A1044" s="1" t="s">
        <v>1328</v>
      </c>
      <c r="B1044" s="19" t="s">
        <v>2402</v>
      </c>
      <c r="C1044" s="19" t="s">
        <v>4165</v>
      </c>
      <c r="D1044" s="19" t="s">
        <v>4166</v>
      </c>
    </row>
    <row r="1045" spans="1:4" ht="15.5" x14ac:dyDescent="0.35">
      <c r="A1045" s="1" t="s">
        <v>1327</v>
      </c>
      <c r="B1045" s="19" t="s">
        <v>2402</v>
      </c>
      <c r="C1045" s="19" t="s">
        <v>4167</v>
      </c>
      <c r="D1045" s="19" t="s">
        <v>4168</v>
      </c>
    </row>
    <row r="1046" spans="1:4" ht="15.5" x14ac:dyDescent="0.35">
      <c r="A1046" s="1" t="s">
        <v>1326</v>
      </c>
      <c r="B1046" s="19" t="s">
        <v>3277</v>
      </c>
      <c r="C1046" s="19" t="s">
        <v>4169</v>
      </c>
      <c r="D1046" s="19" t="s">
        <v>4170</v>
      </c>
    </row>
    <row r="1047" spans="1:4" ht="15.5" x14ac:dyDescent="0.35">
      <c r="A1047" s="1" t="s">
        <v>1325</v>
      </c>
      <c r="B1047" s="19" t="s">
        <v>2402</v>
      </c>
      <c r="C1047" s="19" t="s">
        <v>4171</v>
      </c>
      <c r="D1047" s="19" t="s">
        <v>4172</v>
      </c>
    </row>
    <row r="1048" spans="1:4" ht="15.5" x14ac:dyDescent="0.35">
      <c r="A1048" s="1" t="s">
        <v>1324</v>
      </c>
      <c r="B1048" s="19" t="s">
        <v>2402</v>
      </c>
      <c r="C1048" s="19" t="s">
        <v>4173</v>
      </c>
      <c r="D1048" s="19" t="s">
        <v>4141</v>
      </c>
    </row>
    <row r="1049" spans="1:4" ht="15.5" x14ac:dyDescent="0.35">
      <c r="A1049" s="1" t="s">
        <v>1323</v>
      </c>
      <c r="B1049" s="19" t="s">
        <v>2399</v>
      </c>
      <c r="C1049" s="19" t="s">
        <v>4174</v>
      </c>
      <c r="D1049" s="19" t="s">
        <v>4175</v>
      </c>
    </row>
    <row r="1050" spans="1:4" ht="15.5" x14ac:dyDescent="0.35">
      <c r="A1050" s="1" t="s">
        <v>1322</v>
      </c>
      <c r="B1050" s="19" t="s">
        <v>2399</v>
      </c>
      <c r="C1050" s="19" t="s">
        <v>4176</v>
      </c>
      <c r="D1050" s="19" t="s">
        <v>4177</v>
      </c>
    </row>
    <row r="1051" spans="1:4" ht="15.5" x14ac:dyDescent="0.35">
      <c r="A1051" s="1" t="s">
        <v>1321</v>
      </c>
      <c r="B1051" s="19" t="s">
        <v>2399</v>
      </c>
      <c r="C1051" s="19" t="s">
        <v>4178</v>
      </c>
      <c r="D1051" s="19" t="s">
        <v>3624</v>
      </c>
    </row>
    <row r="1052" spans="1:4" ht="15.5" x14ac:dyDescent="0.35">
      <c r="A1052" s="1" t="s">
        <v>1320</v>
      </c>
      <c r="B1052" s="19" t="s">
        <v>3277</v>
      </c>
      <c r="C1052" s="19" t="s">
        <v>4179</v>
      </c>
      <c r="D1052" s="19" t="s">
        <v>4180</v>
      </c>
    </row>
    <row r="1053" spans="1:4" ht="15.5" x14ac:dyDescent="0.35">
      <c r="A1053" s="1" t="s">
        <v>1319</v>
      </c>
      <c r="B1053" s="19" t="s">
        <v>2402</v>
      </c>
      <c r="C1053" s="19" t="s">
        <v>4181</v>
      </c>
      <c r="D1053" s="19" t="s">
        <v>4182</v>
      </c>
    </row>
    <row r="1054" spans="1:4" ht="15.5" x14ac:dyDescent="0.35">
      <c r="A1054" s="1" t="s">
        <v>1318</v>
      </c>
      <c r="B1054" s="19" t="s">
        <v>2399</v>
      </c>
      <c r="C1054" s="19" t="s">
        <v>4183</v>
      </c>
      <c r="D1054" s="19" t="s">
        <v>4184</v>
      </c>
    </row>
    <row r="1055" spans="1:4" ht="15.5" x14ac:dyDescent="0.35">
      <c r="A1055" s="1" t="s">
        <v>1317</v>
      </c>
      <c r="B1055" s="19" t="s">
        <v>2402</v>
      </c>
      <c r="C1055" s="19" t="s">
        <v>4185</v>
      </c>
      <c r="D1055" s="19" t="s">
        <v>3244</v>
      </c>
    </row>
    <row r="1056" spans="1:4" ht="15.5" x14ac:dyDescent="0.35">
      <c r="A1056" s="1" t="s">
        <v>1316</v>
      </c>
      <c r="B1056" s="19" t="s">
        <v>3277</v>
      </c>
      <c r="C1056" s="19" t="s">
        <v>4186</v>
      </c>
      <c r="D1056" s="19" t="s">
        <v>3175</v>
      </c>
    </row>
    <row r="1057" spans="1:5" ht="15.5" x14ac:dyDescent="0.35">
      <c r="A1057" s="1" t="s">
        <v>1315</v>
      </c>
      <c r="B1057" s="19" t="s">
        <v>2399</v>
      </c>
      <c r="C1057" s="19" t="s">
        <v>4187</v>
      </c>
      <c r="D1057" s="19" t="s">
        <v>4188</v>
      </c>
    </row>
    <row r="1058" spans="1:5" ht="15.5" x14ac:dyDescent="0.35">
      <c r="A1058" s="1" t="s">
        <v>1314</v>
      </c>
      <c r="B1058" s="19" t="s">
        <v>3277</v>
      </c>
      <c r="C1058" s="19" t="s">
        <v>4085</v>
      </c>
      <c r="D1058" s="19" t="s">
        <v>4189</v>
      </c>
    </row>
    <row r="1059" spans="1:5" ht="15.5" x14ac:dyDescent="0.35">
      <c r="A1059" s="1" t="s">
        <v>1313</v>
      </c>
      <c r="B1059" s="19" t="s">
        <v>2399</v>
      </c>
      <c r="C1059" s="19" t="s">
        <v>4190</v>
      </c>
      <c r="D1059" s="19" t="s">
        <v>3999</v>
      </c>
    </row>
    <row r="1060" spans="1:5" ht="15.5" x14ac:dyDescent="0.35">
      <c r="A1060" s="1" t="s">
        <v>1312</v>
      </c>
      <c r="B1060" s="19" t="s">
        <v>2402</v>
      </c>
      <c r="C1060" s="19" t="s">
        <v>4191</v>
      </c>
      <c r="D1060" s="19" t="s">
        <v>2792</v>
      </c>
    </row>
    <row r="1061" spans="1:5" ht="15.5" x14ac:dyDescent="0.35">
      <c r="A1061" s="1" t="s">
        <v>1311</v>
      </c>
      <c r="B1061" s="19" t="s">
        <v>2402</v>
      </c>
      <c r="C1061" s="19" t="s">
        <v>4192</v>
      </c>
      <c r="D1061" s="19" t="s">
        <v>4193</v>
      </c>
    </row>
    <row r="1062" spans="1:5" ht="15.5" x14ac:dyDescent="0.35">
      <c r="A1062" s="1" t="s">
        <v>1310</v>
      </c>
      <c r="B1062" s="19" t="s">
        <v>2402</v>
      </c>
      <c r="C1062" s="19" t="s">
        <v>4194</v>
      </c>
      <c r="D1062" s="19" t="s">
        <v>4195</v>
      </c>
    </row>
    <row r="1063" spans="1:5" ht="15.5" x14ac:dyDescent="0.35">
      <c r="A1063" s="1" t="s">
        <v>1309</v>
      </c>
      <c r="B1063" s="19" t="s">
        <v>2402</v>
      </c>
      <c r="C1063" s="19" t="s">
        <v>3742</v>
      </c>
      <c r="D1063" s="19" t="s">
        <v>4196</v>
      </c>
      <c r="E1063" t="s">
        <v>4197</v>
      </c>
    </row>
    <row r="1064" spans="1:5" ht="15.5" x14ac:dyDescent="0.35">
      <c r="A1064" s="1" t="s">
        <v>1308</v>
      </c>
      <c r="B1064" s="19" t="s">
        <v>2402</v>
      </c>
      <c r="C1064" s="19" t="s">
        <v>4198</v>
      </c>
      <c r="D1064" s="19" t="s">
        <v>4199</v>
      </c>
    </row>
    <row r="1065" spans="1:5" ht="15.5" x14ac:dyDescent="0.35">
      <c r="A1065" s="1" t="s">
        <v>1307</v>
      </c>
      <c r="B1065" s="19" t="s">
        <v>2402</v>
      </c>
      <c r="C1065" s="19" t="s">
        <v>4200</v>
      </c>
      <c r="D1065" s="19" t="s">
        <v>4201</v>
      </c>
    </row>
    <row r="1066" spans="1:5" ht="15.5" x14ac:dyDescent="0.35">
      <c r="A1066" s="1" t="s">
        <v>1306</v>
      </c>
      <c r="B1066" s="19" t="s">
        <v>2399</v>
      </c>
      <c r="C1066" s="19" t="s">
        <v>4202</v>
      </c>
      <c r="D1066" s="19" t="s">
        <v>4203</v>
      </c>
    </row>
    <row r="1067" spans="1:5" ht="15.5" x14ac:dyDescent="0.35">
      <c r="A1067" s="1" t="s">
        <v>1305</v>
      </c>
      <c r="B1067" s="19" t="s">
        <v>2402</v>
      </c>
      <c r="C1067" s="19" t="s">
        <v>4204</v>
      </c>
      <c r="D1067" s="19" t="s">
        <v>4205</v>
      </c>
    </row>
    <row r="1068" spans="1:5" ht="15.5" x14ac:dyDescent="0.35">
      <c r="A1068" s="1" t="s">
        <v>1304</v>
      </c>
      <c r="B1068" s="19" t="s">
        <v>2399</v>
      </c>
      <c r="C1068" s="19" t="s">
        <v>4206</v>
      </c>
      <c r="D1068" s="19" t="s">
        <v>3757</v>
      </c>
    </row>
    <row r="1069" spans="1:5" ht="15.5" x14ac:dyDescent="0.35">
      <c r="A1069" s="1" t="s">
        <v>1303</v>
      </c>
      <c r="B1069" s="19" t="s">
        <v>2402</v>
      </c>
      <c r="C1069" s="19" t="s">
        <v>4207</v>
      </c>
      <c r="D1069" s="19" t="s">
        <v>2413</v>
      </c>
    </row>
    <row r="1070" spans="1:5" ht="15.5" x14ac:dyDescent="0.35">
      <c r="A1070" s="1" t="s">
        <v>1302</v>
      </c>
      <c r="B1070" s="19" t="s">
        <v>2399</v>
      </c>
      <c r="C1070" s="19" t="s">
        <v>3753</v>
      </c>
      <c r="D1070" s="19" t="s">
        <v>4208</v>
      </c>
    </row>
    <row r="1071" spans="1:5" ht="15.5" x14ac:dyDescent="0.35">
      <c r="A1071" s="1" t="s">
        <v>1301</v>
      </c>
      <c r="B1071" s="19" t="s">
        <v>2399</v>
      </c>
      <c r="C1071" s="19" t="s">
        <v>4209</v>
      </c>
      <c r="D1071" s="19" t="s">
        <v>4210</v>
      </c>
    </row>
    <row r="1072" spans="1:5" ht="15.5" x14ac:dyDescent="0.35">
      <c r="A1072" s="1" t="s">
        <v>1300</v>
      </c>
      <c r="B1072" s="19" t="s">
        <v>2399</v>
      </c>
      <c r="C1072" s="19" t="s">
        <v>4211</v>
      </c>
      <c r="D1072" s="19" t="s">
        <v>3041</v>
      </c>
    </row>
    <row r="1073" spans="1:4" ht="15.5" x14ac:dyDescent="0.35">
      <c r="A1073" s="1" t="s">
        <v>1299</v>
      </c>
      <c r="B1073" s="19" t="s">
        <v>3277</v>
      </c>
      <c r="C1073" s="19" t="s">
        <v>4212</v>
      </c>
      <c r="D1073" s="19" t="s">
        <v>4213</v>
      </c>
    </row>
    <row r="1074" spans="1:4" ht="15.5" x14ac:dyDescent="0.35">
      <c r="A1074" s="1" t="s">
        <v>1298</v>
      </c>
      <c r="B1074" s="19" t="s">
        <v>2399</v>
      </c>
      <c r="C1074" s="19" t="s">
        <v>4214</v>
      </c>
      <c r="D1074" s="19" t="s">
        <v>4215</v>
      </c>
    </row>
    <row r="1075" spans="1:4" ht="15.5" x14ac:dyDescent="0.35">
      <c r="A1075" s="1" t="s">
        <v>1297</v>
      </c>
      <c r="B1075" s="19" t="s">
        <v>2402</v>
      </c>
      <c r="C1075" s="19" t="s">
        <v>4216</v>
      </c>
      <c r="D1075" s="19" t="s">
        <v>2680</v>
      </c>
    </row>
    <row r="1076" spans="1:4" ht="15.5" x14ac:dyDescent="0.35">
      <c r="A1076" s="1" t="s">
        <v>1296</v>
      </c>
      <c r="B1076" s="19" t="s">
        <v>2402</v>
      </c>
      <c r="C1076" s="19" t="s">
        <v>4217</v>
      </c>
      <c r="D1076" s="19" t="s">
        <v>3378</v>
      </c>
    </row>
    <row r="1077" spans="1:4" ht="15.5" x14ac:dyDescent="0.35">
      <c r="A1077" s="1" t="s">
        <v>1295</v>
      </c>
      <c r="B1077" s="19" t="s">
        <v>2402</v>
      </c>
      <c r="C1077" s="19" t="s">
        <v>3305</v>
      </c>
      <c r="D1077" s="19" t="s">
        <v>4218</v>
      </c>
    </row>
    <row r="1078" spans="1:4" ht="15.5" x14ac:dyDescent="0.35">
      <c r="A1078" s="1" t="s">
        <v>1294</v>
      </c>
      <c r="B1078" s="19" t="s">
        <v>2399</v>
      </c>
      <c r="C1078" s="19" t="s">
        <v>4219</v>
      </c>
      <c r="D1078" s="19" t="s">
        <v>4220</v>
      </c>
    </row>
    <row r="1079" spans="1:4" ht="15.5" x14ac:dyDescent="0.35">
      <c r="A1079" s="1" t="s">
        <v>1293</v>
      </c>
      <c r="B1079" s="19" t="s">
        <v>2402</v>
      </c>
      <c r="C1079" s="19" t="s">
        <v>4221</v>
      </c>
      <c r="D1079" s="19" t="s">
        <v>2827</v>
      </c>
    </row>
    <row r="1080" spans="1:4" ht="15.5" x14ac:dyDescent="0.35">
      <c r="A1080" s="1" t="s">
        <v>1292</v>
      </c>
      <c r="B1080" s="19" t="s">
        <v>2402</v>
      </c>
      <c r="C1080" s="19" t="s">
        <v>4222</v>
      </c>
      <c r="D1080" s="19" t="s">
        <v>4223</v>
      </c>
    </row>
    <row r="1081" spans="1:4" ht="15.5" x14ac:dyDescent="0.35">
      <c r="A1081" s="1" t="s">
        <v>1291</v>
      </c>
      <c r="B1081" s="19" t="s">
        <v>2402</v>
      </c>
      <c r="C1081" s="19" t="s">
        <v>4224</v>
      </c>
      <c r="D1081" s="19" t="s">
        <v>4225</v>
      </c>
    </row>
    <row r="1082" spans="1:4" ht="15.5" x14ac:dyDescent="0.35">
      <c r="A1082" s="1" t="s">
        <v>1290</v>
      </c>
      <c r="B1082" s="19" t="s">
        <v>2402</v>
      </c>
      <c r="C1082" s="19" t="s">
        <v>4226</v>
      </c>
      <c r="D1082" s="19" t="s">
        <v>3399</v>
      </c>
    </row>
    <row r="1083" spans="1:4" ht="15.5" x14ac:dyDescent="0.35">
      <c r="A1083" s="1" t="s">
        <v>1289</v>
      </c>
      <c r="B1083" s="19" t="s">
        <v>3277</v>
      </c>
      <c r="C1083" s="19" t="s">
        <v>4227</v>
      </c>
      <c r="D1083" s="19" t="s">
        <v>4228</v>
      </c>
    </row>
    <row r="1084" spans="1:4" ht="15.5" x14ac:dyDescent="0.35">
      <c r="A1084" s="1" t="s">
        <v>1288</v>
      </c>
      <c r="B1084" s="19" t="s">
        <v>3277</v>
      </c>
      <c r="C1084" s="19" t="s">
        <v>4229</v>
      </c>
      <c r="D1084" s="19" t="s">
        <v>4230</v>
      </c>
    </row>
    <row r="1085" spans="1:4" ht="15.5" x14ac:dyDescent="0.35">
      <c r="A1085" s="1" t="s">
        <v>1287</v>
      </c>
      <c r="B1085" s="19" t="s">
        <v>2402</v>
      </c>
      <c r="C1085" s="19" t="s">
        <v>4231</v>
      </c>
      <c r="D1085" s="19" t="s">
        <v>4232</v>
      </c>
    </row>
    <row r="1086" spans="1:4" ht="15.5" x14ac:dyDescent="0.35">
      <c r="A1086" s="1" t="s">
        <v>1286</v>
      </c>
      <c r="B1086" s="19" t="s">
        <v>2402</v>
      </c>
      <c r="C1086" s="19" t="s">
        <v>4233</v>
      </c>
      <c r="D1086" s="19" t="s">
        <v>3378</v>
      </c>
    </row>
    <row r="1087" spans="1:4" ht="15.5" x14ac:dyDescent="0.35">
      <c r="A1087" s="1" t="s">
        <v>1285</v>
      </c>
      <c r="B1087" s="19" t="s">
        <v>2402</v>
      </c>
      <c r="C1087" s="19" t="s">
        <v>4234</v>
      </c>
      <c r="D1087" s="19" t="s">
        <v>2827</v>
      </c>
    </row>
    <row r="1088" spans="1:4" ht="15.5" x14ac:dyDescent="0.35">
      <c r="A1088" s="1" t="s">
        <v>1284</v>
      </c>
      <c r="B1088" s="19" t="s">
        <v>2399</v>
      </c>
      <c r="C1088" s="19" t="s">
        <v>4235</v>
      </c>
      <c r="D1088" s="19" t="s">
        <v>4236</v>
      </c>
    </row>
    <row r="1089" spans="1:4" ht="15.5" x14ac:dyDescent="0.35">
      <c r="A1089" s="1" t="s">
        <v>1283</v>
      </c>
      <c r="B1089" s="19" t="s">
        <v>2399</v>
      </c>
      <c r="C1089" s="19" t="s">
        <v>4237</v>
      </c>
      <c r="D1089" s="19" t="s">
        <v>4238</v>
      </c>
    </row>
    <row r="1090" spans="1:4" ht="15.5" x14ac:dyDescent="0.35">
      <c r="A1090" s="1" t="s">
        <v>1282</v>
      </c>
      <c r="B1090" s="19" t="s">
        <v>3277</v>
      </c>
      <c r="C1090" s="19" t="s">
        <v>4239</v>
      </c>
      <c r="D1090" s="19" t="s">
        <v>4240</v>
      </c>
    </row>
    <row r="1091" spans="1:4" ht="15.5" x14ac:dyDescent="0.35">
      <c r="A1091" s="1" t="s">
        <v>1281</v>
      </c>
      <c r="B1091" s="19" t="s">
        <v>2399</v>
      </c>
      <c r="C1091" s="19" t="s">
        <v>4241</v>
      </c>
      <c r="D1091" s="19" t="s">
        <v>4242</v>
      </c>
    </row>
    <row r="1092" spans="1:4" ht="15.5" x14ac:dyDescent="0.35">
      <c r="A1092" s="1" t="s">
        <v>1280</v>
      </c>
      <c r="B1092" s="19" t="s">
        <v>2399</v>
      </c>
      <c r="C1092" s="19" t="s">
        <v>4158</v>
      </c>
      <c r="D1092" s="19" t="s">
        <v>4243</v>
      </c>
    </row>
    <row r="1093" spans="1:4" ht="15.5" x14ac:dyDescent="0.35">
      <c r="A1093" s="1" t="s">
        <v>1279</v>
      </c>
      <c r="B1093" s="19" t="s">
        <v>2402</v>
      </c>
      <c r="C1093" s="19" t="s">
        <v>4244</v>
      </c>
      <c r="D1093" s="19" t="s">
        <v>4245</v>
      </c>
    </row>
    <row r="1094" spans="1:4" ht="15.5" x14ac:dyDescent="0.35">
      <c r="A1094" s="1" t="s">
        <v>1278</v>
      </c>
      <c r="B1094" s="19" t="s">
        <v>2399</v>
      </c>
      <c r="C1094" s="19" t="s">
        <v>4246</v>
      </c>
      <c r="D1094" s="19" t="s">
        <v>4247</v>
      </c>
    </row>
    <row r="1095" spans="1:4" ht="15.5" x14ac:dyDescent="0.35">
      <c r="A1095" s="1" t="s">
        <v>1277</v>
      </c>
      <c r="B1095" s="19" t="s">
        <v>2402</v>
      </c>
      <c r="C1095" s="19" t="s">
        <v>2523</v>
      </c>
      <c r="D1095" s="19" t="s">
        <v>3846</v>
      </c>
    </row>
    <row r="1096" spans="1:4" ht="15.5" x14ac:dyDescent="0.35">
      <c r="A1096" s="1" t="s">
        <v>1276</v>
      </c>
      <c r="B1096" s="19" t="s">
        <v>2402</v>
      </c>
      <c r="C1096" s="19" t="s">
        <v>4248</v>
      </c>
      <c r="D1096" s="19" t="s">
        <v>2700</v>
      </c>
    </row>
    <row r="1097" spans="1:4" ht="15.5" x14ac:dyDescent="0.35">
      <c r="A1097" s="1" t="s">
        <v>1275</v>
      </c>
      <c r="B1097" s="19" t="s">
        <v>3277</v>
      </c>
      <c r="C1097" s="19" t="s">
        <v>4249</v>
      </c>
      <c r="D1097" s="19" t="s">
        <v>4250</v>
      </c>
    </row>
    <row r="1098" spans="1:4" ht="15.5" x14ac:dyDescent="0.35">
      <c r="A1098" s="1" t="s">
        <v>1274</v>
      </c>
      <c r="B1098" s="19" t="s">
        <v>2399</v>
      </c>
      <c r="C1098" s="19" t="s">
        <v>4251</v>
      </c>
      <c r="D1098" s="19" t="s">
        <v>4252</v>
      </c>
    </row>
    <row r="1099" spans="1:4" ht="15.5" x14ac:dyDescent="0.35">
      <c r="A1099" s="1" t="s">
        <v>1273</v>
      </c>
      <c r="B1099" s="19" t="s">
        <v>2399</v>
      </c>
      <c r="C1099" s="19" t="s">
        <v>4253</v>
      </c>
      <c r="D1099" s="19" t="s">
        <v>3624</v>
      </c>
    </row>
    <row r="1100" spans="1:4" ht="15.5" x14ac:dyDescent="0.35">
      <c r="A1100" s="1" t="s">
        <v>1272</v>
      </c>
      <c r="B1100" s="19" t="s">
        <v>2399</v>
      </c>
      <c r="C1100" s="19" t="s">
        <v>2882</v>
      </c>
      <c r="D1100" s="19" t="s">
        <v>4254</v>
      </c>
    </row>
    <row r="1101" spans="1:4" ht="15.5" x14ac:dyDescent="0.35">
      <c r="A1101" s="1" t="s">
        <v>1271</v>
      </c>
      <c r="B1101" s="19" t="s">
        <v>2402</v>
      </c>
      <c r="C1101" s="19" t="s">
        <v>4255</v>
      </c>
      <c r="D1101" s="19" t="s">
        <v>4256</v>
      </c>
    </row>
    <row r="1102" spans="1:4" ht="15.5" x14ac:dyDescent="0.35">
      <c r="A1102" s="1" t="s">
        <v>1270</v>
      </c>
      <c r="B1102" s="19" t="s">
        <v>3277</v>
      </c>
      <c r="C1102" s="19" t="s">
        <v>4257</v>
      </c>
      <c r="D1102" s="19" t="s">
        <v>3221</v>
      </c>
    </row>
    <row r="1103" spans="1:4" ht="15.5" x14ac:dyDescent="0.35">
      <c r="A1103" s="1" t="s">
        <v>1269</v>
      </c>
      <c r="B1103" s="19" t="s">
        <v>2402</v>
      </c>
      <c r="C1103" s="19" t="s">
        <v>3265</v>
      </c>
      <c r="D1103" s="19" t="s">
        <v>2413</v>
      </c>
    </row>
    <row r="1104" spans="1:4" ht="15.5" x14ac:dyDescent="0.35">
      <c r="A1104" s="1" t="s">
        <v>1268</v>
      </c>
      <c r="B1104" s="19" t="s">
        <v>2402</v>
      </c>
      <c r="C1104" s="19" t="s">
        <v>4258</v>
      </c>
      <c r="D1104" s="19" t="s">
        <v>4259</v>
      </c>
    </row>
    <row r="1105" spans="1:4" ht="15.5" x14ac:dyDescent="0.35">
      <c r="A1105" s="1" t="s">
        <v>1267</v>
      </c>
      <c r="B1105" s="19" t="s">
        <v>2399</v>
      </c>
      <c r="C1105" s="19" t="s">
        <v>4260</v>
      </c>
      <c r="D1105" s="19" t="s">
        <v>4261</v>
      </c>
    </row>
    <row r="1106" spans="1:4" ht="15.5" x14ac:dyDescent="0.35">
      <c r="A1106" s="1" t="s">
        <v>1266</v>
      </c>
      <c r="B1106" s="19" t="s">
        <v>2402</v>
      </c>
      <c r="C1106" s="19" t="s">
        <v>4262</v>
      </c>
      <c r="D1106" s="19" t="s">
        <v>4263</v>
      </c>
    </row>
    <row r="1107" spans="1:4" ht="15.5" x14ac:dyDescent="0.35">
      <c r="A1107" s="1" t="s">
        <v>1265</v>
      </c>
      <c r="B1107" s="19" t="s">
        <v>2402</v>
      </c>
      <c r="C1107" s="19" t="s">
        <v>4264</v>
      </c>
      <c r="D1107" s="19" t="s">
        <v>2628</v>
      </c>
    </row>
    <row r="1108" spans="1:4" ht="15.5" x14ac:dyDescent="0.35">
      <c r="A1108" s="1" t="s">
        <v>1264</v>
      </c>
      <c r="B1108" s="19" t="s">
        <v>2402</v>
      </c>
      <c r="C1108" s="19" t="s">
        <v>4265</v>
      </c>
      <c r="D1108" s="19" t="s">
        <v>3456</v>
      </c>
    </row>
    <row r="1109" spans="1:4" ht="15.5" x14ac:dyDescent="0.35">
      <c r="A1109" s="1" t="s">
        <v>1263</v>
      </c>
      <c r="B1109" s="19" t="s">
        <v>2399</v>
      </c>
      <c r="C1109" s="19" t="s">
        <v>4266</v>
      </c>
      <c r="D1109" s="19" t="s">
        <v>4267</v>
      </c>
    </row>
    <row r="1110" spans="1:4" ht="15.5" x14ac:dyDescent="0.35">
      <c r="A1110" s="1" t="s">
        <v>1262</v>
      </c>
      <c r="B1110" s="19" t="s">
        <v>3277</v>
      </c>
      <c r="C1110" s="19" t="s">
        <v>4268</v>
      </c>
      <c r="D1110" s="19" t="s">
        <v>4269</v>
      </c>
    </row>
    <row r="1111" spans="1:4" ht="15.5" x14ac:dyDescent="0.35">
      <c r="A1111" s="1" t="s">
        <v>1261</v>
      </c>
      <c r="B1111" s="19" t="s">
        <v>3277</v>
      </c>
      <c r="C1111" s="19" t="s">
        <v>4270</v>
      </c>
      <c r="D1111" s="19" t="s">
        <v>4271</v>
      </c>
    </row>
    <row r="1112" spans="1:4" ht="15.5" x14ac:dyDescent="0.35">
      <c r="A1112" s="1" t="s">
        <v>1260</v>
      </c>
      <c r="B1112" s="19" t="s">
        <v>2399</v>
      </c>
      <c r="C1112" s="19" t="s">
        <v>3131</v>
      </c>
      <c r="D1112" s="19" t="s">
        <v>2555</v>
      </c>
    </row>
    <row r="1113" spans="1:4" ht="15.5" x14ac:dyDescent="0.35">
      <c r="A1113" s="1" t="s">
        <v>1259</v>
      </c>
      <c r="B1113" s="19" t="s">
        <v>3277</v>
      </c>
      <c r="C1113" s="19" t="s">
        <v>4272</v>
      </c>
      <c r="D1113" s="19" t="s">
        <v>4273</v>
      </c>
    </row>
    <row r="1114" spans="1:4" ht="15.5" x14ac:dyDescent="0.35">
      <c r="A1114" s="1" t="s">
        <v>1258</v>
      </c>
      <c r="B1114" s="19" t="s">
        <v>2402</v>
      </c>
      <c r="C1114" s="19" t="s">
        <v>4274</v>
      </c>
      <c r="D1114" s="19" t="s">
        <v>2585</v>
      </c>
    </row>
    <row r="1115" spans="1:4" ht="15.5" x14ac:dyDescent="0.35">
      <c r="A1115" s="1" t="s">
        <v>1257</v>
      </c>
      <c r="B1115" s="19" t="s">
        <v>2399</v>
      </c>
      <c r="C1115" s="19" t="s">
        <v>4275</v>
      </c>
      <c r="D1115" s="19" t="s">
        <v>4276</v>
      </c>
    </row>
    <row r="1116" spans="1:4" ht="15.5" x14ac:dyDescent="0.35">
      <c r="A1116" s="1" t="s">
        <v>1256</v>
      </c>
      <c r="B1116" s="19" t="s">
        <v>2399</v>
      </c>
      <c r="C1116" s="19" t="s">
        <v>4277</v>
      </c>
      <c r="D1116" s="19" t="s">
        <v>4278</v>
      </c>
    </row>
    <row r="1117" spans="1:4" ht="15.5" x14ac:dyDescent="0.35">
      <c r="A1117" s="1" t="s">
        <v>1255</v>
      </c>
      <c r="B1117" s="19" t="s">
        <v>2399</v>
      </c>
      <c r="C1117" s="19" t="s">
        <v>4279</v>
      </c>
      <c r="D1117" s="19" t="s">
        <v>4280</v>
      </c>
    </row>
    <row r="1118" spans="1:4" ht="15.5" x14ac:dyDescent="0.35">
      <c r="A1118" s="1" t="s">
        <v>1254</v>
      </c>
      <c r="B1118" s="19" t="s">
        <v>2399</v>
      </c>
      <c r="C1118" s="19" t="s">
        <v>4281</v>
      </c>
      <c r="D1118" s="19" t="s">
        <v>4282</v>
      </c>
    </row>
    <row r="1119" spans="1:4" ht="15.5" x14ac:dyDescent="0.35">
      <c r="A1119" s="1" t="s">
        <v>1253</v>
      </c>
      <c r="B1119" s="19" t="s">
        <v>2399</v>
      </c>
      <c r="C1119" s="19" t="s">
        <v>4283</v>
      </c>
      <c r="D1119" s="19" t="s">
        <v>2835</v>
      </c>
    </row>
    <row r="1120" spans="1:4" ht="15.5" x14ac:dyDescent="0.35">
      <c r="A1120" s="1" t="s">
        <v>1252</v>
      </c>
      <c r="B1120" s="19" t="s">
        <v>2402</v>
      </c>
      <c r="C1120" s="19" t="s">
        <v>4284</v>
      </c>
      <c r="D1120" s="19" t="s">
        <v>4285</v>
      </c>
    </row>
    <row r="1121" spans="1:4" ht="15.5" x14ac:dyDescent="0.35">
      <c r="A1121" s="1" t="s">
        <v>1251</v>
      </c>
      <c r="B1121" s="19" t="s">
        <v>2402</v>
      </c>
      <c r="C1121" s="19" t="s">
        <v>4286</v>
      </c>
      <c r="D1121" s="19" t="s">
        <v>4287</v>
      </c>
    </row>
    <row r="1122" spans="1:4" ht="15.5" x14ac:dyDescent="0.35">
      <c r="A1122" s="1" t="s">
        <v>1250</v>
      </c>
      <c r="B1122" s="19" t="s">
        <v>2402</v>
      </c>
      <c r="C1122" s="19" t="s">
        <v>4288</v>
      </c>
      <c r="D1122" s="19" t="s">
        <v>4289</v>
      </c>
    </row>
    <row r="1123" spans="1:4" ht="15.5" x14ac:dyDescent="0.35">
      <c r="A1123" s="1" t="s">
        <v>1249</v>
      </c>
      <c r="B1123" s="19" t="s">
        <v>2402</v>
      </c>
      <c r="C1123" s="19" t="s">
        <v>4290</v>
      </c>
      <c r="D1123" s="19" t="s">
        <v>3846</v>
      </c>
    </row>
    <row r="1124" spans="1:4" ht="15.5" x14ac:dyDescent="0.35">
      <c r="A1124" s="1" t="s">
        <v>1248</v>
      </c>
      <c r="B1124" s="19" t="s">
        <v>2399</v>
      </c>
      <c r="C1124" s="19" t="s">
        <v>4291</v>
      </c>
      <c r="D1124" s="19" t="s">
        <v>4292</v>
      </c>
    </row>
    <row r="1125" spans="1:4" ht="15.5" x14ac:dyDescent="0.35">
      <c r="A1125" s="1" t="s">
        <v>1247</v>
      </c>
      <c r="B1125" s="19" t="s">
        <v>2402</v>
      </c>
      <c r="C1125" s="19" t="s">
        <v>4293</v>
      </c>
      <c r="D1125" s="19" t="s">
        <v>3144</v>
      </c>
    </row>
    <row r="1126" spans="1:4" ht="15.5" x14ac:dyDescent="0.35">
      <c r="A1126" s="1" t="s">
        <v>1246</v>
      </c>
      <c r="B1126" s="19" t="s">
        <v>3277</v>
      </c>
      <c r="C1126" s="19" t="s">
        <v>4294</v>
      </c>
      <c r="D1126" s="19" t="s">
        <v>4295</v>
      </c>
    </row>
    <row r="1127" spans="1:4" ht="15.5" x14ac:dyDescent="0.35">
      <c r="A1127" s="1" t="s">
        <v>1245</v>
      </c>
      <c r="B1127" s="19" t="s">
        <v>2399</v>
      </c>
      <c r="C1127" s="19" t="s">
        <v>4296</v>
      </c>
      <c r="D1127" s="19" t="s">
        <v>4297</v>
      </c>
    </row>
    <row r="1128" spans="1:4" ht="15.5" x14ac:dyDescent="0.35">
      <c r="A1128" s="1" t="s">
        <v>1244</v>
      </c>
      <c r="B1128" s="19" t="s">
        <v>2402</v>
      </c>
      <c r="C1128" s="19" t="s">
        <v>4298</v>
      </c>
      <c r="D1128" s="19" t="s">
        <v>3156</v>
      </c>
    </row>
    <row r="1129" spans="1:4" ht="15.5" x14ac:dyDescent="0.35">
      <c r="A1129" s="1" t="s">
        <v>1243</v>
      </c>
      <c r="B1129" s="19" t="s">
        <v>2402</v>
      </c>
      <c r="C1129" s="19" t="s">
        <v>4299</v>
      </c>
      <c r="D1129" s="19" t="s">
        <v>2496</v>
      </c>
    </row>
    <row r="1130" spans="1:4" ht="15.5" x14ac:dyDescent="0.35">
      <c r="A1130" s="1" t="s">
        <v>1242</v>
      </c>
      <c r="B1130" s="19" t="s">
        <v>2402</v>
      </c>
      <c r="C1130" s="19" t="s">
        <v>4300</v>
      </c>
      <c r="D1130" s="19" t="s">
        <v>4301</v>
      </c>
    </row>
    <row r="1131" spans="1:4" ht="15.5" x14ac:dyDescent="0.35">
      <c r="A1131" s="1" t="s">
        <v>1241</v>
      </c>
      <c r="B1131" s="19" t="s">
        <v>2399</v>
      </c>
      <c r="C1131" s="19" t="s">
        <v>4302</v>
      </c>
      <c r="D1131" s="19" t="s">
        <v>3347</v>
      </c>
    </row>
    <row r="1132" spans="1:4" ht="15.5" x14ac:dyDescent="0.35">
      <c r="A1132" s="1" t="s">
        <v>1240</v>
      </c>
      <c r="B1132" s="19" t="s">
        <v>3277</v>
      </c>
      <c r="C1132" s="19" t="s">
        <v>4303</v>
      </c>
      <c r="D1132" s="19" t="s">
        <v>4304</v>
      </c>
    </row>
    <row r="1133" spans="1:4" ht="15.5" x14ac:dyDescent="0.35">
      <c r="A1133" s="1" t="s">
        <v>1239</v>
      </c>
      <c r="B1133" s="19" t="s">
        <v>2399</v>
      </c>
      <c r="C1133" s="19" t="s">
        <v>4305</v>
      </c>
      <c r="D1133" s="19" t="s">
        <v>4306</v>
      </c>
    </row>
    <row r="1134" spans="1:4" ht="15.5" x14ac:dyDescent="0.35">
      <c r="A1134" s="1" t="s">
        <v>1238</v>
      </c>
      <c r="B1134" s="19" t="s">
        <v>2402</v>
      </c>
      <c r="C1134" s="19" t="s">
        <v>4307</v>
      </c>
      <c r="D1134" s="19" t="s">
        <v>4308</v>
      </c>
    </row>
    <row r="1135" spans="1:4" ht="15.5" x14ac:dyDescent="0.35">
      <c r="A1135" s="1" t="s">
        <v>1237</v>
      </c>
      <c r="B1135" s="19" t="s">
        <v>2399</v>
      </c>
      <c r="C1135" s="19" t="s">
        <v>4309</v>
      </c>
      <c r="D1135" s="19" t="s">
        <v>2765</v>
      </c>
    </row>
    <row r="1136" spans="1:4" ht="15.5" x14ac:dyDescent="0.35">
      <c r="A1136" s="1" t="s">
        <v>1236</v>
      </c>
      <c r="B1136" s="19" t="s">
        <v>2399</v>
      </c>
      <c r="C1136" s="19" t="s">
        <v>4310</v>
      </c>
      <c r="D1136" s="19" t="s">
        <v>2526</v>
      </c>
    </row>
    <row r="1137" spans="1:4" ht="15.5" x14ac:dyDescent="0.35">
      <c r="A1137" s="1" t="s">
        <v>1235</v>
      </c>
      <c r="B1137" s="19" t="s">
        <v>2399</v>
      </c>
      <c r="C1137" s="19" t="s">
        <v>4311</v>
      </c>
      <c r="D1137" s="19" t="s">
        <v>4312</v>
      </c>
    </row>
    <row r="1138" spans="1:4" ht="15.5" x14ac:dyDescent="0.35">
      <c r="A1138" s="1" t="s">
        <v>1234</v>
      </c>
      <c r="B1138" s="19" t="s">
        <v>2399</v>
      </c>
      <c r="C1138" s="19" t="s">
        <v>4313</v>
      </c>
      <c r="D1138" s="19" t="s">
        <v>4314</v>
      </c>
    </row>
    <row r="1139" spans="1:4" ht="15.5" x14ac:dyDescent="0.35">
      <c r="A1139" s="1" t="s">
        <v>1233</v>
      </c>
      <c r="B1139" s="19" t="s">
        <v>2399</v>
      </c>
      <c r="C1139" s="19" t="s">
        <v>4315</v>
      </c>
      <c r="D1139" s="19" t="s">
        <v>4316</v>
      </c>
    </row>
    <row r="1140" spans="1:4" ht="15.5" x14ac:dyDescent="0.35">
      <c r="A1140" s="1" t="s">
        <v>1232</v>
      </c>
      <c r="B1140" s="19" t="s">
        <v>2399</v>
      </c>
      <c r="C1140" s="19" t="s">
        <v>4317</v>
      </c>
      <c r="D1140" s="19" t="s">
        <v>4318</v>
      </c>
    </row>
    <row r="1141" spans="1:4" ht="15.5" x14ac:dyDescent="0.35">
      <c r="A1141" s="1" t="s">
        <v>1231</v>
      </c>
      <c r="B1141" s="19" t="s">
        <v>2402</v>
      </c>
      <c r="C1141" s="19" t="s">
        <v>4319</v>
      </c>
      <c r="D1141" s="19" t="s">
        <v>2496</v>
      </c>
    </row>
    <row r="1142" spans="1:4" ht="15.5" x14ac:dyDescent="0.35">
      <c r="A1142" s="1" t="s">
        <v>1230</v>
      </c>
      <c r="B1142" s="19" t="s">
        <v>2402</v>
      </c>
      <c r="C1142" s="19" t="s">
        <v>2815</v>
      </c>
      <c r="D1142" s="19" t="s">
        <v>2528</v>
      </c>
    </row>
    <row r="1143" spans="1:4" ht="15.5" x14ac:dyDescent="0.35">
      <c r="A1143" s="1" t="s">
        <v>1229</v>
      </c>
      <c r="B1143" s="19" t="s">
        <v>2399</v>
      </c>
      <c r="C1143" s="19" t="s">
        <v>4320</v>
      </c>
      <c r="D1143" s="19" t="s">
        <v>2763</v>
      </c>
    </row>
    <row r="1144" spans="1:4" ht="15.5" x14ac:dyDescent="0.35">
      <c r="A1144" s="1" t="s">
        <v>1228</v>
      </c>
      <c r="B1144" s="19" t="s">
        <v>2402</v>
      </c>
      <c r="C1144" s="19" t="s">
        <v>4321</v>
      </c>
      <c r="D1144" s="19" t="s">
        <v>3846</v>
      </c>
    </row>
    <row r="1145" spans="1:4" ht="15.5" x14ac:dyDescent="0.35">
      <c r="A1145" s="1" t="s">
        <v>1227</v>
      </c>
      <c r="B1145" s="19" t="s">
        <v>2399</v>
      </c>
      <c r="C1145" s="19" t="s">
        <v>4322</v>
      </c>
      <c r="D1145" s="19" t="s">
        <v>4323</v>
      </c>
    </row>
    <row r="1146" spans="1:4" ht="15.5" x14ac:dyDescent="0.35">
      <c r="A1146" s="1" t="s">
        <v>1226</v>
      </c>
      <c r="B1146" s="19" t="s">
        <v>2399</v>
      </c>
      <c r="C1146" s="19" t="s">
        <v>4324</v>
      </c>
      <c r="D1146" s="19" t="s">
        <v>2445</v>
      </c>
    </row>
    <row r="1147" spans="1:4" ht="15.5" x14ac:dyDescent="0.35">
      <c r="A1147" s="1" t="s">
        <v>1225</v>
      </c>
      <c r="B1147" s="19" t="s">
        <v>2402</v>
      </c>
      <c r="C1147" s="19" t="s">
        <v>4325</v>
      </c>
      <c r="D1147" s="19" t="s">
        <v>4326</v>
      </c>
    </row>
    <row r="1148" spans="1:4" ht="15.5" x14ac:dyDescent="0.35">
      <c r="A1148" s="1" t="s">
        <v>1224</v>
      </c>
      <c r="B1148" s="19" t="s">
        <v>2402</v>
      </c>
      <c r="C1148" s="19" t="s">
        <v>4327</v>
      </c>
      <c r="D1148" s="19" t="s">
        <v>4328</v>
      </c>
    </row>
    <row r="1149" spans="1:4" ht="15.5" x14ac:dyDescent="0.35">
      <c r="A1149" s="1" t="s">
        <v>1223</v>
      </c>
      <c r="B1149" s="19" t="s">
        <v>2402</v>
      </c>
      <c r="C1149" s="19" t="s">
        <v>4329</v>
      </c>
      <c r="D1149" s="19" t="s">
        <v>2594</v>
      </c>
    </row>
    <row r="1150" spans="1:4" ht="15.5" x14ac:dyDescent="0.35">
      <c r="A1150" s="1" t="s">
        <v>1222</v>
      </c>
      <c r="B1150" s="19" t="s">
        <v>2402</v>
      </c>
      <c r="C1150" s="19" t="s">
        <v>4330</v>
      </c>
      <c r="D1150" s="19" t="s">
        <v>2700</v>
      </c>
    </row>
    <row r="1151" spans="1:4" ht="15.5" x14ac:dyDescent="0.35">
      <c r="A1151" s="1" t="s">
        <v>1221</v>
      </c>
      <c r="B1151" s="19" t="s">
        <v>2399</v>
      </c>
      <c r="C1151" s="19" t="s">
        <v>4331</v>
      </c>
      <c r="D1151" s="19" t="s">
        <v>4332</v>
      </c>
    </row>
    <row r="1152" spans="1:4" ht="15.5" x14ac:dyDescent="0.35">
      <c r="A1152" s="1" t="s">
        <v>1220</v>
      </c>
      <c r="B1152" s="19" t="s">
        <v>2402</v>
      </c>
      <c r="C1152" s="19" t="s">
        <v>3335</v>
      </c>
      <c r="D1152" s="19" t="s">
        <v>4333</v>
      </c>
    </row>
    <row r="1153" spans="1:4" ht="15.5" x14ac:dyDescent="0.35">
      <c r="A1153" s="1" t="s">
        <v>1219</v>
      </c>
      <c r="B1153" s="19" t="s">
        <v>2402</v>
      </c>
      <c r="C1153" s="19" t="s">
        <v>4334</v>
      </c>
      <c r="D1153" s="19" t="s">
        <v>4335</v>
      </c>
    </row>
    <row r="1154" spans="1:4" ht="15.5" x14ac:dyDescent="0.35">
      <c r="A1154" s="1" t="s">
        <v>1218</v>
      </c>
      <c r="B1154" s="19" t="s">
        <v>2399</v>
      </c>
      <c r="C1154" s="19" t="s">
        <v>4336</v>
      </c>
      <c r="D1154" s="19" t="s">
        <v>3307</v>
      </c>
    </row>
    <row r="1155" spans="1:4" ht="15.5" x14ac:dyDescent="0.35">
      <c r="A1155" s="1" t="s">
        <v>1217</v>
      </c>
      <c r="B1155" s="19" t="s">
        <v>2399</v>
      </c>
      <c r="C1155" s="19" t="s">
        <v>4337</v>
      </c>
      <c r="D1155" s="19" t="s">
        <v>4338</v>
      </c>
    </row>
    <row r="1156" spans="1:4" ht="15.5" x14ac:dyDescent="0.35">
      <c r="A1156" s="1" t="s">
        <v>1216</v>
      </c>
      <c r="B1156" s="19" t="s">
        <v>2399</v>
      </c>
      <c r="C1156" s="19" t="s">
        <v>4339</v>
      </c>
      <c r="D1156" s="19" t="s">
        <v>4340</v>
      </c>
    </row>
    <row r="1157" spans="1:4" ht="15.5" x14ac:dyDescent="0.35">
      <c r="A1157" s="1" t="s">
        <v>1215</v>
      </c>
      <c r="B1157" s="19" t="s">
        <v>2402</v>
      </c>
      <c r="C1157" s="19" t="s">
        <v>4341</v>
      </c>
      <c r="D1157" s="19" t="s">
        <v>4342</v>
      </c>
    </row>
    <row r="1158" spans="1:4" ht="15.5" x14ac:dyDescent="0.35">
      <c r="A1158" s="1" t="s">
        <v>1214</v>
      </c>
      <c r="B1158" s="19" t="s">
        <v>2402</v>
      </c>
      <c r="C1158" s="19" t="s">
        <v>4343</v>
      </c>
      <c r="D1158" s="19" t="s">
        <v>4344</v>
      </c>
    </row>
    <row r="1159" spans="1:4" ht="15.5" x14ac:dyDescent="0.35">
      <c r="A1159" s="1" t="s">
        <v>1213</v>
      </c>
      <c r="B1159" s="19" t="s">
        <v>2402</v>
      </c>
      <c r="C1159" s="19" t="s">
        <v>4345</v>
      </c>
      <c r="D1159" s="19" t="s">
        <v>4346</v>
      </c>
    </row>
    <row r="1160" spans="1:4" ht="15.5" x14ac:dyDescent="0.35">
      <c r="A1160" s="1" t="s">
        <v>1212</v>
      </c>
      <c r="B1160" s="19" t="s">
        <v>2399</v>
      </c>
      <c r="C1160" s="19" t="s">
        <v>4347</v>
      </c>
      <c r="D1160" s="19" t="s">
        <v>4348</v>
      </c>
    </row>
    <row r="1161" spans="1:4" ht="15.5" x14ac:dyDescent="0.35">
      <c r="A1161" s="1" t="s">
        <v>1211</v>
      </c>
      <c r="B1161" s="19" t="s">
        <v>2402</v>
      </c>
      <c r="C1161" s="19" t="s">
        <v>4349</v>
      </c>
      <c r="D1161" s="19" t="s">
        <v>4350</v>
      </c>
    </row>
    <row r="1162" spans="1:4" ht="15.5" x14ac:dyDescent="0.35">
      <c r="A1162" s="1" t="s">
        <v>1210</v>
      </c>
      <c r="B1162" s="19" t="s">
        <v>2399</v>
      </c>
      <c r="C1162" s="19" t="s">
        <v>4351</v>
      </c>
      <c r="D1162" s="19" t="s">
        <v>4352</v>
      </c>
    </row>
    <row r="1163" spans="1:4" ht="15.5" x14ac:dyDescent="0.35">
      <c r="A1163" s="1" t="s">
        <v>1209</v>
      </c>
      <c r="B1163" s="19" t="s">
        <v>2399</v>
      </c>
      <c r="C1163" s="19" t="s">
        <v>4353</v>
      </c>
      <c r="D1163" s="19" t="s">
        <v>3705</v>
      </c>
    </row>
    <row r="1164" spans="1:4" ht="15.5" x14ac:dyDescent="0.35">
      <c r="A1164" s="1" t="s">
        <v>1208</v>
      </c>
      <c r="B1164" s="19" t="s">
        <v>2402</v>
      </c>
      <c r="C1164" s="19" t="s">
        <v>4354</v>
      </c>
      <c r="D1164" s="19" t="s">
        <v>4355</v>
      </c>
    </row>
    <row r="1165" spans="1:4" ht="15.5" x14ac:dyDescent="0.35">
      <c r="A1165" s="1" t="s">
        <v>1207</v>
      </c>
      <c r="B1165" s="19" t="s">
        <v>2399</v>
      </c>
      <c r="C1165" s="19" t="s">
        <v>4356</v>
      </c>
      <c r="D1165" s="19" t="s">
        <v>4357</v>
      </c>
    </row>
    <row r="1166" spans="1:4" ht="15.5" x14ac:dyDescent="0.35">
      <c r="A1166" s="1" t="s">
        <v>1206</v>
      </c>
      <c r="B1166" s="19" t="s">
        <v>2399</v>
      </c>
      <c r="C1166" s="19" t="s">
        <v>4358</v>
      </c>
      <c r="D1166" s="19" t="s">
        <v>4359</v>
      </c>
    </row>
    <row r="1167" spans="1:4" ht="15.5" x14ac:dyDescent="0.35">
      <c r="A1167" s="1" t="s">
        <v>1205</v>
      </c>
      <c r="B1167" s="19" t="s">
        <v>2399</v>
      </c>
      <c r="C1167" s="19" t="s">
        <v>4360</v>
      </c>
      <c r="D1167" s="19" t="s">
        <v>2796</v>
      </c>
    </row>
    <row r="1168" spans="1:4" ht="15.5" x14ac:dyDescent="0.35">
      <c r="A1168" s="1" t="s">
        <v>1204</v>
      </c>
      <c r="B1168" s="19" t="s">
        <v>2399</v>
      </c>
      <c r="C1168" s="19" t="s">
        <v>4361</v>
      </c>
      <c r="D1168" s="19" t="s">
        <v>2476</v>
      </c>
    </row>
    <row r="1169" spans="1:4" ht="15.5" x14ac:dyDescent="0.35">
      <c r="A1169" s="1" t="s">
        <v>1203</v>
      </c>
      <c r="B1169" s="19" t="s">
        <v>3277</v>
      </c>
      <c r="C1169" s="19" t="s">
        <v>4362</v>
      </c>
      <c r="D1169" s="19" t="s">
        <v>4363</v>
      </c>
    </row>
    <row r="1170" spans="1:4" ht="15.5" x14ac:dyDescent="0.35">
      <c r="A1170" s="1" t="s">
        <v>1202</v>
      </c>
      <c r="B1170" s="19" t="s">
        <v>2402</v>
      </c>
      <c r="C1170" s="19" t="s">
        <v>2481</v>
      </c>
      <c r="D1170" s="19" t="s">
        <v>4364</v>
      </c>
    </row>
    <row r="1171" spans="1:4" ht="15.5" x14ac:dyDescent="0.35">
      <c r="A1171" s="1" t="s">
        <v>1201</v>
      </c>
      <c r="B1171" s="19" t="s">
        <v>2402</v>
      </c>
      <c r="C1171" s="19" t="s">
        <v>4365</v>
      </c>
      <c r="D1171" s="19" t="s">
        <v>4366</v>
      </c>
    </row>
    <row r="1172" spans="1:4" ht="15.5" x14ac:dyDescent="0.35">
      <c r="A1172" s="1" t="s">
        <v>1200</v>
      </c>
      <c r="B1172" s="19" t="s">
        <v>3277</v>
      </c>
      <c r="C1172" s="19" t="s">
        <v>4089</v>
      </c>
      <c r="D1172" s="19" t="s">
        <v>4367</v>
      </c>
    </row>
    <row r="1173" spans="1:4" ht="15.5" x14ac:dyDescent="0.35">
      <c r="A1173" s="1" t="s">
        <v>1199</v>
      </c>
      <c r="B1173" s="19" t="s">
        <v>2399</v>
      </c>
      <c r="C1173" s="19" t="s">
        <v>4368</v>
      </c>
      <c r="D1173" s="19" t="s">
        <v>4369</v>
      </c>
    </row>
    <row r="1174" spans="1:4" ht="15.5" x14ac:dyDescent="0.35">
      <c r="A1174" s="1" t="s">
        <v>1198</v>
      </c>
      <c r="B1174" s="19" t="s">
        <v>2402</v>
      </c>
      <c r="C1174" s="19" t="s">
        <v>4370</v>
      </c>
      <c r="D1174" s="19" t="s">
        <v>4371</v>
      </c>
    </row>
    <row r="1175" spans="1:4" ht="15.5" x14ac:dyDescent="0.35">
      <c r="A1175" s="1" t="s">
        <v>1197</v>
      </c>
      <c r="B1175" s="19" t="s">
        <v>3277</v>
      </c>
      <c r="C1175" s="19" t="s">
        <v>4372</v>
      </c>
      <c r="D1175" s="19" t="s">
        <v>4373</v>
      </c>
    </row>
    <row r="1176" spans="1:4" ht="15.5" x14ac:dyDescent="0.35">
      <c r="A1176" s="1" t="s">
        <v>1196</v>
      </c>
      <c r="B1176" s="19" t="s">
        <v>2402</v>
      </c>
      <c r="C1176" s="19" t="s">
        <v>4374</v>
      </c>
      <c r="D1176" s="19" t="s">
        <v>4375</v>
      </c>
    </row>
    <row r="1177" spans="1:4" ht="15.5" x14ac:dyDescent="0.35">
      <c r="A1177" s="1" t="s">
        <v>1195</v>
      </c>
      <c r="B1177" s="19" t="s">
        <v>2402</v>
      </c>
      <c r="C1177" s="19" t="s">
        <v>4376</v>
      </c>
      <c r="D1177" s="19" t="s">
        <v>4377</v>
      </c>
    </row>
    <row r="1178" spans="1:4" ht="15.5" x14ac:dyDescent="0.35">
      <c r="A1178" s="1" t="s">
        <v>1194</v>
      </c>
      <c r="B1178" s="19" t="s">
        <v>2402</v>
      </c>
      <c r="C1178" s="19" t="s">
        <v>4378</v>
      </c>
      <c r="D1178" s="19" t="s">
        <v>4379</v>
      </c>
    </row>
    <row r="1179" spans="1:4" ht="15.5" x14ac:dyDescent="0.35">
      <c r="A1179" s="1" t="s">
        <v>1193</v>
      </c>
      <c r="B1179" s="19" t="s">
        <v>2399</v>
      </c>
      <c r="C1179" s="19" t="s">
        <v>4380</v>
      </c>
      <c r="D1179" s="19" t="s">
        <v>4381</v>
      </c>
    </row>
    <row r="1180" spans="1:4" ht="15.5" x14ac:dyDescent="0.35">
      <c r="A1180" s="1" t="s">
        <v>1192</v>
      </c>
      <c r="B1180" s="19" t="s">
        <v>2402</v>
      </c>
      <c r="C1180" s="19" t="s">
        <v>4382</v>
      </c>
      <c r="D1180" s="19" t="s">
        <v>2536</v>
      </c>
    </row>
    <row r="1181" spans="1:4" ht="15.5" x14ac:dyDescent="0.35">
      <c r="A1181" s="1" t="s">
        <v>1191</v>
      </c>
      <c r="B1181" s="19" t="s">
        <v>2399</v>
      </c>
      <c r="C1181" s="19" t="s">
        <v>4383</v>
      </c>
      <c r="D1181" s="19" t="s">
        <v>2756</v>
      </c>
    </row>
    <row r="1182" spans="1:4" ht="15.5" x14ac:dyDescent="0.35">
      <c r="A1182" s="1" t="s">
        <v>1190</v>
      </c>
      <c r="B1182" s="19" t="s">
        <v>2402</v>
      </c>
      <c r="C1182" s="19" t="s">
        <v>4384</v>
      </c>
      <c r="D1182" s="19" t="s">
        <v>2451</v>
      </c>
    </row>
    <row r="1183" spans="1:4" ht="15.5" x14ac:dyDescent="0.35">
      <c r="A1183" s="1" t="s">
        <v>1189</v>
      </c>
      <c r="B1183" s="19" t="s">
        <v>2399</v>
      </c>
      <c r="C1183" s="19" t="s">
        <v>2479</v>
      </c>
      <c r="D1183" s="19" t="s">
        <v>4385</v>
      </c>
    </row>
    <row r="1184" spans="1:4" ht="15.5" x14ac:dyDescent="0.35">
      <c r="A1184" s="1" t="s">
        <v>1188</v>
      </c>
      <c r="B1184" s="19" t="s">
        <v>2399</v>
      </c>
      <c r="C1184" s="19" t="s">
        <v>4386</v>
      </c>
      <c r="D1184" s="19" t="s">
        <v>4387</v>
      </c>
    </row>
    <row r="1185" spans="1:4" ht="15.5" x14ac:dyDescent="0.35">
      <c r="A1185" s="1" t="s">
        <v>1187</v>
      </c>
      <c r="B1185" s="19" t="s">
        <v>3277</v>
      </c>
      <c r="C1185" s="19" t="s">
        <v>4388</v>
      </c>
      <c r="D1185" s="19" t="s">
        <v>4389</v>
      </c>
    </row>
    <row r="1186" spans="1:4" ht="15.5" x14ac:dyDescent="0.35">
      <c r="A1186" s="1" t="s">
        <v>1186</v>
      </c>
      <c r="B1186" s="19" t="s">
        <v>2402</v>
      </c>
      <c r="C1186" s="19" t="s">
        <v>4390</v>
      </c>
      <c r="D1186" s="19" t="s">
        <v>4391</v>
      </c>
    </row>
    <row r="1187" spans="1:4" ht="15.5" x14ac:dyDescent="0.35">
      <c r="A1187" s="1" t="s">
        <v>1185</v>
      </c>
      <c r="B1187" s="19" t="s">
        <v>2399</v>
      </c>
      <c r="C1187" s="19" t="s">
        <v>4392</v>
      </c>
      <c r="D1187" s="19" t="s">
        <v>2445</v>
      </c>
    </row>
    <row r="1188" spans="1:4" ht="15.5" x14ac:dyDescent="0.35">
      <c r="A1188" s="1" t="s">
        <v>1184</v>
      </c>
      <c r="B1188" s="19" t="s">
        <v>2399</v>
      </c>
      <c r="C1188" s="19" t="s">
        <v>4393</v>
      </c>
      <c r="D1188" s="19" t="s">
        <v>4394</v>
      </c>
    </row>
    <row r="1189" spans="1:4" ht="15.5" x14ac:dyDescent="0.35">
      <c r="A1189" s="1" t="s">
        <v>1183</v>
      </c>
      <c r="B1189" s="19" t="s">
        <v>2402</v>
      </c>
      <c r="C1189" s="19" t="s">
        <v>2915</v>
      </c>
      <c r="D1189" s="19" t="s">
        <v>4395</v>
      </c>
    </row>
    <row r="1190" spans="1:4" ht="15.5" x14ac:dyDescent="0.35">
      <c r="A1190" s="1" t="s">
        <v>1182</v>
      </c>
      <c r="B1190" s="19" t="s">
        <v>2402</v>
      </c>
      <c r="C1190" s="19" t="s">
        <v>4396</v>
      </c>
      <c r="D1190" s="19" t="s">
        <v>4397</v>
      </c>
    </row>
    <row r="1191" spans="1:4" ht="15.5" x14ac:dyDescent="0.35">
      <c r="A1191" s="1" t="s">
        <v>1181</v>
      </c>
      <c r="B1191" s="19" t="s">
        <v>2402</v>
      </c>
      <c r="C1191" s="19" t="s">
        <v>4398</v>
      </c>
      <c r="D1191" s="19" t="s">
        <v>4399</v>
      </c>
    </row>
    <row r="1192" spans="1:4" ht="15.5" x14ac:dyDescent="0.35">
      <c r="A1192" s="1" t="s">
        <v>1180</v>
      </c>
      <c r="B1192" s="19" t="s">
        <v>2402</v>
      </c>
      <c r="C1192" s="19" t="s">
        <v>4400</v>
      </c>
      <c r="D1192" s="19" t="s">
        <v>4401</v>
      </c>
    </row>
    <row r="1193" spans="1:4" ht="15.5" x14ac:dyDescent="0.35">
      <c r="A1193" s="1" t="s">
        <v>1179</v>
      </c>
      <c r="B1193" s="19" t="s">
        <v>2402</v>
      </c>
      <c r="C1193" s="19" t="s">
        <v>4402</v>
      </c>
      <c r="D1193" s="19" t="s">
        <v>2859</v>
      </c>
    </row>
    <row r="1194" spans="1:4" ht="15.5" x14ac:dyDescent="0.35">
      <c r="A1194" s="1" t="s">
        <v>1178</v>
      </c>
      <c r="B1194" s="19" t="s">
        <v>2399</v>
      </c>
      <c r="C1194" s="19" t="s">
        <v>4403</v>
      </c>
      <c r="D1194" s="19" t="s">
        <v>3039</v>
      </c>
    </row>
    <row r="1195" spans="1:4" ht="15.5" x14ac:dyDescent="0.35">
      <c r="A1195" s="1" t="s">
        <v>1177</v>
      </c>
      <c r="B1195" s="19" t="s">
        <v>2399</v>
      </c>
      <c r="C1195" s="19" t="s">
        <v>4404</v>
      </c>
      <c r="D1195" s="19" t="s">
        <v>2610</v>
      </c>
    </row>
    <row r="1196" spans="1:4" ht="15.5" x14ac:dyDescent="0.35">
      <c r="A1196" s="1" t="s">
        <v>1176</v>
      </c>
      <c r="B1196" s="19" t="s">
        <v>2399</v>
      </c>
      <c r="C1196" s="19" t="s">
        <v>4405</v>
      </c>
      <c r="D1196" s="19" t="s">
        <v>4406</v>
      </c>
    </row>
    <row r="1197" spans="1:4" ht="15.5" x14ac:dyDescent="0.35">
      <c r="A1197" s="1" t="s">
        <v>1175</v>
      </c>
      <c r="B1197" s="19" t="s">
        <v>2399</v>
      </c>
      <c r="C1197" s="19" t="s">
        <v>4407</v>
      </c>
      <c r="D1197" s="19" t="s">
        <v>4408</v>
      </c>
    </row>
    <row r="1198" spans="1:4" ht="15.5" x14ac:dyDescent="0.35">
      <c r="A1198" s="1" t="s">
        <v>1174</v>
      </c>
      <c r="B1198" s="19" t="s">
        <v>2399</v>
      </c>
      <c r="C1198" s="19" t="s">
        <v>4409</v>
      </c>
      <c r="D1198" s="19" t="s">
        <v>4410</v>
      </c>
    </row>
    <row r="1199" spans="1:4" ht="15.5" x14ac:dyDescent="0.35">
      <c r="A1199" s="1" t="s">
        <v>1173</v>
      </c>
      <c r="B1199" s="19" t="s">
        <v>2402</v>
      </c>
      <c r="C1199" s="19" t="s">
        <v>4411</v>
      </c>
      <c r="D1199" s="19" t="s">
        <v>4141</v>
      </c>
    </row>
    <row r="1200" spans="1:4" ht="15.5" x14ac:dyDescent="0.35">
      <c r="A1200" s="1" t="s">
        <v>1172</v>
      </c>
      <c r="B1200" s="19" t="s">
        <v>2402</v>
      </c>
      <c r="C1200" s="19" t="s">
        <v>4412</v>
      </c>
      <c r="D1200" s="19" t="s">
        <v>4413</v>
      </c>
    </row>
    <row r="1201" spans="1:4" ht="15.5" x14ac:dyDescent="0.35">
      <c r="A1201" s="1" t="s">
        <v>1171</v>
      </c>
      <c r="B1201" s="19" t="s">
        <v>3277</v>
      </c>
      <c r="C1201" s="19" t="s">
        <v>4414</v>
      </c>
      <c r="D1201" s="19" t="s">
        <v>3999</v>
      </c>
    </row>
    <row r="1202" spans="1:4" ht="15.5" x14ac:dyDescent="0.35">
      <c r="A1202" s="1" t="s">
        <v>1170</v>
      </c>
      <c r="B1202" s="19" t="s">
        <v>2402</v>
      </c>
      <c r="C1202" s="19" t="s">
        <v>3851</v>
      </c>
      <c r="D1202" s="19" t="s">
        <v>2496</v>
      </c>
    </row>
    <row r="1203" spans="1:4" ht="15.5" x14ac:dyDescent="0.35">
      <c r="A1203" s="1" t="s">
        <v>1169</v>
      </c>
      <c r="B1203" s="19" t="s">
        <v>3277</v>
      </c>
      <c r="C1203" s="19" t="s">
        <v>4415</v>
      </c>
      <c r="D1203" s="19" t="s">
        <v>4416</v>
      </c>
    </row>
    <row r="1204" spans="1:4" ht="15.5" x14ac:dyDescent="0.35">
      <c r="A1204" s="1" t="s">
        <v>1168</v>
      </c>
      <c r="B1204" s="19" t="s">
        <v>2402</v>
      </c>
      <c r="C1204" s="19" t="s">
        <v>4417</v>
      </c>
      <c r="D1204" s="19" t="s">
        <v>4418</v>
      </c>
    </row>
    <row r="1205" spans="1:4" ht="15.5" x14ac:dyDescent="0.35">
      <c r="A1205" s="1" t="s">
        <v>1167</v>
      </c>
      <c r="B1205" s="19" t="s">
        <v>2402</v>
      </c>
      <c r="C1205" s="19" t="s">
        <v>4419</v>
      </c>
      <c r="D1205" s="19" t="s">
        <v>3034</v>
      </c>
    </row>
    <row r="1206" spans="1:4" ht="15.5" x14ac:dyDescent="0.35">
      <c r="A1206" s="1" t="s">
        <v>1166</v>
      </c>
      <c r="B1206" s="19" t="s">
        <v>3277</v>
      </c>
      <c r="C1206" s="19" t="s">
        <v>4420</v>
      </c>
      <c r="D1206" s="19" t="s">
        <v>4421</v>
      </c>
    </row>
    <row r="1207" spans="1:4" ht="15.5" x14ac:dyDescent="0.35">
      <c r="A1207" s="1" t="s">
        <v>1165</v>
      </c>
      <c r="B1207" s="19" t="s">
        <v>2402</v>
      </c>
      <c r="C1207" s="19" t="s">
        <v>4422</v>
      </c>
      <c r="D1207" s="19" t="s">
        <v>4423</v>
      </c>
    </row>
    <row r="1208" spans="1:4" ht="15.5" x14ac:dyDescent="0.35">
      <c r="A1208" s="1" t="s">
        <v>1164</v>
      </c>
      <c r="B1208" s="19" t="s">
        <v>3277</v>
      </c>
      <c r="C1208" s="19" t="s">
        <v>4424</v>
      </c>
      <c r="D1208" s="19" t="s">
        <v>4425</v>
      </c>
    </row>
    <row r="1209" spans="1:4" ht="15.5" x14ac:dyDescent="0.35">
      <c r="A1209" s="1" t="s">
        <v>1163</v>
      </c>
      <c r="B1209" s="19" t="s">
        <v>2399</v>
      </c>
      <c r="C1209" s="19" t="s">
        <v>3403</v>
      </c>
      <c r="D1209" s="19" t="s">
        <v>4426</v>
      </c>
    </row>
    <row r="1210" spans="1:4" ht="15.5" x14ac:dyDescent="0.35">
      <c r="A1210" s="1" t="s">
        <v>1162</v>
      </c>
      <c r="B1210" s="19" t="s">
        <v>2402</v>
      </c>
      <c r="C1210" s="19" t="s">
        <v>4427</v>
      </c>
      <c r="D1210" s="19" t="s">
        <v>4428</v>
      </c>
    </row>
    <row r="1211" spans="1:4" ht="15.5" x14ac:dyDescent="0.35">
      <c r="A1211" s="1" t="s">
        <v>1161</v>
      </c>
      <c r="B1211" s="19" t="s">
        <v>2402</v>
      </c>
      <c r="C1211" s="19" t="s">
        <v>3510</v>
      </c>
      <c r="D1211" s="19" t="s">
        <v>2700</v>
      </c>
    </row>
    <row r="1212" spans="1:4" ht="15.5" x14ac:dyDescent="0.35">
      <c r="A1212" s="1" t="s">
        <v>1160</v>
      </c>
      <c r="B1212" s="19" t="s">
        <v>2402</v>
      </c>
      <c r="C1212" s="19" t="s">
        <v>4429</v>
      </c>
      <c r="D1212" s="19" t="s">
        <v>4430</v>
      </c>
    </row>
    <row r="1213" spans="1:4" ht="15.5" x14ac:dyDescent="0.35">
      <c r="A1213" s="1" t="s">
        <v>1159</v>
      </c>
      <c r="B1213" s="19" t="s">
        <v>2402</v>
      </c>
      <c r="C1213" s="19" t="s">
        <v>4431</v>
      </c>
      <c r="D1213" s="19" t="s">
        <v>2698</v>
      </c>
    </row>
    <row r="1214" spans="1:4" ht="15.5" x14ac:dyDescent="0.35">
      <c r="A1214" s="1" t="s">
        <v>1158</v>
      </c>
      <c r="B1214" s="19" t="s">
        <v>3277</v>
      </c>
      <c r="C1214" s="19" t="s">
        <v>4432</v>
      </c>
      <c r="D1214" s="19" t="s">
        <v>3175</v>
      </c>
    </row>
    <row r="1215" spans="1:4" ht="15.5" x14ac:dyDescent="0.35">
      <c r="A1215" s="1" t="s">
        <v>1157</v>
      </c>
      <c r="B1215" s="19" t="s">
        <v>2399</v>
      </c>
      <c r="C1215" s="19" t="s">
        <v>4433</v>
      </c>
      <c r="D1215" s="19" t="s">
        <v>3624</v>
      </c>
    </row>
    <row r="1216" spans="1:4" ht="15.5" x14ac:dyDescent="0.35">
      <c r="A1216" s="1" t="s">
        <v>1156</v>
      </c>
      <c r="B1216" s="19" t="s">
        <v>2402</v>
      </c>
      <c r="C1216" s="19" t="s">
        <v>4434</v>
      </c>
      <c r="D1216" s="19" t="s">
        <v>4435</v>
      </c>
    </row>
    <row r="1217" spans="1:4" ht="15.5" x14ac:dyDescent="0.35">
      <c r="A1217" s="1" t="s">
        <v>1155</v>
      </c>
      <c r="B1217" s="19" t="s">
        <v>2399</v>
      </c>
      <c r="C1217" s="19" t="s">
        <v>4436</v>
      </c>
      <c r="D1217" s="19" t="s">
        <v>4437</v>
      </c>
    </row>
    <row r="1218" spans="1:4" ht="15.5" x14ac:dyDescent="0.35">
      <c r="A1218" s="1" t="s">
        <v>1154</v>
      </c>
      <c r="B1218" s="19" t="s">
        <v>2399</v>
      </c>
      <c r="C1218" s="19" t="s">
        <v>3714</v>
      </c>
      <c r="D1218" s="19" t="s">
        <v>3614</v>
      </c>
    </row>
    <row r="1219" spans="1:4" ht="15.5" x14ac:dyDescent="0.35">
      <c r="A1219" s="1" t="s">
        <v>1153</v>
      </c>
      <c r="B1219" s="19" t="s">
        <v>2402</v>
      </c>
      <c r="C1219" s="19" t="s">
        <v>4438</v>
      </c>
      <c r="D1219" s="19" t="s">
        <v>4439</v>
      </c>
    </row>
    <row r="1220" spans="1:4" ht="15.5" x14ac:dyDescent="0.35">
      <c r="A1220" s="1" t="s">
        <v>1152</v>
      </c>
      <c r="B1220" s="19" t="s">
        <v>2402</v>
      </c>
      <c r="C1220" s="19" t="s">
        <v>4440</v>
      </c>
      <c r="D1220" s="19" t="s">
        <v>2415</v>
      </c>
    </row>
    <row r="1221" spans="1:4" ht="15.5" x14ac:dyDescent="0.35">
      <c r="A1221" s="1" t="s">
        <v>1151</v>
      </c>
      <c r="B1221" s="19" t="s">
        <v>2402</v>
      </c>
      <c r="C1221" s="19" t="s">
        <v>4441</v>
      </c>
      <c r="D1221" s="19" t="s">
        <v>4442</v>
      </c>
    </row>
    <row r="1222" spans="1:4" ht="15.5" x14ac:dyDescent="0.35">
      <c r="A1222" s="1" t="s">
        <v>1150</v>
      </c>
      <c r="B1222" s="19" t="s">
        <v>2402</v>
      </c>
      <c r="C1222" s="19" t="s">
        <v>4443</v>
      </c>
      <c r="D1222" s="19" t="s">
        <v>4444</v>
      </c>
    </row>
    <row r="1223" spans="1:4" ht="15.5" x14ac:dyDescent="0.35">
      <c r="A1223" s="1" t="s">
        <v>1149</v>
      </c>
      <c r="B1223" s="19" t="s">
        <v>2399</v>
      </c>
      <c r="C1223" s="19" t="s">
        <v>4445</v>
      </c>
      <c r="D1223" s="19" t="s">
        <v>3469</v>
      </c>
    </row>
    <row r="1224" spans="1:4" ht="15.5" x14ac:dyDescent="0.35">
      <c r="A1224" s="1" t="s">
        <v>1148</v>
      </c>
      <c r="B1224" s="19" t="s">
        <v>2399</v>
      </c>
      <c r="C1224" s="19" t="s">
        <v>4446</v>
      </c>
      <c r="D1224" s="19" t="s">
        <v>4447</v>
      </c>
    </row>
    <row r="1225" spans="1:4" ht="15.5" x14ac:dyDescent="0.35">
      <c r="A1225" s="1" t="s">
        <v>1147</v>
      </c>
      <c r="B1225" s="19" t="s">
        <v>2402</v>
      </c>
      <c r="C1225" s="19" t="s">
        <v>2966</v>
      </c>
      <c r="D1225" s="19" t="s">
        <v>4448</v>
      </c>
    </row>
    <row r="1226" spans="1:4" ht="15.5" x14ac:dyDescent="0.35">
      <c r="A1226" s="1" t="s">
        <v>1146</v>
      </c>
      <c r="B1226" s="19" t="s">
        <v>2399</v>
      </c>
      <c r="C1226" s="19" t="s">
        <v>2499</v>
      </c>
      <c r="D1226" s="19" t="s">
        <v>4449</v>
      </c>
    </row>
    <row r="1227" spans="1:4" ht="15.5" x14ac:dyDescent="0.35">
      <c r="A1227" s="1" t="s">
        <v>1145</v>
      </c>
      <c r="B1227" s="19" t="s">
        <v>2402</v>
      </c>
      <c r="C1227" s="19" t="s">
        <v>4450</v>
      </c>
      <c r="D1227" s="19" t="s">
        <v>4451</v>
      </c>
    </row>
    <row r="1228" spans="1:4" ht="15.5" x14ac:dyDescent="0.35">
      <c r="A1228" s="1" t="s">
        <v>1144</v>
      </c>
      <c r="B1228" s="19" t="s">
        <v>2399</v>
      </c>
      <c r="C1228" s="19" t="s">
        <v>4452</v>
      </c>
      <c r="D1228" s="19" t="s">
        <v>4453</v>
      </c>
    </row>
    <row r="1229" spans="1:4" ht="15.5" x14ac:dyDescent="0.35">
      <c r="A1229" s="1" t="s">
        <v>1143</v>
      </c>
      <c r="B1229" s="19" t="s">
        <v>2402</v>
      </c>
      <c r="C1229" s="19" t="s">
        <v>4454</v>
      </c>
      <c r="D1229" s="19" t="s">
        <v>4455</v>
      </c>
    </row>
    <row r="1230" spans="1:4" ht="15.5" x14ac:dyDescent="0.35">
      <c r="A1230" s="1" t="s">
        <v>1142</v>
      </c>
      <c r="B1230" s="19" t="s">
        <v>2402</v>
      </c>
      <c r="C1230" s="19" t="s">
        <v>4456</v>
      </c>
      <c r="D1230" s="19" t="s">
        <v>2859</v>
      </c>
    </row>
    <row r="1231" spans="1:4" ht="15.5" x14ac:dyDescent="0.35">
      <c r="A1231" s="1" t="s">
        <v>1141</v>
      </c>
      <c r="B1231" s="19" t="s">
        <v>2399</v>
      </c>
      <c r="C1231" s="19" t="s">
        <v>4457</v>
      </c>
      <c r="D1231" s="19" t="s">
        <v>4458</v>
      </c>
    </row>
    <row r="1232" spans="1:4" ht="15.5" x14ac:dyDescent="0.35">
      <c r="A1232" s="1" t="s">
        <v>1140</v>
      </c>
      <c r="B1232" s="19" t="s">
        <v>2399</v>
      </c>
      <c r="C1232" s="19" t="s">
        <v>4459</v>
      </c>
      <c r="D1232" s="19" t="s">
        <v>4460</v>
      </c>
    </row>
    <row r="1233" spans="1:4" ht="15.5" x14ac:dyDescent="0.35">
      <c r="A1233" s="1" t="s">
        <v>1139</v>
      </c>
      <c r="B1233" s="19" t="s">
        <v>2399</v>
      </c>
      <c r="C1233" s="19" t="s">
        <v>4461</v>
      </c>
      <c r="D1233" s="19" t="s">
        <v>4462</v>
      </c>
    </row>
    <row r="1234" spans="1:4" ht="15.5" x14ac:dyDescent="0.35">
      <c r="A1234" s="1" t="s">
        <v>1138</v>
      </c>
      <c r="B1234" s="19" t="s">
        <v>2402</v>
      </c>
      <c r="C1234" s="19" t="s">
        <v>4463</v>
      </c>
      <c r="D1234" s="19" t="s">
        <v>4464</v>
      </c>
    </row>
    <row r="1235" spans="1:4" ht="15.5" x14ac:dyDescent="0.35">
      <c r="A1235" s="1" t="s">
        <v>1137</v>
      </c>
      <c r="B1235" s="19" t="s">
        <v>2402</v>
      </c>
      <c r="C1235" s="19" t="s">
        <v>4129</v>
      </c>
      <c r="D1235" s="19" t="s">
        <v>4465</v>
      </c>
    </row>
    <row r="1236" spans="1:4" ht="15.5" x14ac:dyDescent="0.35">
      <c r="A1236" s="1" t="s">
        <v>1136</v>
      </c>
      <c r="B1236" s="19" t="s">
        <v>3277</v>
      </c>
      <c r="C1236" s="19" t="s">
        <v>4466</v>
      </c>
      <c r="D1236" s="19" t="s">
        <v>4271</v>
      </c>
    </row>
    <row r="1237" spans="1:4" ht="15.5" x14ac:dyDescent="0.35">
      <c r="A1237" s="1" t="s">
        <v>1135</v>
      </c>
      <c r="B1237" s="19" t="s">
        <v>3277</v>
      </c>
      <c r="C1237" s="19" t="s">
        <v>4467</v>
      </c>
      <c r="D1237" s="19" t="s">
        <v>4468</v>
      </c>
    </row>
    <row r="1238" spans="1:4" ht="15.5" x14ac:dyDescent="0.35">
      <c r="A1238" s="1" t="s">
        <v>1134</v>
      </c>
      <c r="B1238" s="19" t="s">
        <v>2399</v>
      </c>
      <c r="C1238" s="19" t="s">
        <v>4469</v>
      </c>
      <c r="D1238" s="19" t="s">
        <v>4470</v>
      </c>
    </row>
    <row r="1239" spans="1:4" ht="15.5" x14ac:dyDescent="0.35">
      <c r="A1239" s="1" t="s">
        <v>1133</v>
      </c>
      <c r="B1239" s="19" t="s">
        <v>2402</v>
      </c>
      <c r="C1239" s="19" t="s">
        <v>4471</v>
      </c>
      <c r="D1239" s="19" t="s">
        <v>2698</v>
      </c>
    </row>
    <row r="1240" spans="1:4" ht="15.5" x14ac:dyDescent="0.35">
      <c r="A1240" s="1" t="s">
        <v>1132</v>
      </c>
      <c r="B1240" s="19" t="s">
        <v>2402</v>
      </c>
      <c r="C1240" s="19" t="s">
        <v>4472</v>
      </c>
      <c r="D1240" s="19" t="s">
        <v>4473</v>
      </c>
    </row>
    <row r="1241" spans="1:4" ht="15.5" x14ac:dyDescent="0.35">
      <c r="A1241" s="1" t="s">
        <v>1131</v>
      </c>
      <c r="B1241" s="19" t="s">
        <v>2399</v>
      </c>
      <c r="C1241" s="19" t="s">
        <v>4474</v>
      </c>
      <c r="D1241" s="19" t="s">
        <v>4475</v>
      </c>
    </row>
    <row r="1242" spans="1:4" ht="15.5" x14ac:dyDescent="0.35">
      <c r="A1242" s="1" t="s">
        <v>1130</v>
      </c>
      <c r="B1242" s="19" t="s">
        <v>2402</v>
      </c>
      <c r="C1242" s="19" t="s">
        <v>4476</v>
      </c>
      <c r="D1242" s="19" t="s">
        <v>4477</v>
      </c>
    </row>
    <row r="1243" spans="1:4" ht="15.5" x14ac:dyDescent="0.35">
      <c r="A1243" s="1" t="s">
        <v>1129</v>
      </c>
      <c r="B1243" s="19" t="s">
        <v>3277</v>
      </c>
      <c r="C1243" s="19" t="s">
        <v>3971</v>
      </c>
      <c r="D1243" s="19" t="s">
        <v>4478</v>
      </c>
    </row>
    <row r="1244" spans="1:4" ht="15.5" x14ac:dyDescent="0.35">
      <c r="A1244" s="1" t="s">
        <v>1128</v>
      </c>
      <c r="B1244" s="19" t="s">
        <v>2402</v>
      </c>
      <c r="C1244" s="19" t="s">
        <v>4479</v>
      </c>
      <c r="D1244" s="19" t="s">
        <v>4480</v>
      </c>
    </row>
    <row r="1245" spans="1:4" ht="15.5" x14ac:dyDescent="0.35">
      <c r="A1245" s="1" t="s">
        <v>1127</v>
      </c>
      <c r="B1245" s="19" t="s">
        <v>2399</v>
      </c>
      <c r="C1245" s="19" t="s">
        <v>4481</v>
      </c>
      <c r="D1245" s="19" t="s">
        <v>4208</v>
      </c>
    </row>
    <row r="1246" spans="1:4" ht="15.5" x14ac:dyDescent="0.35">
      <c r="A1246" s="1" t="s">
        <v>1126</v>
      </c>
      <c r="B1246" s="19" t="s">
        <v>2399</v>
      </c>
      <c r="C1246" s="19" t="s">
        <v>4417</v>
      </c>
      <c r="D1246" s="19" t="s">
        <v>4482</v>
      </c>
    </row>
    <row r="1247" spans="1:4" ht="15.5" x14ac:dyDescent="0.35">
      <c r="A1247" s="1" t="s">
        <v>1125</v>
      </c>
      <c r="B1247" s="19" t="s">
        <v>2402</v>
      </c>
      <c r="C1247" s="19" t="s">
        <v>4483</v>
      </c>
      <c r="D1247" s="19" t="s">
        <v>4484</v>
      </c>
    </row>
    <row r="1248" spans="1:4" ht="15.5" x14ac:dyDescent="0.35">
      <c r="A1248" s="1" t="s">
        <v>1124</v>
      </c>
      <c r="B1248" s="19" t="s">
        <v>2402</v>
      </c>
      <c r="C1248" s="19" t="s">
        <v>4485</v>
      </c>
      <c r="D1248" s="19" t="s">
        <v>4486</v>
      </c>
    </row>
    <row r="1249" spans="1:4" ht="15.5" x14ac:dyDescent="0.35">
      <c r="A1249" s="1" t="s">
        <v>1123</v>
      </c>
      <c r="B1249" s="19" t="s">
        <v>2402</v>
      </c>
      <c r="C1249" s="19" t="s">
        <v>4487</v>
      </c>
      <c r="D1249" s="19" t="s">
        <v>3134</v>
      </c>
    </row>
    <row r="1250" spans="1:4" ht="15.5" x14ac:dyDescent="0.35">
      <c r="A1250" s="1" t="s">
        <v>1122</v>
      </c>
      <c r="B1250" s="19" t="s">
        <v>2402</v>
      </c>
      <c r="C1250" s="19" t="s">
        <v>4488</v>
      </c>
      <c r="D1250" s="19" t="s">
        <v>2680</v>
      </c>
    </row>
    <row r="1251" spans="1:4" ht="15.5" x14ac:dyDescent="0.35">
      <c r="A1251" s="1" t="s">
        <v>1121</v>
      </c>
      <c r="B1251" s="19" t="s">
        <v>2399</v>
      </c>
      <c r="C1251" s="19" t="s">
        <v>4489</v>
      </c>
      <c r="D1251" s="19" t="s">
        <v>4490</v>
      </c>
    </row>
    <row r="1252" spans="1:4" ht="15.5" x14ac:dyDescent="0.35">
      <c r="A1252" s="1" t="s">
        <v>1120</v>
      </c>
      <c r="B1252" s="19" t="s">
        <v>2402</v>
      </c>
      <c r="C1252" s="19" t="s">
        <v>4491</v>
      </c>
      <c r="D1252" s="19" t="s">
        <v>4492</v>
      </c>
    </row>
    <row r="1253" spans="1:4" ht="15.5" x14ac:dyDescent="0.35">
      <c r="A1253" s="1" t="s">
        <v>1119</v>
      </c>
      <c r="B1253" s="19" t="s">
        <v>2402</v>
      </c>
      <c r="C1253" s="19" t="s">
        <v>4493</v>
      </c>
      <c r="D1253" s="19" t="s">
        <v>3499</v>
      </c>
    </row>
    <row r="1254" spans="1:4" ht="15.5" x14ac:dyDescent="0.35">
      <c r="A1254" s="1" t="s">
        <v>1118</v>
      </c>
      <c r="B1254" s="19" t="s">
        <v>2399</v>
      </c>
      <c r="C1254" s="19" t="s">
        <v>4494</v>
      </c>
      <c r="D1254" s="19" t="s">
        <v>4495</v>
      </c>
    </row>
    <row r="1255" spans="1:4" ht="15.5" x14ac:dyDescent="0.35">
      <c r="A1255" s="1" t="s">
        <v>1117</v>
      </c>
      <c r="B1255" s="19" t="s">
        <v>3277</v>
      </c>
      <c r="C1255" s="19" t="s">
        <v>4496</v>
      </c>
      <c r="D1255" s="19" t="s">
        <v>2555</v>
      </c>
    </row>
    <row r="1256" spans="1:4" ht="15.5" x14ac:dyDescent="0.35">
      <c r="A1256" s="1" t="s">
        <v>1116</v>
      </c>
      <c r="B1256" s="19" t="s">
        <v>2399</v>
      </c>
      <c r="C1256" s="19" t="s">
        <v>4497</v>
      </c>
      <c r="D1256" s="19" t="s">
        <v>4498</v>
      </c>
    </row>
    <row r="1257" spans="1:4" ht="15.5" x14ac:dyDescent="0.35">
      <c r="A1257" s="1" t="s">
        <v>1115</v>
      </c>
      <c r="B1257" s="19" t="s">
        <v>2399</v>
      </c>
      <c r="C1257" s="19" t="s">
        <v>4499</v>
      </c>
      <c r="D1257" s="19" t="s">
        <v>4500</v>
      </c>
    </row>
    <row r="1258" spans="1:4" ht="15.5" x14ac:dyDescent="0.35">
      <c r="A1258" s="1" t="s">
        <v>1114</v>
      </c>
      <c r="B1258" s="19" t="s">
        <v>2402</v>
      </c>
      <c r="C1258" s="19" t="s">
        <v>4501</v>
      </c>
      <c r="D1258" s="19" t="s">
        <v>2696</v>
      </c>
    </row>
    <row r="1259" spans="1:4" ht="15.5" x14ac:dyDescent="0.35">
      <c r="A1259" s="1" t="s">
        <v>1113</v>
      </c>
      <c r="B1259" s="19" t="s">
        <v>2399</v>
      </c>
      <c r="C1259" s="19" t="s">
        <v>4502</v>
      </c>
      <c r="D1259" s="19" t="s">
        <v>4503</v>
      </c>
    </row>
    <row r="1260" spans="1:4" ht="15.5" x14ac:dyDescent="0.35">
      <c r="A1260" s="1" t="s">
        <v>1112</v>
      </c>
      <c r="B1260" s="19" t="s">
        <v>2402</v>
      </c>
      <c r="C1260" s="19" t="s">
        <v>4504</v>
      </c>
      <c r="D1260" s="19" t="s">
        <v>4505</v>
      </c>
    </row>
    <row r="1261" spans="1:4" ht="15.5" x14ac:dyDescent="0.35">
      <c r="A1261" s="1" t="s">
        <v>1111</v>
      </c>
      <c r="B1261" s="19" t="s">
        <v>2402</v>
      </c>
      <c r="C1261" s="19" t="s">
        <v>4099</v>
      </c>
      <c r="D1261" s="19" t="s">
        <v>4506</v>
      </c>
    </row>
    <row r="1262" spans="1:4" ht="15.5" x14ac:dyDescent="0.35">
      <c r="A1262" s="1" t="s">
        <v>1110</v>
      </c>
      <c r="B1262" s="19" t="s">
        <v>2402</v>
      </c>
      <c r="C1262" s="19" t="s">
        <v>4507</v>
      </c>
      <c r="D1262" s="19" t="s">
        <v>3129</v>
      </c>
    </row>
    <row r="1263" spans="1:4" ht="15.5" x14ac:dyDescent="0.35">
      <c r="A1263" s="1" t="s">
        <v>1109</v>
      </c>
      <c r="B1263" s="19" t="s">
        <v>2399</v>
      </c>
      <c r="C1263" s="19" t="s">
        <v>4508</v>
      </c>
      <c r="D1263" s="19" t="s">
        <v>4509</v>
      </c>
    </row>
    <row r="1264" spans="1:4" ht="15.5" x14ac:dyDescent="0.35">
      <c r="A1264" s="1" t="s">
        <v>1108</v>
      </c>
      <c r="B1264" s="19" t="s">
        <v>2399</v>
      </c>
      <c r="C1264" s="19" t="s">
        <v>4510</v>
      </c>
      <c r="D1264" s="19" t="s">
        <v>4511</v>
      </c>
    </row>
    <row r="1265" spans="1:4" ht="15.5" x14ac:dyDescent="0.35">
      <c r="A1265" s="1" t="s">
        <v>1107</v>
      </c>
      <c r="B1265" s="19" t="s">
        <v>2402</v>
      </c>
      <c r="C1265" s="19" t="s">
        <v>4512</v>
      </c>
      <c r="D1265" s="19" t="s">
        <v>4513</v>
      </c>
    </row>
    <row r="1266" spans="1:4" ht="15.5" x14ac:dyDescent="0.35">
      <c r="A1266" s="1" t="s">
        <v>1106</v>
      </c>
      <c r="B1266" s="19" t="s">
        <v>2402</v>
      </c>
      <c r="C1266" s="19" t="s">
        <v>4514</v>
      </c>
      <c r="D1266" s="19" t="s">
        <v>4515</v>
      </c>
    </row>
    <row r="1267" spans="1:4" ht="15.5" x14ac:dyDescent="0.35">
      <c r="A1267" s="1" t="s">
        <v>1105</v>
      </c>
      <c r="B1267" s="19" t="s">
        <v>2402</v>
      </c>
      <c r="C1267" s="19" t="s">
        <v>4516</v>
      </c>
      <c r="D1267" s="19" t="s">
        <v>2792</v>
      </c>
    </row>
    <row r="1268" spans="1:4" ht="15.5" x14ac:dyDescent="0.35">
      <c r="A1268" s="1" t="s">
        <v>1104</v>
      </c>
      <c r="B1268" s="19" t="s">
        <v>2402</v>
      </c>
      <c r="C1268" s="19" t="s">
        <v>4517</v>
      </c>
      <c r="D1268" s="19" t="s">
        <v>4518</v>
      </c>
    </row>
    <row r="1269" spans="1:4" ht="15.5" x14ac:dyDescent="0.35">
      <c r="A1269" s="1" t="s">
        <v>1103</v>
      </c>
      <c r="B1269" s="19" t="s">
        <v>2399</v>
      </c>
      <c r="C1269" s="19" t="s">
        <v>4519</v>
      </c>
      <c r="D1269" s="19" t="s">
        <v>4520</v>
      </c>
    </row>
    <row r="1270" spans="1:4" ht="15.5" x14ac:dyDescent="0.35">
      <c r="A1270" s="1" t="s">
        <v>1102</v>
      </c>
      <c r="B1270" s="19" t="s">
        <v>2399</v>
      </c>
      <c r="C1270" s="19" t="s">
        <v>4521</v>
      </c>
      <c r="D1270" s="19" t="s">
        <v>4509</v>
      </c>
    </row>
    <row r="1271" spans="1:4" ht="15.5" x14ac:dyDescent="0.35">
      <c r="A1271" s="1" t="s">
        <v>1101</v>
      </c>
      <c r="B1271" s="19" t="s">
        <v>2399</v>
      </c>
      <c r="C1271" s="19" t="s">
        <v>2762</v>
      </c>
      <c r="D1271" s="19" t="s">
        <v>4522</v>
      </c>
    </row>
    <row r="1272" spans="1:4" ht="15.5" x14ac:dyDescent="0.35">
      <c r="A1272" s="1" t="s">
        <v>1100</v>
      </c>
      <c r="B1272" s="19" t="s">
        <v>2402</v>
      </c>
      <c r="C1272" s="19" t="s">
        <v>2677</v>
      </c>
      <c r="D1272" s="19" t="s">
        <v>4523</v>
      </c>
    </row>
    <row r="1273" spans="1:4" ht="15.5" x14ac:dyDescent="0.35">
      <c r="A1273" s="1" t="s">
        <v>1099</v>
      </c>
      <c r="B1273" s="19" t="s">
        <v>2402</v>
      </c>
      <c r="C1273" s="19" t="s">
        <v>4524</v>
      </c>
      <c r="D1273" s="19" t="s">
        <v>4525</v>
      </c>
    </row>
    <row r="1274" spans="1:4" ht="15.5" x14ac:dyDescent="0.35">
      <c r="A1274" s="1" t="s">
        <v>1098</v>
      </c>
      <c r="B1274" s="19" t="s">
        <v>2402</v>
      </c>
      <c r="C1274" s="19" t="s">
        <v>4526</v>
      </c>
      <c r="D1274" s="19" t="s">
        <v>4527</v>
      </c>
    </row>
    <row r="1275" spans="1:4" ht="15.5" x14ac:dyDescent="0.35">
      <c r="A1275" s="1" t="s">
        <v>1097</v>
      </c>
      <c r="B1275" s="19" t="s">
        <v>2402</v>
      </c>
      <c r="C1275" s="19" t="s">
        <v>4528</v>
      </c>
      <c r="D1275" s="19" t="s">
        <v>3412</v>
      </c>
    </row>
    <row r="1276" spans="1:4" ht="15.5" x14ac:dyDescent="0.35">
      <c r="A1276" s="1" t="s">
        <v>1096</v>
      </c>
      <c r="B1276" s="19" t="s">
        <v>2402</v>
      </c>
      <c r="C1276" s="19" t="s">
        <v>4529</v>
      </c>
      <c r="D1276" s="19" t="s">
        <v>2451</v>
      </c>
    </row>
    <row r="1277" spans="1:4" ht="15.5" x14ac:dyDescent="0.35">
      <c r="A1277" s="1" t="s">
        <v>1095</v>
      </c>
      <c r="B1277" s="19" t="s">
        <v>2402</v>
      </c>
      <c r="C1277" s="19" t="s">
        <v>4069</v>
      </c>
      <c r="D1277" s="19" t="s">
        <v>4530</v>
      </c>
    </row>
    <row r="1278" spans="1:4" ht="15.5" x14ac:dyDescent="0.35">
      <c r="A1278" s="1" t="s">
        <v>1094</v>
      </c>
      <c r="B1278" s="19" t="s">
        <v>2399</v>
      </c>
      <c r="C1278" s="19" t="s">
        <v>4531</v>
      </c>
      <c r="D1278" s="19" t="s">
        <v>4532</v>
      </c>
    </row>
    <row r="1279" spans="1:4" ht="15.5" x14ac:dyDescent="0.35">
      <c r="A1279" s="1" t="s">
        <v>1093</v>
      </c>
      <c r="B1279" s="19" t="s">
        <v>2399</v>
      </c>
      <c r="C1279" s="19" t="s">
        <v>4533</v>
      </c>
      <c r="D1279" s="19" t="s">
        <v>4534</v>
      </c>
    </row>
    <row r="1280" spans="1:4" ht="15.5" x14ac:dyDescent="0.35">
      <c r="A1280" s="1" t="s">
        <v>1092</v>
      </c>
      <c r="B1280" s="19" t="s">
        <v>2399</v>
      </c>
      <c r="C1280" s="19" t="s">
        <v>4535</v>
      </c>
      <c r="D1280" s="19" t="s">
        <v>4242</v>
      </c>
    </row>
    <row r="1281" spans="1:5" ht="15.5" x14ac:dyDescent="0.35">
      <c r="A1281" s="1" t="s">
        <v>1091</v>
      </c>
      <c r="B1281" s="19" t="s">
        <v>2402</v>
      </c>
      <c r="C1281" s="19" t="s">
        <v>4536</v>
      </c>
      <c r="D1281" s="19" t="s">
        <v>4537</v>
      </c>
    </row>
    <row r="1282" spans="1:5" ht="15.5" x14ac:dyDescent="0.35">
      <c r="A1282" s="1" t="s">
        <v>1090</v>
      </c>
      <c r="B1282" s="19" t="s">
        <v>2402</v>
      </c>
      <c r="C1282" s="19" t="s">
        <v>4538</v>
      </c>
      <c r="D1282" s="19" t="s">
        <v>2694</v>
      </c>
    </row>
    <row r="1283" spans="1:5" ht="15.5" x14ac:dyDescent="0.35">
      <c r="A1283" s="1" t="s">
        <v>1089</v>
      </c>
      <c r="B1283" s="19" t="s">
        <v>2399</v>
      </c>
      <c r="C1283" s="19" t="s">
        <v>4539</v>
      </c>
      <c r="D1283" s="19" t="s">
        <v>4215</v>
      </c>
    </row>
    <row r="1284" spans="1:5" ht="15.5" x14ac:dyDescent="0.35">
      <c r="A1284" s="1" t="s">
        <v>1088</v>
      </c>
      <c r="B1284" s="19" t="s">
        <v>2402</v>
      </c>
      <c r="C1284" s="19" t="s">
        <v>2860</v>
      </c>
      <c r="D1284" s="19" t="s">
        <v>2823</v>
      </c>
    </row>
    <row r="1285" spans="1:5" ht="15.5" x14ac:dyDescent="0.35">
      <c r="A1285" s="1" t="s">
        <v>1087</v>
      </c>
      <c r="B1285" s="19" t="s">
        <v>2399</v>
      </c>
      <c r="C1285" s="19" t="s">
        <v>4540</v>
      </c>
      <c r="D1285" s="19" t="s">
        <v>4541</v>
      </c>
    </row>
    <row r="1286" spans="1:5" ht="15.5" x14ac:dyDescent="0.35">
      <c r="A1286" s="1" t="s">
        <v>1086</v>
      </c>
      <c r="B1286" s="19" t="s">
        <v>2399</v>
      </c>
      <c r="C1286" s="19" t="s">
        <v>4542</v>
      </c>
      <c r="D1286" s="19" t="s">
        <v>4543</v>
      </c>
    </row>
    <row r="1287" spans="1:5" ht="15.5" x14ac:dyDescent="0.35">
      <c r="A1287" s="1" t="s">
        <v>1085</v>
      </c>
      <c r="B1287" s="19" t="s">
        <v>2399</v>
      </c>
      <c r="C1287" s="19" t="s">
        <v>4544</v>
      </c>
      <c r="D1287" s="19" t="s">
        <v>4545</v>
      </c>
    </row>
    <row r="1288" spans="1:5" ht="15.5" x14ac:dyDescent="0.35">
      <c r="A1288" s="1" t="s">
        <v>1084</v>
      </c>
      <c r="B1288" s="19" t="s">
        <v>2399</v>
      </c>
      <c r="C1288" s="19" t="s">
        <v>2424</v>
      </c>
      <c r="D1288" s="19" t="s">
        <v>4546</v>
      </c>
    </row>
    <row r="1289" spans="1:5" ht="15.5" x14ac:dyDescent="0.35">
      <c r="A1289" s="1" t="s">
        <v>1083</v>
      </c>
      <c r="B1289" s="19" t="s">
        <v>2399</v>
      </c>
      <c r="C1289" s="19" t="s">
        <v>4547</v>
      </c>
      <c r="D1289" s="19" t="s">
        <v>2763</v>
      </c>
    </row>
    <row r="1290" spans="1:5" ht="15.5" x14ac:dyDescent="0.35">
      <c r="A1290" s="1" t="s">
        <v>1082</v>
      </c>
      <c r="B1290" s="19" t="s">
        <v>2399</v>
      </c>
      <c r="C1290" s="19" t="s">
        <v>4548</v>
      </c>
      <c r="D1290" s="19" t="s">
        <v>4549</v>
      </c>
    </row>
    <row r="1291" spans="1:5" ht="15.5" x14ac:dyDescent="0.35">
      <c r="A1291" s="1" t="s">
        <v>1081</v>
      </c>
      <c r="B1291" s="19" t="s">
        <v>2399</v>
      </c>
      <c r="C1291" s="19" t="s">
        <v>4550</v>
      </c>
      <c r="D1291" s="19" t="s">
        <v>4551</v>
      </c>
    </row>
    <row r="1292" spans="1:5" ht="15.5" x14ac:dyDescent="0.35">
      <c r="A1292" s="1" t="s">
        <v>1080</v>
      </c>
      <c r="B1292" s="19" t="s">
        <v>2399</v>
      </c>
      <c r="C1292" s="19" t="s">
        <v>4552</v>
      </c>
      <c r="D1292" s="19" t="s">
        <v>2511</v>
      </c>
    </row>
    <row r="1293" spans="1:5" ht="15.5" x14ac:dyDescent="0.35">
      <c r="A1293" s="1" t="s">
        <v>1079</v>
      </c>
      <c r="B1293" s="19" t="s">
        <v>2399</v>
      </c>
      <c r="C1293" s="19" t="s">
        <v>4553</v>
      </c>
      <c r="D1293" s="19" t="s">
        <v>4242</v>
      </c>
    </row>
    <row r="1294" spans="1:5" ht="15.5" x14ac:dyDescent="0.35">
      <c r="A1294" s="1" t="s">
        <v>1078</v>
      </c>
      <c r="B1294" s="19" t="s">
        <v>2399</v>
      </c>
      <c r="C1294" s="19" t="s">
        <v>4554</v>
      </c>
      <c r="D1294" s="19" t="s">
        <v>4555</v>
      </c>
    </row>
    <row r="1295" spans="1:5" ht="15.5" x14ac:dyDescent="0.35">
      <c r="A1295" s="1" t="s">
        <v>1077</v>
      </c>
      <c r="B1295" s="19" t="s">
        <v>2399</v>
      </c>
      <c r="C1295" s="19" t="s">
        <v>4556</v>
      </c>
      <c r="D1295" s="19" t="s">
        <v>4557</v>
      </c>
    </row>
    <row r="1296" spans="1:5" ht="15.5" x14ac:dyDescent="0.35">
      <c r="A1296" s="1" t="s">
        <v>1076</v>
      </c>
      <c r="B1296" s="19" t="s">
        <v>2402</v>
      </c>
      <c r="C1296" s="19" t="s">
        <v>4558</v>
      </c>
      <c r="D1296" s="19" t="s">
        <v>4559</v>
      </c>
      <c r="E1296" t="s">
        <v>4560</v>
      </c>
    </row>
    <row r="1297" spans="1:4" ht="15.5" x14ac:dyDescent="0.35">
      <c r="A1297" s="1" t="s">
        <v>1075</v>
      </c>
      <c r="B1297" s="19" t="s">
        <v>2399</v>
      </c>
      <c r="C1297" s="19" t="s">
        <v>4561</v>
      </c>
      <c r="D1297" s="19" t="s">
        <v>4562</v>
      </c>
    </row>
    <row r="1298" spans="1:4" ht="15.5" x14ac:dyDescent="0.35">
      <c r="A1298" s="1" t="s">
        <v>1074</v>
      </c>
      <c r="B1298" s="19" t="s">
        <v>2402</v>
      </c>
      <c r="C1298" s="19" t="s">
        <v>4563</v>
      </c>
      <c r="D1298" s="19" t="s">
        <v>4564</v>
      </c>
    </row>
    <row r="1299" spans="1:4" ht="15.5" x14ac:dyDescent="0.35">
      <c r="A1299" s="1" t="s">
        <v>1073</v>
      </c>
      <c r="B1299" s="19" t="s">
        <v>3277</v>
      </c>
      <c r="C1299" s="19" t="s">
        <v>3532</v>
      </c>
      <c r="D1299" s="19" t="s">
        <v>4565</v>
      </c>
    </row>
    <row r="1300" spans="1:4" ht="15.5" x14ac:dyDescent="0.35">
      <c r="A1300" s="1" t="s">
        <v>1072</v>
      </c>
      <c r="B1300" s="19" t="s">
        <v>2399</v>
      </c>
      <c r="C1300" s="19" t="s">
        <v>4241</v>
      </c>
      <c r="D1300" s="19" t="s">
        <v>4566</v>
      </c>
    </row>
    <row r="1301" spans="1:4" ht="15.5" x14ac:dyDescent="0.35">
      <c r="A1301" s="1" t="s">
        <v>1071</v>
      </c>
      <c r="B1301" s="19" t="s">
        <v>2402</v>
      </c>
      <c r="C1301" s="19" t="s">
        <v>4567</v>
      </c>
      <c r="D1301" s="19" t="s">
        <v>2478</v>
      </c>
    </row>
    <row r="1302" spans="1:4" ht="15.5" x14ac:dyDescent="0.35">
      <c r="A1302" s="1" t="s">
        <v>1070</v>
      </c>
      <c r="B1302" s="19" t="s">
        <v>2402</v>
      </c>
      <c r="C1302" s="19" t="s">
        <v>4568</v>
      </c>
      <c r="D1302" s="19" t="s">
        <v>4569</v>
      </c>
    </row>
    <row r="1303" spans="1:4" ht="15.5" x14ac:dyDescent="0.35">
      <c r="A1303" s="1" t="s">
        <v>1069</v>
      </c>
      <c r="B1303" s="19" t="s">
        <v>2402</v>
      </c>
      <c r="C1303" s="19" t="s">
        <v>4570</v>
      </c>
      <c r="D1303" s="19" t="s">
        <v>4571</v>
      </c>
    </row>
    <row r="1304" spans="1:4" ht="15.5" x14ac:dyDescent="0.35">
      <c r="A1304" s="1" t="s">
        <v>1068</v>
      </c>
      <c r="B1304" s="19" t="s">
        <v>2402</v>
      </c>
      <c r="C1304" s="19" t="s">
        <v>4572</v>
      </c>
      <c r="D1304" s="19" t="s">
        <v>4573</v>
      </c>
    </row>
    <row r="1305" spans="1:4" ht="15.5" x14ac:dyDescent="0.35">
      <c r="A1305" s="1" t="s">
        <v>1067</v>
      </c>
      <c r="B1305" s="19" t="s">
        <v>2402</v>
      </c>
      <c r="C1305" s="19" t="s">
        <v>4574</v>
      </c>
      <c r="D1305" s="19" t="s">
        <v>2823</v>
      </c>
    </row>
    <row r="1306" spans="1:4" ht="15.5" x14ac:dyDescent="0.35">
      <c r="A1306" s="1" t="s">
        <v>1066</v>
      </c>
      <c r="B1306" s="19" t="s">
        <v>2402</v>
      </c>
      <c r="C1306" s="19" t="s">
        <v>4575</v>
      </c>
      <c r="D1306" s="19" t="s">
        <v>3156</v>
      </c>
    </row>
    <row r="1307" spans="1:4" ht="15.5" x14ac:dyDescent="0.35">
      <c r="A1307" s="1" t="s">
        <v>1065</v>
      </c>
      <c r="B1307" s="19" t="s">
        <v>2402</v>
      </c>
      <c r="C1307" s="19" t="s">
        <v>4576</v>
      </c>
      <c r="D1307" s="19" t="s">
        <v>4577</v>
      </c>
    </row>
    <row r="1308" spans="1:4" ht="15.5" x14ac:dyDescent="0.35">
      <c r="A1308" s="1" t="s">
        <v>1064</v>
      </c>
      <c r="B1308" s="19" t="s">
        <v>2402</v>
      </c>
      <c r="C1308" s="19" t="s">
        <v>4578</v>
      </c>
      <c r="D1308" s="19" t="s">
        <v>4579</v>
      </c>
    </row>
    <row r="1309" spans="1:4" ht="15.5" x14ac:dyDescent="0.35">
      <c r="A1309" s="1" t="s">
        <v>1063</v>
      </c>
      <c r="B1309" s="19" t="s">
        <v>2402</v>
      </c>
      <c r="C1309" s="19" t="s">
        <v>4580</v>
      </c>
      <c r="D1309" s="19" t="s">
        <v>3900</v>
      </c>
    </row>
    <row r="1310" spans="1:4" ht="15.5" x14ac:dyDescent="0.35">
      <c r="A1310" s="1" t="s">
        <v>1062</v>
      </c>
      <c r="B1310" s="19" t="s">
        <v>2402</v>
      </c>
      <c r="C1310" s="19" t="s">
        <v>3001</v>
      </c>
      <c r="D1310" s="19" t="s">
        <v>3488</v>
      </c>
    </row>
    <row r="1311" spans="1:4" ht="15.5" x14ac:dyDescent="0.35">
      <c r="A1311" s="1" t="s">
        <v>1061</v>
      </c>
      <c r="B1311" s="19" t="s">
        <v>2402</v>
      </c>
      <c r="C1311" s="19" t="s">
        <v>4581</v>
      </c>
      <c r="D1311" s="19" t="s">
        <v>4582</v>
      </c>
    </row>
    <row r="1312" spans="1:4" ht="15.5" x14ac:dyDescent="0.35">
      <c r="A1312" s="1" t="s">
        <v>1060</v>
      </c>
      <c r="B1312" s="19" t="s">
        <v>2402</v>
      </c>
      <c r="C1312" s="19" t="s">
        <v>4583</v>
      </c>
      <c r="D1312" s="19" t="s">
        <v>4584</v>
      </c>
    </row>
    <row r="1313" spans="1:4" ht="15.5" x14ac:dyDescent="0.35">
      <c r="A1313" s="1" t="s">
        <v>1059</v>
      </c>
      <c r="B1313" s="19" t="s">
        <v>2402</v>
      </c>
      <c r="C1313" s="19" t="s">
        <v>4585</v>
      </c>
      <c r="D1313" s="19" t="s">
        <v>3129</v>
      </c>
    </row>
    <row r="1314" spans="1:4" ht="15.5" x14ac:dyDescent="0.35">
      <c r="A1314" s="1" t="s">
        <v>1058</v>
      </c>
      <c r="B1314" s="19" t="s">
        <v>2399</v>
      </c>
      <c r="C1314" s="19" t="s">
        <v>4586</v>
      </c>
      <c r="D1314" s="19" t="s">
        <v>4587</v>
      </c>
    </row>
    <row r="1315" spans="1:4" ht="15.5" x14ac:dyDescent="0.35">
      <c r="A1315" s="1" t="s">
        <v>1057</v>
      </c>
      <c r="B1315" s="19" t="s">
        <v>2399</v>
      </c>
      <c r="C1315" s="19" t="s">
        <v>4588</v>
      </c>
      <c r="D1315" s="19" t="s">
        <v>2904</v>
      </c>
    </row>
    <row r="1316" spans="1:4" ht="15.5" x14ac:dyDescent="0.35">
      <c r="A1316" s="1" t="s">
        <v>1056</v>
      </c>
      <c r="B1316" s="19" t="s">
        <v>2402</v>
      </c>
      <c r="C1316" s="19" t="s">
        <v>4589</v>
      </c>
      <c r="D1316" s="19" t="s">
        <v>4590</v>
      </c>
    </row>
    <row r="1317" spans="1:4" ht="15.5" x14ac:dyDescent="0.35">
      <c r="A1317" s="1" t="s">
        <v>1055</v>
      </c>
      <c r="B1317" s="19" t="s">
        <v>2399</v>
      </c>
      <c r="C1317" s="19" t="s">
        <v>4591</v>
      </c>
      <c r="D1317" s="19" t="s">
        <v>3286</v>
      </c>
    </row>
    <row r="1318" spans="1:4" ht="15.5" x14ac:dyDescent="0.35">
      <c r="A1318" s="1" t="s">
        <v>1054</v>
      </c>
      <c r="B1318" s="19" t="s">
        <v>2399</v>
      </c>
      <c r="C1318" s="19" t="s">
        <v>4592</v>
      </c>
      <c r="D1318" s="19" t="s">
        <v>4593</v>
      </c>
    </row>
    <row r="1319" spans="1:4" ht="15.5" x14ac:dyDescent="0.35">
      <c r="A1319" s="1" t="s">
        <v>1053</v>
      </c>
      <c r="B1319" s="19" t="s">
        <v>2399</v>
      </c>
      <c r="C1319" s="19" t="s">
        <v>4594</v>
      </c>
      <c r="D1319" s="19" t="s">
        <v>4595</v>
      </c>
    </row>
    <row r="1320" spans="1:4" ht="15.5" x14ac:dyDescent="0.35">
      <c r="A1320" s="1" t="s">
        <v>1052</v>
      </c>
      <c r="B1320" s="19" t="s">
        <v>2402</v>
      </c>
      <c r="C1320" s="19" t="s">
        <v>4596</v>
      </c>
      <c r="D1320" s="19" t="s">
        <v>4597</v>
      </c>
    </row>
    <row r="1321" spans="1:4" ht="15.5" x14ac:dyDescent="0.35">
      <c r="A1321" s="1" t="s">
        <v>1051</v>
      </c>
      <c r="B1321" s="19" t="s">
        <v>2399</v>
      </c>
      <c r="C1321" s="19" t="s">
        <v>4598</v>
      </c>
      <c r="D1321" s="19" t="s">
        <v>2407</v>
      </c>
    </row>
    <row r="1322" spans="1:4" ht="15.5" x14ac:dyDescent="0.35">
      <c r="A1322" s="1" t="s">
        <v>1050</v>
      </c>
      <c r="B1322" s="19" t="s">
        <v>2402</v>
      </c>
      <c r="C1322" s="19" t="s">
        <v>4599</v>
      </c>
      <c r="D1322" s="19" t="s">
        <v>4600</v>
      </c>
    </row>
    <row r="1323" spans="1:4" ht="15.5" x14ac:dyDescent="0.35">
      <c r="A1323" s="1" t="s">
        <v>1049</v>
      </c>
      <c r="B1323" s="19" t="s">
        <v>2399</v>
      </c>
      <c r="C1323" s="19" t="s">
        <v>4601</v>
      </c>
      <c r="D1323" s="19" t="s">
        <v>4602</v>
      </c>
    </row>
    <row r="1324" spans="1:4" ht="15.5" x14ac:dyDescent="0.35">
      <c r="A1324" s="1" t="s">
        <v>1048</v>
      </c>
      <c r="B1324" s="19" t="s">
        <v>2399</v>
      </c>
      <c r="C1324" s="19" t="s">
        <v>4603</v>
      </c>
      <c r="D1324" s="19" t="s">
        <v>4604</v>
      </c>
    </row>
    <row r="1325" spans="1:4" ht="15.5" x14ac:dyDescent="0.35">
      <c r="A1325" s="1" t="s">
        <v>1047</v>
      </c>
      <c r="B1325" s="19" t="s">
        <v>2399</v>
      </c>
      <c r="C1325" s="19" t="s">
        <v>4605</v>
      </c>
      <c r="D1325" s="19" t="s">
        <v>4606</v>
      </c>
    </row>
    <row r="1326" spans="1:4" ht="15.5" x14ac:dyDescent="0.35">
      <c r="A1326" s="1" t="s">
        <v>1046</v>
      </c>
      <c r="B1326" s="19" t="s">
        <v>2399</v>
      </c>
      <c r="C1326" s="19" t="s">
        <v>4607</v>
      </c>
      <c r="D1326" s="19" t="s">
        <v>2526</v>
      </c>
    </row>
    <row r="1327" spans="1:4" ht="15.5" x14ac:dyDescent="0.35">
      <c r="A1327" s="1" t="s">
        <v>1045</v>
      </c>
      <c r="B1327" s="19" t="s">
        <v>2399</v>
      </c>
      <c r="C1327" s="19" t="s">
        <v>4608</v>
      </c>
      <c r="D1327" s="19" t="s">
        <v>4609</v>
      </c>
    </row>
    <row r="1328" spans="1:4" ht="15.5" x14ac:dyDescent="0.35">
      <c r="A1328" s="1" t="s">
        <v>1044</v>
      </c>
      <c r="B1328" s="19" t="s">
        <v>2399</v>
      </c>
      <c r="C1328" s="19" t="s">
        <v>4610</v>
      </c>
      <c r="D1328" s="19" t="s">
        <v>3280</v>
      </c>
    </row>
    <row r="1329" spans="1:4" ht="15.5" x14ac:dyDescent="0.35">
      <c r="A1329" s="1" t="s">
        <v>1043</v>
      </c>
      <c r="B1329" s="19" t="s">
        <v>2402</v>
      </c>
      <c r="C1329" s="19" t="s">
        <v>4611</v>
      </c>
      <c r="D1329" s="19" t="s">
        <v>3140</v>
      </c>
    </row>
    <row r="1330" spans="1:4" ht="15.5" x14ac:dyDescent="0.35">
      <c r="A1330" s="1" t="s">
        <v>1042</v>
      </c>
      <c r="B1330" s="19" t="s">
        <v>3277</v>
      </c>
      <c r="C1330" s="19" t="s">
        <v>4612</v>
      </c>
      <c r="D1330" s="19" t="s">
        <v>4546</v>
      </c>
    </row>
    <row r="1331" spans="1:4" ht="15.5" x14ac:dyDescent="0.35">
      <c r="A1331" s="1" t="s">
        <v>1041</v>
      </c>
      <c r="B1331" s="19" t="s">
        <v>2402</v>
      </c>
      <c r="C1331" s="19" t="s">
        <v>4613</v>
      </c>
      <c r="D1331" s="19" t="s">
        <v>2837</v>
      </c>
    </row>
    <row r="1332" spans="1:4" ht="15.5" x14ac:dyDescent="0.35">
      <c r="A1332" s="1" t="s">
        <v>1040</v>
      </c>
      <c r="B1332" s="19" t="s">
        <v>2399</v>
      </c>
      <c r="C1332" s="19" t="s">
        <v>4614</v>
      </c>
      <c r="D1332" s="19" t="s">
        <v>3293</v>
      </c>
    </row>
    <row r="1333" spans="1:4" ht="15.5" x14ac:dyDescent="0.35">
      <c r="A1333" s="1" t="s">
        <v>1039</v>
      </c>
      <c r="B1333" s="19" t="s">
        <v>2402</v>
      </c>
      <c r="C1333" s="19" t="s">
        <v>4615</v>
      </c>
      <c r="D1333" s="19" t="s">
        <v>4616</v>
      </c>
    </row>
    <row r="1334" spans="1:4" ht="15.5" x14ac:dyDescent="0.35">
      <c r="A1334" s="1" t="s">
        <v>1038</v>
      </c>
      <c r="B1334" s="19" t="s">
        <v>3277</v>
      </c>
      <c r="C1334" s="19" t="s">
        <v>4617</v>
      </c>
      <c r="D1334" s="19" t="s">
        <v>4618</v>
      </c>
    </row>
    <row r="1335" spans="1:4" ht="15.5" x14ac:dyDescent="0.35">
      <c r="A1335" s="1" t="s">
        <v>1037</v>
      </c>
      <c r="B1335" s="19" t="s">
        <v>2402</v>
      </c>
      <c r="C1335" s="19" t="s">
        <v>4619</v>
      </c>
      <c r="D1335" s="19" t="s">
        <v>4620</v>
      </c>
    </row>
    <row r="1336" spans="1:4" ht="15.5" x14ac:dyDescent="0.35">
      <c r="A1336" s="1" t="s">
        <v>1036</v>
      </c>
      <c r="B1336" s="19" t="s">
        <v>2402</v>
      </c>
      <c r="C1336" s="19" t="s">
        <v>4621</v>
      </c>
      <c r="D1336" s="19" t="s">
        <v>4622</v>
      </c>
    </row>
    <row r="1337" spans="1:4" ht="15.5" x14ac:dyDescent="0.35">
      <c r="A1337" s="1" t="s">
        <v>1035</v>
      </c>
      <c r="B1337" s="19" t="s">
        <v>2402</v>
      </c>
      <c r="C1337" s="19" t="s">
        <v>2410</v>
      </c>
      <c r="D1337" s="19" t="s">
        <v>4623</v>
      </c>
    </row>
    <row r="1338" spans="1:4" ht="15.5" x14ac:dyDescent="0.35">
      <c r="A1338" s="1" t="s">
        <v>1034</v>
      </c>
      <c r="B1338" s="19" t="s">
        <v>2402</v>
      </c>
      <c r="C1338" s="19" t="s">
        <v>4624</v>
      </c>
      <c r="D1338" s="19" t="s">
        <v>4625</v>
      </c>
    </row>
    <row r="1339" spans="1:4" ht="15.5" x14ac:dyDescent="0.35">
      <c r="A1339" s="1" t="s">
        <v>1033</v>
      </c>
      <c r="B1339" s="19" t="s">
        <v>3277</v>
      </c>
      <c r="C1339" s="19" t="s">
        <v>2529</v>
      </c>
      <c r="D1339" s="19" t="s">
        <v>3448</v>
      </c>
    </row>
    <row r="1340" spans="1:4" ht="15.5" x14ac:dyDescent="0.35">
      <c r="A1340" s="1" t="s">
        <v>1032</v>
      </c>
      <c r="B1340" s="19" t="s">
        <v>2402</v>
      </c>
      <c r="C1340" s="19" t="s">
        <v>4626</v>
      </c>
      <c r="D1340" s="19" t="s">
        <v>2698</v>
      </c>
    </row>
    <row r="1341" spans="1:4" ht="15.5" x14ac:dyDescent="0.35">
      <c r="A1341" s="1" t="s">
        <v>1031</v>
      </c>
      <c r="B1341" s="19" t="s">
        <v>2402</v>
      </c>
      <c r="C1341" s="19" t="s">
        <v>4627</v>
      </c>
      <c r="D1341" s="19" t="s">
        <v>4628</v>
      </c>
    </row>
    <row r="1342" spans="1:4" ht="15.5" x14ac:dyDescent="0.35">
      <c r="A1342" s="1" t="s">
        <v>1030</v>
      </c>
      <c r="B1342" s="19" t="s">
        <v>3277</v>
      </c>
      <c r="C1342" s="19" t="s">
        <v>4629</v>
      </c>
      <c r="D1342" s="19" t="s">
        <v>3495</v>
      </c>
    </row>
    <row r="1343" spans="1:4" ht="15.5" x14ac:dyDescent="0.35">
      <c r="A1343" s="1" t="s">
        <v>1029</v>
      </c>
      <c r="B1343" s="19" t="s">
        <v>2399</v>
      </c>
      <c r="C1343" s="19" t="s">
        <v>4630</v>
      </c>
      <c r="D1343" s="19" t="s">
        <v>4631</v>
      </c>
    </row>
    <row r="1344" spans="1:4" ht="15.5" x14ac:dyDescent="0.35">
      <c r="A1344" s="1" t="s">
        <v>1028</v>
      </c>
      <c r="B1344" s="19" t="s">
        <v>3277</v>
      </c>
      <c r="C1344" s="19" t="s">
        <v>4632</v>
      </c>
      <c r="D1344" s="19" t="s">
        <v>4633</v>
      </c>
    </row>
    <row r="1345" spans="1:4" ht="15.5" x14ac:dyDescent="0.35">
      <c r="A1345" s="1" t="s">
        <v>1027</v>
      </c>
      <c r="B1345" s="19" t="s">
        <v>2399</v>
      </c>
      <c r="C1345" s="19" t="s">
        <v>4634</v>
      </c>
      <c r="D1345" s="19" t="s">
        <v>3173</v>
      </c>
    </row>
    <row r="1346" spans="1:4" ht="15.5" x14ac:dyDescent="0.35">
      <c r="A1346" s="1" t="s">
        <v>1026</v>
      </c>
      <c r="B1346" s="19" t="s">
        <v>2402</v>
      </c>
      <c r="C1346" s="19" t="s">
        <v>4635</v>
      </c>
      <c r="D1346" s="19" t="s">
        <v>2594</v>
      </c>
    </row>
    <row r="1347" spans="1:4" ht="15.5" x14ac:dyDescent="0.35">
      <c r="A1347" s="1" t="s">
        <v>1025</v>
      </c>
      <c r="B1347" s="19" t="s">
        <v>2399</v>
      </c>
      <c r="C1347" s="19" t="s">
        <v>4636</v>
      </c>
      <c r="D1347" s="19" t="s">
        <v>4637</v>
      </c>
    </row>
    <row r="1348" spans="1:4" ht="15.5" x14ac:dyDescent="0.35">
      <c r="A1348" s="1" t="s">
        <v>1024</v>
      </c>
      <c r="B1348" s="19" t="s">
        <v>2402</v>
      </c>
      <c r="C1348" s="19" t="s">
        <v>4638</v>
      </c>
      <c r="D1348" s="19" t="s">
        <v>2748</v>
      </c>
    </row>
    <row r="1349" spans="1:4" ht="15.5" x14ac:dyDescent="0.35">
      <c r="A1349" s="1" t="s">
        <v>1023</v>
      </c>
      <c r="B1349" s="19" t="s">
        <v>2399</v>
      </c>
      <c r="C1349" s="19" t="s">
        <v>4639</v>
      </c>
      <c r="D1349" s="19" t="s">
        <v>4640</v>
      </c>
    </row>
    <row r="1350" spans="1:4" ht="15.5" x14ac:dyDescent="0.35">
      <c r="A1350" s="1" t="s">
        <v>1022</v>
      </c>
      <c r="B1350" s="19" t="s">
        <v>3277</v>
      </c>
      <c r="C1350" s="19" t="s">
        <v>4641</v>
      </c>
      <c r="D1350" s="19" t="s">
        <v>3175</v>
      </c>
    </row>
    <row r="1351" spans="1:4" ht="15.5" x14ac:dyDescent="0.35">
      <c r="A1351" s="1" t="s">
        <v>1021</v>
      </c>
      <c r="B1351" s="19" t="s">
        <v>2402</v>
      </c>
      <c r="C1351" s="19" t="s">
        <v>4642</v>
      </c>
      <c r="D1351" s="19" t="s">
        <v>4643</v>
      </c>
    </row>
    <row r="1352" spans="1:4" ht="15.5" x14ac:dyDescent="0.35">
      <c r="A1352" s="1" t="s">
        <v>1020</v>
      </c>
      <c r="B1352" s="19" t="s">
        <v>2399</v>
      </c>
      <c r="C1352" s="19" t="s">
        <v>2966</v>
      </c>
      <c r="D1352" s="19" t="s">
        <v>4644</v>
      </c>
    </row>
    <row r="1353" spans="1:4" ht="15.5" x14ac:dyDescent="0.35">
      <c r="A1353" s="1" t="s">
        <v>1019</v>
      </c>
      <c r="B1353" s="19" t="s">
        <v>2402</v>
      </c>
      <c r="C1353" s="19" t="s">
        <v>4645</v>
      </c>
      <c r="D1353" s="19" t="s">
        <v>3112</v>
      </c>
    </row>
    <row r="1354" spans="1:4" ht="15.5" x14ac:dyDescent="0.35">
      <c r="A1354" s="1" t="s">
        <v>1018</v>
      </c>
      <c r="B1354" s="19" t="s">
        <v>2399</v>
      </c>
      <c r="C1354" s="19" t="s">
        <v>4646</v>
      </c>
      <c r="D1354" s="19" t="s">
        <v>4647</v>
      </c>
    </row>
    <row r="1355" spans="1:4" ht="15.5" x14ac:dyDescent="0.35">
      <c r="A1355" s="1" t="s">
        <v>1017</v>
      </c>
      <c r="B1355" s="19" t="s">
        <v>2399</v>
      </c>
      <c r="C1355" s="19" t="s">
        <v>3046</v>
      </c>
      <c r="D1355" s="19" t="s">
        <v>4648</v>
      </c>
    </row>
    <row r="1356" spans="1:4" ht="15.5" x14ac:dyDescent="0.35">
      <c r="A1356" s="1" t="s">
        <v>1016</v>
      </c>
      <c r="B1356" s="19" t="s">
        <v>2399</v>
      </c>
      <c r="C1356" s="19" t="s">
        <v>4378</v>
      </c>
      <c r="D1356" s="19" t="s">
        <v>4649</v>
      </c>
    </row>
    <row r="1357" spans="1:4" ht="15.5" x14ac:dyDescent="0.35">
      <c r="A1357" s="1" t="s">
        <v>1015</v>
      </c>
      <c r="B1357" s="19" t="s">
        <v>2399</v>
      </c>
      <c r="C1357" s="19" t="s">
        <v>4650</v>
      </c>
      <c r="D1357" s="19" t="s">
        <v>4651</v>
      </c>
    </row>
    <row r="1358" spans="1:4" ht="15.5" x14ac:dyDescent="0.35">
      <c r="A1358" s="1" t="s">
        <v>1014</v>
      </c>
      <c r="B1358" s="19" t="s">
        <v>2399</v>
      </c>
      <c r="C1358" s="19" t="s">
        <v>4652</v>
      </c>
      <c r="D1358" s="19" t="s">
        <v>4653</v>
      </c>
    </row>
    <row r="1359" spans="1:4" ht="15.5" x14ac:dyDescent="0.35">
      <c r="A1359" s="1" t="s">
        <v>1013</v>
      </c>
      <c r="B1359" s="19" t="s">
        <v>2402</v>
      </c>
      <c r="C1359" s="19" t="s">
        <v>4654</v>
      </c>
      <c r="D1359" s="19" t="s">
        <v>3483</v>
      </c>
    </row>
    <row r="1360" spans="1:4" ht="15.5" x14ac:dyDescent="0.35">
      <c r="A1360" s="1" t="s">
        <v>1012</v>
      </c>
      <c r="B1360" s="19" t="s">
        <v>2399</v>
      </c>
      <c r="C1360" s="19" t="s">
        <v>4655</v>
      </c>
      <c r="D1360" s="19" t="s">
        <v>4656</v>
      </c>
    </row>
    <row r="1361" spans="1:4" ht="15.5" x14ac:dyDescent="0.35">
      <c r="A1361" s="1" t="s">
        <v>1011</v>
      </c>
      <c r="B1361" s="19" t="s">
        <v>2399</v>
      </c>
      <c r="C1361" s="19" t="s">
        <v>2657</v>
      </c>
      <c r="D1361" s="19" t="s">
        <v>4657</v>
      </c>
    </row>
    <row r="1362" spans="1:4" ht="15.5" x14ac:dyDescent="0.35">
      <c r="A1362" s="1" t="s">
        <v>1010</v>
      </c>
      <c r="B1362" s="19" t="s">
        <v>2402</v>
      </c>
      <c r="C1362" s="19" t="s">
        <v>4658</v>
      </c>
      <c r="D1362" s="19" t="s">
        <v>4659</v>
      </c>
    </row>
    <row r="1363" spans="1:4" ht="15.5" x14ac:dyDescent="0.35">
      <c r="A1363" s="1" t="s">
        <v>1009</v>
      </c>
      <c r="B1363" s="19" t="s">
        <v>2402</v>
      </c>
      <c r="C1363" s="19" t="s">
        <v>4660</v>
      </c>
      <c r="D1363" s="19" t="s">
        <v>4661</v>
      </c>
    </row>
    <row r="1364" spans="1:4" ht="15.5" x14ac:dyDescent="0.35">
      <c r="A1364" s="1" t="s">
        <v>1008</v>
      </c>
      <c r="B1364" s="19" t="s">
        <v>2402</v>
      </c>
      <c r="C1364" s="19" t="s">
        <v>3819</v>
      </c>
      <c r="D1364" s="19" t="s">
        <v>3414</v>
      </c>
    </row>
    <row r="1365" spans="1:4" ht="15.5" x14ac:dyDescent="0.35">
      <c r="A1365" s="1" t="s">
        <v>1007</v>
      </c>
      <c r="B1365" s="19" t="s">
        <v>2399</v>
      </c>
      <c r="C1365" s="19" t="s">
        <v>4662</v>
      </c>
      <c r="D1365" s="19" t="s">
        <v>4663</v>
      </c>
    </row>
    <row r="1366" spans="1:4" ht="15.5" x14ac:dyDescent="0.35">
      <c r="A1366" s="1" t="s">
        <v>1006</v>
      </c>
      <c r="B1366" s="19" t="s">
        <v>2399</v>
      </c>
      <c r="C1366" s="19" t="s">
        <v>4664</v>
      </c>
      <c r="D1366" s="19" t="s">
        <v>2445</v>
      </c>
    </row>
    <row r="1367" spans="1:4" ht="15.5" x14ac:dyDescent="0.35">
      <c r="A1367" s="1" t="s">
        <v>1005</v>
      </c>
      <c r="B1367" s="19" t="s">
        <v>3277</v>
      </c>
      <c r="C1367" s="19" t="s">
        <v>4665</v>
      </c>
      <c r="D1367" s="19" t="s">
        <v>4666</v>
      </c>
    </row>
    <row r="1368" spans="1:4" ht="15.5" x14ac:dyDescent="0.35">
      <c r="A1368" s="1" t="s">
        <v>1004</v>
      </c>
      <c r="B1368" s="19" t="s">
        <v>2399</v>
      </c>
      <c r="C1368" s="19" t="s">
        <v>4667</v>
      </c>
      <c r="D1368" s="19" t="s">
        <v>4668</v>
      </c>
    </row>
    <row r="1369" spans="1:4" ht="15.5" x14ac:dyDescent="0.35">
      <c r="A1369" s="1" t="s">
        <v>1003</v>
      </c>
      <c r="B1369" s="19" t="s">
        <v>2402</v>
      </c>
      <c r="C1369" s="19" t="s">
        <v>4669</v>
      </c>
      <c r="D1369" s="19" t="s">
        <v>2594</v>
      </c>
    </row>
    <row r="1370" spans="1:4" ht="15.5" x14ac:dyDescent="0.35">
      <c r="A1370" s="1" t="s">
        <v>1002</v>
      </c>
      <c r="B1370" s="19" t="s">
        <v>2402</v>
      </c>
      <c r="C1370" s="19" t="s">
        <v>4670</v>
      </c>
      <c r="D1370" s="19" t="s">
        <v>4671</v>
      </c>
    </row>
    <row r="1371" spans="1:4" ht="15.5" x14ac:dyDescent="0.35">
      <c r="A1371" s="1" t="s">
        <v>1001</v>
      </c>
      <c r="B1371" s="19" t="s">
        <v>2402</v>
      </c>
      <c r="C1371" s="19" t="s">
        <v>4672</v>
      </c>
      <c r="D1371" s="19" t="s">
        <v>4673</v>
      </c>
    </row>
    <row r="1372" spans="1:4" ht="15.5" x14ac:dyDescent="0.35">
      <c r="A1372" s="1" t="s">
        <v>1000</v>
      </c>
      <c r="B1372" s="19" t="s">
        <v>2399</v>
      </c>
      <c r="C1372" s="19" t="s">
        <v>4674</v>
      </c>
      <c r="D1372" s="19" t="s">
        <v>4675</v>
      </c>
    </row>
    <row r="1373" spans="1:4" ht="15.5" x14ac:dyDescent="0.35">
      <c r="A1373" s="1" t="s">
        <v>999</v>
      </c>
      <c r="B1373" s="19" t="s">
        <v>2399</v>
      </c>
      <c r="C1373" s="19" t="s">
        <v>4676</v>
      </c>
      <c r="D1373" s="19" t="s">
        <v>4677</v>
      </c>
    </row>
    <row r="1374" spans="1:4" ht="15.5" x14ac:dyDescent="0.35">
      <c r="A1374" s="1" t="s">
        <v>998</v>
      </c>
      <c r="B1374" s="19" t="s">
        <v>2402</v>
      </c>
      <c r="C1374" s="19" t="s">
        <v>2743</v>
      </c>
      <c r="D1374" s="19" t="s">
        <v>4678</v>
      </c>
    </row>
    <row r="1375" spans="1:4" ht="15.5" x14ac:dyDescent="0.35">
      <c r="A1375" s="1" t="s">
        <v>997</v>
      </c>
      <c r="B1375" s="19" t="s">
        <v>2402</v>
      </c>
      <c r="C1375" s="19" t="s">
        <v>4679</v>
      </c>
      <c r="D1375" s="19" t="s">
        <v>4680</v>
      </c>
    </row>
    <row r="1376" spans="1:4" ht="15.5" x14ac:dyDescent="0.35">
      <c r="A1376" s="1" t="s">
        <v>996</v>
      </c>
      <c r="B1376" s="19" t="s">
        <v>3277</v>
      </c>
      <c r="C1376" s="19" t="s">
        <v>3383</v>
      </c>
      <c r="D1376" s="19" t="s">
        <v>4681</v>
      </c>
    </row>
    <row r="1377" spans="1:4" ht="15.5" x14ac:dyDescent="0.35">
      <c r="A1377" s="1" t="s">
        <v>995</v>
      </c>
      <c r="B1377" s="19" t="s">
        <v>2402</v>
      </c>
      <c r="C1377" s="19" t="s">
        <v>4682</v>
      </c>
      <c r="D1377" s="19" t="s">
        <v>4683</v>
      </c>
    </row>
    <row r="1378" spans="1:4" ht="15.5" x14ac:dyDescent="0.35">
      <c r="A1378" s="1" t="s">
        <v>994</v>
      </c>
      <c r="B1378" s="19" t="s">
        <v>2402</v>
      </c>
      <c r="C1378" s="19" t="s">
        <v>4684</v>
      </c>
      <c r="D1378" s="19" t="s">
        <v>3063</v>
      </c>
    </row>
    <row r="1379" spans="1:4" ht="15.5" x14ac:dyDescent="0.35">
      <c r="A1379" s="1" t="s">
        <v>993</v>
      </c>
      <c r="B1379" s="19" t="s">
        <v>2399</v>
      </c>
      <c r="C1379" s="19" t="s">
        <v>4685</v>
      </c>
      <c r="D1379" s="19" t="s">
        <v>4686</v>
      </c>
    </row>
    <row r="1380" spans="1:4" ht="15.5" x14ac:dyDescent="0.35">
      <c r="A1380" s="1" t="s">
        <v>992</v>
      </c>
      <c r="B1380" s="19" t="s">
        <v>2402</v>
      </c>
      <c r="C1380" s="19" t="s">
        <v>4687</v>
      </c>
      <c r="D1380" s="19" t="s">
        <v>2528</v>
      </c>
    </row>
    <row r="1381" spans="1:4" ht="15.5" x14ac:dyDescent="0.35">
      <c r="A1381" s="1" t="s">
        <v>991</v>
      </c>
      <c r="B1381" s="19" t="s">
        <v>2402</v>
      </c>
      <c r="C1381" s="19" t="s">
        <v>4688</v>
      </c>
      <c r="D1381" s="19" t="s">
        <v>2798</v>
      </c>
    </row>
    <row r="1382" spans="1:4" ht="15.5" x14ac:dyDescent="0.35">
      <c r="A1382" s="1" t="s">
        <v>990</v>
      </c>
      <c r="B1382" s="19" t="s">
        <v>2402</v>
      </c>
      <c r="C1382" s="19" t="s">
        <v>4689</v>
      </c>
      <c r="D1382" s="19" t="s">
        <v>4690</v>
      </c>
    </row>
    <row r="1383" spans="1:4" ht="15.5" x14ac:dyDescent="0.35">
      <c r="A1383" s="1" t="s">
        <v>989</v>
      </c>
      <c r="B1383" s="19" t="s">
        <v>2399</v>
      </c>
      <c r="C1383" s="19" t="s">
        <v>4691</v>
      </c>
      <c r="D1383" s="19" t="s">
        <v>3347</v>
      </c>
    </row>
    <row r="1384" spans="1:4" ht="15.5" x14ac:dyDescent="0.35">
      <c r="A1384" s="1" t="s">
        <v>988</v>
      </c>
      <c r="B1384" s="19" t="s">
        <v>2402</v>
      </c>
      <c r="C1384" s="19" t="s">
        <v>3536</v>
      </c>
      <c r="D1384" s="19" t="s">
        <v>4193</v>
      </c>
    </row>
    <row r="1385" spans="1:4" ht="15.5" x14ac:dyDescent="0.35">
      <c r="A1385" s="1" t="s">
        <v>987</v>
      </c>
      <c r="B1385" s="19" t="s">
        <v>2402</v>
      </c>
      <c r="C1385" s="19" t="s">
        <v>4692</v>
      </c>
      <c r="D1385" s="19" t="s">
        <v>4693</v>
      </c>
    </row>
    <row r="1386" spans="1:4" ht="15.5" x14ac:dyDescent="0.35">
      <c r="A1386" s="1" t="s">
        <v>986</v>
      </c>
      <c r="B1386" s="19" t="s">
        <v>2399</v>
      </c>
      <c r="C1386" s="19" t="s">
        <v>2928</v>
      </c>
      <c r="D1386" s="19" t="s">
        <v>4694</v>
      </c>
    </row>
    <row r="1387" spans="1:4" ht="15.5" x14ac:dyDescent="0.35">
      <c r="A1387" s="1" t="s">
        <v>985</v>
      </c>
      <c r="B1387" s="19" t="s">
        <v>2402</v>
      </c>
      <c r="C1387" s="19" t="s">
        <v>4695</v>
      </c>
      <c r="D1387" s="19" t="s">
        <v>4696</v>
      </c>
    </row>
    <row r="1388" spans="1:4" ht="15.5" x14ac:dyDescent="0.35">
      <c r="A1388" s="1" t="s">
        <v>984</v>
      </c>
      <c r="B1388" s="19" t="s">
        <v>2402</v>
      </c>
      <c r="C1388" s="19" t="s">
        <v>4104</v>
      </c>
      <c r="D1388" s="19" t="s">
        <v>4697</v>
      </c>
    </row>
    <row r="1389" spans="1:4" ht="15.5" x14ac:dyDescent="0.35">
      <c r="A1389" s="1" t="s">
        <v>983</v>
      </c>
      <c r="B1389" s="19" t="s">
        <v>2399</v>
      </c>
      <c r="C1389" s="19" t="s">
        <v>4698</v>
      </c>
      <c r="D1389" s="19" t="s">
        <v>4699</v>
      </c>
    </row>
    <row r="1390" spans="1:4" ht="15.5" x14ac:dyDescent="0.35">
      <c r="A1390" s="1" t="s">
        <v>982</v>
      </c>
      <c r="B1390" s="19" t="s">
        <v>2402</v>
      </c>
      <c r="C1390" s="19" t="s">
        <v>4700</v>
      </c>
      <c r="D1390" s="19" t="s">
        <v>2423</v>
      </c>
    </row>
    <row r="1391" spans="1:4" ht="15.5" x14ac:dyDescent="0.35">
      <c r="A1391" s="1" t="s">
        <v>981</v>
      </c>
      <c r="B1391" s="19" t="s">
        <v>2402</v>
      </c>
      <c r="C1391" s="19" t="s">
        <v>4701</v>
      </c>
      <c r="D1391" s="19" t="s">
        <v>3243</v>
      </c>
    </row>
    <row r="1392" spans="1:4" ht="15.5" x14ac:dyDescent="0.35">
      <c r="A1392" s="1" t="s">
        <v>980</v>
      </c>
      <c r="B1392" s="19" t="s">
        <v>2402</v>
      </c>
      <c r="C1392" s="19" t="s">
        <v>3218</v>
      </c>
      <c r="D1392" s="19" t="s">
        <v>4702</v>
      </c>
    </row>
    <row r="1393" spans="1:4" ht="15.5" x14ac:dyDescent="0.35">
      <c r="A1393" s="1" t="s">
        <v>979</v>
      </c>
      <c r="B1393" s="19" t="s">
        <v>2402</v>
      </c>
      <c r="C1393" s="19" t="s">
        <v>4703</v>
      </c>
      <c r="D1393" s="19" t="s">
        <v>2696</v>
      </c>
    </row>
    <row r="1394" spans="1:4" ht="15.5" x14ac:dyDescent="0.35">
      <c r="A1394" s="1" t="s">
        <v>978</v>
      </c>
      <c r="B1394" s="19" t="s">
        <v>2399</v>
      </c>
      <c r="C1394" s="19" t="s">
        <v>4704</v>
      </c>
      <c r="D1394" s="19" t="s">
        <v>4705</v>
      </c>
    </row>
    <row r="1395" spans="1:4" ht="15.5" x14ac:dyDescent="0.35">
      <c r="A1395" s="1" t="s">
        <v>977</v>
      </c>
      <c r="B1395" s="19" t="s">
        <v>2399</v>
      </c>
      <c r="C1395" s="19" t="s">
        <v>4706</v>
      </c>
      <c r="D1395" s="19" t="s">
        <v>4707</v>
      </c>
    </row>
    <row r="1396" spans="1:4" ht="15.5" x14ac:dyDescent="0.35">
      <c r="A1396" s="1" t="s">
        <v>976</v>
      </c>
      <c r="B1396" s="19" t="s">
        <v>2402</v>
      </c>
      <c r="C1396" s="19" t="s">
        <v>4708</v>
      </c>
      <c r="D1396" s="19" t="s">
        <v>2594</v>
      </c>
    </row>
    <row r="1397" spans="1:4" ht="15.5" x14ac:dyDescent="0.35">
      <c r="A1397" s="1" t="s">
        <v>975</v>
      </c>
      <c r="B1397" s="19" t="s">
        <v>2402</v>
      </c>
      <c r="C1397" s="19" t="s">
        <v>4709</v>
      </c>
      <c r="D1397" s="19" t="s">
        <v>2594</v>
      </c>
    </row>
    <row r="1398" spans="1:4" ht="15.5" x14ac:dyDescent="0.35">
      <c r="A1398" s="1" t="s">
        <v>974</v>
      </c>
      <c r="B1398" s="19" t="s">
        <v>2399</v>
      </c>
      <c r="C1398" s="19" t="s">
        <v>4710</v>
      </c>
      <c r="D1398" s="19" t="s">
        <v>4711</v>
      </c>
    </row>
    <row r="1399" spans="1:4" ht="15.5" x14ac:dyDescent="0.35">
      <c r="A1399" s="1" t="s">
        <v>973</v>
      </c>
      <c r="B1399" s="19" t="s">
        <v>3277</v>
      </c>
      <c r="C1399" s="19" t="s">
        <v>4712</v>
      </c>
      <c r="D1399" s="19" t="s">
        <v>4713</v>
      </c>
    </row>
    <row r="1400" spans="1:4" ht="15.5" x14ac:dyDescent="0.35">
      <c r="A1400" s="1" t="s">
        <v>972</v>
      </c>
      <c r="B1400" s="19" t="s">
        <v>2399</v>
      </c>
      <c r="C1400" s="19" t="s">
        <v>4714</v>
      </c>
      <c r="D1400" s="19" t="s">
        <v>2871</v>
      </c>
    </row>
    <row r="1401" spans="1:4" ht="15.5" x14ac:dyDescent="0.35">
      <c r="A1401" s="1" t="s">
        <v>971</v>
      </c>
      <c r="B1401" s="19" t="s">
        <v>2399</v>
      </c>
      <c r="C1401" s="19" t="s">
        <v>4715</v>
      </c>
      <c r="D1401" s="19" t="s">
        <v>3683</v>
      </c>
    </row>
    <row r="1402" spans="1:4" ht="15.5" x14ac:dyDescent="0.35">
      <c r="A1402" s="1" t="s">
        <v>970</v>
      </c>
      <c r="B1402" s="19" t="s">
        <v>2399</v>
      </c>
      <c r="C1402" s="19" t="s">
        <v>4409</v>
      </c>
      <c r="D1402" s="19" t="s">
        <v>4716</v>
      </c>
    </row>
    <row r="1403" spans="1:4" ht="15.5" x14ac:dyDescent="0.35">
      <c r="A1403" s="1" t="s">
        <v>969</v>
      </c>
      <c r="B1403" s="19" t="s">
        <v>2399</v>
      </c>
      <c r="C1403" s="19" t="s">
        <v>4717</v>
      </c>
      <c r="D1403" s="19" t="s">
        <v>2511</v>
      </c>
    </row>
    <row r="1404" spans="1:4" ht="15.5" x14ac:dyDescent="0.35">
      <c r="A1404" s="1" t="s">
        <v>968</v>
      </c>
      <c r="B1404" s="19" t="s">
        <v>2399</v>
      </c>
      <c r="C1404" s="19" t="s">
        <v>4718</v>
      </c>
      <c r="D1404" s="19" t="s">
        <v>3531</v>
      </c>
    </row>
    <row r="1405" spans="1:4" ht="15.5" x14ac:dyDescent="0.35">
      <c r="A1405" s="1" t="s">
        <v>967</v>
      </c>
      <c r="B1405" s="19" t="s">
        <v>2399</v>
      </c>
      <c r="C1405" s="19" t="s">
        <v>4719</v>
      </c>
      <c r="D1405" s="19" t="s">
        <v>4720</v>
      </c>
    </row>
    <row r="1406" spans="1:4" ht="15.5" x14ac:dyDescent="0.35">
      <c r="A1406" s="1" t="s">
        <v>966</v>
      </c>
      <c r="B1406" s="19" t="s">
        <v>2399</v>
      </c>
      <c r="C1406" s="19" t="s">
        <v>4721</v>
      </c>
      <c r="D1406" s="19" t="s">
        <v>4722</v>
      </c>
    </row>
    <row r="1407" spans="1:4" ht="15.5" x14ac:dyDescent="0.35">
      <c r="A1407" s="1" t="s">
        <v>965</v>
      </c>
      <c r="B1407" s="19" t="s">
        <v>2402</v>
      </c>
      <c r="C1407" s="19" t="s">
        <v>4723</v>
      </c>
      <c r="D1407" s="19" t="s">
        <v>2451</v>
      </c>
    </row>
    <row r="1408" spans="1:4" ht="15.5" x14ac:dyDescent="0.35">
      <c r="A1408" s="1" t="s">
        <v>964</v>
      </c>
      <c r="B1408" s="19" t="s">
        <v>2399</v>
      </c>
      <c r="C1408" s="19" t="s">
        <v>4724</v>
      </c>
      <c r="D1408" s="19" t="s">
        <v>3683</v>
      </c>
    </row>
    <row r="1409" spans="1:4" ht="15.5" x14ac:dyDescent="0.35">
      <c r="A1409" s="1" t="s">
        <v>963</v>
      </c>
      <c r="B1409" s="19" t="s">
        <v>2402</v>
      </c>
      <c r="C1409" s="19" t="s">
        <v>4725</v>
      </c>
      <c r="D1409" s="19" t="s">
        <v>2487</v>
      </c>
    </row>
    <row r="1410" spans="1:4" ht="15.5" x14ac:dyDescent="0.35">
      <c r="A1410" s="1" t="s">
        <v>962</v>
      </c>
      <c r="B1410" s="19" t="s">
        <v>2402</v>
      </c>
      <c r="C1410" s="19" t="s">
        <v>4726</v>
      </c>
      <c r="D1410" s="19" t="s">
        <v>2403</v>
      </c>
    </row>
    <row r="1411" spans="1:4" ht="15.5" x14ac:dyDescent="0.35">
      <c r="A1411" s="1" t="s">
        <v>961</v>
      </c>
      <c r="B1411" s="19" t="s">
        <v>2402</v>
      </c>
      <c r="C1411" s="19" t="s">
        <v>4727</v>
      </c>
      <c r="D1411" s="19" t="s">
        <v>4728</v>
      </c>
    </row>
    <row r="1412" spans="1:4" ht="15.5" x14ac:dyDescent="0.35">
      <c r="A1412" s="1" t="s">
        <v>960</v>
      </c>
      <c r="B1412" s="19" t="s">
        <v>2399</v>
      </c>
      <c r="C1412" s="19" t="s">
        <v>4272</v>
      </c>
      <c r="D1412" s="19" t="s">
        <v>4729</v>
      </c>
    </row>
    <row r="1413" spans="1:4" ht="15.5" x14ac:dyDescent="0.35">
      <c r="A1413" s="1" t="s">
        <v>959</v>
      </c>
      <c r="B1413" s="19" t="s">
        <v>2399</v>
      </c>
      <c r="C1413" s="19" t="s">
        <v>4730</v>
      </c>
      <c r="D1413" s="19" t="s">
        <v>4675</v>
      </c>
    </row>
    <row r="1414" spans="1:4" ht="15.5" x14ac:dyDescent="0.35">
      <c r="A1414" s="1" t="s">
        <v>958</v>
      </c>
      <c r="B1414" s="19" t="s">
        <v>2399</v>
      </c>
      <c r="C1414" s="19" t="s">
        <v>4454</v>
      </c>
      <c r="D1414" s="19" t="s">
        <v>4731</v>
      </c>
    </row>
    <row r="1415" spans="1:4" ht="15.5" x14ac:dyDescent="0.35">
      <c r="A1415" s="1" t="s">
        <v>957</v>
      </c>
      <c r="B1415" s="19" t="s">
        <v>2402</v>
      </c>
      <c r="C1415" s="19" t="s">
        <v>4732</v>
      </c>
      <c r="D1415" s="19" t="s">
        <v>2700</v>
      </c>
    </row>
    <row r="1416" spans="1:4" ht="15.5" x14ac:dyDescent="0.35">
      <c r="A1416" s="1" t="s">
        <v>956</v>
      </c>
      <c r="B1416" s="19" t="s">
        <v>2402</v>
      </c>
      <c r="C1416" s="19" t="s">
        <v>4733</v>
      </c>
      <c r="D1416" s="19" t="s">
        <v>4734</v>
      </c>
    </row>
    <row r="1417" spans="1:4" ht="15.5" x14ac:dyDescent="0.35">
      <c r="A1417" s="1" t="s">
        <v>955</v>
      </c>
      <c r="B1417" s="19" t="s">
        <v>2402</v>
      </c>
      <c r="C1417" s="19" t="s">
        <v>4735</v>
      </c>
      <c r="D1417" s="19" t="s">
        <v>2563</v>
      </c>
    </row>
    <row r="1418" spans="1:4" ht="15.5" x14ac:dyDescent="0.35">
      <c r="A1418" s="1" t="s">
        <v>954</v>
      </c>
      <c r="B1418" s="19" t="s">
        <v>2399</v>
      </c>
      <c r="C1418" s="19" t="s">
        <v>4736</v>
      </c>
      <c r="D1418" s="19" t="s">
        <v>4737</v>
      </c>
    </row>
    <row r="1419" spans="1:4" ht="15.5" x14ac:dyDescent="0.35">
      <c r="A1419" s="1" t="s">
        <v>953</v>
      </c>
      <c r="B1419" s="19" t="s">
        <v>3277</v>
      </c>
      <c r="C1419" s="19" t="s">
        <v>4738</v>
      </c>
      <c r="D1419" s="19" t="s">
        <v>2610</v>
      </c>
    </row>
    <row r="1420" spans="1:4" ht="15.5" x14ac:dyDescent="0.35">
      <c r="A1420" s="1" t="s">
        <v>952</v>
      </c>
      <c r="B1420" s="19" t="s">
        <v>2402</v>
      </c>
      <c r="C1420" s="19" t="s">
        <v>4739</v>
      </c>
      <c r="D1420" s="19" t="s">
        <v>2914</v>
      </c>
    </row>
    <row r="1421" spans="1:4" ht="15.5" x14ac:dyDescent="0.35">
      <c r="A1421" s="1" t="s">
        <v>951</v>
      </c>
      <c r="B1421" s="19" t="s">
        <v>2402</v>
      </c>
      <c r="C1421" s="19" t="s">
        <v>4740</v>
      </c>
      <c r="D1421" s="19" t="s">
        <v>4741</v>
      </c>
    </row>
    <row r="1422" spans="1:4" ht="15.5" x14ac:dyDescent="0.35">
      <c r="A1422" s="1" t="s">
        <v>950</v>
      </c>
      <c r="B1422" s="19" t="s">
        <v>2399</v>
      </c>
      <c r="C1422" s="19" t="s">
        <v>4742</v>
      </c>
      <c r="D1422" s="19" t="s">
        <v>4743</v>
      </c>
    </row>
    <row r="1423" spans="1:4" ht="15.5" x14ac:dyDescent="0.35">
      <c r="A1423" s="1" t="s">
        <v>949</v>
      </c>
      <c r="B1423" s="19" t="s">
        <v>2402</v>
      </c>
      <c r="C1423" s="19" t="s">
        <v>4744</v>
      </c>
      <c r="D1423" s="19" t="s">
        <v>4745</v>
      </c>
    </row>
    <row r="1424" spans="1:4" ht="15.5" x14ac:dyDescent="0.35">
      <c r="A1424" s="1" t="s">
        <v>948</v>
      </c>
      <c r="B1424" s="19" t="s">
        <v>2402</v>
      </c>
      <c r="C1424" s="19" t="s">
        <v>4746</v>
      </c>
      <c r="D1424" s="19" t="s">
        <v>4747</v>
      </c>
    </row>
    <row r="1425" spans="1:4" ht="15.5" x14ac:dyDescent="0.35">
      <c r="A1425" s="1" t="s">
        <v>947</v>
      </c>
      <c r="B1425" s="19" t="s">
        <v>2399</v>
      </c>
      <c r="C1425" s="19" t="s">
        <v>4748</v>
      </c>
      <c r="D1425" s="19" t="s">
        <v>4749</v>
      </c>
    </row>
    <row r="1426" spans="1:4" ht="15.5" x14ac:dyDescent="0.35">
      <c r="A1426" s="1" t="s">
        <v>946</v>
      </c>
      <c r="B1426" s="19" t="s">
        <v>2402</v>
      </c>
      <c r="C1426" s="19" t="s">
        <v>4750</v>
      </c>
      <c r="D1426" s="19" t="s">
        <v>4751</v>
      </c>
    </row>
    <row r="1427" spans="1:4" ht="15.5" x14ac:dyDescent="0.35">
      <c r="A1427" s="1" t="s">
        <v>945</v>
      </c>
      <c r="B1427" s="19" t="s">
        <v>2402</v>
      </c>
      <c r="C1427" s="19" t="s">
        <v>4752</v>
      </c>
      <c r="D1427" s="19" t="s">
        <v>2413</v>
      </c>
    </row>
    <row r="1428" spans="1:4" ht="15.5" x14ac:dyDescent="0.35">
      <c r="A1428" s="1" t="s">
        <v>944</v>
      </c>
      <c r="B1428" s="19" t="s">
        <v>2399</v>
      </c>
      <c r="C1428" s="19" t="s">
        <v>2950</v>
      </c>
      <c r="D1428" s="19" t="s">
        <v>4753</v>
      </c>
    </row>
    <row r="1429" spans="1:4" ht="15.5" x14ac:dyDescent="0.35">
      <c r="A1429" s="1" t="s">
        <v>943</v>
      </c>
      <c r="B1429" s="19" t="s">
        <v>2399</v>
      </c>
      <c r="C1429" s="19" t="s">
        <v>4754</v>
      </c>
      <c r="D1429" s="19" t="s">
        <v>4755</v>
      </c>
    </row>
    <row r="1430" spans="1:4" ht="15.5" x14ac:dyDescent="0.35">
      <c r="A1430" s="1" t="s">
        <v>942</v>
      </c>
      <c r="B1430" s="19" t="s">
        <v>2399</v>
      </c>
      <c r="C1430" s="19" t="s">
        <v>2523</v>
      </c>
      <c r="D1430" s="19" t="s">
        <v>3236</v>
      </c>
    </row>
    <row r="1431" spans="1:4" ht="15.5" x14ac:dyDescent="0.35">
      <c r="A1431" s="1" t="s">
        <v>941</v>
      </c>
      <c r="B1431" s="19" t="s">
        <v>2402</v>
      </c>
      <c r="C1431" s="19" t="s">
        <v>4756</v>
      </c>
      <c r="D1431" s="19" t="s">
        <v>4757</v>
      </c>
    </row>
    <row r="1432" spans="1:4" ht="15.5" x14ac:dyDescent="0.35">
      <c r="A1432" s="1" t="s">
        <v>940</v>
      </c>
      <c r="B1432" s="19" t="s">
        <v>3277</v>
      </c>
      <c r="C1432" s="19" t="s">
        <v>4758</v>
      </c>
      <c r="D1432" s="19" t="s">
        <v>4759</v>
      </c>
    </row>
    <row r="1433" spans="1:4" ht="15.5" x14ac:dyDescent="0.35">
      <c r="A1433" s="1" t="s">
        <v>939</v>
      </c>
      <c r="B1433" s="19" t="s">
        <v>2399</v>
      </c>
      <c r="C1433" s="19" t="s">
        <v>4760</v>
      </c>
      <c r="D1433" s="19" t="s">
        <v>2445</v>
      </c>
    </row>
    <row r="1434" spans="1:4" ht="15.5" x14ac:dyDescent="0.35">
      <c r="A1434" s="1" t="s">
        <v>938</v>
      </c>
      <c r="B1434" s="19" t="s">
        <v>2399</v>
      </c>
      <c r="C1434" s="19" t="s">
        <v>4761</v>
      </c>
      <c r="D1434" s="19" t="s">
        <v>4762</v>
      </c>
    </row>
    <row r="1435" spans="1:4" ht="15.5" x14ac:dyDescent="0.35">
      <c r="A1435" s="1" t="s">
        <v>937</v>
      </c>
      <c r="B1435" s="19" t="s">
        <v>2399</v>
      </c>
      <c r="C1435" s="19" t="s">
        <v>4763</v>
      </c>
      <c r="D1435" s="19" t="s">
        <v>3036</v>
      </c>
    </row>
    <row r="1436" spans="1:4" ht="15.5" x14ac:dyDescent="0.35">
      <c r="A1436" s="1" t="s">
        <v>936</v>
      </c>
      <c r="B1436" s="19" t="s">
        <v>2399</v>
      </c>
      <c r="C1436" s="19" t="s">
        <v>2974</v>
      </c>
      <c r="D1436" s="19" t="s">
        <v>4764</v>
      </c>
    </row>
    <row r="1437" spans="1:4" ht="15.5" x14ac:dyDescent="0.35">
      <c r="A1437" s="1" t="s">
        <v>935</v>
      </c>
      <c r="B1437" s="19" t="s">
        <v>2402</v>
      </c>
      <c r="C1437" s="19" t="s">
        <v>4765</v>
      </c>
      <c r="D1437" s="19" t="s">
        <v>4766</v>
      </c>
    </row>
    <row r="1438" spans="1:4" ht="15.5" x14ac:dyDescent="0.35">
      <c r="A1438" s="1" t="s">
        <v>934</v>
      </c>
      <c r="B1438" s="19" t="s">
        <v>2399</v>
      </c>
      <c r="C1438" s="19" t="s">
        <v>4767</v>
      </c>
      <c r="D1438" s="19" t="s">
        <v>3950</v>
      </c>
    </row>
    <row r="1439" spans="1:4" ht="15.5" x14ac:dyDescent="0.35">
      <c r="A1439" s="1" t="s">
        <v>933</v>
      </c>
      <c r="B1439" s="19" t="s">
        <v>2399</v>
      </c>
      <c r="C1439" s="19" t="s">
        <v>4768</v>
      </c>
      <c r="D1439" s="19" t="s">
        <v>2957</v>
      </c>
    </row>
    <row r="1440" spans="1:4" ht="15.5" x14ac:dyDescent="0.35">
      <c r="A1440" s="1" t="s">
        <v>932</v>
      </c>
      <c r="B1440" s="19" t="s">
        <v>2399</v>
      </c>
      <c r="C1440" s="19" t="s">
        <v>4769</v>
      </c>
      <c r="D1440" s="19" t="s">
        <v>3745</v>
      </c>
    </row>
    <row r="1441" spans="1:4" ht="15.5" x14ac:dyDescent="0.35">
      <c r="A1441" s="1" t="s">
        <v>931</v>
      </c>
      <c r="B1441" s="19" t="s">
        <v>2399</v>
      </c>
      <c r="C1441" s="19" t="s">
        <v>4770</v>
      </c>
      <c r="D1441" s="19" t="s">
        <v>4771</v>
      </c>
    </row>
    <row r="1442" spans="1:4" ht="15.5" x14ac:dyDescent="0.35">
      <c r="A1442" s="1" t="s">
        <v>930</v>
      </c>
      <c r="B1442" s="19" t="s">
        <v>2399</v>
      </c>
      <c r="C1442" s="19" t="s">
        <v>2677</v>
      </c>
      <c r="D1442" s="19" t="s">
        <v>4772</v>
      </c>
    </row>
    <row r="1443" spans="1:4" ht="15.5" x14ac:dyDescent="0.35">
      <c r="A1443" s="1" t="s">
        <v>929</v>
      </c>
      <c r="B1443" s="19" t="s">
        <v>2402</v>
      </c>
      <c r="C1443" s="19" t="s">
        <v>4773</v>
      </c>
      <c r="D1443" s="19" t="s">
        <v>2563</v>
      </c>
    </row>
    <row r="1444" spans="1:4" ht="15.5" x14ac:dyDescent="0.35">
      <c r="A1444" s="1" t="s">
        <v>928</v>
      </c>
      <c r="B1444" s="19" t="s">
        <v>2399</v>
      </c>
      <c r="C1444" s="19" t="s">
        <v>4774</v>
      </c>
      <c r="D1444" s="19" t="s">
        <v>3286</v>
      </c>
    </row>
    <row r="1445" spans="1:4" ht="15.5" x14ac:dyDescent="0.35">
      <c r="A1445" s="1" t="s">
        <v>927</v>
      </c>
      <c r="B1445" s="19" t="s">
        <v>2399</v>
      </c>
      <c r="C1445" s="19" t="s">
        <v>2410</v>
      </c>
      <c r="D1445" s="19" t="s">
        <v>4775</v>
      </c>
    </row>
    <row r="1446" spans="1:4" ht="15.5" x14ac:dyDescent="0.35">
      <c r="A1446" s="1" t="s">
        <v>926</v>
      </c>
      <c r="B1446" s="19" t="s">
        <v>2402</v>
      </c>
      <c r="C1446" s="19" t="s">
        <v>4776</v>
      </c>
      <c r="D1446" s="19" t="s">
        <v>4777</v>
      </c>
    </row>
    <row r="1447" spans="1:4" ht="15.5" x14ac:dyDescent="0.35">
      <c r="A1447" s="1" t="s">
        <v>925</v>
      </c>
      <c r="B1447" s="19" t="s">
        <v>2399</v>
      </c>
      <c r="C1447" s="19" t="s">
        <v>2529</v>
      </c>
      <c r="D1447" s="19" t="s">
        <v>2802</v>
      </c>
    </row>
    <row r="1448" spans="1:4" ht="15.5" x14ac:dyDescent="0.35">
      <c r="A1448" s="1" t="s">
        <v>924</v>
      </c>
      <c r="B1448" s="19" t="s">
        <v>2399</v>
      </c>
      <c r="C1448" s="19" t="s">
        <v>4778</v>
      </c>
      <c r="D1448" s="19" t="s">
        <v>3868</v>
      </c>
    </row>
    <row r="1449" spans="1:4" ht="15.5" x14ac:dyDescent="0.35">
      <c r="A1449" s="1" t="s">
        <v>923</v>
      </c>
      <c r="B1449" s="19" t="s">
        <v>2399</v>
      </c>
      <c r="C1449" s="19" t="s">
        <v>4779</v>
      </c>
      <c r="D1449" s="19" t="s">
        <v>4780</v>
      </c>
    </row>
    <row r="1450" spans="1:4" ht="15.5" x14ac:dyDescent="0.35">
      <c r="A1450" s="1" t="s">
        <v>922</v>
      </c>
      <c r="B1450" s="19" t="s">
        <v>2399</v>
      </c>
      <c r="C1450" s="19" t="s">
        <v>4781</v>
      </c>
      <c r="D1450" s="19" t="s">
        <v>4782</v>
      </c>
    </row>
    <row r="1451" spans="1:4" ht="15.5" x14ac:dyDescent="0.35">
      <c r="A1451" s="1" t="s">
        <v>921</v>
      </c>
      <c r="B1451" s="19" t="s">
        <v>2399</v>
      </c>
      <c r="C1451" s="19" t="s">
        <v>4783</v>
      </c>
      <c r="D1451" s="19" t="s">
        <v>4784</v>
      </c>
    </row>
    <row r="1452" spans="1:4" ht="15.5" x14ac:dyDescent="0.35">
      <c r="A1452" s="1" t="s">
        <v>920</v>
      </c>
      <c r="B1452" s="19" t="s">
        <v>2402</v>
      </c>
      <c r="C1452" s="19" t="s">
        <v>4785</v>
      </c>
      <c r="D1452" s="19" t="s">
        <v>4786</v>
      </c>
    </row>
    <row r="1453" spans="1:4" ht="15.5" x14ac:dyDescent="0.35">
      <c r="A1453" s="1" t="s">
        <v>919</v>
      </c>
      <c r="B1453" s="19" t="s">
        <v>2402</v>
      </c>
      <c r="C1453" s="19" t="s">
        <v>4787</v>
      </c>
      <c r="D1453" s="19" t="s">
        <v>2451</v>
      </c>
    </row>
    <row r="1454" spans="1:4" ht="15.5" x14ac:dyDescent="0.35">
      <c r="A1454" s="1" t="s">
        <v>918</v>
      </c>
      <c r="B1454" s="19" t="s">
        <v>2402</v>
      </c>
      <c r="C1454" s="19" t="s">
        <v>4788</v>
      </c>
      <c r="D1454" s="19" t="s">
        <v>3754</v>
      </c>
    </row>
    <row r="1455" spans="1:4" ht="15.5" x14ac:dyDescent="0.35">
      <c r="A1455" s="1" t="s">
        <v>917</v>
      </c>
      <c r="B1455" s="19" t="s">
        <v>2402</v>
      </c>
      <c r="C1455" s="19" t="s">
        <v>4789</v>
      </c>
      <c r="D1455" s="19" t="s">
        <v>4790</v>
      </c>
    </row>
    <row r="1456" spans="1:4" ht="15.5" x14ac:dyDescent="0.35">
      <c r="A1456" s="1" t="s">
        <v>916</v>
      </c>
      <c r="B1456" s="19" t="s">
        <v>2402</v>
      </c>
      <c r="C1456" s="19" t="s">
        <v>4791</v>
      </c>
      <c r="D1456" s="19" t="s">
        <v>4792</v>
      </c>
    </row>
    <row r="1457" spans="1:5" ht="15.5" x14ac:dyDescent="0.35">
      <c r="A1457" s="1" t="s">
        <v>915</v>
      </c>
      <c r="B1457" s="19" t="s">
        <v>2402</v>
      </c>
      <c r="C1457" s="19" t="s">
        <v>3055</v>
      </c>
      <c r="D1457" s="19" t="s">
        <v>4793</v>
      </c>
    </row>
    <row r="1458" spans="1:5" ht="15.5" x14ac:dyDescent="0.35">
      <c r="A1458" s="1" t="s">
        <v>914</v>
      </c>
      <c r="B1458" s="19" t="s">
        <v>2399</v>
      </c>
      <c r="C1458" s="19" t="s">
        <v>4794</v>
      </c>
      <c r="D1458" s="19" t="s">
        <v>4795</v>
      </c>
    </row>
    <row r="1459" spans="1:5" ht="15.5" x14ac:dyDescent="0.35">
      <c r="A1459" s="1" t="s">
        <v>913</v>
      </c>
      <c r="B1459" s="19" t="s">
        <v>2399</v>
      </c>
      <c r="C1459" s="19" t="s">
        <v>4796</v>
      </c>
      <c r="D1459" s="19" t="s">
        <v>2871</v>
      </c>
    </row>
    <row r="1460" spans="1:5" ht="15.5" x14ac:dyDescent="0.35">
      <c r="A1460" s="1" t="s">
        <v>912</v>
      </c>
      <c r="B1460" s="19" t="s">
        <v>2402</v>
      </c>
      <c r="C1460" s="19" t="s">
        <v>4797</v>
      </c>
      <c r="D1460" s="19" t="s">
        <v>4798</v>
      </c>
    </row>
    <row r="1461" spans="1:5" ht="15.5" x14ac:dyDescent="0.35">
      <c r="A1461" s="1" t="s">
        <v>911</v>
      </c>
      <c r="B1461" s="19" t="s">
        <v>2402</v>
      </c>
      <c r="C1461" s="19" t="s">
        <v>3795</v>
      </c>
      <c r="D1461" s="19" t="s">
        <v>4799</v>
      </c>
    </row>
    <row r="1462" spans="1:5" ht="15.5" x14ac:dyDescent="0.35">
      <c r="A1462" s="1" t="s">
        <v>910</v>
      </c>
      <c r="B1462" s="19" t="s">
        <v>2399</v>
      </c>
      <c r="C1462" s="19" t="s">
        <v>2944</v>
      </c>
      <c r="D1462" s="19" t="s">
        <v>3347</v>
      </c>
    </row>
    <row r="1463" spans="1:5" ht="15.5" x14ac:dyDescent="0.35">
      <c r="A1463" s="1" t="s">
        <v>909</v>
      </c>
      <c r="B1463" s="19" t="s">
        <v>2399</v>
      </c>
      <c r="C1463" s="19" t="s">
        <v>2828</v>
      </c>
      <c r="D1463" s="19" t="s">
        <v>4800</v>
      </c>
    </row>
    <row r="1464" spans="1:5" ht="15.5" x14ac:dyDescent="0.35">
      <c r="A1464" s="1" t="s">
        <v>908</v>
      </c>
      <c r="B1464" s="19" t="s">
        <v>2402</v>
      </c>
      <c r="C1464" s="19" t="s">
        <v>4801</v>
      </c>
      <c r="D1464" s="19" t="s">
        <v>2883</v>
      </c>
    </row>
    <row r="1465" spans="1:5" ht="15.5" x14ac:dyDescent="0.35">
      <c r="A1465" s="1" t="s">
        <v>907</v>
      </c>
      <c r="B1465" s="19" t="s">
        <v>2402</v>
      </c>
      <c r="C1465" s="19" t="s">
        <v>4802</v>
      </c>
      <c r="D1465" s="19" t="s">
        <v>4803</v>
      </c>
      <c r="E1465" t="s">
        <v>2539</v>
      </c>
    </row>
    <row r="1466" spans="1:5" ht="15.5" x14ac:dyDescent="0.35">
      <c r="A1466" s="1" t="s">
        <v>906</v>
      </c>
      <c r="B1466" s="19" t="s">
        <v>2399</v>
      </c>
      <c r="C1466" s="19" t="s">
        <v>2909</v>
      </c>
      <c r="D1466" s="19" t="s">
        <v>4804</v>
      </c>
    </row>
    <row r="1467" spans="1:5" ht="15.5" x14ac:dyDescent="0.35">
      <c r="A1467" s="1" t="s">
        <v>905</v>
      </c>
      <c r="B1467" s="19" t="s">
        <v>2402</v>
      </c>
      <c r="C1467" s="19" t="s">
        <v>3218</v>
      </c>
      <c r="D1467" s="19" t="s">
        <v>4805</v>
      </c>
    </row>
    <row r="1468" spans="1:5" ht="15.5" x14ac:dyDescent="0.35">
      <c r="A1468" s="1" t="s">
        <v>904</v>
      </c>
      <c r="B1468" s="19" t="s">
        <v>2402</v>
      </c>
      <c r="C1468" s="19" t="s">
        <v>4806</v>
      </c>
      <c r="D1468" s="19" t="s">
        <v>4807</v>
      </c>
    </row>
    <row r="1469" spans="1:5" ht="15.5" x14ac:dyDescent="0.35">
      <c r="A1469" s="1" t="s">
        <v>903</v>
      </c>
      <c r="B1469" s="19" t="s">
        <v>2402</v>
      </c>
      <c r="C1469" s="19" t="s">
        <v>4808</v>
      </c>
      <c r="D1469" s="19" t="s">
        <v>4809</v>
      </c>
    </row>
    <row r="1470" spans="1:5" ht="15.5" x14ac:dyDescent="0.35">
      <c r="A1470" s="1" t="s">
        <v>902</v>
      </c>
      <c r="B1470" s="19" t="s">
        <v>2402</v>
      </c>
      <c r="C1470" s="19" t="s">
        <v>4810</v>
      </c>
      <c r="D1470" s="19" t="s">
        <v>2837</v>
      </c>
    </row>
    <row r="1471" spans="1:5" ht="15.5" x14ac:dyDescent="0.35">
      <c r="A1471" s="1" t="s">
        <v>901</v>
      </c>
      <c r="B1471" s="19" t="s">
        <v>2399</v>
      </c>
      <c r="C1471" s="19" t="s">
        <v>4811</v>
      </c>
      <c r="D1471" s="19" t="s">
        <v>4812</v>
      </c>
    </row>
    <row r="1472" spans="1:5" ht="15.5" x14ac:dyDescent="0.35">
      <c r="A1472" s="1" t="s">
        <v>900</v>
      </c>
      <c r="B1472" s="19" t="s">
        <v>2402</v>
      </c>
      <c r="C1472" s="19" t="s">
        <v>4813</v>
      </c>
      <c r="D1472" s="19" t="s">
        <v>4814</v>
      </c>
    </row>
    <row r="1473" spans="1:4" ht="15.5" x14ac:dyDescent="0.35">
      <c r="A1473" s="1" t="s">
        <v>899</v>
      </c>
      <c r="B1473" s="19" t="s">
        <v>2399</v>
      </c>
      <c r="C1473" s="19" t="s">
        <v>4815</v>
      </c>
      <c r="D1473" s="19" t="s">
        <v>3136</v>
      </c>
    </row>
    <row r="1474" spans="1:4" ht="15.5" x14ac:dyDescent="0.35">
      <c r="A1474" s="1" t="s">
        <v>898</v>
      </c>
      <c r="B1474" s="19" t="s">
        <v>2402</v>
      </c>
      <c r="C1474" s="19" t="s">
        <v>4816</v>
      </c>
      <c r="D1474" s="19" t="s">
        <v>3667</v>
      </c>
    </row>
    <row r="1475" spans="1:4" ht="15.5" x14ac:dyDescent="0.35">
      <c r="A1475" s="1" t="s">
        <v>897</v>
      </c>
      <c r="B1475" s="19" t="s">
        <v>2402</v>
      </c>
      <c r="C1475" s="19" t="s">
        <v>4817</v>
      </c>
      <c r="D1475" s="19" t="s">
        <v>4818</v>
      </c>
    </row>
    <row r="1476" spans="1:4" ht="15.5" x14ac:dyDescent="0.35">
      <c r="A1476" s="1" t="s">
        <v>896</v>
      </c>
      <c r="B1476" s="19" t="s">
        <v>2399</v>
      </c>
      <c r="C1476" s="19" t="s">
        <v>4819</v>
      </c>
      <c r="D1476" s="19" t="s">
        <v>4820</v>
      </c>
    </row>
    <row r="1477" spans="1:4" ht="15.5" x14ac:dyDescent="0.35">
      <c r="A1477" s="1" t="s">
        <v>895</v>
      </c>
      <c r="B1477" s="19" t="s">
        <v>2402</v>
      </c>
      <c r="C1477" s="19" t="s">
        <v>4821</v>
      </c>
      <c r="D1477" s="19" t="s">
        <v>4822</v>
      </c>
    </row>
    <row r="1478" spans="1:4" ht="15.5" x14ac:dyDescent="0.35">
      <c r="A1478" s="1" t="s">
        <v>894</v>
      </c>
      <c r="B1478" s="19" t="s">
        <v>2399</v>
      </c>
      <c r="C1478" s="19" t="s">
        <v>4823</v>
      </c>
      <c r="D1478" s="19" t="s">
        <v>4562</v>
      </c>
    </row>
    <row r="1479" spans="1:4" ht="15.5" x14ac:dyDescent="0.35">
      <c r="A1479" s="1" t="s">
        <v>893</v>
      </c>
      <c r="B1479" s="19" t="s">
        <v>2402</v>
      </c>
      <c r="C1479" s="19" t="s">
        <v>4824</v>
      </c>
      <c r="D1479" s="19" t="s">
        <v>4825</v>
      </c>
    </row>
    <row r="1480" spans="1:4" ht="15.5" x14ac:dyDescent="0.35">
      <c r="A1480" s="1" t="s">
        <v>892</v>
      </c>
      <c r="B1480" s="19" t="s">
        <v>2402</v>
      </c>
      <c r="C1480" s="19" t="s">
        <v>4826</v>
      </c>
      <c r="D1480" s="19" t="s">
        <v>4827</v>
      </c>
    </row>
    <row r="1481" spans="1:4" ht="15.5" x14ac:dyDescent="0.35">
      <c r="A1481" s="1" t="s">
        <v>891</v>
      </c>
      <c r="B1481" s="19" t="s">
        <v>2399</v>
      </c>
      <c r="C1481" s="19" t="s">
        <v>4828</v>
      </c>
      <c r="D1481" s="19" t="s">
        <v>4829</v>
      </c>
    </row>
    <row r="1482" spans="1:4" ht="15.5" x14ac:dyDescent="0.35">
      <c r="A1482" s="1" t="s">
        <v>890</v>
      </c>
      <c r="B1482" s="19" t="s">
        <v>2402</v>
      </c>
      <c r="C1482" s="19" t="s">
        <v>4830</v>
      </c>
      <c r="D1482" s="19" t="s">
        <v>2919</v>
      </c>
    </row>
    <row r="1483" spans="1:4" ht="15.5" x14ac:dyDescent="0.35">
      <c r="A1483" s="1" t="s">
        <v>889</v>
      </c>
      <c r="B1483" s="19" t="s">
        <v>2399</v>
      </c>
      <c r="C1483" s="19" t="s">
        <v>4639</v>
      </c>
      <c r="D1483" s="19" t="s">
        <v>4831</v>
      </c>
    </row>
    <row r="1484" spans="1:4" ht="15.5" x14ac:dyDescent="0.35">
      <c r="A1484" s="1" t="s">
        <v>888</v>
      </c>
      <c r="B1484" s="19" t="s">
        <v>2402</v>
      </c>
      <c r="C1484" s="19" t="s">
        <v>4832</v>
      </c>
      <c r="D1484" s="19" t="s">
        <v>4833</v>
      </c>
    </row>
    <row r="1485" spans="1:4" ht="15.5" x14ac:dyDescent="0.35">
      <c r="A1485" s="1" t="s">
        <v>887</v>
      </c>
      <c r="B1485" s="19" t="s">
        <v>2399</v>
      </c>
      <c r="C1485" s="19" t="s">
        <v>4834</v>
      </c>
      <c r="D1485" s="19" t="s">
        <v>2521</v>
      </c>
    </row>
    <row r="1486" spans="1:4" ht="15.5" x14ac:dyDescent="0.35">
      <c r="A1486" s="1" t="s">
        <v>886</v>
      </c>
      <c r="B1486" s="19" t="s">
        <v>2399</v>
      </c>
      <c r="C1486" s="19" t="s">
        <v>4835</v>
      </c>
      <c r="D1486" s="19" t="s">
        <v>3914</v>
      </c>
    </row>
    <row r="1487" spans="1:4" ht="15.5" x14ac:dyDescent="0.35">
      <c r="A1487" s="1" t="s">
        <v>885</v>
      </c>
      <c r="B1487" s="19" t="s">
        <v>2399</v>
      </c>
      <c r="C1487" s="19" t="s">
        <v>4836</v>
      </c>
      <c r="D1487" s="19" t="s">
        <v>4837</v>
      </c>
    </row>
    <row r="1488" spans="1:4" ht="15.5" x14ac:dyDescent="0.35">
      <c r="A1488" s="1" t="s">
        <v>884</v>
      </c>
      <c r="B1488" s="19" t="s">
        <v>2399</v>
      </c>
      <c r="C1488" s="19" t="s">
        <v>4838</v>
      </c>
      <c r="D1488" s="19" t="s">
        <v>4839</v>
      </c>
    </row>
    <row r="1489" spans="1:5" ht="15.5" x14ac:dyDescent="0.35">
      <c r="A1489" s="1" t="s">
        <v>883</v>
      </c>
      <c r="B1489" s="19" t="s">
        <v>2402</v>
      </c>
      <c r="C1489" s="19" t="s">
        <v>4071</v>
      </c>
      <c r="D1489" s="19" t="s">
        <v>4840</v>
      </c>
    </row>
    <row r="1490" spans="1:5" ht="15.5" x14ac:dyDescent="0.35">
      <c r="A1490" s="1" t="s">
        <v>882</v>
      </c>
      <c r="B1490" s="19" t="s">
        <v>2399</v>
      </c>
      <c r="C1490" s="19" t="s">
        <v>4841</v>
      </c>
      <c r="D1490" s="19" t="s">
        <v>4842</v>
      </c>
    </row>
    <row r="1491" spans="1:5" ht="15.5" x14ac:dyDescent="0.35">
      <c r="A1491" s="1" t="s">
        <v>881</v>
      </c>
      <c r="B1491" s="19" t="s">
        <v>2399</v>
      </c>
      <c r="C1491" s="19" t="s">
        <v>4843</v>
      </c>
      <c r="D1491" s="19" t="s">
        <v>4844</v>
      </c>
    </row>
    <row r="1492" spans="1:5" ht="15.5" x14ac:dyDescent="0.35">
      <c r="A1492" s="1" t="s">
        <v>880</v>
      </c>
      <c r="B1492" s="19" t="s">
        <v>2399</v>
      </c>
      <c r="C1492" s="19" t="s">
        <v>4845</v>
      </c>
      <c r="D1492" s="19" t="s">
        <v>4846</v>
      </c>
    </row>
    <row r="1493" spans="1:5" ht="15.5" x14ac:dyDescent="0.35">
      <c r="A1493" s="1" t="s">
        <v>879</v>
      </c>
      <c r="B1493" s="19" t="s">
        <v>2402</v>
      </c>
      <c r="C1493" s="19" t="s">
        <v>4847</v>
      </c>
      <c r="D1493" s="19" t="s">
        <v>4848</v>
      </c>
      <c r="E1493" t="s">
        <v>2539</v>
      </c>
    </row>
    <row r="1494" spans="1:5" ht="15.5" x14ac:dyDescent="0.35">
      <c r="A1494" s="1" t="s">
        <v>878</v>
      </c>
      <c r="B1494" s="19" t="s">
        <v>2402</v>
      </c>
      <c r="C1494" s="19" t="s">
        <v>4849</v>
      </c>
      <c r="D1494" s="19" t="s">
        <v>4850</v>
      </c>
    </row>
    <row r="1495" spans="1:5" ht="15.5" x14ac:dyDescent="0.35">
      <c r="A1495" s="1" t="s">
        <v>877</v>
      </c>
      <c r="B1495" s="19" t="s">
        <v>2399</v>
      </c>
      <c r="C1495" s="19" t="s">
        <v>4851</v>
      </c>
      <c r="D1495" s="19" t="s">
        <v>4546</v>
      </c>
    </row>
    <row r="1496" spans="1:5" ht="15.5" x14ac:dyDescent="0.35">
      <c r="A1496" s="1" t="s">
        <v>876</v>
      </c>
      <c r="B1496" s="19" t="s">
        <v>2402</v>
      </c>
      <c r="C1496" s="19" t="s">
        <v>4852</v>
      </c>
      <c r="D1496" s="19" t="s">
        <v>4853</v>
      </c>
    </row>
    <row r="1497" spans="1:5" ht="15.5" x14ac:dyDescent="0.35">
      <c r="A1497" s="1" t="s">
        <v>875</v>
      </c>
      <c r="B1497" s="19" t="s">
        <v>2402</v>
      </c>
      <c r="C1497" s="19" t="s">
        <v>4854</v>
      </c>
      <c r="D1497" s="19" t="s">
        <v>4855</v>
      </c>
    </row>
    <row r="1498" spans="1:5" ht="15.5" x14ac:dyDescent="0.35">
      <c r="A1498" s="1" t="s">
        <v>874</v>
      </c>
      <c r="B1498" s="19" t="s">
        <v>2402</v>
      </c>
      <c r="C1498" s="19" t="s">
        <v>4856</v>
      </c>
      <c r="D1498" s="19" t="s">
        <v>4857</v>
      </c>
    </row>
    <row r="1499" spans="1:5" ht="15.5" x14ac:dyDescent="0.35">
      <c r="A1499" s="1" t="s">
        <v>873</v>
      </c>
      <c r="B1499" s="19" t="s">
        <v>2402</v>
      </c>
      <c r="C1499" s="19" t="s">
        <v>4858</v>
      </c>
      <c r="D1499" s="19" t="s">
        <v>2594</v>
      </c>
    </row>
    <row r="1500" spans="1:5" ht="15.5" x14ac:dyDescent="0.35">
      <c r="A1500" s="1" t="s">
        <v>872</v>
      </c>
      <c r="B1500" s="19" t="s">
        <v>2399</v>
      </c>
      <c r="C1500" s="19" t="s">
        <v>4859</v>
      </c>
      <c r="D1500" s="19" t="s">
        <v>4860</v>
      </c>
    </row>
    <row r="1501" spans="1:5" ht="15.5" x14ac:dyDescent="0.35">
      <c r="A1501" s="1" t="s">
        <v>871</v>
      </c>
      <c r="B1501" s="19" t="s">
        <v>2399</v>
      </c>
      <c r="C1501" s="19" t="s">
        <v>4861</v>
      </c>
      <c r="D1501" s="19" t="s">
        <v>3588</v>
      </c>
    </row>
    <row r="1502" spans="1:5" ht="15.5" x14ac:dyDescent="0.35">
      <c r="A1502" s="1" t="s">
        <v>870</v>
      </c>
      <c r="B1502" s="19" t="s">
        <v>3277</v>
      </c>
      <c r="C1502" s="19" t="s">
        <v>4862</v>
      </c>
      <c r="D1502" s="19" t="s">
        <v>4863</v>
      </c>
    </row>
    <row r="1503" spans="1:5" ht="15.5" x14ac:dyDescent="0.35">
      <c r="A1503" s="1" t="s">
        <v>869</v>
      </c>
      <c r="B1503" s="19" t="s">
        <v>2399</v>
      </c>
      <c r="C1503" s="19" t="s">
        <v>4864</v>
      </c>
      <c r="D1503" s="19" t="s">
        <v>3562</v>
      </c>
    </row>
    <row r="1504" spans="1:5" ht="15.5" x14ac:dyDescent="0.35">
      <c r="A1504" s="1" t="s">
        <v>868</v>
      </c>
      <c r="B1504" s="19" t="s">
        <v>2399</v>
      </c>
      <c r="C1504" s="19" t="s">
        <v>4865</v>
      </c>
      <c r="D1504" s="19" t="s">
        <v>4866</v>
      </c>
    </row>
    <row r="1505" spans="1:4" ht="15.5" x14ac:dyDescent="0.35">
      <c r="A1505" s="1" t="s">
        <v>867</v>
      </c>
      <c r="B1505" s="19" t="s">
        <v>2402</v>
      </c>
      <c r="C1505" s="19" t="s">
        <v>3957</v>
      </c>
      <c r="D1505" s="19" t="s">
        <v>4867</v>
      </c>
    </row>
    <row r="1506" spans="1:4" ht="15.5" x14ac:dyDescent="0.35">
      <c r="A1506" s="1" t="s">
        <v>866</v>
      </c>
      <c r="B1506" s="19" t="s">
        <v>2402</v>
      </c>
      <c r="C1506" s="19" t="s">
        <v>4868</v>
      </c>
      <c r="D1506" s="19" t="s">
        <v>4869</v>
      </c>
    </row>
    <row r="1507" spans="1:4" ht="15.5" x14ac:dyDescent="0.35">
      <c r="A1507" s="1" t="s">
        <v>865</v>
      </c>
      <c r="B1507" s="19" t="s">
        <v>2399</v>
      </c>
      <c r="C1507" s="19" t="s">
        <v>4870</v>
      </c>
      <c r="D1507" s="19" t="s">
        <v>4871</v>
      </c>
    </row>
    <row r="1508" spans="1:4" ht="15.5" x14ac:dyDescent="0.35">
      <c r="A1508" s="1" t="s">
        <v>864</v>
      </c>
      <c r="B1508" s="19" t="s">
        <v>2402</v>
      </c>
      <c r="C1508" s="19" t="s">
        <v>4872</v>
      </c>
      <c r="D1508" s="19" t="s">
        <v>4697</v>
      </c>
    </row>
    <row r="1509" spans="1:4" ht="15.5" x14ac:dyDescent="0.35">
      <c r="A1509" s="1" t="s">
        <v>863</v>
      </c>
      <c r="B1509" s="19" t="s">
        <v>2402</v>
      </c>
      <c r="C1509" s="19" t="s">
        <v>3826</v>
      </c>
      <c r="D1509" s="19" t="s">
        <v>4873</v>
      </c>
    </row>
    <row r="1510" spans="1:4" ht="15.5" x14ac:dyDescent="0.35">
      <c r="A1510" s="1" t="s">
        <v>862</v>
      </c>
      <c r="B1510" s="19" t="s">
        <v>2402</v>
      </c>
      <c r="C1510" s="19" t="s">
        <v>2720</v>
      </c>
      <c r="D1510" s="19" t="s">
        <v>2767</v>
      </c>
    </row>
    <row r="1511" spans="1:4" ht="15.5" x14ac:dyDescent="0.35">
      <c r="A1511" s="1" t="s">
        <v>861</v>
      </c>
      <c r="B1511" s="19" t="s">
        <v>2399</v>
      </c>
      <c r="C1511" s="19" t="s">
        <v>4874</v>
      </c>
      <c r="D1511" s="19" t="s">
        <v>4875</v>
      </c>
    </row>
    <row r="1512" spans="1:4" ht="15.5" x14ac:dyDescent="0.35">
      <c r="A1512" s="1" t="s">
        <v>860</v>
      </c>
      <c r="B1512" s="19" t="s">
        <v>2402</v>
      </c>
      <c r="C1512" s="19" t="s">
        <v>4876</v>
      </c>
      <c r="D1512" s="19" t="s">
        <v>2700</v>
      </c>
    </row>
    <row r="1513" spans="1:4" ht="15.5" x14ac:dyDescent="0.35">
      <c r="A1513" s="1" t="s">
        <v>859</v>
      </c>
      <c r="B1513" s="19" t="s">
        <v>2402</v>
      </c>
      <c r="C1513" s="19" t="s">
        <v>4877</v>
      </c>
      <c r="D1513" s="19" t="s">
        <v>4878</v>
      </c>
    </row>
    <row r="1514" spans="1:4" ht="15.5" x14ac:dyDescent="0.35">
      <c r="A1514" s="1" t="s">
        <v>858</v>
      </c>
      <c r="B1514" s="19" t="s">
        <v>2399</v>
      </c>
      <c r="C1514" s="19" t="s">
        <v>4879</v>
      </c>
      <c r="D1514" s="19" t="s">
        <v>4880</v>
      </c>
    </row>
    <row r="1515" spans="1:4" ht="15.5" x14ac:dyDescent="0.35">
      <c r="A1515" s="1" t="s">
        <v>857</v>
      </c>
      <c r="B1515" s="19" t="s">
        <v>2402</v>
      </c>
      <c r="C1515" s="19" t="s">
        <v>4881</v>
      </c>
      <c r="D1515" s="19" t="s">
        <v>4882</v>
      </c>
    </row>
    <row r="1516" spans="1:4" ht="15.5" x14ac:dyDescent="0.35">
      <c r="A1516" s="1" t="s">
        <v>856</v>
      </c>
      <c r="B1516" s="19" t="s">
        <v>2402</v>
      </c>
      <c r="C1516" s="19" t="s">
        <v>4883</v>
      </c>
      <c r="D1516" s="19" t="s">
        <v>2700</v>
      </c>
    </row>
    <row r="1517" spans="1:4" ht="15.5" x14ac:dyDescent="0.35">
      <c r="A1517" s="1" t="s">
        <v>855</v>
      </c>
      <c r="B1517" s="19" t="s">
        <v>2402</v>
      </c>
      <c r="C1517" s="19" t="s">
        <v>4884</v>
      </c>
      <c r="D1517" s="19" t="s">
        <v>4395</v>
      </c>
    </row>
    <row r="1518" spans="1:4" ht="15.5" x14ac:dyDescent="0.35">
      <c r="A1518" s="1" t="s">
        <v>854</v>
      </c>
      <c r="B1518" s="19" t="s">
        <v>2399</v>
      </c>
      <c r="C1518" s="19" t="s">
        <v>4885</v>
      </c>
      <c r="D1518" s="19" t="s">
        <v>4886</v>
      </c>
    </row>
    <row r="1519" spans="1:4" ht="15.5" x14ac:dyDescent="0.35">
      <c r="A1519" s="1" t="s">
        <v>853</v>
      </c>
      <c r="B1519" s="19" t="s">
        <v>2399</v>
      </c>
      <c r="C1519" s="19" t="s">
        <v>4887</v>
      </c>
      <c r="D1519" s="19" t="s">
        <v>3221</v>
      </c>
    </row>
    <row r="1520" spans="1:4" ht="15.5" x14ac:dyDescent="0.35">
      <c r="A1520" s="1" t="s">
        <v>852</v>
      </c>
      <c r="B1520" s="19" t="s">
        <v>2399</v>
      </c>
      <c r="C1520" s="19" t="s">
        <v>4888</v>
      </c>
      <c r="D1520" s="19" t="s">
        <v>4889</v>
      </c>
    </row>
    <row r="1521" spans="1:4" ht="15.5" x14ac:dyDescent="0.35">
      <c r="A1521" s="1" t="s">
        <v>851</v>
      </c>
      <c r="B1521" s="19" t="s">
        <v>2399</v>
      </c>
      <c r="C1521" s="19" t="s">
        <v>4890</v>
      </c>
      <c r="D1521" s="19" t="s">
        <v>4891</v>
      </c>
    </row>
    <row r="1522" spans="1:4" ht="15.5" x14ac:dyDescent="0.35">
      <c r="A1522" s="1" t="s">
        <v>850</v>
      </c>
      <c r="B1522" s="19" t="s">
        <v>2402</v>
      </c>
      <c r="C1522" s="19" t="s">
        <v>4892</v>
      </c>
      <c r="D1522" s="19" t="s">
        <v>4893</v>
      </c>
    </row>
    <row r="1523" spans="1:4" ht="15.5" x14ac:dyDescent="0.35">
      <c r="A1523" s="1" t="s">
        <v>849</v>
      </c>
      <c r="B1523" s="19" t="s">
        <v>2399</v>
      </c>
      <c r="C1523" s="19" t="s">
        <v>4894</v>
      </c>
      <c r="D1523" s="19" t="s">
        <v>3547</v>
      </c>
    </row>
    <row r="1524" spans="1:4" ht="15.5" x14ac:dyDescent="0.35">
      <c r="A1524" s="1" t="s">
        <v>848</v>
      </c>
      <c r="B1524" s="19" t="s">
        <v>2402</v>
      </c>
      <c r="C1524" s="19" t="s">
        <v>4895</v>
      </c>
      <c r="D1524" s="19" t="s">
        <v>4896</v>
      </c>
    </row>
    <row r="1525" spans="1:4" ht="15.5" x14ac:dyDescent="0.35">
      <c r="A1525" s="1" t="s">
        <v>847</v>
      </c>
      <c r="B1525" s="19" t="s">
        <v>2402</v>
      </c>
      <c r="C1525" s="19" t="s">
        <v>4897</v>
      </c>
      <c r="D1525" s="19" t="s">
        <v>2837</v>
      </c>
    </row>
    <row r="1526" spans="1:4" ht="15.5" x14ac:dyDescent="0.35">
      <c r="A1526" s="1" t="s">
        <v>846</v>
      </c>
      <c r="B1526" s="19" t="s">
        <v>2402</v>
      </c>
      <c r="C1526" s="19" t="s">
        <v>3912</v>
      </c>
      <c r="D1526" s="19" t="s">
        <v>3043</v>
      </c>
    </row>
    <row r="1527" spans="1:4" ht="15.5" x14ac:dyDescent="0.35">
      <c r="A1527" s="1" t="s">
        <v>845</v>
      </c>
      <c r="B1527" s="19" t="s">
        <v>2399</v>
      </c>
      <c r="C1527" s="19" t="s">
        <v>4898</v>
      </c>
      <c r="D1527" s="19" t="s">
        <v>4899</v>
      </c>
    </row>
    <row r="1528" spans="1:4" ht="15.5" x14ac:dyDescent="0.35">
      <c r="A1528" s="1" t="s">
        <v>844</v>
      </c>
      <c r="B1528" s="19" t="s">
        <v>2399</v>
      </c>
      <c r="C1528" s="19" t="s">
        <v>4900</v>
      </c>
      <c r="D1528" s="19" t="s">
        <v>4901</v>
      </c>
    </row>
    <row r="1529" spans="1:4" ht="15.5" x14ac:dyDescent="0.35">
      <c r="A1529" s="1" t="s">
        <v>843</v>
      </c>
      <c r="B1529" s="19" t="s">
        <v>2402</v>
      </c>
      <c r="C1529" s="19" t="s">
        <v>4902</v>
      </c>
      <c r="D1529" s="19" t="s">
        <v>4903</v>
      </c>
    </row>
    <row r="1530" spans="1:4" ht="15.5" x14ac:dyDescent="0.35">
      <c r="A1530" s="1" t="s">
        <v>842</v>
      </c>
      <c r="B1530" s="19" t="s">
        <v>2399</v>
      </c>
      <c r="C1530" s="19" t="s">
        <v>4904</v>
      </c>
      <c r="D1530" s="19" t="s">
        <v>4905</v>
      </c>
    </row>
    <row r="1531" spans="1:4" ht="15.5" x14ac:dyDescent="0.35">
      <c r="A1531" s="1" t="s">
        <v>841</v>
      </c>
      <c r="B1531" s="19" t="s">
        <v>2399</v>
      </c>
      <c r="C1531" s="19" t="s">
        <v>2950</v>
      </c>
      <c r="D1531" s="19" t="s">
        <v>2561</v>
      </c>
    </row>
    <row r="1532" spans="1:4" ht="15.5" x14ac:dyDescent="0.35">
      <c r="A1532" s="1" t="s">
        <v>840</v>
      </c>
      <c r="B1532" s="19" t="s">
        <v>2399</v>
      </c>
      <c r="C1532" s="19" t="s">
        <v>4906</v>
      </c>
      <c r="D1532" s="19" t="s">
        <v>4907</v>
      </c>
    </row>
    <row r="1533" spans="1:4" ht="15.5" x14ac:dyDescent="0.35">
      <c r="A1533" s="1" t="s">
        <v>839</v>
      </c>
      <c r="B1533" s="19" t="s">
        <v>2402</v>
      </c>
      <c r="C1533" s="19" t="s">
        <v>4908</v>
      </c>
      <c r="D1533" s="19" t="s">
        <v>4909</v>
      </c>
    </row>
    <row r="1534" spans="1:4" ht="15.5" x14ac:dyDescent="0.35">
      <c r="A1534" s="1" t="s">
        <v>838</v>
      </c>
      <c r="B1534" s="19" t="s">
        <v>2402</v>
      </c>
      <c r="C1534" s="19" t="s">
        <v>4910</v>
      </c>
      <c r="D1534" s="19" t="s">
        <v>3134</v>
      </c>
    </row>
    <row r="1535" spans="1:4" ht="15.5" x14ac:dyDescent="0.35">
      <c r="A1535" s="1" t="s">
        <v>837</v>
      </c>
      <c r="B1535" s="19" t="s">
        <v>2399</v>
      </c>
      <c r="C1535" s="19" t="s">
        <v>4911</v>
      </c>
      <c r="D1535" s="19" t="s">
        <v>2571</v>
      </c>
    </row>
    <row r="1536" spans="1:4" ht="15.5" x14ac:dyDescent="0.35">
      <c r="A1536" s="1" t="s">
        <v>836</v>
      </c>
      <c r="B1536" s="19" t="s">
        <v>2402</v>
      </c>
      <c r="C1536" s="19" t="s">
        <v>4912</v>
      </c>
      <c r="D1536" s="19" t="s">
        <v>2451</v>
      </c>
    </row>
    <row r="1537" spans="1:5" ht="15.5" x14ac:dyDescent="0.35">
      <c r="A1537" s="1" t="s">
        <v>835</v>
      </c>
      <c r="B1537" s="19" t="s">
        <v>2402</v>
      </c>
      <c r="C1537" s="19" t="s">
        <v>4913</v>
      </c>
      <c r="D1537" s="19" t="s">
        <v>2496</v>
      </c>
    </row>
    <row r="1538" spans="1:5" ht="15.5" x14ac:dyDescent="0.35">
      <c r="A1538" s="1" t="s">
        <v>834</v>
      </c>
      <c r="B1538" s="19" t="s">
        <v>2399</v>
      </c>
      <c r="C1538" s="19" t="s">
        <v>4914</v>
      </c>
      <c r="D1538" s="19" t="s">
        <v>4915</v>
      </c>
    </row>
    <row r="1539" spans="1:5" ht="15.5" x14ac:dyDescent="0.35">
      <c r="A1539" s="1" t="s">
        <v>833</v>
      </c>
      <c r="B1539" s="19" t="s">
        <v>2402</v>
      </c>
      <c r="C1539" s="19" t="s">
        <v>4916</v>
      </c>
      <c r="D1539" s="19" t="s">
        <v>2827</v>
      </c>
    </row>
    <row r="1540" spans="1:5" ht="15.5" x14ac:dyDescent="0.35">
      <c r="A1540" s="1" t="s">
        <v>832</v>
      </c>
      <c r="B1540" s="19" t="s">
        <v>2402</v>
      </c>
      <c r="C1540" s="19" t="s">
        <v>4917</v>
      </c>
      <c r="D1540" s="19" t="s">
        <v>4918</v>
      </c>
    </row>
    <row r="1541" spans="1:5" ht="15.5" x14ac:dyDescent="0.35">
      <c r="A1541" s="1" t="s">
        <v>831</v>
      </c>
      <c r="B1541" s="19" t="s">
        <v>2399</v>
      </c>
      <c r="C1541" s="19" t="s">
        <v>4919</v>
      </c>
      <c r="D1541" s="19" t="s">
        <v>4920</v>
      </c>
    </row>
    <row r="1542" spans="1:5" ht="15.5" x14ac:dyDescent="0.35">
      <c r="A1542" s="1" t="s">
        <v>830</v>
      </c>
      <c r="B1542" s="19" t="s">
        <v>2399</v>
      </c>
      <c r="C1542" s="19" t="s">
        <v>4921</v>
      </c>
      <c r="D1542" s="19" t="s">
        <v>4922</v>
      </c>
    </row>
    <row r="1543" spans="1:5" ht="15.5" x14ac:dyDescent="0.35">
      <c r="A1543" s="1" t="s">
        <v>829</v>
      </c>
      <c r="B1543" s="19" t="s">
        <v>2402</v>
      </c>
      <c r="C1543" s="19" t="s">
        <v>4923</v>
      </c>
      <c r="D1543" s="19" t="s">
        <v>4924</v>
      </c>
    </row>
    <row r="1544" spans="1:5" ht="15.5" x14ac:dyDescent="0.35">
      <c r="A1544" s="1" t="s">
        <v>828</v>
      </c>
      <c r="B1544" s="19" t="s">
        <v>2402</v>
      </c>
      <c r="C1544" s="19" t="s">
        <v>4925</v>
      </c>
      <c r="D1544" s="19" t="s">
        <v>2496</v>
      </c>
    </row>
    <row r="1545" spans="1:5" ht="15.5" x14ac:dyDescent="0.35">
      <c r="A1545" s="1" t="s">
        <v>827</v>
      </c>
      <c r="B1545" s="19" t="s">
        <v>2402</v>
      </c>
      <c r="C1545" s="19" t="s">
        <v>4926</v>
      </c>
      <c r="D1545" s="19" t="s">
        <v>4927</v>
      </c>
    </row>
    <row r="1546" spans="1:5" ht="15.5" x14ac:dyDescent="0.35">
      <c r="A1546" s="1" t="s">
        <v>826</v>
      </c>
      <c r="B1546" s="19" t="s">
        <v>2402</v>
      </c>
      <c r="C1546" s="19" t="s">
        <v>4928</v>
      </c>
      <c r="D1546" s="19" t="s">
        <v>4929</v>
      </c>
    </row>
    <row r="1547" spans="1:5" ht="15.5" x14ac:dyDescent="0.35">
      <c r="A1547" s="1" t="s">
        <v>825</v>
      </c>
      <c r="B1547" s="19" t="s">
        <v>2399</v>
      </c>
      <c r="C1547" s="19" t="s">
        <v>4930</v>
      </c>
      <c r="D1547" s="19" t="s">
        <v>3136</v>
      </c>
    </row>
    <row r="1548" spans="1:5" ht="15.5" x14ac:dyDescent="0.35">
      <c r="A1548" s="1" t="s">
        <v>824</v>
      </c>
      <c r="B1548" s="19" t="s">
        <v>2399</v>
      </c>
      <c r="C1548" s="19" t="s">
        <v>4931</v>
      </c>
      <c r="D1548" s="19" t="s">
        <v>4932</v>
      </c>
    </row>
    <row r="1549" spans="1:5" ht="15.5" x14ac:dyDescent="0.35">
      <c r="A1549" s="1" t="s">
        <v>823</v>
      </c>
      <c r="B1549" s="19" t="s">
        <v>2399</v>
      </c>
      <c r="C1549" s="19" t="s">
        <v>4933</v>
      </c>
      <c r="D1549" s="19" t="s">
        <v>4934</v>
      </c>
    </row>
    <row r="1550" spans="1:5" ht="15.5" x14ac:dyDescent="0.35">
      <c r="A1550" s="1" t="s">
        <v>822</v>
      </c>
      <c r="B1550" s="19" t="s">
        <v>2402</v>
      </c>
      <c r="C1550" s="19" t="s">
        <v>4935</v>
      </c>
      <c r="D1550" s="19" t="s">
        <v>4936</v>
      </c>
      <c r="E1550" t="s">
        <v>3677</v>
      </c>
    </row>
    <row r="1551" spans="1:5" ht="15.5" x14ac:dyDescent="0.35">
      <c r="A1551" s="1" t="s">
        <v>821</v>
      </c>
      <c r="B1551" s="19" t="s">
        <v>2399</v>
      </c>
      <c r="C1551" s="19" t="s">
        <v>4937</v>
      </c>
      <c r="D1551" s="19" t="s">
        <v>2455</v>
      </c>
    </row>
    <row r="1552" spans="1:5" ht="15.5" x14ac:dyDescent="0.35">
      <c r="A1552" s="1" t="s">
        <v>820</v>
      </c>
      <c r="B1552" s="19" t="s">
        <v>2402</v>
      </c>
      <c r="C1552" s="19" t="s">
        <v>4938</v>
      </c>
      <c r="D1552" s="19" t="s">
        <v>4939</v>
      </c>
    </row>
    <row r="1553" spans="1:5" ht="15.5" x14ac:dyDescent="0.35">
      <c r="A1553" s="1" t="s">
        <v>819</v>
      </c>
      <c r="B1553" s="19" t="s">
        <v>2402</v>
      </c>
      <c r="C1553" s="19" t="s">
        <v>4499</v>
      </c>
      <c r="D1553" s="19" t="s">
        <v>3243</v>
      </c>
    </row>
    <row r="1554" spans="1:5" ht="15.5" x14ac:dyDescent="0.35">
      <c r="A1554" s="1" t="s">
        <v>818</v>
      </c>
      <c r="B1554" s="19" t="s">
        <v>2402</v>
      </c>
      <c r="C1554" s="19" t="s">
        <v>4940</v>
      </c>
      <c r="D1554" s="19" t="s">
        <v>4941</v>
      </c>
    </row>
    <row r="1555" spans="1:5" ht="15.5" x14ac:dyDescent="0.35">
      <c r="A1555" s="1" t="s">
        <v>817</v>
      </c>
      <c r="B1555" s="19" t="s">
        <v>2399</v>
      </c>
      <c r="C1555" s="19" t="s">
        <v>4942</v>
      </c>
      <c r="D1555" s="19" t="s">
        <v>4943</v>
      </c>
    </row>
    <row r="1556" spans="1:5" ht="15.5" x14ac:dyDescent="0.35">
      <c r="A1556" s="1" t="s">
        <v>816</v>
      </c>
      <c r="B1556" s="19" t="s">
        <v>2399</v>
      </c>
      <c r="C1556" s="19" t="s">
        <v>4944</v>
      </c>
      <c r="D1556" s="19" t="s">
        <v>2771</v>
      </c>
    </row>
    <row r="1557" spans="1:5" ht="15.5" x14ac:dyDescent="0.35">
      <c r="A1557" s="1" t="s">
        <v>815</v>
      </c>
      <c r="B1557" s="19" t="s">
        <v>2402</v>
      </c>
      <c r="C1557" s="19" t="s">
        <v>4237</v>
      </c>
      <c r="D1557" s="19" t="s">
        <v>2855</v>
      </c>
      <c r="E1557" t="s">
        <v>2539</v>
      </c>
    </row>
    <row r="1558" spans="1:5" ht="15.5" x14ac:dyDescent="0.35">
      <c r="A1558" s="1" t="s">
        <v>814</v>
      </c>
      <c r="B1558" s="19" t="s">
        <v>2399</v>
      </c>
      <c r="C1558" s="19" t="s">
        <v>4945</v>
      </c>
      <c r="D1558" s="19" t="s">
        <v>4946</v>
      </c>
    </row>
    <row r="1559" spans="1:5" ht="15.5" x14ac:dyDescent="0.35">
      <c r="A1559" s="1" t="s">
        <v>813</v>
      </c>
      <c r="B1559" s="19" t="s">
        <v>2399</v>
      </c>
      <c r="C1559" s="19" t="s">
        <v>4947</v>
      </c>
      <c r="D1559" s="19" t="s">
        <v>3531</v>
      </c>
    </row>
    <row r="1560" spans="1:5" ht="15.5" x14ac:dyDescent="0.35">
      <c r="A1560" s="1" t="s">
        <v>812</v>
      </c>
      <c r="B1560" s="19" t="s">
        <v>2399</v>
      </c>
      <c r="C1560" s="19" t="s">
        <v>4948</v>
      </c>
      <c r="D1560" s="19" t="s">
        <v>4949</v>
      </c>
    </row>
    <row r="1561" spans="1:5" ht="15.5" x14ac:dyDescent="0.35">
      <c r="A1561" s="1" t="s">
        <v>811</v>
      </c>
      <c r="B1561" s="19" t="s">
        <v>2399</v>
      </c>
      <c r="C1561" s="19" t="s">
        <v>4950</v>
      </c>
      <c r="D1561" s="19" t="s">
        <v>4951</v>
      </c>
    </row>
    <row r="1562" spans="1:5" ht="15.5" x14ac:dyDescent="0.35">
      <c r="A1562" s="1" t="s">
        <v>810</v>
      </c>
      <c r="B1562" s="19" t="s">
        <v>2402</v>
      </c>
      <c r="C1562" s="19" t="s">
        <v>4952</v>
      </c>
      <c r="D1562" s="19" t="s">
        <v>4953</v>
      </c>
    </row>
    <row r="1563" spans="1:5" ht="15.5" x14ac:dyDescent="0.35">
      <c r="A1563" s="1" t="s">
        <v>809</v>
      </c>
      <c r="B1563" s="19" t="s">
        <v>2402</v>
      </c>
      <c r="C1563" s="19" t="s">
        <v>4954</v>
      </c>
      <c r="D1563" s="19" t="s">
        <v>4955</v>
      </c>
    </row>
    <row r="1564" spans="1:5" ht="15.5" x14ac:dyDescent="0.35">
      <c r="A1564" s="1" t="s">
        <v>808</v>
      </c>
      <c r="B1564" s="19" t="s">
        <v>2402</v>
      </c>
      <c r="C1564" s="19" t="s">
        <v>4956</v>
      </c>
      <c r="D1564" s="19" t="s">
        <v>4957</v>
      </c>
    </row>
    <row r="1565" spans="1:5" ht="15.5" x14ac:dyDescent="0.35">
      <c r="A1565" s="1" t="s">
        <v>807</v>
      </c>
      <c r="B1565" s="19" t="s">
        <v>2402</v>
      </c>
      <c r="C1565" s="19" t="s">
        <v>3285</v>
      </c>
      <c r="D1565" s="19" t="s">
        <v>2694</v>
      </c>
    </row>
    <row r="1566" spans="1:5" ht="15.5" x14ac:dyDescent="0.35">
      <c r="A1566" s="1" t="s">
        <v>806</v>
      </c>
      <c r="B1566" s="19" t="s">
        <v>2402</v>
      </c>
      <c r="C1566" s="19" t="s">
        <v>3926</v>
      </c>
      <c r="D1566" s="19" t="s">
        <v>4958</v>
      </c>
    </row>
    <row r="1567" spans="1:5" ht="15.5" x14ac:dyDescent="0.35">
      <c r="A1567" s="1" t="s">
        <v>805</v>
      </c>
      <c r="B1567" s="19" t="s">
        <v>2399</v>
      </c>
      <c r="C1567" s="19" t="s">
        <v>4959</v>
      </c>
      <c r="D1567" s="19" t="s">
        <v>4960</v>
      </c>
    </row>
    <row r="1568" spans="1:5" ht="15.5" x14ac:dyDescent="0.35">
      <c r="A1568" s="1" t="s">
        <v>804</v>
      </c>
      <c r="B1568" s="19" t="s">
        <v>2399</v>
      </c>
      <c r="C1568" s="19" t="s">
        <v>4961</v>
      </c>
      <c r="D1568" s="19" t="s">
        <v>3072</v>
      </c>
    </row>
    <row r="1569" spans="1:4" ht="15.5" x14ac:dyDescent="0.35">
      <c r="A1569" s="1" t="s">
        <v>803</v>
      </c>
      <c r="B1569" s="19" t="s">
        <v>2402</v>
      </c>
      <c r="C1569" s="19" t="s">
        <v>3357</v>
      </c>
      <c r="D1569" s="19" t="s">
        <v>4962</v>
      </c>
    </row>
    <row r="1570" spans="1:4" ht="15.5" x14ac:dyDescent="0.35">
      <c r="A1570" s="1" t="s">
        <v>802</v>
      </c>
      <c r="B1570" s="19" t="s">
        <v>2399</v>
      </c>
      <c r="C1570" s="19" t="s">
        <v>4963</v>
      </c>
      <c r="D1570" s="19" t="s">
        <v>4964</v>
      </c>
    </row>
    <row r="1571" spans="1:4" ht="15.5" x14ac:dyDescent="0.35">
      <c r="A1571" s="1" t="s">
        <v>801</v>
      </c>
      <c r="B1571" s="19" t="s">
        <v>2402</v>
      </c>
      <c r="C1571" s="19" t="s">
        <v>4965</v>
      </c>
      <c r="D1571" s="19" t="s">
        <v>4172</v>
      </c>
    </row>
    <row r="1572" spans="1:4" ht="15.5" x14ac:dyDescent="0.35">
      <c r="A1572" s="1" t="s">
        <v>800</v>
      </c>
      <c r="B1572" s="19" t="s">
        <v>2399</v>
      </c>
      <c r="C1572" s="19" t="s">
        <v>4966</v>
      </c>
      <c r="D1572" s="19" t="s">
        <v>4180</v>
      </c>
    </row>
    <row r="1573" spans="1:4" ht="15.5" x14ac:dyDescent="0.35">
      <c r="A1573" s="1" t="s">
        <v>799</v>
      </c>
      <c r="B1573" s="19" t="s">
        <v>2402</v>
      </c>
      <c r="C1573" s="19" t="s">
        <v>3269</v>
      </c>
      <c r="D1573" s="19" t="s">
        <v>4967</v>
      </c>
    </row>
    <row r="1574" spans="1:4" ht="15.5" x14ac:dyDescent="0.35">
      <c r="A1574" s="1" t="s">
        <v>798</v>
      </c>
      <c r="B1574" s="19" t="s">
        <v>2402</v>
      </c>
      <c r="C1574" s="19" t="s">
        <v>4968</v>
      </c>
      <c r="D1574" s="19" t="s">
        <v>4969</v>
      </c>
    </row>
    <row r="1575" spans="1:4" ht="15.5" x14ac:dyDescent="0.35">
      <c r="A1575" s="1" t="s">
        <v>797</v>
      </c>
      <c r="B1575" s="19" t="s">
        <v>2402</v>
      </c>
      <c r="C1575" s="19" t="s">
        <v>4970</v>
      </c>
      <c r="D1575" s="19" t="s">
        <v>4971</v>
      </c>
    </row>
    <row r="1576" spans="1:4" ht="15.5" x14ac:dyDescent="0.35">
      <c r="A1576" s="1" t="s">
        <v>796</v>
      </c>
      <c r="B1576" s="19" t="s">
        <v>2402</v>
      </c>
      <c r="C1576" s="19" t="s">
        <v>4972</v>
      </c>
      <c r="D1576" s="19" t="s">
        <v>2447</v>
      </c>
    </row>
    <row r="1577" spans="1:4" ht="15.5" x14ac:dyDescent="0.35">
      <c r="A1577" s="1" t="s">
        <v>795</v>
      </c>
      <c r="B1577" s="19" t="s">
        <v>2399</v>
      </c>
      <c r="C1577" s="19" t="s">
        <v>3383</v>
      </c>
      <c r="D1577" s="19" t="s">
        <v>4973</v>
      </c>
    </row>
    <row r="1578" spans="1:4" ht="15.5" x14ac:dyDescent="0.35">
      <c r="A1578" s="1" t="s">
        <v>794</v>
      </c>
      <c r="B1578" s="19" t="s">
        <v>2402</v>
      </c>
      <c r="C1578" s="19" t="s">
        <v>4974</v>
      </c>
      <c r="D1578" s="19" t="s">
        <v>4975</v>
      </c>
    </row>
    <row r="1579" spans="1:4" ht="15.5" x14ac:dyDescent="0.35">
      <c r="A1579" s="1" t="s">
        <v>793</v>
      </c>
      <c r="B1579" s="19" t="s">
        <v>2402</v>
      </c>
      <c r="C1579" s="19" t="s">
        <v>4976</v>
      </c>
      <c r="D1579" s="19" t="s">
        <v>4977</v>
      </c>
    </row>
    <row r="1580" spans="1:4" ht="15.5" x14ac:dyDescent="0.35">
      <c r="A1580" s="1" t="s">
        <v>792</v>
      </c>
      <c r="B1580" s="19" t="s">
        <v>2399</v>
      </c>
      <c r="C1580" s="19" t="s">
        <v>3553</v>
      </c>
      <c r="D1580" s="19" t="s">
        <v>4978</v>
      </c>
    </row>
    <row r="1581" spans="1:4" ht="15.5" x14ac:dyDescent="0.35">
      <c r="A1581" s="1" t="s">
        <v>791</v>
      </c>
      <c r="B1581" s="19" t="s">
        <v>2402</v>
      </c>
      <c r="C1581" s="19" t="s">
        <v>4979</v>
      </c>
      <c r="D1581" s="19" t="s">
        <v>2696</v>
      </c>
    </row>
    <row r="1582" spans="1:4" ht="15.5" x14ac:dyDescent="0.35">
      <c r="A1582" s="1" t="s">
        <v>790</v>
      </c>
      <c r="B1582" s="19" t="s">
        <v>2402</v>
      </c>
      <c r="C1582" s="19" t="s">
        <v>4980</v>
      </c>
      <c r="D1582" s="19" t="s">
        <v>4981</v>
      </c>
    </row>
    <row r="1583" spans="1:4" ht="15.5" x14ac:dyDescent="0.35">
      <c r="A1583" s="1" t="s">
        <v>789</v>
      </c>
      <c r="B1583" s="19" t="s">
        <v>2402</v>
      </c>
      <c r="C1583" s="19" t="s">
        <v>3024</v>
      </c>
      <c r="D1583" s="19" t="s">
        <v>4982</v>
      </c>
    </row>
    <row r="1584" spans="1:4" ht="15.5" x14ac:dyDescent="0.35">
      <c r="A1584" s="1" t="s">
        <v>788</v>
      </c>
      <c r="B1584" s="19" t="s">
        <v>3277</v>
      </c>
      <c r="C1584" s="19" t="s">
        <v>4983</v>
      </c>
      <c r="D1584" s="19" t="s">
        <v>4984</v>
      </c>
    </row>
    <row r="1585" spans="1:4" ht="15.5" x14ac:dyDescent="0.35">
      <c r="A1585" s="1" t="s">
        <v>787</v>
      </c>
      <c r="B1585" s="19" t="s">
        <v>2399</v>
      </c>
      <c r="C1585" s="19" t="s">
        <v>4985</v>
      </c>
      <c r="D1585" s="19" t="s">
        <v>4986</v>
      </c>
    </row>
    <row r="1586" spans="1:4" ht="15.5" x14ac:dyDescent="0.35">
      <c r="A1586" s="1" t="s">
        <v>786</v>
      </c>
      <c r="B1586" s="19" t="s">
        <v>3277</v>
      </c>
      <c r="C1586" s="19" t="s">
        <v>4987</v>
      </c>
      <c r="D1586" s="19" t="s">
        <v>4988</v>
      </c>
    </row>
    <row r="1587" spans="1:4" ht="15.5" x14ac:dyDescent="0.35">
      <c r="A1587" s="1" t="s">
        <v>785</v>
      </c>
      <c r="B1587" s="19" t="s">
        <v>2399</v>
      </c>
      <c r="C1587" s="19" t="s">
        <v>4989</v>
      </c>
      <c r="D1587" s="19" t="s">
        <v>4990</v>
      </c>
    </row>
    <row r="1588" spans="1:4" ht="15.5" x14ac:dyDescent="0.35">
      <c r="A1588" s="1" t="s">
        <v>784</v>
      </c>
      <c r="B1588" s="19" t="s">
        <v>2402</v>
      </c>
      <c r="C1588" s="19" t="s">
        <v>4991</v>
      </c>
      <c r="D1588" s="19" t="s">
        <v>4992</v>
      </c>
    </row>
    <row r="1589" spans="1:4" ht="15.5" x14ac:dyDescent="0.35">
      <c r="A1589" s="1" t="s">
        <v>783</v>
      </c>
      <c r="B1589" s="19" t="s">
        <v>2402</v>
      </c>
      <c r="C1589" s="19" t="s">
        <v>4993</v>
      </c>
      <c r="D1589" s="19" t="s">
        <v>4994</v>
      </c>
    </row>
    <row r="1590" spans="1:4" ht="15.5" x14ac:dyDescent="0.35">
      <c r="A1590" s="1" t="s">
        <v>782</v>
      </c>
      <c r="B1590" s="19" t="s">
        <v>2399</v>
      </c>
      <c r="C1590" s="19" t="s">
        <v>4995</v>
      </c>
      <c r="D1590" s="19" t="s">
        <v>4996</v>
      </c>
    </row>
    <row r="1591" spans="1:4" ht="15.5" x14ac:dyDescent="0.35">
      <c r="A1591" s="1" t="s">
        <v>781</v>
      </c>
      <c r="B1591" s="19" t="s">
        <v>2402</v>
      </c>
      <c r="C1591" s="19" t="s">
        <v>2958</v>
      </c>
      <c r="D1591" s="19" t="s">
        <v>3156</v>
      </c>
    </row>
    <row r="1592" spans="1:4" ht="15.5" x14ac:dyDescent="0.35">
      <c r="A1592" s="1" t="s">
        <v>780</v>
      </c>
      <c r="B1592" s="19" t="s">
        <v>2402</v>
      </c>
      <c r="C1592" s="19" t="s">
        <v>4997</v>
      </c>
      <c r="D1592" s="19" t="s">
        <v>3331</v>
      </c>
    </row>
    <row r="1593" spans="1:4" ht="15.5" x14ac:dyDescent="0.35">
      <c r="A1593" s="1" t="s">
        <v>779</v>
      </c>
      <c r="B1593" s="19" t="s">
        <v>2402</v>
      </c>
      <c r="C1593" s="19" t="s">
        <v>4998</v>
      </c>
      <c r="D1593" s="19" t="s">
        <v>2812</v>
      </c>
    </row>
    <row r="1594" spans="1:4" ht="15.5" x14ac:dyDescent="0.35">
      <c r="A1594" s="1" t="s">
        <v>778</v>
      </c>
      <c r="B1594" s="19" t="s">
        <v>3277</v>
      </c>
      <c r="C1594" s="19" t="s">
        <v>4999</v>
      </c>
      <c r="D1594" s="19" t="s">
        <v>3347</v>
      </c>
    </row>
    <row r="1595" spans="1:4" ht="15.5" x14ac:dyDescent="0.35">
      <c r="A1595" s="1" t="s">
        <v>777</v>
      </c>
      <c r="B1595" s="19" t="s">
        <v>2402</v>
      </c>
      <c r="C1595" s="19" t="s">
        <v>5000</v>
      </c>
      <c r="D1595" s="19" t="s">
        <v>5001</v>
      </c>
    </row>
    <row r="1596" spans="1:4" ht="15.5" x14ac:dyDescent="0.35">
      <c r="A1596" s="1" t="s">
        <v>776</v>
      </c>
      <c r="B1596" s="19" t="s">
        <v>2399</v>
      </c>
      <c r="C1596" s="19" t="s">
        <v>5002</v>
      </c>
      <c r="D1596" s="19" t="s">
        <v>2763</v>
      </c>
    </row>
    <row r="1597" spans="1:4" ht="15.5" x14ac:dyDescent="0.35">
      <c r="A1597" s="1" t="s">
        <v>775</v>
      </c>
      <c r="B1597" s="19" t="s">
        <v>3277</v>
      </c>
      <c r="C1597" s="19" t="s">
        <v>5003</v>
      </c>
      <c r="D1597" s="19" t="s">
        <v>3015</v>
      </c>
    </row>
    <row r="1598" spans="1:4" ht="15.5" x14ac:dyDescent="0.35">
      <c r="A1598" s="1" t="s">
        <v>774</v>
      </c>
      <c r="B1598" s="19" t="s">
        <v>2402</v>
      </c>
      <c r="C1598" s="19" t="s">
        <v>5004</v>
      </c>
      <c r="D1598" s="19" t="s">
        <v>5005</v>
      </c>
    </row>
    <row r="1599" spans="1:4" ht="15.5" x14ac:dyDescent="0.35">
      <c r="A1599" s="1" t="s">
        <v>773</v>
      </c>
      <c r="B1599" s="19" t="s">
        <v>2402</v>
      </c>
      <c r="C1599" s="19" t="s">
        <v>5006</v>
      </c>
      <c r="D1599" s="19" t="s">
        <v>5007</v>
      </c>
    </row>
    <row r="1600" spans="1:4" ht="15.5" x14ac:dyDescent="0.35">
      <c r="A1600" s="1" t="s">
        <v>772</v>
      </c>
      <c r="B1600" s="19" t="s">
        <v>2402</v>
      </c>
      <c r="C1600" s="19" t="s">
        <v>3995</v>
      </c>
      <c r="D1600" s="19" t="s">
        <v>5008</v>
      </c>
    </row>
    <row r="1601" spans="1:4" ht="15.5" x14ac:dyDescent="0.35">
      <c r="A1601" s="1" t="s">
        <v>771</v>
      </c>
      <c r="B1601" s="19" t="s">
        <v>2402</v>
      </c>
      <c r="C1601" s="19" t="s">
        <v>5009</v>
      </c>
      <c r="D1601" s="19" t="s">
        <v>3121</v>
      </c>
    </row>
    <row r="1602" spans="1:4" ht="15.5" x14ac:dyDescent="0.35">
      <c r="A1602" s="1" t="s">
        <v>770</v>
      </c>
      <c r="B1602" s="19" t="s">
        <v>2399</v>
      </c>
      <c r="C1602" s="19" t="s">
        <v>5010</v>
      </c>
      <c r="D1602" s="19" t="s">
        <v>5011</v>
      </c>
    </row>
    <row r="1603" spans="1:4" ht="15.5" x14ac:dyDescent="0.35">
      <c r="A1603" s="1" t="s">
        <v>769</v>
      </c>
      <c r="B1603" s="19" t="s">
        <v>2402</v>
      </c>
      <c r="C1603" s="19" t="s">
        <v>5012</v>
      </c>
      <c r="D1603" s="19" t="s">
        <v>3911</v>
      </c>
    </row>
    <row r="1604" spans="1:4" ht="15.5" x14ac:dyDescent="0.35">
      <c r="A1604" s="1" t="s">
        <v>768</v>
      </c>
      <c r="B1604" s="19" t="s">
        <v>2402</v>
      </c>
      <c r="C1604" s="19" t="s">
        <v>5013</v>
      </c>
      <c r="D1604" s="19" t="s">
        <v>2656</v>
      </c>
    </row>
    <row r="1605" spans="1:4" ht="15.5" x14ac:dyDescent="0.35">
      <c r="A1605" s="1" t="s">
        <v>767</v>
      </c>
      <c r="B1605" s="19" t="s">
        <v>2402</v>
      </c>
      <c r="C1605" s="19" t="s">
        <v>3792</v>
      </c>
      <c r="D1605" s="19" t="s">
        <v>5014</v>
      </c>
    </row>
    <row r="1606" spans="1:4" ht="15.5" x14ac:dyDescent="0.35">
      <c r="A1606" s="1" t="s">
        <v>766</v>
      </c>
      <c r="B1606" s="19" t="s">
        <v>3277</v>
      </c>
      <c r="C1606" s="19" t="s">
        <v>5015</v>
      </c>
      <c r="D1606" s="19" t="s">
        <v>4475</v>
      </c>
    </row>
    <row r="1607" spans="1:4" ht="15.5" x14ac:dyDescent="0.35">
      <c r="A1607" s="1" t="s">
        <v>765</v>
      </c>
      <c r="B1607" s="19" t="s">
        <v>2402</v>
      </c>
      <c r="C1607" s="19" t="s">
        <v>5016</v>
      </c>
      <c r="D1607" s="19" t="s">
        <v>2581</v>
      </c>
    </row>
    <row r="1608" spans="1:4" ht="15.5" x14ac:dyDescent="0.35">
      <c r="A1608" s="1" t="s">
        <v>764</v>
      </c>
      <c r="B1608" s="19" t="s">
        <v>2402</v>
      </c>
      <c r="C1608" s="19" t="s">
        <v>3285</v>
      </c>
      <c r="D1608" s="19" t="s">
        <v>3513</v>
      </c>
    </row>
    <row r="1609" spans="1:4" ht="15.5" x14ac:dyDescent="0.35">
      <c r="A1609" s="1" t="s">
        <v>763</v>
      </c>
      <c r="B1609" s="19" t="s">
        <v>2399</v>
      </c>
      <c r="C1609" s="19" t="s">
        <v>5017</v>
      </c>
      <c r="D1609" s="19" t="s">
        <v>5018</v>
      </c>
    </row>
    <row r="1610" spans="1:4" ht="15.5" x14ac:dyDescent="0.35">
      <c r="A1610" s="1" t="s">
        <v>762</v>
      </c>
      <c r="B1610" s="19" t="s">
        <v>2399</v>
      </c>
      <c r="C1610" s="19" t="s">
        <v>5019</v>
      </c>
      <c r="D1610" s="19" t="s">
        <v>3347</v>
      </c>
    </row>
    <row r="1611" spans="1:4" ht="15.5" x14ac:dyDescent="0.35">
      <c r="A1611" s="1" t="s">
        <v>761</v>
      </c>
      <c r="B1611" s="19" t="s">
        <v>2399</v>
      </c>
      <c r="C1611" s="19" t="s">
        <v>5020</v>
      </c>
      <c r="D1611" s="19" t="s">
        <v>3756</v>
      </c>
    </row>
    <row r="1612" spans="1:4" ht="15.5" x14ac:dyDescent="0.35">
      <c r="A1612" s="1" t="s">
        <v>760</v>
      </c>
      <c r="B1612" s="19" t="s">
        <v>2399</v>
      </c>
      <c r="C1612" s="19" t="s">
        <v>5021</v>
      </c>
      <c r="D1612" s="19" t="s">
        <v>5022</v>
      </c>
    </row>
    <row r="1613" spans="1:4" ht="15.5" x14ac:dyDescent="0.35">
      <c r="A1613" s="1" t="s">
        <v>759</v>
      </c>
      <c r="B1613" s="19" t="s">
        <v>2399</v>
      </c>
      <c r="C1613" s="19" t="s">
        <v>5023</v>
      </c>
      <c r="D1613" s="19" t="s">
        <v>3132</v>
      </c>
    </row>
    <row r="1614" spans="1:4" ht="15.5" x14ac:dyDescent="0.35">
      <c r="A1614" s="1" t="s">
        <v>758</v>
      </c>
      <c r="B1614" s="19" t="s">
        <v>2402</v>
      </c>
      <c r="C1614" s="19" t="s">
        <v>5024</v>
      </c>
      <c r="D1614" s="19" t="s">
        <v>5025</v>
      </c>
    </row>
    <row r="1615" spans="1:4" ht="15.5" x14ac:dyDescent="0.35">
      <c r="A1615" s="1" t="s">
        <v>757</v>
      </c>
      <c r="B1615" s="19" t="s">
        <v>2399</v>
      </c>
      <c r="C1615" s="19" t="s">
        <v>5026</v>
      </c>
      <c r="D1615" s="19" t="s">
        <v>5027</v>
      </c>
    </row>
    <row r="1616" spans="1:4" ht="15.5" x14ac:dyDescent="0.35">
      <c r="A1616" s="1" t="s">
        <v>756</v>
      </c>
      <c r="B1616" s="19" t="s">
        <v>2402</v>
      </c>
      <c r="C1616" s="19" t="s">
        <v>5028</v>
      </c>
      <c r="D1616" s="19" t="s">
        <v>2827</v>
      </c>
    </row>
    <row r="1617" spans="1:4" ht="15.5" x14ac:dyDescent="0.35">
      <c r="A1617" s="1" t="s">
        <v>755</v>
      </c>
      <c r="B1617" s="19" t="s">
        <v>2399</v>
      </c>
      <c r="C1617" s="19" t="s">
        <v>5029</v>
      </c>
      <c r="D1617" s="19" t="s">
        <v>2433</v>
      </c>
    </row>
    <row r="1618" spans="1:4" ht="15.5" x14ac:dyDescent="0.35">
      <c r="A1618" s="1" t="s">
        <v>754</v>
      </c>
      <c r="B1618" s="19" t="s">
        <v>2402</v>
      </c>
      <c r="C1618" s="19" t="s">
        <v>5030</v>
      </c>
      <c r="D1618" s="19" t="s">
        <v>5031</v>
      </c>
    </row>
    <row r="1619" spans="1:4" ht="15.5" x14ac:dyDescent="0.35">
      <c r="A1619" s="1" t="s">
        <v>753</v>
      </c>
      <c r="B1619" s="19" t="s">
        <v>2399</v>
      </c>
      <c r="C1619" s="19" t="s">
        <v>5032</v>
      </c>
      <c r="D1619" s="19" t="s">
        <v>4100</v>
      </c>
    </row>
    <row r="1620" spans="1:4" ht="15.5" x14ac:dyDescent="0.35">
      <c r="A1620" s="1" t="s">
        <v>752</v>
      </c>
      <c r="B1620" s="19" t="s">
        <v>2402</v>
      </c>
      <c r="C1620" s="19" t="s">
        <v>2499</v>
      </c>
      <c r="D1620" s="19" t="s">
        <v>5033</v>
      </c>
    </row>
    <row r="1621" spans="1:4" ht="15.5" x14ac:dyDescent="0.35">
      <c r="A1621" s="1" t="s">
        <v>751</v>
      </c>
      <c r="B1621" s="19" t="s">
        <v>2399</v>
      </c>
      <c r="C1621" s="19" t="s">
        <v>5034</v>
      </c>
      <c r="D1621" s="19" t="s">
        <v>5035</v>
      </c>
    </row>
    <row r="1622" spans="1:4" ht="15.5" x14ac:dyDescent="0.35">
      <c r="A1622" s="1" t="s">
        <v>750</v>
      </c>
      <c r="B1622" s="19" t="s">
        <v>2399</v>
      </c>
      <c r="C1622" s="19" t="s">
        <v>5036</v>
      </c>
      <c r="D1622" s="19" t="s">
        <v>5037</v>
      </c>
    </row>
    <row r="1623" spans="1:4" ht="15.5" x14ac:dyDescent="0.35">
      <c r="A1623" s="1" t="s">
        <v>749</v>
      </c>
      <c r="B1623" s="19" t="s">
        <v>2402</v>
      </c>
      <c r="C1623" s="19" t="s">
        <v>5038</v>
      </c>
      <c r="D1623" s="19" t="s">
        <v>2750</v>
      </c>
    </row>
    <row r="1624" spans="1:4" ht="15.5" x14ac:dyDescent="0.35">
      <c r="A1624" s="1" t="s">
        <v>748</v>
      </c>
      <c r="B1624" s="19" t="s">
        <v>2402</v>
      </c>
      <c r="C1624" s="19" t="s">
        <v>5039</v>
      </c>
      <c r="D1624" s="19" t="s">
        <v>3483</v>
      </c>
    </row>
    <row r="1625" spans="1:4" ht="15.5" x14ac:dyDescent="0.35">
      <c r="A1625" s="1" t="s">
        <v>747</v>
      </c>
      <c r="B1625" s="19" t="s">
        <v>2399</v>
      </c>
      <c r="C1625" s="19" t="s">
        <v>5040</v>
      </c>
      <c r="D1625" s="19" t="s">
        <v>3175</v>
      </c>
    </row>
    <row r="1626" spans="1:4" ht="15.5" x14ac:dyDescent="0.35">
      <c r="A1626" s="1" t="s">
        <v>746</v>
      </c>
      <c r="B1626" s="19" t="s">
        <v>2399</v>
      </c>
      <c r="C1626" s="19" t="s">
        <v>5041</v>
      </c>
      <c r="D1626" s="19" t="s">
        <v>2571</v>
      </c>
    </row>
    <row r="1627" spans="1:4" ht="15.5" x14ac:dyDescent="0.35">
      <c r="A1627" s="1" t="s">
        <v>745</v>
      </c>
      <c r="B1627" s="19" t="s">
        <v>3277</v>
      </c>
      <c r="C1627" s="19" t="s">
        <v>4156</v>
      </c>
      <c r="D1627" s="19" t="s">
        <v>5042</v>
      </c>
    </row>
    <row r="1628" spans="1:4" ht="15.5" x14ac:dyDescent="0.35">
      <c r="A1628" s="1" t="s">
        <v>744</v>
      </c>
      <c r="B1628" s="19" t="s">
        <v>2399</v>
      </c>
      <c r="C1628" s="19" t="s">
        <v>5043</v>
      </c>
      <c r="D1628" s="19" t="s">
        <v>5044</v>
      </c>
    </row>
    <row r="1629" spans="1:4" ht="15.5" x14ac:dyDescent="0.35">
      <c r="A1629" s="1" t="s">
        <v>743</v>
      </c>
      <c r="B1629" s="19" t="s">
        <v>2402</v>
      </c>
      <c r="C1629" s="19" t="s">
        <v>5045</v>
      </c>
      <c r="D1629" s="19" t="s">
        <v>2563</v>
      </c>
    </row>
    <row r="1630" spans="1:4" ht="15.5" x14ac:dyDescent="0.35">
      <c r="A1630" s="1" t="s">
        <v>742</v>
      </c>
      <c r="B1630" s="19" t="s">
        <v>2402</v>
      </c>
      <c r="C1630" s="19" t="s">
        <v>5046</v>
      </c>
      <c r="D1630" s="19" t="s">
        <v>5047</v>
      </c>
    </row>
    <row r="1631" spans="1:4" ht="15.5" x14ac:dyDescent="0.35">
      <c r="A1631" s="1" t="s">
        <v>741</v>
      </c>
      <c r="B1631" s="19" t="s">
        <v>2399</v>
      </c>
      <c r="C1631" s="19" t="s">
        <v>5048</v>
      </c>
      <c r="D1631" s="19" t="s">
        <v>5049</v>
      </c>
    </row>
    <row r="1632" spans="1:4" ht="15.5" x14ac:dyDescent="0.35">
      <c r="A1632" s="1" t="s">
        <v>740</v>
      </c>
      <c r="B1632" s="19" t="s">
        <v>2402</v>
      </c>
      <c r="C1632" s="19" t="s">
        <v>4146</v>
      </c>
      <c r="D1632" s="19" t="s">
        <v>2827</v>
      </c>
    </row>
    <row r="1633" spans="1:4" ht="15.5" x14ac:dyDescent="0.35">
      <c r="A1633" s="1" t="s">
        <v>739</v>
      </c>
      <c r="B1633" s="19" t="s">
        <v>2402</v>
      </c>
      <c r="C1633" s="19" t="s">
        <v>4914</v>
      </c>
      <c r="D1633" s="19" t="s">
        <v>5050</v>
      </c>
    </row>
    <row r="1634" spans="1:4" ht="15.5" x14ac:dyDescent="0.35">
      <c r="A1634" s="1" t="s">
        <v>738</v>
      </c>
      <c r="B1634" s="19" t="s">
        <v>2399</v>
      </c>
      <c r="C1634" s="19" t="s">
        <v>5051</v>
      </c>
      <c r="D1634" s="19" t="s">
        <v>4369</v>
      </c>
    </row>
    <row r="1635" spans="1:4" ht="15.5" x14ac:dyDescent="0.35">
      <c r="A1635" s="1" t="s">
        <v>737</v>
      </c>
      <c r="B1635" s="19" t="s">
        <v>2402</v>
      </c>
      <c r="C1635" s="19" t="s">
        <v>5052</v>
      </c>
      <c r="D1635" s="19" t="s">
        <v>5053</v>
      </c>
    </row>
    <row r="1636" spans="1:4" ht="15.5" x14ac:dyDescent="0.35">
      <c r="A1636" s="1" t="s">
        <v>736</v>
      </c>
      <c r="B1636" s="19" t="s">
        <v>2399</v>
      </c>
      <c r="C1636" s="19" t="s">
        <v>5054</v>
      </c>
      <c r="D1636" s="19" t="s">
        <v>5055</v>
      </c>
    </row>
    <row r="1637" spans="1:4" ht="15.5" x14ac:dyDescent="0.35">
      <c r="A1637" s="1" t="s">
        <v>735</v>
      </c>
      <c r="B1637" s="19" t="s">
        <v>2399</v>
      </c>
      <c r="C1637" s="19" t="s">
        <v>5056</v>
      </c>
      <c r="D1637" s="19" t="s">
        <v>3280</v>
      </c>
    </row>
    <row r="1638" spans="1:4" ht="15.5" x14ac:dyDescent="0.35">
      <c r="A1638" s="1" t="s">
        <v>734</v>
      </c>
      <c r="B1638" s="19" t="s">
        <v>2399</v>
      </c>
      <c r="C1638" s="19" t="s">
        <v>5057</v>
      </c>
      <c r="D1638" s="19" t="s">
        <v>5058</v>
      </c>
    </row>
    <row r="1639" spans="1:4" ht="15.5" x14ac:dyDescent="0.35">
      <c r="A1639" s="1" t="s">
        <v>733</v>
      </c>
      <c r="B1639" s="19" t="s">
        <v>2399</v>
      </c>
      <c r="C1639" s="19" t="s">
        <v>4636</v>
      </c>
      <c r="D1639" s="19" t="s">
        <v>5059</v>
      </c>
    </row>
    <row r="1640" spans="1:4" ht="15.5" x14ac:dyDescent="0.35">
      <c r="A1640" s="1" t="s">
        <v>732</v>
      </c>
      <c r="B1640" s="19" t="s">
        <v>2402</v>
      </c>
      <c r="C1640" s="19" t="s">
        <v>2858</v>
      </c>
      <c r="D1640" s="19" t="s">
        <v>5060</v>
      </c>
    </row>
    <row r="1641" spans="1:4" ht="15.5" x14ac:dyDescent="0.35">
      <c r="A1641" s="1" t="s">
        <v>731</v>
      </c>
      <c r="B1641" s="19" t="s">
        <v>2399</v>
      </c>
      <c r="C1641" s="19" t="s">
        <v>5061</v>
      </c>
      <c r="D1641" s="19" t="s">
        <v>5062</v>
      </c>
    </row>
    <row r="1642" spans="1:4" ht="15.5" x14ac:dyDescent="0.35">
      <c r="A1642" s="1" t="s">
        <v>730</v>
      </c>
      <c r="B1642" s="19" t="s">
        <v>2399</v>
      </c>
      <c r="C1642" s="19" t="s">
        <v>5063</v>
      </c>
      <c r="D1642" s="19" t="s">
        <v>5064</v>
      </c>
    </row>
    <row r="1643" spans="1:4" ht="15.5" x14ac:dyDescent="0.35">
      <c r="A1643" s="1" t="s">
        <v>729</v>
      </c>
      <c r="B1643" s="19" t="s">
        <v>2399</v>
      </c>
      <c r="C1643" s="19" t="s">
        <v>3231</v>
      </c>
      <c r="D1643" s="19" t="s">
        <v>3236</v>
      </c>
    </row>
    <row r="1644" spans="1:4" ht="15.5" x14ac:dyDescent="0.35">
      <c r="A1644" s="1" t="s">
        <v>728</v>
      </c>
      <c r="B1644" s="19" t="s">
        <v>2399</v>
      </c>
      <c r="C1644" s="19" t="s">
        <v>5065</v>
      </c>
      <c r="D1644" s="19" t="s">
        <v>3329</v>
      </c>
    </row>
    <row r="1645" spans="1:4" ht="15.5" x14ac:dyDescent="0.35">
      <c r="A1645" s="1" t="s">
        <v>727</v>
      </c>
      <c r="B1645" s="19" t="s">
        <v>2402</v>
      </c>
      <c r="C1645" s="19" t="s">
        <v>3385</v>
      </c>
      <c r="D1645" s="19" t="s">
        <v>2727</v>
      </c>
    </row>
    <row r="1646" spans="1:4" ht="15.5" x14ac:dyDescent="0.35">
      <c r="A1646" s="1" t="s">
        <v>726</v>
      </c>
      <c r="B1646" s="19" t="s">
        <v>2402</v>
      </c>
      <c r="C1646" s="19" t="s">
        <v>3776</v>
      </c>
      <c r="D1646" s="19" t="s">
        <v>5066</v>
      </c>
    </row>
    <row r="1647" spans="1:4" ht="15.5" x14ac:dyDescent="0.35">
      <c r="A1647" s="1" t="s">
        <v>725</v>
      </c>
      <c r="B1647" s="19" t="s">
        <v>3277</v>
      </c>
      <c r="C1647" s="19" t="s">
        <v>5067</v>
      </c>
      <c r="D1647" s="19" t="s">
        <v>4490</v>
      </c>
    </row>
    <row r="1648" spans="1:4" ht="15.5" x14ac:dyDescent="0.35">
      <c r="A1648" s="1" t="s">
        <v>724</v>
      </c>
      <c r="B1648" s="19" t="s">
        <v>2402</v>
      </c>
      <c r="C1648" s="19" t="s">
        <v>5068</v>
      </c>
      <c r="D1648" s="19" t="s">
        <v>2735</v>
      </c>
    </row>
    <row r="1649" spans="1:4" ht="15.5" x14ac:dyDescent="0.35">
      <c r="A1649" s="1" t="s">
        <v>723</v>
      </c>
      <c r="B1649" s="19" t="s">
        <v>2402</v>
      </c>
      <c r="C1649" s="19" t="s">
        <v>5069</v>
      </c>
      <c r="D1649" s="19" t="s">
        <v>2859</v>
      </c>
    </row>
    <row r="1650" spans="1:4" ht="15.5" x14ac:dyDescent="0.35">
      <c r="A1650" s="1" t="s">
        <v>722</v>
      </c>
      <c r="B1650" s="19" t="s">
        <v>2399</v>
      </c>
      <c r="C1650" s="19" t="s">
        <v>2858</v>
      </c>
      <c r="D1650" s="19" t="s">
        <v>2433</v>
      </c>
    </row>
    <row r="1651" spans="1:4" ht="15.5" x14ac:dyDescent="0.35">
      <c r="A1651" s="1" t="s">
        <v>721</v>
      </c>
      <c r="B1651" s="19" t="s">
        <v>3277</v>
      </c>
      <c r="C1651" s="19" t="s">
        <v>5070</v>
      </c>
      <c r="D1651" s="19" t="s">
        <v>2589</v>
      </c>
    </row>
    <row r="1652" spans="1:4" ht="15.5" x14ac:dyDescent="0.35">
      <c r="A1652" s="1" t="s">
        <v>720</v>
      </c>
      <c r="B1652" s="19" t="s">
        <v>2402</v>
      </c>
      <c r="C1652" s="19" t="s">
        <v>5071</v>
      </c>
      <c r="D1652" s="19" t="s">
        <v>5072</v>
      </c>
    </row>
    <row r="1653" spans="1:4" ht="15.5" x14ac:dyDescent="0.35">
      <c r="A1653" s="1" t="s">
        <v>719</v>
      </c>
      <c r="B1653" s="19" t="s">
        <v>2399</v>
      </c>
      <c r="C1653" s="19" t="s">
        <v>5073</v>
      </c>
      <c r="D1653" s="19" t="s">
        <v>5074</v>
      </c>
    </row>
    <row r="1654" spans="1:4" ht="15.5" x14ac:dyDescent="0.35">
      <c r="A1654" s="1" t="s">
        <v>718</v>
      </c>
      <c r="B1654" s="19" t="s">
        <v>2399</v>
      </c>
      <c r="C1654" s="19" t="s">
        <v>5075</v>
      </c>
      <c r="D1654" s="19" t="s">
        <v>3286</v>
      </c>
    </row>
    <row r="1655" spans="1:4" ht="15.5" x14ac:dyDescent="0.35">
      <c r="A1655" s="1" t="s">
        <v>717</v>
      </c>
      <c r="B1655" s="19" t="s">
        <v>2402</v>
      </c>
      <c r="C1655" s="19" t="s">
        <v>5076</v>
      </c>
      <c r="D1655" s="19" t="s">
        <v>5077</v>
      </c>
    </row>
    <row r="1656" spans="1:4" ht="15.5" x14ac:dyDescent="0.35">
      <c r="A1656" s="1" t="s">
        <v>716</v>
      </c>
      <c r="B1656" s="19" t="s">
        <v>2402</v>
      </c>
      <c r="C1656" s="19" t="s">
        <v>5078</v>
      </c>
      <c r="D1656" s="19" t="s">
        <v>5079</v>
      </c>
    </row>
    <row r="1657" spans="1:4" ht="15.5" x14ac:dyDescent="0.35">
      <c r="A1657" s="1" t="s">
        <v>715</v>
      </c>
      <c r="B1657" s="19" t="s">
        <v>2402</v>
      </c>
      <c r="C1657" s="19" t="s">
        <v>5080</v>
      </c>
      <c r="D1657" s="19" t="s">
        <v>2683</v>
      </c>
    </row>
    <row r="1658" spans="1:4" ht="15.5" x14ac:dyDescent="0.35">
      <c r="A1658" s="1" t="s">
        <v>714</v>
      </c>
      <c r="B1658" s="19" t="s">
        <v>2399</v>
      </c>
      <c r="C1658" s="19" t="s">
        <v>3654</v>
      </c>
      <c r="D1658" s="19" t="s">
        <v>5081</v>
      </c>
    </row>
    <row r="1659" spans="1:4" ht="15.5" x14ac:dyDescent="0.35">
      <c r="A1659" s="1" t="s">
        <v>713</v>
      </c>
      <c r="B1659" s="19" t="s">
        <v>3277</v>
      </c>
      <c r="C1659" s="19" t="s">
        <v>5082</v>
      </c>
      <c r="D1659" s="19" t="s">
        <v>5083</v>
      </c>
    </row>
    <row r="1660" spans="1:4" ht="15.5" x14ac:dyDescent="0.35">
      <c r="A1660" s="1" t="s">
        <v>712</v>
      </c>
      <c r="B1660" s="19" t="s">
        <v>2399</v>
      </c>
      <c r="C1660" s="19" t="s">
        <v>3981</v>
      </c>
      <c r="D1660" s="19" t="s">
        <v>2400</v>
      </c>
    </row>
    <row r="1661" spans="1:4" ht="15.5" x14ac:dyDescent="0.35">
      <c r="A1661" s="1" t="s">
        <v>711</v>
      </c>
      <c r="B1661" s="19" t="s">
        <v>2402</v>
      </c>
      <c r="C1661" s="19" t="s">
        <v>5084</v>
      </c>
      <c r="D1661" s="19" t="s">
        <v>5085</v>
      </c>
    </row>
    <row r="1662" spans="1:4" ht="15.5" x14ac:dyDescent="0.35">
      <c r="A1662" s="1" t="s">
        <v>710</v>
      </c>
      <c r="B1662" s="19" t="s">
        <v>3277</v>
      </c>
      <c r="C1662" s="19" t="s">
        <v>5086</v>
      </c>
      <c r="D1662" s="19" t="s">
        <v>5087</v>
      </c>
    </row>
    <row r="1663" spans="1:4" ht="15.5" x14ac:dyDescent="0.35">
      <c r="A1663" s="1" t="s">
        <v>709</v>
      </c>
      <c r="B1663" s="19" t="s">
        <v>2402</v>
      </c>
      <c r="C1663" s="19" t="s">
        <v>5088</v>
      </c>
      <c r="D1663" s="19" t="s">
        <v>2837</v>
      </c>
    </row>
    <row r="1664" spans="1:4" ht="15.5" x14ac:dyDescent="0.35">
      <c r="A1664" s="1" t="s">
        <v>708</v>
      </c>
      <c r="B1664" s="19" t="s">
        <v>2399</v>
      </c>
      <c r="C1664" s="19" t="s">
        <v>5089</v>
      </c>
      <c r="D1664" s="19" t="s">
        <v>5090</v>
      </c>
    </row>
    <row r="1665" spans="1:4" ht="15.5" x14ac:dyDescent="0.35">
      <c r="A1665" s="1" t="s">
        <v>707</v>
      </c>
      <c r="B1665" s="19" t="s">
        <v>2402</v>
      </c>
      <c r="C1665" s="19" t="s">
        <v>5091</v>
      </c>
      <c r="D1665" s="19" t="s">
        <v>5092</v>
      </c>
    </row>
    <row r="1666" spans="1:4" ht="15.5" x14ac:dyDescent="0.35">
      <c r="A1666" s="1" t="s">
        <v>706</v>
      </c>
      <c r="B1666" s="19" t="s">
        <v>2402</v>
      </c>
      <c r="C1666" s="19" t="s">
        <v>5093</v>
      </c>
      <c r="D1666" s="19" t="s">
        <v>5094</v>
      </c>
    </row>
    <row r="1667" spans="1:4" ht="15.5" x14ac:dyDescent="0.35">
      <c r="A1667" s="1" t="s">
        <v>705</v>
      </c>
      <c r="B1667" s="19" t="s">
        <v>2402</v>
      </c>
      <c r="C1667" s="19" t="s">
        <v>2529</v>
      </c>
      <c r="D1667" s="19" t="s">
        <v>5095</v>
      </c>
    </row>
    <row r="1668" spans="1:4" ht="15.5" x14ac:dyDescent="0.35">
      <c r="A1668" s="1" t="s">
        <v>704</v>
      </c>
      <c r="B1668" s="19" t="s">
        <v>2402</v>
      </c>
      <c r="C1668" s="19" t="s">
        <v>5096</v>
      </c>
      <c r="D1668" s="19" t="s">
        <v>2478</v>
      </c>
    </row>
    <row r="1669" spans="1:4" ht="15.5" x14ac:dyDescent="0.35">
      <c r="A1669" s="1" t="s">
        <v>703</v>
      </c>
      <c r="B1669" s="19" t="s">
        <v>2402</v>
      </c>
      <c r="C1669" s="19" t="s">
        <v>5097</v>
      </c>
      <c r="D1669" s="19" t="s">
        <v>5098</v>
      </c>
    </row>
    <row r="1670" spans="1:4" ht="15.5" x14ac:dyDescent="0.35">
      <c r="A1670" s="1" t="s">
        <v>702</v>
      </c>
      <c r="B1670" s="19" t="s">
        <v>2402</v>
      </c>
      <c r="C1670" s="19" t="s">
        <v>3163</v>
      </c>
      <c r="D1670" s="19" t="s">
        <v>2700</v>
      </c>
    </row>
    <row r="1671" spans="1:4" ht="15.5" x14ac:dyDescent="0.35">
      <c r="A1671" s="1" t="s">
        <v>701</v>
      </c>
      <c r="B1671" s="19" t="s">
        <v>2402</v>
      </c>
      <c r="C1671" s="19" t="s">
        <v>5099</v>
      </c>
      <c r="D1671" s="19" t="s">
        <v>5100</v>
      </c>
    </row>
    <row r="1672" spans="1:4" ht="15.5" x14ac:dyDescent="0.35">
      <c r="A1672" s="1" t="s">
        <v>700</v>
      </c>
      <c r="B1672" s="19" t="s">
        <v>2399</v>
      </c>
      <c r="C1672" s="19" t="s">
        <v>4409</v>
      </c>
      <c r="D1672" s="19" t="s">
        <v>5101</v>
      </c>
    </row>
    <row r="1673" spans="1:4" ht="15.5" x14ac:dyDescent="0.35">
      <c r="A1673" s="1" t="s">
        <v>699</v>
      </c>
      <c r="B1673" s="19" t="s">
        <v>2402</v>
      </c>
      <c r="C1673" s="19" t="s">
        <v>5102</v>
      </c>
      <c r="D1673" s="19" t="s">
        <v>4929</v>
      </c>
    </row>
    <row r="1674" spans="1:4" ht="15.5" x14ac:dyDescent="0.35">
      <c r="A1674" s="1" t="s">
        <v>698</v>
      </c>
      <c r="B1674" s="19" t="s">
        <v>2399</v>
      </c>
      <c r="C1674" s="19" t="s">
        <v>5103</v>
      </c>
      <c r="D1674" s="19" t="s">
        <v>4932</v>
      </c>
    </row>
    <row r="1675" spans="1:4" ht="15.5" x14ac:dyDescent="0.35">
      <c r="A1675" s="1" t="s">
        <v>697</v>
      </c>
      <c r="B1675" s="19" t="s">
        <v>2399</v>
      </c>
      <c r="C1675" s="19" t="s">
        <v>5104</v>
      </c>
      <c r="D1675" s="19" t="s">
        <v>4737</v>
      </c>
    </row>
    <row r="1676" spans="1:4" ht="15.5" x14ac:dyDescent="0.35">
      <c r="A1676" s="1" t="s">
        <v>696</v>
      </c>
      <c r="B1676" s="19" t="s">
        <v>2402</v>
      </c>
      <c r="C1676" s="19" t="s">
        <v>5105</v>
      </c>
      <c r="D1676" s="19" t="s">
        <v>5106</v>
      </c>
    </row>
    <row r="1677" spans="1:4" ht="15.5" x14ac:dyDescent="0.35">
      <c r="A1677" s="1" t="s">
        <v>695</v>
      </c>
      <c r="B1677" s="19" t="s">
        <v>2399</v>
      </c>
      <c r="C1677" s="19" t="s">
        <v>5107</v>
      </c>
      <c r="D1677" s="19" t="s">
        <v>5108</v>
      </c>
    </row>
    <row r="1678" spans="1:4" ht="15.5" x14ac:dyDescent="0.35">
      <c r="A1678" s="1" t="s">
        <v>694</v>
      </c>
      <c r="B1678" s="19" t="s">
        <v>2399</v>
      </c>
      <c r="C1678" s="19" t="s">
        <v>5109</v>
      </c>
      <c r="D1678" s="19" t="s">
        <v>5110</v>
      </c>
    </row>
    <row r="1679" spans="1:4" ht="15.5" x14ac:dyDescent="0.35">
      <c r="A1679" s="1" t="s">
        <v>693</v>
      </c>
      <c r="B1679" s="19" t="s">
        <v>2402</v>
      </c>
      <c r="C1679" s="19" t="s">
        <v>5111</v>
      </c>
      <c r="D1679" s="19" t="s">
        <v>5112</v>
      </c>
    </row>
    <row r="1680" spans="1:4" ht="15.5" x14ac:dyDescent="0.35">
      <c r="A1680" s="1" t="s">
        <v>692</v>
      </c>
      <c r="B1680" s="19" t="s">
        <v>2399</v>
      </c>
      <c r="C1680" s="19" t="s">
        <v>4360</v>
      </c>
      <c r="D1680" s="19" t="s">
        <v>5113</v>
      </c>
    </row>
    <row r="1681" spans="1:4" ht="15.5" x14ac:dyDescent="0.35">
      <c r="A1681" s="1" t="s">
        <v>691</v>
      </c>
      <c r="B1681" s="19" t="s">
        <v>2399</v>
      </c>
      <c r="C1681" s="19" t="s">
        <v>5114</v>
      </c>
      <c r="D1681" s="19" t="s">
        <v>5115</v>
      </c>
    </row>
    <row r="1682" spans="1:4" ht="15.5" x14ac:dyDescent="0.35">
      <c r="A1682" s="1" t="s">
        <v>690</v>
      </c>
      <c r="B1682" s="19" t="s">
        <v>2402</v>
      </c>
      <c r="C1682" s="19" t="s">
        <v>3409</v>
      </c>
      <c r="D1682" s="19" t="s">
        <v>5116</v>
      </c>
    </row>
    <row r="1683" spans="1:4" ht="15.5" x14ac:dyDescent="0.35">
      <c r="A1683" s="1" t="s">
        <v>689</v>
      </c>
      <c r="B1683" s="19" t="s">
        <v>2402</v>
      </c>
      <c r="C1683" s="19" t="s">
        <v>5117</v>
      </c>
      <c r="D1683" s="19" t="s">
        <v>4395</v>
      </c>
    </row>
    <row r="1684" spans="1:4" ht="15.5" x14ac:dyDescent="0.35">
      <c r="A1684" s="1" t="s">
        <v>688</v>
      </c>
      <c r="B1684" s="19" t="s">
        <v>2399</v>
      </c>
      <c r="C1684" s="19" t="s">
        <v>3044</v>
      </c>
      <c r="D1684" s="19" t="s">
        <v>5118</v>
      </c>
    </row>
    <row r="1685" spans="1:4" ht="15.5" x14ac:dyDescent="0.35">
      <c r="A1685" s="1" t="s">
        <v>687</v>
      </c>
      <c r="B1685" s="19" t="s">
        <v>2402</v>
      </c>
      <c r="C1685" s="19" t="s">
        <v>4634</v>
      </c>
      <c r="D1685" s="19" t="s">
        <v>5119</v>
      </c>
    </row>
    <row r="1686" spans="1:4" ht="15.5" x14ac:dyDescent="0.35">
      <c r="A1686" s="1" t="s">
        <v>686</v>
      </c>
      <c r="B1686" s="19" t="s">
        <v>2402</v>
      </c>
      <c r="C1686" s="19" t="s">
        <v>5120</v>
      </c>
      <c r="D1686" s="19" t="s">
        <v>2491</v>
      </c>
    </row>
    <row r="1687" spans="1:4" ht="15.5" x14ac:dyDescent="0.35">
      <c r="A1687" s="1" t="s">
        <v>685</v>
      </c>
      <c r="B1687" s="19" t="s">
        <v>2402</v>
      </c>
      <c r="C1687" s="19" t="s">
        <v>3263</v>
      </c>
      <c r="D1687" s="19" t="s">
        <v>5121</v>
      </c>
    </row>
    <row r="1688" spans="1:4" ht="15.5" x14ac:dyDescent="0.35">
      <c r="A1688" s="1" t="s">
        <v>684</v>
      </c>
      <c r="B1688" s="19" t="s">
        <v>2399</v>
      </c>
      <c r="C1688" s="19" t="s">
        <v>5122</v>
      </c>
      <c r="D1688" s="19" t="s">
        <v>5123</v>
      </c>
    </row>
    <row r="1689" spans="1:4" ht="15.5" x14ac:dyDescent="0.35">
      <c r="A1689" s="1" t="s">
        <v>683</v>
      </c>
      <c r="B1689" s="19" t="s">
        <v>3277</v>
      </c>
      <c r="C1689" s="19" t="s">
        <v>5124</v>
      </c>
      <c r="D1689" s="19" t="s">
        <v>5125</v>
      </c>
    </row>
    <row r="1690" spans="1:4" ht="15.5" x14ac:dyDescent="0.35">
      <c r="A1690" s="1" t="s">
        <v>682</v>
      </c>
      <c r="B1690" s="19" t="s">
        <v>2402</v>
      </c>
      <c r="C1690" s="19" t="s">
        <v>5126</v>
      </c>
      <c r="D1690" s="19" t="s">
        <v>4401</v>
      </c>
    </row>
    <row r="1691" spans="1:4" ht="15.5" x14ac:dyDescent="0.35">
      <c r="A1691" s="1" t="s">
        <v>681</v>
      </c>
      <c r="B1691" s="19" t="s">
        <v>2399</v>
      </c>
      <c r="C1691" s="19" t="s">
        <v>5127</v>
      </c>
      <c r="D1691" s="19" t="s">
        <v>5128</v>
      </c>
    </row>
    <row r="1692" spans="1:4" ht="15.5" x14ac:dyDescent="0.35">
      <c r="A1692" s="1" t="s">
        <v>680</v>
      </c>
      <c r="B1692" s="19" t="s">
        <v>2399</v>
      </c>
      <c r="C1692" s="19" t="s">
        <v>5129</v>
      </c>
      <c r="D1692" s="19" t="s">
        <v>5130</v>
      </c>
    </row>
    <row r="1693" spans="1:4" ht="15.5" x14ac:dyDescent="0.35">
      <c r="A1693" s="1" t="s">
        <v>679</v>
      </c>
      <c r="B1693" s="19" t="s">
        <v>2402</v>
      </c>
      <c r="C1693" s="19" t="s">
        <v>5131</v>
      </c>
      <c r="D1693" s="19" t="s">
        <v>4377</v>
      </c>
    </row>
    <row r="1694" spans="1:4" ht="15.5" x14ac:dyDescent="0.35">
      <c r="A1694" s="1" t="s">
        <v>678</v>
      </c>
      <c r="B1694" s="19" t="s">
        <v>2402</v>
      </c>
      <c r="C1694" s="19" t="s">
        <v>3282</v>
      </c>
      <c r="D1694" s="19" t="s">
        <v>5132</v>
      </c>
    </row>
    <row r="1695" spans="1:4" ht="15.5" x14ac:dyDescent="0.35">
      <c r="A1695" s="1" t="s">
        <v>677</v>
      </c>
      <c r="B1695" s="19" t="s">
        <v>2399</v>
      </c>
      <c r="C1695" s="19" t="s">
        <v>5133</v>
      </c>
      <c r="D1695" s="19" t="s">
        <v>3466</v>
      </c>
    </row>
    <row r="1696" spans="1:4" ht="15.5" x14ac:dyDescent="0.35">
      <c r="A1696" s="1" t="s">
        <v>676</v>
      </c>
      <c r="B1696" s="19" t="s">
        <v>2399</v>
      </c>
      <c r="C1696" s="19" t="s">
        <v>5134</v>
      </c>
      <c r="D1696" s="19" t="s">
        <v>5135</v>
      </c>
    </row>
    <row r="1697" spans="1:5" ht="15.5" x14ac:dyDescent="0.35">
      <c r="A1697" s="1" t="s">
        <v>675</v>
      </c>
      <c r="B1697" s="19" t="s">
        <v>2399</v>
      </c>
      <c r="C1697" s="19" t="s">
        <v>5136</v>
      </c>
      <c r="D1697" s="19" t="s">
        <v>5137</v>
      </c>
    </row>
    <row r="1698" spans="1:5" ht="15.5" x14ac:dyDescent="0.35">
      <c r="A1698" s="1" t="s">
        <v>674</v>
      </c>
      <c r="B1698" s="19" t="s">
        <v>2399</v>
      </c>
      <c r="C1698" s="19" t="s">
        <v>4687</v>
      </c>
      <c r="D1698" s="19" t="s">
        <v>5138</v>
      </c>
    </row>
    <row r="1699" spans="1:5" ht="15.5" x14ac:dyDescent="0.35">
      <c r="A1699" s="1" t="s">
        <v>673</v>
      </c>
      <c r="B1699" s="19" t="s">
        <v>2399</v>
      </c>
      <c r="C1699" s="19" t="s">
        <v>5139</v>
      </c>
      <c r="D1699" s="19" t="s">
        <v>4175</v>
      </c>
    </row>
    <row r="1700" spans="1:5" ht="15.5" x14ac:dyDescent="0.35">
      <c r="A1700" s="1" t="s">
        <v>672</v>
      </c>
      <c r="B1700" s="19" t="s">
        <v>2402</v>
      </c>
      <c r="C1700" s="19" t="s">
        <v>5140</v>
      </c>
      <c r="D1700" s="19" t="s">
        <v>2594</v>
      </c>
    </row>
    <row r="1701" spans="1:5" ht="15.5" x14ac:dyDescent="0.35">
      <c r="A1701" s="1" t="s">
        <v>671</v>
      </c>
      <c r="B1701" s="19" t="s">
        <v>2399</v>
      </c>
      <c r="C1701" s="19" t="s">
        <v>5141</v>
      </c>
      <c r="D1701" s="19" t="s">
        <v>5142</v>
      </c>
    </row>
    <row r="1702" spans="1:5" ht="15.5" x14ac:dyDescent="0.35">
      <c r="A1702" s="1" t="s">
        <v>670</v>
      </c>
      <c r="B1702" s="19" t="s">
        <v>2402</v>
      </c>
      <c r="C1702" s="19" t="s">
        <v>5143</v>
      </c>
      <c r="D1702" s="19" t="s">
        <v>2415</v>
      </c>
    </row>
    <row r="1703" spans="1:5" ht="15.5" x14ac:dyDescent="0.35">
      <c r="A1703" s="1" t="s">
        <v>669</v>
      </c>
      <c r="B1703" s="19" t="s">
        <v>2402</v>
      </c>
      <c r="C1703" s="19" t="s">
        <v>5144</v>
      </c>
      <c r="D1703" s="19" t="s">
        <v>2553</v>
      </c>
    </row>
    <row r="1704" spans="1:5" ht="15.5" x14ac:dyDescent="0.35">
      <c r="A1704" s="1" t="s">
        <v>668</v>
      </c>
      <c r="B1704" s="19" t="s">
        <v>2402</v>
      </c>
      <c r="C1704" s="19" t="s">
        <v>5145</v>
      </c>
      <c r="D1704" s="19" t="s">
        <v>3667</v>
      </c>
    </row>
    <row r="1705" spans="1:5" ht="15.5" x14ac:dyDescent="0.35">
      <c r="A1705" s="1" t="s">
        <v>667</v>
      </c>
      <c r="B1705" s="19" t="s">
        <v>2399</v>
      </c>
      <c r="C1705" s="19" t="s">
        <v>5146</v>
      </c>
      <c r="D1705" s="19" t="s">
        <v>2771</v>
      </c>
    </row>
    <row r="1706" spans="1:5" ht="15.5" x14ac:dyDescent="0.35">
      <c r="A1706" s="1" t="s">
        <v>666</v>
      </c>
      <c r="B1706" s="19" t="s">
        <v>2402</v>
      </c>
      <c r="C1706" s="19" t="s">
        <v>3746</v>
      </c>
      <c r="D1706" s="19" t="s">
        <v>5147</v>
      </c>
    </row>
    <row r="1707" spans="1:5" ht="15.5" x14ac:dyDescent="0.35">
      <c r="A1707" s="1" t="s">
        <v>665</v>
      </c>
      <c r="B1707" s="19" t="s">
        <v>2399</v>
      </c>
      <c r="C1707" s="19" t="s">
        <v>5148</v>
      </c>
      <c r="D1707" s="19" t="s">
        <v>5149</v>
      </c>
    </row>
    <row r="1708" spans="1:5" ht="15.5" x14ac:dyDescent="0.35">
      <c r="A1708" s="1" t="s">
        <v>664</v>
      </c>
      <c r="B1708" s="19" t="s">
        <v>2399</v>
      </c>
      <c r="C1708" s="19" t="s">
        <v>4317</v>
      </c>
      <c r="D1708" s="19" t="s">
        <v>3401</v>
      </c>
    </row>
    <row r="1709" spans="1:5" ht="15.5" x14ac:dyDescent="0.35">
      <c r="A1709" s="1" t="s">
        <v>663</v>
      </c>
      <c r="B1709" s="19" t="s">
        <v>2402</v>
      </c>
      <c r="C1709" s="19" t="s">
        <v>5150</v>
      </c>
      <c r="D1709" s="19" t="s">
        <v>5151</v>
      </c>
    </row>
    <row r="1710" spans="1:5" ht="15.5" x14ac:dyDescent="0.35">
      <c r="A1710" s="1" t="s">
        <v>662</v>
      </c>
      <c r="B1710" s="19" t="s">
        <v>2399</v>
      </c>
      <c r="C1710" s="19" t="s">
        <v>4687</v>
      </c>
      <c r="D1710" s="19" t="s">
        <v>3953</v>
      </c>
    </row>
    <row r="1711" spans="1:5" ht="15.5" x14ac:dyDescent="0.35">
      <c r="A1711" s="1" t="s">
        <v>661</v>
      </c>
      <c r="B1711" s="19" t="s">
        <v>2399</v>
      </c>
      <c r="C1711" s="19" t="s">
        <v>5152</v>
      </c>
      <c r="D1711" s="19" t="s">
        <v>5153</v>
      </c>
    </row>
    <row r="1712" spans="1:5" ht="15.5" x14ac:dyDescent="0.35">
      <c r="A1712" s="1" t="s">
        <v>660</v>
      </c>
      <c r="B1712" s="19" t="s">
        <v>2402</v>
      </c>
      <c r="C1712" s="19" t="s">
        <v>5154</v>
      </c>
      <c r="D1712" s="19" t="s">
        <v>5155</v>
      </c>
      <c r="E1712" t="s">
        <v>2539</v>
      </c>
    </row>
    <row r="1713" spans="1:4" ht="15.5" x14ac:dyDescent="0.35">
      <c r="A1713" s="1" t="s">
        <v>659</v>
      </c>
      <c r="B1713" s="19" t="s">
        <v>2399</v>
      </c>
      <c r="C1713" s="19" t="s">
        <v>5156</v>
      </c>
      <c r="D1713" s="19" t="s">
        <v>3031</v>
      </c>
    </row>
    <row r="1714" spans="1:4" ht="15.5" x14ac:dyDescent="0.35">
      <c r="A1714" s="1" t="s">
        <v>658</v>
      </c>
      <c r="B1714" s="19" t="s">
        <v>2402</v>
      </c>
      <c r="C1714" s="19" t="s">
        <v>5157</v>
      </c>
      <c r="D1714" s="19" t="s">
        <v>2748</v>
      </c>
    </row>
    <row r="1715" spans="1:4" ht="15.5" x14ac:dyDescent="0.35">
      <c r="A1715" s="1" t="s">
        <v>657</v>
      </c>
      <c r="B1715" s="19" t="s">
        <v>2399</v>
      </c>
      <c r="C1715" s="19" t="s">
        <v>5158</v>
      </c>
      <c r="D1715" s="19" t="s">
        <v>5159</v>
      </c>
    </row>
    <row r="1716" spans="1:4" ht="15.5" x14ac:dyDescent="0.35">
      <c r="A1716" s="1" t="s">
        <v>656</v>
      </c>
      <c r="B1716" s="19" t="s">
        <v>2399</v>
      </c>
      <c r="C1716" s="19" t="s">
        <v>5160</v>
      </c>
      <c r="D1716" s="19" t="s">
        <v>5153</v>
      </c>
    </row>
    <row r="1717" spans="1:4" ht="15.5" x14ac:dyDescent="0.35">
      <c r="A1717" s="1" t="s">
        <v>655</v>
      </c>
      <c r="B1717" s="19" t="s">
        <v>2402</v>
      </c>
      <c r="C1717" s="19" t="s">
        <v>5161</v>
      </c>
      <c r="D1717" s="19" t="s">
        <v>2585</v>
      </c>
    </row>
    <row r="1718" spans="1:4" ht="15.5" x14ac:dyDescent="0.35">
      <c r="A1718" s="1" t="s">
        <v>654</v>
      </c>
      <c r="B1718" s="19" t="s">
        <v>2399</v>
      </c>
      <c r="C1718" s="19" t="s">
        <v>5162</v>
      </c>
      <c r="D1718" s="19" t="s">
        <v>5163</v>
      </c>
    </row>
    <row r="1719" spans="1:4" ht="15.5" x14ac:dyDescent="0.35">
      <c r="A1719" s="1" t="s">
        <v>653</v>
      </c>
      <c r="B1719" s="19" t="s">
        <v>2399</v>
      </c>
      <c r="C1719" s="19" t="s">
        <v>5164</v>
      </c>
      <c r="D1719" s="19" t="s">
        <v>5165</v>
      </c>
    </row>
    <row r="1720" spans="1:4" ht="15.5" x14ac:dyDescent="0.35">
      <c r="A1720" s="1" t="s">
        <v>652</v>
      </c>
      <c r="B1720" s="19" t="s">
        <v>2399</v>
      </c>
      <c r="C1720" s="19" t="s">
        <v>5166</v>
      </c>
      <c r="D1720" s="19" t="s">
        <v>3999</v>
      </c>
    </row>
    <row r="1721" spans="1:4" ht="15.5" x14ac:dyDescent="0.35">
      <c r="A1721" s="1" t="s">
        <v>651</v>
      </c>
      <c r="B1721" s="19" t="s">
        <v>2399</v>
      </c>
      <c r="C1721" s="19" t="s">
        <v>2793</v>
      </c>
      <c r="D1721" s="19" t="s">
        <v>5167</v>
      </c>
    </row>
    <row r="1722" spans="1:4" ht="15.5" x14ac:dyDescent="0.35">
      <c r="A1722" s="1" t="s">
        <v>650</v>
      </c>
      <c r="B1722" s="19" t="s">
        <v>2402</v>
      </c>
      <c r="C1722" s="19" t="s">
        <v>5168</v>
      </c>
      <c r="D1722" s="19" t="s">
        <v>2559</v>
      </c>
    </row>
    <row r="1723" spans="1:4" ht="15.5" x14ac:dyDescent="0.35">
      <c r="A1723" s="1" t="s">
        <v>649</v>
      </c>
      <c r="B1723" s="19" t="s">
        <v>2402</v>
      </c>
      <c r="C1723" s="19" t="s">
        <v>5169</v>
      </c>
      <c r="D1723" s="19" t="s">
        <v>5170</v>
      </c>
    </row>
    <row r="1724" spans="1:4" ht="15.5" x14ac:dyDescent="0.35">
      <c r="A1724" s="1" t="s">
        <v>648</v>
      </c>
      <c r="B1724" s="19" t="s">
        <v>2399</v>
      </c>
      <c r="C1724" s="19" t="s">
        <v>5171</v>
      </c>
      <c r="D1724" s="19" t="s">
        <v>5172</v>
      </c>
    </row>
    <row r="1725" spans="1:4" ht="15.5" x14ac:dyDescent="0.35">
      <c r="A1725" s="1" t="s">
        <v>647</v>
      </c>
      <c r="B1725" s="19" t="s">
        <v>2402</v>
      </c>
      <c r="C1725" s="19" t="s">
        <v>5173</v>
      </c>
      <c r="D1725" s="19" t="s">
        <v>5174</v>
      </c>
    </row>
    <row r="1726" spans="1:4" ht="15.5" x14ac:dyDescent="0.35">
      <c r="A1726" s="1" t="s">
        <v>646</v>
      </c>
      <c r="B1726" s="19" t="s">
        <v>2399</v>
      </c>
      <c r="C1726" s="19" t="s">
        <v>4781</v>
      </c>
      <c r="D1726" s="19" t="s">
        <v>5175</v>
      </c>
    </row>
    <row r="1727" spans="1:4" ht="15.5" x14ac:dyDescent="0.35">
      <c r="A1727" s="1" t="s">
        <v>645</v>
      </c>
      <c r="B1727" s="19" t="s">
        <v>2399</v>
      </c>
      <c r="C1727" s="19" t="s">
        <v>5176</v>
      </c>
      <c r="D1727" s="19" t="s">
        <v>5177</v>
      </c>
    </row>
    <row r="1728" spans="1:4" ht="15.5" x14ac:dyDescent="0.35">
      <c r="A1728" s="1" t="s">
        <v>644</v>
      </c>
      <c r="B1728" s="19" t="s">
        <v>2399</v>
      </c>
      <c r="C1728" s="19" t="s">
        <v>5178</v>
      </c>
      <c r="D1728" s="19" t="s">
        <v>4737</v>
      </c>
    </row>
    <row r="1729" spans="1:4" ht="15.5" x14ac:dyDescent="0.35">
      <c r="A1729" s="1" t="s">
        <v>643</v>
      </c>
      <c r="B1729" s="19" t="s">
        <v>2402</v>
      </c>
      <c r="C1729" s="19" t="s">
        <v>3578</v>
      </c>
      <c r="D1729" s="19" t="s">
        <v>5179</v>
      </c>
    </row>
    <row r="1730" spans="1:4" ht="15.5" x14ac:dyDescent="0.35">
      <c r="A1730" s="1" t="s">
        <v>642</v>
      </c>
      <c r="B1730" s="19" t="s">
        <v>2402</v>
      </c>
      <c r="C1730" s="19" t="s">
        <v>5180</v>
      </c>
      <c r="D1730" s="19" t="s">
        <v>5181</v>
      </c>
    </row>
    <row r="1731" spans="1:4" ht="15.5" x14ac:dyDescent="0.35">
      <c r="A1731" s="1" t="s">
        <v>641</v>
      </c>
      <c r="B1731" s="19" t="s">
        <v>2402</v>
      </c>
      <c r="C1731" s="19" t="s">
        <v>5002</v>
      </c>
      <c r="D1731" s="19" t="s">
        <v>5182</v>
      </c>
    </row>
    <row r="1732" spans="1:4" ht="15.5" x14ac:dyDescent="0.35">
      <c r="A1732" s="1" t="s">
        <v>640</v>
      </c>
      <c r="B1732" s="19" t="s">
        <v>2399</v>
      </c>
      <c r="C1732" s="19" t="s">
        <v>3447</v>
      </c>
      <c r="D1732" s="19" t="s">
        <v>5183</v>
      </c>
    </row>
    <row r="1733" spans="1:4" ht="15.5" x14ac:dyDescent="0.35">
      <c r="A1733" s="1" t="s">
        <v>639</v>
      </c>
      <c r="B1733" s="19" t="s">
        <v>2399</v>
      </c>
      <c r="C1733" s="19" t="s">
        <v>5184</v>
      </c>
      <c r="D1733" s="19" t="s">
        <v>2561</v>
      </c>
    </row>
    <row r="1734" spans="1:4" ht="15.5" x14ac:dyDescent="0.35">
      <c r="A1734" s="1" t="s">
        <v>638</v>
      </c>
      <c r="B1734" s="19" t="s">
        <v>2399</v>
      </c>
      <c r="C1734" s="19" t="s">
        <v>5185</v>
      </c>
      <c r="D1734" s="19" t="s">
        <v>5186</v>
      </c>
    </row>
    <row r="1735" spans="1:4" ht="15.5" x14ac:dyDescent="0.35">
      <c r="A1735" s="1" t="s">
        <v>637</v>
      </c>
      <c r="B1735" s="19" t="s">
        <v>2399</v>
      </c>
      <c r="C1735" s="19" t="s">
        <v>5187</v>
      </c>
      <c r="D1735" s="19" t="s">
        <v>5188</v>
      </c>
    </row>
    <row r="1736" spans="1:4" ht="15.5" x14ac:dyDescent="0.35">
      <c r="A1736" s="1" t="s">
        <v>636</v>
      </c>
      <c r="B1736" s="19" t="s">
        <v>3277</v>
      </c>
      <c r="C1736" s="19" t="s">
        <v>5189</v>
      </c>
      <c r="D1736" s="19" t="s">
        <v>5190</v>
      </c>
    </row>
    <row r="1737" spans="1:4" ht="15.5" x14ac:dyDescent="0.35">
      <c r="A1737" s="1" t="s">
        <v>635</v>
      </c>
      <c r="B1737" s="19" t="s">
        <v>2399</v>
      </c>
      <c r="C1737" s="19" t="s">
        <v>5191</v>
      </c>
      <c r="D1737" s="19" t="s">
        <v>5192</v>
      </c>
    </row>
    <row r="1738" spans="1:4" ht="15.5" x14ac:dyDescent="0.35">
      <c r="A1738" s="1" t="s">
        <v>634</v>
      </c>
      <c r="B1738" s="19" t="s">
        <v>2402</v>
      </c>
      <c r="C1738" s="19" t="s">
        <v>3957</v>
      </c>
      <c r="D1738" s="19" t="s">
        <v>5193</v>
      </c>
    </row>
    <row r="1739" spans="1:4" ht="15.5" x14ac:dyDescent="0.35">
      <c r="A1739" s="1" t="s">
        <v>633</v>
      </c>
      <c r="B1739" s="19" t="s">
        <v>2402</v>
      </c>
      <c r="C1739" s="19" t="s">
        <v>5194</v>
      </c>
      <c r="D1739" s="19" t="s">
        <v>2500</v>
      </c>
    </row>
    <row r="1740" spans="1:4" ht="15.5" x14ac:dyDescent="0.35">
      <c r="A1740" s="1" t="s">
        <v>631</v>
      </c>
      <c r="B1740" s="19" t="s">
        <v>2402</v>
      </c>
      <c r="C1740" s="19" t="s">
        <v>5195</v>
      </c>
      <c r="D1740" s="19" t="s">
        <v>5196</v>
      </c>
    </row>
    <row r="1741" spans="1:4" ht="15.5" x14ac:dyDescent="0.35">
      <c r="A1741" s="1" t="s">
        <v>630</v>
      </c>
      <c r="B1741" s="19" t="s">
        <v>2399</v>
      </c>
      <c r="C1741" s="19" t="s">
        <v>5197</v>
      </c>
      <c r="D1741" s="19" t="s">
        <v>5198</v>
      </c>
    </row>
    <row r="1742" spans="1:4" ht="15.5" x14ac:dyDescent="0.35">
      <c r="A1742" s="1" t="s">
        <v>629</v>
      </c>
      <c r="B1742" s="19" t="s">
        <v>2399</v>
      </c>
      <c r="C1742" s="19" t="s">
        <v>5199</v>
      </c>
      <c r="D1742" s="19" t="s">
        <v>5200</v>
      </c>
    </row>
    <row r="1743" spans="1:4" ht="15.5" x14ac:dyDescent="0.35">
      <c r="A1743" s="1" t="s">
        <v>628</v>
      </c>
      <c r="B1743" s="19" t="s">
        <v>2399</v>
      </c>
      <c r="C1743" s="19" t="s">
        <v>5201</v>
      </c>
      <c r="D1743" s="19" t="s">
        <v>5202</v>
      </c>
    </row>
    <row r="1744" spans="1:4" ht="15.5" x14ac:dyDescent="0.35">
      <c r="A1744" s="1" t="s">
        <v>627</v>
      </c>
      <c r="B1744" s="19" t="s">
        <v>2399</v>
      </c>
      <c r="C1744" s="19" t="s">
        <v>5203</v>
      </c>
      <c r="D1744" s="19" t="s">
        <v>5204</v>
      </c>
    </row>
    <row r="1745" spans="1:4" ht="15.5" x14ac:dyDescent="0.35">
      <c r="A1745" s="1" t="s">
        <v>626</v>
      </c>
      <c r="B1745" s="19" t="s">
        <v>2399</v>
      </c>
      <c r="C1745" s="19" t="s">
        <v>5205</v>
      </c>
      <c r="D1745" s="19" t="s">
        <v>3347</v>
      </c>
    </row>
    <row r="1746" spans="1:4" ht="15.5" x14ac:dyDescent="0.35">
      <c r="A1746" s="1" t="s">
        <v>625</v>
      </c>
      <c r="B1746" s="19" t="s">
        <v>2402</v>
      </c>
      <c r="C1746" s="19" t="s">
        <v>3695</v>
      </c>
      <c r="D1746" s="19" t="s">
        <v>4225</v>
      </c>
    </row>
    <row r="1747" spans="1:4" ht="15.5" x14ac:dyDescent="0.35">
      <c r="A1747" s="1" t="s">
        <v>624</v>
      </c>
      <c r="B1747" s="19" t="s">
        <v>2399</v>
      </c>
      <c r="C1747" s="19" t="s">
        <v>5206</v>
      </c>
      <c r="D1747" s="19" t="s">
        <v>4899</v>
      </c>
    </row>
    <row r="1748" spans="1:4" ht="15.5" x14ac:dyDescent="0.35">
      <c r="A1748" s="1" t="s">
        <v>623</v>
      </c>
      <c r="B1748" s="19" t="s">
        <v>2399</v>
      </c>
      <c r="C1748" s="19" t="s">
        <v>5207</v>
      </c>
      <c r="D1748" s="19" t="s">
        <v>5208</v>
      </c>
    </row>
    <row r="1749" spans="1:4" ht="15.5" x14ac:dyDescent="0.35">
      <c r="A1749" s="1" t="s">
        <v>622</v>
      </c>
      <c r="B1749" s="19" t="s">
        <v>2402</v>
      </c>
      <c r="C1749" s="19" t="s">
        <v>5191</v>
      </c>
      <c r="D1749" s="19" t="s">
        <v>5209</v>
      </c>
    </row>
    <row r="1750" spans="1:4" ht="15.5" x14ac:dyDescent="0.35">
      <c r="A1750" s="1" t="s">
        <v>621</v>
      </c>
      <c r="B1750" s="19" t="s">
        <v>2402</v>
      </c>
      <c r="C1750" s="19" t="s">
        <v>5210</v>
      </c>
      <c r="D1750" s="19" t="s">
        <v>3813</v>
      </c>
    </row>
    <row r="1751" spans="1:4" ht="15.5" x14ac:dyDescent="0.35">
      <c r="A1751" s="1" t="s">
        <v>620</v>
      </c>
      <c r="B1751" s="19" t="s">
        <v>2402</v>
      </c>
      <c r="C1751" s="19" t="s">
        <v>4255</v>
      </c>
      <c r="D1751" s="19" t="s">
        <v>5211</v>
      </c>
    </row>
    <row r="1752" spans="1:4" ht="15.5" x14ac:dyDescent="0.35">
      <c r="A1752" s="1" t="s">
        <v>619</v>
      </c>
      <c r="B1752" s="19" t="s">
        <v>3277</v>
      </c>
      <c r="C1752" s="19" t="s">
        <v>5212</v>
      </c>
      <c r="D1752" s="19" t="s">
        <v>5213</v>
      </c>
    </row>
    <row r="1753" spans="1:4" ht="15.5" x14ac:dyDescent="0.35">
      <c r="A1753" s="1" t="s">
        <v>618</v>
      </c>
      <c r="B1753" s="19" t="s">
        <v>2402</v>
      </c>
      <c r="C1753" s="19" t="s">
        <v>5214</v>
      </c>
      <c r="D1753" s="19" t="s">
        <v>3513</v>
      </c>
    </row>
    <row r="1754" spans="1:4" ht="15.5" x14ac:dyDescent="0.35">
      <c r="A1754" s="1" t="s">
        <v>617</v>
      </c>
      <c r="B1754" s="19" t="s">
        <v>2402</v>
      </c>
      <c r="C1754" s="19" t="s">
        <v>5215</v>
      </c>
      <c r="D1754" s="19" t="s">
        <v>5216</v>
      </c>
    </row>
    <row r="1755" spans="1:4" ht="15.5" x14ac:dyDescent="0.35">
      <c r="A1755" s="1" t="s">
        <v>616</v>
      </c>
      <c r="B1755" s="19" t="s">
        <v>2402</v>
      </c>
      <c r="C1755" s="19" t="s">
        <v>3467</v>
      </c>
      <c r="D1755" s="19" t="s">
        <v>5217</v>
      </c>
    </row>
    <row r="1756" spans="1:4" ht="15.5" x14ac:dyDescent="0.35">
      <c r="A1756" s="1" t="s">
        <v>615</v>
      </c>
      <c r="B1756" s="19" t="s">
        <v>2399</v>
      </c>
      <c r="C1756" s="19" t="s">
        <v>5218</v>
      </c>
      <c r="D1756" s="19" t="s">
        <v>5219</v>
      </c>
    </row>
    <row r="1757" spans="1:4" ht="15.5" x14ac:dyDescent="0.35">
      <c r="A1757" s="1" t="s">
        <v>614</v>
      </c>
      <c r="B1757" s="19" t="s">
        <v>2399</v>
      </c>
      <c r="C1757" s="19" t="s">
        <v>5220</v>
      </c>
      <c r="D1757" s="19" t="s">
        <v>5221</v>
      </c>
    </row>
    <row r="1758" spans="1:4" ht="15.5" x14ac:dyDescent="0.35">
      <c r="A1758" s="1" t="s">
        <v>613</v>
      </c>
      <c r="B1758" s="19" t="s">
        <v>2402</v>
      </c>
      <c r="C1758" s="19" t="s">
        <v>2858</v>
      </c>
      <c r="D1758" s="19" t="s">
        <v>5222</v>
      </c>
    </row>
    <row r="1759" spans="1:4" ht="15.5" x14ac:dyDescent="0.35">
      <c r="A1759" s="1" t="s">
        <v>612</v>
      </c>
      <c r="B1759" s="19" t="s">
        <v>3277</v>
      </c>
      <c r="C1759" s="19" t="s">
        <v>5223</v>
      </c>
      <c r="D1759" s="19" t="s">
        <v>5224</v>
      </c>
    </row>
    <row r="1760" spans="1:4" ht="15.5" x14ac:dyDescent="0.35">
      <c r="A1760" s="1" t="s">
        <v>611</v>
      </c>
      <c r="B1760" s="19" t="s">
        <v>2402</v>
      </c>
      <c r="C1760" s="19" t="s">
        <v>5225</v>
      </c>
      <c r="D1760" s="19" t="s">
        <v>5226</v>
      </c>
    </row>
    <row r="1761" spans="1:4" ht="15.5" x14ac:dyDescent="0.35">
      <c r="A1761" s="1" t="s">
        <v>610</v>
      </c>
      <c r="B1761" s="19" t="s">
        <v>2402</v>
      </c>
      <c r="C1761" s="19" t="s">
        <v>5227</v>
      </c>
      <c r="D1761" s="19" t="s">
        <v>5228</v>
      </c>
    </row>
    <row r="1762" spans="1:4" ht="15.5" x14ac:dyDescent="0.35">
      <c r="A1762" s="1" t="s">
        <v>609</v>
      </c>
      <c r="B1762" s="19" t="s">
        <v>2402</v>
      </c>
      <c r="C1762" s="19" t="s">
        <v>5229</v>
      </c>
      <c r="D1762" s="19" t="s">
        <v>5230</v>
      </c>
    </row>
    <row r="1763" spans="1:4" ht="15.5" x14ac:dyDescent="0.35">
      <c r="A1763" s="1" t="s">
        <v>608</v>
      </c>
      <c r="B1763" s="19" t="s">
        <v>2399</v>
      </c>
      <c r="C1763" s="19" t="s">
        <v>5231</v>
      </c>
      <c r="D1763" s="19" t="s">
        <v>5232</v>
      </c>
    </row>
    <row r="1764" spans="1:4" ht="15.5" x14ac:dyDescent="0.35">
      <c r="A1764" s="1" t="s">
        <v>607</v>
      </c>
      <c r="B1764" s="19" t="s">
        <v>2399</v>
      </c>
      <c r="C1764" s="19" t="s">
        <v>5233</v>
      </c>
      <c r="D1764" s="19" t="s">
        <v>5234</v>
      </c>
    </row>
    <row r="1765" spans="1:4" ht="15.5" x14ac:dyDescent="0.35">
      <c r="A1765" s="1" t="s">
        <v>606</v>
      </c>
      <c r="B1765" s="19" t="s">
        <v>2399</v>
      </c>
      <c r="C1765" s="19" t="s">
        <v>2838</v>
      </c>
      <c r="D1765" s="19" t="s">
        <v>5235</v>
      </c>
    </row>
    <row r="1766" spans="1:4" ht="15.5" x14ac:dyDescent="0.35">
      <c r="A1766" s="1" t="s">
        <v>605</v>
      </c>
      <c r="B1766" s="19" t="s">
        <v>2399</v>
      </c>
      <c r="C1766" s="19" t="s">
        <v>4351</v>
      </c>
      <c r="D1766" s="19" t="s">
        <v>5236</v>
      </c>
    </row>
    <row r="1767" spans="1:4" ht="15.5" x14ac:dyDescent="0.35">
      <c r="A1767" s="1" t="s">
        <v>604</v>
      </c>
      <c r="B1767" s="19" t="s">
        <v>2402</v>
      </c>
      <c r="C1767" s="19" t="s">
        <v>5237</v>
      </c>
      <c r="D1767" s="19" t="s">
        <v>2715</v>
      </c>
    </row>
    <row r="1768" spans="1:4" ht="15.5" x14ac:dyDescent="0.35">
      <c r="A1768" s="1" t="s">
        <v>603</v>
      </c>
      <c r="B1768" s="19" t="s">
        <v>2399</v>
      </c>
      <c r="C1768" s="19" t="s">
        <v>5238</v>
      </c>
      <c r="D1768" s="19" t="s">
        <v>4271</v>
      </c>
    </row>
    <row r="1769" spans="1:4" ht="15.5" x14ac:dyDescent="0.35">
      <c r="A1769" s="1" t="s">
        <v>602</v>
      </c>
      <c r="B1769" s="19" t="s">
        <v>2399</v>
      </c>
      <c r="C1769" s="19" t="s">
        <v>5239</v>
      </c>
      <c r="D1769" s="19" t="s">
        <v>2763</v>
      </c>
    </row>
    <row r="1770" spans="1:4" ht="15.5" x14ac:dyDescent="0.35">
      <c r="A1770" s="1" t="s">
        <v>601</v>
      </c>
      <c r="B1770" s="19" t="s">
        <v>2399</v>
      </c>
      <c r="C1770" s="19" t="s">
        <v>5240</v>
      </c>
      <c r="D1770" s="19" t="s">
        <v>3347</v>
      </c>
    </row>
    <row r="1771" spans="1:4" ht="15.5" x14ac:dyDescent="0.35">
      <c r="A1771" s="1" t="s">
        <v>600</v>
      </c>
      <c r="B1771" s="19" t="s">
        <v>2399</v>
      </c>
      <c r="C1771" s="19" t="s">
        <v>5241</v>
      </c>
      <c r="D1771" s="19" t="s">
        <v>5242</v>
      </c>
    </row>
    <row r="1772" spans="1:4" ht="15.5" x14ac:dyDescent="0.35">
      <c r="A1772" s="1" t="s">
        <v>599</v>
      </c>
      <c r="B1772" s="19" t="s">
        <v>2399</v>
      </c>
      <c r="C1772" s="19" t="s">
        <v>5243</v>
      </c>
      <c r="D1772" s="19" t="s">
        <v>5244</v>
      </c>
    </row>
    <row r="1773" spans="1:4" ht="15.5" x14ac:dyDescent="0.35">
      <c r="A1773" s="1" t="s">
        <v>598</v>
      </c>
      <c r="B1773" s="19" t="s">
        <v>2399</v>
      </c>
      <c r="C1773" s="19" t="s">
        <v>5245</v>
      </c>
      <c r="D1773" s="19" t="s">
        <v>3296</v>
      </c>
    </row>
    <row r="1774" spans="1:4" ht="15.5" x14ac:dyDescent="0.35">
      <c r="A1774" s="1" t="s">
        <v>597</v>
      </c>
      <c r="B1774" s="19" t="s">
        <v>2399</v>
      </c>
      <c r="C1774" s="19" t="s">
        <v>5246</v>
      </c>
      <c r="D1774" s="19" t="s">
        <v>5247</v>
      </c>
    </row>
    <row r="1775" spans="1:4" ht="15.5" x14ac:dyDescent="0.35">
      <c r="A1775" s="1" t="s">
        <v>596</v>
      </c>
      <c r="B1775" s="19" t="s">
        <v>2402</v>
      </c>
      <c r="C1775" s="19" t="s">
        <v>5248</v>
      </c>
      <c r="D1775" s="19" t="s">
        <v>4093</v>
      </c>
    </row>
    <row r="1776" spans="1:4" ht="15.5" x14ac:dyDescent="0.35">
      <c r="A1776" s="1" t="s">
        <v>595</v>
      </c>
      <c r="B1776" s="19" t="s">
        <v>2399</v>
      </c>
      <c r="C1776" s="19" t="s">
        <v>5249</v>
      </c>
      <c r="D1776" s="19" t="s">
        <v>4177</v>
      </c>
    </row>
    <row r="1777" spans="1:5" ht="15.5" x14ac:dyDescent="0.35">
      <c r="A1777" s="1" t="s">
        <v>594</v>
      </c>
      <c r="B1777" s="19" t="s">
        <v>2399</v>
      </c>
      <c r="C1777" s="19" t="s">
        <v>5250</v>
      </c>
      <c r="D1777" s="19" t="s">
        <v>2589</v>
      </c>
    </row>
    <row r="1778" spans="1:5" ht="15.5" x14ac:dyDescent="0.35">
      <c r="A1778" s="1" t="s">
        <v>593</v>
      </c>
      <c r="B1778" s="19" t="s">
        <v>2402</v>
      </c>
      <c r="C1778" s="19" t="s">
        <v>5251</v>
      </c>
      <c r="D1778" s="19" t="s">
        <v>5252</v>
      </c>
    </row>
    <row r="1779" spans="1:5" ht="15.5" x14ac:dyDescent="0.35">
      <c r="A1779" s="1" t="s">
        <v>592</v>
      </c>
      <c r="B1779" s="19" t="s">
        <v>2399</v>
      </c>
      <c r="C1779" s="19" t="s">
        <v>4257</v>
      </c>
      <c r="D1779" s="19" t="s">
        <v>5253</v>
      </c>
    </row>
    <row r="1780" spans="1:5" ht="15.5" x14ac:dyDescent="0.35">
      <c r="A1780" s="1" t="s">
        <v>591</v>
      </c>
      <c r="B1780" s="19" t="s">
        <v>2402</v>
      </c>
      <c r="C1780" s="19" t="s">
        <v>5254</v>
      </c>
      <c r="D1780" s="19" t="s">
        <v>5255</v>
      </c>
      <c r="E1780" t="s">
        <v>3677</v>
      </c>
    </row>
    <row r="1781" spans="1:5" ht="15.5" x14ac:dyDescent="0.35">
      <c r="A1781" s="1" t="s">
        <v>590</v>
      </c>
      <c r="B1781" s="19" t="s">
        <v>2399</v>
      </c>
      <c r="C1781" s="19" t="s">
        <v>5256</v>
      </c>
      <c r="D1781" s="19" t="s">
        <v>3789</v>
      </c>
    </row>
    <row r="1782" spans="1:5" ht="15.5" x14ac:dyDescent="0.35">
      <c r="A1782" s="1" t="s">
        <v>589</v>
      </c>
      <c r="B1782" s="19" t="s">
        <v>2399</v>
      </c>
      <c r="C1782" s="19" t="s">
        <v>5257</v>
      </c>
      <c r="D1782" s="19" t="s">
        <v>3907</v>
      </c>
    </row>
    <row r="1783" spans="1:5" ht="15.5" x14ac:dyDescent="0.35">
      <c r="A1783" s="1" t="s">
        <v>588</v>
      </c>
      <c r="B1783" s="19" t="s">
        <v>2402</v>
      </c>
      <c r="C1783" s="19" t="s">
        <v>5012</v>
      </c>
      <c r="D1783" s="19" t="s">
        <v>5258</v>
      </c>
    </row>
    <row r="1784" spans="1:5" ht="15.5" x14ac:dyDescent="0.35">
      <c r="A1784" s="1" t="s">
        <v>587</v>
      </c>
      <c r="B1784" s="19" t="s">
        <v>2399</v>
      </c>
      <c r="C1784" s="19" t="s">
        <v>2450</v>
      </c>
      <c r="D1784" s="19" t="s">
        <v>5259</v>
      </c>
    </row>
    <row r="1785" spans="1:5" ht="15.5" x14ac:dyDescent="0.35">
      <c r="A1785" s="1" t="s">
        <v>586</v>
      </c>
      <c r="B1785" s="19" t="s">
        <v>2402</v>
      </c>
      <c r="C1785" s="19" t="s">
        <v>3442</v>
      </c>
      <c r="D1785" s="19" t="s">
        <v>3775</v>
      </c>
    </row>
    <row r="1786" spans="1:5" ht="15.5" x14ac:dyDescent="0.35">
      <c r="A1786" s="1" t="s">
        <v>585</v>
      </c>
      <c r="B1786" s="19" t="s">
        <v>2402</v>
      </c>
      <c r="C1786" s="19" t="s">
        <v>5260</v>
      </c>
      <c r="D1786" s="19" t="s">
        <v>5261</v>
      </c>
    </row>
    <row r="1787" spans="1:5" ht="15.5" x14ac:dyDescent="0.35">
      <c r="A1787" s="1" t="s">
        <v>584</v>
      </c>
      <c r="B1787" s="19" t="s">
        <v>2402</v>
      </c>
      <c r="C1787" s="19" t="s">
        <v>5262</v>
      </c>
      <c r="D1787" s="19" t="s">
        <v>2439</v>
      </c>
    </row>
    <row r="1788" spans="1:5" ht="15.5" x14ac:dyDescent="0.35">
      <c r="A1788" s="1" t="s">
        <v>583</v>
      </c>
      <c r="B1788" s="19" t="s">
        <v>2402</v>
      </c>
      <c r="C1788" s="19" t="s">
        <v>5263</v>
      </c>
      <c r="D1788" s="19" t="s">
        <v>5264</v>
      </c>
    </row>
    <row r="1789" spans="1:5" ht="15.5" x14ac:dyDescent="0.35">
      <c r="A1789" s="1" t="s">
        <v>582</v>
      </c>
      <c r="B1789" s="19" t="s">
        <v>2402</v>
      </c>
      <c r="C1789" s="19" t="s">
        <v>4291</v>
      </c>
      <c r="D1789" s="19" t="s">
        <v>5265</v>
      </c>
    </row>
    <row r="1790" spans="1:5" ht="15.5" x14ac:dyDescent="0.35">
      <c r="A1790" s="1" t="s">
        <v>581</v>
      </c>
      <c r="B1790" s="19" t="s">
        <v>2402</v>
      </c>
      <c r="C1790" s="19" t="s">
        <v>5266</v>
      </c>
      <c r="D1790" s="19" t="s">
        <v>2413</v>
      </c>
    </row>
    <row r="1791" spans="1:5" ht="15.5" x14ac:dyDescent="0.35">
      <c r="A1791" s="1" t="s">
        <v>580</v>
      </c>
      <c r="B1791" s="19" t="s">
        <v>2402</v>
      </c>
      <c r="C1791" s="19" t="s">
        <v>5267</v>
      </c>
      <c r="D1791" s="19" t="s">
        <v>5268</v>
      </c>
    </row>
    <row r="1792" spans="1:5" ht="15.5" x14ac:dyDescent="0.35">
      <c r="A1792" s="1" t="s">
        <v>579</v>
      </c>
      <c r="B1792" s="19" t="s">
        <v>2402</v>
      </c>
      <c r="C1792" s="19" t="s">
        <v>3149</v>
      </c>
      <c r="D1792" s="19" t="s">
        <v>5269</v>
      </c>
      <c r="E1792" t="s">
        <v>3677</v>
      </c>
    </row>
    <row r="1793" spans="1:4" ht="15.5" x14ac:dyDescent="0.35">
      <c r="A1793" s="1" t="s">
        <v>578</v>
      </c>
      <c r="B1793" s="19" t="s">
        <v>2399</v>
      </c>
      <c r="C1793" s="19" t="s">
        <v>5270</v>
      </c>
      <c r="D1793" s="19" t="s">
        <v>2771</v>
      </c>
    </row>
    <row r="1794" spans="1:4" ht="15.5" x14ac:dyDescent="0.35">
      <c r="A1794" s="1" t="s">
        <v>577</v>
      </c>
      <c r="B1794" s="19" t="s">
        <v>2402</v>
      </c>
      <c r="C1794" s="19" t="s">
        <v>5271</v>
      </c>
      <c r="D1794" s="19" t="s">
        <v>2696</v>
      </c>
    </row>
    <row r="1795" spans="1:4" ht="15.5" x14ac:dyDescent="0.35">
      <c r="A1795" s="1" t="s">
        <v>576</v>
      </c>
      <c r="B1795" s="19" t="s">
        <v>2399</v>
      </c>
      <c r="C1795" s="19" t="s">
        <v>5272</v>
      </c>
      <c r="D1795" s="19" t="s">
        <v>3562</v>
      </c>
    </row>
    <row r="1796" spans="1:4" ht="15.5" x14ac:dyDescent="0.35">
      <c r="A1796" s="1" t="s">
        <v>575</v>
      </c>
      <c r="B1796" s="19" t="s">
        <v>2402</v>
      </c>
      <c r="C1796" s="19" t="s">
        <v>4761</v>
      </c>
      <c r="D1796" s="19" t="s">
        <v>2472</v>
      </c>
    </row>
    <row r="1797" spans="1:4" ht="15.5" x14ac:dyDescent="0.35">
      <c r="A1797" s="1" t="s">
        <v>574</v>
      </c>
      <c r="B1797" s="19" t="s">
        <v>2399</v>
      </c>
      <c r="C1797" s="19" t="s">
        <v>5273</v>
      </c>
      <c r="D1797" s="19" t="s">
        <v>4312</v>
      </c>
    </row>
    <row r="1798" spans="1:4" ht="15.5" x14ac:dyDescent="0.35">
      <c r="A1798" s="1" t="s">
        <v>573</v>
      </c>
      <c r="B1798" s="19" t="s">
        <v>2402</v>
      </c>
      <c r="C1798" s="19" t="s">
        <v>5274</v>
      </c>
      <c r="D1798" s="19" t="s">
        <v>5275</v>
      </c>
    </row>
    <row r="1799" spans="1:4" ht="15.5" x14ac:dyDescent="0.35">
      <c r="A1799" s="1" t="s">
        <v>572</v>
      </c>
      <c r="B1799" s="19" t="s">
        <v>2399</v>
      </c>
      <c r="C1799" s="19" t="s">
        <v>5276</v>
      </c>
      <c r="D1799" s="19" t="s">
        <v>3659</v>
      </c>
    </row>
    <row r="1800" spans="1:4" ht="15.5" x14ac:dyDescent="0.35">
      <c r="A1800" s="1" t="s">
        <v>571</v>
      </c>
      <c r="B1800" s="19" t="s">
        <v>2399</v>
      </c>
      <c r="C1800" s="19" t="s">
        <v>3394</v>
      </c>
      <c r="D1800" s="19" t="s">
        <v>4416</v>
      </c>
    </row>
    <row r="1801" spans="1:4" ht="15.5" x14ac:dyDescent="0.35">
      <c r="A1801" s="1" t="s">
        <v>570</v>
      </c>
      <c r="B1801" s="19" t="s">
        <v>2402</v>
      </c>
      <c r="C1801" s="19" t="s">
        <v>5277</v>
      </c>
      <c r="D1801" s="19" t="s">
        <v>5278</v>
      </c>
    </row>
    <row r="1802" spans="1:4" ht="15.5" x14ac:dyDescent="0.35">
      <c r="A1802" s="1" t="s">
        <v>569</v>
      </c>
      <c r="B1802" s="19" t="s">
        <v>2399</v>
      </c>
      <c r="C1802" s="19" t="s">
        <v>5279</v>
      </c>
      <c r="D1802" s="19" t="s">
        <v>5153</v>
      </c>
    </row>
    <row r="1803" spans="1:4" ht="15.5" x14ac:dyDescent="0.35">
      <c r="A1803" s="1" t="s">
        <v>568</v>
      </c>
      <c r="B1803" s="19" t="s">
        <v>2402</v>
      </c>
      <c r="C1803" s="19" t="s">
        <v>5280</v>
      </c>
      <c r="D1803" s="19" t="s">
        <v>2528</v>
      </c>
    </row>
    <row r="1804" spans="1:4" ht="15.5" x14ac:dyDescent="0.35">
      <c r="A1804" s="1" t="s">
        <v>567</v>
      </c>
      <c r="B1804" s="19" t="s">
        <v>2402</v>
      </c>
      <c r="C1804" s="19" t="s">
        <v>2788</v>
      </c>
      <c r="D1804" s="19" t="s">
        <v>3432</v>
      </c>
    </row>
    <row r="1805" spans="1:4" ht="15.5" x14ac:dyDescent="0.35">
      <c r="A1805" s="1" t="s">
        <v>566</v>
      </c>
      <c r="B1805" s="19" t="s">
        <v>2402</v>
      </c>
      <c r="C1805" s="19" t="s">
        <v>2456</v>
      </c>
      <c r="D1805" s="19" t="s">
        <v>5281</v>
      </c>
    </row>
    <row r="1806" spans="1:4" ht="15.5" x14ac:dyDescent="0.35">
      <c r="A1806" s="1" t="s">
        <v>565</v>
      </c>
      <c r="B1806" s="19" t="s">
        <v>2402</v>
      </c>
      <c r="C1806" s="19" t="s">
        <v>5282</v>
      </c>
      <c r="D1806" s="19" t="s">
        <v>4757</v>
      </c>
    </row>
    <row r="1807" spans="1:4" ht="15.5" x14ac:dyDescent="0.35">
      <c r="A1807" s="1" t="s">
        <v>564</v>
      </c>
      <c r="B1807" s="19" t="s">
        <v>2399</v>
      </c>
      <c r="C1807" s="19" t="s">
        <v>5283</v>
      </c>
      <c r="D1807" s="19" t="s">
        <v>3221</v>
      </c>
    </row>
    <row r="1808" spans="1:4" ht="15.5" x14ac:dyDescent="0.35">
      <c r="A1808" s="1" t="s">
        <v>563</v>
      </c>
      <c r="B1808" s="19" t="s">
        <v>2399</v>
      </c>
      <c r="C1808" s="19" t="s">
        <v>5284</v>
      </c>
      <c r="D1808" s="19" t="s">
        <v>5285</v>
      </c>
    </row>
    <row r="1809" spans="1:5" ht="15.5" x14ac:dyDescent="0.35">
      <c r="A1809" s="1" t="s">
        <v>562</v>
      </c>
      <c r="B1809" s="19" t="s">
        <v>2399</v>
      </c>
      <c r="C1809" s="19" t="s">
        <v>5286</v>
      </c>
      <c r="D1809" s="19" t="s">
        <v>5287</v>
      </c>
    </row>
    <row r="1810" spans="1:5" ht="15.5" x14ac:dyDescent="0.35">
      <c r="A1810" s="1" t="s">
        <v>561</v>
      </c>
      <c r="B1810" s="19" t="s">
        <v>2399</v>
      </c>
      <c r="C1810" s="19" t="s">
        <v>5288</v>
      </c>
      <c r="D1810" s="19" t="s">
        <v>2871</v>
      </c>
    </row>
    <row r="1811" spans="1:5" ht="15.5" x14ac:dyDescent="0.35">
      <c r="A1811" s="1" t="s">
        <v>560</v>
      </c>
      <c r="B1811" s="19" t="s">
        <v>2399</v>
      </c>
      <c r="C1811" s="19" t="s">
        <v>5289</v>
      </c>
      <c r="D1811" s="19" t="s">
        <v>5200</v>
      </c>
    </row>
    <row r="1812" spans="1:5" ht="15.5" x14ac:dyDescent="0.35">
      <c r="A1812" s="1" t="s">
        <v>559</v>
      </c>
      <c r="B1812" s="19" t="s">
        <v>2399</v>
      </c>
      <c r="C1812" s="19" t="s">
        <v>5290</v>
      </c>
      <c r="D1812" s="19" t="s">
        <v>5291</v>
      </c>
    </row>
    <row r="1813" spans="1:5" ht="15.5" x14ac:dyDescent="0.35">
      <c r="A1813" s="1" t="s">
        <v>558</v>
      </c>
      <c r="B1813" s="19" t="s">
        <v>2399</v>
      </c>
      <c r="C1813" s="19" t="s">
        <v>5292</v>
      </c>
      <c r="D1813" s="19" t="s">
        <v>5293</v>
      </c>
    </row>
    <row r="1814" spans="1:5" ht="15.5" x14ac:dyDescent="0.35">
      <c r="A1814" s="1" t="s">
        <v>557</v>
      </c>
      <c r="B1814" s="19" t="s">
        <v>2402</v>
      </c>
      <c r="C1814" s="19" t="s">
        <v>5294</v>
      </c>
      <c r="D1814" s="19" t="s">
        <v>5295</v>
      </c>
    </row>
    <row r="1815" spans="1:5" ht="15.5" x14ac:dyDescent="0.35">
      <c r="A1815" s="1" t="s">
        <v>556</v>
      </c>
      <c r="B1815" s="19" t="s">
        <v>2399</v>
      </c>
      <c r="C1815" s="19" t="s">
        <v>5296</v>
      </c>
      <c r="D1815" s="19" t="s">
        <v>3221</v>
      </c>
    </row>
    <row r="1816" spans="1:5" ht="15.5" x14ac:dyDescent="0.35">
      <c r="A1816" s="1" t="s">
        <v>555</v>
      </c>
      <c r="B1816" s="19" t="s">
        <v>2402</v>
      </c>
      <c r="C1816" s="19" t="s">
        <v>5297</v>
      </c>
      <c r="D1816" s="19" t="s">
        <v>3686</v>
      </c>
    </row>
    <row r="1817" spans="1:5" ht="15.5" x14ac:dyDescent="0.35">
      <c r="A1817" s="1" t="s">
        <v>554</v>
      </c>
      <c r="B1817" s="19" t="s">
        <v>2402</v>
      </c>
      <c r="C1817" s="19" t="s">
        <v>5298</v>
      </c>
      <c r="D1817" s="19" t="s">
        <v>5299</v>
      </c>
    </row>
    <row r="1818" spans="1:5" ht="15.5" x14ac:dyDescent="0.35">
      <c r="A1818" s="1" t="s">
        <v>553</v>
      </c>
      <c r="B1818" s="19" t="s">
        <v>2402</v>
      </c>
      <c r="C1818" s="19" t="s">
        <v>5300</v>
      </c>
      <c r="D1818" s="19" t="s">
        <v>4093</v>
      </c>
      <c r="E1818" t="s">
        <v>3677</v>
      </c>
    </row>
    <row r="1819" spans="1:5" ht="15.5" x14ac:dyDescent="0.35">
      <c r="A1819" s="1" t="s">
        <v>552</v>
      </c>
      <c r="B1819" s="19" t="s">
        <v>2402</v>
      </c>
      <c r="C1819" s="19" t="s">
        <v>5301</v>
      </c>
      <c r="D1819" s="19" t="s">
        <v>4833</v>
      </c>
    </row>
    <row r="1820" spans="1:5" ht="15.5" x14ac:dyDescent="0.35">
      <c r="A1820" s="1" t="s">
        <v>551</v>
      </c>
      <c r="B1820" s="19" t="s">
        <v>2402</v>
      </c>
      <c r="C1820" s="19" t="s">
        <v>4145</v>
      </c>
      <c r="D1820" s="19" t="s">
        <v>3050</v>
      </c>
    </row>
    <row r="1821" spans="1:5" ht="15.5" x14ac:dyDescent="0.35">
      <c r="A1821" s="1" t="s">
        <v>550</v>
      </c>
      <c r="B1821" s="19" t="s">
        <v>2402</v>
      </c>
      <c r="C1821" s="19" t="s">
        <v>5302</v>
      </c>
      <c r="D1821" s="19" t="s">
        <v>5303</v>
      </c>
    </row>
    <row r="1822" spans="1:5" ht="15.5" x14ac:dyDescent="0.35">
      <c r="A1822" s="1" t="s">
        <v>549</v>
      </c>
      <c r="B1822" s="19" t="s">
        <v>2402</v>
      </c>
      <c r="C1822" s="19" t="s">
        <v>5304</v>
      </c>
      <c r="D1822" s="19" t="s">
        <v>2559</v>
      </c>
    </row>
    <row r="1823" spans="1:5" ht="15.5" x14ac:dyDescent="0.35">
      <c r="A1823" s="1" t="s">
        <v>548</v>
      </c>
      <c r="B1823" s="19" t="s">
        <v>2402</v>
      </c>
      <c r="C1823" s="19" t="s">
        <v>5305</v>
      </c>
      <c r="D1823" s="19" t="s">
        <v>5306</v>
      </c>
    </row>
    <row r="1824" spans="1:5" ht="15.5" x14ac:dyDescent="0.35">
      <c r="A1824" s="1" t="s">
        <v>547</v>
      </c>
      <c r="B1824" s="19" t="s">
        <v>2399</v>
      </c>
      <c r="C1824" s="19" t="s">
        <v>5307</v>
      </c>
      <c r="D1824" s="19" t="s">
        <v>5308</v>
      </c>
    </row>
    <row r="1825" spans="1:4" ht="15.5" x14ac:dyDescent="0.35">
      <c r="A1825" s="1" t="s">
        <v>546</v>
      </c>
      <c r="B1825" s="19" t="s">
        <v>2402</v>
      </c>
      <c r="C1825" s="19" t="s">
        <v>3724</v>
      </c>
      <c r="D1825" s="19" t="s">
        <v>3244</v>
      </c>
    </row>
    <row r="1826" spans="1:4" ht="15.5" x14ac:dyDescent="0.35">
      <c r="A1826" s="1" t="s">
        <v>545</v>
      </c>
      <c r="B1826" s="19" t="s">
        <v>2399</v>
      </c>
      <c r="C1826" s="19" t="s">
        <v>5309</v>
      </c>
      <c r="D1826" s="19" t="s">
        <v>5310</v>
      </c>
    </row>
    <row r="1827" spans="1:4" ht="15.5" x14ac:dyDescent="0.35">
      <c r="A1827" s="1" t="s">
        <v>544</v>
      </c>
      <c r="B1827" s="19" t="s">
        <v>2399</v>
      </c>
      <c r="C1827" s="19" t="s">
        <v>5311</v>
      </c>
      <c r="D1827" s="19" t="s">
        <v>5312</v>
      </c>
    </row>
    <row r="1828" spans="1:4" ht="15.5" x14ac:dyDescent="0.35">
      <c r="A1828" s="1" t="s">
        <v>543</v>
      </c>
      <c r="B1828" s="19" t="s">
        <v>2399</v>
      </c>
      <c r="C1828" s="19" t="s">
        <v>5313</v>
      </c>
      <c r="D1828" s="19" t="s">
        <v>5314</v>
      </c>
    </row>
    <row r="1829" spans="1:4" ht="15.5" x14ac:dyDescent="0.35">
      <c r="A1829" s="1" t="s">
        <v>542</v>
      </c>
      <c r="B1829" s="19" t="s">
        <v>2399</v>
      </c>
      <c r="C1829" s="19" t="s">
        <v>5315</v>
      </c>
      <c r="D1829" s="19" t="s">
        <v>5172</v>
      </c>
    </row>
    <row r="1830" spans="1:4" ht="15.5" x14ac:dyDescent="0.35">
      <c r="A1830" s="1" t="s">
        <v>541</v>
      </c>
      <c r="B1830" s="19" t="s">
        <v>2399</v>
      </c>
      <c r="C1830" s="19" t="s">
        <v>5316</v>
      </c>
      <c r="D1830" s="19" t="s">
        <v>3210</v>
      </c>
    </row>
    <row r="1831" spans="1:4" ht="15.5" x14ac:dyDescent="0.35">
      <c r="A1831" s="1" t="s">
        <v>540</v>
      </c>
      <c r="B1831" s="19" t="s">
        <v>2402</v>
      </c>
      <c r="C1831" s="19" t="s">
        <v>2764</v>
      </c>
      <c r="D1831" s="19" t="s">
        <v>5317</v>
      </c>
    </row>
    <row r="1832" spans="1:4" ht="15.5" x14ac:dyDescent="0.35">
      <c r="A1832" s="1" t="s">
        <v>539</v>
      </c>
      <c r="B1832" s="19" t="s">
        <v>2399</v>
      </c>
      <c r="C1832" s="19" t="s">
        <v>4146</v>
      </c>
      <c r="D1832" s="19" t="s">
        <v>2798</v>
      </c>
    </row>
    <row r="1833" spans="1:4" ht="15.5" x14ac:dyDescent="0.35">
      <c r="A1833" s="1" t="s">
        <v>538</v>
      </c>
      <c r="B1833" s="19" t="s">
        <v>2399</v>
      </c>
      <c r="C1833" s="19" t="s">
        <v>3124</v>
      </c>
      <c r="D1833" s="19" t="s">
        <v>5090</v>
      </c>
    </row>
    <row r="1834" spans="1:4" ht="15.5" x14ac:dyDescent="0.35">
      <c r="A1834" s="1" t="s">
        <v>537</v>
      </c>
      <c r="B1834" s="19" t="s">
        <v>2402</v>
      </c>
      <c r="C1834" s="19" t="s">
        <v>5318</v>
      </c>
      <c r="D1834" s="19" t="s">
        <v>5319</v>
      </c>
    </row>
    <row r="1835" spans="1:4" ht="15.5" x14ac:dyDescent="0.35">
      <c r="A1835" s="1" t="s">
        <v>536</v>
      </c>
      <c r="B1835" s="19" t="s">
        <v>2399</v>
      </c>
      <c r="C1835" s="19" t="s">
        <v>5320</v>
      </c>
      <c r="D1835" s="19" t="s">
        <v>5321</v>
      </c>
    </row>
    <row r="1836" spans="1:4" ht="15.5" x14ac:dyDescent="0.35">
      <c r="A1836" s="1" t="s">
        <v>534</v>
      </c>
      <c r="B1836" s="19" t="s">
        <v>3277</v>
      </c>
      <c r="C1836" s="19" t="s">
        <v>5322</v>
      </c>
      <c r="D1836" s="19" t="s">
        <v>4546</v>
      </c>
    </row>
    <row r="1837" spans="1:4" ht="15.5" x14ac:dyDescent="0.35">
      <c r="A1837" s="1" t="s">
        <v>533</v>
      </c>
      <c r="B1837" s="19" t="s">
        <v>2402</v>
      </c>
      <c r="C1837" s="19" t="s">
        <v>5323</v>
      </c>
      <c r="D1837" s="19" t="s">
        <v>3686</v>
      </c>
    </row>
    <row r="1838" spans="1:4" ht="15.5" x14ac:dyDescent="0.35">
      <c r="A1838" s="1" t="s">
        <v>532</v>
      </c>
      <c r="B1838" s="19" t="s">
        <v>2402</v>
      </c>
      <c r="C1838" s="19" t="s">
        <v>5324</v>
      </c>
      <c r="D1838" s="19" t="s">
        <v>5325</v>
      </c>
    </row>
    <row r="1839" spans="1:4" ht="15.5" x14ac:dyDescent="0.35">
      <c r="A1839" s="1" t="s">
        <v>531</v>
      </c>
      <c r="B1839" s="19" t="s">
        <v>2402</v>
      </c>
      <c r="C1839" s="19" t="s">
        <v>5326</v>
      </c>
      <c r="D1839" s="19" t="s">
        <v>5327</v>
      </c>
    </row>
    <row r="1840" spans="1:4" ht="15.5" x14ac:dyDescent="0.35">
      <c r="A1840" s="1" t="s">
        <v>530</v>
      </c>
      <c r="B1840" s="19" t="s">
        <v>2402</v>
      </c>
      <c r="C1840" s="19" t="s">
        <v>4372</v>
      </c>
      <c r="D1840" s="19" t="s">
        <v>5328</v>
      </c>
    </row>
    <row r="1841" spans="1:4" ht="15.5" x14ac:dyDescent="0.35">
      <c r="A1841" s="1" t="s">
        <v>529</v>
      </c>
      <c r="B1841" s="19" t="s">
        <v>2402</v>
      </c>
      <c r="C1841" s="19" t="s">
        <v>4454</v>
      </c>
      <c r="D1841" s="19" t="s">
        <v>5329</v>
      </c>
    </row>
    <row r="1842" spans="1:4" ht="15.5" x14ac:dyDescent="0.35">
      <c r="A1842" s="1" t="s">
        <v>528</v>
      </c>
      <c r="B1842" s="19" t="s">
        <v>2399</v>
      </c>
      <c r="C1842" s="19" t="s">
        <v>5330</v>
      </c>
      <c r="D1842" s="19" t="s">
        <v>2526</v>
      </c>
    </row>
    <row r="1843" spans="1:4" ht="15.5" x14ac:dyDescent="0.35">
      <c r="A1843" s="1" t="s">
        <v>527</v>
      </c>
      <c r="B1843" s="19" t="s">
        <v>2399</v>
      </c>
      <c r="C1843" s="19" t="s">
        <v>5331</v>
      </c>
      <c r="D1843" s="19" t="s">
        <v>5332</v>
      </c>
    </row>
    <row r="1844" spans="1:4" ht="15.5" x14ac:dyDescent="0.35">
      <c r="A1844" s="1" t="s">
        <v>526</v>
      </c>
      <c r="B1844" s="19" t="s">
        <v>2402</v>
      </c>
      <c r="C1844" s="19" t="s">
        <v>2529</v>
      </c>
      <c r="D1844" s="19" t="s">
        <v>5333</v>
      </c>
    </row>
    <row r="1845" spans="1:4" ht="15.5" x14ac:dyDescent="0.35">
      <c r="A1845" s="1" t="s">
        <v>525</v>
      </c>
      <c r="B1845" s="19" t="s">
        <v>2402</v>
      </c>
      <c r="C1845" s="19" t="s">
        <v>5334</v>
      </c>
      <c r="D1845" s="19" t="s">
        <v>5335</v>
      </c>
    </row>
    <row r="1846" spans="1:4" ht="15.5" x14ac:dyDescent="0.35">
      <c r="A1846" s="1" t="s">
        <v>524</v>
      </c>
      <c r="B1846" s="19" t="s">
        <v>2402</v>
      </c>
      <c r="C1846" s="19" t="s">
        <v>5336</v>
      </c>
      <c r="D1846" s="19" t="s">
        <v>2451</v>
      </c>
    </row>
    <row r="1847" spans="1:4" ht="15.5" x14ac:dyDescent="0.35">
      <c r="A1847" s="1" t="s">
        <v>523</v>
      </c>
      <c r="B1847" s="19" t="s">
        <v>2402</v>
      </c>
      <c r="C1847" s="19" t="s">
        <v>5337</v>
      </c>
      <c r="D1847" s="19" t="s">
        <v>5338</v>
      </c>
    </row>
    <row r="1848" spans="1:4" ht="15.5" x14ac:dyDescent="0.35">
      <c r="A1848" s="1" t="s">
        <v>522</v>
      </c>
      <c r="B1848" s="19" t="s">
        <v>2402</v>
      </c>
      <c r="C1848" s="19" t="s">
        <v>5339</v>
      </c>
      <c r="D1848" s="19" t="s">
        <v>5340</v>
      </c>
    </row>
    <row r="1849" spans="1:4" ht="15.5" x14ac:dyDescent="0.35">
      <c r="A1849" s="1" t="s">
        <v>521</v>
      </c>
      <c r="B1849" s="19" t="s">
        <v>2402</v>
      </c>
      <c r="C1849" s="19" t="s">
        <v>5341</v>
      </c>
      <c r="D1849" s="19" t="s">
        <v>5342</v>
      </c>
    </row>
    <row r="1850" spans="1:4" ht="15.5" x14ac:dyDescent="0.35">
      <c r="A1850" s="1" t="s">
        <v>520</v>
      </c>
      <c r="B1850" s="19" t="s">
        <v>2402</v>
      </c>
      <c r="C1850" s="19" t="s">
        <v>5343</v>
      </c>
      <c r="D1850" s="19" t="s">
        <v>5344</v>
      </c>
    </row>
    <row r="1851" spans="1:4" ht="15.5" x14ac:dyDescent="0.35">
      <c r="A1851" s="1" t="s">
        <v>519</v>
      </c>
      <c r="B1851" s="19" t="s">
        <v>2402</v>
      </c>
      <c r="C1851" s="19" t="s">
        <v>5345</v>
      </c>
      <c r="D1851" s="19" t="s">
        <v>2962</v>
      </c>
    </row>
    <row r="1852" spans="1:4" ht="15.5" x14ac:dyDescent="0.35">
      <c r="A1852" s="1" t="s">
        <v>518</v>
      </c>
      <c r="B1852" s="19" t="s">
        <v>2402</v>
      </c>
      <c r="C1852" s="19" t="s">
        <v>5346</v>
      </c>
      <c r="D1852" s="19" t="s">
        <v>2496</v>
      </c>
    </row>
    <row r="1853" spans="1:4" ht="15.5" x14ac:dyDescent="0.35">
      <c r="A1853" s="1" t="s">
        <v>517</v>
      </c>
      <c r="B1853" s="19" t="s">
        <v>2402</v>
      </c>
      <c r="C1853" s="19" t="s">
        <v>5347</v>
      </c>
      <c r="D1853" s="19" t="s">
        <v>5348</v>
      </c>
    </row>
    <row r="1854" spans="1:4" ht="15.5" x14ac:dyDescent="0.35">
      <c r="A1854" s="1" t="s">
        <v>515</v>
      </c>
      <c r="B1854" s="19" t="s">
        <v>2402</v>
      </c>
      <c r="C1854" s="19" t="s">
        <v>5349</v>
      </c>
      <c r="D1854" s="19" t="s">
        <v>2496</v>
      </c>
    </row>
    <row r="1855" spans="1:4" ht="15.5" x14ac:dyDescent="0.35">
      <c r="A1855" s="1" t="s">
        <v>514</v>
      </c>
      <c r="B1855" s="19" t="s">
        <v>2399</v>
      </c>
      <c r="C1855" s="19" t="s">
        <v>5052</v>
      </c>
      <c r="D1855" s="19" t="s">
        <v>5350</v>
      </c>
    </row>
    <row r="1856" spans="1:4" ht="15.5" x14ac:dyDescent="0.35">
      <c r="A1856" s="1" t="s">
        <v>513</v>
      </c>
      <c r="B1856" s="19" t="s">
        <v>2402</v>
      </c>
      <c r="C1856" s="19" t="s">
        <v>3613</v>
      </c>
      <c r="D1856" s="19" t="s">
        <v>3412</v>
      </c>
    </row>
    <row r="1857" spans="1:4" ht="15.5" x14ac:dyDescent="0.35">
      <c r="A1857" s="1" t="s">
        <v>512</v>
      </c>
      <c r="B1857" s="19" t="s">
        <v>2402</v>
      </c>
      <c r="C1857" s="19" t="s">
        <v>5351</v>
      </c>
      <c r="D1857" s="19" t="s">
        <v>3156</v>
      </c>
    </row>
    <row r="1858" spans="1:4" ht="15.5" x14ac:dyDescent="0.35">
      <c r="A1858" s="1" t="s">
        <v>511</v>
      </c>
      <c r="B1858" s="19" t="s">
        <v>2399</v>
      </c>
      <c r="C1858" s="19" t="s">
        <v>5352</v>
      </c>
      <c r="D1858" s="19" t="s">
        <v>5353</v>
      </c>
    </row>
    <row r="1859" spans="1:4" ht="15.5" x14ac:dyDescent="0.35">
      <c r="A1859" s="1" t="s">
        <v>510</v>
      </c>
      <c r="B1859" s="19" t="s">
        <v>2402</v>
      </c>
      <c r="C1859" s="19" t="s">
        <v>5354</v>
      </c>
      <c r="D1859" s="19" t="s">
        <v>5355</v>
      </c>
    </row>
    <row r="1860" spans="1:4" ht="15.5" x14ac:dyDescent="0.35">
      <c r="A1860" s="1" t="s">
        <v>509</v>
      </c>
      <c r="B1860" s="19" t="s">
        <v>2399</v>
      </c>
      <c r="C1860" s="19" t="s">
        <v>4233</v>
      </c>
      <c r="D1860" s="19" t="s">
        <v>4595</v>
      </c>
    </row>
    <row r="1861" spans="1:4" ht="15.5" x14ac:dyDescent="0.35">
      <c r="A1861" s="1" t="s">
        <v>508</v>
      </c>
      <c r="B1861" s="19" t="s">
        <v>2399</v>
      </c>
      <c r="C1861" s="19" t="s">
        <v>3957</v>
      </c>
      <c r="D1861" s="19" t="s">
        <v>5356</v>
      </c>
    </row>
    <row r="1862" spans="1:4" ht="15.5" x14ac:dyDescent="0.35">
      <c r="A1862" s="1" t="s">
        <v>507</v>
      </c>
      <c r="B1862" s="19" t="s">
        <v>2399</v>
      </c>
      <c r="C1862" s="19" t="s">
        <v>5357</v>
      </c>
      <c r="D1862" s="19" t="s">
        <v>5358</v>
      </c>
    </row>
    <row r="1863" spans="1:4" ht="15.5" x14ac:dyDescent="0.35">
      <c r="A1863" s="1" t="s">
        <v>506</v>
      </c>
      <c r="B1863" s="19" t="s">
        <v>2399</v>
      </c>
      <c r="C1863" s="19" t="s">
        <v>3131</v>
      </c>
      <c r="D1863" s="19" t="s">
        <v>3347</v>
      </c>
    </row>
    <row r="1864" spans="1:4" ht="15.5" x14ac:dyDescent="0.35">
      <c r="A1864" s="1" t="s">
        <v>505</v>
      </c>
      <c r="B1864" s="19" t="s">
        <v>2399</v>
      </c>
      <c r="C1864" s="19" t="s">
        <v>5359</v>
      </c>
      <c r="D1864" s="19" t="s">
        <v>5360</v>
      </c>
    </row>
    <row r="1865" spans="1:4" ht="15.5" x14ac:dyDescent="0.35">
      <c r="A1865" s="1" t="s">
        <v>504</v>
      </c>
      <c r="B1865" s="19" t="s">
        <v>2399</v>
      </c>
      <c r="C1865" s="19" t="s">
        <v>5361</v>
      </c>
      <c r="D1865" s="19" t="s">
        <v>2507</v>
      </c>
    </row>
    <row r="1866" spans="1:4" ht="15.5" x14ac:dyDescent="0.35">
      <c r="A1866" s="1" t="s">
        <v>503</v>
      </c>
      <c r="B1866" s="19" t="s">
        <v>2399</v>
      </c>
      <c r="C1866" s="19" t="s">
        <v>3218</v>
      </c>
      <c r="D1866" s="19" t="s">
        <v>5362</v>
      </c>
    </row>
    <row r="1867" spans="1:4" ht="15.5" x14ac:dyDescent="0.35">
      <c r="A1867" s="1" t="s">
        <v>502</v>
      </c>
      <c r="B1867" s="19" t="s">
        <v>2402</v>
      </c>
      <c r="C1867" s="19" t="s">
        <v>5363</v>
      </c>
      <c r="D1867" s="19" t="s">
        <v>5364</v>
      </c>
    </row>
    <row r="1868" spans="1:4" ht="15.5" x14ac:dyDescent="0.35">
      <c r="A1868" s="1" t="s">
        <v>501</v>
      </c>
      <c r="B1868" s="19" t="s">
        <v>2399</v>
      </c>
      <c r="C1868" s="19" t="s">
        <v>3819</v>
      </c>
      <c r="D1868" s="19" t="s">
        <v>3748</v>
      </c>
    </row>
    <row r="1869" spans="1:4" ht="15.5" x14ac:dyDescent="0.35">
      <c r="A1869" s="1" t="s">
        <v>500</v>
      </c>
      <c r="B1869" s="19" t="s">
        <v>2402</v>
      </c>
      <c r="C1869" s="19" t="s">
        <v>3654</v>
      </c>
      <c r="D1869" s="19" t="s">
        <v>5365</v>
      </c>
    </row>
    <row r="1870" spans="1:4" ht="15.5" x14ac:dyDescent="0.35">
      <c r="A1870" s="1" t="s">
        <v>499</v>
      </c>
      <c r="B1870" s="19" t="s">
        <v>2402</v>
      </c>
      <c r="C1870" s="19" t="s">
        <v>5366</v>
      </c>
      <c r="D1870" s="19" t="s">
        <v>3093</v>
      </c>
    </row>
    <row r="1871" spans="1:4" ht="15.5" x14ac:dyDescent="0.35">
      <c r="A1871" s="1" t="s">
        <v>498</v>
      </c>
      <c r="B1871" s="19" t="s">
        <v>2402</v>
      </c>
      <c r="C1871" s="19" t="s">
        <v>2795</v>
      </c>
      <c r="D1871" s="19" t="s">
        <v>2648</v>
      </c>
    </row>
    <row r="1872" spans="1:4" ht="15.5" x14ac:dyDescent="0.35">
      <c r="A1872" s="1" t="s">
        <v>497</v>
      </c>
      <c r="B1872" s="19" t="s">
        <v>2402</v>
      </c>
      <c r="C1872" s="19" t="s">
        <v>5367</v>
      </c>
      <c r="D1872" s="19" t="s">
        <v>5368</v>
      </c>
    </row>
    <row r="1873" spans="1:4" ht="15.5" x14ac:dyDescent="0.35">
      <c r="A1873" s="1" t="s">
        <v>496</v>
      </c>
      <c r="B1873" s="19" t="s">
        <v>2402</v>
      </c>
      <c r="C1873" s="19" t="s">
        <v>5369</v>
      </c>
      <c r="D1873" s="19" t="s">
        <v>5370</v>
      </c>
    </row>
    <row r="1874" spans="1:4" ht="15.5" x14ac:dyDescent="0.35">
      <c r="A1874" s="1" t="s">
        <v>495</v>
      </c>
      <c r="B1874" s="19" t="s">
        <v>2402</v>
      </c>
      <c r="C1874" s="19" t="s">
        <v>5371</v>
      </c>
      <c r="D1874" s="19" t="s">
        <v>5372</v>
      </c>
    </row>
    <row r="1875" spans="1:4" ht="15.5" x14ac:dyDescent="0.35">
      <c r="A1875" s="1" t="s">
        <v>494</v>
      </c>
      <c r="B1875" s="19" t="s">
        <v>2402</v>
      </c>
      <c r="C1875" s="19" t="s">
        <v>5373</v>
      </c>
      <c r="D1875" s="19" t="s">
        <v>5374</v>
      </c>
    </row>
    <row r="1876" spans="1:4" ht="15.5" x14ac:dyDescent="0.35">
      <c r="A1876" s="1" t="s">
        <v>493</v>
      </c>
      <c r="B1876" s="19" t="s">
        <v>2402</v>
      </c>
      <c r="C1876" s="19" t="s">
        <v>5375</v>
      </c>
      <c r="D1876" s="19" t="s">
        <v>5376</v>
      </c>
    </row>
    <row r="1877" spans="1:4" ht="15.5" x14ac:dyDescent="0.35">
      <c r="A1877" s="1" t="s">
        <v>492</v>
      </c>
      <c r="B1877" s="19" t="s">
        <v>2399</v>
      </c>
      <c r="C1877" s="19" t="s">
        <v>4291</v>
      </c>
      <c r="D1877" s="19" t="s">
        <v>5377</v>
      </c>
    </row>
    <row r="1878" spans="1:4" ht="15.5" x14ac:dyDescent="0.35">
      <c r="A1878" s="1" t="s">
        <v>491</v>
      </c>
      <c r="B1878" s="19" t="s">
        <v>2399</v>
      </c>
      <c r="C1878" s="19" t="s">
        <v>5378</v>
      </c>
      <c r="D1878" s="19" t="s">
        <v>3614</v>
      </c>
    </row>
    <row r="1879" spans="1:4" ht="15.5" x14ac:dyDescent="0.35">
      <c r="A1879" s="1" t="s">
        <v>490</v>
      </c>
      <c r="B1879" s="19" t="s">
        <v>3277</v>
      </c>
      <c r="C1879" s="19" t="s">
        <v>5379</v>
      </c>
      <c r="D1879" s="19" t="s">
        <v>5380</v>
      </c>
    </row>
    <row r="1880" spans="1:4" ht="15.5" x14ac:dyDescent="0.35">
      <c r="A1880" s="1" t="s">
        <v>489</v>
      </c>
      <c r="B1880" s="19" t="s">
        <v>2399</v>
      </c>
      <c r="C1880" s="19" t="s">
        <v>5381</v>
      </c>
      <c r="D1880" s="19" t="s">
        <v>5382</v>
      </c>
    </row>
    <row r="1881" spans="1:4" ht="15.5" x14ac:dyDescent="0.35">
      <c r="A1881" s="1" t="s">
        <v>488</v>
      </c>
      <c r="B1881" s="19" t="s">
        <v>2399</v>
      </c>
      <c r="C1881" s="19" t="s">
        <v>5383</v>
      </c>
      <c r="D1881" s="19" t="s">
        <v>5384</v>
      </c>
    </row>
    <row r="1882" spans="1:4" ht="15.5" x14ac:dyDescent="0.35">
      <c r="A1882" s="1" t="s">
        <v>487</v>
      </c>
      <c r="B1882" s="19" t="s">
        <v>2402</v>
      </c>
      <c r="C1882" s="19" t="s">
        <v>3411</v>
      </c>
      <c r="D1882" s="19" t="s">
        <v>5385</v>
      </c>
    </row>
    <row r="1883" spans="1:4" ht="15.5" x14ac:dyDescent="0.35">
      <c r="A1883" s="1" t="s">
        <v>486</v>
      </c>
      <c r="B1883" s="19" t="s">
        <v>2399</v>
      </c>
      <c r="C1883" s="19" t="s">
        <v>5386</v>
      </c>
      <c r="D1883" s="19" t="s">
        <v>5377</v>
      </c>
    </row>
    <row r="1884" spans="1:4" ht="15.5" x14ac:dyDescent="0.35">
      <c r="A1884" s="1" t="s">
        <v>485</v>
      </c>
      <c r="B1884" s="19" t="s">
        <v>2399</v>
      </c>
      <c r="C1884" s="19" t="s">
        <v>5387</v>
      </c>
      <c r="D1884" s="19" t="s">
        <v>5388</v>
      </c>
    </row>
    <row r="1885" spans="1:4" ht="15.5" x14ac:dyDescent="0.35">
      <c r="A1885" s="1" t="s">
        <v>484</v>
      </c>
      <c r="B1885" s="19" t="s">
        <v>2399</v>
      </c>
      <c r="C1885" s="19" t="s">
        <v>5389</v>
      </c>
      <c r="D1885" s="19" t="s">
        <v>5390</v>
      </c>
    </row>
    <row r="1886" spans="1:4" ht="15.5" x14ac:dyDescent="0.35">
      <c r="A1886" s="1" t="s">
        <v>483</v>
      </c>
      <c r="B1886" s="19" t="s">
        <v>2399</v>
      </c>
      <c r="C1886" s="19" t="s">
        <v>5391</v>
      </c>
      <c r="D1886" s="19" t="s">
        <v>5392</v>
      </c>
    </row>
    <row r="1887" spans="1:4" ht="15.5" x14ac:dyDescent="0.35">
      <c r="A1887" s="1" t="s">
        <v>482</v>
      </c>
      <c r="B1887" s="19" t="s">
        <v>2399</v>
      </c>
      <c r="C1887" s="19" t="s">
        <v>5393</v>
      </c>
      <c r="D1887" s="19" t="s">
        <v>5394</v>
      </c>
    </row>
    <row r="1888" spans="1:4" ht="15.5" x14ac:dyDescent="0.35">
      <c r="A1888" s="1" t="s">
        <v>481</v>
      </c>
      <c r="B1888" s="19" t="s">
        <v>2402</v>
      </c>
      <c r="C1888" s="19" t="s">
        <v>5395</v>
      </c>
      <c r="D1888" s="19" t="s">
        <v>5396</v>
      </c>
    </row>
    <row r="1889" spans="1:5" ht="15.5" x14ac:dyDescent="0.35">
      <c r="A1889" s="1" t="s">
        <v>480</v>
      </c>
      <c r="B1889" s="19" t="s">
        <v>2402</v>
      </c>
      <c r="C1889" s="19" t="s">
        <v>5397</v>
      </c>
      <c r="D1889" s="19" t="s">
        <v>3129</v>
      </c>
    </row>
    <row r="1890" spans="1:5" ht="15.5" x14ac:dyDescent="0.35">
      <c r="A1890" s="1" t="s">
        <v>479</v>
      </c>
      <c r="B1890" s="19" t="s">
        <v>2402</v>
      </c>
      <c r="C1890" s="19" t="s">
        <v>3437</v>
      </c>
      <c r="D1890" s="19" t="s">
        <v>5398</v>
      </c>
    </row>
    <row r="1891" spans="1:5" ht="15.5" x14ac:dyDescent="0.35">
      <c r="A1891" s="1" t="s">
        <v>478</v>
      </c>
      <c r="B1891" s="19" t="s">
        <v>2399</v>
      </c>
      <c r="C1891" s="19" t="s">
        <v>5399</v>
      </c>
      <c r="D1891" s="19" t="s">
        <v>4369</v>
      </c>
    </row>
    <row r="1892" spans="1:5" ht="15.5" x14ac:dyDescent="0.35">
      <c r="A1892" s="1" t="s">
        <v>477</v>
      </c>
      <c r="B1892" s="19" t="s">
        <v>2402</v>
      </c>
      <c r="C1892" s="19" t="s">
        <v>5400</v>
      </c>
      <c r="D1892" s="19" t="s">
        <v>2439</v>
      </c>
    </row>
    <row r="1893" spans="1:5" ht="15.5" x14ac:dyDescent="0.35">
      <c r="A1893" s="1" t="s">
        <v>476</v>
      </c>
      <c r="B1893" s="19" t="s">
        <v>2402</v>
      </c>
      <c r="C1893" s="19" t="s">
        <v>5401</v>
      </c>
      <c r="D1893" s="19" t="s">
        <v>5402</v>
      </c>
    </row>
    <row r="1894" spans="1:5" ht="15.5" x14ac:dyDescent="0.35">
      <c r="A1894" s="1" t="s">
        <v>475</v>
      </c>
      <c r="B1894" s="19" t="s">
        <v>2399</v>
      </c>
      <c r="C1894" s="19" t="s">
        <v>5403</v>
      </c>
      <c r="D1894" s="19" t="s">
        <v>5404</v>
      </c>
    </row>
    <row r="1895" spans="1:5" ht="15.5" x14ac:dyDescent="0.35">
      <c r="A1895" s="1" t="s">
        <v>474</v>
      </c>
      <c r="B1895" s="19" t="s">
        <v>2402</v>
      </c>
      <c r="C1895" s="19" t="s">
        <v>5405</v>
      </c>
      <c r="D1895" s="19" t="s">
        <v>2628</v>
      </c>
    </row>
    <row r="1896" spans="1:5" ht="15.5" x14ac:dyDescent="0.35">
      <c r="A1896" s="1" t="s">
        <v>473</v>
      </c>
      <c r="B1896" s="19" t="s">
        <v>2399</v>
      </c>
      <c r="C1896" s="19" t="s">
        <v>5406</v>
      </c>
      <c r="D1896" s="19" t="s">
        <v>5407</v>
      </c>
    </row>
    <row r="1897" spans="1:5" ht="15.5" x14ac:dyDescent="0.35">
      <c r="A1897" s="1" t="s">
        <v>472</v>
      </c>
      <c r="B1897" s="19" t="s">
        <v>2402</v>
      </c>
      <c r="C1897" s="19" t="s">
        <v>2856</v>
      </c>
      <c r="D1897" s="19" t="s">
        <v>5408</v>
      </c>
      <c r="E1897" t="s">
        <v>3677</v>
      </c>
    </row>
    <row r="1898" spans="1:5" ht="15.5" x14ac:dyDescent="0.35">
      <c r="A1898" s="1" t="s">
        <v>471</v>
      </c>
      <c r="B1898" s="19" t="s">
        <v>2402</v>
      </c>
      <c r="C1898" s="19" t="s">
        <v>5409</v>
      </c>
      <c r="D1898" s="19" t="s">
        <v>2700</v>
      </c>
    </row>
    <row r="1899" spans="1:5" ht="15.5" x14ac:dyDescent="0.35">
      <c r="A1899" s="1" t="s">
        <v>470</v>
      </c>
      <c r="B1899" s="19" t="s">
        <v>2402</v>
      </c>
      <c r="C1899" s="19" t="s">
        <v>2535</v>
      </c>
      <c r="D1899" s="19" t="s">
        <v>5410</v>
      </c>
    </row>
    <row r="1900" spans="1:5" ht="15.5" x14ac:dyDescent="0.35">
      <c r="A1900" s="1" t="s">
        <v>469</v>
      </c>
      <c r="B1900" s="19" t="s">
        <v>2402</v>
      </c>
      <c r="C1900" s="19" t="s">
        <v>2593</v>
      </c>
      <c r="D1900" s="19" t="s">
        <v>3156</v>
      </c>
    </row>
    <row r="1901" spans="1:5" ht="15.5" x14ac:dyDescent="0.35">
      <c r="A1901" s="1" t="s">
        <v>468</v>
      </c>
      <c r="B1901" s="19" t="s">
        <v>2399</v>
      </c>
      <c r="C1901" s="19" t="s">
        <v>5411</v>
      </c>
      <c r="D1901" s="19" t="s">
        <v>2589</v>
      </c>
    </row>
    <row r="1902" spans="1:5" ht="15.5" x14ac:dyDescent="0.35">
      <c r="A1902" s="1" t="s">
        <v>467</v>
      </c>
      <c r="B1902" s="19" t="s">
        <v>2399</v>
      </c>
      <c r="C1902" s="19" t="s">
        <v>5251</v>
      </c>
      <c r="D1902" s="19" t="s">
        <v>5412</v>
      </c>
    </row>
    <row r="1903" spans="1:5" ht="15.5" x14ac:dyDescent="0.35">
      <c r="A1903" s="1" t="s">
        <v>466</v>
      </c>
      <c r="B1903" s="19" t="s">
        <v>2399</v>
      </c>
      <c r="C1903" s="19" t="s">
        <v>5413</v>
      </c>
      <c r="D1903" s="19" t="s">
        <v>4312</v>
      </c>
    </row>
    <row r="1904" spans="1:5" ht="15.5" x14ac:dyDescent="0.35">
      <c r="A1904" s="1" t="s">
        <v>465</v>
      </c>
      <c r="B1904" s="19" t="s">
        <v>2399</v>
      </c>
      <c r="C1904" s="19" t="s">
        <v>5414</v>
      </c>
      <c r="D1904" s="19" t="s">
        <v>2835</v>
      </c>
    </row>
    <row r="1905" spans="1:4" ht="15.5" x14ac:dyDescent="0.35">
      <c r="A1905" s="1" t="s">
        <v>464</v>
      </c>
      <c r="B1905" s="19" t="s">
        <v>2399</v>
      </c>
      <c r="C1905" s="19" t="s">
        <v>5415</v>
      </c>
      <c r="D1905" s="19" t="s">
        <v>5416</v>
      </c>
    </row>
    <row r="1906" spans="1:4" ht="15.5" x14ac:dyDescent="0.35">
      <c r="A1906" s="1" t="s">
        <v>463</v>
      </c>
      <c r="B1906" s="19" t="s">
        <v>2399</v>
      </c>
      <c r="C1906" s="19" t="s">
        <v>5417</v>
      </c>
      <c r="D1906" s="19" t="s">
        <v>5418</v>
      </c>
    </row>
    <row r="1907" spans="1:4" ht="15.5" x14ac:dyDescent="0.35">
      <c r="A1907" s="1" t="s">
        <v>462</v>
      </c>
      <c r="B1907" s="19" t="s">
        <v>2402</v>
      </c>
      <c r="C1907" s="19" t="s">
        <v>5419</v>
      </c>
      <c r="D1907" s="19" t="s">
        <v>5420</v>
      </c>
    </row>
    <row r="1908" spans="1:4" ht="15.5" x14ac:dyDescent="0.35">
      <c r="A1908" s="1" t="s">
        <v>461</v>
      </c>
      <c r="B1908" s="19" t="s">
        <v>2399</v>
      </c>
      <c r="C1908" s="19" t="s">
        <v>2948</v>
      </c>
      <c r="D1908" s="19" t="s">
        <v>5421</v>
      </c>
    </row>
    <row r="1909" spans="1:4" ht="15.5" x14ac:dyDescent="0.35">
      <c r="A1909" s="1" t="s">
        <v>460</v>
      </c>
      <c r="B1909" s="19" t="s">
        <v>2399</v>
      </c>
      <c r="C1909" s="19" t="s">
        <v>5422</v>
      </c>
      <c r="D1909" s="19" t="s">
        <v>5423</v>
      </c>
    </row>
    <row r="1910" spans="1:4" ht="15.5" x14ac:dyDescent="0.35">
      <c r="A1910" s="1" t="s">
        <v>459</v>
      </c>
      <c r="B1910" s="19" t="s">
        <v>2402</v>
      </c>
      <c r="C1910" s="19" t="s">
        <v>5424</v>
      </c>
      <c r="D1910" s="19" t="s">
        <v>5425</v>
      </c>
    </row>
    <row r="1911" spans="1:4" ht="15.5" x14ac:dyDescent="0.35">
      <c r="A1911" s="1" t="s">
        <v>458</v>
      </c>
      <c r="B1911" s="19" t="s">
        <v>2402</v>
      </c>
      <c r="C1911" s="19" t="s">
        <v>3218</v>
      </c>
      <c r="D1911" s="19" t="s">
        <v>5426</v>
      </c>
    </row>
    <row r="1912" spans="1:4" ht="15.5" x14ac:dyDescent="0.35">
      <c r="A1912" s="1" t="s">
        <v>457</v>
      </c>
      <c r="B1912" s="19" t="s">
        <v>2399</v>
      </c>
      <c r="C1912" s="19" t="s">
        <v>5427</v>
      </c>
      <c r="D1912" s="19" t="s">
        <v>5428</v>
      </c>
    </row>
    <row r="1913" spans="1:4" ht="15.5" x14ac:dyDescent="0.35">
      <c r="A1913" s="1" t="s">
        <v>456</v>
      </c>
      <c r="B1913" s="19" t="s">
        <v>2402</v>
      </c>
      <c r="C1913" s="19" t="s">
        <v>3111</v>
      </c>
      <c r="D1913" s="19" t="s">
        <v>5429</v>
      </c>
    </row>
    <row r="1914" spans="1:4" ht="15.5" x14ac:dyDescent="0.35">
      <c r="A1914" s="1" t="s">
        <v>455</v>
      </c>
      <c r="B1914" s="19" t="s">
        <v>2402</v>
      </c>
      <c r="C1914" s="19" t="s">
        <v>5430</v>
      </c>
      <c r="D1914" s="19" t="s">
        <v>5431</v>
      </c>
    </row>
    <row r="1915" spans="1:4" ht="15.5" x14ac:dyDescent="0.35">
      <c r="A1915" s="1" t="s">
        <v>454</v>
      </c>
      <c r="B1915" s="19" t="s">
        <v>2402</v>
      </c>
      <c r="C1915" s="19" t="s">
        <v>3447</v>
      </c>
      <c r="D1915" s="19" t="s">
        <v>5432</v>
      </c>
    </row>
    <row r="1916" spans="1:4" ht="15.5" x14ac:dyDescent="0.35">
      <c r="A1916" s="1" t="s">
        <v>453</v>
      </c>
      <c r="B1916" s="19" t="s">
        <v>2399</v>
      </c>
      <c r="C1916" s="19" t="s">
        <v>5433</v>
      </c>
      <c r="D1916" s="19" t="s">
        <v>5434</v>
      </c>
    </row>
    <row r="1917" spans="1:4" ht="15.5" x14ac:dyDescent="0.35">
      <c r="A1917" s="1" t="s">
        <v>452</v>
      </c>
      <c r="B1917" s="19" t="s">
        <v>2402</v>
      </c>
      <c r="C1917" s="19" t="s">
        <v>5435</v>
      </c>
      <c r="D1917" s="19" t="s">
        <v>5436</v>
      </c>
    </row>
    <row r="1918" spans="1:4" ht="15.5" x14ac:dyDescent="0.35">
      <c r="A1918" s="1" t="s">
        <v>451</v>
      </c>
      <c r="B1918" s="19" t="s">
        <v>2402</v>
      </c>
      <c r="C1918" s="19" t="s">
        <v>5437</v>
      </c>
      <c r="D1918" s="19" t="s">
        <v>2696</v>
      </c>
    </row>
    <row r="1919" spans="1:4" ht="15.5" x14ac:dyDescent="0.35">
      <c r="A1919" s="1" t="s">
        <v>450</v>
      </c>
      <c r="B1919" s="19" t="s">
        <v>2402</v>
      </c>
      <c r="C1919" s="19" t="s">
        <v>5438</v>
      </c>
      <c r="D1919" s="19" t="s">
        <v>4622</v>
      </c>
    </row>
    <row r="1920" spans="1:4" ht="15.5" x14ac:dyDescent="0.35">
      <c r="A1920" s="1" t="s">
        <v>449</v>
      </c>
      <c r="B1920" s="19" t="s">
        <v>2402</v>
      </c>
      <c r="C1920" s="19" t="s">
        <v>5439</v>
      </c>
      <c r="D1920" s="19" t="s">
        <v>5440</v>
      </c>
    </row>
    <row r="1921" spans="1:4" ht="15.5" x14ac:dyDescent="0.35">
      <c r="A1921" s="1" t="s">
        <v>448</v>
      </c>
      <c r="B1921" s="19" t="s">
        <v>2402</v>
      </c>
      <c r="C1921" s="19" t="s">
        <v>5441</v>
      </c>
      <c r="D1921" s="19" t="s">
        <v>2621</v>
      </c>
    </row>
    <row r="1922" spans="1:4" ht="15.5" x14ac:dyDescent="0.35">
      <c r="A1922" s="1" t="s">
        <v>447</v>
      </c>
      <c r="B1922" s="19" t="s">
        <v>3277</v>
      </c>
      <c r="C1922" s="19" t="s">
        <v>5442</v>
      </c>
      <c r="D1922" s="19" t="s">
        <v>5443</v>
      </c>
    </row>
    <row r="1923" spans="1:4" ht="15.5" x14ac:dyDescent="0.35">
      <c r="A1923" s="1" t="s">
        <v>446</v>
      </c>
      <c r="B1923" s="19" t="s">
        <v>2402</v>
      </c>
      <c r="C1923" s="19" t="s">
        <v>5444</v>
      </c>
      <c r="D1923" s="19" t="s">
        <v>2696</v>
      </c>
    </row>
    <row r="1924" spans="1:4" ht="15.5" x14ac:dyDescent="0.35">
      <c r="A1924" s="1" t="s">
        <v>445</v>
      </c>
      <c r="B1924" s="19" t="s">
        <v>2402</v>
      </c>
      <c r="C1924" s="19" t="s">
        <v>5445</v>
      </c>
      <c r="D1924" s="19" t="s">
        <v>3686</v>
      </c>
    </row>
    <row r="1925" spans="1:4" ht="15.5" x14ac:dyDescent="0.35">
      <c r="A1925" s="1" t="s">
        <v>444</v>
      </c>
      <c r="B1925" s="19" t="s">
        <v>2402</v>
      </c>
      <c r="C1925" s="19" t="s">
        <v>5446</v>
      </c>
      <c r="D1925" s="19" t="s">
        <v>5447</v>
      </c>
    </row>
    <row r="1926" spans="1:4" ht="15.5" x14ac:dyDescent="0.35">
      <c r="A1926" s="1" t="s">
        <v>443</v>
      </c>
      <c r="B1926" s="19" t="s">
        <v>2402</v>
      </c>
      <c r="C1926" s="19" t="s">
        <v>5448</v>
      </c>
      <c r="D1926" s="19" t="s">
        <v>2668</v>
      </c>
    </row>
    <row r="1927" spans="1:4" ht="15.5" x14ac:dyDescent="0.35">
      <c r="A1927" s="1" t="s">
        <v>442</v>
      </c>
      <c r="B1927" s="19" t="s">
        <v>2399</v>
      </c>
      <c r="C1927" s="19" t="s">
        <v>3887</v>
      </c>
      <c r="D1927" s="19" t="s">
        <v>5449</v>
      </c>
    </row>
    <row r="1928" spans="1:4" ht="15.5" x14ac:dyDescent="0.35">
      <c r="A1928" s="1" t="s">
        <v>441</v>
      </c>
      <c r="B1928" s="19" t="s">
        <v>2399</v>
      </c>
      <c r="C1928" s="19" t="s">
        <v>5450</v>
      </c>
      <c r="D1928" s="19" t="s">
        <v>5451</v>
      </c>
    </row>
    <row r="1929" spans="1:4" ht="15.5" x14ac:dyDescent="0.35">
      <c r="A1929" s="1" t="s">
        <v>440</v>
      </c>
      <c r="B1929" s="19" t="s">
        <v>2402</v>
      </c>
      <c r="C1929" s="19" t="s">
        <v>5452</v>
      </c>
      <c r="D1929" s="19" t="s">
        <v>2528</v>
      </c>
    </row>
    <row r="1930" spans="1:4" ht="15.5" x14ac:dyDescent="0.35">
      <c r="A1930" s="1" t="s">
        <v>439</v>
      </c>
      <c r="B1930" s="19" t="s">
        <v>2399</v>
      </c>
      <c r="C1930" s="19" t="s">
        <v>4241</v>
      </c>
      <c r="D1930" s="19" t="s">
        <v>5453</v>
      </c>
    </row>
    <row r="1931" spans="1:4" ht="15.5" x14ac:dyDescent="0.35">
      <c r="A1931" s="1" t="s">
        <v>438</v>
      </c>
      <c r="B1931" s="19" t="s">
        <v>2399</v>
      </c>
      <c r="C1931" s="19" t="s">
        <v>3285</v>
      </c>
      <c r="D1931" s="19" t="s">
        <v>4306</v>
      </c>
    </row>
    <row r="1932" spans="1:4" ht="15.5" x14ac:dyDescent="0.35">
      <c r="A1932" s="1" t="s">
        <v>437</v>
      </c>
      <c r="B1932" s="19" t="s">
        <v>2399</v>
      </c>
      <c r="C1932" s="19" t="s">
        <v>5454</v>
      </c>
      <c r="D1932" s="19" t="s">
        <v>5455</v>
      </c>
    </row>
    <row r="1933" spans="1:4" ht="15.5" x14ac:dyDescent="0.35">
      <c r="A1933" s="1" t="s">
        <v>436</v>
      </c>
      <c r="B1933" s="19" t="s">
        <v>2399</v>
      </c>
      <c r="C1933" s="19" t="s">
        <v>5456</v>
      </c>
      <c r="D1933" s="19" t="s">
        <v>5457</v>
      </c>
    </row>
    <row r="1934" spans="1:4" ht="15.5" x14ac:dyDescent="0.35">
      <c r="A1934" s="1" t="s">
        <v>435</v>
      </c>
      <c r="B1934" s="19" t="s">
        <v>2402</v>
      </c>
      <c r="C1934" s="19" t="s">
        <v>5458</v>
      </c>
      <c r="D1934" s="19" t="s">
        <v>2563</v>
      </c>
    </row>
    <row r="1935" spans="1:4" ht="15.5" x14ac:dyDescent="0.35">
      <c r="A1935" s="1" t="s">
        <v>434</v>
      </c>
      <c r="B1935" s="19" t="s">
        <v>2399</v>
      </c>
      <c r="C1935" s="19" t="s">
        <v>5459</v>
      </c>
      <c r="D1935" s="19" t="s">
        <v>2589</v>
      </c>
    </row>
    <row r="1936" spans="1:4" ht="15.5" x14ac:dyDescent="0.35">
      <c r="A1936" s="1" t="s">
        <v>433</v>
      </c>
      <c r="B1936" s="19" t="s">
        <v>2399</v>
      </c>
      <c r="C1936" s="19" t="s">
        <v>5460</v>
      </c>
      <c r="D1936" s="19" t="s">
        <v>5461</v>
      </c>
    </row>
    <row r="1937" spans="1:4" ht="15.5" x14ac:dyDescent="0.35">
      <c r="A1937" s="1" t="s">
        <v>432</v>
      </c>
      <c r="B1937" s="19" t="s">
        <v>2402</v>
      </c>
      <c r="C1937" s="19" t="s">
        <v>5462</v>
      </c>
      <c r="D1937" s="19" t="s">
        <v>5463</v>
      </c>
    </row>
    <row r="1938" spans="1:4" ht="15.5" x14ac:dyDescent="0.35">
      <c r="A1938" s="1" t="s">
        <v>431</v>
      </c>
      <c r="B1938" s="19" t="s">
        <v>3277</v>
      </c>
      <c r="C1938" s="19" t="s">
        <v>5464</v>
      </c>
      <c r="D1938" s="19" t="s">
        <v>5465</v>
      </c>
    </row>
    <row r="1939" spans="1:4" ht="15.5" x14ac:dyDescent="0.35">
      <c r="A1939" s="1" t="s">
        <v>430</v>
      </c>
      <c r="B1939" s="19" t="s">
        <v>2402</v>
      </c>
      <c r="C1939" s="19" t="s">
        <v>5144</v>
      </c>
      <c r="D1939" s="19" t="s">
        <v>2423</v>
      </c>
    </row>
    <row r="1940" spans="1:4" ht="15.5" x14ac:dyDescent="0.35">
      <c r="A1940" s="1" t="s">
        <v>429</v>
      </c>
      <c r="B1940" s="19" t="s">
        <v>2402</v>
      </c>
      <c r="C1940" s="19" t="s">
        <v>5466</v>
      </c>
      <c r="D1940" s="19" t="s">
        <v>5467</v>
      </c>
    </row>
    <row r="1941" spans="1:4" ht="15.5" x14ac:dyDescent="0.35">
      <c r="A1941" s="1" t="s">
        <v>428</v>
      </c>
      <c r="B1941" s="19" t="s">
        <v>2402</v>
      </c>
      <c r="C1941" s="19" t="s">
        <v>5468</v>
      </c>
      <c r="D1941" s="19" t="s">
        <v>2683</v>
      </c>
    </row>
    <row r="1942" spans="1:4" ht="15.5" x14ac:dyDescent="0.35">
      <c r="A1942" s="1" t="s">
        <v>427</v>
      </c>
      <c r="B1942" s="19" t="s">
        <v>2402</v>
      </c>
      <c r="C1942" s="19" t="s">
        <v>3826</v>
      </c>
      <c r="D1942" s="19" t="s">
        <v>5469</v>
      </c>
    </row>
    <row r="1943" spans="1:4" ht="15.5" x14ac:dyDescent="0.35">
      <c r="A1943" s="1" t="s">
        <v>426</v>
      </c>
      <c r="B1943" s="19" t="s">
        <v>2402</v>
      </c>
      <c r="C1943" s="19" t="s">
        <v>5470</v>
      </c>
      <c r="D1943" s="19" t="s">
        <v>5471</v>
      </c>
    </row>
    <row r="1944" spans="1:4" ht="15.5" x14ac:dyDescent="0.35">
      <c r="A1944" s="1" t="s">
        <v>425</v>
      </c>
      <c r="B1944" s="19" t="s">
        <v>2402</v>
      </c>
      <c r="C1944" s="19" t="s">
        <v>5472</v>
      </c>
      <c r="D1944" s="19" t="s">
        <v>2696</v>
      </c>
    </row>
    <row r="1945" spans="1:4" ht="15.5" x14ac:dyDescent="0.35">
      <c r="A1945" s="1" t="s">
        <v>424</v>
      </c>
      <c r="B1945" s="19" t="s">
        <v>2402</v>
      </c>
      <c r="C1945" s="19" t="s">
        <v>3694</v>
      </c>
      <c r="D1945" s="19" t="s">
        <v>5473</v>
      </c>
    </row>
    <row r="1946" spans="1:4" ht="15.5" x14ac:dyDescent="0.35">
      <c r="A1946" s="1" t="s">
        <v>423</v>
      </c>
      <c r="B1946" s="19" t="s">
        <v>2399</v>
      </c>
      <c r="C1946" s="19" t="s">
        <v>5474</v>
      </c>
      <c r="D1946" s="19" t="s">
        <v>2610</v>
      </c>
    </row>
    <row r="1947" spans="1:4" ht="15.5" x14ac:dyDescent="0.35">
      <c r="A1947" s="1" t="s">
        <v>422</v>
      </c>
      <c r="B1947" s="19" t="s">
        <v>2402</v>
      </c>
      <c r="C1947" s="19" t="s">
        <v>5475</v>
      </c>
      <c r="D1947" s="19" t="s">
        <v>5376</v>
      </c>
    </row>
    <row r="1948" spans="1:4" ht="15.5" x14ac:dyDescent="0.35">
      <c r="A1948" s="1" t="s">
        <v>421</v>
      </c>
      <c r="B1948" s="19" t="s">
        <v>2402</v>
      </c>
      <c r="C1948" s="19" t="s">
        <v>5476</v>
      </c>
      <c r="D1948" s="19" t="s">
        <v>5477</v>
      </c>
    </row>
    <row r="1949" spans="1:4" ht="15.5" x14ac:dyDescent="0.35">
      <c r="A1949" s="1" t="s">
        <v>420</v>
      </c>
      <c r="B1949" s="19" t="s">
        <v>2402</v>
      </c>
      <c r="C1949" s="19" t="s">
        <v>5478</v>
      </c>
      <c r="D1949" s="19" t="s">
        <v>5479</v>
      </c>
    </row>
    <row r="1950" spans="1:4" ht="15.5" x14ac:dyDescent="0.35">
      <c r="A1950" s="1" t="s">
        <v>419</v>
      </c>
      <c r="B1950" s="19" t="s">
        <v>2399</v>
      </c>
      <c r="C1950" s="19" t="s">
        <v>5480</v>
      </c>
      <c r="D1950" s="19" t="s">
        <v>5481</v>
      </c>
    </row>
    <row r="1951" spans="1:4" ht="15.5" x14ac:dyDescent="0.35">
      <c r="A1951" s="1" t="s">
        <v>418</v>
      </c>
      <c r="B1951" s="19" t="s">
        <v>2402</v>
      </c>
      <c r="C1951" s="19" t="s">
        <v>3459</v>
      </c>
      <c r="D1951" s="19" t="s">
        <v>2668</v>
      </c>
    </row>
    <row r="1952" spans="1:4" ht="15.5" x14ac:dyDescent="0.35">
      <c r="A1952" s="1" t="s">
        <v>417</v>
      </c>
      <c r="B1952" s="19" t="s">
        <v>2399</v>
      </c>
      <c r="C1952" s="19" t="s">
        <v>5482</v>
      </c>
      <c r="D1952" s="19" t="s">
        <v>5483</v>
      </c>
    </row>
    <row r="1953" spans="1:4" ht="15.5" x14ac:dyDescent="0.35">
      <c r="A1953" s="1" t="s">
        <v>416</v>
      </c>
      <c r="B1953" s="19" t="s">
        <v>2402</v>
      </c>
      <c r="C1953" s="19" t="s">
        <v>5484</v>
      </c>
      <c r="D1953" s="19" t="s">
        <v>5485</v>
      </c>
    </row>
    <row r="1954" spans="1:4" ht="15.5" x14ac:dyDescent="0.35">
      <c r="A1954" s="1" t="s">
        <v>415</v>
      </c>
      <c r="B1954" s="19" t="s">
        <v>2402</v>
      </c>
      <c r="C1954" s="19" t="s">
        <v>5486</v>
      </c>
      <c r="D1954" s="19" t="s">
        <v>5487</v>
      </c>
    </row>
    <row r="1955" spans="1:4" ht="15.5" x14ac:dyDescent="0.35">
      <c r="A1955" s="1" t="s">
        <v>414</v>
      </c>
      <c r="B1955" s="19" t="s">
        <v>2399</v>
      </c>
      <c r="C1955" s="19" t="s">
        <v>5488</v>
      </c>
      <c r="D1955" s="19" t="s">
        <v>5489</v>
      </c>
    </row>
    <row r="1956" spans="1:4" ht="15.5" x14ac:dyDescent="0.35">
      <c r="A1956" s="1" t="s">
        <v>413</v>
      </c>
      <c r="B1956" s="19" t="s">
        <v>2399</v>
      </c>
      <c r="C1956" s="19" t="s">
        <v>5490</v>
      </c>
      <c r="D1956" s="19" t="s">
        <v>5491</v>
      </c>
    </row>
    <row r="1957" spans="1:4" ht="15.5" x14ac:dyDescent="0.35">
      <c r="A1957" s="1" t="s">
        <v>412</v>
      </c>
      <c r="B1957" s="19" t="s">
        <v>2399</v>
      </c>
      <c r="C1957" s="19" t="s">
        <v>5492</v>
      </c>
      <c r="D1957" s="19" t="s">
        <v>5493</v>
      </c>
    </row>
    <row r="1958" spans="1:4" ht="15.5" x14ac:dyDescent="0.35">
      <c r="A1958" s="1" t="s">
        <v>411</v>
      </c>
      <c r="B1958" s="19" t="s">
        <v>2402</v>
      </c>
      <c r="C1958" s="19" t="s">
        <v>5494</v>
      </c>
      <c r="D1958" s="19" t="s">
        <v>5495</v>
      </c>
    </row>
    <row r="1959" spans="1:4" ht="15.5" x14ac:dyDescent="0.35">
      <c r="A1959" s="1" t="s">
        <v>410</v>
      </c>
      <c r="B1959" s="19" t="s">
        <v>2399</v>
      </c>
      <c r="C1959" s="19" t="s">
        <v>3030</v>
      </c>
      <c r="D1959" s="19" t="s">
        <v>3221</v>
      </c>
    </row>
    <row r="1960" spans="1:4" ht="15.5" x14ac:dyDescent="0.35">
      <c r="A1960" s="1" t="s">
        <v>409</v>
      </c>
      <c r="B1960" s="19" t="s">
        <v>2399</v>
      </c>
      <c r="C1960" s="19" t="s">
        <v>5496</v>
      </c>
      <c r="D1960" s="19" t="s">
        <v>2466</v>
      </c>
    </row>
    <row r="1961" spans="1:4" ht="15.5" x14ac:dyDescent="0.35">
      <c r="A1961" s="1" t="s">
        <v>408</v>
      </c>
      <c r="B1961" s="19" t="s">
        <v>2399</v>
      </c>
      <c r="C1961" s="19" t="s">
        <v>3285</v>
      </c>
      <c r="D1961" s="19" t="s">
        <v>2835</v>
      </c>
    </row>
    <row r="1962" spans="1:4" ht="15.5" x14ac:dyDescent="0.35">
      <c r="A1962" s="1" t="s">
        <v>407</v>
      </c>
      <c r="B1962" s="19" t="s">
        <v>2399</v>
      </c>
      <c r="C1962" s="19" t="s">
        <v>5497</v>
      </c>
      <c r="D1962" s="19" t="s">
        <v>5498</v>
      </c>
    </row>
    <row r="1963" spans="1:4" ht="15.5" x14ac:dyDescent="0.35">
      <c r="A1963" s="1" t="s">
        <v>406</v>
      </c>
      <c r="B1963" s="19" t="s">
        <v>2402</v>
      </c>
      <c r="C1963" s="19" t="s">
        <v>5251</v>
      </c>
      <c r="D1963" s="19" t="s">
        <v>2403</v>
      </c>
    </row>
    <row r="1964" spans="1:4" ht="15.5" x14ac:dyDescent="0.35">
      <c r="A1964" s="1" t="s">
        <v>405</v>
      </c>
      <c r="B1964" s="19" t="s">
        <v>2402</v>
      </c>
      <c r="C1964" s="19" t="s">
        <v>5499</v>
      </c>
      <c r="D1964" s="19" t="s">
        <v>5500</v>
      </c>
    </row>
    <row r="1965" spans="1:4" ht="15.5" x14ac:dyDescent="0.35">
      <c r="A1965" s="1" t="s">
        <v>404</v>
      </c>
      <c r="B1965" s="19" t="s">
        <v>2402</v>
      </c>
      <c r="C1965" s="19" t="s">
        <v>2974</v>
      </c>
      <c r="D1965" s="19" t="s">
        <v>5501</v>
      </c>
    </row>
    <row r="1966" spans="1:4" ht="15.5" x14ac:dyDescent="0.35">
      <c r="A1966" s="1" t="s">
        <v>403</v>
      </c>
      <c r="B1966" s="19" t="s">
        <v>2399</v>
      </c>
      <c r="C1966" s="19" t="s">
        <v>5502</v>
      </c>
      <c r="D1966" s="19" t="s">
        <v>5503</v>
      </c>
    </row>
    <row r="1967" spans="1:4" ht="15.5" x14ac:dyDescent="0.35">
      <c r="A1967" s="1" t="s">
        <v>402</v>
      </c>
      <c r="B1967" s="19" t="s">
        <v>2402</v>
      </c>
      <c r="C1967" s="19" t="s">
        <v>2502</v>
      </c>
      <c r="D1967" s="19" t="s">
        <v>5504</v>
      </c>
    </row>
    <row r="1968" spans="1:4" ht="15.5" x14ac:dyDescent="0.35">
      <c r="A1968" s="1" t="s">
        <v>401</v>
      </c>
      <c r="B1968" s="19" t="s">
        <v>2402</v>
      </c>
      <c r="C1968" s="19" t="s">
        <v>5505</v>
      </c>
      <c r="D1968" s="19" t="s">
        <v>5506</v>
      </c>
    </row>
    <row r="1969" spans="1:4" ht="15.5" x14ac:dyDescent="0.35">
      <c r="A1969" s="1" t="s">
        <v>400</v>
      </c>
      <c r="B1969" s="19" t="s">
        <v>2402</v>
      </c>
      <c r="C1969" s="19" t="s">
        <v>4665</v>
      </c>
      <c r="D1969" s="19" t="s">
        <v>5507</v>
      </c>
    </row>
    <row r="1970" spans="1:4" ht="15.5" x14ac:dyDescent="0.35">
      <c r="A1970" s="1" t="s">
        <v>399</v>
      </c>
      <c r="B1970" s="19" t="s">
        <v>2402</v>
      </c>
      <c r="C1970" s="19" t="s">
        <v>4284</v>
      </c>
      <c r="D1970" s="19" t="s">
        <v>5508</v>
      </c>
    </row>
    <row r="1971" spans="1:4" ht="15.5" x14ac:dyDescent="0.35">
      <c r="A1971" s="1" t="s">
        <v>398</v>
      </c>
      <c r="B1971" s="19" t="s">
        <v>3277</v>
      </c>
      <c r="C1971" s="19" t="s">
        <v>5509</v>
      </c>
      <c r="D1971" s="19" t="s">
        <v>5510</v>
      </c>
    </row>
    <row r="1972" spans="1:4" ht="15.5" x14ac:dyDescent="0.35">
      <c r="A1972" s="1" t="s">
        <v>397</v>
      </c>
      <c r="B1972" s="19" t="s">
        <v>2399</v>
      </c>
      <c r="C1972" s="19" t="s">
        <v>5511</v>
      </c>
      <c r="D1972" s="19" t="s">
        <v>5512</v>
      </c>
    </row>
    <row r="1973" spans="1:4" ht="15.5" x14ac:dyDescent="0.35">
      <c r="A1973" s="1" t="s">
        <v>396</v>
      </c>
      <c r="B1973" s="19" t="s">
        <v>2402</v>
      </c>
      <c r="C1973" s="19" t="s">
        <v>5513</v>
      </c>
      <c r="D1973" s="19" t="s">
        <v>2553</v>
      </c>
    </row>
    <row r="1974" spans="1:4" ht="15.5" x14ac:dyDescent="0.35">
      <c r="A1974" s="1" t="s">
        <v>395</v>
      </c>
      <c r="B1974" s="19" t="s">
        <v>2402</v>
      </c>
      <c r="C1974" s="19" t="s">
        <v>5514</v>
      </c>
      <c r="D1974" s="19" t="s">
        <v>5515</v>
      </c>
    </row>
    <row r="1975" spans="1:4" ht="15.5" x14ac:dyDescent="0.35">
      <c r="A1975" s="1" t="s">
        <v>394</v>
      </c>
      <c r="B1975" s="19" t="s">
        <v>2399</v>
      </c>
      <c r="C1975" s="19" t="s">
        <v>5516</v>
      </c>
      <c r="D1975" s="19" t="s">
        <v>5517</v>
      </c>
    </row>
    <row r="1976" spans="1:4" ht="15.5" x14ac:dyDescent="0.35">
      <c r="A1976" s="1" t="s">
        <v>393</v>
      </c>
      <c r="B1976" s="19" t="s">
        <v>2399</v>
      </c>
      <c r="C1976" s="19" t="s">
        <v>5518</v>
      </c>
      <c r="D1976" s="19" t="s">
        <v>5519</v>
      </c>
    </row>
    <row r="1977" spans="1:4" ht="15.5" x14ac:dyDescent="0.35">
      <c r="A1977" s="1" t="s">
        <v>392</v>
      </c>
      <c r="B1977" s="19" t="s">
        <v>2399</v>
      </c>
      <c r="C1977" s="19" t="s">
        <v>5520</v>
      </c>
      <c r="D1977" s="19" t="s">
        <v>5521</v>
      </c>
    </row>
    <row r="1978" spans="1:4" ht="15.5" x14ac:dyDescent="0.35">
      <c r="A1978" s="1" t="s">
        <v>391</v>
      </c>
      <c r="B1978" s="19" t="s">
        <v>2399</v>
      </c>
      <c r="C1978" s="19" t="s">
        <v>5522</v>
      </c>
      <c r="D1978" s="19" t="s">
        <v>2511</v>
      </c>
    </row>
    <row r="1979" spans="1:4" ht="15.5" x14ac:dyDescent="0.35">
      <c r="A1979" s="1" t="s">
        <v>390</v>
      </c>
      <c r="B1979" s="19" t="s">
        <v>2399</v>
      </c>
      <c r="C1979" s="19" t="s">
        <v>2813</v>
      </c>
      <c r="D1979" s="19" t="s">
        <v>5523</v>
      </c>
    </row>
    <row r="1980" spans="1:4" ht="15.5" x14ac:dyDescent="0.35">
      <c r="A1980" s="1" t="s">
        <v>389</v>
      </c>
      <c r="B1980" s="19" t="s">
        <v>2399</v>
      </c>
      <c r="C1980" s="19" t="s">
        <v>5524</v>
      </c>
      <c r="D1980" s="19" t="s">
        <v>5525</v>
      </c>
    </row>
    <row r="1981" spans="1:4" ht="15.5" x14ac:dyDescent="0.35">
      <c r="A1981" s="1" t="s">
        <v>388</v>
      </c>
      <c r="B1981" s="19" t="s">
        <v>2399</v>
      </c>
      <c r="C1981" s="19" t="s">
        <v>5526</v>
      </c>
      <c r="D1981" s="19" t="s">
        <v>5527</v>
      </c>
    </row>
    <row r="1982" spans="1:4" ht="15.5" x14ac:dyDescent="0.35">
      <c r="A1982" s="1" t="s">
        <v>387</v>
      </c>
      <c r="B1982" s="19" t="s">
        <v>2399</v>
      </c>
      <c r="C1982" s="19" t="s">
        <v>5528</v>
      </c>
      <c r="D1982" s="19" t="s">
        <v>5529</v>
      </c>
    </row>
    <row r="1983" spans="1:4" ht="15.5" x14ac:dyDescent="0.35">
      <c r="A1983" s="1" t="s">
        <v>386</v>
      </c>
      <c r="B1983" s="19" t="s">
        <v>2399</v>
      </c>
      <c r="C1983" s="19" t="s">
        <v>5530</v>
      </c>
      <c r="D1983" s="19" t="s">
        <v>5531</v>
      </c>
    </row>
    <row r="1984" spans="1:4" ht="15.5" x14ac:dyDescent="0.35">
      <c r="A1984" s="1" t="s">
        <v>385</v>
      </c>
      <c r="B1984" s="19" t="s">
        <v>2399</v>
      </c>
      <c r="C1984" s="19" t="s">
        <v>5532</v>
      </c>
      <c r="D1984" s="19" t="s">
        <v>5533</v>
      </c>
    </row>
    <row r="1985" spans="1:4" ht="15.5" x14ac:dyDescent="0.35">
      <c r="A1985" s="1" t="s">
        <v>384</v>
      </c>
      <c r="B1985" s="19" t="s">
        <v>2402</v>
      </c>
      <c r="C1985" s="19" t="s">
        <v>5534</v>
      </c>
      <c r="D1985" s="19" t="s">
        <v>5535</v>
      </c>
    </row>
    <row r="1986" spans="1:4" ht="15.5" x14ac:dyDescent="0.35">
      <c r="A1986" s="1" t="s">
        <v>383</v>
      </c>
      <c r="B1986" s="19" t="s">
        <v>2402</v>
      </c>
      <c r="C1986" s="19" t="s">
        <v>5536</v>
      </c>
      <c r="D1986" s="19" t="s">
        <v>4141</v>
      </c>
    </row>
    <row r="1987" spans="1:4" ht="15.5" x14ac:dyDescent="0.35">
      <c r="A1987" s="1" t="s">
        <v>382</v>
      </c>
      <c r="B1987" s="19" t="s">
        <v>2402</v>
      </c>
      <c r="C1987" s="19" t="s">
        <v>5537</v>
      </c>
      <c r="D1987" s="19" t="s">
        <v>2439</v>
      </c>
    </row>
    <row r="1988" spans="1:4" ht="15.5" x14ac:dyDescent="0.35">
      <c r="A1988" s="1" t="s">
        <v>381</v>
      </c>
      <c r="B1988" s="19" t="s">
        <v>3277</v>
      </c>
      <c r="C1988" s="19" t="s">
        <v>5538</v>
      </c>
      <c r="D1988" s="19" t="s">
        <v>3031</v>
      </c>
    </row>
    <row r="1989" spans="1:4" ht="15.5" x14ac:dyDescent="0.35">
      <c r="A1989" s="1" t="s">
        <v>380</v>
      </c>
      <c r="B1989" s="19" t="s">
        <v>2402</v>
      </c>
      <c r="C1989" s="19" t="s">
        <v>5539</v>
      </c>
      <c r="D1989" s="19" t="s">
        <v>5540</v>
      </c>
    </row>
    <row r="1990" spans="1:4" ht="15.5" x14ac:dyDescent="0.35">
      <c r="A1990" s="1" t="s">
        <v>379</v>
      </c>
      <c r="B1990" s="19" t="s">
        <v>2399</v>
      </c>
      <c r="C1990" s="19" t="s">
        <v>5541</v>
      </c>
      <c r="D1990" s="19" t="s">
        <v>2561</v>
      </c>
    </row>
    <row r="1991" spans="1:4" ht="15.5" x14ac:dyDescent="0.35">
      <c r="A1991" s="1" t="s">
        <v>378</v>
      </c>
      <c r="B1991" s="19" t="s">
        <v>2402</v>
      </c>
      <c r="C1991" s="19" t="s">
        <v>5542</v>
      </c>
      <c r="D1991" s="19" t="s">
        <v>5543</v>
      </c>
    </row>
    <row r="1992" spans="1:4" ht="15.5" x14ac:dyDescent="0.35">
      <c r="A1992" s="1" t="s">
        <v>377</v>
      </c>
      <c r="B1992" s="19" t="s">
        <v>2402</v>
      </c>
      <c r="C1992" s="19" t="s">
        <v>5544</v>
      </c>
      <c r="D1992" s="19" t="s">
        <v>3574</v>
      </c>
    </row>
    <row r="1993" spans="1:4" ht="15.5" x14ac:dyDescent="0.35">
      <c r="A1993" s="1" t="s">
        <v>376</v>
      </c>
      <c r="B1993" s="19" t="s">
        <v>2402</v>
      </c>
      <c r="C1993" s="19" t="s">
        <v>5545</v>
      </c>
      <c r="D1993" s="19" t="s">
        <v>5546</v>
      </c>
    </row>
    <row r="1994" spans="1:4" ht="15.5" x14ac:dyDescent="0.35">
      <c r="A1994" s="1" t="s">
        <v>375</v>
      </c>
      <c r="B1994" s="19" t="s">
        <v>2402</v>
      </c>
      <c r="C1994" s="19" t="s">
        <v>5547</v>
      </c>
      <c r="D1994" s="19" t="s">
        <v>5548</v>
      </c>
    </row>
    <row r="1995" spans="1:4" ht="15.5" x14ac:dyDescent="0.35">
      <c r="A1995" s="1" t="s">
        <v>374</v>
      </c>
      <c r="B1995" s="19" t="s">
        <v>2399</v>
      </c>
      <c r="C1995" s="19" t="s">
        <v>5549</v>
      </c>
      <c r="D1995" s="19" t="s">
        <v>4901</v>
      </c>
    </row>
    <row r="1996" spans="1:4" ht="15.5" x14ac:dyDescent="0.35">
      <c r="A1996" s="1" t="s">
        <v>373</v>
      </c>
      <c r="B1996" s="19" t="s">
        <v>2399</v>
      </c>
      <c r="C1996" s="19" t="s">
        <v>5550</v>
      </c>
      <c r="D1996" s="19" t="s">
        <v>5551</v>
      </c>
    </row>
    <row r="1997" spans="1:4" ht="15.5" x14ac:dyDescent="0.35">
      <c r="A1997" s="1" t="s">
        <v>372</v>
      </c>
      <c r="B1997" s="19" t="s">
        <v>2399</v>
      </c>
      <c r="C1997" s="19" t="s">
        <v>3104</v>
      </c>
      <c r="D1997" s="19" t="s">
        <v>5552</v>
      </c>
    </row>
    <row r="1998" spans="1:4" ht="15.5" x14ac:dyDescent="0.35">
      <c r="A1998" s="1" t="s">
        <v>371</v>
      </c>
      <c r="B1998" s="19" t="s">
        <v>2399</v>
      </c>
      <c r="C1998" s="19" t="s">
        <v>2584</v>
      </c>
      <c r="D1998" s="19" t="s">
        <v>2878</v>
      </c>
    </row>
    <row r="1999" spans="1:4" ht="15.5" x14ac:dyDescent="0.35">
      <c r="A1999" s="1" t="s">
        <v>370</v>
      </c>
      <c r="B1999" s="19" t="s">
        <v>2399</v>
      </c>
      <c r="C1999" s="19" t="s">
        <v>5553</v>
      </c>
      <c r="D1999" s="19" t="s">
        <v>5554</v>
      </c>
    </row>
    <row r="2000" spans="1:4" ht="15.5" x14ac:dyDescent="0.35">
      <c r="A2000" s="1" t="s">
        <v>369</v>
      </c>
      <c r="B2000" s="19" t="s">
        <v>2399</v>
      </c>
      <c r="C2000" s="19" t="s">
        <v>2948</v>
      </c>
      <c r="D2000" s="19" t="s">
        <v>3236</v>
      </c>
    </row>
    <row r="2001" spans="1:4" ht="15.5" x14ac:dyDescent="0.35">
      <c r="A2001" s="1" t="s">
        <v>368</v>
      </c>
      <c r="B2001" s="19" t="s">
        <v>2399</v>
      </c>
      <c r="C2001" s="19" t="s">
        <v>5555</v>
      </c>
      <c r="D2001" s="19" t="s">
        <v>5556</v>
      </c>
    </row>
    <row r="2002" spans="1:4" ht="15.5" x14ac:dyDescent="0.35">
      <c r="A2002" s="1" t="s">
        <v>367</v>
      </c>
      <c r="B2002" s="19" t="s">
        <v>2402</v>
      </c>
      <c r="C2002" s="19" t="s">
        <v>5557</v>
      </c>
      <c r="D2002" s="19" t="s">
        <v>5558</v>
      </c>
    </row>
    <row r="2003" spans="1:4" ht="15.5" x14ac:dyDescent="0.35">
      <c r="A2003" s="1" t="s">
        <v>366</v>
      </c>
      <c r="B2003" s="19" t="s">
        <v>2399</v>
      </c>
      <c r="C2003" s="19" t="s">
        <v>5559</v>
      </c>
      <c r="D2003" s="19" t="s">
        <v>5560</v>
      </c>
    </row>
    <row r="2004" spans="1:4" ht="15.5" x14ac:dyDescent="0.35">
      <c r="A2004" s="1" t="s">
        <v>365</v>
      </c>
      <c r="B2004" s="19" t="s">
        <v>2399</v>
      </c>
      <c r="C2004" s="19" t="s">
        <v>5561</v>
      </c>
      <c r="D2004" s="19" t="s">
        <v>3286</v>
      </c>
    </row>
    <row r="2005" spans="1:4" ht="15.5" x14ac:dyDescent="0.35">
      <c r="A2005" s="1" t="s">
        <v>364</v>
      </c>
      <c r="B2005" s="19" t="s">
        <v>2399</v>
      </c>
      <c r="C2005" s="19" t="s">
        <v>5562</v>
      </c>
      <c r="D2005" s="19" t="s">
        <v>5563</v>
      </c>
    </row>
    <row r="2006" spans="1:4" ht="15.5" x14ac:dyDescent="0.35">
      <c r="A2006" s="1" t="s">
        <v>363</v>
      </c>
      <c r="B2006" s="19" t="s">
        <v>2399</v>
      </c>
      <c r="C2006" s="19" t="s">
        <v>4552</v>
      </c>
      <c r="D2006" s="19" t="s">
        <v>5564</v>
      </c>
    </row>
    <row r="2007" spans="1:4" ht="15.5" x14ac:dyDescent="0.35">
      <c r="A2007" s="1" t="s">
        <v>362</v>
      </c>
      <c r="B2007" s="19" t="s">
        <v>2399</v>
      </c>
      <c r="C2007" s="19" t="s">
        <v>5565</v>
      </c>
      <c r="D2007" s="19" t="s">
        <v>2526</v>
      </c>
    </row>
    <row r="2008" spans="1:4" ht="15.5" x14ac:dyDescent="0.35">
      <c r="A2008" s="1" t="s">
        <v>361</v>
      </c>
      <c r="B2008" s="19" t="s">
        <v>3277</v>
      </c>
      <c r="C2008" s="19" t="s">
        <v>3149</v>
      </c>
      <c r="D2008" s="19" t="s">
        <v>5566</v>
      </c>
    </row>
    <row r="2009" spans="1:4" ht="15.5" x14ac:dyDescent="0.35">
      <c r="A2009" s="1" t="s">
        <v>360</v>
      </c>
      <c r="B2009" s="19" t="s">
        <v>2399</v>
      </c>
      <c r="C2009" s="19" t="s">
        <v>5567</v>
      </c>
      <c r="D2009" s="19" t="s">
        <v>5568</v>
      </c>
    </row>
    <row r="2010" spans="1:4" ht="15.5" x14ac:dyDescent="0.35">
      <c r="A2010" s="1" t="s">
        <v>359</v>
      </c>
      <c r="B2010" s="19" t="s">
        <v>2402</v>
      </c>
      <c r="C2010" s="19" t="s">
        <v>5569</v>
      </c>
      <c r="D2010" s="19" t="s">
        <v>5570</v>
      </c>
    </row>
    <row r="2011" spans="1:4" ht="15.5" x14ac:dyDescent="0.35">
      <c r="A2011" s="1" t="s">
        <v>358</v>
      </c>
      <c r="B2011" s="19" t="s">
        <v>2402</v>
      </c>
      <c r="C2011" s="19" t="s">
        <v>5571</v>
      </c>
      <c r="D2011" s="19" t="s">
        <v>3112</v>
      </c>
    </row>
    <row r="2012" spans="1:4" ht="15.5" x14ac:dyDescent="0.35">
      <c r="A2012" s="1" t="s">
        <v>357</v>
      </c>
      <c r="B2012" s="19" t="s">
        <v>2402</v>
      </c>
      <c r="C2012" s="19" t="s">
        <v>5572</v>
      </c>
      <c r="D2012" s="19" t="s">
        <v>2933</v>
      </c>
    </row>
    <row r="2013" spans="1:4" ht="15.5" x14ac:dyDescent="0.35">
      <c r="A2013" s="1" t="s">
        <v>355</v>
      </c>
      <c r="B2013" s="19" t="s">
        <v>2402</v>
      </c>
      <c r="C2013" s="19" t="s">
        <v>5573</v>
      </c>
      <c r="D2013" s="19" t="s">
        <v>2792</v>
      </c>
    </row>
    <row r="2014" spans="1:4" ht="15.5" x14ac:dyDescent="0.35">
      <c r="A2014" s="1" t="s">
        <v>354</v>
      </c>
      <c r="B2014" s="19" t="s">
        <v>2399</v>
      </c>
      <c r="C2014" s="19" t="s">
        <v>4145</v>
      </c>
      <c r="D2014" s="19" t="s">
        <v>5574</v>
      </c>
    </row>
    <row r="2015" spans="1:4" ht="15.5" x14ac:dyDescent="0.35">
      <c r="A2015" s="1" t="s">
        <v>353</v>
      </c>
      <c r="B2015" s="19" t="s">
        <v>2402</v>
      </c>
      <c r="C2015" s="19" t="s">
        <v>5575</v>
      </c>
      <c r="D2015" s="19" t="s">
        <v>5576</v>
      </c>
    </row>
    <row r="2016" spans="1:4" ht="15.5" x14ac:dyDescent="0.35">
      <c r="A2016" s="1" t="s">
        <v>352</v>
      </c>
      <c r="B2016" s="19" t="s">
        <v>2399</v>
      </c>
      <c r="C2016" s="19" t="s">
        <v>5577</v>
      </c>
      <c r="D2016" s="19" t="s">
        <v>5578</v>
      </c>
    </row>
    <row r="2017" spans="1:5" ht="15.5" x14ac:dyDescent="0.35">
      <c r="A2017" s="1" t="s">
        <v>351</v>
      </c>
      <c r="B2017" s="19" t="s">
        <v>2402</v>
      </c>
      <c r="C2017" s="19" t="s">
        <v>5579</v>
      </c>
      <c r="D2017" s="19" t="s">
        <v>5479</v>
      </c>
    </row>
    <row r="2018" spans="1:5" ht="15.5" x14ac:dyDescent="0.35">
      <c r="A2018" s="1" t="s">
        <v>350</v>
      </c>
      <c r="B2018" s="19" t="s">
        <v>2399</v>
      </c>
      <c r="C2018" s="19" t="s">
        <v>5580</v>
      </c>
      <c r="D2018" s="19" t="s">
        <v>5581</v>
      </c>
    </row>
    <row r="2019" spans="1:5" ht="15.5" x14ac:dyDescent="0.35">
      <c r="A2019" s="1" t="s">
        <v>349</v>
      </c>
      <c r="B2019" s="19" t="s">
        <v>2399</v>
      </c>
      <c r="C2019" s="19" t="s">
        <v>5582</v>
      </c>
      <c r="D2019" s="19" t="s">
        <v>2526</v>
      </c>
    </row>
    <row r="2020" spans="1:5" ht="15.5" x14ac:dyDescent="0.35">
      <c r="A2020" s="1" t="s">
        <v>348</v>
      </c>
      <c r="B2020" s="19" t="s">
        <v>2399</v>
      </c>
      <c r="C2020" s="19" t="s">
        <v>2520</v>
      </c>
      <c r="D2020" s="19" t="s">
        <v>5583</v>
      </c>
    </row>
    <row r="2021" spans="1:5" ht="15.5" x14ac:dyDescent="0.35">
      <c r="A2021" s="1" t="s">
        <v>347</v>
      </c>
      <c r="B2021" s="19" t="s">
        <v>2402</v>
      </c>
      <c r="C2021" s="19" t="s">
        <v>5584</v>
      </c>
      <c r="D2021" s="19" t="s">
        <v>5585</v>
      </c>
    </row>
    <row r="2022" spans="1:5" ht="15.5" x14ac:dyDescent="0.35">
      <c r="A2022" s="1" t="s">
        <v>346</v>
      </c>
      <c r="B2022" s="19" t="s">
        <v>2402</v>
      </c>
      <c r="C2022" s="19" t="s">
        <v>2828</v>
      </c>
      <c r="D2022" s="19" t="s">
        <v>5265</v>
      </c>
    </row>
    <row r="2023" spans="1:5" ht="15.5" x14ac:dyDescent="0.35">
      <c r="A2023" s="1" t="s">
        <v>345</v>
      </c>
      <c r="B2023" s="19" t="s">
        <v>2399</v>
      </c>
      <c r="C2023" s="19" t="s">
        <v>5586</v>
      </c>
      <c r="D2023" s="19" t="s">
        <v>5587</v>
      </c>
    </row>
    <row r="2024" spans="1:5" ht="15.5" x14ac:dyDescent="0.35">
      <c r="A2024" s="1" t="s">
        <v>344</v>
      </c>
      <c r="B2024" s="19" t="s">
        <v>2402</v>
      </c>
      <c r="C2024" s="19" t="s">
        <v>5588</v>
      </c>
      <c r="D2024" s="19" t="s">
        <v>5589</v>
      </c>
    </row>
    <row r="2025" spans="1:5" ht="15.5" x14ac:dyDescent="0.35">
      <c r="A2025" s="1" t="s">
        <v>343</v>
      </c>
      <c r="B2025" s="19" t="s">
        <v>2399</v>
      </c>
      <c r="C2025" s="19" t="s">
        <v>5590</v>
      </c>
      <c r="D2025" s="19" t="s">
        <v>5591</v>
      </c>
    </row>
    <row r="2026" spans="1:5" ht="15.5" x14ac:dyDescent="0.35">
      <c r="A2026" s="1" t="s">
        <v>342</v>
      </c>
      <c r="B2026" s="19" t="s">
        <v>2399</v>
      </c>
      <c r="C2026" s="19" t="s">
        <v>5592</v>
      </c>
      <c r="D2026" s="19" t="s">
        <v>5593</v>
      </c>
    </row>
    <row r="2027" spans="1:5" ht="15.5" x14ac:dyDescent="0.35">
      <c r="A2027" s="1" t="s">
        <v>341</v>
      </c>
      <c r="B2027" s="19" t="s">
        <v>2402</v>
      </c>
      <c r="C2027" s="19" t="s">
        <v>5594</v>
      </c>
      <c r="D2027" s="19" t="s">
        <v>5595</v>
      </c>
    </row>
    <row r="2028" spans="1:5" ht="15.5" x14ac:dyDescent="0.35">
      <c r="A2028" s="1" t="s">
        <v>340</v>
      </c>
      <c r="B2028" s="19" t="s">
        <v>2399</v>
      </c>
      <c r="C2028" s="19" t="s">
        <v>4966</v>
      </c>
      <c r="D2028" s="19" t="s">
        <v>5596</v>
      </c>
    </row>
    <row r="2029" spans="1:5" ht="15.5" x14ac:dyDescent="0.35">
      <c r="A2029" s="1" t="s">
        <v>339</v>
      </c>
      <c r="B2029" s="19" t="s">
        <v>2402</v>
      </c>
      <c r="C2029" s="19" t="s">
        <v>5597</v>
      </c>
      <c r="D2029" s="19" t="s">
        <v>5598</v>
      </c>
      <c r="E2029" t="s">
        <v>3677</v>
      </c>
    </row>
    <row r="2030" spans="1:5" ht="15.5" x14ac:dyDescent="0.35">
      <c r="A2030" s="1" t="s">
        <v>338</v>
      </c>
      <c r="B2030" s="19" t="s">
        <v>2402</v>
      </c>
      <c r="C2030" s="19" t="s">
        <v>5599</v>
      </c>
      <c r="D2030" s="19" t="s">
        <v>2528</v>
      </c>
    </row>
    <row r="2031" spans="1:5" ht="15.5" x14ac:dyDescent="0.35">
      <c r="A2031" s="1" t="s">
        <v>337</v>
      </c>
      <c r="B2031" s="19" t="s">
        <v>2399</v>
      </c>
      <c r="C2031" s="19" t="s">
        <v>5600</v>
      </c>
      <c r="D2031" s="19" t="s">
        <v>5601</v>
      </c>
    </row>
    <row r="2032" spans="1:5" ht="15.5" x14ac:dyDescent="0.35">
      <c r="A2032" s="1" t="s">
        <v>336</v>
      </c>
      <c r="B2032" s="19" t="s">
        <v>2399</v>
      </c>
      <c r="C2032" s="19" t="s">
        <v>5602</v>
      </c>
      <c r="D2032" s="19" t="s">
        <v>5603</v>
      </c>
    </row>
    <row r="2033" spans="1:4" ht="15.5" x14ac:dyDescent="0.35">
      <c r="A2033" s="1" t="s">
        <v>335</v>
      </c>
      <c r="B2033" s="19" t="s">
        <v>2402</v>
      </c>
      <c r="C2033" s="19" t="s">
        <v>3672</v>
      </c>
      <c r="D2033" s="19" t="s">
        <v>5604</v>
      </c>
    </row>
    <row r="2034" spans="1:4" ht="15.5" x14ac:dyDescent="0.35">
      <c r="A2034" s="1" t="s">
        <v>334</v>
      </c>
      <c r="B2034" s="19" t="s">
        <v>2402</v>
      </c>
      <c r="C2034" s="19" t="s">
        <v>5605</v>
      </c>
      <c r="D2034" s="19" t="s">
        <v>5606</v>
      </c>
    </row>
    <row r="2035" spans="1:4" ht="15.5" x14ac:dyDescent="0.35">
      <c r="A2035" s="1" t="s">
        <v>333</v>
      </c>
      <c r="B2035" s="19" t="s">
        <v>2402</v>
      </c>
      <c r="C2035" s="19" t="s">
        <v>5607</v>
      </c>
      <c r="D2035" s="19" t="s">
        <v>4093</v>
      </c>
    </row>
    <row r="2036" spans="1:4" ht="15.5" x14ac:dyDescent="0.35">
      <c r="A2036" s="1" t="s">
        <v>332</v>
      </c>
      <c r="B2036" s="19" t="s">
        <v>2399</v>
      </c>
      <c r="C2036" s="19" t="s">
        <v>5608</v>
      </c>
      <c r="D2036" s="19" t="s">
        <v>5609</v>
      </c>
    </row>
    <row r="2037" spans="1:4" ht="15.5" x14ac:dyDescent="0.35">
      <c r="A2037" s="1" t="s">
        <v>331</v>
      </c>
      <c r="B2037" s="19" t="s">
        <v>2399</v>
      </c>
      <c r="C2037" s="19" t="s">
        <v>5610</v>
      </c>
      <c r="D2037" s="19" t="s">
        <v>5611</v>
      </c>
    </row>
    <row r="2038" spans="1:4" ht="15.5" x14ac:dyDescent="0.35">
      <c r="A2038" s="1" t="s">
        <v>330</v>
      </c>
      <c r="B2038" s="19" t="s">
        <v>2399</v>
      </c>
      <c r="C2038" s="19" t="s">
        <v>5612</v>
      </c>
      <c r="D2038" s="19" t="s">
        <v>3741</v>
      </c>
    </row>
    <row r="2039" spans="1:4" ht="15.5" x14ac:dyDescent="0.35">
      <c r="A2039" s="1" t="s">
        <v>329</v>
      </c>
      <c r="B2039" s="19" t="s">
        <v>2399</v>
      </c>
      <c r="C2039" s="19" t="s">
        <v>5613</v>
      </c>
      <c r="D2039" s="19" t="s">
        <v>2867</v>
      </c>
    </row>
    <row r="2040" spans="1:4" ht="15.5" x14ac:dyDescent="0.35">
      <c r="A2040" s="1" t="s">
        <v>328</v>
      </c>
      <c r="B2040" s="19" t="s">
        <v>2402</v>
      </c>
      <c r="C2040" s="19" t="s">
        <v>2525</v>
      </c>
      <c r="D2040" s="19" t="s">
        <v>5265</v>
      </c>
    </row>
    <row r="2041" spans="1:4" ht="15.5" x14ac:dyDescent="0.35">
      <c r="A2041" s="1" t="s">
        <v>327</v>
      </c>
      <c r="B2041" s="19" t="s">
        <v>2399</v>
      </c>
      <c r="C2041" s="19" t="s">
        <v>5614</v>
      </c>
      <c r="D2041" s="19" t="s">
        <v>5615</v>
      </c>
    </row>
    <row r="2042" spans="1:4" ht="15.5" x14ac:dyDescent="0.35">
      <c r="A2042" s="1" t="s">
        <v>326</v>
      </c>
      <c r="B2042" s="19" t="s">
        <v>2402</v>
      </c>
      <c r="C2042" s="19" t="s">
        <v>3957</v>
      </c>
      <c r="D2042" s="19" t="s">
        <v>3976</v>
      </c>
    </row>
    <row r="2043" spans="1:4" ht="15.5" x14ac:dyDescent="0.35">
      <c r="A2043" s="1" t="s">
        <v>325</v>
      </c>
      <c r="B2043" s="19" t="s">
        <v>2402</v>
      </c>
      <c r="C2043" s="19" t="s">
        <v>5616</v>
      </c>
      <c r="D2043" s="19" t="s">
        <v>5617</v>
      </c>
    </row>
    <row r="2044" spans="1:4" ht="15.5" x14ac:dyDescent="0.35">
      <c r="A2044" s="1" t="s">
        <v>324</v>
      </c>
      <c r="B2044" s="19" t="s">
        <v>2402</v>
      </c>
      <c r="C2044" s="19" t="s">
        <v>5618</v>
      </c>
      <c r="D2044" s="19" t="s">
        <v>5619</v>
      </c>
    </row>
    <row r="2045" spans="1:4" ht="15.5" x14ac:dyDescent="0.35">
      <c r="A2045" s="1" t="s">
        <v>323</v>
      </c>
      <c r="B2045" s="19" t="s">
        <v>2399</v>
      </c>
      <c r="C2045" s="19" t="s">
        <v>5620</v>
      </c>
      <c r="D2045" s="19" t="s">
        <v>5621</v>
      </c>
    </row>
    <row r="2046" spans="1:4" ht="15.5" x14ac:dyDescent="0.35">
      <c r="A2046" s="1" t="s">
        <v>322</v>
      </c>
      <c r="B2046" s="19" t="s">
        <v>2399</v>
      </c>
      <c r="C2046" s="19" t="s">
        <v>5622</v>
      </c>
      <c r="D2046" s="19" t="s">
        <v>5623</v>
      </c>
    </row>
    <row r="2047" spans="1:4" ht="15.5" x14ac:dyDescent="0.35">
      <c r="A2047" s="1" t="s">
        <v>321</v>
      </c>
      <c r="B2047" s="19" t="s">
        <v>2399</v>
      </c>
      <c r="C2047" s="19" t="s">
        <v>5624</v>
      </c>
      <c r="D2047" s="19" t="s">
        <v>5625</v>
      </c>
    </row>
    <row r="2048" spans="1:4" ht="15.5" x14ac:dyDescent="0.35">
      <c r="A2048" s="1" t="s">
        <v>320</v>
      </c>
      <c r="B2048" s="19" t="s">
        <v>2399</v>
      </c>
      <c r="C2048" s="19" t="s">
        <v>2533</v>
      </c>
      <c r="D2048" s="19" t="s">
        <v>2555</v>
      </c>
    </row>
    <row r="2049" spans="1:4" ht="15.5" x14ac:dyDescent="0.35">
      <c r="A2049" s="1" t="s">
        <v>319</v>
      </c>
      <c r="B2049" s="19" t="s">
        <v>2399</v>
      </c>
      <c r="C2049" s="19" t="s">
        <v>5626</v>
      </c>
      <c r="D2049" s="19" t="s">
        <v>5627</v>
      </c>
    </row>
    <row r="2050" spans="1:4" ht="15.5" x14ac:dyDescent="0.35">
      <c r="A2050" s="1" t="s">
        <v>318</v>
      </c>
      <c r="B2050" s="19" t="s">
        <v>2402</v>
      </c>
      <c r="C2050" s="19" t="s">
        <v>4291</v>
      </c>
      <c r="D2050" s="19" t="s">
        <v>5628</v>
      </c>
    </row>
    <row r="2051" spans="1:4" ht="15.5" x14ac:dyDescent="0.35">
      <c r="A2051" s="1" t="s">
        <v>317</v>
      </c>
      <c r="B2051" s="19" t="s">
        <v>2402</v>
      </c>
      <c r="C2051" s="19" t="s">
        <v>4849</v>
      </c>
      <c r="D2051" s="19" t="s">
        <v>3414</v>
      </c>
    </row>
    <row r="2052" spans="1:4" ht="15.5" x14ac:dyDescent="0.35">
      <c r="A2052" s="1" t="s">
        <v>316</v>
      </c>
      <c r="B2052" s="19" t="s">
        <v>2402</v>
      </c>
      <c r="C2052" s="19" t="s">
        <v>5629</v>
      </c>
      <c r="D2052" s="19" t="s">
        <v>5630</v>
      </c>
    </row>
    <row r="2053" spans="1:4" ht="15.5" x14ac:dyDescent="0.35">
      <c r="A2053" s="1" t="s">
        <v>315</v>
      </c>
      <c r="B2053" s="19" t="s">
        <v>2399</v>
      </c>
      <c r="C2053" s="19" t="s">
        <v>3589</v>
      </c>
      <c r="D2053" s="19" t="s">
        <v>5631</v>
      </c>
    </row>
    <row r="2054" spans="1:4" ht="15.5" x14ac:dyDescent="0.35">
      <c r="A2054" s="1" t="s">
        <v>314</v>
      </c>
      <c r="B2054" s="19" t="s">
        <v>2399</v>
      </c>
      <c r="C2054" s="19" t="s">
        <v>5632</v>
      </c>
      <c r="D2054" s="19" t="s">
        <v>5633</v>
      </c>
    </row>
    <row r="2055" spans="1:4" ht="15.5" x14ac:dyDescent="0.35">
      <c r="A2055" s="1" t="s">
        <v>313</v>
      </c>
      <c r="B2055" s="19" t="s">
        <v>2399</v>
      </c>
      <c r="C2055" s="19" t="s">
        <v>5634</v>
      </c>
      <c r="D2055" s="19" t="s">
        <v>2744</v>
      </c>
    </row>
    <row r="2056" spans="1:4" ht="15.5" x14ac:dyDescent="0.35">
      <c r="A2056" s="1" t="s">
        <v>312</v>
      </c>
      <c r="B2056" s="19" t="s">
        <v>2399</v>
      </c>
      <c r="C2056" s="19" t="s">
        <v>3282</v>
      </c>
      <c r="D2056" s="19" t="s">
        <v>5635</v>
      </c>
    </row>
    <row r="2057" spans="1:4" ht="15.5" x14ac:dyDescent="0.35">
      <c r="A2057" s="1" t="s">
        <v>311</v>
      </c>
      <c r="B2057" s="19" t="s">
        <v>2402</v>
      </c>
      <c r="C2057" s="19" t="s">
        <v>5636</v>
      </c>
      <c r="D2057" s="19" t="s">
        <v>5637</v>
      </c>
    </row>
    <row r="2058" spans="1:4" ht="15.5" x14ac:dyDescent="0.35">
      <c r="A2058" s="1" t="s">
        <v>310</v>
      </c>
      <c r="B2058" s="19" t="s">
        <v>2399</v>
      </c>
      <c r="C2058" s="19" t="s">
        <v>5638</v>
      </c>
      <c r="D2058" s="19" t="s">
        <v>5639</v>
      </c>
    </row>
    <row r="2059" spans="1:4" ht="15.5" x14ac:dyDescent="0.35">
      <c r="A2059" s="1" t="s">
        <v>309</v>
      </c>
      <c r="B2059" s="19" t="s">
        <v>2402</v>
      </c>
      <c r="C2059" s="19" t="s">
        <v>5640</v>
      </c>
      <c r="D2059" s="19" t="s">
        <v>3378</v>
      </c>
    </row>
    <row r="2060" spans="1:4" ht="15.5" x14ac:dyDescent="0.35">
      <c r="A2060" s="1" t="s">
        <v>308</v>
      </c>
      <c r="B2060" s="19" t="s">
        <v>2399</v>
      </c>
      <c r="C2060" s="19" t="s">
        <v>5641</v>
      </c>
      <c r="D2060" s="19" t="s">
        <v>5642</v>
      </c>
    </row>
    <row r="2061" spans="1:4" ht="15.5" x14ac:dyDescent="0.35">
      <c r="A2061" s="1" t="s">
        <v>307</v>
      </c>
      <c r="B2061" s="19" t="s">
        <v>2402</v>
      </c>
      <c r="C2061" s="19" t="s">
        <v>5643</v>
      </c>
      <c r="D2061" s="19" t="s">
        <v>3970</v>
      </c>
    </row>
    <row r="2062" spans="1:4" ht="15.5" x14ac:dyDescent="0.35">
      <c r="A2062" s="1" t="s">
        <v>306</v>
      </c>
      <c r="B2062" s="19" t="s">
        <v>2402</v>
      </c>
      <c r="C2062" s="19" t="s">
        <v>5644</v>
      </c>
      <c r="D2062" s="19" t="s">
        <v>5645</v>
      </c>
    </row>
    <row r="2063" spans="1:4" ht="15.5" x14ac:dyDescent="0.35">
      <c r="A2063" s="1" t="s">
        <v>305</v>
      </c>
      <c r="B2063" s="19" t="s">
        <v>2402</v>
      </c>
      <c r="C2063" s="19" t="s">
        <v>5646</v>
      </c>
      <c r="D2063" s="19" t="s">
        <v>5647</v>
      </c>
    </row>
    <row r="2064" spans="1:4" ht="15.5" x14ac:dyDescent="0.35">
      <c r="A2064" s="1" t="s">
        <v>304</v>
      </c>
      <c r="B2064" s="19" t="s">
        <v>2399</v>
      </c>
      <c r="C2064" s="19" t="s">
        <v>4652</v>
      </c>
      <c r="D2064" s="19" t="s">
        <v>5648</v>
      </c>
    </row>
    <row r="2065" spans="1:4" ht="15.5" x14ac:dyDescent="0.35">
      <c r="A2065" s="1" t="s">
        <v>303</v>
      </c>
      <c r="B2065" s="19" t="s">
        <v>2399</v>
      </c>
      <c r="C2065" s="19" t="s">
        <v>3342</v>
      </c>
      <c r="D2065" s="19" t="s">
        <v>2867</v>
      </c>
    </row>
    <row r="2066" spans="1:4" ht="15.5" x14ac:dyDescent="0.35">
      <c r="A2066" s="1" t="s">
        <v>302</v>
      </c>
      <c r="B2066" s="19" t="s">
        <v>2399</v>
      </c>
      <c r="C2066" s="19" t="s">
        <v>5649</v>
      </c>
      <c r="D2066" s="19" t="s">
        <v>5650</v>
      </c>
    </row>
    <row r="2067" spans="1:4" ht="15.5" x14ac:dyDescent="0.35">
      <c r="A2067" s="1" t="s">
        <v>301</v>
      </c>
      <c r="B2067" s="19" t="s">
        <v>2399</v>
      </c>
      <c r="C2067" s="19" t="s">
        <v>3957</v>
      </c>
      <c r="D2067" s="19" t="s">
        <v>5651</v>
      </c>
    </row>
    <row r="2068" spans="1:4" ht="15.5" x14ac:dyDescent="0.35">
      <c r="A2068" s="1" t="s">
        <v>299</v>
      </c>
      <c r="B2068" s="19" t="s">
        <v>2402</v>
      </c>
      <c r="C2068" s="19" t="s">
        <v>5652</v>
      </c>
      <c r="D2068" s="19" t="s">
        <v>4909</v>
      </c>
    </row>
    <row r="2069" spans="1:4" ht="15.5" x14ac:dyDescent="0.35">
      <c r="A2069" s="1" t="s">
        <v>298</v>
      </c>
      <c r="B2069" s="19" t="s">
        <v>2402</v>
      </c>
      <c r="C2069" s="19" t="s">
        <v>5653</v>
      </c>
      <c r="D2069" s="19" t="s">
        <v>5654</v>
      </c>
    </row>
    <row r="2070" spans="1:4" ht="15.5" x14ac:dyDescent="0.35">
      <c r="A2070" s="1" t="s">
        <v>297</v>
      </c>
      <c r="B2070" s="19" t="s">
        <v>2402</v>
      </c>
      <c r="C2070" s="19" t="s">
        <v>5655</v>
      </c>
      <c r="D2070" s="19" t="s">
        <v>5656</v>
      </c>
    </row>
    <row r="2071" spans="1:4" ht="15.5" x14ac:dyDescent="0.35">
      <c r="A2071" s="1" t="s">
        <v>296</v>
      </c>
      <c r="B2071" s="19" t="s">
        <v>2399</v>
      </c>
      <c r="C2071" s="19" t="s">
        <v>5657</v>
      </c>
      <c r="D2071" s="19" t="s">
        <v>2763</v>
      </c>
    </row>
    <row r="2072" spans="1:4" ht="15.5" x14ac:dyDescent="0.35">
      <c r="A2072" s="1" t="s">
        <v>295</v>
      </c>
      <c r="B2072" s="19" t="s">
        <v>2402</v>
      </c>
      <c r="C2072" s="19" t="s">
        <v>2783</v>
      </c>
      <c r="D2072" s="19" t="s">
        <v>2821</v>
      </c>
    </row>
    <row r="2073" spans="1:4" ht="15.5" x14ac:dyDescent="0.35">
      <c r="A2073" s="1" t="s">
        <v>294</v>
      </c>
      <c r="B2073" s="19" t="s">
        <v>2399</v>
      </c>
      <c r="C2073" s="19" t="s">
        <v>5658</v>
      </c>
      <c r="D2073" s="19" t="s">
        <v>5659</v>
      </c>
    </row>
    <row r="2074" spans="1:4" ht="15.5" x14ac:dyDescent="0.35">
      <c r="A2074" s="1" t="s">
        <v>293</v>
      </c>
      <c r="B2074" s="19" t="s">
        <v>2402</v>
      </c>
      <c r="C2074" s="19" t="s">
        <v>5660</v>
      </c>
      <c r="D2074" s="19" t="s">
        <v>5661</v>
      </c>
    </row>
    <row r="2075" spans="1:4" ht="15.5" x14ac:dyDescent="0.35">
      <c r="A2075" s="1" t="s">
        <v>292</v>
      </c>
      <c r="B2075" s="19" t="s">
        <v>2399</v>
      </c>
      <c r="C2075" s="19" t="s">
        <v>5662</v>
      </c>
      <c r="D2075" s="19" t="s">
        <v>5663</v>
      </c>
    </row>
    <row r="2076" spans="1:4" ht="15.5" x14ac:dyDescent="0.35">
      <c r="A2076" s="1" t="s">
        <v>291</v>
      </c>
      <c r="B2076" s="19" t="s">
        <v>2399</v>
      </c>
      <c r="C2076" s="19" t="s">
        <v>5464</v>
      </c>
      <c r="D2076" s="19" t="s">
        <v>5664</v>
      </c>
    </row>
    <row r="2077" spans="1:4" ht="15.5" x14ac:dyDescent="0.35">
      <c r="A2077" s="1" t="s">
        <v>290</v>
      </c>
      <c r="B2077" s="19" t="s">
        <v>2402</v>
      </c>
      <c r="C2077" s="19" t="s">
        <v>5665</v>
      </c>
      <c r="D2077" s="19" t="s">
        <v>5182</v>
      </c>
    </row>
    <row r="2078" spans="1:4" ht="15.5" x14ac:dyDescent="0.35">
      <c r="A2078" s="1" t="s">
        <v>289</v>
      </c>
      <c r="B2078" s="19" t="s">
        <v>2402</v>
      </c>
      <c r="C2078" s="19" t="s">
        <v>5666</v>
      </c>
      <c r="D2078" s="19" t="s">
        <v>2581</v>
      </c>
    </row>
    <row r="2079" spans="1:4" ht="15.5" x14ac:dyDescent="0.35">
      <c r="A2079" s="1" t="s">
        <v>288</v>
      </c>
      <c r="B2079" s="19" t="s">
        <v>2402</v>
      </c>
      <c r="C2079" s="19" t="s">
        <v>5667</v>
      </c>
      <c r="D2079" s="19" t="s">
        <v>3541</v>
      </c>
    </row>
    <row r="2080" spans="1:4" ht="15.5" x14ac:dyDescent="0.35">
      <c r="A2080" s="1" t="s">
        <v>287</v>
      </c>
      <c r="B2080" s="19" t="s">
        <v>2402</v>
      </c>
      <c r="C2080" s="19" t="s">
        <v>5668</v>
      </c>
      <c r="D2080" s="19" t="s">
        <v>3378</v>
      </c>
    </row>
    <row r="2081" spans="1:4" ht="15.5" x14ac:dyDescent="0.35">
      <c r="A2081" s="1" t="s">
        <v>286</v>
      </c>
      <c r="B2081" s="19" t="s">
        <v>2399</v>
      </c>
      <c r="C2081" s="19" t="s">
        <v>3888</v>
      </c>
      <c r="D2081" s="19" t="s">
        <v>5669</v>
      </c>
    </row>
    <row r="2082" spans="1:4" ht="15.5" x14ac:dyDescent="0.35">
      <c r="A2082" s="1" t="s">
        <v>285</v>
      </c>
      <c r="B2082" s="19" t="s">
        <v>2399</v>
      </c>
      <c r="C2082" s="19" t="s">
        <v>5670</v>
      </c>
      <c r="D2082" s="19" t="s">
        <v>4394</v>
      </c>
    </row>
    <row r="2083" spans="1:4" ht="15.5" x14ac:dyDescent="0.35">
      <c r="A2083" s="1" t="s">
        <v>284</v>
      </c>
      <c r="B2083" s="19" t="s">
        <v>2399</v>
      </c>
      <c r="C2083" s="19" t="s">
        <v>5671</v>
      </c>
      <c r="D2083" s="19" t="s">
        <v>4242</v>
      </c>
    </row>
    <row r="2084" spans="1:4" ht="15.5" x14ac:dyDescent="0.35">
      <c r="A2084" s="1" t="s">
        <v>283</v>
      </c>
      <c r="B2084" s="19" t="s">
        <v>2399</v>
      </c>
      <c r="C2084" s="19" t="s">
        <v>5672</v>
      </c>
      <c r="D2084" s="19" t="s">
        <v>5673</v>
      </c>
    </row>
    <row r="2085" spans="1:4" ht="15.5" x14ac:dyDescent="0.35">
      <c r="A2085" s="1" t="s">
        <v>282</v>
      </c>
      <c r="B2085" s="19" t="s">
        <v>2399</v>
      </c>
      <c r="C2085" s="19" t="s">
        <v>5674</v>
      </c>
      <c r="D2085" s="19" t="s">
        <v>5675</v>
      </c>
    </row>
    <row r="2086" spans="1:4" ht="15.5" x14ac:dyDescent="0.35">
      <c r="A2086" s="1" t="s">
        <v>281</v>
      </c>
      <c r="B2086" s="19" t="s">
        <v>2399</v>
      </c>
      <c r="C2086" s="19" t="s">
        <v>5676</v>
      </c>
      <c r="D2086" s="19" t="s">
        <v>5677</v>
      </c>
    </row>
    <row r="2087" spans="1:4" ht="15.5" x14ac:dyDescent="0.35">
      <c r="A2087" s="1" t="s">
        <v>280</v>
      </c>
      <c r="B2087" s="19" t="s">
        <v>2402</v>
      </c>
      <c r="C2087" s="19" t="s">
        <v>5678</v>
      </c>
      <c r="D2087" s="19" t="s">
        <v>5679</v>
      </c>
    </row>
    <row r="2088" spans="1:4" ht="15.5" x14ac:dyDescent="0.35">
      <c r="A2088" s="1" t="s">
        <v>279</v>
      </c>
      <c r="B2088" s="19" t="s">
        <v>2402</v>
      </c>
      <c r="C2088" s="19" t="s">
        <v>2783</v>
      </c>
      <c r="D2088" s="19" t="s">
        <v>2831</v>
      </c>
    </row>
    <row r="2089" spans="1:4" ht="15.5" x14ac:dyDescent="0.35">
      <c r="A2089" s="1" t="s">
        <v>278</v>
      </c>
      <c r="B2089" s="19" t="s">
        <v>2399</v>
      </c>
      <c r="C2089" s="19" t="s">
        <v>5680</v>
      </c>
      <c r="D2089" s="19" t="s">
        <v>5681</v>
      </c>
    </row>
    <row r="2090" spans="1:4" ht="15.5" x14ac:dyDescent="0.35">
      <c r="A2090" s="1" t="s">
        <v>277</v>
      </c>
      <c r="B2090" s="19" t="s">
        <v>2402</v>
      </c>
      <c r="C2090" s="19" t="s">
        <v>5682</v>
      </c>
      <c r="D2090" s="19" t="s">
        <v>5447</v>
      </c>
    </row>
    <row r="2091" spans="1:4" ht="15.5" x14ac:dyDescent="0.35">
      <c r="A2091" s="1" t="s">
        <v>275</v>
      </c>
      <c r="B2091" s="19" t="s">
        <v>2402</v>
      </c>
      <c r="C2091" s="19" t="s">
        <v>5683</v>
      </c>
      <c r="D2091" s="19" t="s">
        <v>5684</v>
      </c>
    </row>
    <row r="2092" spans="1:4" ht="15.5" x14ac:dyDescent="0.35">
      <c r="A2092" s="1" t="s">
        <v>274</v>
      </c>
      <c r="B2092" s="19" t="s">
        <v>2402</v>
      </c>
      <c r="C2092" s="19" t="s">
        <v>5685</v>
      </c>
      <c r="D2092" s="19" t="s">
        <v>5686</v>
      </c>
    </row>
    <row r="2093" spans="1:4" ht="15.5" x14ac:dyDescent="0.35">
      <c r="A2093" s="1" t="s">
        <v>273</v>
      </c>
      <c r="B2093" s="19" t="s">
        <v>2402</v>
      </c>
      <c r="C2093" s="19" t="s">
        <v>5687</v>
      </c>
      <c r="D2093" s="19" t="s">
        <v>2674</v>
      </c>
    </row>
    <row r="2094" spans="1:4" ht="15.5" x14ac:dyDescent="0.35">
      <c r="A2094" s="1" t="s">
        <v>272</v>
      </c>
      <c r="B2094" s="19" t="s">
        <v>2402</v>
      </c>
      <c r="C2094" s="19" t="s">
        <v>5688</v>
      </c>
      <c r="D2094" s="19" t="s">
        <v>2604</v>
      </c>
    </row>
    <row r="2095" spans="1:4" ht="15.5" x14ac:dyDescent="0.35">
      <c r="A2095" s="1" t="s">
        <v>271</v>
      </c>
      <c r="B2095" s="19" t="s">
        <v>2399</v>
      </c>
      <c r="C2095" s="19" t="s">
        <v>5689</v>
      </c>
      <c r="D2095" s="19" t="s">
        <v>3221</v>
      </c>
    </row>
    <row r="2096" spans="1:4" ht="15.5" x14ac:dyDescent="0.35">
      <c r="A2096" s="1" t="s">
        <v>270</v>
      </c>
      <c r="B2096" s="19" t="s">
        <v>2402</v>
      </c>
      <c r="C2096" s="19" t="s">
        <v>5690</v>
      </c>
      <c r="D2096" s="19" t="s">
        <v>5691</v>
      </c>
    </row>
    <row r="2097" spans="1:4" ht="15.5" x14ac:dyDescent="0.35">
      <c r="A2097" s="1" t="s">
        <v>269</v>
      </c>
      <c r="B2097" s="19" t="s">
        <v>2402</v>
      </c>
      <c r="C2097" s="19" t="s">
        <v>5692</v>
      </c>
      <c r="D2097" s="19" t="s">
        <v>3667</v>
      </c>
    </row>
    <row r="2098" spans="1:4" ht="15.5" x14ac:dyDescent="0.35">
      <c r="A2098" s="1" t="s">
        <v>268</v>
      </c>
      <c r="B2098" s="19" t="s">
        <v>2402</v>
      </c>
      <c r="C2098" s="19" t="s">
        <v>5693</v>
      </c>
      <c r="D2098" s="19" t="s">
        <v>5694</v>
      </c>
    </row>
    <row r="2099" spans="1:4" ht="15.5" x14ac:dyDescent="0.35">
      <c r="A2099" s="1" t="s">
        <v>267</v>
      </c>
      <c r="B2099" s="19" t="s">
        <v>2399</v>
      </c>
      <c r="C2099" s="19" t="s">
        <v>5695</v>
      </c>
      <c r="D2099" s="19" t="s">
        <v>3914</v>
      </c>
    </row>
    <row r="2100" spans="1:4" ht="15.5" x14ac:dyDescent="0.35">
      <c r="A2100" s="1" t="s">
        <v>266</v>
      </c>
      <c r="B2100" s="19" t="s">
        <v>2402</v>
      </c>
      <c r="C2100" s="19" t="s">
        <v>5696</v>
      </c>
      <c r="D2100" s="19" t="s">
        <v>2700</v>
      </c>
    </row>
    <row r="2101" spans="1:4" ht="15.5" x14ac:dyDescent="0.35">
      <c r="A2101" s="1" t="s">
        <v>265</v>
      </c>
      <c r="B2101" s="19" t="s">
        <v>2399</v>
      </c>
      <c r="C2101" s="19" t="s">
        <v>5697</v>
      </c>
      <c r="D2101" s="19" t="s">
        <v>5698</v>
      </c>
    </row>
    <row r="2102" spans="1:4" ht="15.5" x14ac:dyDescent="0.35">
      <c r="A2102" s="1" t="s">
        <v>264</v>
      </c>
      <c r="B2102" s="19" t="s">
        <v>2399</v>
      </c>
      <c r="C2102" s="19" t="s">
        <v>5699</v>
      </c>
      <c r="D2102" s="19" t="s">
        <v>5700</v>
      </c>
    </row>
    <row r="2103" spans="1:4" ht="15.5" x14ac:dyDescent="0.35">
      <c r="A2103" s="1" t="s">
        <v>263</v>
      </c>
      <c r="B2103" s="19" t="s">
        <v>2402</v>
      </c>
      <c r="C2103" s="19" t="s">
        <v>5075</v>
      </c>
      <c r="D2103" s="19" t="s">
        <v>3483</v>
      </c>
    </row>
    <row r="2104" spans="1:4" ht="15.5" x14ac:dyDescent="0.35">
      <c r="A2104" s="1" t="s">
        <v>262</v>
      </c>
      <c r="B2104" s="19" t="s">
        <v>2402</v>
      </c>
      <c r="C2104" s="19" t="s">
        <v>5701</v>
      </c>
      <c r="D2104" s="19" t="s">
        <v>5702</v>
      </c>
    </row>
    <row r="2105" spans="1:4" ht="15.5" x14ac:dyDescent="0.35">
      <c r="A2105" s="1" t="s">
        <v>261</v>
      </c>
      <c r="B2105" s="19" t="s">
        <v>2402</v>
      </c>
      <c r="C2105" s="19" t="s">
        <v>2416</v>
      </c>
      <c r="D2105" s="19" t="s">
        <v>3062</v>
      </c>
    </row>
    <row r="2106" spans="1:4" ht="15.5" x14ac:dyDescent="0.35">
      <c r="A2106" s="1" t="s">
        <v>260</v>
      </c>
      <c r="B2106" s="19" t="s">
        <v>2399</v>
      </c>
      <c r="C2106" s="19" t="s">
        <v>5703</v>
      </c>
      <c r="D2106" s="19" t="s">
        <v>5704</v>
      </c>
    </row>
    <row r="2107" spans="1:4" ht="15.5" x14ac:dyDescent="0.35">
      <c r="A2107" s="1" t="s">
        <v>259</v>
      </c>
      <c r="B2107" s="19" t="s">
        <v>2399</v>
      </c>
      <c r="C2107" s="19" t="s">
        <v>5705</v>
      </c>
      <c r="D2107" s="19" t="s">
        <v>5706</v>
      </c>
    </row>
    <row r="2108" spans="1:4" ht="15.5" x14ac:dyDescent="0.35">
      <c r="A2108" s="1" t="s">
        <v>258</v>
      </c>
      <c r="B2108" s="19" t="s">
        <v>2399</v>
      </c>
      <c r="C2108" s="19" t="s">
        <v>5707</v>
      </c>
      <c r="D2108" s="19" t="s">
        <v>5708</v>
      </c>
    </row>
    <row r="2109" spans="1:4" ht="15.5" x14ac:dyDescent="0.35">
      <c r="A2109" s="1" t="s">
        <v>257</v>
      </c>
      <c r="B2109" s="19" t="s">
        <v>2399</v>
      </c>
      <c r="C2109" s="19" t="s">
        <v>5709</v>
      </c>
      <c r="D2109" s="19" t="s">
        <v>5710</v>
      </c>
    </row>
    <row r="2110" spans="1:4" ht="15.5" x14ac:dyDescent="0.35">
      <c r="A2110" s="1" t="s">
        <v>256</v>
      </c>
      <c r="B2110" s="19" t="s">
        <v>2399</v>
      </c>
      <c r="C2110" s="19" t="s">
        <v>3249</v>
      </c>
      <c r="D2110" s="19" t="s">
        <v>5711</v>
      </c>
    </row>
    <row r="2111" spans="1:4" ht="15.5" x14ac:dyDescent="0.35">
      <c r="A2111" s="1" t="s">
        <v>255</v>
      </c>
      <c r="B2111" s="19" t="s">
        <v>2399</v>
      </c>
      <c r="C2111" s="19" t="s">
        <v>5712</v>
      </c>
      <c r="D2111" s="19" t="s">
        <v>5713</v>
      </c>
    </row>
    <row r="2112" spans="1:4" ht="15.5" x14ac:dyDescent="0.35">
      <c r="A2112" s="1" t="s">
        <v>254</v>
      </c>
      <c r="B2112" s="19" t="s">
        <v>2399</v>
      </c>
      <c r="C2112" s="19" t="s">
        <v>5714</v>
      </c>
      <c r="D2112" s="19" t="s">
        <v>5715</v>
      </c>
    </row>
    <row r="2113" spans="1:4" ht="15.5" x14ac:dyDescent="0.35">
      <c r="A2113" s="1" t="s">
        <v>253</v>
      </c>
      <c r="B2113" s="19" t="s">
        <v>2399</v>
      </c>
      <c r="C2113" s="19" t="s">
        <v>5716</v>
      </c>
      <c r="D2113" s="19" t="s">
        <v>5717</v>
      </c>
    </row>
    <row r="2114" spans="1:4" ht="15.5" x14ac:dyDescent="0.35">
      <c r="A2114" s="1" t="s">
        <v>252</v>
      </c>
      <c r="B2114" s="19" t="s">
        <v>2399</v>
      </c>
      <c r="C2114" s="19" t="s">
        <v>5718</v>
      </c>
      <c r="D2114" s="19" t="s">
        <v>3868</v>
      </c>
    </row>
    <row r="2115" spans="1:4" ht="15.5" x14ac:dyDescent="0.35">
      <c r="A2115" s="1" t="s">
        <v>251</v>
      </c>
      <c r="B2115" s="19" t="s">
        <v>2399</v>
      </c>
      <c r="C2115" s="19" t="s">
        <v>5719</v>
      </c>
      <c r="D2115" s="19" t="s">
        <v>3036</v>
      </c>
    </row>
    <row r="2116" spans="1:4" ht="15.5" x14ac:dyDescent="0.35">
      <c r="A2116" s="1" t="s">
        <v>250</v>
      </c>
      <c r="B2116" s="19" t="s">
        <v>2399</v>
      </c>
      <c r="C2116" s="19" t="s">
        <v>5720</v>
      </c>
      <c r="D2116" s="19" t="s">
        <v>3341</v>
      </c>
    </row>
    <row r="2117" spans="1:4" ht="15.5" x14ac:dyDescent="0.35">
      <c r="A2117" s="1" t="s">
        <v>248</v>
      </c>
      <c r="B2117" s="19" t="s">
        <v>2399</v>
      </c>
      <c r="C2117" s="19" t="s">
        <v>5721</v>
      </c>
      <c r="D2117" s="19" t="s">
        <v>5722</v>
      </c>
    </row>
    <row r="2118" spans="1:4" ht="15.5" x14ac:dyDescent="0.35">
      <c r="A2118" s="1" t="s">
        <v>246</v>
      </c>
      <c r="B2118" s="19" t="s">
        <v>2399</v>
      </c>
      <c r="C2118" s="19" t="s">
        <v>5723</v>
      </c>
      <c r="D2118" s="19" t="s">
        <v>5724</v>
      </c>
    </row>
    <row r="2119" spans="1:4" ht="15.5" x14ac:dyDescent="0.35">
      <c r="A2119" s="1" t="s">
        <v>245</v>
      </c>
      <c r="B2119" s="19" t="s">
        <v>2402</v>
      </c>
      <c r="C2119" s="19" t="s">
        <v>5725</v>
      </c>
      <c r="D2119" s="19" t="s">
        <v>5726</v>
      </c>
    </row>
    <row r="2120" spans="1:4" ht="15.5" x14ac:dyDescent="0.35">
      <c r="A2120" s="1" t="s">
        <v>244</v>
      </c>
      <c r="B2120" s="19" t="s">
        <v>2402</v>
      </c>
      <c r="C2120" s="19" t="s">
        <v>5727</v>
      </c>
      <c r="D2120" s="19" t="s">
        <v>2700</v>
      </c>
    </row>
    <row r="2121" spans="1:4" ht="15.5" x14ac:dyDescent="0.35">
      <c r="A2121" s="1" t="s">
        <v>243</v>
      </c>
      <c r="B2121" s="19" t="s">
        <v>2399</v>
      </c>
      <c r="C2121" s="19" t="s">
        <v>5728</v>
      </c>
      <c r="D2121" s="19" t="s">
        <v>3307</v>
      </c>
    </row>
    <row r="2122" spans="1:4" ht="15.5" x14ac:dyDescent="0.35">
      <c r="A2122" s="1" t="s">
        <v>242</v>
      </c>
      <c r="B2122" s="19" t="s">
        <v>2399</v>
      </c>
      <c r="C2122" s="19" t="s">
        <v>5729</v>
      </c>
      <c r="D2122" s="19" t="s">
        <v>5730</v>
      </c>
    </row>
    <row r="2123" spans="1:4" ht="15.5" x14ac:dyDescent="0.35">
      <c r="A2123" s="1" t="s">
        <v>241</v>
      </c>
      <c r="B2123" s="19" t="s">
        <v>2399</v>
      </c>
      <c r="C2123" s="19" t="s">
        <v>5731</v>
      </c>
      <c r="D2123" s="19" t="s">
        <v>5732</v>
      </c>
    </row>
    <row r="2124" spans="1:4" ht="15.5" x14ac:dyDescent="0.35">
      <c r="A2124" s="1" t="s">
        <v>240</v>
      </c>
      <c r="B2124" s="19" t="s">
        <v>2399</v>
      </c>
      <c r="C2124" s="19" t="s">
        <v>5733</v>
      </c>
      <c r="D2124" s="19" t="s">
        <v>5734</v>
      </c>
    </row>
    <row r="2125" spans="1:4" ht="15.5" x14ac:dyDescent="0.35">
      <c r="A2125" s="1" t="s">
        <v>239</v>
      </c>
      <c r="B2125" s="19" t="s">
        <v>2399</v>
      </c>
      <c r="C2125" s="19" t="s">
        <v>3706</v>
      </c>
      <c r="D2125" s="19" t="s">
        <v>5735</v>
      </c>
    </row>
    <row r="2126" spans="1:4" ht="15.5" x14ac:dyDescent="0.35">
      <c r="A2126" s="1" t="s">
        <v>238</v>
      </c>
      <c r="B2126" s="19" t="s">
        <v>2399</v>
      </c>
      <c r="C2126" s="19" t="s">
        <v>5736</v>
      </c>
      <c r="D2126" s="19" t="s">
        <v>5737</v>
      </c>
    </row>
    <row r="2127" spans="1:4" ht="15.5" x14ac:dyDescent="0.35">
      <c r="A2127" s="1" t="s">
        <v>237</v>
      </c>
      <c r="B2127" s="19" t="s">
        <v>2399</v>
      </c>
      <c r="C2127" s="19" t="s">
        <v>5738</v>
      </c>
      <c r="D2127" s="19" t="s">
        <v>2744</v>
      </c>
    </row>
    <row r="2128" spans="1:4" ht="15.5" x14ac:dyDescent="0.35">
      <c r="A2128" s="1" t="s">
        <v>236</v>
      </c>
      <c r="B2128" s="19" t="s">
        <v>2402</v>
      </c>
      <c r="C2128" s="19" t="s">
        <v>5739</v>
      </c>
      <c r="D2128" s="19" t="s">
        <v>5740</v>
      </c>
    </row>
    <row r="2129" spans="1:4" ht="15.5" x14ac:dyDescent="0.35">
      <c r="A2129" s="1" t="s">
        <v>235</v>
      </c>
      <c r="B2129" s="19" t="s">
        <v>2399</v>
      </c>
      <c r="C2129" s="19" t="s">
        <v>5741</v>
      </c>
      <c r="D2129" s="19" t="s">
        <v>5153</v>
      </c>
    </row>
    <row r="2130" spans="1:4" ht="15.5" x14ac:dyDescent="0.35">
      <c r="A2130" s="1" t="s">
        <v>234</v>
      </c>
      <c r="B2130" s="19" t="s">
        <v>2399</v>
      </c>
      <c r="C2130" s="19" t="s">
        <v>5742</v>
      </c>
      <c r="D2130" s="19" t="s">
        <v>5743</v>
      </c>
    </row>
    <row r="2131" spans="1:4" ht="15.5" x14ac:dyDescent="0.35">
      <c r="A2131" s="1" t="s">
        <v>233</v>
      </c>
      <c r="B2131" s="19" t="s">
        <v>2399</v>
      </c>
      <c r="C2131" s="19" t="s">
        <v>3810</v>
      </c>
      <c r="D2131" s="19" t="s">
        <v>4986</v>
      </c>
    </row>
    <row r="2132" spans="1:4" ht="15.5" x14ac:dyDescent="0.35">
      <c r="A2132" s="1" t="s">
        <v>232</v>
      </c>
      <c r="B2132" s="19" t="s">
        <v>2399</v>
      </c>
      <c r="C2132" s="19" t="s">
        <v>2477</v>
      </c>
      <c r="D2132" s="19" t="s">
        <v>5744</v>
      </c>
    </row>
    <row r="2133" spans="1:4" ht="15.5" x14ac:dyDescent="0.35">
      <c r="A2133" s="1" t="s">
        <v>231</v>
      </c>
      <c r="B2133" s="19" t="s">
        <v>2402</v>
      </c>
      <c r="C2133" s="19" t="s">
        <v>5745</v>
      </c>
      <c r="D2133" s="19" t="s">
        <v>5746</v>
      </c>
    </row>
    <row r="2134" spans="1:4" ht="15.5" x14ac:dyDescent="0.35">
      <c r="A2134" s="1" t="s">
        <v>230</v>
      </c>
      <c r="B2134" s="19" t="s">
        <v>2399</v>
      </c>
      <c r="C2134" s="19" t="s">
        <v>5747</v>
      </c>
      <c r="D2134" s="19" t="s">
        <v>3741</v>
      </c>
    </row>
    <row r="2135" spans="1:4" ht="15.5" x14ac:dyDescent="0.35">
      <c r="A2135" s="1" t="s">
        <v>229</v>
      </c>
      <c r="B2135" s="19" t="s">
        <v>2402</v>
      </c>
      <c r="C2135" s="19" t="s">
        <v>5748</v>
      </c>
      <c r="D2135" s="19" t="s">
        <v>2889</v>
      </c>
    </row>
    <row r="2136" spans="1:4" ht="15.5" x14ac:dyDescent="0.35">
      <c r="A2136" s="1" t="s">
        <v>228</v>
      </c>
      <c r="B2136" s="19" t="s">
        <v>2402</v>
      </c>
      <c r="C2136" s="19" t="s">
        <v>5749</v>
      </c>
      <c r="D2136" s="19" t="s">
        <v>5750</v>
      </c>
    </row>
    <row r="2137" spans="1:4" ht="15.5" x14ac:dyDescent="0.35">
      <c r="A2137" s="1" t="s">
        <v>227</v>
      </c>
      <c r="B2137" s="19" t="s">
        <v>2402</v>
      </c>
      <c r="C2137" s="19" t="s">
        <v>5579</v>
      </c>
      <c r="D2137" s="19" t="s">
        <v>5751</v>
      </c>
    </row>
    <row r="2138" spans="1:4" ht="15.5" x14ac:dyDescent="0.35">
      <c r="A2138" s="1" t="s">
        <v>226</v>
      </c>
      <c r="B2138" s="19" t="s">
        <v>2402</v>
      </c>
      <c r="C2138" s="19" t="s">
        <v>4983</v>
      </c>
      <c r="D2138" s="19" t="s">
        <v>5752</v>
      </c>
    </row>
    <row r="2139" spans="1:4" ht="15.5" x14ac:dyDescent="0.35">
      <c r="A2139" s="1" t="s">
        <v>225</v>
      </c>
      <c r="B2139" s="19" t="s">
        <v>3277</v>
      </c>
      <c r="C2139" s="19" t="s">
        <v>5753</v>
      </c>
      <c r="D2139" s="19" t="s">
        <v>3221</v>
      </c>
    </row>
    <row r="2140" spans="1:4" ht="15.5" x14ac:dyDescent="0.35">
      <c r="A2140" s="1" t="s">
        <v>224</v>
      </c>
      <c r="B2140" s="19" t="s">
        <v>2402</v>
      </c>
      <c r="C2140" s="19" t="s">
        <v>5754</v>
      </c>
      <c r="D2140" s="19" t="s">
        <v>5755</v>
      </c>
    </row>
    <row r="2141" spans="1:4" ht="15.5" x14ac:dyDescent="0.35">
      <c r="A2141" s="1" t="s">
        <v>223</v>
      </c>
      <c r="B2141" s="19" t="s">
        <v>2402</v>
      </c>
      <c r="C2141" s="19" t="s">
        <v>5756</v>
      </c>
      <c r="D2141" s="19" t="s">
        <v>2585</v>
      </c>
    </row>
    <row r="2142" spans="1:4" ht="15.5" x14ac:dyDescent="0.35">
      <c r="A2142" s="1" t="s">
        <v>222</v>
      </c>
      <c r="B2142" s="19" t="s">
        <v>2399</v>
      </c>
      <c r="C2142" s="19" t="s">
        <v>5757</v>
      </c>
      <c r="D2142" s="19" t="s">
        <v>2555</v>
      </c>
    </row>
    <row r="2143" spans="1:4" ht="15.5" x14ac:dyDescent="0.35">
      <c r="A2143" s="1" t="s">
        <v>221</v>
      </c>
      <c r="B2143" s="19" t="s">
        <v>2399</v>
      </c>
      <c r="C2143" s="19" t="s">
        <v>5758</v>
      </c>
      <c r="D2143" s="19" t="s">
        <v>5759</v>
      </c>
    </row>
    <row r="2144" spans="1:4" ht="15.5" x14ac:dyDescent="0.35">
      <c r="A2144" s="1" t="s">
        <v>220</v>
      </c>
      <c r="B2144" s="19" t="s">
        <v>2399</v>
      </c>
      <c r="C2144" s="19" t="s">
        <v>5760</v>
      </c>
      <c r="D2144" s="19" t="s">
        <v>5761</v>
      </c>
    </row>
    <row r="2145" spans="1:4" ht="15.5" x14ac:dyDescent="0.35">
      <c r="A2145" s="1" t="s">
        <v>219</v>
      </c>
      <c r="B2145" s="19" t="s">
        <v>2399</v>
      </c>
      <c r="C2145" s="19" t="s">
        <v>5762</v>
      </c>
      <c r="D2145" s="19" t="s">
        <v>5763</v>
      </c>
    </row>
    <row r="2146" spans="1:4" ht="15.5" x14ac:dyDescent="0.35">
      <c r="A2146" s="1" t="s">
        <v>218</v>
      </c>
      <c r="B2146" s="19" t="s">
        <v>2402</v>
      </c>
      <c r="C2146" s="19" t="s">
        <v>5764</v>
      </c>
      <c r="D2146" s="19" t="s">
        <v>5765</v>
      </c>
    </row>
    <row r="2147" spans="1:4" ht="15.5" x14ac:dyDescent="0.35">
      <c r="A2147" s="1" t="s">
        <v>217</v>
      </c>
      <c r="B2147" s="19" t="s">
        <v>2402</v>
      </c>
      <c r="C2147" s="19" t="s">
        <v>5766</v>
      </c>
      <c r="D2147" s="19" t="s">
        <v>5767</v>
      </c>
    </row>
    <row r="2148" spans="1:4" ht="15.5" x14ac:dyDescent="0.35">
      <c r="A2148" s="1" t="s">
        <v>216</v>
      </c>
      <c r="B2148" s="19" t="s">
        <v>2402</v>
      </c>
      <c r="C2148" s="19" t="s">
        <v>5768</v>
      </c>
      <c r="D2148" s="19" t="s">
        <v>5769</v>
      </c>
    </row>
    <row r="2149" spans="1:4" ht="15.5" x14ac:dyDescent="0.35">
      <c r="A2149" s="1" t="s">
        <v>215</v>
      </c>
      <c r="B2149" s="19" t="s">
        <v>2402</v>
      </c>
      <c r="C2149" s="19" t="s">
        <v>5770</v>
      </c>
      <c r="D2149" s="19" t="s">
        <v>5771</v>
      </c>
    </row>
    <row r="2150" spans="1:4" ht="15.5" x14ac:dyDescent="0.35">
      <c r="A2150" s="1" t="s">
        <v>214</v>
      </c>
      <c r="B2150" s="19" t="s">
        <v>2402</v>
      </c>
      <c r="C2150" s="19" t="s">
        <v>5772</v>
      </c>
      <c r="D2150" s="19" t="s">
        <v>2451</v>
      </c>
    </row>
    <row r="2151" spans="1:4" ht="15.5" x14ac:dyDescent="0.35">
      <c r="A2151" s="1" t="s">
        <v>213</v>
      </c>
      <c r="B2151" s="19" t="s">
        <v>2402</v>
      </c>
      <c r="C2151" s="19" t="s">
        <v>4736</v>
      </c>
      <c r="D2151" s="19" t="s">
        <v>5773</v>
      </c>
    </row>
    <row r="2152" spans="1:4" ht="15.5" x14ac:dyDescent="0.35">
      <c r="A2152" s="1" t="s">
        <v>212</v>
      </c>
      <c r="B2152" s="19" t="s">
        <v>2402</v>
      </c>
      <c r="C2152" s="19" t="s">
        <v>5774</v>
      </c>
      <c r="D2152" s="19" t="s">
        <v>5775</v>
      </c>
    </row>
    <row r="2153" spans="1:4" ht="15.5" x14ac:dyDescent="0.35">
      <c r="A2153" s="1" t="s">
        <v>211</v>
      </c>
      <c r="B2153" s="19" t="s">
        <v>2402</v>
      </c>
      <c r="C2153" s="19" t="s">
        <v>5776</v>
      </c>
      <c r="D2153" s="19" t="s">
        <v>5777</v>
      </c>
    </row>
    <row r="2154" spans="1:4" ht="15.5" x14ac:dyDescent="0.35">
      <c r="A2154" s="1" t="s">
        <v>210</v>
      </c>
      <c r="B2154" s="19" t="s">
        <v>2402</v>
      </c>
      <c r="C2154" s="19" t="s">
        <v>5778</v>
      </c>
      <c r="D2154" s="19" t="s">
        <v>5779</v>
      </c>
    </row>
    <row r="2155" spans="1:4" ht="15.5" x14ac:dyDescent="0.35">
      <c r="A2155" s="1" t="s">
        <v>209</v>
      </c>
      <c r="B2155" s="19" t="s">
        <v>2402</v>
      </c>
      <c r="C2155" s="19" t="s">
        <v>5780</v>
      </c>
      <c r="D2155" s="19" t="s">
        <v>5781</v>
      </c>
    </row>
    <row r="2156" spans="1:4" ht="15.5" x14ac:dyDescent="0.35">
      <c r="A2156" s="1" t="s">
        <v>208</v>
      </c>
      <c r="B2156" s="19" t="s">
        <v>2402</v>
      </c>
      <c r="C2156" s="19" t="s">
        <v>5728</v>
      </c>
      <c r="D2156" s="19" t="s">
        <v>5782</v>
      </c>
    </row>
    <row r="2157" spans="1:4" ht="15.5" x14ac:dyDescent="0.35">
      <c r="A2157" s="1" t="s">
        <v>207</v>
      </c>
      <c r="B2157" s="19" t="s">
        <v>2402</v>
      </c>
      <c r="C2157" s="19" t="s">
        <v>5783</v>
      </c>
      <c r="D2157" s="19" t="s">
        <v>5426</v>
      </c>
    </row>
    <row r="2158" spans="1:4" ht="15.5" x14ac:dyDescent="0.35">
      <c r="A2158" s="1" t="s">
        <v>206</v>
      </c>
      <c r="B2158" s="19" t="s">
        <v>2402</v>
      </c>
      <c r="C2158" s="19" t="s">
        <v>5784</v>
      </c>
      <c r="D2158" s="19" t="s">
        <v>2415</v>
      </c>
    </row>
    <row r="2159" spans="1:4" ht="15.5" x14ac:dyDescent="0.35">
      <c r="A2159" s="1" t="s">
        <v>205</v>
      </c>
      <c r="B2159" s="19" t="s">
        <v>2399</v>
      </c>
      <c r="C2159" s="19" t="s">
        <v>5785</v>
      </c>
      <c r="D2159" s="19" t="s">
        <v>5786</v>
      </c>
    </row>
    <row r="2160" spans="1:4" ht="15.5" x14ac:dyDescent="0.35">
      <c r="A2160" s="1" t="s">
        <v>204</v>
      </c>
      <c r="B2160" s="19" t="s">
        <v>2399</v>
      </c>
      <c r="C2160" s="19" t="s">
        <v>5787</v>
      </c>
      <c r="D2160" s="19" t="s">
        <v>5200</v>
      </c>
    </row>
    <row r="2161" spans="1:4" ht="15.5" x14ac:dyDescent="0.35">
      <c r="A2161" s="1" t="s">
        <v>203</v>
      </c>
      <c r="B2161" s="19" t="s">
        <v>2399</v>
      </c>
      <c r="C2161" s="19" t="s">
        <v>5788</v>
      </c>
      <c r="D2161" s="19" t="s">
        <v>5789</v>
      </c>
    </row>
    <row r="2162" spans="1:4" ht="15.5" x14ac:dyDescent="0.35">
      <c r="A2162" s="1" t="s">
        <v>202</v>
      </c>
      <c r="B2162" s="19" t="s">
        <v>2399</v>
      </c>
      <c r="C2162" s="19" t="s">
        <v>5790</v>
      </c>
      <c r="D2162" s="19" t="s">
        <v>3756</v>
      </c>
    </row>
    <row r="2163" spans="1:4" ht="15.5" x14ac:dyDescent="0.35">
      <c r="A2163" s="1" t="s">
        <v>201</v>
      </c>
      <c r="B2163" s="19" t="s">
        <v>2399</v>
      </c>
      <c r="C2163" s="19" t="s">
        <v>5791</v>
      </c>
      <c r="D2163" s="19" t="s">
        <v>2756</v>
      </c>
    </row>
    <row r="2164" spans="1:4" ht="15.5" x14ac:dyDescent="0.35">
      <c r="A2164" s="1" t="s">
        <v>199</v>
      </c>
      <c r="B2164" s="19" t="s">
        <v>3277</v>
      </c>
      <c r="C2164" s="19" t="s">
        <v>5792</v>
      </c>
      <c r="D2164" s="19" t="s">
        <v>5793</v>
      </c>
    </row>
    <row r="2165" spans="1:4" ht="15.5" x14ac:dyDescent="0.35">
      <c r="A2165" s="1" t="s">
        <v>198</v>
      </c>
      <c r="B2165" s="19" t="s">
        <v>2399</v>
      </c>
      <c r="C2165" s="19" t="s">
        <v>2556</v>
      </c>
      <c r="D2165" s="19" t="s">
        <v>5794</v>
      </c>
    </row>
    <row r="2166" spans="1:4" ht="15.5" x14ac:dyDescent="0.35">
      <c r="A2166" s="1" t="s">
        <v>197</v>
      </c>
      <c r="B2166" s="19" t="s">
        <v>2402</v>
      </c>
      <c r="C2166" s="19" t="s">
        <v>5795</v>
      </c>
      <c r="D2166" s="19" t="s">
        <v>3686</v>
      </c>
    </row>
    <row r="2167" spans="1:4" ht="15.5" x14ac:dyDescent="0.35">
      <c r="A2167" s="1" t="s">
        <v>196</v>
      </c>
      <c r="B2167" s="19" t="s">
        <v>2402</v>
      </c>
      <c r="C2167" s="19" t="s">
        <v>5796</v>
      </c>
      <c r="D2167" s="19" t="s">
        <v>5797</v>
      </c>
    </row>
    <row r="2168" spans="1:4" ht="15.5" x14ac:dyDescent="0.35">
      <c r="A2168" s="1" t="s">
        <v>195</v>
      </c>
      <c r="B2168" s="19" t="s">
        <v>2402</v>
      </c>
      <c r="C2168" s="19" t="s">
        <v>5798</v>
      </c>
      <c r="D2168" s="19" t="s">
        <v>5799</v>
      </c>
    </row>
    <row r="2169" spans="1:4" ht="15.5" x14ac:dyDescent="0.35">
      <c r="A2169" s="1" t="s">
        <v>194</v>
      </c>
      <c r="B2169" s="19" t="s">
        <v>2402</v>
      </c>
      <c r="C2169" s="19" t="s">
        <v>5800</v>
      </c>
      <c r="D2169" s="19" t="s">
        <v>3432</v>
      </c>
    </row>
    <row r="2170" spans="1:4" ht="15.5" x14ac:dyDescent="0.35">
      <c r="A2170" s="1" t="s">
        <v>193</v>
      </c>
      <c r="B2170" s="19" t="s">
        <v>2402</v>
      </c>
      <c r="C2170" s="19" t="s">
        <v>5801</v>
      </c>
      <c r="D2170" s="19" t="s">
        <v>5802</v>
      </c>
    </row>
    <row r="2171" spans="1:4" ht="15.5" x14ac:dyDescent="0.35">
      <c r="A2171" s="1" t="s">
        <v>192</v>
      </c>
      <c r="B2171" s="19" t="s">
        <v>2402</v>
      </c>
      <c r="C2171" s="19" t="s">
        <v>5803</v>
      </c>
      <c r="D2171" s="19" t="s">
        <v>2680</v>
      </c>
    </row>
    <row r="2172" spans="1:4" ht="15.5" x14ac:dyDescent="0.35">
      <c r="A2172" s="1" t="s">
        <v>191</v>
      </c>
      <c r="B2172" s="19" t="s">
        <v>2399</v>
      </c>
      <c r="C2172" s="19" t="s">
        <v>5804</v>
      </c>
      <c r="D2172" s="19" t="s">
        <v>3614</v>
      </c>
    </row>
    <row r="2173" spans="1:4" ht="15.5" x14ac:dyDescent="0.35">
      <c r="A2173" s="1" t="s">
        <v>190</v>
      </c>
      <c r="B2173" s="19" t="s">
        <v>2402</v>
      </c>
      <c r="C2173" s="19" t="s">
        <v>5096</v>
      </c>
      <c r="D2173" s="19" t="s">
        <v>2694</v>
      </c>
    </row>
    <row r="2174" spans="1:4" ht="15.5" x14ac:dyDescent="0.35">
      <c r="A2174" s="1" t="s">
        <v>189</v>
      </c>
      <c r="B2174" s="19" t="s">
        <v>2402</v>
      </c>
      <c r="C2174" s="19" t="s">
        <v>5805</v>
      </c>
      <c r="D2174" s="19" t="s">
        <v>5806</v>
      </c>
    </row>
    <row r="2175" spans="1:4" ht="15.5" x14ac:dyDescent="0.35">
      <c r="A2175" s="1" t="s">
        <v>188</v>
      </c>
      <c r="B2175" s="19" t="s">
        <v>2399</v>
      </c>
      <c r="C2175" s="19" t="s">
        <v>4294</v>
      </c>
      <c r="D2175" s="19" t="s">
        <v>5807</v>
      </c>
    </row>
    <row r="2176" spans="1:4" ht="15.5" x14ac:dyDescent="0.35">
      <c r="A2176" s="1" t="s">
        <v>187</v>
      </c>
      <c r="B2176" s="19" t="s">
        <v>2402</v>
      </c>
      <c r="C2176" s="19" t="s">
        <v>5808</v>
      </c>
      <c r="D2176" s="19" t="s">
        <v>5809</v>
      </c>
    </row>
    <row r="2177" spans="1:4" ht="15.5" x14ac:dyDescent="0.35">
      <c r="A2177" s="1" t="s">
        <v>186</v>
      </c>
      <c r="B2177" s="19" t="s">
        <v>2399</v>
      </c>
      <c r="C2177" s="19" t="s">
        <v>2828</v>
      </c>
      <c r="D2177" s="19" t="s">
        <v>5810</v>
      </c>
    </row>
    <row r="2178" spans="1:4" ht="15.5" x14ac:dyDescent="0.35">
      <c r="A2178" s="1" t="s">
        <v>185</v>
      </c>
      <c r="B2178" s="19" t="s">
        <v>2399</v>
      </c>
      <c r="C2178" s="19" t="s">
        <v>2813</v>
      </c>
      <c r="D2178" s="19" t="s">
        <v>5811</v>
      </c>
    </row>
    <row r="2179" spans="1:4" ht="15.5" x14ac:dyDescent="0.35">
      <c r="A2179" s="1" t="s">
        <v>184</v>
      </c>
      <c r="B2179" s="19" t="s">
        <v>2399</v>
      </c>
      <c r="C2179" s="19" t="s">
        <v>3578</v>
      </c>
      <c r="D2179" s="19" t="s">
        <v>3056</v>
      </c>
    </row>
    <row r="2180" spans="1:4" ht="15.5" x14ac:dyDescent="0.35">
      <c r="A2180" s="1" t="s">
        <v>183</v>
      </c>
      <c r="B2180" s="19" t="s">
        <v>2399</v>
      </c>
      <c r="C2180" s="19" t="s">
        <v>5812</v>
      </c>
      <c r="D2180" s="19" t="s">
        <v>5813</v>
      </c>
    </row>
    <row r="2181" spans="1:4" ht="15.5" x14ac:dyDescent="0.35">
      <c r="A2181" s="1" t="s">
        <v>182</v>
      </c>
      <c r="B2181" s="19" t="s">
        <v>2399</v>
      </c>
      <c r="C2181" s="19" t="s">
        <v>4351</v>
      </c>
      <c r="D2181" s="19" t="s">
        <v>3019</v>
      </c>
    </row>
    <row r="2182" spans="1:4" ht="15.5" x14ac:dyDescent="0.35">
      <c r="A2182" s="1" t="s">
        <v>181</v>
      </c>
      <c r="B2182" s="19" t="s">
        <v>2399</v>
      </c>
      <c r="C2182" s="19" t="s">
        <v>5814</v>
      </c>
      <c r="D2182" s="19" t="s">
        <v>5815</v>
      </c>
    </row>
    <row r="2183" spans="1:4" ht="15.5" x14ac:dyDescent="0.35">
      <c r="A2183" s="1" t="s">
        <v>180</v>
      </c>
      <c r="B2183" s="19" t="s">
        <v>2399</v>
      </c>
      <c r="C2183" s="19" t="s">
        <v>5816</v>
      </c>
      <c r="D2183" s="19" t="s">
        <v>3052</v>
      </c>
    </row>
    <row r="2184" spans="1:4" ht="15.5" x14ac:dyDescent="0.35">
      <c r="A2184" s="1" t="s">
        <v>179</v>
      </c>
      <c r="B2184" s="19" t="s">
        <v>2402</v>
      </c>
      <c r="C2184" s="19" t="s">
        <v>3111</v>
      </c>
      <c r="D2184" s="19" t="s">
        <v>5295</v>
      </c>
    </row>
    <row r="2185" spans="1:4" ht="15.5" x14ac:dyDescent="0.35">
      <c r="A2185" s="1" t="s">
        <v>178</v>
      </c>
      <c r="B2185" s="19" t="s">
        <v>2402</v>
      </c>
      <c r="C2185" s="19" t="s">
        <v>5817</v>
      </c>
      <c r="D2185" s="19" t="s">
        <v>5818</v>
      </c>
    </row>
    <row r="2186" spans="1:4" ht="15.5" x14ac:dyDescent="0.35">
      <c r="A2186" s="1" t="s">
        <v>177</v>
      </c>
      <c r="B2186" s="19" t="s">
        <v>2402</v>
      </c>
      <c r="C2186" s="19" t="s">
        <v>5819</v>
      </c>
      <c r="D2186" s="19" t="s">
        <v>2885</v>
      </c>
    </row>
    <row r="2187" spans="1:4" ht="15.5" x14ac:dyDescent="0.35">
      <c r="A2187" s="1" t="s">
        <v>176</v>
      </c>
      <c r="B2187" s="19" t="s">
        <v>2402</v>
      </c>
      <c r="C2187" s="19" t="s">
        <v>3381</v>
      </c>
      <c r="D2187" s="19" t="s">
        <v>5820</v>
      </c>
    </row>
    <row r="2188" spans="1:4" ht="15.5" x14ac:dyDescent="0.35">
      <c r="A2188" s="1" t="s">
        <v>175</v>
      </c>
      <c r="B2188" s="19" t="s">
        <v>2402</v>
      </c>
      <c r="C2188" s="19" t="s">
        <v>5821</v>
      </c>
      <c r="D2188" s="19" t="s">
        <v>2413</v>
      </c>
    </row>
    <row r="2189" spans="1:4" ht="15.5" x14ac:dyDescent="0.35">
      <c r="A2189" s="1" t="s">
        <v>174</v>
      </c>
      <c r="B2189" s="19" t="s">
        <v>2402</v>
      </c>
      <c r="C2189" s="19" t="s">
        <v>5822</v>
      </c>
      <c r="D2189" s="19" t="s">
        <v>2563</v>
      </c>
    </row>
    <row r="2190" spans="1:4" ht="15.5" x14ac:dyDescent="0.35">
      <c r="A2190" s="1" t="s">
        <v>173</v>
      </c>
      <c r="B2190" s="19" t="s">
        <v>2402</v>
      </c>
      <c r="C2190" s="19" t="s">
        <v>4626</v>
      </c>
      <c r="D2190" s="19" t="s">
        <v>5823</v>
      </c>
    </row>
    <row r="2191" spans="1:4" ht="15.5" x14ac:dyDescent="0.35">
      <c r="A2191" s="1" t="s">
        <v>172</v>
      </c>
      <c r="B2191" s="19" t="s">
        <v>2402</v>
      </c>
      <c r="C2191" s="19" t="s">
        <v>5824</v>
      </c>
      <c r="D2191" s="19" t="s">
        <v>5825</v>
      </c>
    </row>
    <row r="2192" spans="1:4" ht="15.5" x14ac:dyDescent="0.35">
      <c r="A2192" s="1" t="s">
        <v>171</v>
      </c>
      <c r="B2192" s="19" t="s">
        <v>2402</v>
      </c>
      <c r="C2192" s="19" t="s">
        <v>2810</v>
      </c>
      <c r="D2192" s="19" t="s">
        <v>5826</v>
      </c>
    </row>
    <row r="2193" spans="1:5" ht="15.5" x14ac:dyDescent="0.35">
      <c r="A2193" s="1" t="s">
        <v>169</v>
      </c>
      <c r="B2193" s="19" t="s">
        <v>2402</v>
      </c>
      <c r="C2193" s="19" t="s">
        <v>5827</v>
      </c>
      <c r="D2193" s="19" t="s">
        <v>5828</v>
      </c>
      <c r="E2193" t="s">
        <v>3677</v>
      </c>
    </row>
    <row r="2194" spans="1:5" ht="15.5" x14ac:dyDescent="0.35">
      <c r="A2194" s="1" t="s">
        <v>167</v>
      </c>
      <c r="B2194" s="19" t="s">
        <v>2402</v>
      </c>
      <c r="C2194" s="19" t="s">
        <v>5203</v>
      </c>
      <c r="D2194" s="19" t="s">
        <v>4195</v>
      </c>
    </row>
    <row r="2195" spans="1:5" ht="15.5" x14ac:dyDescent="0.35">
      <c r="A2195" s="1" t="s">
        <v>165</v>
      </c>
      <c r="B2195" s="19" t="s">
        <v>2402</v>
      </c>
      <c r="C2195" s="19" t="s">
        <v>3494</v>
      </c>
      <c r="D2195" s="19" t="s">
        <v>5829</v>
      </c>
    </row>
    <row r="2196" spans="1:5" ht="15.5" x14ac:dyDescent="0.35">
      <c r="A2196" s="1" t="s">
        <v>163</v>
      </c>
      <c r="B2196" s="19" t="s">
        <v>2402</v>
      </c>
      <c r="C2196" s="19" t="s">
        <v>5830</v>
      </c>
      <c r="D2196" s="19" t="s">
        <v>5831</v>
      </c>
    </row>
    <row r="2197" spans="1:5" ht="15.5" x14ac:dyDescent="0.35">
      <c r="A2197" s="1" t="s">
        <v>162</v>
      </c>
      <c r="B2197" s="19" t="s">
        <v>2402</v>
      </c>
      <c r="C2197" s="19" t="s">
        <v>3325</v>
      </c>
      <c r="D2197" s="19" t="s">
        <v>5832</v>
      </c>
    </row>
    <row r="2198" spans="1:5" ht="15.5" x14ac:dyDescent="0.35">
      <c r="A2198" s="1" t="s">
        <v>161</v>
      </c>
      <c r="B2198" s="19" t="s">
        <v>2402</v>
      </c>
      <c r="C2198" s="19" t="s">
        <v>5833</v>
      </c>
      <c r="D2198" s="19" t="s">
        <v>5834</v>
      </c>
    </row>
    <row r="2199" spans="1:5" ht="15.5" x14ac:dyDescent="0.35">
      <c r="A2199" s="1" t="s">
        <v>160</v>
      </c>
      <c r="B2199" s="19" t="s">
        <v>2402</v>
      </c>
      <c r="C2199" s="19" t="s">
        <v>5835</v>
      </c>
      <c r="D2199" s="19" t="s">
        <v>2496</v>
      </c>
    </row>
    <row r="2200" spans="1:5" ht="15.5" x14ac:dyDescent="0.35">
      <c r="A2200" s="1" t="s">
        <v>159</v>
      </c>
      <c r="B2200" s="19" t="s">
        <v>2402</v>
      </c>
      <c r="C2200" s="19" t="s">
        <v>5836</v>
      </c>
      <c r="D2200" s="19" t="s">
        <v>5837</v>
      </c>
    </row>
    <row r="2201" spans="1:5" ht="15.5" x14ac:dyDescent="0.35">
      <c r="A2201" s="1" t="s">
        <v>158</v>
      </c>
      <c r="B2201" s="19" t="s">
        <v>2402</v>
      </c>
      <c r="C2201" s="19" t="s">
        <v>5838</v>
      </c>
      <c r="D2201" s="19" t="s">
        <v>5839</v>
      </c>
    </row>
    <row r="2202" spans="1:5" ht="15.5" x14ac:dyDescent="0.35">
      <c r="A2202" s="1" t="s">
        <v>157</v>
      </c>
      <c r="B2202" s="19" t="s">
        <v>2402</v>
      </c>
      <c r="C2202" s="19" t="s">
        <v>5840</v>
      </c>
      <c r="D2202" s="19" t="s">
        <v>5841</v>
      </c>
    </row>
    <row r="2203" spans="1:5" ht="15.5" x14ac:dyDescent="0.35">
      <c r="A2203" s="1" t="s">
        <v>156</v>
      </c>
      <c r="B2203" s="19" t="s">
        <v>2402</v>
      </c>
      <c r="C2203" s="19" t="s">
        <v>5842</v>
      </c>
      <c r="D2203" s="19" t="s">
        <v>2748</v>
      </c>
    </row>
    <row r="2204" spans="1:5" ht="15.5" x14ac:dyDescent="0.35">
      <c r="A2204" s="1" t="s">
        <v>155</v>
      </c>
      <c r="B2204" s="19" t="s">
        <v>2399</v>
      </c>
      <c r="C2204" s="19" t="s">
        <v>5843</v>
      </c>
      <c r="D2204" s="19" t="s">
        <v>5844</v>
      </c>
    </row>
    <row r="2205" spans="1:5" ht="15.5" x14ac:dyDescent="0.35">
      <c r="A2205" s="1" t="s">
        <v>154</v>
      </c>
      <c r="B2205" s="19" t="s">
        <v>2399</v>
      </c>
      <c r="C2205" s="19" t="s">
        <v>5845</v>
      </c>
      <c r="D2205" s="19" t="s">
        <v>5058</v>
      </c>
    </row>
    <row r="2206" spans="1:5" ht="15.5" x14ac:dyDescent="0.35">
      <c r="A2206" s="1" t="s">
        <v>153</v>
      </c>
      <c r="B2206" s="19" t="s">
        <v>2399</v>
      </c>
      <c r="C2206" s="19" t="s">
        <v>5846</v>
      </c>
      <c r="D2206" s="19" t="s">
        <v>5847</v>
      </c>
    </row>
    <row r="2207" spans="1:5" ht="15.5" x14ac:dyDescent="0.35">
      <c r="A2207" s="1" t="s">
        <v>152</v>
      </c>
      <c r="B2207" s="19" t="s">
        <v>2402</v>
      </c>
      <c r="C2207" s="19" t="s">
        <v>5848</v>
      </c>
      <c r="D2207" s="19" t="s">
        <v>5849</v>
      </c>
    </row>
    <row r="2208" spans="1:5" ht="15.5" x14ac:dyDescent="0.35">
      <c r="A2208" s="1" t="s">
        <v>151</v>
      </c>
      <c r="B2208" s="19" t="s">
        <v>2402</v>
      </c>
      <c r="C2208" s="19" t="s">
        <v>5850</v>
      </c>
      <c r="D2208" s="19" t="s">
        <v>4777</v>
      </c>
    </row>
    <row r="2209" spans="1:4" ht="15.5" x14ac:dyDescent="0.35">
      <c r="A2209" s="1" t="s">
        <v>150</v>
      </c>
      <c r="B2209" s="19" t="s">
        <v>2399</v>
      </c>
      <c r="C2209" s="19" t="s">
        <v>5851</v>
      </c>
      <c r="D2209" s="19" t="s">
        <v>5852</v>
      </c>
    </row>
    <row r="2210" spans="1:4" ht="15.5" x14ac:dyDescent="0.35">
      <c r="A2210" s="1" t="s">
        <v>149</v>
      </c>
      <c r="B2210" s="19" t="s">
        <v>2399</v>
      </c>
      <c r="C2210" s="19" t="s">
        <v>5853</v>
      </c>
      <c r="D2210" s="19" t="s">
        <v>5854</v>
      </c>
    </row>
    <row r="2211" spans="1:4" ht="15.5" x14ac:dyDescent="0.35">
      <c r="A2211" s="1" t="s">
        <v>148</v>
      </c>
      <c r="B2211" s="19" t="s">
        <v>2399</v>
      </c>
      <c r="C2211" s="19" t="s">
        <v>5855</v>
      </c>
      <c r="D2211" s="19" t="s">
        <v>2433</v>
      </c>
    </row>
    <row r="2212" spans="1:4" ht="15.5" x14ac:dyDescent="0.35">
      <c r="A2212" s="1" t="s">
        <v>147</v>
      </c>
      <c r="B2212" s="19" t="s">
        <v>2402</v>
      </c>
      <c r="C2212" s="19" t="s">
        <v>5856</v>
      </c>
      <c r="D2212" s="19" t="s">
        <v>5471</v>
      </c>
    </row>
    <row r="2213" spans="1:4" ht="15.5" x14ac:dyDescent="0.35">
      <c r="A2213" s="1" t="s">
        <v>146</v>
      </c>
      <c r="B2213" s="19" t="s">
        <v>2402</v>
      </c>
      <c r="C2213" s="19" t="s">
        <v>5284</v>
      </c>
      <c r="D2213" s="19" t="s">
        <v>4777</v>
      </c>
    </row>
    <row r="2214" spans="1:4" ht="15.5" x14ac:dyDescent="0.35">
      <c r="A2214" s="1" t="s">
        <v>145</v>
      </c>
      <c r="B2214" s="19" t="s">
        <v>2402</v>
      </c>
      <c r="C2214" s="19" t="s">
        <v>5857</v>
      </c>
      <c r="D2214" s="19" t="s">
        <v>3156</v>
      </c>
    </row>
    <row r="2215" spans="1:4" ht="15.5" x14ac:dyDescent="0.35">
      <c r="A2215" s="1" t="s">
        <v>144</v>
      </c>
      <c r="B2215" s="19" t="s">
        <v>2399</v>
      </c>
      <c r="C2215" s="19" t="s">
        <v>5858</v>
      </c>
      <c r="D2215" s="19" t="s">
        <v>5859</v>
      </c>
    </row>
    <row r="2216" spans="1:4" ht="15.5" x14ac:dyDescent="0.35">
      <c r="A2216" s="1" t="s">
        <v>143</v>
      </c>
      <c r="B2216" s="19" t="s">
        <v>2399</v>
      </c>
      <c r="C2216" s="19" t="s">
        <v>5860</v>
      </c>
      <c r="D2216" s="19" t="s">
        <v>3175</v>
      </c>
    </row>
    <row r="2217" spans="1:4" ht="15.5" x14ac:dyDescent="0.35">
      <c r="A2217" s="1" t="s">
        <v>142</v>
      </c>
      <c r="B2217" s="19" t="s">
        <v>2402</v>
      </c>
      <c r="C2217" s="19" t="s">
        <v>3758</v>
      </c>
      <c r="D2217" s="19" t="s">
        <v>5861</v>
      </c>
    </row>
    <row r="2218" spans="1:4" ht="15.5" x14ac:dyDescent="0.35">
      <c r="A2218" s="1" t="s">
        <v>141</v>
      </c>
      <c r="B2218" s="19" t="s">
        <v>2399</v>
      </c>
      <c r="C2218" s="19" t="s">
        <v>2523</v>
      </c>
      <c r="D2218" s="19" t="s">
        <v>5862</v>
      </c>
    </row>
    <row r="2219" spans="1:4" ht="15.5" x14ac:dyDescent="0.35">
      <c r="A2219" s="1" t="s">
        <v>140</v>
      </c>
      <c r="B2219" s="19" t="s">
        <v>2399</v>
      </c>
      <c r="C2219" s="19" t="s">
        <v>5863</v>
      </c>
      <c r="D2219" s="19" t="s">
        <v>3707</v>
      </c>
    </row>
    <row r="2220" spans="1:4" ht="15.5" x14ac:dyDescent="0.35">
      <c r="A2220" s="1" t="s">
        <v>139</v>
      </c>
      <c r="B2220" s="19" t="s">
        <v>2399</v>
      </c>
      <c r="C2220" s="19" t="s">
        <v>5864</v>
      </c>
      <c r="D2220" s="19" t="s">
        <v>2835</v>
      </c>
    </row>
    <row r="2221" spans="1:4" ht="15.5" x14ac:dyDescent="0.35">
      <c r="A2221" s="1" t="s">
        <v>138</v>
      </c>
      <c r="B2221" s="19" t="s">
        <v>2399</v>
      </c>
      <c r="C2221" s="19" t="s">
        <v>5865</v>
      </c>
      <c r="D2221" s="19" t="s">
        <v>4875</v>
      </c>
    </row>
    <row r="2222" spans="1:4" ht="15.5" x14ac:dyDescent="0.35">
      <c r="A2222" s="1" t="s">
        <v>137</v>
      </c>
      <c r="B2222" s="19" t="s">
        <v>2402</v>
      </c>
      <c r="C2222" s="19" t="s">
        <v>5866</v>
      </c>
      <c r="D2222" s="19" t="s">
        <v>2672</v>
      </c>
    </row>
    <row r="2223" spans="1:4" ht="15.5" x14ac:dyDescent="0.35">
      <c r="A2223" s="1" t="s">
        <v>136</v>
      </c>
      <c r="B2223" s="19" t="s">
        <v>2402</v>
      </c>
      <c r="C2223" s="19" t="s">
        <v>5867</v>
      </c>
      <c r="D2223" s="19" t="s">
        <v>3244</v>
      </c>
    </row>
    <row r="2224" spans="1:4" ht="15.5" x14ac:dyDescent="0.35">
      <c r="A2224" s="1" t="s">
        <v>135</v>
      </c>
      <c r="B2224" s="19" t="s">
        <v>2402</v>
      </c>
      <c r="C2224" s="19" t="s">
        <v>3269</v>
      </c>
      <c r="D2224" s="19" t="s">
        <v>3093</v>
      </c>
    </row>
    <row r="2225" spans="1:4" ht="15.5" x14ac:dyDescent="0.35">
      <c r="A2225" s="1" t="s">
        <v>134</v>
      </c>
      <c r="B2225" s="19" t="s">
        <v>2402</v>
      </c>
      <c r="C2225" s="19" t="s">
        <v>5868</v>
      </c>
      <c r="D2225" s="19" t="s">
        <v>3244</v>
      </c>
    </row>
    <row r="2226" spans="1:4" ht="15.5" x14ac:dyDescent="0.35">
      <c r="A2226" s="1" t="s">
        <v>133</v>
      </c>
      <c r="B2226" s="19" t="s">
        <v>2402</v>
      </c>
      <c r="C2226" s="19" t="s">
        <v>5288</v>
      </c>
      <c r="D2226" s="19" t="s">
        <v>5869</v>
      </c>
    </row>
    <row r="2227" spans="1:4" ht="15.5" x14ac:dyDescent="0.35">
      <c r="A2227" s="1" t="s">
        <v>132</v>
      </c>
      <c r="B2227" s="19" t="s">
        <v>2399</v>
      </c>
      <c r="C2227" s="19" t="s">
        <v>3715</v>
      </c>
      <c r="D2227" s="19" t="s">
        <v>2871</v>
      </c>
    </row>
    <row r="2228" spans="1:4" ht="15.5" x14ac:dyDescent="0.35">
      <c r="A2228" s="1" t="s">
        <v>131</v>
      </c>
      <c r="B2228" s="19" t="s">
        <v>2399</v>
      </c>
      <c r="C2228" s="19" t="s">
        <v>4662</v>
      </c>
      <c r="D2228" s="19" t="s">
        <v>4546</v>
      </c>
    </row>
    <row r="2229" spans="1:4" ht="15.5" x14ac:dyDescent="0.35">
      <c r="A2229" s="1" t="s">
        <v>130</v>
      </c>
      <c r="B2229" s="19" t="s">
        <v>2399</v>
      </c>
      <c r="C2229" s="19" t="s">
        <v>5870</v>
      </c>
      <c r="D2229" s="19" t="s">
        <v>5871</v>
      </c>
    </row>
    <row r="2230" spans="1:4" ht="15.5" x14ac:dyDescent="0.35">
      <c r="A2230" s="1" t="s">
        <v>129</v>
      </c>
      <c r="B2230" s="19" t="s">
        <v>2399</v>
      </c>
      <c r="C2230" s="19" t="s">
        <v>5872</v>
      </c>
      <c r="D2230" s="19" t="s">
        <v>5873</v>
      </c>
    </row>
    <row r="2231" spans="1:4" ht="15.5" x14ac:dyDescent="0.35">
      <c r="A2231" s="1" t="s">
        <v>128</v>
      </c>
      <c r="B2231" s="19" t="s">
        <v>2402</v>
      </c>
      <c r="C2231" s="19" t="s">
        <v>5874</v>
      </c>
      <c r="D2231" s="19" t="s">
        <v>5875</v>
      </c>
    </row>
    <row r="2232" spans="1:4" ht="15.5" x14ac:dyDescent="0.35">
      <c r="A2232" s="1" t="s">
        <v>127</v>
      </c>
      <c r="B2232" s="19" t="s">
        <v>2399</v>
      </c>
      <c r="C2232" s="19" t="s">
        <v>5876</v>
      </c>
      <c r="D2232" s="19" t="s">
        <v>5877</v>
      </c>
    </row>
    <row r="2233" spans="1:4" ht="15.5" x14ac:dyDescent="0.35">
      <c r="A2233" s="1" t="s">
        <v>126</v>
      </c>
      <c r="B2233" s="19" t="s">
        <v>2399</v>
      </c>
      <c r="C2233" s="19" t="s">
        <v>5878</v>
      </c>
      <c r="D2233" s="19" t="s">
        <v>5879</v>
      </c>
    </row>
    <row r="2234" spans="1:4" ht="15.5" x14ac:dyDescent="0.35">
      <c r="A2234" s="1" t="s">
        <v>125</v>
      </c>
      <c r="B2234" s="19" t="s">
        <v>2399</v>
      </c>
      <c r="C2234" s="19" t="s">
        <v>5880</v>
      </c>
      <c r="D2234" s="19" t="s">
        <v>5881</v>
      </c>
    </row>
    <row r="2235" spans="1:4" ht="15.5" x14ac:dyDescent="0.35">
      <c r="A2235" s="1" t="s">
        <v>124</v>
      </c>
      <c r="B2235" s="19" t="s">
        <v>2402</v>
      </c>
      <c r="C2235" s="19" t="s">
        <v>4241</v>
      </c>
      <c r="D2235" s="19" t="s">
        <v>2413</v>
      </c>
    </row>
    <row r="2236" spans="1:4" ht="15.5" x14ac:dyDescent="0.35">
      <c r="A2236" s="1" t="s">
        <v>123</v>
      </c>
      <c r="B2236" s="19" t="s">
        <v>2402</v>
      </c>
      <c r="C2236" s="19" t="s">
        <v>5882</v>
      </c>
      <c r="D2236" s="19" t="s">
        <v>2439</v>
      </c>
    </row>
    <row r="2237" spans="1:4" ht="15.5" x14ac:dyDescent="0.35">
      <c r="A2237" s="1" t="s">
        <v>122</v>
      </c>
      <c r="B2237" s="19" t="s">
        <v>2402</v>
      </c>
      <c r="C2237" s="19" t="s">
        <v>5883</v>
      </c>
      <c r="D2237" s="19" t="s">
        <v>5884</v>
      </c>
    </row>
    <row r="2238" spans="1:4" ht="15.5" x14ac:dyDescent="0.35">
      <c r="A2238" s="1" t="s">
        <v>121</v>
      </c>
      <c r="B2238" s="19" t="s">
        <v>2402</v>
      </c>
      <c r="C2238" s="19" t="s">
        <v>5885</v>
      </c>
      <c r="D2238" s="19" t="s">
        <v>4757</v>
      </c>
    </row>
    <row r="2239" spans="1:4" ht="15.5" x14ac:dyDescent="0.35">
      <c r="A2239" s="1" t="s">
        <v>120</v>
      </c>
      <c r="B2239" s="19" t="s">
        <v>2402</v>
      </c>
      <c r="C2239" s="19" t="s">
        <v>5886</v>
      </c>
      <c r="D2239" s="19" t="s">
        <v>5887</v>
      </c>
    </row>
    <row r="2240" spans="1:4" ht="15.5" x14ac:dyDescent="0.35">
      <c r="A2240" s="1" t="s">
        <v>119</v>
      </c>
      <c r="B2240" s="19" t="s">
        <v>2402</v>
      </c>
      <c r="C2240" s="19" t="s">
        <v>2529</v>
      </c>
      <c r="D2240" s="19" t="s">
        <v>4418</v>
      </c>
    </row>
    <row r="2241" spans="1:4" ht="15.5" x14ac:dyDescent="0.35">
      <c r="A2241" s="1" t="s">
        <v>118</v>
      </c>
      <c r="B2241" s="19" t="s">
        <v>2399</v>
      </c>
      <c r="C2241" s="19" t="s">
        <v>5888</v>
      </c>
      <c r="D2241" s="19" t="s">
        <v>5889</v>
      </c>
    </row>
    <row r="2242" spans="1:4" ht="15.5" x14ac:dyDescent="0.35">
      <c r="A2242" s="1" t="s">
        <v>117</v>
      </c>
      <c r="B2242" s="19" t="s">
        <v>2399</v>
      </c>
      <c r="C2242" s="19" t="s">
        <v>5890</v>
      </c>
      <c r="D2242" s="19" t="s">
        <v>2589</v>
      </c>
    </row>
    <row r="2243" spans="1:4" ht="15.5" x14ac:dyDescent="0.35">
      <c r="A2243" s="1" t="s">
        <v>116</v>
      </c>
      <c r="B2243" s="19" t="s">
        <v>2399</v>
      </c>
      <c r="C2243" s="19" t="s">
        <v>5891</v>
      </c>
      <c r="D2243" s="19" t="s">
        <v>5892</v>
      </c>
    </row>
    <row r="2244" spans="1:4" ht="15.5" x14ac:dyDescent="0.35">
      <c r="A2244" s="1" t="s">
        <v>115</v>
      </c>
      <c r="B2244" s="19" t="s">
        <v>2402</v>
      </c>
      <c r="C2244" s="19" t="s">
        <v>3981</v>
      </c>
      <c r="D2244" s="19" t="s">
        <v>3160</v>
      </c>
    </row>
    <row r="2245" spans="1:4" ht="15.5" x14ac:dyDescent="0.35">
      <c r="A2245" s="1" t="s">
        <v>114</v>
      </c>
      <c r="B2245" s="19" t="s">
        <v>2402</v>
      </c>
      <c r="C2245" s="19" t="s">
        <v>5893</v>
      </c>
      <c r="D2245" s="19" t="s">
        <v>2594</v>
      </c>
    </row>
    <row r="2246" spans="1:4" ht="15.5" x14ac:dyDescent="0.35">
      <c r="A2246" s="1" t="s">
        <v>113</v>
      </c>
      <c r="B2246" s="19" t="s">
        <v>2399</v>
      </c>
      <c r="C2246" s="19" t="s">
        <v>3578</v>
      </c>
      <c r="D2246" s="19" t="s">
        <v>4775</v>
      </c>
    </row>
    <row r="2247" spans="1:4" ht="15.5" x14ac:dyDescent="0.35">
      <c r="A2247" s="1" t="s">
        <v>112</v>
      </c>
      <c r="B2247" s="19" t="s">
        <v>2399</v>
      </c>
      <c r="C2247" s="19" t="s">
        <v>5894</v>
      </c>
      <c r="D2247" s="19" t="s">
        <v>3768</v>
      </c>
    </row>
    <row r="2248" spans="1:4" ht="15.5" x14ac:dyDescent="0.35">
      <c r="A2248" s="1" t="s">
        <v>111</v>
      </c>
      <c r="B2248" s="19" t="s">
        <v>2399</v>
      </c>
      <c r="C2248" s="19" t="s">
        <v>5895</v>
      </c>
      <c r="D2248" s="19" t="s">
        <v>2589</v>
      </c>
    </row>
    <row r="2249" spans="1:4" ht="15.5" x14ac:dyDescent="0.35">
      <c r="A2249" s="1" t="s">
        <v>110</v>
      </c>
      <c r="B2249" s="19" t="s">
        <v>2402</v>
      </c>
      <c r="C2249" s="19" t="s">
        <v>5896</v>
      </c>
      <c r="D2249" s="19" t="s">
        <v>5897</v>
      </c>
    </row>
    <row r="2250" spans="1:4" ht="15.5" x14ac:dyDescent="0.35">
      <c r="A2250" s="1" t="s">
        <v>109</v>
      </c>
      <c r="B2250" s="19" t="s">
        <v>2402</v>
      </c>
      <c r="C2250" s="19" t="s">
        <v>5898</v>
      </c>
      <c r="D2250" s="19" t="s">
        <v>3331</v>
      </c>
    </row>
    <row r="2251" spans="1:4" ht="15.5" x14ac:dyDescent="0.35">
      <c r="A2251" s="1" t="s">
        <v>108</v>
      </c>
      <c r="B2251" s="19" t="s">
        <v>2399</v>
      </c>
      <c r="C2251" s="19" t="s">
        <v>5899</v>
      </c>
      <c r="D2251" s="19" t="s">
        <v>3448</v>
      </c>
    </row>
    <row r="2252" spans="1:4" ht="15.5" x14ac:dyDescent="0.35">
      <c r="A2252" s="1" t="s">
        <v>107</v>
      </c>
      <c r="B2252" s="19" t="s">
        <v>2399</v>
      </c>
      <c r="C2252" s="19" t="s">
        <v>5900</v>
      </c>
      <c r="D2252" s="19" t="s">
        <v>2458</v>
      </c>
    </row>
    <row r="2253" spans="1:4" ht="15.5" x14ac:dyDescent="0.35">
      <c r="A2253" s="1" t="s">
        <v>106</v>
      </c>
      <c r="B2253" s="19" t="s">
        <v>2402</v>
      </c>
      <c r="C2253" s="19" t="s">
        <v>5901</v>
      </c>
      <c r="D2253" s="19" t="s">
        <v>3156</v>
      </c>
    </row>
    <row r="2254" spans="1:4" ht="15.5" x14ac:dyDescent="0.35">
      <c r="A2254" s="1" t="s">
        <v>105</v>
      </c>
      <c r="B2254" s="19" t="s">
        <v>2399</v>
      </c>
      <c r="C2254" s="19" t="s">
        <v>5902</v>
      </c>
      <c r="D2254" s="19" t="s">
        <v>5903</v>
      </c>
    </row>
    <row r="2255" spans="1:4" ht="15.5" x14ac:dyDescent="0.35">
      <c r="A2255" s="1" t="s">
        <v>104</v>
      </c>
      <c r="B2255" s="19" t="s">
        <v>2399</v>
      </c>
      <c r="C2255" s="19" t="s">
        <v>5904</v>
      </c>
      <c r="D2255" s="19" t="s">
        <v>4177</v>
      </c>
    </row>
    <row r="2256" spans="1:4" ht="15.5" x14ac:dyDescent="0.35">
      <c r="A2256" s="1" t="s">
        <v>103</v>
      </c>
      <c r="B2256" s="19" t="s">
        <v>2399</v>
      </c>
      <c r="C2256" s="19" t="s">
        <v>5905</v>
      </c>
      <c r="D2256" s="19" t="s">
        <v>5906</v>
      </c>
    </row>
    <row r="2257" spans="1:4" ht="15.5" x14ac:dyDescent="0.35">
      <c r="A2257" s="1" t="s">
        <v>102</v>
      </c>
      <c r="B2257" s="19" t="s">
        <v>2402</v>
      </c>
      <c r="C2257" s="19" t="s">
        <v>2529</v>
      </c>
      <c r="D2257" s="19" t="s">
        <v>2646</v>
      </c>
    </row>
    <row r="2258" spans="1:4" ht="15.5" x14ac:dyDescent="0.35">
      <c r="A2258" s="1" t="s">
        <v>101</v>
      </c>
      <c r="B2258" s="19" t="s">
        <v>2402</v>
      </c>
      <c r="C2258" s="19" t="s">
        <v>5907</v>
      </c>
      <c r="D2258" s="19" t="s">
        <v>5908</v>
      </c>
    </row>
    <row r="2259" spans="1:4" ht="15.5" x14ac:dyDescent="0.35">
      <c r="A2259" s="1" t="s">
        <v>100</v>
      </c>
      <c r="B2259" s="19" t="s">
        <v>2402</v>
      </c>
      <c r="C2259" s="19" t="s">
        <v>5909</v>
      </c>
      <c r="D2259" s="19" t="s">
        <v>5910</v>
      </c>
    </row>
    <row r="2260" spans="1:4" ht="15.5" x14ac:dyDescent="0.35">
      <c r="A2260" s="1" t="s">
        <v>99</v>
      </c>
      <c r="B2260" s="19" t="s">
        <v>2402</v>
      </c>
      <c r="C2260" s="19" t="s">
        <v>5911</v>
      </c>
      <c r="D2260" s="19" t="s">
        <v>5912</v>
      </c>
    </row>
    <row r="2261" spans="1:4" ht="15.5" x14ac:dyDescent="0.35">
      <c r="A2261" s="1" t="s">
        <v>98</v>
      </c>
      <c r="B2261" s="19" t="s">
        <v>2402</v>
      </c>
      <c r="C2261" s="19" t="s">
        <v>5913</v>
      </c>
      <c r="D2261" s="19" t="s">
        <v>2837</v>
      </c>
    </row>
    <row r="2262" spans="1:4" ht="15.5" x14ac:dyDescent="0.35">
      <c r="A2262" s="1" t="s">
        <v>97</v>
      </c>
      <c r="B2262" s="19" t="s">
        <v>2399</v>
      </c>
      <c r="C2262" s="19" t="s">
        <v>5914</v>
      </c>
      <c r="D2262" s="19" t="s">
        <v>2551</v>
      </c>
    </row>
    <row r="2263" spans="1:4" ht="15.5" x14ac:dyDescent="0.35">
      <c r="A2263" s="1" t="s">
        <v>96</v>
      </c>
      <c r="B2263" s="19" t="s">
        <v>2402</v>
      </c>
      <c r="C2263" s="19" t="s">
        <v>5915</v>
      </c>
      <c r="D2263" s="19" t="s">
        <v>2528</v>
      </c>
    </row>
    <row r="2264" spans="1:4" ht="15.5" x14ac:dyDescent="0.35">
      <c r="A2264" s="1" t="s">
        <v>95</v>
      </c>
      <c r="B2264" s="19" t="s">
        <v>2402</v>
      </c>
      <c r="C2264" s="19" t="s">
        <v>5916</v>
      </c>
      <c r="D2264" s="19" t="s">
        <v>2798</v>
      </c>
    </row>
    <row r="2265" spans="1:4" ht="15.5" x14ac:dyDescent="0.35">
      <c r="A2265" s="1" t="s">
        <v>94</v>
      </c>
      <c r="B2265" s="19" t="s">
        <v>2402</v>
      </c>
      <c r="C2265" s="19" t="s">
        <v>5917</v>
      </c>
      <c r="D2265" s="19" t="s">
        <v>5918</v>
      </c>
    </row>
    <row r="2266" spans="1:4" ht="15.5" x14ac:dyDescent="0.35">
      <c r="A2266" s="1" t="s">
        <v>93</v>
      </c>
      <c r="B2266" s="19" t="s">
        <v>2402</v>
      </c>
      <c r="C2266" s="19" t="s">
        <v>5065</v>
      </c>
      <c r="D2266" s="19" t="s">
        <v>2700</v>
      </c>
    </row>
    <row r="2267" spans="1:4" ht="15.5" x14ac:dyDescent="0.35">
      <c r="A2267" s="1" t="s">
        <v>92</v>
      </c>
      <c r="B2267" s="19" t="s">
        <v>2399</v>
      </c>
      <c r="C2267" s="19" t="s">
        <v>5919</v>
      </c>
      <c r="D2267" s="19" t="s">
        <v>4316</v>
      </c>
    </row>
    <row r="2268" spans="1:4" ht="15.5" x14ac:dyDescent="0.35">
      <c r="A2268" s="1" t="s">
        <v>91</v>
      </c>
      <c r="B2268" s="19" t="s">
        <v>2399</v>
      </c>
      <c r="C2268" s="19" t="s">
        <v>5920</v>
      </c>
      <c r="D2268" s="19" t="s">
        <v>3347</v>
      </c>
    </row>
    <row r="2269" spans="1:4" ht="15.5" x14ac:dyDescent="0.35">
      <c r="A2269" s="1" t="s">
        <v>90</v>
      </c>
      <c r="B2269" s="19" t="s">
        <v>2399</v>
      </c>
      <c r="C2269" s="19" t="s">
        <v>5921</v>
      </c>
      <c r="D2269" s="19" t="s">
        <v>5922</v>
      </c>
    </row>
    <row r="2270" spans="1:4" ht="15.5" x14ac:dyDescent="0.35">
      <c r="A2270" s="1" t="s">
        <v>89</v>
      </c>
      <c r="B2270" s="19" t="s">
        <v>2399</v>
      </c>
      <c r="C2270" s="19" t="s">
        <v>2657</v>
      </c>
      <c r="D2270" s="19" t="s">
        <v>5923</v>
      </c>
    </row>
    <row r="2271" spans="1:4" ht="15.5" x14ac:dyDescent="0.35">
      <c r="A2271" s="1" t="s">
        <v>88</v>
      </c>
      <c r="B2271" s="19" t="s">
        <v>2399</v>
      </c>
      <c r="C2271" s="19" t="s">
        <v>3447</v>
      </c>
      <c r="D2271" s="19" t="s">
        <v>4780</v>
      </c>
    </row>
    <row r="2272" spans="1:4" ht="15.5" x14ac:dyDescent="0.35">
      <c r="A2272" s="1" t="s">
        <v>87</v>
      </c>
      <c r="B2272" s="19" t="s">
        <v>2402</v>
      </c>
      <c r="C2272" s="19" t="s">
        <v>5924</v>
      </c>
      <c r="D2272" s="19" t="s">
        <v>5925</v>
      </c>
    </row>
    <row r="2273" spans="1:4" ht="15.5" x14ac:dyDescent="0.35">
      <c r="A2273" s="1" t="s">
        <v>86</v>
      </c>
      <c r="B2273" s="19" t="s">
        <v>2399</v>
      </c>
      <c r="C2273" s="19" t="s">
        <v>5926</v>
      </c>
      <c r="D2273" s="19" t="s">
        <v>5927</v>
      </c>
    </row>
    <row r="2274" spans="1:4" ht="15.5" x14ac:dyDescent="0.35">
      <c r="A2274" s="1" t="s">
        <v>85</v>
      </c>
      <c r="B2274" s="19" t="s">
        <v>2402</v>
      </c>
      <c r="C2274" s="19" t="s">
        <v>2533</v>
      </c>
      <c r="D2274" s="19" t="s">
        <v>5928</v>
      </c>
    </row>
    <row r="2275" spans="1:4" ht="15.5" x14ac:dyDescent="0.35">
      <c r="A2275" s="1" t="s">
        <v>84</v>
      </c>
      <c r="B2275" s="19" t="s">
        <v>2399</v>
      </c>
      <c r="C2275" s="19" t="s">
        <v>5929</v>
      </c>
      <c r="D2275" s="19" t="s">
        <v>5813</v>
      </c>
    </row>
    <row r="2276" spans="1:4" ht="15.5" x14ac:dyDescent="0.35">
      <c r="A2276" s="1" t="s">
        <v>83</v>
      </c>
      <c r="B2276" s="19" t="s">
        <v>2402</v>
      </c>
      <c r="C2276" s="19" t="s">
        <v>5930</v>
      </c>
      <c r="D2276" s="19" t="s">
        <v>3243</v>
      </c>
    </row>
    <row r="2277" spans="1:4" ht="15.5" x14ac:dyDescent="0.35">
      <c r="A2277" s="1" t="s">
        <v>82</v>
      </c>
      <c r="B2277" s="19" t="s">
        <v>2402</v>
      </c>
      <c r="C2277" s="19" t="s">
        <v>5931</v>
      </c>
      <c r="D2277" s="19" t="s">
        <v>4141</v>
      </c>
    </row>
    <row r="2278" spans="1:4" ht="15.5" x14ac:dyDescent="0.35">
      <c r="A2278" s="1" t="s">
        <v>81</v>
      </c>
      <c r="B2278" s="19" t="s">
        <v>2399</v>
      </c>
      <c r="C2278" s="19" t="s">
        <v>5932</v>
      </c>
      <c r="D2278" s="19" t="s">
        <v>5933</v>
      </c>
    </row>
    <row r="2279" spans="1:4" ht="15.5" x14ac:dyDescent="0.35">
      <c r="A2279" s="1" t="s">
        <v>80</v>
      </c>
      <c r="B2279" s="19" t="s">
        <v>2402</v>
      </c>
      <c r="C2279" s="19" t="s">
        <v>5934</v>
      </c>
      <c r="D2279" s="19" t="s">
        <v>2604</v>
      </c>
    </row>
    <row r="2280" spans="1:4" ht="15.5" x14ac:dyDescent="0.35">
      <c r="A2280" s="1" t="s">
        <v>79</v>
      </c>
      <c r="B2280" s="19" t="s">
        <v>2402</v>
      </c>
      <c r="C2280" s="19" t="s">
        <v>2743</v>
      </c>
      <c r="D2280" s="19" t="s">
        <v>5935</v>
      </c>
    </row>
    <row r="2281" spans="1:4" ht="15.5" x14ac:dyDescent="0.35">
      <c r="A2281" s="1" t="s">
        <v>78</v>
      </c>
      <c r="B2281" s="19" t="s">
        <v>2402</v>
      </c>
      <c r="C2281" s="19" t="s">
        <v>5936</v>
      </c>
      <c r="D2281" s="19" t="s">
        <v>2553</v>
      </c>
    </row>
    <row r="2282" spans="1:4" ht="15.5" x14ac:dyDescent="0.35">
      <c r="A2282" s="1" t="s">
        <v>77</v>
      </c>
      <c r="B2282" s="19" t="s">
        <v>2402</v>
      </c>
      <c r="C2282" s="19" t="s">
        <v>5937</v>
      </c>
      <c r="D2282" s="19" t="s">
        <v>5938</v>
      </c>
    </row>
    <row r="2283" spans="1:4" ht="15.5" x14ac:dyDescent="0.35">
      <c r="A2283" s="1" t="s">
        <v>76</v>
      </c>
      <c r="B2283" s="19" t="s">
        <v>2399</v>
      </c>
      <c r="C2283" s="19" t="s">
        <v>2481</v>
      </c>
      <c r="D2283" s="19" t="s">
        <v>2561</v>
      </c>
    </row>
    <row r="2284" spans="1:4" ht="15.5" x14ac:dyDescent="0.35">
      <c r="A2284" s="1" t="s">
        <v>75</v>
      </c>
      <c r="B2284" s="19" t="s">
        <v>2402</v>
      </c>
      <c r="C2284" s="19" t="s">
        <v>5939</v>
      </c>
      <c r="D2284" s="19" t="s">
        <v>2423</v>
      </c>
    </row>
    <row r="2285" spans="1:4" ht="15.5" x14ac:dyDescent="0.35">
      <c r="A2285" s="1" t="s">
        <v>74</v>
      </c>
      <c r="B2285" s="19" t="s">
        <v>2399</v>
      </c>
      <c r="C2285" s="19" t="s">
        <v>5940</v>
      </c>
      <c r="D2285" s="19" t="s">
        <v>3992</v>
      </c>
    </row>
    <row r="2286" spans="1:4" ht="15.5" x14ac:dyDescent="0.35">
      <c r="A2286" s="1" t="s">
        <v>73</v>
      </c>
      <c r="B2286" s="19" t="s">
        <v>2402</v>
      </c>
      <c r="C2286" s="19" t="s">
        <v>5941</v>
      </c>
      <c r="D2286" s="19" t="s">
        <v>5942</v>
      </c>
    </row>
    <row r="2287" spans="1:4" ht="15.5" x14ac:dyDescent="0.35">
      <c r="A2287" s="1" t="s">
        <v>72</v>
      </c>
      <c r="B2287" s="19" t="s">
        <v>2399</v>
      </c>
      <c r="C2287" s="19" t="s">
        <v>5901</v>
      </c>
      <c r="D2287" s="19" t="s">
        <v>2577</v>
      </c>
    </row>
    <row r="2288" spans="1:4" ht="15.5" x14ac:dyDescent="0.35">
      <c r="A2288" s="1" t="s">
        <v>71</v>
      </c>
      <c r="B2288" s="19" t="s">
        <v>2402</v>
      </c>
      <c r="C2288" s="19" t="s">
        <v>5943</v>
      </c>
      <c r="D2288" s="19" t="s">
        <v>5944</v>
      </c>
    </row>
    <row r="2289" spans="1:4" ht="15.5" x14ac:dyDescent="0.35">
      <c r="A2289" s="1" t="s">
        <v>70</v>
      </c>
      <c r="B2289" s="19" t="s">
        <v>2399</v>
      </c>
      <c r="C2289" s="19" t="s">
        <v>5945</v>
      </c>
      <c r="D2289" s="19" t="s">
        <v>4784</v>
      </c>
    </row>
    <row r="2290" spans="1:4" ht="15.5" x14ac:dyDescent="0.35">
      <c r="A2290" s="1" t="s">
        <v>69</v>
      </c>
      <c r="B2290" s="19" t="s">
        <v>2402</v>
      </c>
      <c r="C2290" s="19" t="s">
        <v>5946</v>
      </c>
      <c r="D2290" s="19" t="s">
        <v>5947</v>
      </c>
    </row>
    <row r="2291" spans="1:4" ht="15.5" x14ac:dyDescent="0.35">
      <c r="A2291" s="1" t="s">
        <v>68</v>
      </c>
      <c r="B2291" s="19" t="s">
        <v>2402</v>
      </c>
      <c r="C2291" s="19" t="s">
        <v>5948</v>
      </c>
      <c r="D2291" s="19" t="s">
        <v>5949</v>
      </c>
    </row>
    <row r="2292" spans="1:4" ht="15.5" x14ac:dyDescent="0.35">
      <c r="A2292" s="1" t="s">
        <v>67</v>
      </c>
      <c r="B2292" s="19" t="s">
        <v>2399</v>
      </c>
      <c r="C2292" s="19" t="s">
        <v>2743</v>
      </c>
      <c r="D2292" s="19" t="s">
        <v>2904</v>
      </c>
    </row>
    <row r="2293" spans="1:4" ht="15.5" x14ac:dyDescent="0.35">
      <c r="A2293" s="1" t="s">
        <v>66</v>
      </c>
      <c r="B2293" s="19" t="s">
        <v>2402</v>
      </c>
      <c r="C2293" s="19" t="s">
        <v>5950</v>
      </c>
      <c r="D2293" s="19" t="s">
        <v>5951</v>
      </c>
    </row>
    <row r="2294" spans="1:4" ht="15.5" x14ac:dyDescent="0.35">
      <c r="A2294" s="1" t="s">
        <v>65</v>
      </c>
      <c r="B2294" s="19" t="s">
        <v>2402</v>
      </c>
      <c r="C2294" s="19" t="s">
        <v>2566</v>
      </c>
      <c r="D2294" s="19" t="s">
        <v>2496</v>
      </c>
    </row>
    <row r="2295" spans="1:4" ht="15.5" x14ac:dyDescent="0.35">
      <c r="A2295" s="1" t="s">
        <v>64</v>
      </c>
      <c r="B2295" s="19" t="s">
        <v>2399</v>
      </c>
      <c r="C2295" s="19" t="s">
        <v>5952</v>
      </c>
      <c r="D2295" s="19" t="s">
        <v>2577</v>
      </c>
    </row>
    <row r="2296" spans="1:4" ht="15.5" x14ac:dyDescent="0.35">
      <c r="A2296" s="1" t="s">
        <v>63</v>
      </c>
      <c r="B2296" s="19" t="s">
        <v>2402</v>
      </c>
      <c r="C2296" s="19" t="s">
        <v>5953</v>
      </c>
      <c r="D2296" s="19" t="s">
        <v>3667</v>
      </c>
    </row>
    <row r="2297" spans="1:4" ht="15.5" x14ac:dyDescent="0.35">
      <c r="A2297" s="1" t="s">
        <v>62</v>
      </c>
      <c r="B2297" s="19" t="s">
        <v>2402</v>
      </c>
      <c r="C2297" s="19" t="s">
        <v>5954</v>
      </c>
      <c r="D2297" s="19" t="s">
        <v>5955</v>
      </c>
    </row>
    <row r="2298" spans="1:4" ht="15.5" x14ac:dyDescent="0.35">
      <c r="A2298" s="1" t="s">
        <v>61</v>
      </c>
      <c r="B2298" s="19" t="s">
        <v>2402</v>
      </c>
      <c r="C2298" s="19" t="s">
        <v>5956</v>
      </c>
      <c r="D2298" s="19" t="s">
        <v>5957</v>
      </c>
    </row>
    <row r="2299" spans="1:4" ht="15.5" x14ac:dyDescent="0.35">
      <c r="A2299" s="1" t="s">
        <v>60</v>
      </c>
      <c r="B2299" s="19" t="s">
        <v>2399</v>
      </c>
      <c r="C2299" s="19" t="s">
        <v>5958</v>
      </c>
      <c r="D2299" s="19" t="s">
        <v>5959</v>
      </c>
    </row>
    <row r="2300" spans="1:4" ht="15.5" x14ac:dyDescent="0.35">
      <c r="A2300" s="1" t="s">
        <v>59</v>
      </c>
      <c r="B2300" s="19" t="s">
        <v>2402</v>
      </c>
      <c r="C2300" s="19" t="s">
        <v>5960</v>
      </c>
      <c r="D2300" s="19" t="s">
        <v>5961</v>
      </c>
    </row>
    <row r="2301" spans="1:4" ht="15.5" x14ac:dyDescent="0.35">
      <c r="A2301" s="1" t="s">
        <v>58</v>
      </c>
      <c r="B2301" s="19" t="s">
        <v>2402</v>
      </c>
      <c r="C2301" s="19" t="s">
        <v>5962</v>
      </c>
      <c r="D2301" s="19" t="s">
        <v>2559</v>
      </c>
    </row>
    <row r="2302" spans="1:4" ht="15.5" x14ac:dyDescent="0.35">
      <c r="A2302" s="1" t="s">
        <v>57</v>
      </c>
      <c r="B2302" s="19" t="s">
        <v>2402</v>
      </c>
      <c r="C2302" s="19" t="s">
        <v>5963</v>
      </c>
      <c r="D2302" s="19" t="s">
        <v>5964</v>
      </c>
    </row>
    <row r="2303" spans="1:4" ht="15.5" x14ac:dyDescent="0.35">
      <c r="A2303" s="1" t="s">
        <v>56</v>
      </c>
      <c r="B2303" s="19" t="s">
        <v>2402</v>
      </c>
      <c r="C2303" s="19" t="s">
        <v>2917</v>
      </c>
      <c r="D2303" s="19" t="s">
        <v>2423</v>
      </c>
    </row>
    <row r="2304" spans="1:4" ht="15.5" x14ac:dyDescent="0.35">
      <c r="A2304" s="1" t="s">
        <v>55</v>
      </c>
      <c r="B2304" s="19" t="s">
        <v>2399</v>
      </c>
      <c r="C2304" s="19" t="s">
        <v>5965</v>
      </c>
      <c r="D2304" s="19" t="s">
        <v>5966</v>
      </c>
    </row>
    <row r="2305" spans="1:4" ht="15.5" x14ac:dyDescent="0.35">
      <c r="A2305" s="1" t="s">
        <v>54</v>
      </c>
      <c r="B2305" s="19" t="s">
        <v>2402</v>
      </c>
      <c r="C2305" s="19" t="s">
        <v>5967</v>
      </c>
      <c r="D2305" s="19" t="s">
        <v>3243</v>
      </c>
    </row>
    <row r="2306" spans="1:4" ht="15.5" x14ac:dyDescent="0.35">
      <c r="A2306" s="1" t="s">
        <v>53</v>
      </c>
      <c r="B2306" s="19" t="s">
        <v>2402</v>
      </c>
      <c r="C2306" s="19" t="s">
        <v>5968</v>
      </c>
      <c r="D2306" s="19" t="s">
        <v>2678</v>
      </c>
    </row>
    <row r="2307" spans="1:4" ht="15.5" x14ac:dyDescent="0.35">
      <c r="A2307" s="1" t="s">
        <v>52</v>
      </c>
      <c r="B2307" s="19" t="s">
        <v>2402</v>
      </c>
      <c r="C2307" s="19" t="s">
        <v>5969</v>
      </c>
      <c r="D2307" s="19" t="s">
        <v>4285</v>
      </c>
    </row>
    <row r="2308" spans="1:4" ht="15.5" x14ac:dyDescent="0.35">
      <c r="A2308" s="1" t="s">
        <v>51</v>
      </c>
      <c r="B2308" s="19" t="s">
        <v>2399</v>
      </c>
      <c r="C2308" s="19" t="s">
        <v>5970</v>
      </c>
      <c r="D2308" s="19" t="s">
        <v>2935</v>
      </c>
    </row>
    <row r="2309" spans="1:4" ht="15.5" x14ac:dyDescent="0.35">
      <c r="A2309" s="1" t="s">
        <v>50</v>
      </c>
      <c r="B2309" s="19" t="s">
        <v>2399</v>
      </c>
      <c r="C2309" s="19" t="s">
        <v>5971</v>
      </c>
      <c r="D2309" s="19" t="s">
        <v>5186</v>
      </c>
    </row>
    <row r="2310" spans="1:4" ht="15.5" x14ac:dyDescent="0.35">
      <c r="A2310" s="1" t="s">
        <v>49</v>
      </c>
      <c r="B2310" s="19" t="s">
        <v>2399</v>
      </c>
      <c r="C2310" s="19" t="s">
        <v>5323</v>
      </c>
      <c r="D2310" s="19" t="s">
        <v>5153</v>
      </c>
    </row>
    <row r="2311" spans="1:4" ht="15.5" x14ac:dyDescent="0.35">
      <c r="A2311" s="1" t="s">
        <v>48</v>
      </c>
      <c r="B2311" s="19" t="s">
        <v>2402</v>
      </c>
      <c r="C2311" s="19" t="s">
        <v>2657</v>
      </c>
      <c r="D2311" s="19" t="s">
        <v>2700</v>
      </c>
    </row>
    <row r="2312" spans="1:4" ht="15.5" x14ac:dyDescent="0.35">
      <c r="A2312" s="1" t="s">
        <v>47</v>
      </c>
      <c r="B2312" s="19" t="s">
        <v>3277</v>
      </c>
      <c r="C2312" s="19" t="s">
        <v>5972</v>
      </c>
      <c r="D2312" s="19" t="s">
        <v>3562</v>
      </c>
    </row>
    <row r="2313" spans="1:4" ht="15.5" x14ac:dyDescent="0.35">
      <c r="A2313" s="1" t="s">
        <v>46</v>
      </c>
      <c r="B2313" s="19" t="s">
        <v>2399</v>
      </c>
      <c r="C2313" s="19" t="s">
        <v>5973</v>
      </c>
      <c r="D2313" s="19" t="s">
        <v>2511</v>
      </c>
    </row>
    <row r="2314" spans="1:4" ht="15.5" x14ac:dyDescent="0.35">
      <c r="A2314" s="1" t="s">
        <v>45</v>
      </c>
      <c r="B2314" s="19" t="s">
        <v>2402</v>
      </c>
      <c r="C2314" s="19" t="s">
        <v>5974</v>
      </c>
      <c r="D2314" s="19" t="s">
        <v>2478</v>
      </c>
    </row>
    <row r="2315" spans="1:4" ht="15.5" x14ac:dyDescent="0.35">
      <c r="A2315" s="1" t="s">
        <v>44</v>
      </c>
      <c r="B2315" s="19" t="s">
        <v>2399</v>
      </c>
      <c r="C2315" s="19" t="s">
        <v>5975</v>
      </c>
      <c r="D2315" s="19" t="s">
        <v>3136</v>
      </c>
    </row>
    <row r="2316" spans="1:4" ht="15.5" x14ac:dyDescent="0.35">
      <c r="A2316" s="1" t="s">
        <v>43</v>
      </c>
      <c r="B2316" s="19" t="s">
        <v>2399</v>
      </c>
      <c r="C2316" s="19" t="s">
        <v>3901</v>
      </c>
      <c r="D2316" s="19" t="s">
        <v>5976</v>
      </c>
    </row>
    <row r="2317" spans="1:4" ht="15.5" x14ac:dyDescent="0.35">
      <c r="A2317" s="1" t="s">
        <v>41</v>
      </c>
      <c r="B2317" s="19" t="s">
        <v>2402</v>
      </c>
      <c r="C2317" s="19" t="s">
        <v>2950</v>
      </c>
      <c r="D2317" s="19" t="s">
        <v>5977</v>
      </c>
    </row>
    <row r="2318" spans="1:4" ht="15.5" x14ac:dyDescent="0.35">
      <c r="A2318" s="1" t="s">
        <v>40</v>
      </c>
      <c r="B2318" s="19" t="s">
        <v>2402</v>
      </c>
      <c r="C2318" s="19" t="s">
        <v>5978</v>
      </c>
      <c r="D2318" s="19" t="s">
        <v>3786</v>
      </c>
    </row>
    <row r="2319" spans="1:4" ht="15.5" x14ac:dyDescent="0.35">
      <c r="A2319" s="1" t="s">
        <v>39</v>
      </c>
      <c r="B2319" s="19" t="s">
        <v>2399</v>
      </c>
      <c r="C2319" s="19" t="s">
        <v>5207</v>
      </c>
      <c r="D2319" s="19" t="s">
        <v>5979</v>
      </c>
    </row>
    <row r="2320" spans="1:4" ht="15.5" x14ac:dyDescent="0.35">
      <c r="A2320" s="1" t="s">
        <v>38</v>
      </c>
      <c r="B2320" s="19" t="s">
        <v>2402</v>
      </c>
      <c r="C2320" s="19" t="s">
        <v>5980</v>
      </c>
      <c r="D2320" s="19" t="s">
        <v>5981</v>
      </c>
    </row>
    <row r="2321" spans="1:5" ht="15.5" x14ac:dyDescent="0.35">
      <c r="A2321" s="1" t="s">
        <v>36</v>
      </c>
      <c r="B2321" s="19" t="s">
        <v>2399</v>
      </c>
      <c r="C2321" s="19" t="s">
        <v>5982</v>
      </c>
      <c r="D2321" s="19" t="s">
        <v>5983</v>
      </c>
    </row>
    <row r="2322" spans="1:5" ht="15.5" x14ac:dyDescent="0.35">
      <c r="A2322" s="1" t="s">
        <v>34</v>
      </c>
      <c r="B2322" s="19" t="s">
        <v>2402</v>
      </c>
      <c r="C2322" s="19" t="s">
        <v>5984</v>
      </c>
      <c r="D2322" s="19" t="s">
        <v>2585</v>
      </c>
    </row>
    <row r="2323" spans="1:5" ht="15.5" x14ac:dyDescent="0.35">
      <c r="A2323" s="1" t="s">
        <v>33</v>
      </c>
      <c r="B2323" s="19" t="s">
        <v>2399</v>
      </c>
      <c r="C2323" s="19" t="s">
        <v>5985</v>
      </c>
      <c r="D2323" s="19" t="s">
        <v>5986</v>
      </c>
    </row>
    <row r="2324" spans="1:5" ht="15.5" x14ac:dyDescent="0.35">
      <c r="A2324" s="1" t="s">
        <v>32</v>
      </c>
      <c r="B2324" s="19" t="s">
        <v>2402</v>
      </c>
      <c r="C2324" s="19" t="s">
        <v>5987</v>
      </c>
      <c r="D2324" s="19" t="s">
        <v>2700</v>
      </c>
    </row>
    <row r="2325" spans="1:5" ht="15.5" x14ac:dyDescent="0.35">
      <c r="A2325" s="1" t="s">
        <v>29</v>
      </c>
      <c r="B2325" s="19" t="s">
        <v>2399</v>
      </c>
      <c r="C2325" s="19" t="s">
        <v>5988</v>
      </c>
      <c r="D2325" s="19" t="s">
        <v>5989</v>
      </c>
    </row>
    <row r="2326" spans="1:5" ht="15.5" x14ac:dyDescent="0.35">
      <c r="A2326" s="1" t="s">
        <v>28</v>
      </c>
      <c r="B2326" s="19" t="s">
        <v>2402</v>
      </c>
      <c r="C2326" s="19" t="s">
        <v>3722</v>
      </c>
      <c r="D2326" s="19" t="s">
        <v>5990</v>
      </c>
    </row>
    <row r="2327" spans="1:5" ht="15.5" x14ac:dyDescent="0.35">
      <c r="A2327" s="1" t="s">
        <v>27</v>
      </c>
      <c r="B2327" s="19" t="s">
        <v>2402</v>
      </c>
      <c r="C2327" s="19" t="s">
        <v>5991</v>
      </c>
      <c r="D2327" s="19" t="s">
        <v>5992</v>
      </c>
    </row>
    <row r="2328" spans="1:5" ht="15.5" x14ac:dyDescent="0.35">
      <c r="A2328" s="1" t="s">
        <v>26</v>
      </c>
      <c r="B2328" s="19" t="s">
        <v>2399</v>
      </c>
      <c r="C2328" s="19" t="s">
        <v>3042</v>
      </c>
      <c r="D2328" s="19" t="s">
        <v>4242</v>
      </c>
    </row>
    <row r="2329" spans="1:5" ht="15.5" x14ac:dyDescent="0.35">
      <c r="A2329" s="1" t="s">
        <v>25</v>
      </c>
      <c r="B2329" s="19" t="s">
        <v>2399</v>
      </c>
      <c r="C2329" s="19" t="s">
        <v>5993</v>
      </c>
      <c r="D2329" s="19" t="s">
        <v>2445</v>
      </c>
    </row>
    <row r="2330" spans="1:5" ht="15.5" x14ac:dyDescent="0.35">
      <c r="A2330" s="1" t="s">
        <v>24</v>
      </c>
      <c r="B2330" s="19" t="s">
        <v>2399</v>
      </c>
      <c r="C2330" s="19" t="s">
        <v>5994</v>
      </c>
      <c r="D2330" s="19" t="s">
        <v>5995</v>
      </c>
    </row>
    <row r="2331" spans="1:5" ht="15.5" x14ac:dyDescent="0.35">
      <c r="A2331" s="1" t="s">
        <v>22</v>
      </c>
      <c r="B2331" s="19" t="s">
        <v>2399</v>
      </c>
      <c r="C2331" s="19" t="s">
        <v>5996</v>
      </c>
      <c r="D2331" s="19" t="s">
        <v>5997</v>
      </c>
    </row>
    <row r="2332" spans="1:5" ht="15.5" x14ac:dyDescent="0.35">
      <c r="A2332" s="1" t="s">
        <v>21</v>
      </c>
      <c r="B2332" s="19" t="s">
        <v>2402</v>
      </c>
      <c r="C2332" s="19" t="s">
        <v>5998</v>
      </c>
      <c r="D2332" s="19" t="s">
        <v>3160</v>
      </c>
    </row>
    <row r="2333" spans="1:5" ht="15.5" x14ac:dyDescent="0.35">
      <c r="A2333" s="1" t="s">
        <v>19</v>
      </c>
      <c r="B2333" s="19" t="s">
        <v>2402</v>
      </c>
      <c r="C2333" s="19" t="s">
        <v>5999</v>
      </c>
      <c r="D2333" s="19" t="s">
        <v>6000</v>
      </c>
      <c r="E2333" t="s">
        <v>2539</v>
      </c>
    </row>
    <row r="2334" spans="1:5" ht="15.5" x14ac:dyDescent="0.35">
      <c r="A2334" s="1" t="s">
        <v>17</v>
      </c>
      <c r="B2334" s="19" t="s">
        <v>2399</v>
      </c>
      <c r="C2334" s="19" t="s">
        <v>6001</v>
      </c>
      <c r="D2334" s="19" t="s">
        <v>5172</v>
      </c>
    </row>
    <row r="2335" spans="1:5" ht="15.5" x14ac:dyDescent="0.35">
      <c r="A2335" s="1" t="s">
        <v>14</v>
      </c>
      <c r="B2335" s="19" t="s">
        <v>2402</v>
      </c>
      <c r="C2335" s="19" t="s">
        <v>6002</v>
      </c>
      <c r="D2335" s="19" t="s">
        <v>6003</v>
      </c>
    </row>
    <row r="2336" spans="1:5" ht="15.5" x14ac:dyDescent="0.35">
      <c r="A2336" s="1" t="s">
        <v>9</v>
      </c>
      <c r="B2336" s="19" t="s">
        <v>2402</v>
      </c>
      <c r="C2336" s="19" t="s">
        <v>6004</v>
      </c>
      <c r="D2336" s="19" t="s">
        <v>6005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36"/>
  <sheetViews>
    <sheetView workbookViewId="0">
      <selection activeCell="B2" sqref="B2"/>
    </sheetView>
  </sheetViews>
  <sheetFormatPr defaultRowHeight="14.5" x14ac:dyDescent="0.35"/>
  <cols>
    <col min="1" max="1" width="11.81640625" bestFit="1" customWidth="1"/>
    <col min="2" max="2" width="11.81640625" customWidth="1"/>
    <col min="4" max="4" width="13.81640625" customWidth="1"/>
    <col min="6" max="6" width="11.7265625" bestFit="1" customWidth="1"/>
    <col min="7" max="7" width="15.1796875" bestFit="1" customWidth="1"/>
    <col min="8" max="8" width="13.7265625" bestFit="1" customWidth="1"/>
    <col min="9" max="9" width="17.1796875" customWidth="1"/>
    <col min="10" max="10" width="24.26953125" bestFit="1" customWidth="1"/>
    <col min="11" max="11" width="15.7265625" customWidth="1"/>
    <col min="13" max="13" width="7.54296875" customWidth="1"/>
    <col min="14" max="14" width="21.36328125" customWidth="1"/>
    <col min="15" max="15" width="14.1796875" customWidth="1"/>
  </cols>
  <sheetData>
    <row r="1" spans="1:17" ht="19" customHeight="1" x14ac:dyDescent="0.35">
      <c r="A1" s="4" t="s">
        <v>0</v>
      </c>
      <c r="B1" s="17" t="s">
        <v>6007</v>
      </c>
      <c r="C1" s="4" t="s">
        <v>2373</v>
      </c>
      <c r="D1" s="17" t="s">
        <v>6008</v>
      </c>
      <c r="E1" s="4" t="s">
        <v>2374</v>
      </c>
      <c r="F1" s="4" t="s">
        <v>2375</v>
      </c>
      <c r="G1" s="4" t="s">
        <v>2376</v>
      </c>
      <c r="H1" s="4" t="s">
        <v>2377</v>
      </c>
      <c r="I1" s="4" t="s">
        <v>6006</v>
      </c>
      <c r="J1" s="4" t="s">
        <v>2378</v>
      </c>
      <c r="K1" s="17" t="s">
        <v>2391</v>
      </c>
      <c r="L1" s="4" t="s">
        <v>2379</v>
      </c>
    </row>
    <row r="2" spans="1:17" x14ac:dyDescent="0.35">
      <c r="A2" t="s">
        <v>2372</v>
      </c>
      <c r="B2" t="str">
        <f>_xlfn.IFS(C2&lt;18.5, "Underweight", C2&lt;=24.9, "Normal Weight", C2&lt;=29.9, "Overweight", C2&gt;=30, "Obesity")</f>
        <v>Obesity</v>
      </c>
      <c r="C2">
        <v>47.41</v>
      </c>
      <c r="D2" t="str">
        <f>_xlfn.IFS(E2&lt;5.7, "Normal", E2&lt;=6.4, "Prediabetes", E2&gt;=6.5, "Diabetes")</f>
        <v>Diabetes</v>
      </c>
      <c r="E2">
        <v>7.47</v>
      </c>
      <c r="F2" t="s">
        <v>2380</v>
      </c>
      <c r="G2" t="s">
        <v>2380</v>
      </c>
      <c r="H2" t="s">
        <v>2380</v>
      </c>
      <c r="I2">
        <f>_xlfn.IFS(OR(H2="No", H2="None", H2="?", ISBLANK(H2)), 0, H2="One", 1, H2="Two", 2, TRUE, VALUE(H2))</f>
        <v>0</v>
      </c>
      <c r="J2" t="s">
        <v>2381</v>
      </c>
      <c r="K2" t="str">
        <f>IF(OR(L2="?", ISBLANK(L2)), "No", L2)</f>
        <v>yes</v>
      </c>
      <c r="L2" t="s">
        <v>2382</v>
      </c>
      <c r="N2" s="8" t="s">
        <v>2384</v>
      </c>
      <c r="O2" s="8" t="s">
        <v>2385</v>
      </c>
      <c r="P2" s="11"/>
      <c r="Q2" s="11"/>
    </row>
    <row r="3" spans="1:17" x14ac:dyDescent="0.35">
      <c r="A3" t="s">
        <v>2371</v>
      </c>
      <c r="B3" t="str">
        <f t="shared" ref="B3:B66" si="0">_xlfn.IFS(C3&lt;18.5, "Underweight", C3&lt;=24.9, "Normal Weight", C3&lt;=29.9, "Overweight", C3&gt;=30, "Obesity")</f>
        <v>Obesity</v>
      </c>
      <c r="C3">
        <v>30.36</v>
      </c>
      <c r="D3" t="str">
        <f t="shared" ref="D3:D66" si="1">_xlfn.IFS(E3&lt;5.7, "Normal", E3&lt;=6.4, "Prediabetes", E3&gt;=6.5, "Diabetes")</f>
        <v>Prediabetes</v>
      </c>
      <c r="E3">
        <v>5.77</v>
      </c>
      <c r="F3" t="s">
        <v>2380</v>
      </c>
      <c r="G3" t="s">
        <v>2380</v>
      </c>
      <c r="H3" t="s">
        <v>2380</v>
      </c>
      <c r="J3" t="s">
        <v>2381</v>
      </c>
      <c r="K3" t="str">
        <f>IF(OR(L3="?", ISBLANK(L3)), "No", L3)</f>
        <v>yes</v>
      </c>
      <c r="L3" t="s">
        <v>2382</v>
      </c>
      <c r="N3" s="10" t="s">
        <v>0</v>
      </c>
      <c r="O3" s="9">
        <f>COUNTIF(A:A, "~?")</f>
        <v>0</v>
      </c>
      <c r="P3" s="12"/>
      <c r="Q3" s="12"/>
    </row>
    <row r="4" spans="1:17" x14ac:dyDescent="0.35">
      <c r="A4" t="s">
        <v>2370</v>
      </c>
      <c r="B4" t="str">
        <f t="shared" si="0"/>
        <v>Obesity</v>
      </c>
      <c r="C4">
        <v>34.484999999999999</v>
      </c>
      <c r="D4" t="str">
        <f t="shared" si="1"/>
        <v>Diabetes</v>
      </c>
      <c r="E4">
        <v>11.87</v>
      </c>
      <c r="F4" t="s">
        <v>2382</v>
      </c>
      <c r="G4" t="s">
        <v>2380</v>
      </c>
      <c r="H4" t="s">
        <v>2380</v>
      </c>
      <c r="J4">
        <v>2</v>
      </c>
      <c r="K4" t="str">
        <f t="shared" ref="K4:K67" si="2">IF(OR(L4="?", ISBLANK(L4)), "No", L4)</f>
        <v>yes</v>
      </c>
      <c r="L4" t="s">
        <v>2382</v>
      </c>
      <c r="N4" s="10" t="s">
        <v>2373</v>
      </c>
      <c r="O4" s="9">
        <f>COUNTIF(C:C, "~?")</f>
        <v>0</v>
      </c>
      <c r="P4" s="11"/>
      <c r="Q4" s="11"/>
    </row>
    <row r="5" spans="1:17" x14ac:dyDescent="0.35">
      <c r="A5" t="s">
        <v>2369</v>
      </c>
      <c r="B5" t="str">
        <f t="shared" si="0"/>
        <v>Obesity</v>
      </c>
      <c r="C5">
        <v>38.094999999999999</v>
      </c>
      <c r="D5" t="str">
        <f t="shared" si="1"/>
        <v>Prediabetes</v>
      </c>
      <c r="E5">
        <v>6.05</v>
      </c>
      <c r="F5" t="s">
        <v>2380</v>
      </c>
      <c r="G5" t="s">
        <v>2380</v>
      </c>
      <c r="H5" t="s">
        <v>2380</v>
      </c>
      <c r="J5" t="s">
        <v>2381</v>
      </c>
      <c r="K5" t="str">
        <f t="shared" si="2"/>
        <v>yes</v>
      </c>
      <c r="L5" t="s">
        <v>2382</v>
      </c>
      <c r="N5" s="10" t="s">
        <v>2374</v>
      </c>
      <c r="O5" s="7">
        <f>COUNTIF(E:E, "~?")</f>
        <v>0</v>
      </c>
      <c r="P5" s="11"/>
      <c r="Q5" s="11"/>
    </row>
    <row r="6" spans="1:17" x14ac:dyDescent="0.35">
      <c r="A6" t="s">
        <v>2368</v>
      </c>
      <c r="B6" t="str">
        <f t="shared" si="0"/>
        <v>Obesity</v>
      </c>
      <c r="C6">
        <v>35.53</v>
      </c>
      <c r="D6" t="str">
        <f t="shared" si="1"/>
        <v>Normal</v>
      </c>
      <c r="E6">
        <v>5.45</v>
      </c>
      <c r="F6" t="s">
        <v>2380</v>
      </c>
      <c r="G6" t="s">
        <v>2380</v>
      </c>
      <c r="H6" t="s">
        <v>2380</v>
      </c>
      <c r="J6" t="s">
        <v>2381</v>
      </c>
      <c r="K6" t="str">
        <f t="shared" si="2"/>
        <v>yes</v>
      </c>
      <c r="L6" t="s">
        <v>2382</v>
      </c>
      <c r="N6" s="10" t="s">
        <v>2375</v>
      </c>
      <c r="O6" s="7">
        <f>COUNTIF(F:F, "~?")</f>
        <v>0</v>
      </c>
      <c r="P6" s="11"/>
      <c r="Q6" s="11"/>
    </row>
    <row r="7" spans="1:17" x14ac:dyDescent="0.35">
      <c r="A7" t="s">
        <v>2367</v>
      </c>
      <c r="B7" t="str">
        <f t="shared" si="0"/>
        <v>Obesity</v>
      </c>
      <c r="C7">
        <v>32.799999999999997</v>
      </c>
      <c r="D7" t="str">
        <f t="shared" si="1"/>
        <v>Diabetes</v>
      </c>
      <c r="E7">
        <v>6.59</v>
      </c>
      <c r="F7" t="s">
        <v>2380</v>
      </c>
      <c r="G7" t="s">
        <v>2380</v>
      </c>
      <c r="H7" t="s">
        <v>2380</v>
      </c>
      <c r="J7" t="s">
        <v>2381</v>
      </c>
      <c r="K7" t="str">
        <f t="shared" si="2"/>
        <v>yes</v>
      </c>
      <c r="L7" t="s">
        <v>2382</v>
      </c>
      <c r="N7" s="10" t="s">
        <v>2376</v>
      </c>
      <c r="O7" s="7">
        <f>COUNTIF(G:G, "~?")</f>
        <v>0</v>
      </c>
      <c r="P7" s="11"/>
      <c r="Q7" s="11"/>
    </row>
    <row r="8" spans="1:17" x14ac:dyDescent="0.35">
      <c r="A8" t="s">
        <v>2366</v>
      </c>
      <c r="B8" t="str">
        <f t="shared" si="0"/>
        <v>Obesity</v>
      </c>
      <c r="C8">
        <v>36.4</v>
      </c>
      <c r="D8" t="str">
        <f t="shared" si="1"/>
        <v>Prediabetes</v>
      </c>
      <c r="E8">
        <v>6.07</v>
      </c>
      <c r="F8" t="s">
        <v>2380</v>
      </c>
      <c r="G8" t="s">
        <v>2380</v>
      </c>
      <c r="H8" t="s">
        <v>2380</v>
      </c>
      <c r="J8" t="s">
        <v>2381</v>
      </c>
      <c r="K8" t="str">
        <f t="shared" si="2"/>
        <v>yes</v>
      </c>
      <c r="L8" t="s">
        <v>2382</v>
      </c>
      <c r="N8" s="10" t="s">
        <v>2377</v>
      </c>
      <c r="O8" s="7">
        <f>COUNTIF(H:H, "~?")</f>
        <v>0</v>
      </c>
      <c r="P8" s="11"/>
      <c r="Q8" s="11"/>
    </row>
    <row r="9" spans="1:17" x14ac:dyDescent="0.35">
      <c r="A9" t="s">
        <v>2365</v>
      </c>
      <c r="B9" t="str">
        <f t="shared" si="0"/>
        <v>Obesity</v>
      </c>
      <c r="C9">
        <v>36.96</v>
      </c>
      <c r="D9" t="str">
        <f t="shared" si="1"/>
        <v>Diabetes</v>
      </c>
      <c r="E9">
        <v>7.93</v>
      </c>
      <c r="F9" t="s">
        <v>2380</v>
      </c>
      <c r="G9" t="s">
        <v>2380</v>
      </c>
      <c r="H9" t="s">
        <v>2380</v>
      </c>
      <c r="J9">
        <v>3</v>
      </c>
      <c r="K9" t="str">
        <f t="shared" si="2"/>
        <v>yes</v>
      </c>
      <c r="L9" t="s">
        <v>2382</v>
      </c>
      <c r="N9" s="10" t="s">
        <v>2378</v>
      </c>
      <c r="O9" s="7">
        <f>COUNTIF(J:J, "~?")</f>
        <v>0</v>
      </c>
      <c r="P9" s="11"/>
      <c r="Q9" s="11"/>
    </row>
    <row r="10" spans="1:17" x14ac:dyDescent="0.35">
      <c r="A10" t="s">
        <v>2364</v>
      </c>
      <c r="B10" t="str">
        <f t="shared" si="0"/>
        <v>Obesity</v>
      </c>
      <c r="C10">
        <v>41.14</v>
      </c>
      <c r="D10" t="str">
        <f t="shared" si="1"/>
        <v>Diabetes</v>
      </c>
      <c r="E10">
        <v>9.58</v>
      </c>
      <c r="F10" t="s">
        <v>2382</v>
      </c>
      <c r="G10" t="s">
        <v>2380</v>
      </c>
      <c r="H10" t="s">
        <v>2383</v>
      </c>
      <c r="J10">
        <v>1</v>
      </c>
      <c r="K10" t="str">
        <f t="shared" si="2"/>
        <v>yes</v>
      </c>
      <c r="L10" t="s">
        <v>2382</v>
      </c>
      <c r="N10" s="10" t="s">
        <v>2379</v>
      </c>
      <c r="O10" s="7">
        <f>COUNTIF(L:L, "~?")</f>
        <v>2</v>
      </c>
      <c r="P10" s="11"/>
      <c r="Q10" s="11"/>
    </row>
    <row r="11" spans="1:17" x14ac:dyDescent="0.35">
      <c r="A11" t="s">
        <v>2363</v>
      </c>
      <c r="B11" t="str">
        <f t="shared" si="0"/>
        <v>Obesity</v>
      </c>
      <c r="C11">
        <v>38.06</v>
      </c>
      <c r="D11" t="str">
        <f t="shared" si="1"/>
        <v>Diabetes</v>
      </c>
      <c r="E11">
        <v>10.79</v>
      </c>
      <c r="F11" t="s">
        <v>2380</v>
      </c>
      <c r="G11" t="s">
        <v>2380</v>
      </c>
      <c r="H11" t="s">
        <v>2380</v>
      </c>
      <c r="J11" t="s">
        <v>2381</v>
      </c>
      <c r="K11" t="str">
        <f t="shared" si="2"/>
        <v>yes</v>
      </c>
      <c r="L11" t="s">
        <v>2382</v>
      </c>
    </row>
    <row r="12" spans="1:17" x14ac:dyDescent="0.35">
      <c r="A12" t="s">
        <v>2362</v>
      </c>
      <c r="B12" t="str">
        <f t="shared" si="0"/>
        <v>Obesity</v>
      </c>
      <c r="C12">
        <v>37.700000000000003</v>
      </c>
      <c r="D12" t="str">
        <f t="shared" si="1"/>
        <v>Prediabetes</v>
      </c>
      <c r="E12">
        <v>5.96</v>
      </c>
      <c r="F12" t="s">
        <v>2382</v>
      </c>
      <c r="G12" t="s">
        <v>2380</v>
      </c>
      <c r="H12" t="s">
        <v>2380</v>
      </c>
      <c r="J12">
        <v>2</v>
      </c>
      <c r="K12" t="str">
        <f t="shared" si="2"/>
        <v>yes</v>
      </c>
      <c r="L12" t="s">
        <v>2382</v>
      </c>
    </row>
    <row r="13" spans="1:17" x14ac:dyDescent="0.35">
      <c r="A13" t="s">
        <v>2361</v>
      </c>
      <c r="B13" t="str">
        <f t="shared" si="0"/>
        <v>Obesity</v>
      </c>
      <c r="C13">
        <v>42.13</v>
      </c>
      <c r="D13" t="str">
        <f t="shared" si="1"/>
        <v>Diabetes</v>
      </c>
      <c r="E13">
        <v>11.9</v>
      </c>
      <c r="F13" t="s">
        <v>2380</v>
      </c>
      <c r="G13" t="s">
        <v>2380</v>
      </c>
      <c r="H13" t="s">
        <v>2380</v>
      </c>
      <c r="J13" t="s">
        <v>2381</v>
      </c>
      <c r="K13" t="str">
        <f t="shared" si="2"/>
        <v>yes</v>
      </c>
      <c r="L13" t="s">
        <v>2382</v>
      </c>
      <c r="N13" s="13" t="s">
        <v>2390</v>
      </c>
      <c r="O13" s="14"/>
    </row>
    <row r="14" spans="1:17" x14ac:dyDescent="0.35">
      <c r="A14" t="s">
        <v>2360</v>
      </c>
      <c r="B14" t="str">
        <f t="shared" si="0"/>
        <v>Obesity</v>
      </c>
      <c r="C14">
        <v>40.92</v>
      </c>
      <c r="D14" t="str">
        <f t="shared" si="1"/>
        <v>Diabetes</v>
      </c>
      <c r="E14">
        <v>8.41</v>
      </c>
      <c r="F14" t="s">
        <v>2380</v>
      </c>
      <c r="G14" t="s">
        <v>2380</v>
      </c>
      <c r="H14" t="s">
        <v>2380</v>
      </c>
      <c r="J14" t="s">
        <v>2381</v>
      </c>
      <c r="K14" t="str">
        <f t="shared" si="2"/>
        <v>yes</v>
      </c>
      <c r="L14" t="s">
        <v>2382</v>
      </c>
      <c r="N14" s="4" t="s">
        <v>2379</v>
      </c>
      <c r="O14" s="7" t="str">
        <f t="array" ref="O14">INDEX(L2:L2336, MODE(IF(L2:L2336&lt;&gt;"?", MATCH(L2:L2336, L2:L2336, 0))))</f>
        <v>No</v>
      </c>
    </row>
    <row r="15" spans="1:17" x14ac:dyDescent="0.35">
      <c r="A15" t="s">
        <v>2359</v>
      </c>
      <c r="B15" t="str">
        <f t="shared" si="0"/>
        <v>Obesity</v>
      </c>
      <c r="C15">
        <v>40.564999999999998</v>
      </c>
      <c r="D15" t="str">
        <f t="shared" si="1"/>
        <v>Diabetes</v>
      </c>
      <c r="E15">
        <v>7.02</v>
      </c>
      <c r="F15" t="s">
        <v>2380</v>
      </c>
      <c r="G15" t="s">
        <v>2380</v>
      </c>
      <c r="H15" t="s">
        <v>2380</v>
      </c>
      <c r="J15" t="s">
        <v>2381</v>
      </c>
      <c r="K15" t="str">
        <f t="shared" si="2"/>
        <v>yes</v>
      </c>
      <c r="L15" t="s">
        <v>2382</v>
      </c>
      <c r="N15" s="15"/>
      <c r="O15" s="15"/>
      <c r="P15" s="11"/>
    </row>
    <row r="16" spans="1:17" x14ac:dyDescent="0.35">
      <c r="A16" t="s">
        <v>2358</v>
      </c>
      <c r="B16" t="str">
        <f t="shared" si="0"/>
        <v>Obesity</v>
      </c>
      <c r="C16">
        <v>36.384999999999998</v>
      </c>
      <c r="D16" t="str">
        <f t="shared" si="1"/>
        <v>Diabetes</v>
      </c>
      <c r="E16">
        <v>7.59</v>
      </c>
      <c r="F16" t="s">
        <v>2382</v>
      </c>
      <c r="G16" t="s">
        <v>2380</v>
      </c>
      <c r="H16" t="s">
        <v>2380</v>
      </c>
      <c r="J16">
        <v>2</v>
      </c>
      <c r="K16" t="str">
        <f t="shared" si="2"/>
        <v>yes</v>
      </c>
      <c r="L16" t="s">
        <v>2382</v>
      </c>
      <c r="N16" s="11"/>
      <c r="O16" s="11"/>
      <c r="P16" s="11"/>
    </row>
    <row r="17" spans="1:17" x14ac:dyDescent="0.35">
      <c r="A17" t="s">
        <v>2357</v>
      </c>
      <c r="B17" t="str">
        <f t="shared" si="0"/>
        <v>Obesity</v>
      </c>
      <c r="C17">
        <v>39.9</v>
      </c>
      <c r="D17" t="str">
        <f t="shared" si="1"/>
        <v>Diabetes</v>
      </c>
      <c r="E17">
        <v>11.32</v>
      </c>
      <c r="F17" t="s">
        <v>2380</v>
      </c>
      <c r="G17" t="s">
        <v>2380</v>
      </c>
      <c r="H17" t="s">
        <v>2380</v>
      </c>
      <c r="J17" t="s">
        <v>2381</v>
      </c>
      <c r="K17" t="str">
        <f t="shared" si="2"/>
        <v>yes</v>
      </c>
      <c r="L17" t="s">
        <v>2382</v>
      </c>
      <c r="N17" s="11"/>
      <c r="O17" s="11"/>
      <c r="P17" s="11"/>
    </row>
    <row r="18" spans="1:17" x14ac:dyDescent="0.35">
      <c r="A18" t="s">
        <v>2356</v>
      </c>
      <c r="B18" t="str">
        <f t="shared" si="0"/>
        <v>Obesity</v>
      </c>
      <c r="C18">
        <v>33.799999999999997</v>
      </c>
      <c r="D18" t="str">
        <f t="shared" si="1"/>
        <v>Diabetes</v>
      </c>
      <c r="E18">
        <v>7.67</v>
      </c>
      <c r="F18" t="s">
        <v>2380</v>
      </c>
      <c r="G18" t="s">
        <v>2380</v>
      </c>
      <c r="H18" t="s">
        <v>2380</v>
      </c>
      <c r="J18">
        <v>3</v>
      </c>
      <c r="K18" t="str">
        <f t="shared" si="2"/>
        <v>yes</v>
      </c>
      <c r="L18" t="s">
        <v>2382</v>
      </c>
      <c r="N18" s="11"/>
      <c r="O18" s="11"/>
    </row>
    <row r="19" spans="1:17" x14ac:dyDescent="0.35">
      <c r="A19" t="s">
        <v>2355</v>
      </c>
      <c r="B19" t="str">
        <f t="shared" si="0"/>
        <v>Obesity</v>
      </c>
      <c r="C19">
        <v>36.765000000000001</v>
      </c>
      <c r="D19" t="str">
        <f t="shared" si="1"/>
        <v>Diabetes</v>
      </c>
      <c r="E19">
        <v>7.29</v>
      </c>
      <c r="F19" t="s">
        <v>2382</v>
      </c>
      <c r="G19" t="s">
        <v>2380</v>
      </c>
      <c r="H19" t="s">
        <v>2383</v>
      </c>
      <c r="J19">
        <v>1</v>
      </c>
      <c r="K19" t="str">
        <f t="shared" si="2"/>
        <v>yes</v>
      </c>
      <c r="L19" t="s">
        <v>2382</v>
      </c>
    </row>
    <row r="20" spans="1:17" x14ac:dyDescent="0.35">
      <c r="A20" t="s">
        <v>2354</v>
      </c>
      <c r="B20" t="str">
        <f t="shared" si="0"/>
        <v>Obesity</v>
      </c>
      <c r="C20">
        <v>36.954999999999998</v>
      </c>
      <c r="D20" t="str">
        <f t="shared" si="1"/>
        <v>Normal</v>
      </c>
      <c r="E20">
        <v>4.72</v>
      </c>
      <c r="F20" t="s">
        <v>2382</v>
      </c>
      <c r="G20" t="s">
        <v>2380</v>
      </c>
      <c r="H20" t="s">
        <v>2380</v>
      </c>
      <c r="J20">
        <v>1</v>
      </c>
      <c r="K20" t="str">
        <f t="shared" si="2"/>
        <v>yes</v>
      </c>
      <c r="L20" t="s">
        <v>2382</v>
      </c>
    </row>
    <row r="21" spans="1:17" x14ac:dyDescent="0.35">
      <c r="A21" t="s">
        <v>2353</v>
      </c>
      <c r="B21" t="str">
        <f t="shared" si="0"/>
        <v>Obesity</v>
      </c>
      <c r="C21">
        <v>42.9</v>
      </c>
      <c r="D21" t="str">
        <f t="shared" si="1"/>
        <v>Diabetes</v>
      </c>
      <c r="E21">
        <v>11.41</v>
      </c>
      <c r="F21" t="s">
        <v>2380</v>
      </c>
      <c r="G21" t="s">
        <v>2380</v>
      </c>
      <c r="H21" t="s">
        <v>2380</v>
      </c>
      <c r="J21" t="s">
        <v>2381</v>
      </c>
      <c r="K21" t="str">
        <f t="shared" si="2"/>
        <v>yes</v>
      </c>
      <c r="L21" t="s">
        <v>2382</v>
      </c>
    </row>
    <row r="22" spans="1:17" x14ac:dyDescent="0.35">
      <c r="A22" t="s">
        <v>2352</v>
      </c>
      <c r="B22" t="str">
        <f t="shared" si="0"/>
        <v>Obesity</v>
      </c>
      <c r="C22">
        <v>36.299999999999997</v>
      </c>
      <c r="D22" t="str">
        <f t="shared" si="1"/>
        <v>Diabetes</v>
      </c>
      <c r="E22">
        <v>11.5</v>
      </c>
      <c r="F22" t="s">
        <v>2382</v>
      </c>
      <c r="G22" t="s">
        <v>2380</v>
      </c>
      <c r="H22" t="s">
        <v>2380</v>
      </c>
      <c r="J22">
        <v>2</v>
      </c>
      <c r="K22" t="str">
        <f t="shared" si="2"/>
        <v>yes</v>
      </c>
      <c r="L22" t="s">
        <v>2382</v>
      </c>
      <c r="N22" s="8"/>
      <c r="O22" s="7"/>
      <c r="P22" s="7"/>
      <c r="Q22" s="7"/>
    </row>
    <row r="23" spans="1:17" x14ac:dyDescent="0.35">
      <c r="A23" t="s">
        <v>2351</v>
      </c>
      <c r="B23" t="str">
        <f t="shared" si="0"/>
        <v>Obesity</v>
      </c>
      <c r="C23">
        <v>32.200000000000003</v>
      </c>
      <c r="D23" t="str">
        <f t="shared" si="1"/>
        <v>Prediabetes</v>
      </c>
      <c r="E23">
        <v>6.22</v>
      </c>
      <c r="F23" t="s">
        <v>2382</v>
      </c>
      <c r="G23" t="s">
        <v>2380</v>
      </c>
      <c r="H23" t="s">
        <v>2380</v>
      </c>
      <c r="J23">
        <v>2</v>
      </c>
      <c r="K23" t="str">
        <f t="shared" si="2"/>
        <v>yes</v>
      </c>
      <c r="L23" t="s">
        <v>2382</v>
      </c>
      <c r="N23" s="8"/>
      <c r="O23" s="7"/>
      <c r="P23" s="7"/>
      <c r="Q23" s="7"/>
    </row>
    <row r="24" spans="1:17" x14ac:dyDescent="0.35">
      <c r="A24" t="s">
        <v>2350</v>
      </c>
      <c r="B24" t="str">
        <f t="shared" si="0"/>
        <v>Obesity</v>
      </c>
      <c r="C24">
        <v>31.3</v>
      </c>
      <c r="D24" t="str">
        <f t="shared" si="1"/>
        <v>Diabetes</v>
      </c>
      <c r="E24">
        <v>11.38</v>
      </c>
      <c r="F24" t="s">
        <v>2380</v>
      </c>
      <c r="G24" t="s">
        <v>2380</v>
      </c>
      <c r="H24" t="s">
        <v>2380</v>
      </c>
      <c r="J24">
        <v>3</v>
      </c>
      <c r="K24" t="str">
        <f t="shared" si="2"/>
        <v>yes</v>
      </c>
      <c r="L24" t="s">
        <v>2382</v>
      </c>
      <c r="N24" s="8"/>
      <c r="O24" s="7"/>
      <c r="P24" s="7"/>
      <c r="Q24" s="7"/>
    </row>
    <row r="25" spans="1:17" x14ac:dyDescent="0.35">
      <c r="A25" t="s">
        <v>2349</v>
      </c>
      <c r="B25" t="str">
        <f t="shared" si="0"/>
        <v>Obesity</v>
      </c>
      <c r="C25">
        <v>41.8</v>
      </c>
      <c r="D25" t="str">
        <f t="shared" si="1"/>
        <v>Diabetes</v>
      </c>
      <c r="E25">
        <v>7.89</v>
      </c>
      <c r="F25" t="s">
        <v>2382</v>
      </c>
      <c r="G25" t="s">
        <v>2380</v>
      </c>
      <c r="H25" t="s">
        <v>2380</v>
      </c>
      <c r="J25">
        <v>2</v>
      </c>
      <c r="K25" t="str">
        <f t="shared" si="2"/>
        <v>yes</v>
      </c>
      <c r="L25" t="s">
        <v>2382</v>
      </c>
      <c r="N25" s="8"/>
      <c r="O25" s="7"/>
      <c r="P25" s="7"/>
      <c r="Q25" s="7"/>
    </row>
    <row r="26" spans="1:17" x14ac:dyDescent="0.35">
      <c r="A26" t="s">
        <v>2348</v>
      </c>
      <c r="B26" t="str">
        <f t="shared" si="0"/>
        <v>Obesity</v>
      </c>
      <c r="C26">
        <v>35.090000000000003</v>
      </c>
      <c r="D26" t="str">
        <f t="shared" si="1"/>
        <v>Normal</v>
      </c>
      <c r="E26">
        <v>4.38</v>
      </c>
      <c r="F26" t="s">
        <v>2382</v>
      </c>
      <c r="G26" t="s">
        <v>2380</v>
      </c>
      <c r="H26" t="s">
        <v>2380</v>
      </c>
      <c r="J26">
        <v>2</v>
      </c>
      <c r="K26" t="str">
        <f t="shared" si="2"/>
        <v>yes</v>
      </c>
      <c r="L26" t="s">
        <v>2382</v>
      </c>
    </row>
    <row r="27" spans="1:17" x14ac:dyDescent="0.35">
      <c r="A27" t="s">
        <v>2347</v>
      </c>
      <c r="B27" t="str">
        <f t="shared" si="0"/>
        <v>Obesity</v>
      </c>
      <c r="C27">
        <v>33.880000000000003</v>
      </c>
      <c r="D27" t="str">
        <f t="shared" si="1"/>
        <v>Diabetes</v>
      </c>
      <c r="E27">
        <v>7.01</v>
      </c>
      <c r="F27" t="s">
        <v>2380</v>
      </c>
      <c r="G27" t="s">
        <v>2380</v>
      </c>
      <c r="H27" t="s">
        <v>2380</v>
      </c>
      <c r="J27">
        <v>3</v>
      </c>
      <c r="K27" t="str">
        <f t="shared" si="2"/>
        <v>yes</v>
      </c>
      <c r="L27" t="s">
        <v>2382</v>
      </c>
    </row>
    <row r="28" spans="1:17" x14ac:dyDescent="0.35">
      <c r="A28" t="s">
        <v>2346</v>
      </c>
      <c r="B28" t="str">
        <f t="shared" si="0"/>
        <v>Obesity</v>
      </c>
      <c r="C28">
        <v>30.875</v>
      </c>
      <c r="D28" t="str">
        <f t="shared" si="1"/>
        <v>Diabetes</v>
      </c>
      <c r="E28">
        <v>11.88</v>
      </c>
      <c r="F28" t="s">
        <v>2380</v>
      </c>
      <c r="G28" t="s">
        <v>2380</v>
      </c>
      <c r="H28" t="s">
        <v>2380</v>
      </c>
      <c r="J28" t="s">
        <v>2381</v>
      </c>
      <c r="K28" t="str">
        <f t="shared" si="2"/>
        <v>yes</v>
      </c>
      <c r="L28" t="s">
        <v>2382</v>
      </c>
    </row>
    <row r="29" spans="1:17" x14ac:dyDescent="0.35">
      <c r="A29" t="s">
        <v>2345</v>
      </c>
      <c r="B29" t="str">
        <f t="shared" si="0"/>
        <v>Obesity</v>
      </c>
      <c r="C29">
        <v>36.86</v>
      </c>
      <c r="D29" t="str">
        <f t="shared" si="1"/>
        <v>Normal</v>
      </c>
      <c r="E29">
        <v>5.19</v>
      </c>
      <c r="F29" t="s">
        <v>2382</v>
      </c>
      <c r="G29" t="s">
        <v>2380</v>
      </c>
      <c r="H29" t="s">
        <v>2383</v>
      </c>
      <c r="J29">
        <v>1</v>
      </c>
      <c r="K29" t="str">
        <f t="shared" si="2"/>
        <v>yes</v>
      </c>
      <c r="L29" t="s">
        <v>2382</v>
      </c>
    </row>
    <row r="30" spans="1:17" x14ac:dyDescent="0.35">
      <c r="A30" t="s">
        <v>2344</v>
      </c>
      <c r="B30" t="str">
        <f t="shared" si="0"/>
        <v>Obesity</v>
      </c>
      <c r="C30">
        <v>35.86</v>
      </c>
      <c r="D30" t="str">
        <f t="shared" si="1"/>
        <v>Diabetes</v>
      </c>
      <c r="E30">
        <v>6.74</v>
      </c>
      <c r="F30" t="s">
        <v>2382</v>
      </c>
      <c r="G30" t="s">
        <v>2380</v>
      </c>
      <c r="H30" t="s">
        <v>2380</v>
      </c>
      <c r="J30">
        <v>2</v>
      </c>
      <c r="K30" t="str">
        <f t="shared" si="2"/>
        <v>yes</v>
      </c>
      <c r="L30" t="s">
        <v>2382</v>
      </c>
    </row>
    <row r="31" spans="1:17" x14ac:dyDescent="0.35">
      <c r="A31" t="s">
        <v>2343</v>
      </c>
      <c r="B31" t="str">
        <f t="shared" si="0"/>
        <v>Obesity</v>
      </c>
      <c r="C31">
        <v>37.049999999999997</v>
      </c>
      <c r="D31" t="str">
        <f t="shared" si="1"/>
        <v>Diabetes</v>
      </c>
      <c r="E31">
        <v>8.44</v>
      </c>
      <c r="F31" t="s">
        <v>2380</v>
      </c>
      <c r="G31" t="s">
        <v>2380</v>
      </c>
      <c r="H31" t="s">
        <v>2380</v>
      </c>
      <c r="J31" t="s">
        <v>2381</v>
      </c>
      <c r="K31" t="str">
        <f t="shared" si="2"/>
        <v>yes</v>
      </c>
      <c r="L31" t="s">
        <v>2382</v>
      </c>
    </row>
    <row r="32" spans="1:17" x14ac:dyDescent="0.35">
      <c r="A32" t="s">
        <v>2342</v>
      </c>
      <c r="B32" t="str">
        <f t="shared" si="0"/>
        <v>Obesity</v>
      </c>
      <c r="C32">
        <v>43.89</v>
      </c>
      <c r="D32" t="str">
        <f t="shared" si="1"/>
        <v>Diabetes</v>
      </c>
      <c r="E32">
        <v>8.7100000000000009</v>
      </c>
      <c r="F32" t="s">
        <v>2380</v>
      </c>
      <c r="G32" t="s">
        <v>2380</v>
      </c>
      <c r="H32" t="s">
        <v>2380</v>
      </c>
      <c r="J32" t="s">
        <v>2381</v>
      </c>
      <c r="K32" t="str">
        <f t="shared" si="2"/>
        <v>yes</v>
      </c>
      <c r="L32" t="s">
        <v>2382</v>
      </c>
    </row>
    <row r="33" spans="1:12" x14ac:dyDescent="0.35">
      <c r="A33" t="s">
        <v>2341</v>
      </c>
      <c r="B33" t="str">
        <f t="shared" si="0"/>
        <v>Obesity</v>
      </c>
      <c r="C33">
        <v>42.35</v>
      </c>
      <c r="D33" t="str">
        <f t="shared" si="1"/>
        <v>Normal</v>
      </c>
      <c r="E33">
        <v>5.08</v>
      </c>
      <c r="F33" t="s">
        <v>2382</v>
      </c>
      <c r="G33" t="s">
        <v>2380</v>
      </c>
      <c r="H33" t="s">
        <v>2380</v>
      </c>
      <c r="J33" t="s">
        <v>2381</v>
      </c>
      <c r="K33" t="str">
        <f t="shared" si="2"/>
        <v>yes</v>
      </c>
      <c r="L33" t="s">
        <v>2382</v>
      </c>
    </row>
    <row r="34" spans="1:12" x14ac:dyDescent="0.35">
      <c r="A34" t="s">
        <v>2340</v>
      </c>
      <c r="B34" t="str">
        <f t="shared" si="0"/>
        <v>Obesity</v>
      </c>
      <c r="C34">
        <v>31.35</v>
      </c>
      <c r="D34" t="str">
        <f t="shared" si="1"/>
        <v>Diabetes</v>
      </c>
      <c r="E34">
        <v>6.86</v>
      </c>
      <c r="F34" t="s">
        <v>2380</v>
      </c>
      <c r="G34" t="s">
        <v>2380</v>
      </c>
      <c r="H34" t="s">
        <v>2380</v>
      </c>
      <c r="J34" t="s">
        <v>2381</v>
      </c>
      <c r="K34" t="str">
        <f t="shared" si="2"/>
        <v>yes</v>
      </c>
      <c r="L34" t="s">
        <v>2382</v>
      </c>
    </row>
    <row r="35" spans="1:12" x14ac:dyDescent="0.35">
      <c r="A35" t="s">
        <v>2339</v>
      </c>
      <c r="B35" t="str">
        <f t="shared" si="0"/>
        <v>Obesity</v>
      </c>
      <c r="C35">
        <v>47.6</v>
      </c>
      <c r="D35" t="str">
        <f t="shared" si="1"/>
        <v>Prediabetes</v>
      </c>
      <c r="E35">
        <v>5.95</v>
      </c>
      <c r="F35" t="s">
        <v>2382</v>
      </c>
      <c r="G35" t="s">
        <v>2380</v>
      </c>
      <c r="H35" t="s">
        <v>2380</v>
      </c>
      <c r="J35" t="s">
        <v>2381</v>
      </c>
      <c r="K35" t="str">
        <f t="shared" si="2"/>
        <v>yes</v>
      </c>
      <c r="L35" t="s">
        <v>2382</v>
      </c>
    </row>
    <row r="36" spans="1:12" x14ac:dyDescent="0.35">
      <c r="A36" t="s">
        <v>2338</v>
      </c>
      <c r="B36" t="str">
        <f t="shared" si="0"/>
        <v>Obesity</v>
      </c>
      <c r="C36">
        <v>46.2</v>
      </c>
      <c r="D36" t="str">
        <f t="shared" si="1"/>
        <v>Prediabetes</v>
      </c>
      <c r="E36">
        <v>6.09</v>
      </c>
      <c r="F36" t="s">
        <v>2380</v>
      </c>
      <c r="G36" t="s">
        <v>2380</v>
      </c>
      <c r="H36" t="s">
        <v>2383</v>
      </c>
      <c r="J36">
        <v>1</v>
      </c>
      <c r="K36" t="str">
        <f t="shared" si="2"/>
        <v>yes</v>
      </c>
      <c r="L36" t="s">
        <v>2382</v>
      </c>
    </row>
    <row r="37" spans="1:12" x14ac:dyDescent="0.35">
      <c r="A37" t="s">
        <v>2337</v>
      </c>
      <c r="B37" t="str">
        <f t="shared" si="0"/>
        <v>Obesity</v>
      </c>
      <c r="C37">
        <v>32.015000000000001</v>
      </c>
      <c r="D37" t="str">
        <f t="shared" si="1"/>
        <v>Diabetes</v>
      </c>
      <c r="E37">
        <v>11.75</v>
      </c>
      <c r="F37" t="s">
        <v>2380</v>
      </c>
      <c r="G37" t="s">
        <v>2380</v>
      </c>
      <c r="H37" t="s">
        <v>2380</v>
      </c>
      <c r="J37" t="s">
        <v>2381</v>
      </c>
      <c r="K37" t="str">
        <f t="shared" si="2"/>
        <v>yes</v>
      </c>
      <c r="L37" t="s">
        <v>2382</v>
      </c>
    </row>
    <row r="38" spans="1:12" x14ac:dyDescent="0.35">
      <c r="A38" t="s">
        <v>2336</v>
      </c>
      <c r="B38" t="str">
        <f t="shared" si="0"/>
        <v>Obesity</v>
      </c>
      <c r="C38">
        <v>40.564999999999998</v>
      </c>
      <c r="D38" t="str">
        <f t="shared" si="1"/>
        <v>Diabetes</v>
      </c>
      <c r="E38">
        <v>7.37</v>
      </c>
      <c r="F38" t="s">
        <v>2380</v>
      </c>
      <c r="G38" t="s">
        <v>2380</v>
      </c>
      <c r="H38" t="s">
        <v>2380</v>
      </c>
      <c r="J38" t="s">
        <v>2381</v>
      </c>
      <c r="K38" t="str">
        <f t="shared" si="2"/>
        <v>yes</v>
      </c>
      <c r="L38" t="s">
        <v>2382</v>
      </c>
    </row>
    <row r="39" spans="1:12" x14ac:dyDescent="0.35">
      <c r="A39" t="s">
        <v>2335</v>
      </c>
      <c r="B39" t="str">
        <f t="shared" si="0"/>
        <v>Obesity</v>
      </c>
      <c r="C39">
        <v>32.450000000000003</v>
      </c>
      <c r="D39" t="str">
        <f t="shared" si="1"/>
        <v>Diabetes</v>
      </c>
      <c r="E39">
        <v>11.91</v>
      </c>
      <c r="F39" t="s">
        <v>2380</v>
      </c>
      <c r="G39" t="s">
        <v>2380</v>
      </c>
      <c r="H39" t="s">
        <v>2380</v>
      </c>
      <c r="J39" t="s">
        <v>2381</v>
      </c>
      <c r="K39" t="str">
        <f t="shared" si="2"/>
        <v>yes</v>
      </c>
      <c r="L39" t="s">
        <v>2382</v>
      </c>
    </row>
    <row r="40" spans="1:12" x14ac:dyDescent="0.35">
      <c r="A40" t="s">
        <v>2334</v>
      </c>
      <c r="B40" t="str">
        <f t="shared" si="0"/>
        <v>Obesity</v>
      </c>
      <c r="C40">
        <v>34.96</v>
      </c>
      <c r="D40" t="str">
        <f t="shared" si="1"/>
        <v>Diabetes</v>
      </c>
      <c r="E40">
        <v>6.52</v>
      </c>
      <c r="F40" t="s">
        <v>2380</v>
      </c>
      <c r="G40" t="s">
        <v>2380</v>
      </c>
      <c r="H40" t="s">
        <v>2380</v>
      </c>
      <c r="J40" t="s">
        <v>2381</v>
      </c>
      <c r="K40" t="str">
        <f t="shared" si="2"/>
        <v>yes</v>
      </c>
      <c r="L40" t="s">
        <v>2382</v>
      </c>
    </row>
    <row r="41" spans="1:12" x14ac:dyDescent="0.35">
      <c r="A41" t="s">
        <v>2333</v>
      </c>
      <c r="B41" t="str">
        <f t="shared" si="0"/>
        <v>Obesity</v>
      </c>
      <c r="C41">
        <v>35.5</v>
      </c>
      <c r="D41" t="str">
        <f t="shared" si="1"/>
        <v>Normal</v>
      </c>
      <c r="E41">
        <v>5.14</v>
      </c>
      <c r="F41" t="s">
        <v>2380</v>
      </c>
      <c r="G41" t="s">
        <v>2380</v>
      </c>
      <c r="H41" t="s">
        <v>2383</v>
      </c>
      <c r="J41">
        <v>1</v>
      </c>
      <c r="K41" t="str">
        <f t="shared" si="2"/>
        <v>yes</v>
      </c>
      <c r="L41" t="s">
        <v>2382</v>
      </c>
    </row>
    <row r="42" spans="1:12" x14ac:dyDescent="0.35">
      <c r="A42" t="s">
        <v>2332</v>
      </c>
      <c r="B42" t="str">
        <f t="shared" si="0"/>
        <v>Obesity</v>
      </c>
      <c r="C42">
        <v>52.58</v>
      </c>
      <c r="D42" t="str">
        <f t="shared" si="1"/>
        <v>Normal</v>
      </c>
      <c r="E42">
        <v>4.1900000000000004</v>
      </c>
      <c r="F42" t="s">
        <v>2380</v>
      </c>
      <c r="G42" t="s">
        <v>2382</v>
      </c>
      <c r="H42" t="s">
        <v>2380</v>
      </c>
      <c r="J42">
        <v>1</v>
      </c>
      <c r="K42" t="str">
        <f t="shared" si="2"/>
        <v>yes</v>
      </c>
      <c r="L42" t="s">
        <v>2382</v>
      </c>
    </row>
    <row r="43" spans="1:12" x14ac:dyDescent="0.35">
      <c r="A43" t="s">
        <v>2331</v>
      </c>
      <c r="B43" t="str">
        <f t="shared" si="0"/>
        <v>Obesity</v>
      </c>
      <c r="C43">
        <v>35.200000000000003</v>
      </c>
      <c r="D43" t="str">
        <f t="shared" si="1"/>
        <v>Diabetes</v>
      </c>
      <c r="E43">
        <v>11.68</v>
      </c>
      <c r="F43" t="s">
        <v>2382</v>
      </c>
      <c r="G43" t="s">
        <v>2380</v>
      </c>
      <c r="H43" t="s">
        <v>2380</v>
      </c>
      <c r="J43" t="s">
        <v>2381</v>
      </c>
      <c r="K43" t="str">
        <f t="shared" si="2"/>
        <v>yes</v>
      </c>
      <c r="L43" t="s">
        <v>2382</v>
      </c>
    </row>
    <row r="44" spans="1:12" x14ac:dyDescent="0.35">
      <c r="A44" t="s">
        <v>2330</v>
      </c>
      <c r="B44" t="str">
        <f t="shared" si="0"/>
        <v>Obesity</v>
      </c>
      <c r="C44">
        <v>38.06</v>
      </c>
      <c r="D44" t="str">
        <f t="shared" si="1"/>
        <v>Diabetes</v>
      </c>
      <c r="E44">
        <v>6.98</v>
      </c>
      <c r="F44" t="s">
        <v>2380</v>
      </c>
      <c r="G44" t="s">
        <v>2380</v>
      </c>
      <c r="H44" t="s">
        <v>2380</v>
      </c>
      <c r="J44" t="s">
        <v>2381</v>
      </c>
      <c r="K44" t="str">
        <f t="shared" si="2"/>
        <v>yes</v>
      </c>
      <c r="L44" t="s">
        <v>2382</v>
      </c>
    </row>
    <row r="45" spans="1:12" x14ac:dyDescent="0.35">
      <c r="A45" t="s">
        <v>2329</v>
      </c>
      <c r="B45" t="str">
        <f t="shared" si="0"/>
        <v>Obesity</v>
      </c>
      <c r="C45">
        <v>34.21</v>
      </c>
      <c r="D45" t="str">
        <f t="shared" si="1"/>
        <v>Diabetes</v>
      </c>
      <c r="E45">
        <v>8.34</v>
      </c>
      <c r="F45" t="s">
        <v>2380</v>
      </c>
      <c r="G45" t="s">
        <v>2380</v>
      </c>
      <c r="H45" t="s">
        <v>2380</v>
      </c>
      <c r="J45" t="s">
        <v>2381</v>
      </c>
      <c r="K45" t="str">
        <f t="shared" si="2"/>
        <v>yes</v>
      </c>
      <c r="L45" t="s">
        <v>2382</v>
      </c>
    </row>
    <row r="46" spans="1:12" x14ac:dyDescent="0.35">
      <c r="A46" t="s">
        <v>2328</v>
      </c>
      <c r="B46" t="str">
        <f t="shared" si="0"/>
        <v>Obesity</v>
      </c>
      <c r="C46">
        <v>38.94</v>
      </c>
      <c r="D46" t="str">
        <f t="shared" si="1"/>
        <v>Diabetes</v>
      </c>
      <c r="E46">
        <v>8.49</v>
      </c>
      <c r="F46" t="s">
        <v>2382</v>
      </c>
      <c r="G46" t="s">
        <v>2380</v>
      </c>
      <c r="H46" t="s">
        <v>2380</v>
      </c>
      <c r="J46">
        <v>1</v>
      </c>
      <c r="K46" t="str">
        <f t="shared" si="2"/>
        <v>yes</v>
      </c>
      <c r="L46" t="s">
        <v>2382</v>
      </c>
    </row>
    <row r="47" spans="1:12" x14ac:dyDescent="0.35">
      <c r="A47" t="s">
        <v>2327</v>
      </c>
      <c r="B47" t="str">
        <f t="shared" si="0"/>
        <v>Obesity</v>
      </c>
      <c r="C47">
        <v>30.21</v>
      </c>
      <c r="D47" t="str">
        <f t="shared" si="1"/>
        <v>Normal</v>
      </c>
      <c r="E47">
        <v>5.34</v>
      </c>
      <c r="F47" t="s">
        <v>2382</v>
      </c>
      <c r="G47" t="s">
        <v>2380</v>
      </c>
      <c r="H47" t="s">
        <v>2380</v>
      </c>
      <c r="J47">
        <v>1</v>
      </c>
      <c r="K47" t="str">
        <f t="shared" si="2"/>
        <v>yes</v>
      </c>
      <c r="L47" t="s">
        <v>2382</v>
      </c>
    </row>
    <row r="48" spans="1:12" x14ac:dyDescent="0.35">
      <c r="A48" t="s">
        <v>2326</v>
      </c>
      <c r="B48" t="str">
        <f t="shared" si="0"/>
        <v>Obesity</v>
      </c>
      <c r="C48">
        <v>33.630000000000003</v>
      </c>
      <c r="D48" t="str">
        <f t="shared" si="1"/>
        <v>Normal</v>
      </c>
      <c r="E48">
        <v>4.43</v>
      </c>
      <c r="F48" t="s">
        <v>2382</v>
      </c>
      <c r="G48" t="s">
        <v>2380</v>
      </c>
      <c r="H48" t="s">
        <v>2380</v>
      </c>
      <c r="J48">
        <v>2</v>
      </c>
      <c r="K48" t="str">
        <f t="shared" si="2"/>
        <v>yes</v>
      </c>
      <c r="L48" t="s">
        <v>2382</v>
      </c>
    </row>
    <row r="49" spans="1:12" x14ac:dyDescent="0.35">
      <c r="A49" t="s">
        <v>2325</v>
      </c>
      <c r="B49" t="str">
        <f t="shared" si="0"/>
        <v>Obesity</v>
      </c>
      <c r="C49">
        <v>40.369999999999997</v>
      </c>
      <c r="D49" t="str">
        <f t="shared" si="1"/>
        <v>Normal</v>
      </c>
      <c r="E49">
        <v>4.47</v>
      </c>
      <c r="F49" t="s">
        <v>2380</v>
      </c>
      <c r="G49" t="s">
        <v>2380</v>
      </c>
      <c r="H49" t="s">
        <v>2380</v>
      </c>
      <c r="J49" t="s">
        <v>2381</v>
      </c>
      <c r="K49" t="str">
        <f t="shared" si="2"/>
        <v>yes</v>
      </c>
      <c r="L49" t="s">
        <v>2382</v>
      </c>
    </row>
    <row r="50" spans="1:12" x14ac:dyDescent="0.35">
      <c r="A50" t="s">
        <v>2324</v>
      </c>
      <c r="B50" t="str">
        <f t="shared" si="0"/>
        <v>Obesity</v>
      </c>
      <c r="C50">
        <v>53.09</v>
      </c>
      <c r="D50" t="str">
        <f t="shared" si="1"/>
        <v>Normal</v>
      </c>
      <c r="E50">
        <v>4.82</v>
      </c>
      <c r="F50" t="s">
        <v>2382</v>
      </c>
      <c r="G50" t="s">
        <v>2380</v>
      </c>
      <c r="H50" t="s">
        <v>2380</v>
      </c>
      <c r="J50">
        <v>2</v>
      </c>
      <c r="K50" t="str">
        <f t="shared" si="2"/>
        <v>yes</v>
      </c>
      <c r="L50" t="s">
        <v>2382</v>
      </c>
    </row>
    <row r="51" spans="1:12" x14ac:dyDescent="0.35">
      <c r="A51" t="s">
        <v>2323</v>
      </c>
      <c r="B51" t="str">
        <f t="shared" si="0"/>
        <v>Obesity</v>
      </c>
      <c r="C51">
        <v>31.79</v>
      </c>
      <c r="D51" t="str">
        <f t="shared" si="1"/>
        <v>Normal</v>
      </c>
      <c r="E51">
        <v>5.51</v>
      </c>
      <c r="F51" t="s">
        <v>2382</v>
      </c>
      <c r="G51" t="s">
        <v>2380</v>
      </c>
      <c r="H51" t="s">
        <v>2380</v>
      </c>
      <c r="J51">
        <v>2</v>
      </c>
      <c r="K51" t="str">
        <f t="shared" si="2"/>
        <v>yes</v>
      </c>
      <c r="L51" t="s">
        <v>2382</v>
      </c>
    </row>
    <row r="52" spans="1:12" x14ac:dyDescent="0.35">
      <c r="A52" t="s">
        <v>2322</v>
      </c>
      <c r="B52" t="str">
        <f t="shared" si="0"/>
        <v>Obesity</v>
      </c>
      <c r="C52">
        <v>41.895000000000003</v>
      </c>
      <c r="D52" t="str">
        <f t="shared" si="1"/>
        <v>Diabetes</v>
      </c>
      <c r="E52">
        <v>10.87</v>
      </c>
      <c r="F52" t="s">
        <v>2382</v>
      </c>
      <c r="G52" t="s">
        <v>2380</v>
      </c>
      <c r="H52" t="s">
        <v>2380</v>
      </c>
      <c r="J52">
        <v>1</v>
      </c>
      <c r="K52" t="str">
        <f t="shared" si="2"/>
        <v>yes</v>
      </c>
      <c r="L52" t="s">
        <v>2382</v>
      </c>
    </row>
    <row r="53" spans="1:12" x14ac:dyDescent="0.35">
      <c r="A53" t="s">
        <v>2321</v>
      </c>
      <c r="B53" t="str">
        <f t="shared" si="0"/>
        <v>Obesity</v>
      </c>
      <c r="C53">
        <v>31.16</v>
      </c>
      <c r="D53" t="str">
        <f t="shared" si="1"/>
        <v>Diabetes</v>
      </c>
      <c r="E53">
        <v>9.34</v>
      </c>
      <c r="F53" t="s">
        <v>2380</v>
      </c>
      <c r="G53" t="s">
        <v>2380</v>
      </c>
      <c r="H53" t="s">
        <v>2380</v>
      </c>
      <c r="J53" t="s">
        <v>2381</v>
      </c>
      <c r="K53" t="str">
        <f t="shared" si="2"/>
        <v>yes</v>
      </c>
      <c r="L53" t="s">
        <v>2382</v>
      </c>
    </row>
    <row r="54" spans="1:12" x14ac:dyDescent="0.35">
      <c r="A54" t="s">
        <v>2320</v>
      </c>
      <c r="B54" t="str">
        <f t="shared" si="0"/>
        <v>Obesity</v>
      </c>
      <c r="C54">
        <v>34.104999999999997</v>
      </c>
      <c r="D54" t="str">
        <f t="shared" si="1"/>
        <v>Normal</v>
      </c>
      <c r="E54">
        <v>5.03</v>
      </c>
      <c r="F54" t="s">
        <v>2382</v>
      </c>
      <c r="G54" t="s">
        <v>2380</v>
      </c>
      <c r="H54" t="s">
        <v>2383</v>
      </c>
      <c r="J54">
        <v>1</v>
      </c>
      <c r="K54" t="str">
        <f t="shared" si="2"/>
        <v>yes</v>
      </c>
      <c r="L54" t="s">
        <v>2382</v>
      </c>
    </row>
    <row r="55" spans="1:12" x14ac:dyDescent="0.35">
      <c r="A55" t="s">
        <v>2319</v>
      </c>
      <c r="B55" t="str">
        <f t="shared" si="0"/>
        <v>Obesity</v>
      </c>
      <c r="C55">
        <v>51.93</v>
      </c>
      <c r="D55" t="str">
        <f t="shared" si="1"/>
        <v>Diabetes</v>
      </c>
      <c r="E55">
        <v>11.05</v>
      </c>
      <c r="F55" t="s">
        <v>2380</v>
      </c>
      <c r="G55" t="s">
        <v>2380</v>
      </c>
      <c r="H55" t="s">
        <v>2380</v>
      </c>
      <c r="J55" t="s">
        <v>2381</v>
      </c>
      <c r="K55" t="str">
        <f t="shared" si="2"/>
        <v>yes</v>
      </c>
      <c r="L55" t="s">
        <v>2382</v>
      </c>
    </row>
    <row r="56" spans="1:12" x14ac:dyDescent="0.35">
      <c r="A56" t="s">
        <v>2318</v>
      </c>
      <c r="B56" t="str">
        <f t="shared" si="0"/>
        <v>Obesity</v>
      </c>
      <c r="C56">
        <v>38.950000000000003</v>
      </c>
      <c r="D56" t="str">
        <f t="shared" si="1"/>
        <v>Diabetes</v>
      </c>
      <c r="E56">
        <v>11.95</v>
      </c>
      <c r="F56" t="s">
        <v>2380</v>
      </c>
      <c r="G56" t="s">
        <v>2380</v>
      </c>
      <c r="H56" t="s">
        <v>2380</v>
      </c>
      <c r="J56" t="s">
        <v>2381</v>
      </c>
      <c r="K56" t="str">
        <f t="shared" si="2"/>
        <v>yes</v>
      </c>
      <c r="L56" t="s">
        <v>2382</v>
      </c>
    </row>
    <row r="57" spans="1:12" x14ac:dyDescent="0.35">
      <c r="A57" t="s">
        <v>2317</v>
      </c>
      <c r="B57" t="str">
        <f t="shared" si="0"/>
        <v>Obesity</v>
      </c>
      <c r="C57">
        <v>36.630000000000003</v>
      </c>
      <c r="D57" t="str">
        <f t="shared" si="1"/>
        <v>Diabetes</v>
      </c>
      <c r="E57">
        <v>7.72</v>
      </c>
      <c r="F57" t="s">
        <v>2382</v>
      </c>
      <c r="G57" t="s">
        <v>2380</v>
      </c>
      <c r="H57" t="s">
        <v>2380</v>
      </c>
      <c r="J57">
        <v>1</v>
      </c>
      <c r="K57" t="str">
        <f t="shared" si="2"/>
        <v>yes</v>
      </c>
      <c r="L57" t="s">
        <v>2382</v>
      </c>
    </row>
    <row r="58" spans="1:12" x14ac:dyDescent="0.35">
      <c r="A58" t="s">
        <v>2316</v>
      </c>
      <c r="B58" t="str">
        <f t="shared" si="0"/>
        <v>Obesity</v>
      </c>
      <c r="C58">
        <v>34.200000000000003</v>
      </c>
      <c r="D58" t="str">
        <f t="shared" si="1"/>
        <v>Prediabetes</v>
      </c>
      <c r="E58">
        <v>5.75</v>
      </c>
      <c r="F58" t="s">
        <v>2380</v>
      </c>
      <c r="G58" t="s">
        <v>2380</v>
      </c>
      <c r="H58" t="s">
        <v>2380</v>
      </c>
      <c r="J58">
        <v>2</v>
      </c>
      <c r="K58" t="str">
        <f t="shared" si="2"/>
        <v>yes</v>
      </c>
      <c r="L58" t="s">
        <v>2382</v>
      </c>
    </row>
    <row r="59" spans="1:12" x14ac:dyDescent="0.35">
      <c r="A59" t="s">
        <v>2315</v>
      </c>
      <c r="B59" t="str">
        <f t="shared" si="0"/>
        <v>Obesity</v>
      </c>
      <c r="C59">
        <v>50.63</v>
      </c>
      <c r="D59" t="str">
        <f t="shared" si="1"/>
        <v>Diabetes</v>
      </c>
      <c r="E59">
        <v>11.89</v>
      </c>
      <c r="F59" t="s">
        <v>2380</v>
      </c>
      <c r="G59" t="s">
        <v>2380</v>
      </c>
      <c r="H59" t="s">
        <v>2380</v>
      </c>
      <c r="J59" t="s">
        <v>2381</v>
      </c>
      <c r="K59" t="str">
        <f t="shared" si="2"/>
        <v>yes</v>
      </c>
      <c r="L59" t="s">
        <v>2382</v>
      </c>
    </row>
    <row r="60" spans="1:12" x14ac:dyDescent="0.35">
      <c r="A60" t="s">
        <v>2314</v>
      </c>
      <c r="B60" t="str">
        <f t="shared" si="0"/>
        <v>Obesity</v>
      </c>
      <c r="C60">
        <v>36.479999999999997</v>
      </c>
      <c r="D60" t="str">
        <f t="shared" si="1"/>
        <v>Prediabetes</v>
      </c>
      <c r="E60">
        <v>6.2</v>
      </c>
      <c r="F60" t="s">
        <v>2380</v>
      </c>
      <c r="G60" t="s">
        <v>2380</v>
      </c>
      <c r="H60" t="s">
        <v>2380</v>
      </c>
      <c r="J60" t="s">
        <v>2381</v>
      </c>
      <c r="K60" t="str">
        <f t="shared" si="2"/>
        <v>yes</v>
      </c>
      <c r="L60" t="s">
        <v>2382</v>
      </c>
    </row>
    <row r="61" spans="1:12" x14ac:dyDescent="0.35">
      <c r="A61" t="s">
        <v>2313</v>
      </c>
      <c r="B61" t="str">
        <f t="shared" si="0"/>
        <v>Obesity</v>
      </c>
      <c r="C61">
        <v>54.82</v>
      </c>
      <c r="D61" t="str">
        <f t="shared" si="1"/>
        <v>Diabetes</v>
      </c>
      <c r="E61">
        <v>10.61</v>
      </c>
      <c r="F61" t="s">
        <v>2380</v>
      </c>
      <c r="G61" t="s">
        <v>2380</v>
      </c>
      <c r="H61" t="s">
        <v>2380</v>
      </c>
      <c r="J61" t="s">
        <v>2381</v>
      </c>
      <c r="K61" t="str">
        <f t="shared" si="2"/>
        <v>yes</v>
      </c>
      <c r="L61" t="s">
        <v>2382</v>
      </c>
    </row>
    <row r="62" spans="1:12" x14ac:dyDescent="0.35">
      <c r="A62" t="s">
        <v>2312</v>
      </c>
      <c r="B62" t="str">
        <f t="shared" si="0"/>
        <v>Obesity</v>
      </c>
      <c r="C62">
        <v>38.06</v>
      </c>
      <c r="D62" t="str">
        <f t="shared" si="1"/>
        <v>Prediabetes</v>
      </c>
      <c r="E62">
        <v>6.04</v>
      </c>
      <c r="F62" t="s">
        <v>2380</v>
      </c>
      <c r="G62" t="s">
        <v>2380</v>
      </c>
      <c r="H62" t="s">
        <v>2383</v>
      </c>
      <c r="J62">
        <v>1</v>
      </c>
      <c r="K62" t="str">
        <f t="shared" si="2"/>
        <v>yes</v>
      </c>
      <c r="L62" t="s">
        <v>2382</v>
      </c>
    </row>
    <row r="63" spans="1:12" x14ac:dyDescent="0.35">
      <c r="A63" t="s">
        <v>2311</v>
      </c>
      <c r="B63" t="str">
        <f t="shared" si="0"/>
        <v>Obesity</v>
      </c>
      <c r="C63">
        <v>51.48</v>
      </c>
      <c r="D63" t="str">
        <f t="shared" si="1"/>
        <v>Diabetes</v>
      </c>
      <c r="E63">
        <v>9.33</v>
      </c>
      <c r="F63" t="s">
        <v>2382</v>
      </c>
      <c r="G63" t="s">
        <v>2380</v>
      </c>
      <c r="H63" t="s">
        <v>2380</v>
      </c>
      <c r="J63" t="s">
        <v>2381</v>
      </c>
      <c r="K63" t="str">
        <f t="shared" si="2"/>
        <v>yes</v>
      </c>
      <c r="L63" t="s">
        <v>2382</v>
      </c>
    </row>
    <row r="64" spans="1:12" x14ac:dyDescent="0.35">
      <c r="A64" t="s">
        <v>2310</v>
      </c>
      <c r="B64" t="str">
        <f t="shared" si="0"/>
        <v>Obesity</v>
      </c>
      <c r="C64">
        <v>52.06</v>
      </c>
      <c r="D64" t="str">
        <f t="shared" si="1"/>
        <v>Diabetes</v>
      </c>
      <c r="E64">
        <v>11.47</v>
      </c>
      <c r="F64" t="s">
        <v>2380</v>
      </c>
      <c r="G64" t="s">
        <v>2380</v>
      </c>
      <c r="H64" t="s">
        <v>2380</v>
      </c>
      <c r="J64" t="s">
        <v>2381</v>
      </c>
      <c r="K64" t="str">
        <f t="shared" si="2"/>
        <v>yes</v>
      </c>
      <c r="L64" t="s">
        <v>2382</v>
      </c>
    </row>
    <row r="65" spans="1:12" x14ac:dyDescent="0.35">
      <c r="A65" t="s">
        <v>2309</v>
      </c>
      <c r="B65" t="str">
        <f t="shared" si="0"/>
        <v>Obesity</v>
      </c>
      <c r="C65">
        <v>30.684999999999999</v>
      </c>
      <c r="D65" t="str">
        <f t="shared" si="1"/>
        <v>Diabetes</v>
      </c>
      <c r="E65">
        <v>7.02</v>
      </c>
      <c r="F65" t="s">
        <v>2382</v>
      </c>
      <c r="G65" t="s">
        <v>2380</v>
      </c>
      <c r="H65" t="s">
        <v>2380</v>
      </c>
      <c r="J65" t="s">
        <v>2381</v>
      </c>
      <c r="K65" t="str">
        <f t="shared" si="2"/>
        <v>yes</v>
      </c>
      <c r="L65" t="s">
        <v>2382</v>
      </c>
    </row>
    <row r="66" spans="1:12" x14ac:dyDescent="0.35">
      <c r="A66" t="s">
        <v>2308</v>
      </c>
      <c r="B66" t="str">
        <f t="shared" si="0"/>
        <v>Obesity</v>
      </c>
      <c r="C66">
        <v>36.08</v>
      </c>
      <c r="D66" t="str">
        <f t="shared" si="1"/>
        <v>Diabetes</v>
      </c>
      <c r="E66">
        <v>8.8000000000000007</v>
      </c>
      <c r="F66" t="s">
        <v>2382</v>
      </c>
      <c r="G66" t="s">
        <v>2380</v>
      </c>
      <c r="H66" t="s">
        <v>2380</v>
      </c>
      <c r="J66">
        <v>1</v>
      </c>
      <c r="K66" t="str">
        <f t="shared" si="2"/>
        <v>yes</v>
      </c>
      <c r="L66" t="s">
        <v>2382</v>
      </c>
    </row>
    <row r="67" spans="1:12" x14ac:dyDescent="0.35">
      <c r="A67" t="s">
        <v>2307</v>
      </c>
      <c r="B67" t="str">
        <f t="shared" ref="B67:B130" si="3">_xlfn.IFS(C67&lt;18.5, "Underweight", C67&lt;=24.9, "Normal Weight", C67&lt;=29.9, "Overweight", C67&gt;=30, "Obesity")</f>
        <v>Obesity</v>
      </c>
      <c r="C67">
        <v>54.99</v>
      </c>
      <c r="D67" t="str">
        <f t="shared" ref="D67:D130" si="4">_xlfn.IFS(E67&lt;5.7, "Normal", E67&lt;=6.4, "Prediabetes", E67&gt;=6.5, "Diabetes")</f>
        <v>Diabetes</v>
      </c>
      <c r="E67">
        <v>8.68</v>
      </c>
      <c r="F67" t="s">
        <v>2380</v>
      </c>
      <c r="G67" t="s">
        <v>2380</v>
      </c>
      <c r="H67" t="s">
        <v>2380</v>
      </c>
      <c r="J67">
        <v>2</v>
      </c>
      <c r="K67" t="str">
        <f t="shared" si="2"/>
        <v>yes</v>
      </c>
      <c r="L67" t="s">
        <v>2382</v>
      </c>
    </row>
    <row r="68" spans="1:12" x14ac:dyDescent="0.35">
      <c r="A68" t="s">
        <v>2306</v>
      </c>
      <c r="B68" t="str">
        <f t="shared" si="3"/>
        <v>Obesity</v>
      </c>
      <c r="C68">
        <v>35.97</v>
      </c>
      <c r="D68" t="str">
        <f t="shared" si="4"/>
        <v>Prediabetes</v>
      </c>
      <c r="E68">
        <v>6.12</v>
      </c>
      <c r="F68" t="s">
        <v>2380</v>
      </c>
      <c r="G68" t="s">
        <v>2380</v>
      </c>
      <c r="H68" t="s">
        <v>2383</v>
      </c>
      <c r="J68">
        <v>1</v>
      </c>
      <c r="K68" t="str">
        <f t="shared" ref="K68:K131" si="5">IF(OR(L68="?", ISBLANK(L68)), "No", L68)</f>
        <v>yes</v>
      </c>
      <c r="L68" t="s">
        <v>2382</v>
      </c>
    </row>
    <row r="69" spans="1:12" x14ac:dyDescent="0.35">
      <c r="A69" t="s">
        <v>2305</v>
      </c>
      <c r="B69" t="str">
        <f t="shared" si="3"/>
        <v>Obesity</v>
      </c>
      <c r="C69">
        <v>45.54</v>
      </c>
      <c r="D69" t="str">
        <f t="shared" si="4"/>
        <v>Normal</v>
      </c>
      <c r="E69">
        <v>5.4</v>
      </c>
      <c r="F69" t="s">
        <v>2382</v>
      </c>
      <c r="G69" t="s">
        <v>2380</v>
      </c>
      <c r="H69" t="s">
        <v>2383</v>
      </c>
      <c r="J69">
        <v>1</v>
      </c>
      <c r="K69" t="str">
        <f t="shared" si="5"/>
        <v>yes</v>
      </c>
      <c r="L69" t="s">
        <v>2382</v>
      </c>
    </row>
    <row r="70" spans="1:12" x14ac:dyDescent="0.35">
      <c r="A70" t="s">
        <v>2304</v>
      </c>
      <c r="B70" t="str">
        <f t="shared" si="3"/>
        <v>Obesity</v>
      </c>
      <c r="C70">
        <v>35.53</v>
      </c>
      <c r="D70" t="str">
        <f t="shared" si="4"/>
        <v>Normal</v>
      </c>
      <c r="E70">
        <v>4.3600000000000003</v>
      </c>
      <c r="F70" t="s">
        <v>2382</v>
      </c>
      <c r="G70" t="s">
        <v>2380</v>
      </c>
      <c r="H70" t="s">
        <v>2380</v>
      </c>
      <c r="J70" t="s">
        <v>2381</v>
      </c>
      <c r="K70" t="str">
        <f t="shared" si="5"/>
        <v>yes</v>
      </c>
      <c r="L70" t="s">
        <v>2382</v>
      </c>
    </row>
    <row r="71" spans="1:12" x14ac:dyDescent="0.35">
      <c r="A71" t="s">
        <v>2303</v>
      </c>
      <c r="B71" t="str">
        <f t="shared" si="3"/>
        <v>Obesity</v>
      </c>
      <c r="C71">
        <v>30.8</v>
      </c>
      <c r="D71" t="str">
        <f t="shared" si="4"/>
        <v>Diabetes</v>
      </c>
      <c r="E71">
        <v>9.77</v>
      </c>
      <c r="F71" t="s">
        <v>2380</v>
      </c>
      <c r="G71" t="s">
        <v>2380</v>
      </c>
      <c r="H71" t="s">
        <v>2380</v>
      </c>
      <c r="J71" t="s">
        <v>2381</v>
      </c>
      <c r="K71" t="str">
        <f t="shared" si="5"/>
        <v>yes</v>
      </c>
      <c r="L71" t="s">
        <v>2382</v>
      </c>
    </row>
    <row r="72" spans="1:12" x14ac:dyDescent="0.35">
      <c r="A72" t="s">
        <v>2302</v>
      </c>
      <c r="B72" t="str">
        <f t="shared" si="3"/>
        <v>Obesity</v>
      </c>
      <c r="C72">
        <v>38.39</v>
      </c>
      <c r="D72" t="str">
        <f t="shared" si="4"/>
        <v>Normal</v>
      </c>
      <c r="E72">
        <v>4.25</v>
      </c>
      <c r="F72" t="s">
        <v>2380</v>
      </c>
      <c r="G72" t="s">
        <v>2380</v>
      </c>
      <c r="H72" t="s">
        <v>2380</v>
      </c>
      <c r="J72">
        <v>1</v>
      </c>
      <c r="K72" t="str">
        <f t="shared" si="5"/>
        <v>yes</v>
      </c>
      <c r="L72" t="s">
        <v>2382</v>
      </c>
    </row>
    <row r="73" spans="1:12" x14ac:dyDescent="0.35">
      <c r="A73" t="s">
        <v>2301</v>
      </c>
      <c r="B73" t="str">
        <f t="shared" si="3"/>
        <v>Obesity</v>
      </c>
      <c r="C73">
        <v>32.299999999999997</v>
      </c>
      <c r="D73" t="str">
        <f t="shared" si="4"/>
        <v>Normal</v>
      </c>
      <c r="E73">
        <v>4.76</v>
      </c>
      <c r="F73" t="s">
        <v>2380</v>
      </c>
      <c r="G73" t="s">
        <v>2380</v>
      </c>
      <c r="H73" t="s">
        <v>2380</v>
      </c>
      <c r="J73">
        <v>2</v>
      </c>
      <c r="K73" t="str">
        <f t="shared" si="5"/>
        <v>yes</v>
      </c>
      <c r="L73" t="s">
        <v>2382</v>
      </c>
    </row>
    <row r="74" spans="1:12" x14ac:dyDescent="0.35">
      <c r="A74" t="s">
        <v>2300</v>
      </c>
      <c r="B74" t="str">
        <f t="shared" si="3"/>
        <v>Obesity</v>
      </c>
      <c r="C74">
        <v>48.8</v>
      </c>
      <c r="D74" t="str">
        <f t="shared" si="4"/>
        <v>Prediabetes</v>
      </c>
      <c r="E74">
        <v>6.22</v>
      </c>
      <c r="F74" t="s">
        <v>2382</v>
      </c>
      <c r="G74" t="s">
        <v>2380</v>
      </c>
      <c r="H74" t="s">
        <v>2380</v>
      </c>
      <c r="J74">
        <v>2</v>
      </c>
      <c r="K74" t="str">
        <f t="shared" si="5"/>
        <v>yes</v>
      </c>
      <c r="L74" t="s">
        <v>2382</v>
      </c>
    </row>
    <row r="75" spans="1:12" x14ac:dyDescent="0.35">
      <c r="A75" t="s">
        <v>2299</v>
      </c>
      <c r="B75" t="str">
        <f t="shared" si="3"/>
        <v>Obesity</v>
      </c>
      <c r="C75">
        <v>45.5</v>
      </c>
      <c r="D75" t="str">
        <f t="shared" si="4"/>
        <v>Diabetes</v>
      </c>
      <c r="E75">
        <v>7.96</v>
      </c>
      <c r="F75" t="s">
        <v>2380</v>
      </c>
      <c r="G75" t="s">
        <v>2380</v>
      </c>
      <c r="H75" t="s">
        <v>2380</v>
      </c>
      <c r="J75" t="s">
        <v>2381</v>
      </c>
      <c r="K75" t="str">
        <f t="shared" si="5"/>
        <v>yes</v>
      </c>
      <c r="L75" t="s">
        <v>2382</v>
      </c>
    </row>
    <row r="76" spans="1:12" x14ac:dyDescent="0.35">
      <c r="A76" t="s">
        <v>2298</v>
      </c>
      <c r="B76" t="str">
        <f t="shared" si="3"/>
        <v>Obesity</v>
      </c>
      <c r="C76">
        <v>53.61</v>
      </c>
      <c r="D76" t="str">
        <f t="shared" si="4"/>
        <v>Diabetes</v>
      </c>
      <c r="E76">
        <v>10.92</v>
      </c>
      <c r="F76" t="s">
        <v>2382</v>
      </c>
      <c r="G76" t="s">
        <v>2380</v>
      </c>
      <c r="H76" t="s">
        <v>2380</v>
      </c>
      <c r="J76">
        <v>1</v>
      </c>
      <c r="K76" t="str">
        <f t="shared" si="5"/>
        <v>yes</v>
      </c>
      <c r="L76" t="s">
        <v>2382</v>
      </c>
    </row>
    <row r="77" spans="1:12" x14ac:dyDescent="0.35">
      <c r="A77" t="s">
        <v>2297</v>
      </c>
      <c r="B77" t="str">
        <f t="shared" si="3"/>
        <v>Obesity</v>
      </c>
      <c r="C77">
        <v>36.19</v>
      </c>
      <c r="D77" t="str">
        <f t="shared" si="4"/>
        <v>Diabetes</v>
      </c>
      <c r="E77">
        <v>11.51</v>
      </c>
      <c r="F77" t="s">
        <v>2382</v>
      </c>
      <c r="G77" t="s">
        <v>2380</v>
      </c>
      <c r="H77" t="s">
        <v>2380</v>
      </c>
      <c r="J77">
        <v>1</v>
      </c>
      <c r="K77" t="str">
        <f t="shared" si="5"/>
        <v>yes</v>
      </c>
      <c r="L77" t="s">
        <v>2382</v>
      </c>
    </row>
    <row r="78" spans="1:12" x14ac:dyDescent="0.35">
      <c r="A78" t="s">
        <v>2296</v>
      </c>
      <c r="B78" t="str">
        <f t="shared" si="3"/>
        <v>Obesity</v>
      </c>
      <c r="C78">
        <v>34.6</v>
      </c>
      <c r="D78" t="str">
        <f t="shared" si="4"/>
        <v>Prediabetes</v>
      </c>
      <c r="E78">
        <v>5.99</v>
      </c>
      <c r="F78" t="s">
        <v>2382</v>
      </c>
      <c r="G78" t="s">
        <v>2380</v>
      </c>
      <c r="H78" t="s">
        <v>2380</v>
      </c>
      <c r="J78" t="s">
        <v>2381</v>
      </c>
      <c r="K78" t="str">
        <f t="shared" si="5"/>
        <v>yes</v>
      </c>
      <c r="L78" t="s">
        <v>2382</v>
      </c>
    </row>
    <row r="79" spans="1:12" x14ac:dyDescent="0.35">
      <c r="A79" t="s">
        <v>2295</v>
      </c>
      <c r="B79" t="str">
        <f t="shared" si="3"/>
        <v>Obesity</v>
      </c>
      <c r="C79">
        <v>54.12</v>
      </c>
      <c r="D79" t="str">
        <f t="shared" si="4"/>
        <v>Diabetes</v>
      </c>
      <c r="E79">
        <v>11.57</v>
      </c>
      <c r="F79" t="s">
        <v>2380</v>
      </c>
      <c r="G79" t="s">
        <v>2380</v>
      </c>
      <c r="H79" t="s">
        <v>2380</v>
      </c>
      <c r="J79" t="s">
        <v>2381</v>
      </c>
      <c r="K79" t="str">
        <f t="shared" si="5"/>
        <v>yes</v>
      </c>
      <c r="L79" t="s">
        <v>2382</v>
      </c>
    </row>
    <row r="80" spans="1:12" x14ac:dyDescent="0.35">
      <c r="A80" t="s">
        <v>2294</v>
      </c>
      <c r="B80" t="str">
        <f t="shared" si="3"/>
        <v>Obesity</v>
      </c>
      <c r="C80">
        <v>48.82</v>
      </c>
      <c r="D80" t="str">
        <f t="shared" si="4"/>
        <v>Diabetes</v>
      </c>
      <c r="E80">
        <v>6.67</v>
      </c>
      <c r="F80" t="s">
        <v>2382</v>
      </c>
      <c r="G80" t="s">
        <v>2380</v>
      </c>
      <c r="H80" t="s">
        <v>2380</v>
      </c>
      <c r="J80" t="s">
        <v>2381</v>
      </c>
      <c r="K80" t="str">
        <f t="shared" si="5"/>
        <v>yes</v>
      </c>
      <c r="L80" t="s">
        <v>2382</v>
      </c>
    </row>
    <row r="81" spans="1:12" x14ac:dyDescent="0.35">
      <c r="A81" t="s">
        <v>2293</v>
      </c>
      <c r="B81" t="str">
        <f t="shared" si="3"/>
        <v>Obesity</v>
      </c>
      <c r="C81">
        <v>51.01</v>
      </c>
      <c r="D81" t="str">
        <f t="shared" si="4"/>
        <v>Diabetes</v>
      </c>
      <c r="E81">
        <v>9.1999999999999993</v>
      </c>
      <c r="F81" t="s">
        <v>2380</v>
      </c>
      <c r="G81" t="s">
        <v>2380</v>
      </c>
      <c r="H81" t="s">
        <v>2380</v>
      </c>
      <c r="J81" t="s">
        <v>2381</v>
      </c>
      <c r="K81" t="str">
        <f t="shared" si="5"/>
        <v>yes</v>
      </c>
      <c r="L81" t="s">
        <v>2382</v>
      </c>
    </row>
    <row r="82" spans="1:12" x14ac:dyDescent="0.35">
      <c r="A82" t="s">
        <v>2292</v>
      </c>
      <c r="B82" t="str">
        <f t="shared" si="3"/>
        <v>Obesity</v>
      </c>
      <c r="C82">
        <v>45.65</v>
      </c>
      <c r="D82" t="str">
        <f t="shared" si="4"/>
        <v>Normal</v>
      </c>
      <c r="E82">
        <v>5.1100000000000003</v>
      </c>
      <c r="F82" t="s">
        <v>2382</v>
      </c>
      <c r="G82" t="s">
        <v>2380</v>
      </c>
      <c r="H82" t="s">
        <v>2380</v>
      </c>
      <c r="J82">
        <v>1</v>
      </c>
      <c r="K82" t="str">
        <f t="shared" si="5"/>
        <v>yes</v>
      </c>
      <c r="L82" t="s">
        <v>2382</v>
      </c>
    </row>
    <row r="83" spans="1:12" x14ac:dyDescent="0.35">
      <c r="A83" t="s">
        <v>2291</v>
      </c>
      <c r="B83" t="str">
        <f t="shared" si="3"/>
        <v>Obesity</v>
      </c>
      <c r="C83">
        <v>52.9</v>
      </c>
      <c r="D83" t="str">
        <f t="shared" si="4"/>
        <v>Normal</v>
      </c>
      <c r="E83">
        <v>5.34</v>
      </c>
      <c r="F83" t="s">
        <v>2380</v>
      </c>
      <c r="G83" t="s">
        <v>2380</v>
      </c>
      <c r="H83" t="s">
        <v>2380</v>
      </c>
      <c r="J83" t="s">
        <v>2381</v>
      </c>
      <c r="K83" t="str">
        <f t="shared" si="5"/>
        <v>yes</v>
      </c>
      <c r="L83" t="s">
        <v>2382</v>
      </c>
    </row>
    <row r="84" spans="1:12" x14ac:dyDescent="0.35">
      <c r="A84" t="s">
        <v>2290</v>
      </c>
      <c r="B84" t="str">
        <f t="shared" si="3"/>
        <v>Obesity</v>
      </c>
      <c r="C84">
        <v>45.41</v>
      </c>
      <c r="D84" t="str">
        <f t="shared" si="4"/>
        <v>Normal</v>
      </c>
      <c r="E84">
        <v>4.03</v>
      </c>
      <c r="F84" t="s">
        <v>2382</v>
      </c>
      <c r="G84" t="s">
        <v>2380</v>
      </c>
      <c r="H84" t="s">
        <v>2380</v>
      </c>
      <c r="J84">
        <v>1</v>
      </c>
      <c r="K84" t="str">
        <f t="shared" si="5"/>
        <v>yes</v>
      </c>
      <c r="L84" t="s">
        <v>2382</v>
      </c>
    </row>
    <row r="85" spans="1:12" x14ac:dyDescent="0.35">
      <c r="A85" t="s">
        <v>2289</v>
      </c>
      <c r="B85" t="str">
        <f t="shared" si="3"/>
        <v>Obesity</v>
      </c>
      <c r="C85">
        <v>49.41</v>
      </c>
      <c r="D85" t="str">
        <f t="shared" si="4"/>
        <v>Normal</v>
      </c>
      <c r="E85">
        <v>4.2300000000000004</v>
      </c>
      <c r="F85" t="s">
        <v>2382</v>
      </c>
      <c r="G85" t="s">
        <v>2380</v>
      </c>
      <c r="H85" t="s">
        <v>2383</v>
      </c>
      <c r="J85">
        <v>1</v>
      </c>
      <c r="K85" t="str">
        <f t="shared" si="5"/>
        <v>yes</v>
      </c>
      <c r="L85" t="s">
        <v>2382</v>
      </c>
    </row>
    <row r="86" spans="1:12" x14ac:dyDescent="0.35">
      <c r="A86" t="s">
        <v>2288</v>
      </c>
      <c r="B86" t="str">
        <f t="shared" si="3"/>
        <v>Obesity</v>
      </c>
      <c r="C86">
        <v>31.824999999999999</v>
      </c>
      <c r="D86" t="str">
        <f t="shared" si="4"/>
        <v>Normal</v>
      </c>
      <c r="E86">
        <v>4.0599999999999996</v>
      </c>
      <c r="F86" t="s">
        <v>2380</v>
      </c>
      <c r="G86" t="s">
        <v>2380</v>
      </c>
      <c r="H86" t="s">
        <v>2380</v>
      </c>
      <c r="J86">
        <v>2</v>
      </c>
      <c r="K86" t="str">
        <f t="shared" si="5"/>
        <v>yes</v>
      </c>
      <c r="L86" t="s">
        <v>2382</v>
      </c>
    </row>
    <row r="87" spans="1:12" x14ac:dyDescent="0.35">
      <c r="A87" t="s">
        <v>2287</v>
      </c>
      <c r="B87" t="str">
        <f t="shared" si="3"/>
        <v>Obesity</v>
      </c>
      <c r="C87">
        <v>51.28</v>
      </c>
      <c r="D87" t="str">
        <f t="shared" si="4"/>
        <v>Normal</v>
      </c>
      <c r="E87">
        <v>4.68</v>
      </c>
      <c r="F87" t="s">
        <v>2380</v>
      </c>
      <c r="G87" t="s">
        <v>2380</v>
      </c>
      <c r="H87" t="s">
        <v>2380</v>
      </c>
      <c r="J87">
        <v>2</v>
      </c>
      <c r="K87" t="str">
        <f t="shared" si="5"/>
        <v>yes</v>
      </c>
      <c r="L87" t="s">
        <v>2382</v>
      </c>
    </row>
    <row r="88" spans="1:12" x14ac:dyDescent="0.35">
      <c r="A88" t="s">
        <v>2286</v>
      </c>
      <c r="B88" t="str">
        <f t="shared" si="3"/>
        <v>Obesity</v>
      </c>
      <c r="C88">
        <v>34.96</v>
      </c>
      <c r="D88" t="str">
        <f t="shared" si="4"/>
        <v>Normal</v>
      </c>
      <c r="E88">
        <v>4.34</v>
      </c>
      <c r="F88" t="s">
        <v>2380</v>
      </c>
      <c r="G88" t="s">
        <v>2380</v>
      </c>
      <c r="H88" t="s">
        <v>2383</v>
      </c>
      <c r="J88">
        <v>1</v>
      </c>
      <c r="K88" t="str">
        <f t="shared" si="5"/>
        <v>yes</v>
      </c>
      <c r="L88" t="s">
        <v>2382</v>
      </c>
    </row>
    <row r="89" spans="1:12" x14ac:dyDescent="0.35">
      <c r="A89" t="s">
        <v>2285</v>
      </c>
      <c r="B89" t="str">
        <f t="shared" si="3"/>
        <v>Obesity</v>
      </c>
      <c r="C89">
        <v>33.11</v>
      </c>
      <c r="D89" t="str">
        <f t="shared" si="4"/>
        <v>Diabetes</v>
      </c>
      <c r="E89">
        <v>10.51</v>
      </c>
      <c r="F89" t="s">
        <v>2380</v>
      </c>
      <c r="G89" t="s">
        <v>2380</v>
      </c>
      <c r="H89" t="s">
        <v>2380</v>
      </c>
      <c r="J89" t="s">
        <v>2381</v>
      </c>
      <c r="K89" t="str">
        <f t="shared" si="5"/>
        <v>yes</v>
      </c>
      <c r="L89" t="s">
        <v>2382</v>
      </c>
    </row>
    <row r="90" spans="1:12" x14ac:dyDescent="0.35">
      <c r="A90" t="s">
        <v>2284</v>
      </c>
      <c r="B90" t="str">
        <f t="shared" si="3"/>
        <v>Obesity</v>
      </c>
      <c r="C90">
        <v>54.74</v>
      </c>
      <c r="D90" t="str">
        <f t="shared" si="4"/>
        <v>Prediabetes</v>
      </c>
      <c r="E90">
        <v>5.84</v>
      </c>
      <c r="F90" t="s">
        <v>2382</v>
      </c>
      <c r="G90" t="s">
        <v>2380</v>
      </c>
      <c r="H90" t="s">
        <v>2383</v>
      </c>
      <c r="J90">
        <v>1</v>
      </c>
      <c r="K90" t="str">
        <f t="shared" si="5"/>
        <v>yes</v>
      </c>
      <c r="L90" t="s">
        <v>2382</v>
      </c>
    </row>
    <row r="91" spans="1:12" x14ac:dyDescent="0.35">
      <c r="A91" t="s">
        <v>2283</v>
      </c>
      <c r="B91" t="str">
        <f t="shared" si="3"/>
        <v>Obesity</v>
      </c>
      <c r="C91">
        <v>32.56</v>
      </c>
      <c r="D91" t="str">
        <f t="shared" si="4"/>
        <v>Normal</v>
      </c>
      <c r="E91">
        <v>5.41</v>
      </c>
      <c r="F91" t="s">
        <v>2380</v>
      </c>
      <c r="G91" t="s">
        <v>2380</v>
      </c>
      <c r="H91" t="s">
        <v>2383</v>
      </c>
      <c r="J91">
        <v>1</v>
      </c>
      <c r="K91" t="str">
        <f t="shared" si="5"/>
        <v>yes</v>
      </c>
      <c r="L91" t="s">
        <v>2382</v>
      </c>
    </row>
    <row r="92" spans="1:12" x14ac:dyDescent="0.35">
      <c r="A92" t="s">
        <v>2282</v>
      </c>
      <c r="B92" t="str">
        <f t="shared" si="3"/>
        <v>Obesity</v>
      </c>
      <c r="C92">
        <v>39.049999999999997</v>
      </c>
      <c r="D92" t="str">
        <f t="shared" si="4"/>
        <v>Prediabetes</v>
      </c>
      <c r="E92">
        <v>6.06</v>
      </c>
      <c r="F92" t="s">
        <v>2380</v>
      </c>
      <c r="G92" t="s">
        <v>2380</v>
      </c>
      <c r="H92" t="s">
        <v>2380</v>
      </c>
      <c r="J92">
        <v>1</v>
      </c>
      <c r="K92" t="str">
        <f t="shared" si="5"/>
        <v>yes</v>
      </c>
      <c r="L92" t="s">
        <v>2382</v>
      </c>
    </row>
    <row r="93" spans="1:12" x14ac:dyDescent="0.35">
      <c r="A93" t="s">
        <v>2281</v>
      </c>
      <c r="B93" t="str">
        <f t="shared" si="3"/>
        <v>Obesity</v>
      </c>
      <c r="C93">
        <v>42.75</v>
      </c>
      <c r="D93" t="str">
        <f t="shared" si="4"/>
        <v>Normal</v>
      </c>
      <c r="E93">
        <v>4.22</v>
      </c>
      <c r="F93" t="s">
        <v>2380</v>
      </c>
      <c r="G93" t="s">
        <v>2380</v>
      </c>
      <c r="H93" t="s">
        <v>2380</v>
      </c>
      <c r="J93" t="s">
        <v>2381</v>
      </c>
      <c r="K93" t="str">
        <f t="shared" si="5"/>
        <v>yes</v>
      </c>
      <c r="L93" t="s">
        <v>2382</v>
      </c>
    </row>
    <row r="94" spans="1:12" x14ac:dyDescent="0.35">
      <c r="A94" t="s">
        <v>2280</v>
      </c>
      <c r="B94" t="str">
        <f t="shared" si="3"/>
        <v>Obesity</v>
      </c>
      <c r="C94">
        <v>50.58</v>
      </c>
      <c r="D94" t="str">
        <f t="shared" si="4"/>
        <v>Normal</v>
      </c>
      <c r="E94">
        <v>5.12</v>
      </c>
      <c r="F94" t="s">
        <v>2380</v>
      </c>
      <c r="G94" t="s">
        <v>2380</v>
      </c>
      <c r="H94" t="s">
        <v>2380</v>
      </c>
      <c r="J94">
        <v>2</v>
      </c>
      <c r="K94" t="str">
        <f t="shared" si="5"/>
        <v>yes</v>
      </c>
      <c r="L94" t="s">
        <v>2382</v>
      </c>
    </row>
    <row r="95" spans="1:12" x14ac:dyDescent="0.35">
      <c r="A95" t="s">
        <v>2279</v>
      </c>
      <c r="B95" t="str">
        <f t="shared" si="3"/>
        <v>Obesity</v>
      </c>
      <c r="C95">
        <v>30.495000000000001</v>
      </c>
      <c r="D95" t="str">
        <f t="shared" si="4"/>
        <v>Normal</v>
      </c>
      <c r="E95">
        <v>4.57</v>
      </c>
      <c r="F95" t="s">
        <v>2382</v>
      </c>
      <c r="G95" t="s">
        <v>2380</v>
      </c>
      <c r="H95" t="s">
        <v>2380</v>
      </c>
      <c r="J95" t="s">
        <v>2381</v>
      </c>
      <c r="K95" t="str">
        <f t="shared" si="5"/>
        <v>yes</v>
      </c>
      <c r="L95" t="s">
        <v>2382</v>
      </c>
    </row>
    <row r="96" spans="1:12" x14ac:dyDescent="0.35">
      <c r="A96" t="s">
        <v>2278</v>
      </c>
      <c r="B96" t="str">
        <f t="shared" si="3"/>
        <v>Obesity</v>
      </c>
      <c r="C96">
        <v>48.31</v>
      </c>
      <c r="D96" t="str">
        <f t="shared" si="4"/>
        <v>Diabetes</v>
      </c>
      <c r="E96">
        <v>9.58</v>
      </c>
      <c r="F96" t="s">
        <v>2382</v>
      </c>
      <c r="G96" t="s">
        <v>2380</v>
      </c>
      <c r="H96" t="s">
        <v>2380</v>
      </c>
      <c r="J96">
        <v>2</v>
      </c>
      <c r="K96" t="str">
        <f t="shared" si="5"/>
        <v>yes</v>
      </c>
      <c r="L96" t="s">
        <v>2382</v>
      </c>
    </row>
    <row r="97" spans="1:12" x14ac:dyDescent="0.35">
      <c r="A97" t="s">
        <v>2277</v>
      </c>
      <c r="B97" t="str">
        <f t="shared" si="3"/>
        <v>Obesity</v>
      </c>
      <c r="C97">
        <v>48.99</v>
      </c>
      <c r="D97" t="str">
        <f t="shared" si="4"/>
        <v>Diabetes</v>
      </c>
      <c r="E97">
        <v>9.7799999999999994</v>
      </c>
      <c r="F97" t="s">
        <v>2382</v>
      </c>
      <c r="G97" t="s">
        <v>2380</v>
      </c>
      <c r="H97" t="s">
        <v>2380</v>
      </c>
      <c r="J97">
        <v>1</v>
      </c>
      <c r="K97" t="str">
        <f t="shared" si="5"/>
        <v>yes</v>
      </c>
      <c r="L97" t="s">
        <v>2382</v>
      </c>
    </row>
    <row r="98" spans="1:12" x14ac:dyDescent="0.35">
      <c r="A98" t="s">
        <v>2276</v>
      </c>
      <c r="B98" t="str">
        <f t="shared" si="3"/>
        <v>Obesity</v>
      </c>
      <c r="C98">
        <v>38.39</v>
      </c>
      <c r="D98" t="str">
        <f t="shared" si="4"/>
        <v>Normal</v>
      </c>
      <c r="E98">
        <v>4.1100000000000003</v>
      </c>
      <c r="F98" t="s">
        <v>2382</v>
      </c>
      <c r="G98" t="s">
        <v>2380</v>
      </c>
      <c r="H98" t="s">
        <v>2380</v>
      </c>
      <c r="J98" t="s">
        <v>2381</v>
      </c>
      <c r="K98" t="str">
        <f t="shared" si="5"/>
        <v>yes</v>
      </c>
      <c r="L98" t="s">
        <v>2382</v>
      </c>
    </row>
    <row r="99" spans="1:12" x14ac:dyDescent="0.35">
      <c r="A99" t="s">
        <v>2275</v>
      </c>
      <c r="B99" t="str">
        <f t="shared" si="3"/>
        <v>Obesity</v>
      </c>
      <c r="C99">
        <v>44.34</v>
      </c>
      <c r="D99" t="str">
        <f t="shared" si="4"/>
        <v>Normal</v>
      </c>
      <c r="E99">
        <v>4.0199999999999996</v>
      </c>
      <c r="F99" t="s">
        <v>2382</v>
      </c>
      <c r="G99" t="s">
        <v>2380</v>
      </c>
      <c r="H99" t="s">
        <v>2380</v>
      </c>
      <c r="J99">
        <v>2</v>
      </c>
      <c r="K99" t="str">
        <f t="shared" si="5"/>
        <v>yes</v>
      </c>
      <c r="L99" t="s">
        <v>2382</v>
      </c>
    </row>
    <row r="100" spans="1:12" x14ac:dyDescent="0.35">
      <c r="A100" t="s">
        <v>2274</v>
      </c>
      <c r="B100" t="str">
        <f t="shared" si="3"/>
        <v>Obesity</v>
      </c>
      <c r="C100">
        <v>41.51</v>
      </c>
      <c r="D100" t="str">
        <f t="shared" si="4"/>
        <v>Diabetes</v>
      </c>
      <c r="E100">
        <v>6.92</v>
      </c>
      <c r="F100" t="s">
        <v>2380</v>
      </c>
      <c r="G100" t="s">
        <v>2380</v>
      </c>
      <c r="H100" t="s">
        <v>2380</v>
      </c>
      <c r="J100" t="s">
        <v>2381</v>
      </c>
      <c r="K100" t="str">
        <f t="shared" si="5"/>
        <v>yes</v>
      </c>
      <c r="L100" t="s">
        <v>2382</v>
      </c>
    </row>
    <row r="101" spans="1:12" x14ac:dyDescent="0.35">
      <c r="A101" t="s">
        <v>2273</v>
      </c>
      <c r="B101" t="str">
        <f t="shared" si="3"/>
        <v>Obesity</v>
      </c>
      <c r="C101">
        <v>48.2</v>
      </c>
      <c r="D101" t="str">
        <f t="shared" si="4"/>
        <v>Normal</v>
      </c>
      <c r="E101">
        <v>4.84</v>
      </c>
      <c r="F101" t="s">
        <v>2380</v>
      </c>
      <c r="G101" t="s">
        <v>2380</v>
      </c>
      <c r="H101" t="s">
        <v>2380</v>
      </c>
      <c r="J101" t="s">
        <v>2381</v>
      </c>
      <c r="K101" t="str">
        <f t="shared" si="5"/>
        <v>yes</v>
      </c>
      <c r="L101" t="s">
        <v>2382</v>
      </c>
    </row>
    <row r="102" spans="1:12" x14ac:dyDescent="0.35">
      <c r="A102" t="s">
        <v>2272</v>
      </c>
      <c r="B102" t="str">
        <f t="shared" si="3"/>
        <v>Obesity</v>
      </c>
      <c r="C102">
        <v>35.75</v>
      </c>
      <c r="D102" t="str">
        <f t="shared" si="4"/>
        <v>Diabetes</v>
      </c>
      <c r="E102">
        <v>8</v>
      </c>
      <c r="F102" t="s">
        <v>2382</v>
      </c>
      <c r="G102" t="s">
        <v>2380</v>
      </c>
      <c r="H102" t="s">
        <v>2380</v>
      </c>
      <c r="J102" t="s">
        <v>2381</v>
      </c>
      <c r="K102" t="str">
        <f t="shared" si="5"/>
        <v>yes</v>
      </c>
      <c r="L102" t="s">
        <v>2382</v>
      </c>
    </row>
    <row r="103" spans="1:12" x14ac:dyDescent="0.35">
      <c r="A103" t="s">
        <v>2271</v>
      </c>
      <c r="B103" t="str">
        <f t="shared" si="3"/>
        <v>Obesity</v>
      </c>
      <c r="C103">
        <v>53.81</v>
      </c>
      <c r="D103" t="str">
        <f t="shared" si="4"/>
        <v>Diabetes</v>
      </c>
      <c r="E103">
        <v>8.77</v>
      </c>
      <c r="F103" t="s">
        <v>2382</v>
      </c>
      <c r="G103" t="s">
        <v>2380</v>
      </c>
      <c r="H103" t="s">
        <v>2380</v>
      </c>
      <c r="J103" t="s">
        <v>2381</v>
      </c>
      <c r="K103" t="str">
        <f t="shared" si="5"/>
        <v>yes</v>
      </c>
      <c r="L103" t="s">
        <v>2382</v>
      </c>
    </row>
    <row r="104" spans="1:12" x14ac:dyDescent="0.35">
      <c r="A104" t="s">
        <v>2270</v>
      </c>
      <c r="B104" t="str">
        <f t="shared" si="3"/>
        <v>Obesity</v>
      </c>
      <c r="C104">
        <v>49.48</v>
      </c>
      <c r="D104" t="str">
        <f t="shared" si="4"/>
        <v>Normal</v>
      </c>
      <c r="E104">
        <v>4.96</v>
      </c>
      <c r="F104" t="s">
        <v>2380</v>
      </c>
      <c r="G104" t="s">
        <v>2380</v>
      </c>
      <c r="H104" t="s">
        <v>2383</v>
      </c>
      <c r="J104">
        <v>1</v>
      </c>
      <c r="K104" t="str">
        <f t="shared" si="5"/>
        <v>yes</v>
      </c>
      <c r="L104" t="s">
        <v>2382</v>
      </c>
    </row>
    <row r="105" spans="1:12" x14ac:dyDescent="0.35">
      <c r="A105" t="s">
        <v>2269</v>
      </c>
      <c r="B105" t="str">
        <f t="shared" si="3"/>
        <v>Obesity</v>
      </c>
      <c r="C105">
        <v>34.1</v>
      </c>
      <c r="D105" t="str">
        <f t="shared" si="4"/>
        <v>Normal</v>
      </c>
      <c r="E105">
        <v>4.43</v>
      </c>
      <c r="F105" t="s">
        <v>2382</v>
      </c>
      <c r="G105" t="s">
        <v>2380</v>
      </c>
      <c r="H105" t="s">
        <v>2380</v>
      </c>
      <c r="J105" t="s">
        <v>2381</v>
      </c>
      <c r="K105" t="str">
        <f t="shared" si="5"/>
        <v>yes</v>
      </c>
      <c r="L105" t="s">
        <v>2382</v>
      </c>
    </row>
    <row r="106" spans="1:12" x14ac:dyDescent="0.35">
      <c r="A106" t="s">
        <v>2268</v>
      </c>
      <c r="B106" t="str">
        <f t="shared" si="3"/>
        <v>Obesity</v>
      </c>
      <c r="C106">
        <v>35.299999999999997</v>
      </c>
      <c r="D106" t="str">
        <f t="shared" si="4"/>
        <v>Prediabetes</v>
      </c>
      <c r="E106">
        <v>5.82</v>
      </c>
      <c r="F106" t="s">
        <v>2382</v>
      </c>
      <c r="G106" t="s">
        <v>2380</v>
      </c>
      <c r="H106" t="s">
        <v>2383</v>
      </c>
      <c r="J106">
        <v>1</v>
      </c>
      <c r="K106" t="str">
        <f t="shared" si="5"/>
        <v>yes</v>
      </c>
      <c r="L106" t="s">
        <v>2382</v>
      </c>
    </row>
    <row r="107" spans="1:12" x14ac:dyDescent="0.35">
      <c r="A107" t="s">
        <v>2267</v>
      </c>
      <c r="B107" t="str">
        <f t="shared" si="3"/>
        <v>Obesity</v>
      </c>
      <c r="C107">
        <v>43.83</v>
      </c>
      <c r="D107" t="str">
        <f t="shared" si="4"/>
        <v>Prediabetes</v>
      </c>
      <c r="E107">
        <v>6.03</v>
      </c>
      <c r="F107" t="s">
        <v>2382</v>
      </c>
      <c r="G107" t="s">
        <v>2380</v>
      </c>
      <c r="H107" t="s">
        <v>2380</v>
      </c>
      <c r="J107">
        <v>2</v>
      </c>
      <c r="K107" t="str">
        <f t="shared" si="5"/>
        <v>yes</v>
      </c>
      <c r="L107" t="s">
        <v>2382</v>
      </c>
    </row>
    <row r="108" spans="1:12" x14ac:dyDescent="0.35">
      <c r="A108" t="s">
        <v>2266</v>
      </c>
      <c r="B108" t="str">
        <f t="shared" si="3"/>
        <v>Obesity</v>
      </c>
      <c r="C108">
        <v>50.07</v>
      </c>
      <c r="D108" t="str">
        <f t="shared" si="4"/>
        <v>Diabetes</v>
      </c>
      <c r="E108">
        <v>9.27</v>
      </c>
      <c r="F108" t="s">
        <v>2380</v>
      </c>
      <c r="G108" t="s">
        <v>2380</v>
      </c>
      <c r="H108" t="s">
        <v>2380</v>
      </c>
      <c r="J108" t="s">
        <v>2381</v>
      </c>
      <c r="K108" t="str">
        <f t="shared" si="5"/>
        <v>yes</v>
      </c>
      <c r="L108" t="s">
        <v>2382</v>
      </c>
    </row>
    <row r="109" spans="1:12" x14ac:dyDescent="0.35">
      <c r="A109" t="s">
        <v>2265</v>
      </c>
      <c r="B109" t="str">
        <f t="shared" si="3"/>
        <v>Obesity</v>
      </c>
      <c r="C109">
        <v>32.774999999999999</v>
      </c>
      <c r="D109" t="str">
        <f t="shared" si="4"/>
        <v>Normal</v>
      </c>
      <c r="E109">
        <v>5.53</v>
      </c>
      <c r="F109" t="s">
        <v>2380</v>
      </c>
      <c r="G109" t="s">
        <v>2380</v>
      </c>
      <c r="H109" t="s">
        <v>2380</v>
      </c>
      <c r="J109" t="s">
        <v>2381</v>
      </c>
      <c r="K109" t="str">
        <f t="shared" si="5"/>
        <v>yes</v>
      </c>
      <c r="L109" t="s">
        <v>2382</v>
      </c>
    </row>
    <row r="110" spans="1:12" x14ac:dyDescent="0.35">
      <c r="A110" t="s">
        <v>2264</v>
      </c>
      <c r="B110" t="str">
        <f t="shared" si="3"/>
        <v>Obesity</v>
      </c>
      <c r="C110">
        <v>34.104999999999997</v>
      </c>
      <c r="D110" t="str">
        <f t="shared" si="4"/>
        <v>Normal</v>
      </c>
      <c r="E110">
        <v>5.07</v>
      </c>
      <c r="F110" t="s">
        <v>2380</v>
      </c>
      <c r="G110" t="s">
        <v>2380</v>
      </c>
      <c r="H110" t="s">
        <v>2380</v>
      </c>
      <c r="J110">
        <v>1</v>
      </c>
      <c r="K110" t="str">
        <f t="shared" si="5"/>
        <v>yes</v>
      </c>
      <c r="L110" t="s">
        <v>2382</v>
      </c>
    </row>
    <row r="111" spans="1:12" x14ac:dyDescent="0.35">
      <c r="A111" t="s">
        <v>2263</v>
      </c>
      <c r="B111" t="str">
        <f t="shared" si="3"/>
        <v>Obesity</v>
      </c>
      <c r="C111">
        <v>48.93</v>
      </c>
      <c r="D111" t="str">
        <f t="shared" si="4"/>
        <v>Diabetes</v>
      </c>
      <c r="E111">
        <v>11.17</v>
      </c>
      <c r="F111" t="s">
        <v>2382</v>
      </c>
      <c r="G111" t="s">
        <v>2380</v>
      </c>
      <c r="H111" t="s">
        <v>2380</v>
      </c>
      <c r="J111">
        <v>1</v>
      </c>
      <c r="K111" t="str">
        <f t="shared" si="5"/>
        <v>yes</v>
      </c>
      <c r="L111" t="s">
        <v>2382</v>
      </c>
    </row>
    <row r="112" spans="1:12" x14ac:dyDescent="0.35">
      <c r="A112" t="s">
        <v>2262</v>
      </c>
      <c r="B112" t="str">
        <f t="shared" si="3"/>
        <v>Obesity</v>
      </c>
      <c r="C112">
        <v>37.07</v>
      </c>
      <c r="D112" t="str">
        <f t="shared" si="4"/>
        <v>Prediabetes</v>
      </c>
      <c r="E112">
        <v>6.14</v>
      </c>
      <c r="F112" t="s">
        <v>2382</v>
      </c>
      <c r="G112" t="s">
        <v>2380</v>
      </c>
      <c r="H112" t="s">
        <v>2380</v>
      </c>
      <c r="J112" t="s">
        <v>2381</v>
      </c>
      <c r="K112" t="str">
        <f t="shared" si="5"/>
        <v>yes</v>
      </c>
      <c r="L112" t="s">
        <v>2382</v>
      </c>
    </row>
    <row r="113" spans="1:12" x14ac:dyDescent="0.35">
      <c r="A113" t="s">
        <v>2261</v>
      </c>
      <c r="B113" t="str">
        <f t="shared" si="3"/>
        <v>Obesity</v>
      </c>
      <c r="C113">
        <v>51.51</v>
      </c>
      <c r="D113" t="str">
        <f t="shared" si="4"/>
        <v>Prediabetes</v>
      </c>
      <c r="E113">
        <v>6.26</v>
      </c>
      <c r="F113" t="s">
        <v>2382</v>
      </c>
      <c r="G113" t="s">
        <v>2380</v>
      </c>
      <c r="H113" t="s">
        <v>2383</v>
      </c>
      <c r="J113">
        <v>1</v>
      </c>
      <c r="K113" t="str">
        <f t="shared" si="5"/>
        <v>yes</v>
      </c>
      <c r="L113" t="s">
        <v>2382</v>
      </c>
    </row>
    <row r="114" spans="1:12" x14ac:dyDescent="0.35">
      <c r="A114" t="s">
        <v>2260</v>
      </c>
      <c r="B114" t="str">
        <f t="shared" si="3"/>
        <v>Obesity</v>
      </c>
      <c r="C114">
        <v>34.799999999999997</v>
      </c>
      <c r="D114" t="str">
        <f t="shared" si="4"/>
        <v>Normal</v>
      </c>
      <c r="E114">
        <v>4.72</v>
      </c>
      <c r="F114" t="s">
        <v>2382</v>
      </c>
      <c r="G114" t="s">
        <v>2380</v>
      </c>
      <c r="H114" t="s">
        <v>2380</v>
      </c>
      <c r="J114" t="s">
        <v>2381</v>
      </c>
      <c r="K114" t="str">
        <f t="shared" si="5"/>
        <v>yes</v>
      </c>
      <c r="L114" t="s">
        <v>2382</v>
      </c>
    </row>
    <row r="115" spans="1:12" x14ac:dyDescent="0.35">
      <c r="A115" t="s">
        <v>2259</v>
      </c>
      <c r="B115" t="str">
        <f t="shared" si="3"/>
        <v>Obesity</v>
      </c>
      <c r="C115">
        <v>36.67</v>
      </c>
      <c r="D115" t="str">
        <f t="shared" si="4"/>
        <v>Normal</v>
      </c>
      <c r="E115">
        <v>5.18</v>
      </c>
      <c r="F115" t="s">
        <v>2380</v>
      </c>
      <c r="G115" t="s">
        <v>2380</v>
      </c>
      <c r="H115" t="s">
        <v>2380</v>
      </c>
      <c r="J115">
        <v>1</v>
      </c>
      <c r="K115" t="str">
        <f t="shared" si="5"/>
        <v>yes</v>
      </c>
      <c r="L115" t="s">
        <v>2382</v>
      </c>
    </row>
    <row r="116" spans="1:12" x14ac:dyDescent="0.35">
      <c r="A116" t="s">
        <v>2258</v>
      </c>
      <c r="B116" t="str">
        <f t="shared" si="3"/>
        <v>Obesity</v>
      </c>
      <c r="C116">
        <v>30.9</v>
      </c>
      <c r="D116" t="str">
        <f t="shared" si="4"/>
        <v>Diabetes</v>
      </c>
      <c r="E116">
        <v>9.4</v>
      </c>
      <c r="F116" t="s">
        <v>2380</v>
      </c>
      <c r="G116" t="s">
        <v>2380</v>
      </c>
      <c r="H116" t="s">
        <v>2380</v>
      </c>
      <c r="J116">
        <v>2</v>
      </c>
      <c r="K116" t="str">
        <f t="shared" si="5"/>
        <v>yes</v>
      </c>
      <c r="L116" t="s">
        <v>2382</v>
      </c>
    </row>
    <row r="117" spans="1:12" x14ac:dyDescent="0.35">
      <c r="A117" t="s">
        <v>2257</v>
      </c>
      <c r="B117" t="str">
        <f t="shared" si="3"/>
        <v>Obesity</v>
      </c>
      <c r="C117">
        <v>30.495000000000001</v>
      </c>
      <c r="D117" t="str">
        <f t="shared" si="4"/>
        <v>Prediabetes</v>
      </c>
      <c r="E117">
        <v>6.29</v>
      </c>
      <c r="F117" t="s">
        <v>2380</v>
      </c>
      <c r="G117" t="s">
        <v>2380</v>
      </c>
      <c r="H117" t="s">
        <v>2380</v>
      </c>
      <c r="J117" t="s">
        <v>2381</v>
      </c>
      <c r="K117" t="str">
        <f t="shared" si="5"/>
        <v>yes</v>
      </c>
      <c r="L117" t="s">
        <v>2382</v>
      </c>
    </row>
    <row r="118" spans="1:12" x14ac:dyDescent="0.35">
      <c r="A118" t="s">
        <v>2256</v>
      </c>
      <c r="B118" t="str">
        <f t="shared" si="3"/>
        <v>Obesity</v>
      </c>
      <c r="C118">
        <v>44.88</v>
      </c>
      <c r="D118" t="str">
        <f t="shared" si="4"/>
        <v>Prediabetes</v>
      </c>
      <c r="E118">
        <v>6.04</v>
      </c>
      <c r="F118" t="s">
        <v>2380</v>
      </c>
      <c r="G118" t="s">
        <v>2380</v>
      </c>
      <c r="H118" t="s">
        <v>2383</v>
      </c>
      <c r="J118">
        <v>1</v>
      </c>
      <c r="K118" t="str">
        <f t="shared" si="5"/>
        <v>yes</v>
      </c>
      <c r="L118" t="s">
        <v>2382</v>
      </c>
    </row>
    <row r="119" spans="1:12" x14ac:dyDescent="0.35">
      <c r="A119" t="s">
        <v>2255</v>
      </c>
      <c r="B119" t="str">
        <f t="shared" si="3"/>
        <v>Obesity</v>
      </c>
      <c r="C119">
        <v>44.32</v>
      </c>
      <c r="D119" t="str">
        <f t="shared" si="4"/>
        <v>Diabetes</v>
      </c>
      <c r="E119">
        <v>10.55</v>
      </c>
      <c r="F119" t="s">
        <v>2380</v>
      </c>
      <c r="G119" t="s">
        <v>2380</v>
      </c>
      <c r="H119" t="s">
        <v>2380</v>
      </c>
      <c r="J119" t="s">
        <v>2381</v>
      </c>
      <c r="K119" t="str">
        <f t="shared" si="5"/>
        <v>yes</v>
      </c>
      <c r="L119" t="s">
        <v>2382</v>
      </c>
    </row>
    <row r="120" spans="1:12" x14ac:dyDescent="0.35">
      <c r="A120" t="s">
        <v>2254</v>
      </c>
      <c r="B120" t="str">
        <f t="shared" si="3"/>
        <v>Obesity</v>
      </c>
      <c r="C120">
        <v>46.39</v>
      </c>
      <c r="D120" t="str">
        <f t="shared" si="4"/>
        <v>Normal</v>
      </c>
      <c r="E120">
        <v>5.09</v>
      </c>
      <c r="F120" t="s">
        <v>2380</v>
      </c>
      <c r="G120" t="s">
        <v>2380</v>
      </c>
      <c r="H120" t="s">
        <v>2380</v>
      </c>
      <c r="J120" t="s">
        <v>2381</v>
      </c>
      <c r="K120" t="str">
        <f t="shared" si="5"/>
        <v>yes</v>
      </c>
      <c r="L120" t="s">
        <v>2382</v>
      </c>
    </row>
    <row r="121" spans="1:12" x14ac:dyDescent="0.35">
      <c r="A121" t="s">
        <v>2253</v>
      </c>
      <c r="B121" t="str">
        <f t="shared" si="3"/>
        <v>Obesity</v>
      </c>
      <c r="C121">
        <v>42.13</v>
      </c>
      <c r="D121" t="str">
        <f t="shared" si="4"/>
        <v>Normal</v>
      </c>
      <c r="E121">
        <v>5.2</v>
      </c>
      <c r="F121" t="s">
        <v>2382</v>
      </c>
      <c r="G121" t="s">
        <v>2380</v>
      </c>
      <c r="H121" t="s">
        <v>2380</v>
      </c>
      <c r="J121">
        <v>1</v>
      </c>
      <c r="K121" t="str">
        <f t="shared" si="5"/>
        <v>yes</v>
      </c>
      <c r="L121" t="s">
        <v>2382</v>
      </c>
    </row>
    <row r="122" spans="1:12" x14ac:dyDescent="0.35">
      <c r="A122" t="s">
        <v>2252</v>
      </c>
      <c r="B122" t="str">
        <f t="shared" si="3"/>
        <v>Obesity</v>
      </c>
      <c r="C122">
        <v>30.78</v>
      </c>
      <c r="D122" t="str">
        <f t="shared" si="4"/>
        <v>Diabetes</v>
      </c>
      <c r="E122">
        <v>8.4499999999999993</v>
      </c>
      <c r="F122" t="s">
        <v>2382</v>
      </c>
      <c r="G122" t="s">
        <v>2380</v>
      </c>
      <c r="H122" t="s">
        <v>2380</v>
      </c>
      <c r="J122" t="s">
        <v>2381</v>
      </c>
      <c r="K122" t="str">
        <f t="shared" si="5"/>
        <v>yes</v>
      </c>
      <c r="L122" t="s">
        <v>2382</v>
      </c>
    </row>
    <row r="123" spans="1:12" x14ac:dyDescent="0.35">
      <c r="A123" t="s">
        <v>2251</v>
      </c>
      <c r="B123" t="str">
        <f t="shared" si="3"/>
        <v>Obesity</v>
      </c>
      <c r="C123">
        <v>31.35</v>
      </c>
      <c r="D123" t="str">
        <f t="shared" si="4"/>
        <v>Diabetes</v>
      </c>
      <c r="E123">
        <v>9.5399999999999991</v>
      </c>
      <c r="F123" t="s">
        <v>2380</v>
      </c>
      <c r="G123" t="s">
        <v>2380</v>
      </c>
      <c r="H123" t="s">
        <v>2380</v>
      </c>
      <c r="J123" t="s">
        <v>2381</v>
      </c>
      <c r="K123" t="str">
        <f t="shared" si="5"/>
        <v>yes</v>
      </c>
      <c r="L123" t="s">
        <v>2382</v>
      </c>
    </row>
    <row r="124" spans="1:12" x14ac:dyDescent="0.35">
      <c r="A124" t="s">
        <v>2250</v>
      </c>
      <c r="B124" t="str">
        <f t="shared" si="3"/>
        <v>Obesity</v>
      </c>
      <c r="C124">
        <v>41.46</v>
      </c>
      <c r="D124" t="str">
        <f t="shared" si="4"/>
        <v>Normal</v>
      </c>
      <c r="E124">
        <v>4.99</v>
      </c>
      <c r="F124" t="s">
        <v>2382</v>
      </c>
      <c r="G124" t="s">
        <v>2380</v>
      </c>
      <c r="H124" t="s">
        <v>2380</v>
      </c>
      <c r="J124">
        <v>2</v>
      </c>
      <c r="K124" t="str">
        <f t="shared" si="5"/>
        <v>yes</v>
      </c>
      <c r="L124" t="s">
        <v>2382</v>
      </c>
    </row>
    <row r="125" spans="1:12" x14ac:dyDescent="0.35">
      <c r="A125" t="s">
        <v>2249</v>
      </c>
      <c r="B125" t="str">
        <f t="shared" si="3"/>
        <v>Obesity</v>
      </c>
      <c r="C125">
        <v>48</v>
      </c>
      <c r="D125" t="str">
        <f t="shared" si="4"/>
        <v>Diabetes</v>
      </c>
      <c r="E125">
        <v>10.54</v>
      </c>
      <c r="F125" t="s">
        <v>2380</v>
      </c>
      <c r="G125" t="s">
        <v>2380</v>
      </c>
      <c r="H125" t="s">
        <v>2380</v>
      </c>
      <c r="J125" t="s">
        <v>2381</v>
      </c>
      <c r="K125" t="str">
        <f t="shared" si="5"/>
        <v>yes</v>
      </c>
      <c r="L125" t="s">
        <v>2382</v>
      </c>
    </row>
    <row r="126" spans="1:12" x14ac:dyDescent="0.35">
      <c r="A126" t="s">
        <v>2248</v>
      </c>
      <c r="B126" t="str">
        <f t="shared" si="3"/>
        <v>Obesity</v>
      </c>
      <c r="C126">
        <v>49.13</v>
      </c>
      <c r="D126" t="str">
        <f t="shared" si="4"/>
        <v>Normal</v>
      </c>
      <c r="E126">
        <v>4.54</v>
      </c>
      <c r="F126" t="s">
        <v>2380</v>
      </c>
      <c r="G126" t="s">
        <v>2380</v>
      </c>
      <c r="H126" t="s">
        <v>2380</v>
      </c>
      <c r="J126" t="s">
        <v>2381</v>
      </c>
      <c r="K126" t="str">
        <f t="shared" si="5"/>
        <v>yes</v>
      </c>
      <c r="L126" t="s">
        <v>2382</v>
      </c>
    </row>
    <row r="127" spans="1:12" x14ac:dyDescent="0.35">
      <c r="A127" t="s">
        <v>2247</v>
      </c>
      <c r="B127" t="str">
        <f t="shared" si="3"/>
        <v>Obesity</v>
      </c>
      <c r="C127">
        <v>37.799999999999997</v>
      </c>
      <c r="D127" t="str">
        <f t="shared" si="4"/>
        <v>Prediabetes</v>
      </c>
      <c r="E127">
        <v>6.29</v>
      </c>
      <c r="F127" t="s">
        <v>2380</v>
      </c>
      <c r="G127" t="s">
        <v>2380</v>
      </c>
      <c r="H127" t="s">
        <v>2380</v>
      </c>
      <c r="J127">
        <v>1</v>
      </c>
      <c r="K127" t="str">
        <f t="shared" si="5"/>
        <v>yes</v>
      </c>
      <c r="L127" t="s">
        <v>2382</v>
      </c>
    </row>
    <row r="128" spans="1:12" x14ac:dyDescent="0.35">
      <c r="A128" t="s">
        <v>2246</v>
      </c>
      <c r="B128" t="str">
        <f t="shared" si="3"/>
        <v>Obesity</v>
      </c>
      <c r="C128">
        <v>38.299999999999997</v>
      </c>
      <c r="D128" t="str">
        <f t="shared" si="4"/>
        <v>Diabetes</v>
      </c>
      <c r="E128">
        <v>9.51</v>
      </c>
      <c r="F128" t="s">
        <v>2380</v>
      </c>
      <c r="G128" t="s">
        <v>2380</v>
      </c>
      <c r="H128" t="s">
        <v>2380</v>
      </c>
      <c r="J128" t="s">
        <v>2381</v>
      </c>
      <c r="K128" t="str">
        <f t="shared" si="5"/>
        <v>yes</v>
      </c>
      <c r="L128" t="s">
        <v>2382</v>
      </c>
    </row>
    <row r="129" spans="1:12" x14ac:dyDescent="0.35">
      <c r="A129" t="s">
        <v>2245</v>
      </c>
      <c r="B129" t="str">
        <f t="shared" si="3"/>
        <v>Obesity</v>
      </c>
      <c r="C129">
        <v>32.774999999999999</v>
      </c>
      <c r="D129" t="str">
        <f t="shared" si="4"/>
        <v>Normal</v>
      </c>
      <c r="E129">
        <v>4.72</v>
      </c>
      <c r="F129" t="s">
        <v>2380</v>
      </c>
      <c r="G129" t="s">
        <v>2380</v>
      </c>
      <c r="H129" t="s">
        <v>2380</v>
      </c>
      <c r="J129" t="s">
        <v>2381</v>
      </c>
      <c r="K129" t="str">
        <f t="shared" si="5"/>
        <v>yes</v>
      </c>
      <c r="L129" t="s">
        <v>2382</v>
      </c>
    </row>
    <row r="130" spans="1:12" x14ac:dyDescent="0.35">
      <c r="A130" t="s">
        <v>2244</v>
      </c>
      <c r="B130" t="str">
        <f t="shared" si="3"/>
        <v>Obesity</v>
      </c>
      <c r="C130">
        <v>34.200000000000003</v>
      </c>
      <c r="D130" t="str">
        <f t="shared" si="4"/>
        <v>Prediabetes</v>
      </c>
      <c r="E130">
        <v>5.91</v>
      </c>
      <c r="F130" t="s">
        <v>2382</v>
      </c>
      <c r="G130" t="s">
        <v>2380</v>
      </c>
      <c r="H130" t="s">
        <v>2380</v>
      </c>
      <c r="J130" t="s">
        <v>2381</v>
      </c>
      <c r="K130" t="str">
        <f t="shared" si="5"/>
        <v>yes</v>
      </c>
      <c r="L130" t="s">
        <v>2382</v>
      </c>
    </row>
    <row r="131" spans="1:12" x14ac:dyDescent="0.35">
      <c r="A131" t="s">
        <v>2243</v>
      </c>
      <c r="B131" t="str">
        <f t="shared" ref="B131:B194" si="6">_xlfn.IFS(C131&lt;18.5, "Underweight", C131&lt;=24.9, "Normal Weight", C131&lt;=29.9, "Overweight", C131&gt;=30, "Obesity")</f>
        <v>Obesity</v>
      </c>
      <c r="C131">
        <v>30.2</v>
      </c>
      <c r="D131" t="str">
        <f t="shared" ref="D131:D194" si="7">_xlfn.IFS(E131&lt;5.7, "Normal", E131&lt;=6.4, "Prediabetes", E131&gt;=6.5, "Diabetes")</f>
        <v>Diabetes</v>
      </c>
      <c r="E131">
        <v>9.58</v>
      </c>
      <c r="F131" t="s">
        <v>2380</v>
      </c>
      <c r="G131" t="s">
        <v>2380</v>
      </c>
      <c r="H131" t="s">
        <v>2380</v>
      </c>
      <c r="J131" t="s">
        <v>2381</v>
      </c>
      <c r="K131" t="str">
        <f t="shared" si="5"/>
        <v>yes</v>
      </c>
      <c r="L131" t="s">
        <v>2382</v>
      </c>
    </row>
    <row r="132" spans="1:12" x14ac:dyDescent="0.35">
      <c r="A132" t="s">
        <v>2242</v>
      </c>
      <c r="B132" t="str">
        <f t="shared" si="6"/>
        <v>Obesity</v>
      </c>
      <c r="C132">
        <v>48.32</v>
      </c>
      <c r="D132" t="str">
        <f t="shared" si="7"/>
        <v>Prediabetes</v>
      </c>
      <c r="E132">
        <v>5.77</v>
      </c>
      <c r="F132" t="s">
        <v>2380</v>
      </c>
      <c r="G132" t="s">
        <v>2380</v>
      </c>
      <c r="H132" t="s">
        <v>2380</v>
      </c>
      <c r="J132" t="s">
        <v>2381</v>
      </c>
      <c r="K132" t="str">
        <f t="shared" ref="K132:K195" si="8">IF(OR(L132="?", ISBLANK(L132)), "No", L132)</f>
        <v>yes</v>
      </c>
      <c r="L132" t="s">
        <v>2382</v>
      </c>
    </row>
    <row r="133" spans="1:12" x14ac:dyDescent="0.35">
      <c r="A133" t="s">
        <v>2241</v>
      </c>
      <c r="B133" t="str">
        <f t="shared" si="6"/>
        <v>Obesity</v>
      </c>
      <c r="C133">
        <v>44.86</v>
      </c>
      <c r="D133" t="str">
        <f t="shared" si="7"/>
        <v>Normal</v>
      </c>
      <c r="E133">
        <v>4.38</v>
      </c>
      <c r="F133" t="s">
        <v>2382</v>
      </c>
      <c r="G133" t="s">
        <v>2380</v>
      </c>
      <c r="H133" t="s">
        <v>2380</v>
      </c>
      <c r="J133" t="s">
        <v>2381</v>
      </c>
      <c r="K133" t="str">
        <f t="shared" si="8"/>
        <v>yes</v>
      </c>
      <c r="L133" t="s">
        <v>2382</v>
      </c>
    </row>
    <row r="134" spans="1:12" x14ac:dyDescent="0.35">
      <c r="A134" t="s">
        <v>2240</v>
      </c>
      <c r="B134" t="str">
        <f t="shared" si="6"/>
        <v>Obesity</v>
      </c>
      <c r="C134">
        <v>52.15</v>
      </c>
      <c r="D134" t="str">
        <f t="shared" si="7"/>
        <v>Normal</v>
      </c>
      <c r="E134">
        <v>5.65</v>
      </c>
      <c r="F134" t="s">
        <v>2380</v>
      </c>
      <c r="G134" t="s">
        <v>2380</v>
      </c>
      <c r="H134" t="s">
        <v>2380</v>
      </c>
      <c r="J134">
        <v>1</v>
      </c>
      <c r="K134" t="str">
        <f t="shared" si="8"/>
        <v>yes</v>
      </c>
      <c r="L134" t="s">
        <v>2382</v>
      </c>
    </row>
    <row r="135" spans="1:12" x14ac:dyDescent="0.35">
      <c r="A135" t="s">
        <v>2239</v>
      </c>
      <c r="B135" t="str">
        <f t="shared" si="6"/>
        <v>Obesity</v>
      </c>
      <c r="C135">
        <v>41.12</v>
      </c>
      <c r="D135" t="str">
        <f t="shared" si="7"/>
        <v>Diabetes</v>
      </c>
      <c r="E135">
        <v>7.54</v>
      </c>
      <c r="F135" t="s">
        <v>2382</v>
      </c>
      <c r="G135" t="s">
        <v>2380</v>
      </c>
      <c r="H135" t="s">
        <v>2380</v>
      </c>
      <c r="J135" t="s">
        <v>2381</v>
      </c>
      <c r="K135" t="str">
        <f t="shared" si="8"/>
        <v>yes</v>
      </c>
      <c r="L135" t="s">
        <v>2382</v>
      </c>
    </row>
    <row r="136" spans="1:12" x14ac:dyDescent="0.35">
      <c r="A136" t="s">
        <v>2238</v>
      </c>
      <c r="B136" t="str">
        <f t="shared" si="6"/>
        <v>Obesity</v>
      </c>
      <c r="C136">
        <v>38.39</v>
      </c>
      <c r="D136" t="str">
        <f t="shared" si="7"/>
        <v>Normal</v>
      </c>
      <c r="E136">
        <v>5.1100000000000003</v>
      </c>
      <c r="F136" t="s">
        <v>2382</v>
      </c>
      <c r="G136" t="s">
        <v>2380</v>
      </c>
      <c r="H136" t="s">
        <v>2380</v>
      </c>
      <c r="J136">
        <v>1</v>
      </c>
      <c r="K136" t="str">
        <f t="shared" si="8"/>
        <v>yes</v>
      </c>
      <c r="L136" t="s">
        <v>2382</v>
      </c>
    </row>
    <row r="137" spans="1:12" x14ac:dyDescent="0.35">
      <c r="A137" t="s">
        <v>2237</v>
      </c>
      <c r="B137" t="str">
        <f t="shared" si="6"/>
        <v>Obesity</v>
      </c>
      <c r="C137">
        <v>46.85</v>
      </c>
      <c r="D137" t="str">
        <f t="shared" si="7"/>
        <v>Normal</v>
      </c>
      <c r="E137">
        <v>4.25</v>
      </c>
      <c r="F137" t="s">
        <v>2380</v>
      </c>
      <c r="G137" t="s">
        <v>2380</v>
      </c>
      <c r="H137" t="s">
        <v>2383</v>
      </c>
      <c r="J137">
        <v>1</v>
      </c>
      <c r="K137" t="str">
        <f t="shared" si="8"/>
        <v>yes</v>
      </c>
      <c r="L137" t="s">
        <v>2382</v>
      </c>
    </row>
    <row r="138" spans="1:12" x14ac:dyDescent="0.35">
      <c r="A138" t="s">
        <v>2236</v>
      </c>
      <c r="B138" t="str">
        <f t="shared" si="6"/>
        <v>Obesity</v>
      </c>
      <c r="C138">
        <v>42.24</v>
      </c>
      <c r="D138" t="str">
        <f t="shared" si="7"/>
        <v>Normal</v>
      </c>
      <c r="E138">
        <v>5.55</v>
      </c>
      <c r="F138" t="s">
        <v>2380</v>
      </c>
      <c r="G138" t="s">
        <v>2382</v>
      </c>
      <c r="H138" t="s">
        <v>2380</v>
      </c>
      <c r="J138">
        <v>1</v>
      </c>
      <c r="K138" t="str">
        <f t="shared" si="8"/>
        <v>yes</v>
      </c>
      <c r="L138" t="s">
        <v>2382</v>
      </c>
    </row>
    <row r="139" spans="1:12" x14ac:dyDescent="0.35">
      <c r="A139" t="s">
        <v>2235</v>
      </c>
      <c r="B139" t="str">
        <f t="shared" si="6"/>
        <v>Obesity</v>
      </c>
      <c r="C139">
        <v>34.39</v>
      </c>
      <c r="D139" t="str">
        <f t="shared" si="7"/>
        <v>Prediabetes</v>
      </c>
      <c r="E139">
        <v>5.78</v>
      </c>
      <c r="F139" t="s">
        <v>2380</v>
      </c>
      <c r="G139" t="s">
        <v>2380</v>
      </c>
      <c r="H139" t="s">
        <v>2380</v>
      </c>
      <c r="J139" t="s">
        <v>2381</v>
      </c>
      <c r="K139" t="str">
        <f t="shared" si="8"/>
        <v>yes</v>
      </c>
      <c r="L139" t="s">
        <v>2382</v>
      </c>
    </row>
    <row r="140" spans="1:12" x14ac:dyDescent="0.35">
      <c r="A140" t="s">
        <v>2234</v>
      </c>
      <c r="B140" t="str">
        <f t="shared" si="6"/>
        <v>Obesity</v>
      </c>
      <c r="C140">
        <v>42.89</v>
      </c>
      <c r="D140" t="str">
        <f t="shared" si="7"/>
        <v>Normal</v>
      </c>
      <c r="E140">
        <v>5.28</v>
      </c>
      <c r="F140" t="s">
        <v>2382</v>
      </c>
      <c r="G140" t="s">
        <v>2380</v>
      </c>
      <c r="H140" t="s">
        <v>2380</v>
      </c>
      <c r="J140" t="s">
        <v>2381</v>
      </c>
      <c r="K140" t="str">
        <f t="shared" si="8"/>
        <v>yes</v>
      </c>
      <c r="L140" t="s">
        <v>2382</v>
      </c>
    </row>
    <row r="141" spans="1:12" x14ac:dyDescent="0.35">
      <c r="A141" t="s">
        <v>2233</v>
      </c>
      <c r="B141" t="str">
        <f t="shared" si="6"/>
        <v>Obesity</v>
      </c>
      <c r="C141">
        <v>36.299999999999997</v>
      </c>
      <c r="D141" t="str">
        <f t="shared" si="7"/>
        <v>Normal</v>
      </c>
      <c r="E141">
        <v>5.39</v>
      </c>
      <c r="F141" t="s">
        <v>2380</v>
      </c>
      <c r="G141" t="s">
        <v>2380</v>
      </c>
      <c r="H141" t="s">
        <v>2380</v>
      </c>
      <c r="J141" t="s">
        <v>2381</v>
      </c>
      <c r="K141" t="str">
        <f t="shared" si="8"/>
        <v>yes</v>
      </c>
      <c r="L141" t="s">
        <v>2382</v>
      </c>
    </row>
    <row r="142" spans="1:12" x14ac:dyDescent="0.35">
      <c r="A142" t="s">
        <v>2232</v>
      </c>
      <c r="B142" t="str">
        <f t="shared" si="6"/>
        <v>Obesity</v>
      </c>
      <c r="C142">
        <v>35.200000000000003</v>
      </c>
      <c r="D142" t="str">
        <f t="shared" si="7"/>
        <v>Diabetes</v>
      </c>
      <c r="E142">
        <v>8.01</v>
      </c>
      <c r="F142" t="s">
        <v>2382</v>
      </c>
      <c r="G142" t="s">
        <v>2380</v>
      </c>
      <c r="H142" t="s">
        <v>2380</v>
      </c>
      <c r="J142">
        <v>1</v>
      </c>
      <c r="K142" t="str">
        <f t="shared" si="8"/>
        <v>yes</v>
      </c>
      <c r="L142" t="s">
        <v>2382</v>
      </c>
    </row>
    <row r="143" spans="1:12" x14ac:dyDescent="0.35">
      <c r="A143" t="s">
        <v>2231</v>
      </c>
      <c r="B143" t="str">
        <f t="shared" si="6"/>
        <v>Obesity</v>
      </c>
      <c r="C143">
        <v>53.62</v>
      </c>
      <c r="D143" t="str">
        <f t="shared" si="7"/>
        <v>Normal</v>
      </c>
      <c r="E143">
        <v>5.21</v>
      </c>
      <c r="F143" t="s">
        <v>2380</v>
      </c>
      <c r="G143" t="s">
        <v>2380</v>
      </c>
      <c r="H143" t="s">
        <v>2380</v>
      </c>
      <c r="J143" t="s">
        <v>2381</v>
      </c>
      <c r="K143" t="str">
        <f t="shared" si="8"/>
        <v>yes</v>
      </c>
      <c r="L143" t="s">
        <v>2382</v>
      </c>
    </row>
    <row r="144" spans="1:12" x14ac:dyDescent="0.35">
      <c r="A144" t="s">
        <v>2230</v>
      </c>
      <c r="B144" t="str">
        <f t="shared" si="6"/>
        <v>Obesity</v>
      </c>
      <c r="C144">
        <v>36.67</v>
      </c>
      <c r="D144" t="str">
        <f t="shared" si="7"/>
        <v>Prediabetes</v>
      </c>
      <c r="E144">
        <v>6.27</v>
      </c>
      <c r="F144" t="s">
        <v>2380</v>
      </c>
      <c r="G144" t="s">
        <v>2380</v>
      </c>
      <c r="H144" t="s">
        <v>2380</v>
      </c>
      <c r="J144" t="s">
        <v>2381</v>
      </c>
      <c r="K144" t="str">
        <f t="shared" si="8"/>
        <v>yes</v>
      </c>
      <c r="L144" t="s">
        <v>2382</v>
      </c>
    </row>
    <row r="145" spans="1:12" x14ac:dyDescent="0.35">
      <c r="A145" t="s">
        <v>2229</v>
      </c>
      <c r="B145" t="str">
        <f t="shared" si="6"/>
        <v>Obesity</v>
      </c>
      <c r="C145">
        <v>33.4</v>
      </c>
      <c r="D145" t="str">
        <f t="shared" si="7"/>
        <v>Diabetes</v>
      </c>
      <c r="E145">
        <v>10.73</v>
      </c>
      <c r="F145" t="s">
        <v>2382</v>
      </c>
      <c r="G145" t="s">
        <v>2380</v>
      </c>
      <c r="H145" t="s">
        <v>2380</v>
      </c>
      <c r="J145">
        <v>1</v>
      </c>
      <c r="K145" t="str">
        <f t="shared" si="8"/>
        <v>yes</v>
      </c>
      <c r="L145" t="s">
        <v>2382</v>
      </c>
    </row>
    <row r="146" spans="1:12" x14ac:dyDescent="0.35">
      <c r="A146" t="s">
        <v>2228</v>
      </c>
      <c r="B146" t="str">
        <f t="shared" si="6"/>
        <v>Obesity</v>
      </c>
      <c r="C146">
        <v>42.71</v>
      </c>
      <c r="D146" t="str">
        <f t="shared" si="7"/>
        <v>Diabetes</v>
      </c>
      <c r="E146">
        <v>10.52</v>
      </c>
      <c r="F146" t="s">
        <v>2380</v>
      </c>
      <c r="G146" t="s">
        <v>2380</v>
      </c>
      <c r="H146" t="s">
        <v>2380</v>
      </c>
      <c r="J146" t="s">
        <v>2381</v>
      </c>
      <c r="K146" t="str">
        <f t="shared" si="8"/>
        <v>yes</v>
      </c>
      <c r="L146" t="s">
        <v>2382</v>
      </c>
    </row>
    <row r="147" spans="1:12" x14ac:dyDescent="0.35">
      <c r="A147" t="s">
        <v>2227</v>
      </c>
      <c r="B147" t="str">
        <f t="shared" si="6"/>
        <v>Obesity</v>
      </c>
      <c r="C147">
        <v>41.52</v>
      </c>
      <c r="D147" t="str">
        <f t="shared" si="7"/>
        <v>Diabetes</v>
      </c>
      <c r="E147">
        <v>11.82</v>
      </c>
      <c r="F147" t="s">
        <v>2382</v>
      </c>
      <c r="G147" t="s">
        <v>2380</v>
      </c>
      <c r="H147" t="s">
        <v>2380</v>
      </c>
      <c r="J147">
        <v>2</v>
      </c>
      <c r="K147" t="str">
        <f t="shared" si="8"/>
        <v>yes</v>
      </c>
      <c r="L147" t="s">
        <v>2382</v>
      </c>
    </row>
    <row r="148" spans="1:12" x14ac:dyDescent="0.35">
      <c r="A148" t="s">
        <v>2226</v>
      </c>
      <c r="B148" t="str">
        <f t="shared" si="6"/>
        <v>Obesity</v>
      </c>
      <c r="C148">
        <v>39.4</v>
      </c>
      <c r="D148" t="str">
        <f t="shared" si="7"/>
        <v>Diabetes</v>
      </c>
      <c r="E148">
        <v>6.76</v>
      </c>
      <c r="F148" t="s">
        <v>2380</v>
      </c>
      <c r="G148" t="s">
        <v>2380</v>
      </c>
      <c r="H148" t="s">
        <v>2380</v>
      </c>
      <c r="J148" t="s">
        <v>2381</v>
      </c>
      <c r="K148" t="str">
        <f t="shared" si="8"/>
        <v>yes</v>
      </c>
      <c r="L148" t="s">
        <v>2382</v>
      </c>
    </row>
    <row r="149" spans="1:12" x14ac:dyDescent="0.35">
      <c r="A149" t="s">
        <v>2225</v>
      </c>
      <c r="B149" t="str">
        <f t="shared" si="6"/>
        <v>Obesity</v>
      </c>
      <c r="C149">
        <v>46.45</v>
      </c>
      <c r="D149" t="str">
        <f t="shared" si="7"/>
        <v>Normal</v>
      </c>
      <c r="E149">
        <v>5.62</v>
      </c>
      <c r="F149" t="s">
        <v>2380</v>
      </c>
      <c r="G149" t="s">
        <v>2380</v>
      </c>
      <c r="H149" t="s">
        <v>2380</v>
      </c>
      <c r="J149" t="s">
        <v>2381</v>
      </c>
      <c r="K149" t="str">
        <f t="shared" si="8"/>
        <v>yes</v>
      </c>
      <c r="L149" t="s">
        <v>2382</v>
      </c>
    </row>
    <row r="150" spans="1:12" x14ac:dyDescent="0.35">
      <c r="A150" t="s">
        <v>2224</v>
      </c>
      <c r="B150" t="str">
        <f t="shared" si="6"/>
        <v>Obesity</v>
      </c>
      <c r="C150">
        <v>35.75</v>
      </c>
      <c r="D150" t="str">
        <f t="shared" si="7"/>
        <v>Normal</v>
      </c>
      <c r="E150">
        <v>4.1900000000000004</v>
      </c>
      <c r="F150" t="s">
        <v>2380</v>
      </c>
      <c r="G150" t="s">
        <v>2380</v>
      </c>
      <c r="H150" t="s">
        <v>2380</v>
      </c>
      <c r="J150" t="s">
        <v>2381</v>
      </c>
      <c r="K150" t="str">
        <f t="shared" si="8"/>
        <v>yes</v>
      </c>
      <c r="L150" t="s">
        <v>2382</v>
      </c>
    </row>
    <row r="151" spans="1:12" x14ac:dyDescent="0.35">
      <c r="A151" t="s">
        <v>2223</v>
      </c>
      <c r="B151" t="str">
        <f t="shared" si="6"/>
        <v>Overweight</v>
      </c>
      <c r="C151">
        <v>26.07</v>
      </c>
      <c r="D151" t="str">
        <f t="shared" si="7"/>
        <v>Normal</v>
      </c>
      <c r="E151">
        <v>5.32</v>
      </c>
      <c r="F151" t="s">
        <v>2380</v>
      </c>
      <c r="G151" t="s">
        <v>2380</v>
      </c>
      <c r="H151" t="s">
        <v>2380</v>
      </c>
      <c r="J151" t="s">
        <v>2381</v>
      </c>
      <c r="K151" t="str">
        <f t="shared" si="8"/>
        <v>yes</v>
      </c>
      <c r="L151" t="s">
        <v>2382</v>
      </c>
    </row>
    <row r="152" spans="1:12" x14ac:dyDescent="0.35">
      <c r="A152" t="s">
        <v>2222</v>
      </c>
      <c r="B152" t="str">
        <f t="shared" si="6"/>
        <v>Obesity</v>
      </c>
      <c r="C152">
        <v>36.54</v>
      </c>
      <c r="D152" t="str">
        <f t="shared" si="7"/>
        <v>Normal</v>
      </c>
      <c r="E152">
        <v>4.46</v>
      </c>
      <c r="F152" t="s">
        <v>2382</v>
      </c>
      <c r="G152" t="s">
        <v>2380</v>
      </c>
      <c r="H152" t="s">
        <v>2380</v>
      </c>
      <c r="J152">
        <v>1</v>
      </c>
      <c r="K152" t="str">
        <f t="shared" si="8"/>
        <v>yes</v>
      </c>
      <c r="L152" t="s">
        <v>2382</v>
      </c>
    </row>
    <row r="153" spans="1:12" x14ac:dyDescent="0.35">
      <c r="A153" t="s">
        <v>2221</v>
      </c>
      <c r="B153" t="str">
        <f t="shared" si="6"/>
        <v>Obesity</v>
      </c>
      <c r="C153">
        <v>51.64</v>
      </c>
      <c r="D153" t="str">
        <f t="shared" si="7"/>
        <v>Normal</v>
      </c>
      <c r="E153">
        <v>5.65</v>
      </c>
      <c r="F153" t="s">
        <v>2380</v>
      </c>
      <c r="G153" t="s">
        <v>2380</v>
      </c>
      <c r="H153" t="s">
        <v>2380</v>
      </c>
      <c r="J153" t="s">
        <v>2381</v>
      </c>
      <c r="K153" t="str">
        <f t="shared" si="8"/>
        <v>yes</v>
      </c>
      <c r="L153" t="s">
        <v>2382</v>
      </c>
    </row>
    <row r="154" spans="1:12" x14ac:dyDescent="0.35">
      <c r="A154" t="s">
        <v>2220</v>
      </c>
      <c r="B154" t="str">
        <f t="shared" si="6"/>
        <v>Obesity</v>
      </c>
      <c r="C154">
        <v>42.83</v>
      </c>
      <c r="D154" t="str">
        <f t="shared" si="7"/>
        <v>Prediabetes</v>
      </c>
      <c r="E154">
        <v>6.04</v>
      </c>
      <c r="F154" t="s">
        <v>2380</v>
      </c>
      <c r="G154" t="s">
        <v>2380</v>
      </c>
      <c r="H154" t="s">
        <v>2380</v>
      </c>
      <c r="J154">
        <v>2</v>
      </c>
      <c r="K154" t="str">
        <f t="shared" si="8"/>
        <v>yes</v>
      </c>
      <c r="L154" t="s">
        <v>2382</v>
      </c>
    </row>
    <row r="155" spans="1:12" x14ac:dyDescent="0.35">
      <c r="A155" t="s">
        <v>2219</v>
      </c>
      <c r="B155" t="str">
        <f t="shared" si="6"/>
        <v>Obesity</v>
      </c>
      <c r="C155">
        <v>40.15</v>
      </c>
      <c r="D155" t="str">
        <f t="shared" si="7"/>
        <v>Prediabetes</v>
      </c>
      <c r="E155">
        <v>5.76</v>
      </c>
      <c r="F155" t="s">
        <v>2380</v>
      </c>
      <c r="G155" t="s">
        <v>2380</v>
      </c>
      <c r="H155" t="s">
        <v>2380</v>
      </c>
      <c r="J155">
        <v>1</v>
      </c>
      <c r="K155" t="str">
        <f t="shared" si="8"/>
        <v>yes</v>
      </c>
      <c r="L155" t="s">
        <v>2382</v>
      </c>
    </row>
    <row r="156" spans="1:12" x14ac:dyDescent="0.35">
      <c r="A156" t="s">
        <v>2218</v>
      </c>
      <c r="B156" t="str">
        <f t="shared" si="6"/>
        <v>Overweight</v>
      </c>
      <c r="C156">
        <v>27.8</v>
      </c>
      <c r="D156" t="str">
        <f t="shared" si="7"/>
        <v>Normal</v>
      </c>
      <c r="E156">
        <v>4.3600000000000003</v>
      </c>
      <c r="F156" t="s">
        <v>2380</v>
      </c>
      <c r="G156" t="s">
        <v>2380</v>
      </c>
      <c r="H156" t="s">
        <v>2383</v>
      </c>
      <c r="J156">
        <v>1</v>
      </c>
      <c r="K156" t="str">
        <f t="shared" si="8"/>
        <v>yes</v>
      </c>
      <c r="L156" t="s">
        <v>2382</v>
      </c>
    </row>
    <row r="157" spans="1:12" x14ac:dyDescent="0.35">
      <c r="A157" t="s">
        <v>2217</v>
      </c>
      <c r="B157" t="str">
        <f t="shared" si="6"/>
        <v>Obesity</v>
      </c>
      <c r="C157">
        <v>45.81</v>
      </c>
      <c r="D157" t="str">
        <f t="shared" si="7"/>
        <v>Normal</v>
      </c>
      <c r="E157">
        <v>4.76</v>
      </c>
      <c r="F157" t="s">
        <v>2382</v>
      </c>
      <c r="G157" t="s">
        <v>2380</v>
      </c>
      <c r="H157" t="s">
        <v>2383</v>
      </c>
      <c r="J157">
        <v>1</v>
      </c>
      <c r="K157" t="str">
        <f t="shared" si="8"/>
        <v>yes</v>
      </c>
      <c r="L157" t="s">
        <v>2382</v>
      </c>
    </row>
    <row r="158" spans="1:12" x14ac:dyDescent="0.35">
      <c r="A158" t="s">
        <v>2216</v>
      </c>
      <c r="B158" t="str">
        <f t="shared" si="6"/>
        <v>Obesity</v>
      </c>
      <c r="C158">
        <v>34.43</v>
      </c>
      <c r="D158" t="str">
        <f t="shared" si="7"/>
        <v>Diabetes</v>
      </c>
      <c r="E158">
        <v>10.82</v>
      </c>
      <c r="F158" t="s">
        <v>2382</v>
      </c>
      <c r="G158" t="s">
        <v>2380</v>
      </c>
      <c r="H158" t="s">
        <v>2380</v>
      </c>
      <c r="J158">
        <v>1</v>
      </c>
      <c r="K158" t="str">
        <f t="shared" si="8"/>
        <v>yes</v>
      </c>
      <c r="L158" t="s">
        <v>2382</v>
      </c>
    </row>
    <row r="159" spans="1:12" x14ac:dyDescent="0.35">
      <c r="A159" t="s">
        <v>2215</v>
      </c>
      <c r="B159" t="str">
        <f t="shared" si="6"/>
        <v>Obesity</v>
      </c>
      <c r="C159">
        <v>41.33</v>
      </c>
      <c r="D159" t="str">
        <f t="shared" si="7"/>
        <v>Normal</v>
      </c>
      <c r="E159">
        <v>4.01</v>
      </c>
      <c r="F159" t="s">
        <v>2382</v>
      </c>
      <c r="G159" t="s">
        <v>2380</v>
      </c>
      <c r="H159" t="s">
        <v>2380</v>
      </c>
      <c r="J159" t="s">
        <v>2381</v>
      </c>
      <c r="K159" t="str">
        <f t="shared" si="8"/>
        <v>yes</v>
      </c>
      <c r="L159" t="s">
        <v>2382</v>
      </c>
    </row>
    <row r="160" spans="1:12" x14ac:dyDescent="0.35">
      <c r="A160" t="s">
        <v>2214</v>
      </c>
      <c r="B160" t="str">
        <f t="shared" si="6"/>
        <v>Obesity</v>
      </c>
      <c r="C160">
        <v>31.92</v>
      </c>
      <c r="D160" t="str">
        <f t="shared" si="7"/>
        <v>Normal</v>
      </c>
      <c r="E160">
        <v>5.12</v>
      </c>
      <c r="F160" t="s">
        <v>2382</v>
      </c>
      <c r="G160" t="s">
        <v>2380</v>
      </c>
      <c r="H160" t="s">
        <v>2380</v>
      </c>
      <c r="J160">
        <v>1</v>
      </c>
      <c r="K160" t="str">
        <f t="shared" si="8"/>
        <v>yes</v>
      </c>
      <c r="L160" t="s">
        <v>2382</v>
      </c>
    </row>
    <row r="161" spans="1:12" x14ac:dyDescent="0.35">
      <c r="A161" t="s">
        <v>2213</v>
      </c>
      <c r="B161" t="str">
        <f t="shared" si="6"/>
        <v>Obesity</v>
      </c>
      <c r="C161">
        <v>39.799999999999997</v>
      </c>
      <c r="D161" t="str">
        <f t="shared" si="7"/>
        <v>Diabetes</v>
      </c>
      <c r="E161">
        <v>10.54</v>
      </c>
      <c r="F161" t="s">
        <v>2382</v>
      </c>
      <c r="G161" t="s">
        <v>2380</v>
      </c>
      <c r="H161" t="s">
        <v>2380</v>
      </c>
      <c r="J161">
        <v>2</v>
      </c>
      <c r="K161" t="str">
        <f t="shared" si="8"/>
        <v>yes</v>
      </c>
      <c r="L161" t="s">
        <v>2382</v>
      </c>
    </row>
    <row r="162" spans="1:12" x14ac:dyDescent="0.35">
      <c r="A162" t="s">
        <v>2212</v>
      </c>
      <c r="B162" t="str">
        <f t="shared" si="6"/>
        <v>Obesity</v>
      </c>
      <c r="C162">
        <v>42.82</v>
      </c>
      <c r="D162" t="str">
        <f t="shared" si="7"/>
        <v>Normal</v>
      </c>
      <c r="E162">
        <v>4.21</v>
      </c>
      <c r="F162" t="s">
        <v>2380</v>
      </c>
      <c r="G162" t="s">
        <v>2380</v>
      </c>
      <c r="H162" t="s">
        <v>2380</v>
      </c>
      <c r="J162" t="s">
        <v>2381</v>
      </c>
      <c r="K162" t="str">
        <f t="shared" si="8"/>
        <v>yes</v>
      </c>
      <c r="L162" t="s">
        <v>2382</v>
      </c>
    </row>
    <row r="163" spans="1:12" x14ac:dyDescent="0.35">
      <c r="A163" t="s">
        <v>2211</v>
      </c>
      <c r="B163" t="str">
        <f t="shared" si="6"/>
        <v>Obesity</v>
      </c>
      <c r="C163">
        <v>33.630000000000003</v>
      </c>
      <c r="D163" t="str">
        <f t="shared" si="7"/>
        <v>Normal</v>
      </c>
      <c r="E163">
        <v>5.42</v>
      </c>
      <c r="F163" t="s">
        <v>2380</v>
      </c>
      <c r="G163" t="s">
        <v>2380</v>
      </c>
      <c r="H163" t="s">
        <v>2380</v>
      </c>
      <c r="J163" t="s">
        <v>2381</v>
      </c>
      <c r="K163" t="str">
        <f t="shared" si="8"/>
        <v>yes</v>
      </c>
      <c r="L163" t="s">
        <v>2382</v>
      </c>
    </row>
    <row r="164" spans="1:12" x14ac:dyDescent="0.35">
      <c r="A164" t="s">
        <v>2210</v>
      </c>
      <c r="B164" t="str">
        <f t="shared" si="6"/>
        <v>Obesity</v>
      </c>
      <c r="C164">
        <v>37.07</v>
      </c>
      <c r="D164" t="str">
        <f t="shared" si="7"/>
        <v>Normal</v>
      </c>
      <c r="E164">
        <v>4.28</v>
      </c>
      <c r="F164" t="s">
        <v>2380</v>
      </c>
      <c r="G164" t="s">
        <v>2382</v>
      </c>
      <c r="H164" t="s">
        <v>2380</v>
      </c>
      <c r="J164">
        <v>1</v>
      </c>
      <c r="K164" t="str">
        <f t="shared" si="8"/>
        <v>yes</v>
      </c>
      <c r="L164" t="s">
        <v>2382</v>
      </c>
    </row>
    <row r="165" spans="1:12" x14ac:dyDescent="0.35">
      <c r="A165" t="s">
        <v>2209</v>
      </c>
      <c r="B165" t="str">
        <f t="shared" si="6"/>
        <v>Obesity</v>
      </c>
      <c r="C165">
        <v>35.625</v>
      </c>
      <c r="D165" t="str">
        <f t="shared" si="7"/>
        <v>Diabetes</v>
      </c>
      <c r="E165">
        <v>8.9</v>
      </c>
      <c r="F165" t="s">
        <v>2380</v>
      </c>
      <c r="G165" t="s">
        <v>2380</v>
      </c>
      <c r="H165" t="s">
        <v>2380</v>
      </c>
      <c r="J165" t="s">
        <v>2381</v>
      </c>
      <c r="K165" t="str">
        <f t="shared" si="8"/>
        <v>yes</v>
      </c>
      <c r="L165" t="s">
        <v>2382</v>
      </c>
    </row>
    <row r="166" spans="1:12" x14ac:dyDescent="0.35">
      <c r="A166" t="s">
        <v>2208</v>
      </c>
      <c r="B166" t="str">
        <f t="shared" si="6"/>
        <v>Obesity</v>
      </c>
      <c r="C166">
        <v>42.69</v>
      </c>
      <c r="D166" t="str">
        <f t="shared" si="7"/>
        <v>Normal</v>
      </c>
      <c r="E166">
        <v>4.8899999999999997</v>
      </c>
      <c r="F166" t="s">
        <v>2380</v>
      </c>
      <c r="G166" t="s">
        <v>2380</v>
      </c>
      <c r="H166" t="s">
        <v>2383</v>
      </c>
      <c r="J166">
        <v>1</v>
      </c>
      <c r="K166" t="str">
        <f t="shared" si="8"/>
        <v>yes</v>
      </c>
      <c r="L166" t="s">
        <v>2382</v>
      </c>
    </row>
    <row r="167" spans="1:12" x14ac:dyDescent="0.35">
      <c r="A167" t="s">
        <v>2207</v>
      </c>
      <c r="B167" t="str">
        <f t="shared" si="6"/>
        <v>Obesity</v>
      </c>
      <c r="C167">
        <v>37.869999999999997</v>
      </c>
      <c r="D167" t="str">
        <f t="shared" si="7"/>
        <v>Normal</v>
      </c>
      <c r="E167">
        <v>4.29</v>
      </c>
      <c r="F167" t="s">
        <v>2382</v>
      </c>
      <c r="G167" t="s">
        <v>2380</v>
      </c>
      <c r="H167" t="s">
        <v>2383</v>
      </c>
      <c r="J167">
        <v>1</v>
      </c>
      <c r="K167" t="str">
        <f t="shared" si="8"/>
        <v>yes</v>
      </c>
      <c r="L167" t="s">
        <v>2382</v>
      </c>
    </row>
    <row r="168" spans="1:12" x14ac:dyDescent="0.35">
      <c r="A168" t="s">
        <v>2206</v>
      </c>
      <c r="B168" t="str">
        <f t="shared" si="6"/>
        <v>Obesity</v>
      </c>
      <c r="C168">
        <v>40.61</v>
      </c>
      <c r="D168" t="str">
        <f t="shared" si="7"/>
        <v>Diabetes</v>
      </c>
      <c r="E168">
        <v>8</v>
      </c>
      <c r="F168" t="s">
        <v>2382</v>
      </c>
      <c r="G168" t="s">
        <v>2380</v>
      </c>
      <c r="H168" t="s">
        <v>2380</v>
      </c>
      <c r="J168">
        <v>1</v>
      </c>
      <c r="K168" t="str">
        <f t="shared" si="8"/>
        <v>yes</v>
      </c>
      <c r="L168" t="s">
        <v>2382</v>
      </c>
    </row>
    <row r="169" spans="1:12" x14ac:dyDescent="0.35">
      <c r="A169" t="s">
        <v>2205</v>
      </c>
      <c r="B169" t="str">
        <f t="shared" si="6"/>
        <v>Obesity</v>
      </c>
      <c r="C169">
        <v>30.78</v>
      </c>
      <c r="D169" t="str">
        <f t="shared" si="7"/>
        <v>Normal</v>
      </c>
      <c r="E169">
        <v>4.67</v>
      </c>
      <c r="F169" t="s">
        <v>2382</v>
      </c>
      <c r="G169" t="s">
        <v>2380</v>
      </c>
      <c r="H169" t="s">
        <v>2380</v>
      </c>
      <c r="J169" t="s">
        <v>2381</v>
      </c>
      <c r="K169" t="str">
        <f t="shared" si="8"/>
        <v>yes</v>
      </c>
      <c r="L169" t="s">
        <v>2382</v>
      </c>
    </row>
    <row r="170" spans="1:12" x14ac:dyDescent="0.35">
      <c r="A170" t="s">
        <v>2204</v>
      </c>
      <c r="B170" t="str">
        <f t="shared" si="6"/>
        <v>Obesity</v>
      </c>
      <c r="C170">
        <v>49.49</v>
      </c>
      <c r="D170" t="str">
        <f t="shared" si="7"/>
        <v>Normal</v>
      </c>
      <c r="E170">
        <v>4.5</v>
      </c>
      <c r="F170" t="s">
        <v>2380</v>
      </c>
      <c r="G170" t="s">
        <v>2380</v>
      </c>
      <c r="H170" t="s">
        <v>2380</v>
      </c>
      <c r="J170" t="s">
        <v>2381</v>
      </c>
      <c r="K170" t="str">
        <f t="shared" si="8"/>
        <v>yes</v>
      </c>
      <c r="L170" t="s">
        <v>2382</v>
      </c>
    </row>
    <row r="171" spans="1:12" x14ac:dyDescent="0.35">
      <c r="A171" t="s">
        <v>2203</v>
      </c>
      <c r="B171" t="str">
        <f t="shared" si="6"/>
        <v>Obesity</v>
      </c>
      <c r="C171">
        <v>37.619999999999997</v>
      </c>
      <c r="D171" t="str">
        <f t="shared" si="7"/>
        <v>Prediabetes</v>
      </c>
      <c r="E171">
        <v>6.32</v>
      </c>
      <c r="F171" t="s">
        <v>2382</v>
      </c>
      <c r="G171" t="s">
        <v>2382</v>
      </c>
      <c r="H171" t="s">
        <v>2380</v>
      </c>
      <c r="J171">
        <v>2</v>
      </c>
      <c r="K171" t="str">
        <f t="shared" si="8"/>
        <v>yes</v>
      </c>
      <c r="L171" t="s">
        <v>2382</v>
      </c>
    </row>
    <row r="172" spans="1:12" x14ac:dyDescent="0.35">
      <c r="A172" t="s">
        <v>2202</v>
      </c>
      <c r="B172" t="str">
        <f t="shared" si="6"/>
        <v>Obesity</v>
      </c>
      <c r="C172">
        <v>36.08</v>
      </c>
      <c r="D172" t="str">
        <f t="shared" si="7"/>
        <v>Prediabetes</v>
      </c>
      <c r="E172">
        <v>6.1</v>
      </c>
      <c r="F172" t="s">
        <v>2382</v>
      </c>
      <c r="G172" t="s">
        <v>2380</v>
      </c>
      <c r="H172" t="s">
        <v>2380</v>
      </c>
      <c r="J172">
        <v>1</v>
      </c>
      <c r="K172" t="str">
        <f t="shared" si="8"/>
        <v>yes</v>
      </c>
      <c r="L172" t="s">
        <v>2382</v>
      </c>
    </row>
    <row r="173" spans="1:12" x14ac:dyDescent="0.35">
      <c r="A173" t="s">
        <v>2201</v>
      </c>
      <c r="B173" t="str">
        <f t="shared" si="6"/>
        <v>Obesity</v>
      </c>
      <c r="C173">
        <v>33.5</v>
      </c>
      <c r="D173" t="str">
        <f t="shared" si="7"/>
        <v>Normal</v>
      </c>
      <c r="E173">
        <v>5.4</v>
      </c>
      <c r="F173" t="s">
        <v>2380</v>
      </c>
      <c r="G173" t="s">
        <v>2380</v>
      </c>
      <c r="H173" t="s">
        <v>2380</v>
      </c>
      <c r="J173" t="s">
        <v>2381</v>
      </c>
      <c r="K173" t="str">
        <f t="shared" si="8"/>
        <v>yes</v>
      </c>
      <c r="L173" t="s">
        <v>2382</v>
      </c>
    </row>
    <row r="174" spans="1:12" x14ac:dyDescent="0.35">
      <c r="A174" t="s">
        <v>2200</v>
      </c>
      <c r="B174" t="str">
        <f t="shared" si="6"/>
        <v>Obesity</v>
      </c>
      <c r="C174">
        <v>47.46</v>
      </c>
      <c r="D174" t="str">
        <f t="shared" si="7"/>
        <v>Prediabetes</v>
      </c>
      <c r="E174">
        <v>6.24</v>
      </c>
      <c r="F174" t="s">
        <v>2382</v>
      </c>
      <c r="G174" t="s">
        <v>2380</v>
      </c>
      <c r="H174" t="s">
        <v>2380</v>
      </c>
      <c r="J174">
        <v>1</v>
      </c>
      <c r="K174" t="str">
        <f t="shared" si="8"/>
        <v>yes</v>
      </c>
      <c r="L174" t="s">
        <v>2382</v>
      </c>
    </row>
    <row r="175" spans="1:12" x14ac:dyDescent="0.35">
      <c r="A175" t="s">
        <v>2199</v>
      </c>
      <c r="B175" t="str">
        <f t="shared" si="6"/>
        <v>Obesity</v>
      </c>
      <c r="C175">
        <v>49.24</v>
      </c>
      <c r="D175" t="str">
        <f t="shared" si="7"/>
        <v>Normal</v>
      </c>
      <c r="E175">
        <v>4.45</v>
      </c>
      <c r="F175" t="s">
        <v>2380</v>
      </c>
      <c r="G175" t="s">
        <v>2380</v>
      </c>
      <c r="H175" t="s">
        <v>2380</v>
      </c>
      <c r="J175" t="s">
        <v>2381</v>
      </c>
      <c r="K175" t="str">
        <f t="shared" si="8"/>
        <v>yes</v>
      </c>
      <c r="L175" t="s">
        <v>2382</v>
      </c>
    </row>
    <row r="176" spans="1:12" x14ac:dyDescent="0.35">
      <c r="A176" t="s">
        <v>2198</v>
      </c>
      <c r="B176" t="str">
        <f t="shared" si="6"/>
        <v>Obesity</v>
      </c>
      <c r="C176">
        <v>54.4</v>
      </c>
      <c r="D176" t="str">
        <f t="shared" si="7"/>
        <v>Normal</v>
      </c>
      <c r="E176">
        <v>5.22</v>
      </c>
      <c r="F176" t="s">
        <v>2380</v>
      </c>
      <c r="G176" t="s">
        <v>2380</v>
      </c>
      <c r="H176" t="s">
        <v>2380</v>
      </c>
      <c r="J176">
        <v>1</v>
      </c>
      <c r="K176" t="str">
        <f t="shared" si="8"/>
        <v>yes</v>
      </c>
      <c r="L176" t="s">
        <v>2382</v>
      </c>
    </row>
    <row r="177" spans="1:12" x14ac:dyDescent="0.35">
      <c r="A177" t="s">
        <v>2197</v>
      </c>
      <c r="B177" t="str">
        <f t="shared" si="6"/>
        <v>Obesity</v>
      </c>
      <c r="C177">
        <v>35.53</v>
      </c>
      <c r="D177" t="str">
        <f t="shared" si="7"/>
        <v>Normal</v>
      </c>
      <c r="E177">
        <v>4.6100000000000003</v>
      </c>
      <c r="F177" t="s">
        <v>2380</v>
      </c>
      <c r="G177" t="s">
        <v>2380</v>
      </c>
      <c r="H177" t="s">
        <v>2380</v>
      </c>
      <c r="J177">
        <v>1</v>
      </c>
      <c r="K177" t="str">
        <f t="shared" si="8"/>
        <v>yes</v>
      </c>
      <c r="L177" t="s">
        <v>2382</v>
      </c>
    </row>
    <row r="178" spans="1:12" x14ac:dyDescent="0.35">
      <c r="A178" t="s">
        <v>2196</v>
      </c>
      <c r="B178" t="str">
        <f t="shared" si="6"/>
        <v>Obesity</v>
      </c>
      <c r="C178">
        <v>39.729999999999997</v>
      </c>
      <c r="D178" t="str">
        <f t="shared" si="7"/>
        <v>Prediabetes</v>
      </c>
      <c r="E178">
        <v>6.24</v>
      </c>
      <c r="F178" t="s">
        <v>2380</v>
      </c>
      <c r="G178" t="s">
        <v>2380</v>
      </c>
      <c r="H178" t="s">
        <v>2380</v>
      </c>
      <c r="J178" t="s">
        <v>2381</v>
      </c>
      <c r="K178" t="str">
        <f t="shared" si="8"/>
        <v>yes</v>
      </c>
      <c r="L178" t="s">
        <v>2382</v>
      </c>
    </row>
    <row r="179" spans="1:12" x14ac:dyDescent="0.35">
      <c r="A179" t="s">
        <v>2195</v>
      </c>
      <c r="B179" t="str">
        <f t="shared" si="6"/>
        <v>Obesity</v>
      </c>
      <c r="C179">
        <v>35.68</v>
      </c>
      <c r="D179" t="str">
        <f t="shared" si="7"/>
        <v>Diabetes</v>
      </c>
      <c r="E179">
        <v>10.039999999999999</v>
      </c>
      <c r="F179" t="s">
        <v>2380</v>
      </c>
      <c r="G179" t="s">
        <v>2380</v>
      </c>
      <c r="H179" t="s">
        <v>2380</v>
      </c>
      <c r="J179" t="s">
        <v>2381</v>
      </c>
      <c r="K179" t="str">
        <f t="shared" si="8"/>
        <v>yes</v>
      </c>
      <c r="L179" t="s">
        <v>2382</v>
      </c>
    </row>
    <row r="180" spans="1:12" x14ac:dyDescent="0.35">
      <c r="A180" t="s">
        <v>2194</v>
      </c>
      <c r="B180" t="str">
        <f t="shared" si="6"/>
        <v>Obesity</v>
      </c>
      <c r="C180">
        <v>48.86</v>
      </c>
      <c r="D180" t="str">
        <f t="shared" si="7"/>
        <v>Prediabetes</v>
      </c>
      <c r="E180">
        <v>6.09</v>
      </c>
      <c r="F180" t="s">
        <v>2380</v>
      </c>
      <c r="G180" t="s">
        <v>2380</v>
      </c>
      <c r="H180" t="s">
        <v>2380</v>
      </c>
      <c r="J180" t="s">
        <v>2381</v>
      </c>
      <c r="K180" t="str">
        <f t="shared" si="8"/>
        <v>yes</v>
      </c>
      <c r="L180" t="s">
        <v>2382</v>
      </c>
    </row>
    <row r="181" spans="1:12" x14ac:dyDescent="0.35">
      <c r="A181" t="s">
        <v>2193</v>
      </c>
      <c r="B181" t="str">
        <f t="shared" si="6"/>
        <v>Obesity</v>
      </c>
      <c r="C181">
        <v>34.799999999999997</v>
      </c>
      <c r="D181" t="str">
        <f t="shared" si="7"/>
        <v>Diabetes</v>
      </c>
      <c r="E181">
        <v>11.4</v>
      </c>
      <c r="F181" t="s">
        <v>2382</v>
      </c>
      <c r="G181" t="s">
        <v>2380</v>
      </c>
      <c r="H181" t="s">
        <v>2383</v>
      </c>
      <c r="J181">
        <v>1</v>
      </c>
      <c r="K181" t="str">
        <f t="shared" si="8"/>
        <v>No</v>
      </c>
      <c r="L181" t="s">
        <v>2380</v>
      </c>
    </row>
    <row r="182" spans="1:12" x14ac:dyDescent="0.35">
      <c r="A182" t="s">
        <v>2192</v>
      </c>
      <c r="B182" t="str">
        <f t="shared" si="6"/>
        <v>Obesity</v>
      </c>
      <c r="C182">
        <v>32.49</v>
      </c>
      <c r="D182" t="str">
        <f t="shared" si="7"/>
        <v>Normal</v>
      </c>
      <c r="E182">
        <v>4.29</v>
      </c>
      <c r="F182" t="s">
        <v>2380</v>
      </c>
      <c r="G182" t="s">
        <v>2380</v>
      </c>
      <c r="H182" t="s">
        <v>2383</v>
      </c>
      <c r="J182">
        <v>1</v>
      </c>
      <c r="K182" t="str">
        <f t="shared" si="8"/>
        <v>yes</v>
      </c>
      <c r="L182" t="s">
        <v>2382</v>
      </c>
    </row>
    <row r="183" spans="1:12" x14ac:dyDescent="0.35">
      <c r="A183" t="s">
        <v>2191</v>
      </c>
      <c r="B183" t="str">
        <f t="shared" si="6"/>
        <v>Obesity</v>
      </c>
      <c r="C183">
        <v>39</v>
      </c>
      <c r="D183" t="str">
        <f t="shared" si="7"/>
        <v>Prediabetes</v>
      </c>
      <c r="E183">
        <v>5.7</v>
      </c>
      <c r="F183" t="s">
        <v>2380</v>
      </c>
      <c r="G183" t="s">
        <v>2380</v>
      </c>
      <c r="H183" t="s">
        <v>2380</v>
      </c>
      <c r="J183">
        <v>2</v>
      </c>
      <c r="K183" t="str">
        <f t="shared" si="8"/>
        <v>yes</v>
      </c>
      <c r="L183" t="s">
        <v>2382</v>
      </c>
    </row>
    <row r="184" spans="1:12" x14ac:dyDescent="0.35">
      <c r="A184" t="s">
        <v>2190</v>
      </c>
      <c r="B184" t="str">
        <f t="shared" si="6"/>
        <v>Obesity</v>
      </c>
      <c r="C184">
        <v>35.299999999999997</v>
      </c>
      <c r="D184" t="str">
        <f t="shared" si="7"/>
        <v>Prediabetes</v>
      </c>
      <c r="E184">
        <v>6.09</v>
      </c>
      <c r="F184" t="s">
        <v>2380</v>
      </c>
      <c r="G184" t="s">
        <v>2380</v>
      </c>
      <c r="H184" t="s">
        <v>2380</v>
      </c>
      <c r="J184">
        <v>1</v>
      </c>
      <c r="K184" t="str">
        <f t="shared" si="8"/>
        <v>yes</v>
      </c>
      <c r="L184" t="s">
        <v>2382</v>
      </c>
    </row>
    <row r="185" spans="1:12" x14ac:dyDescent="0.35">
      <c r="A185" t="s">
        <v>2189</v>
      </c>
      <c r="B185" t="str">
        <f t="shared" si="6"/>
        <v>Obesity</v>
      </c>
      <c r="C185">
        <v>33.42</v>
      </c>
      <c r="D185" t="str">
        <f t="shared" si="7"/>
        <v>Diabetes</v>
      </c>
      <c r="E185">
        <v>10.67</v>
      </c>
      <c r="F185" t="s">
        <v>2380</v>
      </c>
      <c r="G185" t="s">
        <v>2380</v>
      </c>
      <c r="H185" t="s">
        <v>2380</v>
      </c>
      <c r="J185" t="s">
        <v>2381</v>
      </c>
      <c r="K185" t="str">
        <f t="shared" si="8"/>
        <v>yes</v>
      </c>
      <c r="L185" t="s">
        <v>2382</v>
      </c>
    </row>
    <row r="186" spans="1:12" x14ac:dyDescent="0.35">
      <c r="A186" t="s">
        <v>2188</v>
      </c>
      <c r="B186" t="str">
        <f t="shared" si="6"/>
        <v>Obesity</v>
      </c>
      <c r="C186">
        <v>37.18</v>
      </c>
      <c r="D186" t="str">
        <f t="shared" si="7"/>
        <v>Diabetes</v>
      </c>
      <c r="E186">
        <v>6.75</v>
      </c>
      <c r="F186" t="s">
        <v>2382</v>
      </c>
      <c r="G186" t="s">
        <v>2380</v>
      </c>
      <c r="H186" t="s">
        <v>2380</v>
      </c>
      <c r="J186">
        <v>2</v>
      </c>
      <c r="K186" t="str">
        <f t="shared" si="8"/>
        <v>yes</v>
      </c>
      <c r="L186" t="s">
        <v>2382</v>
      </c>
    </row>
    <row r="187" spans="1:12" x14ac:dyDescent="0.35">
      <c r="A187" t="s">
        <v>2187</v>
      </c>
      <c r="B187" t="str">
        <f t="shared" si="6"/>
        <v>Obesity</v>
      </c>
      <c r="C187">
        <v>33.33</v>
      </c>
      <c r="D187" t="str">
        <f t="shared" si="7"/>
        <v>Diabetes</v>
      </c>
      <c r="E187">
        <v>9.26</v>
      </c>
      <c r="F187" t="s">
        <v>2382</v>
      </c>
      <c r="G187" t="s">
        <v>2380</v>
      </c>
      <c r="H187" t="s">
        <v>2380</v>
      </c>
      <c r="J187">
        <v>2</v>
      </c>
      <c r="K187" t="str">
        <f t="shared" si="8"/>
        <v>No</v>
      </c>
      <c r="L187" t="s">
        <v>2380</v>
      </c>
    </row>
    <row r="188" spans="1:12" x14ac:dyDescent="0.35">
      <c r="A188" t="s">
        <v>2186</v>
      </c>
      <c r="B188" t="str">
        <f t="shared" si="6"/>
        <v>Obesity</v>
      </c>
      <c r="C188">
        <v>53.21</v>
      </c>
      <c r="D188" t="str">
        <f t="shared" si="7"/>
        <v>Normal</v>
      </c>
      <c r="E188">
        <v>4.2699999999999996</v>
      </c>
      <c r="F188" t="s">
        <v>2380</v>
      </c>
      <c r="G188" t="s">
        <v>2380</v>
      </c>
      <c r="H188" t="s">
        <v>2380</v>
      </c>
      <c r="J188">
        <v>1</v>
      </c>
      <c r="K188" t="str">
        <f t="shared" si="8"/>
        <v>yes</v>
      </c>
      <c r="L188" t="s">
        <v>2382</v>
      </c>
    </row>
    <row r="189" spans="1:12" x14ac:dyDescent="0.35">
      <c r="A189" t="s">
        <v>2185</v>
      </c>
      <c r="B189" t="str">
        <f t="shared" si="6"/>
        <v>Obesity</v>
      </c>
      <c r="C189">
        <v>38.729999999999997</v>
      </c>
      <c r="D189" t="str">
        <f t="shared" si="7"/>
        <v>Diabetes</v>
      </c>
      <c r="E189">
        <v>11.51</v>
      </c>
      <c r="F189" t="s">
        <v>2380</v>
      </c>
      <c r="G189" t="s">
        <v>2380</v>
      </c>
      <c r="H189" t="s">
        <v>2380</v>
      </c>
      <c r="J189">
        <v>2</v>
      </c>
      <c r="K189" t="str">
        <f t="shared" si="8"/>
        <v>yes</v>
      </c>
      <c r="L189" t="s">
        <v>2382</v>
      </c>
    </row>
    <row r="190" spans="1:12" x14ac:dyDescent="0.35">
      <c r="A190" t="s">
        <v>2184</v>
      </c>
      <c r="B190" t="str">
        <f t="shared" si="6"/>
        <v>Overweight</v>
      </c>
      <c r="C190">
        <v>29.73</v>
      </c>
      <c r="D190" t="str">
        <f t="shared" si="7"/>
        <v>Diabetes</v>
      </c>
      <c r="E190">
        <v>7.22</v>
      </c>
      <c r="F190" t="s">
        <v>2380</v>
      </c>
      <c r="G190" t="s">
        <v>2380</v>
      </c>
      <c r="H190" t="s">
        <v>2380</v>
      </c>
      <c r="J190" t="s">
        <v>2381</v>
      </c>
      <c r="K190" t="str">
        <f t="shared" si="8"/>
        <v>yes</v>
      </c>
      <c r="L190" t="s">
        <v>2382</v>
      </c>
    </row>
    <row r="191" spans="1:12" x14ac:dyDescent="0.35">
      <c r="A191" t="s">
        <v>2183</v>
      </c>
      <c r="B191" t="str">
        <f t="shared" si="6"/>
        <v>Obesity</v>
      </c>
      <c r="C191">
        <v>34.700000000000003</v>
      </c>
      <c r="D191" t="str">
        <f t="shared" si="7"/>
        <v>Normal</v>
      </c>
      <c r="E191">
        <v>4.37</v>
      </c>
      <c r="F191" t="s">
        <v>2380</v>
      </c>
      <c r="G191" t="s">
        <v>2380</v>
      </c>
      <c r="H191" t="s">
        <v>2383</v>
      </c>
      <c r="J191">
        <v>1</v>
      </c>
      <c r="K191" t="str">
        <f t="shared" si="8"/>
        <v>yes</v>
      </c>
      <c r="L191" t="s">
        <v>2382</v>
      </c>
    </row>
    <row r="192" spans="1:12" x14ac:dyDescent="0.35">
      <c r="A192" t="s">
        <v>2182</v>
      </c>
      <c r="B192" t="str">
        <f t="shared" si="6"/>
        <v>Obesity</v>
      </c>
      <c r="C192">
        <v>38.28</v>
      </c>
      <c r="D192" t="str">
        <f t="shared" si="7"/>
        <v>Diabetes</v>
      </c>
      <c r="E192">
        <v>11.56</v>
      </c>
      <c r="F192" t="s">
        <v>2382</v>
      </c>
      <c r="G192" t="s">
        <v>2380</v>
      </c>
      <c r="H192" t="s">
        <v>2380</v>
      </c>
      <c r="J192">
        <v>1</v>
      </c>
      <c r="K192" t="str">
        <f t="shared" si="8"/>
        <v>yes</v>
      </c>
      <c r="L192" t="s">
        <v>2382</v>
      </c>
    </row>
    <row r="193" spans="1:12" x14ac:dyDescent="0.35">
      <c r="A193" t="s">
        <v>2181</v>
      </c>
      <c r="B193" t="str">
        <f t="shared" si="6"/>
        <v>Obesity</v>
      </c>
      <c r="C193">
        <v>33.57</v>
      </c>
      <c r="D193" t="str">
        <f t="shared" si="7"/>
        <v>Diabetes</v>
      </c>
      <c r="E193">
        <v>8.82</v>
      </c>
      <c r="F193" t="s">
        <v>2382</v>
      </c>
      <c r="G193" t="s">
        <v>2380</v>
      </c>
      <c r="H193" t="s">
        <v>2380</v>
      </c>
      <c r="J193" t="s">
        <v>2381</v>
      </c>
      <c r="K193" t="str">
        <f t="shared" si="8"/>
        <v>yes</v>
      </c>
      <c r="L193" t="s">
        <v>2382</v>
      </c>
    </row>
    <row r="194" spans="1:12" x14ac:dyDescent="0.35">
      <c r="A194" t="s">
        <v>2180</v>
      </c>
      <c r="B194" t="str">
        <f t="shared" si="6"/>
        <v>Obesity</v>
      </c>
      <c r="C194">
        <v>52.06</v>
      </c>
      <c r="D194" t="str">
        <f t="shared" si="7"/>
        <v>Normal</v>
      </c>
      <c r="E194">
        <v>4.6900000000000004</v>
      </c>
      <c r="F194" t="s">
        <v>2380</v>
      </c>
      <c r="G194" t="s">
        <v>2380</v>
      </c>
      <c r="H194" t="s">
        <v>2380</v>
      </c>
      <c r="J194">
        <v>1</v>
      </c>
      <c r="K194" t="str">
        <f t="shared" si="8"/>
        <v>yes</v>
      </c>
      <c r="L194" t="s">
        <v>2382</v>
      </c>
    </row>
    <row r="195" spans="1:12" x14ac:dyDescent="0.35">
      <c r="A195" t="s">
        <v>2179</v>
      </c>
      <c r="B195" t="str">
        <f t="shared" ref="B195:B258" si="9">_xlfn.IFS(C195&lt;18.5, "Underweight", C195&lt;=24.9, "Normal Weight", C195&lt;=29.9, "Overweight", C195&gt;=30, "Obesity")</f>
        <v>Obesity</v>
      </c>
      <c r="C195">
        <v>38.17</v>
      </c>
      <c r="D195" t="str">
        <f t="shared" ref="D195:D258" si="10">_xlfn.IFS(E195&lt;5.7, "Normal", E195&lt;=6.4, "Prediabetes", E195&gt;=6.5, "Diabetes")</f>
        <v>Normal</v>
      </c>
      <c r="E195">
        <v>4.53</v>
      </c>
      <c r="F195" t="s">
        <v>2380</v>
      </c>
      <c r="G195" t="s">
        <v>2382</v>
      </c>
      <c r="H195" t="s">
        <v>2380</v>
      </c>
      <c r="J195">
        <v>1</v>
      </c>
      <c r="K195" t="str">
        <f t="shared" si="8"/>
        <v>yes</v>
      </c>
      <c r="L195" t="s">
        <v>2382</v>
      </c>
    </row>
    <row r="196" spans="1:12" x14ac:dyDescent="0.35">
      <c r="A196" t="s">
        <v>2178</v>
      </c>
      <c r="B196" t="str">
        <f t="shared" si="9"/>
        <v>Obesity</v>
      </c>
      <c r="C196">
        <v>36.954999999999998</v>
      </c>
      <c r="D196" t="str">
        <f t="shared" si="10"/>
        <v>Prediabetes</v>
      </c>
      <c r="E196">
        <v>5.84</v>
      </c>
      <c r="F196" t="s">
        <v>2380</v>
      </c>
      <c r="G196" t="s">
        <v>2380</v>
      </c>
      <c r="H196" t="s">
        <v>2383</v>
      </c>
      <c r="J196">
        <v>1</v>
      </c>
      <c r="K196" t="str">
        <f t="shared" ref="K196:K259" si="11">IF(OR(L196="?", ISBLANK(L196)), "No", L196)</f>
        <v>yes</v>
      </c>
      <c r="L196" t="s">
        <v>2382</v>
      </c>
    </row>
    <row r="197" spans="1:12" x14ac:dyDescent="0.35">
      <c r="A197" t="s">
        <v>2177</v>
      </c>
      <c r="B197" t="str">
        <f t="shared" si="9"/>
        <v>Obesity</v>
      </c>
      <c r="C197">
        <v>34.4</v>
      </c>
      <c r="D197" t="str">
        <f t="shared" si="10"/>
        <v>Normal</v>
      </c>
      <c r="E197">
        <v>4.9000000000000004</v>
      </c>
      <c r="F197" t="s">
        <v>2380</v>
      </c>
      <c r="G197" t="s">
        <v>2380</v>
      </c>
      <c r="H197" t="s">
        <v>2383</v>
      </c>
      <c r="J197">
        <v>1</v>
      </c>
      <c r="K197" t="str">
        <f t="shared" si="11"/>
        <v>yes</v>
      </c>
      <c r="L197" t="s">
        <v>2382</v>
      </c>
    </row>
    <row r="198" spans="1:12" x14ac:dyDescent="0.35">
      <c r="A198" t="s">
        <v>2176</v>
      </c>
      <c r="B198" t="str">
        <f t="shared" si="9"/>
        <v>Obesity</v>
      </c>
      <c r="C198">
        <v>31.73</v>
      </c>
      <c r="D198" t="str">
        <f t="shared" si="10"/>
        <v>Normal</v>
      </c>
      <c r="E198">
        <v>4.3</v>
      </c>
      <c r="F198" t="s">
        <v>2380</v>
      </c>
      <c r="G198" t="s">
        <v>2380</v>
      </c>
      <c r="H198" t="s">
        <v>2380</v>
      </c>
      <c r="J198" t="s">
        <v>2381</v>
      </c>
      <c r="K198" t="str">
        <f t="shared" si="11"/>
        <v>yes</v>
      </c>
      <c r="L198" t="s">
        <v>2382</v>
      </c>
    </row>
    <row r="199" spans="1:12" x14ac:dyDescent="0.35">
      <c r="A199" t="s">
        <v>2175</v>
      </c>
      <c r="B199" t="str">
        <f t="shared" si="9"/>
        <v>Obesity</v>
      </c>
      <c r="C199">
        <v>36.64</v>
      </c>
      <c r="D199" t="str">
        <f t="shared" si="10"/>
        <v>Diabetes</v>
      </c>
      <c r="E199">
        <v>11.34</v>
      </c>
      <c r="F199" t="s">
        <v>2380</v>
      </c>
      <c r="G199" t="s">
        <v>2380</v>
      </c>
      <c r="H199" t="s">
        <v>2380</v>
      </c>
      <c r="J199" t="s">
        <v>2381</v>
      </c>
      <c r="K199" t="str">
        <f t="shared" si="11"/>
        <v>yes</v>
      </c>
      <c r="L199" t="s">
        <v>2382</v>
      </c>
    </row>
    <row r="200" spans="1:12" x14ac:dyDescent="0.35">
      <c r="A200" t="s">
        <v>2174</v>
      </c>
      <c r="B200" t="str">
        <f t="shared" si="9"/>
        <v>Obesity</v>
      </c>
      <c r="C200">
        <v>36.85</v>
      </c>
      <c r="D200" t="str">
        <f t="shared" si="10"/>
        <v>Prediabetes</v>
      </c>
      <c r="E200">
        <v>5.88</v>
      </c>
      <c r="F200" t="s">
        <v>2380</v>
      </c>
      <c r="G200" t="s">
        <v>2382</v>
      </c>
      <c r="H200" t="s">
        <v>2380</v>
      </c>
      <c r="J200">
        <v>1</v>
      </c>
      <c r="K200" t="str">
        <f t="shared" si="11"/>
        <v>yes</v>
      </c>
      <c r="L200" t="s">
        <v>2382</v>
      </c>
    </row>
    <row r="201" spans="1:12" x14ac:dyDescent="0.35">
      <c r="A201" t="s">
        <v>2173</v>
      </c>
      <c r="B201" t="str">
        <f t="shared" si="9"/>
        <v>Obesity</v>
      </c>
      <c r="C201">
        <v>33.33</v>
      </c>
      <c r="D201" t="str">
        <f t="shared" si="10"/>
        <v>Normal</v>
      </c>
      <c r="E201">
        <v>5.01</v>
      </c>
      <c r="F201" t="s">
        <v>2382</v>
      </c>
      <c r="G201" t="s">
        <v>2380</v>
      </c>
      <c r="H201" t="s">
        <v>2383</v>
      </c>
      <c r="J201">
        <v>1</v>
      </c>
      <c r="K201" t="str">
        <f t="shared" si="11"/>
        <v>yes</v>
      </c>
      <c r="L201" t="s">
        <v>2382</v>
      </c>
    </row>
    <row r="202" spans="1:12" x14ac:dyDescent="0.35">
      <c r="A202" t="s">
        <v>2172</v>
      </c>
      <c r="B202" t="str">
        <f t="shared" si="9"/>
        <v>Obesity</v>
      </c>
      <c r="C202">
        <v>39.14</v>
      </c>
      <c r="D202" t="str">
        <f t="shared" si="10"/>
        <v>Normal</v>
      </c>
      <c r="E202">
        <v>4.4000000000000004</v>
      </c>
      <c r="F202" t="s">
        <v>2380</v>
      </c>
      <c r="G202" t="s">
        <v>2380</v>
      </c>
      <c r="H202" t="s">
        <v>2383</v>
      </c>
      <c r="J202">
        <v>1</v>
      </c>
      <c r="K202" t="str">
        <f t="shared" si="11"/>
        <v>yes</v>
      </c>
      <c r="L202" t="s">
        <v>2382</v>
      </c>
    </row>
    <row r="203" spans="1:12" x14ac:dyDescent="0.35">
      <c r="A203" t="s">
        <v>2171</v>
      </c>
      <c r="B203" t="str">
        <f t="shared" si="9"/>
        <v>Obesity</v>
      </c>
      <c r="C203">
        <v>32.9</v>
      </c>
      <c r="D203" t="str">
        <f t="shared" si="10"/>
        <v>Prediabetes</v>
      </c>
      <c r="E203">
        <v>6.26</v>
      </c>
      <c r="F203" t="s">
        <v>2382</v>
      </c>
      <c r="G203" t="s">
        <v>2380</v>
      </c>
      <c r="H203" t="s">
        <v>2380</v>
      </c>
      <c r="J203" t="s">
        <v>2381</v>
      </c>
      <c r="K203" t="str">
        <f t="shared" si="11"/>
        <v>yes</v>
      </c>
      <c r="L203" t="s">
        <v>2382</v>
      </c>
    </row>
    <row r="204" spans="1:12" x14ac:dyDescent="0.35">
      <c r="A204" t="s">
        <v>2170</v>
      </c>
      <c r="B204" t="str">
        <f t="shared" si="9"/>
        <v>Overweight</v>
      </c>
      <c r="C204">
        <v>29.78</v>
      </c>
      <c r="D204" t="str">
        <f t="shared" si="10"/>
        <v>Diabetes</v>
      </c>
      <c r="E204">
        <v>10.27</v>
      </c>
      <c r="F204" t="s">
        <v>2382</v>
      </c>
      <c r="G204" t="s">
        <v>2380</v>
      </c>
      <c r="H204" t="s">
        <v>2383</v>
      </c>
      <c r="J204">
        <v>1</v>
      </c>
      <c r="K204" t="str">
        <f t="shared" si="11"/>
        <v>yes</v>
      </c>
      <c r="L204" t="s">
        <v>2382</v>
      </c>
    </row>
    <row r="205" spans="1:12" x14ac:dyDescent="0.35">
      <c r="A205" t="s">
        <v>2169</v>
      </c>
      <c r="B205" t="str">
        <f t="shared" si="9"/>
        <v>Obesity</v>
      </c>
      <c r="C205">
        <v>32.78</v>
      </c>
      <c r="D205" t="str">
        <f t="shared" si="10"/>
        <v>Normal</v>
      </c>
      <c r="E205">
        <v>5.27</v>
      </c>
      <c r="F205" t="s">
        <v>2380</v>
      </c>
      <c r="G205" t="s">
        <v>2380</v>
      </c>
      <c r="H205" t="s">
        <v>2380</v>
      </c>
      <c r="J205" t="s">
        <v>2381</v>
      </c>
      <c r="K205" t="str">
        <f t="shared" si="11"/>
        <v>yes</v>
      </c>
      <c r="L205" t="s">
        <v>2382</v>
      </c>
    </row>
    <row r="206" spans="1:12" x14ac:dyDescent="0.35">
      <c r="A206" t="s">
        <v>2168</v>
      </c>
      <c r="B206" t="str">
        <f t="shared" si="9"/>
        <v>Obesity</v>
      </c>
      <c r="C206">
        <v>41.65</v>
      </c>
      <c r="D206" t="str">
        <f t="shared" si="10"/>
        <v>Diabetes</v>
      </c>
      <c r="E206">
        <v>10.73</v>
      </c>
      <c r="F206" t="s">
        <v>2382</v>
      </c>
      <c r="G206" t="s">
        <v>2380</v>
      </c>
      <c r="H206" t="s">
        <v>2380</v>
      </c>
      <c r="J206" t="s">
        <v>2381</v>
      </c>
      <c r="K206" t="str">
        <f t="shared" si="11"/>
        <v>yes</v>
      </c>
      <c r="L206" t="s">
        <v>2382</v>
      </c>
    </row>
    <row r="207" spans="1:12" x14ac:dyDescent="0.35">
      <c r="A207" t="s">
        <v>2167</v>
      </c>
      <c r="B207" t="str">
        <f t="shared" si="9"/>
        <v>Obesity</v>
      </c>
      <c r="C207">
        <v>50.79</v>
      </c>
      <c r="D207" t="str">
        <f t="shared" si="10"/>
        <v>Normal</v>
      </c>
      <c r="E207">
        <v>4.45</v>
      </c>
      <c r="F207" t="s">
        <v>2380</v>
      </c>
      <c r="G207" t="s">
        <v>2380</v>
      </c>
      <c r="H207" t="s">
        <v>2380</v>
      </c>
      <c r="J207">
        <v>1</v>
      </c>
      <c r="K207" t="str">
        <f t="shared" si="11"/>
        <v>yes</v>
      </c>
      <c r="L207" t="s">
        <v>2382</v>
      </c>
    </row>
    <row r="208" spans="1:12" x14ac:dyDescent="0.35">
      <c r="A208" t="s">
        <v>2166</v>
      </c>
      <c r="B208" t="str">
        <f t="shared" si="9"/>
        <v>Obesity</v>
      </c>
      <c r="C208">
        <v>35.43</v>
      </c>
      <c r="D208" t="str">
        <f t="shared" si="10"/>
        <v>Normal</v>
      </c>
      <c r="E208">
        <v>5.25</v>
      </c>
      <c r="F208" t="s">
        <v>2382</v>
      </c>
      <c r="G208" t="s">
        <v>2380</v>
      </c>
      <c r="H208" t="s">
        <v>2380</v>
      </c>
      <c r="J208" t="s">
        <v>2381</v>
      </c>
      <c r="K208" t="str">
        <f t="shared" si="11"/>
        <v>yes</v>
      </c>
      <c r="L208" t="s">
        <v>2382</v>
      </c>
    </row>
    <row r="209" spans="1:12" x14ac:dyDescent="0.35">
      <c r="A209" t="s">
        <v>2165</v>
      </c>
      <c r="B209" t="str">
        <f t="shared" si="9"/>
        <v>Obesity</v>
      </c>
      <c r="C209">
        <v>35.25</v>
      </c>
      <c r="D209" t="str">
        <f t="shared" si="10"/>
        <v>Diabetes</v>
      </c>
      <c r="E209">
        <v>9.51</v>
      </c>
      <c r="F209" t="s">
        <v>2380</v>
      </c>
      <c r="G209" t="s">
        <v>2380</v>
      </c>
      <c r="H209" t="s">
        <v>2380</v>
      </c>
      <c r="J209" t="s">
        <v>2381</v>
      </c>
      <c r="K209" t="str">
        <f t="shared" si="11"/>
        <v>yes</v>
      </c>
      <c r="L209" t="s">
        <v>2382</v>
      </c>
    </row>
    <row r="210" spans="1:12" x14ac:dyDescent="0.35">
      <c r="A210" t="s">
        <v>2164</v>
      </c>
      <c r="B210" t="str">
        <f t="shared" si="9"/>
        <v>Obesity</v>
      </c>
      <c r="C210">
        <v>36.85</v>
      </c>
      <c r="D210" t="str">
        <f t="shared" si="10"/>
        <v>Diabetes</v>
      </c>
      <c r="E210">
        <v>11.12</v>
      </c>
      <c r="F210" t="s">
        <v>2380</v>
      </c>
      <c r="G210" t="s">
        <v>2380</v>
      </c>
      <c r="H210" t="s">
        <v>2380</v>
      </c>
      <c r="J210" t="s">
        <v>2381</v>
      </c>
      <c r="K210" t="str">
        <f t="shared" si="11"/>
        <v>yes</v>
      </c>
      <c r="L210" t="s">
        <v>2382</v>
      </c>
    </row>
    <row r="211" spans="1:12" x14ac:dyDescent="0.35">
      <c r="A211" t="s">
        <v>2163</v>
      </c>
      <c r="B211" t="str">
        <f t="shared" si="9"/>
        <v>Obesity</v>
      </c>
      <c r="C211">
        <v>31.02</v>
      </c>
      <c r="D211" t="str">
        <f t="shared" si="10"/>
        <v>Normal</v>
      </c>
      <c r="E211">
        <v>4.5599999999999996</v>
      </c>
      <c r="F211" t="s">
        <v>2380</v>
      </c>
      <c r="G211" t="s">
        <v>2382</v>
      </c>
      <c r="H211" t="s">
        <v>2380</v>
      </c>
      <c r="J211">
        <v>1</v>
      </c>
      <c r="K211" t="str">
        <f t="shared" si="11"/>
        <v>yes</v>
      </c>
      <c r="L211" t="s">
        <v>2382</v>
      </c>
    </row>
    <row r="212" spans="1:12" x14ac:dyDescent="0.35">
      <c r="A212" t="s">
        <v>2162</v>
      </c>
      <c r="B212" t="str">
        <f t="shared" si="9"/>
        <v>Obesity</v>
      </c>
      <c r="C212">
        <v>35.6</v>
      </c>
      <c r="D212" t="str">
        <f t="shared" si="10"/>
        <v>Normal</v>
      </c>
      <c r="E212">
        <v>4.0199999999999996</v>
      </c>
      <c r="F212" t="s">
        <v>2382</v>
      </c>
      <c r="G212" t="s">
        <v>2382</v>
      </c>
      <c r="H212" t="s">
        <v>2380</v>
      </c>
      <c r="J212">
        <v>2</v>
      </c>
      <c r="K212" t="str">
        <f t="shared" si="11"/>
        <v>yes</v>
      </c>
      <c r="L212" t="s">
        <v>2382</v>
      </c>
    </row>
    <row r="213" spans="1:12" x14ac:dyDescent="0.35">
      <c r="A213" t="s">
        <v>2161</v>
      </c>
      <c r="B213" t="str">
        <f t="shared" si="9"/>
        <v>Obesity</v>
      </c>
      <c r="C213">
        <v>34.39</v>
      </c>
      <c r="D213" t="str">
        <f t="shared" si="10"/>
        <v>Diabetes</v>
      </c>
      <c r="E213">
        <v>8.7200000000000006</v>
      </c>
      <c r="F213" t="s">
        <v>2380</v>
      </c>
      <c r="G213" t="s">
        <v>2380</v>
      </c>
      <c r="H213" t="s">
        <v>2380</v>
      </c>
      <c r="J213" t="s">
        <v>2381</v>
      </c>
      <c r="K213" t="str">
        <f t="shared" si="11"/>
        <v>yes</v>
      </c>
      <c r="L213" t="s">
        <v>2382</v>
      </c>
    </row>
    <row r="214" spans="1:12" x14ac:dyDescent="0.35">
      <c r="A214" t="s">
        <v>2160</v>
      </c>
      <c r="B214" t="str">
        <f t="shared" si="9"/>
        <v>Overweight</v>
      </c>
      <c r="C214">
        <v>29.06</v>
      </c>
      <c r="D214" t="str">
        <f t="shared" si="10"/>
        <v>Prediabetes</v>
      </c>
      <c r="E214">
        <v>6.25</v>
      </c>
      <c r="F214" t="s">
        <v>2382</v>
      </c>
      <c r="G214" t="s">
        <v>2380</v>
      </c>
      <c r="H214" t="s">
        <v>2380</v>
      </c>
      <c r="J214">
        <v>1</v>
      </c>
      <c r="K214" t="str">
        <f t="shared" si="11"/>
        <v>yes</v>
      </c>
      <c r="L214" t="s">
        <v>2382</v>
      </c>
    </row>
    <row r="215" spans="1:12" x14ac:dyDescent="0.35">
      <c r="A215" t="s">
        <v>2159</v>
      </c>
      <c r="B215" t="str">
        <f t="shared" si="9"/>
        <v>Obesity</v>
      </c>
      <c r="C215">
        <v>35.799999999999997</v>
      </c>
      <c r="D215" t="str">
        <f t="shared" si="10"/>
        <v>Diabetes</v>
      </c>
      <c r="E215">
        <v>7.32</v>
      </c>
      <c r="F215" t="s">
        <v>2380</v>
      </c>
      <c r="G215" t="s">
        <v>2380</v>
      </c>
      <c r="H215" t="s">
        <v>2380</v>
      </c>
      <c r="J215">
        <v>2</v>
      </c>
      <c r="K215" t="str">
        <f t="shared" si="11"/>
        <v>yes</v>
      </c>
      <c r="L215" t="s">
        <v>2382</v>
      </c>
    </row>
    <row r="216" spans="1:12" x14ac:dyDescent="0.35">
      <c r="A216" t="s">
        <v>2158</v>
      </c>
      <c r="B216" t="str">
        <f t="shared" si="9"/>
        <v>Obesity</v>
      </c>
      <c r="C216">
        <v>49.8</v>
      </c>
      <c r="D216" t="str">
        <f t="shared" si="10"/>
        <v>Normal</v>
      </c>
      <c r="E216">
        <v>4.24</v>
      </c>
      <c r="F216" t="s">
        <v>2380</v>
      </c>
      <c r="G216" t="s">
        <v>2380</v>
      </c>
      <c r="H216" t="s">
        <v>2380</v>
      </c>
      <c r="J216">
        <v>1</v>
      </c>
      <c r="K216" t="str">
        <f t="shared" si="11"/>
        <v>yes</v>
      </c>
      <c r="L216" t="s">
        <v>2382</v>
      </c>
    </row>
    <row r="217" spans="1:12" x14ac:dyDescent="0.35">
      <c r="A217" t="s">
        <v>2157</v>
      </c>
      <c r="B217" t="str">
        <f t="shared" si="9"/>
        <v>Obesity</v>
      </c>
      <c r="C217">
        <v>35.71</v>
      </c>
      <c r="D217" t="str">
        <f t="shared" si="10"/>
        <v>Diabetes</v>
      </c>
      <c r="E217">
        <v>6.84</v>
      </c>
      <c r="F217" t="s">
        <v>2380</v>
      </c>
      <c r="G217" t="s">
        <v>2380</v>
      </c>
      <c r="H217" t="s">
        <v>2380</v>
      </c>
      <c r="J217">
        <v>2</v>
      </c>
      <c r="K217" t="str">
        <f t="shared" si="11"/>
        <v>yes</v>
      </c>
      <c r="L217" t="s">
        <v>2382</v>
      </c>
    </row>
    <row r="218" spans="1:12" x14ac:dyDescent="0.35">
      <c r="A218" t="s">
        <v>2156</v>
      </c>
      <c r="B218" t="str">
        <f t="shared" si="9"/>
        <v>Obesity</v>
      </c>
      <c r="C218">
        <v>30.8</v>
      </c>
      <c r="D218" t="str">
        <f t="shared" si="10"/>
        <v>Normal</v>
      </c>
      <c r="E218">
        <v>5.23</v>
      </c>
      <c r="F218" t="s">
        <v>2382</v>
      </c>
      <c r="G218" t="s">
        <v>2380</v>
      </c>
      <c r="H218" t="s">
        <v>2380</v>
      </c>
      <c r="J218">
        <v>1</v>
      </c>
      <c r="K218" t="str">
        <f t="shared" si="11"/>
        <v>yes</v>
      </c>
      <c r="L218" t="s">
        <v>2382</v>
      </c>
    </row>
    <row r="219" spans="1:12" x14ac:dyDescent="0.35">
      <c r="A219" t="s">
        <v>2155</v>
      </c>
      <c r="B219" t="str">
        <f t="shared" si="9"/>
        <v>Obesity</v>
      </c>
      <c r="C219">
        <v>33.69</v>
      </c>
      <c r="D219" t="str">
        <f t="shared" si="10"/>
        <v>Diabetes</v>
      </c>
      <c r="E219">
        <v>9.68</v>
      </c>
      <c r="F219" t="s">
        <v>2380</v>
      </c>
      <c r="G219" t="s">
        <v>2380</v>
      </c>
      <c r="H219" t="s">
        <v>2380</v>
      </c>
      <c r="J219" t="s">
        <v>2381</v>
      </c>
      <c r="K219" t="str">
        <f t="shared" si="11"/>
        <v>yes</v>
      </c>
      <c r="L219" t="s">
        <v>2382</v>
      </c>
    </row>
    <row r="220" spans="1:12" x14ac:dyDescent="0.35">
      <c r="A220" t="s">
        <v>2154</v>
      </c>
      <c r="B220" t="str">
        <f t="shared" si="9"/>
        <v>Obesity</v>
      </c>
      <c r="C220">
        <v>42.27</v>
      </c>
      <c r="D220" t="str">
        <f t="shared" si="10"/>
        <v>Prediabetes</v>
      </c>
      <c r="E220">
        <v>6.05</v>
      </c>
      <c r="F220" t="s">
        <v>2382</v>
      </c>
      <c r="G220" t="s">
        <v>2380</v>
      </c>
      <c r="H220" t="s">
        <v>2380</v>
      </c>
      <c r="J220">
        <v>1</v>
      </c>
      <c r="K220" t="str">
        <f t="shared" si="11"/>
        <v>yes</v>
      </c>
      <c r="L220" t="s">
        <v>2382</v>
      </c>
    </row>
    <row r="221" spans="1:12" x14ac:dyDescent="0.35">
      <c r="A221" t="s">
        <v>2153</v>
      </c>
      <c r="B221" t="str">
        <f t="shared" si="9"/>
        <v>Obesity</v>
      </c>
      <c r="C221">
        <v>53.25</v>
      </c>
      <c r="D221" t="str">
        <f t="shared" si="10"/>
        <v>Prediabetes</v>
      </c>
      <c r="E221">
        <v>6.11</v>
      </c>
      <c r="F221" t="s">
        <v>2382</v>
      </c>
      <c r="G221" t="s">
        <v>2380</v>
      </c>
      <c r="H221" t="s">
        <v>2383</v>
      </c>
      <c r="J221">
        <v>1</v>
      </c>
      <c r="K221" t="str">
        <f t="shared" si="11"/>
        <v>yes</v>
      </c>
      <c r="L221" t="s">
        <v>2382</v>
      </c>
    </row>
    <row r="222" spans="1:12" x14ac:dyDescent="0.35">
      <c r="A222" t="s">
        <v>2152</v>
      </c>
      <c r="B222" t="str">
        <f t="shared" si="9"/>
        <v>Overweight</v>
      </c>
      <c r="C222">
        <v>26.8</v>
      </c>
      <c r="D222" t="str">
        <f t="shared" si="10"/>
        <v>Diabetes</v>
      </c>
      <c r="E222">
        <v>10.93</v>
      </c>
      <c r="F222" t="s">
        <v>2382</v>
      </c>
      <c r="G222" t="s">
        <v>2380</v>
      </c>
      <c r="H222" t="s">
        <v>2380</v>
      </c>
      <c r="J222" t="s">
        <v>2381</v>
      </c>
      <c r="K222" t="str">
        <f t="shared" si="11"/>
        <v>No</v>
      </c>
      <c r="L222" t="s">
        <v>2380</v>
      </c>
    </row>
    <row r="223" spans="1:12" x14ac:dyDescent="0.35">
      <c r="A223" t="s">
        <v>2151</v>
      </c>
      <c r="B223" t="str">
        <f t="shared" si="9"/>
        <v>Overweight</v>
      </c>
      <c r="C223">
        <v>28.5</v>
      </c>
      <c r="D223" t="str">
        <f t="shared" si="10"/>
        <v>Normal</v>
      </c>
      <c r="E223">
        <v>5.12</v>
      </c>
      <c r="F223" t="s">
        <v>2380</v>
      </c>
      <c r="G223" t="s">
        <v>2380</v>
      </c>
      <c r="H223" t="s">
        <v>2380</v>
      </c>
      <c r="J223">
        <v>1</v>
      </c>
      <c r="K223" t="str">
        <f t="shared" si="11"/>
        <v>yes</v>
      </c>
      <c r="L223" t="s">
        <v>2382</v>
      </c>
    </row>
    <row r="224" spans="1:12" x14ac:dyDescent="0.35">
      <c r="A224" t="s">
        <v>2150</v>
      </c>
      <c r="B224" t="str">
        <f t="shared" si="9"/>
        <v>Normal Weight</v>
      </c>
      <c r="C224">
        <v>22.895</v>
      </c>
      <c r="D224" t="str">
        <f t="shared" si="10"/>
        <v>Prediabetes</v>
      </c>
      <c r="E224">
        <v>5.72</v>
      </c>
      <c r="F224" t="s">
        <v>2380</v>
      </c>
      <c r="G224" t="s">
        <v>2380</v>
      </c>
      <c r="H224" t="s">
        <v>2380</v>
      </c>
      <c r="J224" t="s">
        <v>2381</v>
      </c>
      <c r="K224" t="str">
        <f t="shared" si="11"/>
        <v>yes</v>
      </c>
      <c r="L224" t="s">
        <v>2382</v>
      </c>
    </row>
    <row r="225" spans="1:12" x14ac:dyDescent="0.35">
      <c r="A225" t="s">
        <v>2149</v>
      </c>
      <c r="B225" t="str">
        <f t="shared" si="9"/>
        <v>Obesity</v>
      </c>
      <c r="C225">
        <v>34.06</v>
      </c>
      <c r="D225" t="str">
        <f t="shared" si="10"/>
        <v>Diabetes</v>
      </c>
      <c r="E225">
        <v>11.83</v>
      </c>
      <c r="F225" t="s">
        <v>2382</v>
      </c>
      <c r="G225" t="s">
        <v>2380</v>
      </c>
      <c r="H225" t="s">
        <v>2380</v>
      </c>
      <c r="J225">
        <v>1</v>
      </c>
      <c r="K225" t="str">
        <f t="shared" si="11"/>
        <v>yes</v>
      </c>
      <c r="L225" t="s">
        <v>2382</v>
      </c>
    </row>
    <row r="226" spans="1:12" x14ac:dyDescent="0.35">
      <c r="A226" t="s">
        <v>2148</v>
      </c>
      <c r="B226" t="str">
        <f t="shared" si="9"/>
        <v>Obesity</v>
      </c>
      <c r="C226">
        <v>36.409999999999997</v>
      </c>
      <c r="D226" t="str">
        <f t="shared" si="10"/>
        <v>Normal</v>
      </c>
      <c r="E226">
        <v>4.55</v>
      </c>
      <c r="F226" t="s">
        <v>2380</v>
      </c>
      <c r="G226" t="s">
        <v>2380</v>
      </c>
      <c r="H226" t="s">
        <v>2380</v>
      </c>
      <c r="J226" t="s">
        <v>2381</v>
      </c>
      <c r="K226" t="str">
        <f t="shared" si="11"/>
        <v>yes</v>
      </c>
      <c r="L226" t="s">
        <v>2382</v>
      </c>
    </row>
    <row r="227" spans="1:12" x14ac:dyDescent="0.35">
      <c r="A227" t="s">
        <v>2147</v>
      </c>
      <c r="B227" t="str">
        <f t="shared" si="9"/>
        <v>Obesity</v>
      </c>
      <c r="C227">
        <v>52.3</v>
      </c>
      <c r="D227" t="str">
        <f t="shared" si="10"/>
        <v>Normal</v>
      </c>
      <c r="E227">
        <v>4.87</v>
      </c>
      <c r="F227" t="s">
        <v>2382</v>
      </c>
      <c r="G227" t="s">
        <v>2380</v>
      </c>
      <c r="H227" t="s">
        <v>2383</v>
      </c>
      <c r="J227">
        <v>1</v>
      </c>
      <c r="K227" t="str">
        <f t="shared" si="11"/>
        <v>yes</v>
      </c>
      <c r="L227" t="s">
        <v>2382</v>
      </c>
    </row>
    <row r="228" spans="1:12" x14ac:dyDescent="0.35">
      <c r="A228" t="s">
        <v>2146</v>
      </c>
      <c r="B228" t="str">
        <f t="shared" si="9"/>
        <v>Obesity</v>
      </c>
      <c r="C228">
        <v>52.66</v>
      </c>
      <c r="D228" t="str">
        <f t="shared" si="10"/>
        <v>Normal</v>
      </c>
      <c r="E228">
        <v>4.45</v>
      </c>
      <c r="F228" t="s">
        <v>2380</v>
      </c>
      <c r="G228" t="s">
        <v>2380</v>
      </c>
      <c r="H228" t="s">
        <v>2380</v>
      </c>
      <c r="J228">
        <v>1</v>
      </c>
      <c r="K228" t="str">
        <f t="shared" si="11"/>
        <v>yes</v>
      </c>
      <c r="L228" t="s">
        <v>2382</v>
      </c>
    </row>
    <row r="229" spans="1:12" x14ac:dyDescent="0.35">
      <c r="A229" t="s">
        <v>2145</v>
      </c>
      <c r="B229" t="str">
        <f t="shared" si="9"/>
        <v>Overweight</v>
      </c>
      <c r="C229">
        <v>29.57</v>
      </c>
      <c r="D229" t="str">
        <f t="shared" si="10"/>
        <v>Diabetes</v>
      </c>
      <c r="E229">
        <v>9.42</v>
      </c>
      <c r="F229" t="s">
        <v>2382</v>
      </c>
      <c r="G229" t="s">
        <v>2380</v>
      </c>
      <c r="H229" t="s">
        <v>2380</v>
      </c>
      <c r="J229" t="s">
        <v>2381</v>
      </c>
      <c r="K229" t="str">
        <f t="shared" si="11"/>
        <v>yes</v>
      </c>
      <c r="L229" t="s">
        <v>2382</v>
      </c>
    </row>
    <row r="230" spans="1:12" x14ac:dyDescent="0.35">
      <c r="A230" t="s">
        <v>2144</v>
      </c>
      <c r="B230" t="str">
        <f t="shared" si="9"/>
        <v>Obesity</v>
      </c>
      <c r="C230">
        <v>36.99</v>
      </c>
      <c r="D230" t="str">
        <f t="shared" si="10"/>
        <v>Normal</v>
      </c>
      <c r="E230">
        <v>5.37</v>
      </c>
      <c r="F230" t="s">
        <v>2382</v>
      </c>
      <c r="G230" t="s">
        <v>2380</v>
      </c>
      <c r="H230" t="s">
        <v>2383</v>
      </c>
      <c r="J230">
        <v>1</v>
      </c>
      <c r="K230" t="str">
        <f t="shared" si="11"/>
        <v>yes</v>
      </c>
      <c r="L230" t="s">
        <v>2382</v>
      </c>
    </row>
    <row r="231" spans="1:12" x14ac:dyDescent="0.35">
      <c r="A231" t="s">
        <v>2143</v>
      </c>
      <c r="B231" t="str">
        <f t="shared" si="9"/>
        <v>Obesity</v>
      </c>
      <c r="C231">
        <v>31.4</v>
      </c>
      <c r="D231" t="str">
        <f t="shared" si="10"/>
        <v>Normal</v>
      </c>
      <c r="E231">
        <v>4.5999999999999996</v>
      </c>
      <c r="F231" t="s">
        <v>2382</v>
      </c>
      <c r="G231" t="s">
        <v>2380</v>
      </c>
      <c r="H231" t="s">
        <v>2380</v>
      </c>
      <c r="J231">
        <v>1</v>
      </c>
      <c r="K231" t="str">
        <f t="shared" si="11"/>
        <v>yes</v>
      </c>
      <c r="L231" t="s">
        <v>2382</v>
      </c>
    </row>
    <row r="232" spans="1:12" x14ac:dyDescent="0.35">
      <c r="A232" t="s">
        <v>2142</v>
      </c>
      <c r="B232" t="str">
        <f t="shared" si="9"/>
        <v>Obesity</v>
      </c>
      <c r="C232">
        <v>34.9</v>
      </c>
      <c r="D232" t="str">
        <f t="shared" si="10"/>
        <v>Prediabetes</v>
      </c>
      <c r="E232">
        <v>6.22</v>
      </c>
      <c r="F232" t="s">
        <v>2380</v>
      </c>
      <c r="G232" t="s">
        <v>2380</v>
      </c>
      <c r="H232" t="s">
        <v>2383</v>
      </c>
      <c r="J232">
        <v>1</v>
      </c>
      <c r="K232" t="str">
        <f t="shared" si="11"/>
        <v>yes</v>
      </c>
      <c r="L232" t="s">
        <v>2382</v>
      </c>
    </row>
    <row r="233" spans="1:12" x14ac:dyDescent="0.35">
      <c r="A233" t="s">
        <v>2141</v>
      </c>
      <c r="B233" t="str">
        <f t="shared" si="9"/>
        <v>Obesity</v>
      </c>
      <c r="C233">
        <v>31.13</v>
      </c>
      <c r="D233" t="str">
        <f t="shared" si="10"/>
        <v>Normal</v>
      </c>
      <c r="E233">
        <v>4.5199999999999996</v>
      </c>
      <c r="F233" t="s">
        <v>2382</v>
      </c>
      <c r="G233" t="s">
        <v>2380</v>
      </c>
      <c r="H233" t="s">
        <v>2380</v>
      </c>
      <c r="J233">
        <v>1</v>
      </c>
      <c r="K233" t="str">
        <f t="shared" si="11"/>
        <v>yes</v>
      </c>
      <c r="L233" t="s">
        <v>2382</v>
      </c>
    </row>
    <row r="234" spans="1:12" x14ac:dyDescent="0.35">
      <c r="A234" t="s">
        <v>2140</v>
      </c>
      <c r="B234" t="str">
        <f t="shared" si="9"/>
        <v>Obesity</v>
      </c>
      <c r="C234">
        <v>34.799999999999997</v>
      </c>
      <c r="D234" t="str">
        <f t="shared" si="10"/>
        <v>Prediabetes</v>
      </c>
      <c r="E234">
        <v>6.18</v>
      </c>
      <c r="F234" t="s">
        <v>2380</v>
      </c>
      <c r="G234" t="s">
        <v>2380</v>
      </c>
      <c r="H234" t="s">
        <v>2383</v>
      </c>
      <c r="J234">
        <v>1</v>
      </c>
      <c r="K234" t="str">
        <f t="shared" si="11"/>
        <v>yes</v>
      </c>
      <c r="L234" t="s">
        <v>2382</v>
      </c>
    </row>
    <row r="235" spans="1:12" x14ac:dyDescent="0.35">
      <c r="A235" t="s">
        <v>2139</v>
      </c>
      <c r="B235" t="str">
        <f t="shared" si="9"/>
        <v>Obesity</v>
      </c>
      <c r="C235">
        <v>31.68</v>
      </c>
      <c r="D235" t="str">
        <f t="shared" si="10"/>
        <v>Normal</v>
      </c>
      <c r="E235">
        <v>4.4000000000000004</v>
      </c>
      <c r="F235" t="s">
        <v>2380</v>
      </c>
      <c r="G235" t="s">
        <v>2380</v>
      </c>
      <c r="H235" t="s">
        <v>2380</v>
      </c>
      <c r="J235" t="s">
        <v>2381</v>
      </c>
      <c r="K235" t="str">
        <f t="shared" si="11"/>
        <v>yes</v>
      </c>
      <c r="L235" t="s">
        <v>2382</v>
      </c>
    </row>
    <row r="236" spans="1:12" x14ac:dyDescent="0.35">
      <c r="A236" t="s">
        <v>2138</v>
      </c>
      <c r="B236" t="str">
        <f t="shared" si="9"/>
        <v>Obesity</v>
      </c>
      <c r="C236">
        <v>33.534999999999997</v>
      </c>
      <c r="D236" t="str">
        <f t="shared" si="10"/>
        <v>Prediabetes</v>
      </c>
      <c r="E236">
        <v>6.23</v>
      </c>
      <c r="F236" t="s">
        <v>2380</v>
      </c>
      <c r="G236" t="s">
        <v>2382</v>
      </c>
      <c r="H236" t="s">
        <v>2380</v>
      </c>
      <c r="J236">
        <v>1</v>
      </c>
      <c r="K236" t="str">
        <f t="shared" si="11"/>
        <v>yes</v>
      </c>
      <c r="L236" t="s">
        <v>2382</v>
      </c>
    </row>
    <row r="237" spans="1:12" x14ac:dyDescent="0.35">
      <c r="A237" t="s">
        <v>2137</v>
      </c>
      <c r="B237" t="str">
        <f t="shared" si="9"/>
        <v>Obesity</v>
      </c>
      <c r="C237">
        <v>31.92</v>
      </c>
      <c r="D237" t="str">
        <f t="shared" si="10"/>
        <v>Normal</v>
      </c>
      <c r="E237">
        <v>5.33</v>
      </c>
      <c r="F237" t="s">
        <v>2382</v>
      </c>
      <c r="G237" t="s">
        <v>2380</v>
      </c>
      <c r="H237" t="s">
        <v>2380</v>
      </c>
      <c r="J237" t="s">
        <v>2381</v>
      </c>
      <c r="K237" t="str">
        <f t="shared" si="11"/>
        <v>yes</v>
      </c>
      <c r="L237" t="s">
        <v>2382</v>
      </c>
    </row>
    <row r="238" spans="1:12" x14ac:dyDescent="0.35">
      <c r="A238" t="s">
        <v>2136</v>
      </c>
      <c r="B238" t="str">
        <f t="shared" si="9"/>
        <v>Obesity</v>
      </c>
      <c r="C238">
        <v>32.700000000000003</v>
      </c>
      <c r="D238" t="str">
        <f t="shared" si="10"/>
        <v>Normal</v>
      </c>
      <c r="E238">
        <v>4.09</v>
      </c>
      <c r="F238" t="s">
        <v>2380</v>
      </c>
      <c r="G238" t="s">
        <v>2380</v>
      </c>
      <c r="H238" t="s">
        <v>2380</v>
      </c>
      <c r="J238">
        <v>1</v>
      </c>
      <c r="K238" t="str">
        <f t="shared" si="11"/>
        <v>yes</v>
      </c>
      <c r="L238" t="s">
        <v>2382</v>
      </c>
    </row>
    <row r="239" spans="1:12" x14ac:dyDescent="0.35">
      <c r="A239" t="s">
        <v>2135</v>
      </c>
      <c r="B239" t="str">
        <f t="shared" si="9"/>
        <v>Obesity</v>
      </c>
      <c r="C239">
        <v>41.25</v>
      </c>
      <c r="D239" t="str">
        <f t="shared" si="10"/>
        <v>Normal</v>
      </c>
      <c r="E239">
        <v>5.19</v>
      </c>
      <c r="F239" t="s">
        <v>2380</v>
      </c>
      <c r="G239" t="s">
        <v>2380</v>
      </c>
      <c r="H239" t="s">
        <v>2380</v>
      </c>
      <c r="J239" t="s">
        <v>2381</v>
      </c>
      <c r="K239" t="str">
        <f t="shared" si="11"/>
        <v>yes</v>
      </c>
      <c r="L239" t="s">
        <v>2382</v>
      </c>
    </row>
    <row r="240" spans="1:12" x14ac:dyDescent="0.35">
      <c r="A240" t="s">
        <v>2134</v>
      </c>
      <c r="B240" t="str">
        <f t="shared" si="9"/>
        <v>Obesity</v>
      </c>
      <c r="C240">
        <v>33.11</v>
      </c>
      <c r="D240" t="str">
        <f t="shared" si="10"/>
        <v>Normal</v>
      </c>
      <c r="E240">
        <v>4.12</v>
      </c>
      <c r="F240" t="s">
        <v>2380</v>
      </c>
      <c r="G240" t="s">
        <v>2380</v>
      </c>
      <c r="H240" t="s">
        <v>2383</v>
      </c>
      <c r="J240">
        <v>1</v>
      </c>
      <c r="K240" t="str">
        <f t="shared" si="11"/>
        <v>yes</v>
      </c>
      <c r="L240" t="s">
        <v>2382</v>
      </c>
    </row>
    <row r="241" spans="1:12" x14ac:dyDescent="0.35">
      <c r="A241" t="s">
        <v>2133</v>
      </c>
      <c r="B241" t="str">
        <f t="shared" si="9"/>
        <v>Obesity</v>
      </c>
      <c r="C241">
        <v>36.159999999999997</v>
      </c>
      <c r="D241" t="str">
        <f t="shared" si="10"/>
        <v>Normal</v>
      </c>
      <c r="E241">
        <v>5.0999999999999996</v>
      </c>
      <c r="F241" t="s">
        <v>2380</v>
      </c>
      <c r="G241" t="s">
        <v>2380</v>
      </c>
      <c r="H241" t="s">
        <v>2380</v>
      </c>
      <c r="J241">
        <v>1</v>
      </c>
      <c r="K241" t="str">
        <f t="shared" si="11"/>
        <v>yes</v>
      </c>
      <c r="L241" t="s">
        <v>2382</v>
      </c>
    </row>
    <row r="242" spans="1:12" x14ac:dyDescent="0.35">
      <c r="A242" t="s">
        <v>2132</v>
      </c>
      <c r="B242" t="str">
        <f t="shared" si="9"/>
        <v>Obesity</v>
      </c>
      <c r="C242">
        <v>33.72</v>
      </c>
      <c r="D242" t="str">
        <f t="shared" si="10"/>
        <v>Prediabetes</v>
      </c>
      <c r="E242">
        <v>6.21</v>
      </c>
      <c r="F242" t="s">
        <v>2382</v>
      </c>
      <c r="G242" t="s">
        <v>2380</v>
      </c>
      <c r="H242" t="s">
        <v>2383</v>
      </c>
      <c r="J242">
        <v>1</v>
      </c>
      <c r="K242" t="str">
        <f t="shared" si="11"/>
        <v>yes</v>
      </c>
      <c r="L242" t="s">
        <v>2382</v>
      </c>
    </row>
    <row r="243" spans="1:12" x14ac:dyDescent="0.35">
      <c r="A243" t="s">
        <v>2130</v>
      </c>
      <c r="B243" t="str">
        <f t="shared" si="9"/>
        <v>Obesity</v>
      </c>
      <c r="C243">
        <v>37.74</v>
      </c>
      <c r="D243" t="str">
        <f t="shared" si="10"/>
        <v>Diabetes</v>
      </c>
      <c r="E243">
        <v>9.5299999999999994</v>
      </c>
      <c r="F243" t="s">
        <v>2382</v>
      </c>
      <c r="G243" t="s">
        <v>2380</v>
      </c>
      <c r="H243" t="s">
        <v>2380</v>
      </c>
      <c r="J243">
        <v>1</v>
      </c>
      <c r="K243" t="str">
        <f t="shared" si="11"/>
        <v>yes</v>
      </c>
      <c r="L243" t="s">
        <v>2382</v>
      </c>
    </row>
    <row r="244" spans="1:12" x14ac:dyDescent="0.35">
      <c r="A244" t="s">
        <v>2129</v>
      </c>
      <c r="B244" t="str">
        <f t="shared" si="9"/>
        <v>Obesity</v>
      </c>
      <c r="C244">
        <v>48.75</v>
      </c>
      <c r="D244" t="str">
        <f t="shared" si="10"/>
        <v>Normal</v>
      </c>
      <c r="E244">
        <v>4.6399999999999997</v>
      </c>
      <c r="F244" t="s">
        <v>2382</v>
      </c>
      <c r="G244" t="s">
        <v>2380</v>
      </c>
      <c r="H244" t="s">
        <v>2380</v>
      </c>
      <c r="J244">
        <v>1</v>
      </c>
      <c r="K244" t="str">
        <f t="shared" si="11"/>
        <v>yes</v>
      </c>
      <c r="L244" t="s">
        <v>2382</v>
      </c>
    </row>
    <row r="245" spans="1:12" x14ac:dyDescent="0.35">
      <c r="A245" t="s">
        <v>2128</v>
      </c>
      <c r="B245" t="str">
        <f t="shared" si="9"/>
        <v>Obesity</v>
      </c>
      <c r="C245">
        <v>31.065000000000001</v>
      </c>
      <c r="D245" t="str">
        <f t="shared" si="10"/>
        <v>Normal</v>
      </c>
      <c r="E245">
        <v>5.05</v>
      </c>
      <c r="F245" t="s">
        <v>2380</v>
      </c>
      <c r="G245" t="s">
        <v>2380</v>
      </c>
      <c r="H245" t="s">
        <v>2380</v>
      </c>
      <c r="J245">
        <v>1</v>
      </c>
      <c r="K245" t="str">
        <f t="shared" si="11"/>
        <v>yes</v>
      </c>
      <c r="L245" t="s">
        <v>2382</v>
      </c>
    </row>
    <row r="246" spans="1:12" x14ac:dyDescent="0.35">
      <c r="A246" t="s">
        <v>2127</v>
      </c>
      <c r="B246" t="str">
        <f t="shared" si="9"/>
        <v>Normal Weight</v>
      </c>
      <c r="C246">
        <v>23.55</v>
      </c>
      <c r="D246" t="str">
        <f t="shared" si="10"/>
        <v>Diabetes</v>
      </c>
      <c r="E246">
        <v>10.38</v>
      </c>
      <c r="F246" t="s">
        <v>2380</v>
      </c>
      <c r="G246" t="s">
        <v>2380</v>
      </c>
      <c r="H246" t="s">
        <v>2380</v>
      </c>
      <c r="J246" t="s">
        <v>2381</v>
      </c>
      <c r="K246" t="str">
        <f t="shared" si="11"/>
        <v>yes</v>
      </c>
      <c r="L246" t="s">
        <v>2382</v>
      </c>
    </row>
    <row r="247" spans="1:12" x14ac:dyDescent="0.35">
      <c r="A247" t="s">
        <v>2126</v>
      </c>
      <c r="B247" t="str">
        <f t="shared" si="9"/>
        <v>Obesity</v>
      </c>
      <c r="C247">
        <v>30.18</v>
      </c>
      <c r="D247" t="str">
        <f t="shared" si="10"/>
        <v>Diabetes</v>
      </c>
      <c r="E247">
        <v>8.31</v>
      </c>
      <c r="F247" t="s">
        <v>2382</v>
      </c>
      <c r="G247" t="s">
        <v>2380</v>
      </c>
      <c r="H247" t="s">
        <v>2380</v>
      </c>
      <c r="J247">
        <v>1</v>
      </c>
      <c r="K247" t="str">
        <f t="shared" si="11"/>
        <v>yes</v>
      </c>
      <c r="L247" t="s">
        <v>2382</v>
      </c>
    </row>
    <row r="248" spans="1:12" x14ac:dyDescent="0.35">
      <c r="A248" t="s">
        <v>2125</v>
      </c>
      <c r="B248" t="e">
        <f t="shared" si="9"/>
        <v>#N/A</v>
      </c>
      <c r="C248">
        <v>29.94</v>
      </c>
      <c r="D248" t="str">
        <f t="shared" si="10"/>
        <v>Diabetes</v>
      </c>
      <c r="E248">
        <v>7.59</v>
      </c>
      <c r="F248" t="s">
        <v>2380</v>
      </c>
      <c r="G248" t="s">
        <v>2380</v>
      </c>
      <c r="H248" t="s">
        <v>2380</v>
      </c>
      <c r="J248" t="s">
        <v>2381</v>
      </c>
      <c r="K248" t="str">
        <f t="shared" si="11"/>
        <v>yes</v>
      </c>
      <c r="L248" t="s">
        <v>2382</v>
      </c>
    </row>
    <row r="249" spans="1:12" x14ac:dyDescent="0.35">
      <c r="A249" t="s">
        <v>2124</v>
      </c>
      <c r="B249" t="str">
        <f t="shared" si="9"/>
        <v>Obesity</v>
      </c>
      <c r="C249">
        <v>31.4</v>
      </c>
      <c r="D249" t="str">
        <f t="shared" si="10"/>
        <v>Normal</v>
      </c>
      <c r="E249">
        <v>5.49</v>
      </c>
      <c r="F249" t="s">
        <v>2380</v>
      </c>
      <c r="G249" t="s">
        <v>2380</v>
      </c>
      <c r="H249" t="s">
        <v>2380</v>
      </c>
      <c r="J249" t="s">
        <v>2381</v>
      </c>
      <c r="K249" t="str">
        <f t="shared" si="11"/>
        <v>yes</v>
      </c>
      <c r="L249" t="s">
        <v>2382</v>
      </c>
    </row>
    <row r="250" spans="1:12" x14ac:dyDescent="0.35">
      <c r="A250" t="s">
        <v>2123</v>
      </c>
      <c r="B250" t="str">
        <f t="shared" si="9"/>
        <v>Obesity</v>
      </c>
      <c r="C250">
        <v>53.06</v>
      </c>
      <c r="D250" t="str">
        <f t="shared" si="10"/>
        <v>Diabetes</v>
      </c>
      <c r="E250">
        <v>11.68</v>
      </c>
      <c r="F250" t="s">
        <v>2380</v>
      </c>
      <c r="G250" t="s">
        <v>2380</v>
      </c>
      <c r="H250" t="s">
        <v>2380</v>
      </c>
      <c r="J250" t="s">
        <v>2381</v>
      </c>
      <c r="K250" t="str">
        <f t="shared" si="11"/>
        <v>yes</v>
      </c>
      <c r="L250" t="s">
        <v>2382</v>
      </c>
    </row>
    <row r="251" spans="1:12" x14ac:dyDescent="0.35">
      <c r="A251" t="s">
        <v>2122</v>
      </c>
      <c r="B251" t="str">
        <f t="shared" si="9"/>
        <v>Obesity</v>
      </c>
      <c r="C251">
        <v>30.25</v>
      </c>
      <c r="D251" t="str">
        <f t="shared" si="10"/>
        <v>Normal</v>
      </c>
      <c r="E251">
        <v>4.1900000000000004</v>
      </c>
      <c r="F251" t="s">
        <v>2380</v>
      </c>
      <c r="G251" t="s">
        <v>2380</v>
      </c>
      <c r="H251" t="s">
        <v>2380</v>
      </c>
      <c r="J251">
        <v>2</v>
      </c>
      <c r="K251" t="str">
        <f t="shared" si="11"/>
        <v>yes</v>
      </c>
      <c r="L251" t="s">
        <v>2382</v>
      </c>
    </row>
    <row r="252" spans="1:12" x14ac:dyDescent="0.35">
      <c r="A252" t="s">
        <v>2121</v>
      </c>
      <c r="B252" t="str">
        <f t="shared" si="9"/>
        <v>Obesity</v>
      </c>
      <c r="C252">
        <v>46.68</v>
      </c>
      <c r="D252" t="str">
        <f t="shared" si="10"/>
        <v>Normal</v>
      </c>
      <c r="E252">
        <v>4.01</v>
      </c>
      <c r="F252" t="s">
        <v>2380</v>
      </c>
      <c r="G252" t="s">
        <v>2380</v>
      </c>
      <c r="H252" t="s">
        <v>2380</v>
      </c>
      <c r="J252" t="s">
        <v>2381</v>
      </c>
      <c r="K252" t="str">
        <f t="shared" si="11"/>
        <v>yes</v>
      </c>
      <c r="L252" t="s">
        <v>2382</v>
      </c>
    </row>
    <row r="253" spans="1:12" x14ac:dyDescent="0.35">
      <c r="A253" t="s">
        <v>2120</v>
      </c>
      <c r="B253" t="str">
        <f t="shared" si="9"/>
        <v>Obesity</v>
      </c>
      <c r="C253">
        <v>30.4</v>
      </c>
      <c r="D253" t="str">
        <f t="shared" si="10"/>
        <v>Prediabetes</v>
      </c>
      <c r="E253">
        <v>5.91</v>
      </c>
      <c r="F253" t="s">
        <v>2380</v>
      </c>
      <c r="G253" t="s">
        <v>2382</v>
      </c>
      <c r="H253" t="s">
        <v>2380</v>
      </c>
      <c r="J253">
        <v>2</v>
      </c>
      <c r="K253" t="str">
        <f t="shared" si="11"/>
        <v>yes</v>
      </c>
      <c r="L253" t="s">
        <v>2382</v>
      </c>
    </row>
    <row r="254" spans="1:12" x14ac:dyDescent="0.35">
      <c r="A254" t="s">
        <v>2119</v>
      </c>
      <c r="B254" t="str">
        <f t="shared" si="9"/>
        <v>Obesity</v>
      </c>
      <c r="C254">
        <v>30.2</v>
      </c>
      <c r="D254" t="str">
        <f t="shared" si="10"/>
        <v>Normal</v>
      </c>
      <c r="E254">
        <v>4.47</v>
      </c>
      <c r="F254" t="s">
        <v>2382</v>
      </c>
      <c r="G254" t="s">
        <v>2380</v>
      </c>
      <c r="H254" t="s">
        <v>2383</v>
      </c>
      <c r="J254">
        <v>1</v>
      </c>
      <c r="K254" t="str">
        <f t="shared" si="11"/>
        <v>yes</v>
      </c>
      <c r="L254" t="s">
        <v>2382</v>
      </c>
    </row>
    <row r="255" spans="1:12" x14ac:dyDescent="0.35">
      <c r="A255" t="s">
        <v>2118</v>
      </c>
      <c r="B255" t="str">
        <f t="shared" si="9"/>
        <v>Obesity</v>
      </c>
      <c r="C255">
        <v>51.18</v>
      </c>
      <c r="D255" t="str">
        <f t="shared" si="10"/>
        <v>Normal</v>
      </c>
      <c r="E255">
        <v>4.5599999999999996</v>
      </c>
      <c r="F255" t="s">
        <v>2382</v>
      </c>
      <c r="G255" t="s">
        <v>2382</v>
      </c>
      <c r="H255" t="s">
        <v>2380</v>
      </c>
      <c r="J255">
        <v>2</v>
      </c>
      <c r="K255" t="str">
        <f t="shared" si="11"/>
        <v>yes</v>
      </c>
      <c r="L255" t="s">
        <v>2382</v>
      </c>
    </row>
    <row r="256" spans="1:12" x14ac:dyDescent="0.35">
      <c r="A256" t="s">
        <v>2117</v>
      </c>
      <c r="B256" t="str">
        <f t="shared" si="9"/>
        <v>Normal Weight</v>
      </c>
      <c r="C256">
        <v>22.18</v>
      </c>
      <c r="D256" t="str">
        <f t="shared" si="10"/>
        <v>Diabetes</v>
      </c>
      <c r="E256">
        <v>9.9</v>
      </c>
      <c r="F256" t="s">
        <v>2380</v>
      </c>
      <c r="G256" t="s">
        <v>2380</v>
      </c>
      <c r="H256" t="s">
        <v>2380</v>
      </c>
      <c r="J256" t="s">
        <v>2381</v>
      </c>
      <c r="K256" t="str">
        <f t="shared" si="11"/>
        <v>yes</v>
      </c>
      <c r="L256" t="s">
        <v>2382</v>
      </c>
    </row>
    <row r="257" spans="1:12" x14ac:dyDescent="0.35">
      <c r="A257" t="s">
        <v>2116</v>
      </c>
      <c r="B257" t="str">
        <f t="shared" si="9"/>
        <v>Obesity</v>
      </c>
      <c r="C257">
        <v>31.92</v>
      </c>
      <c r="D257" t="str">
        <f t="shared" si="10"/>
        <v>Normal</v>
      </c>
      <c r="E257">
        <v>5.1100000000000003</v>
      </c>
      <c r="F257" t="s">
        <v>2380</v>
      </c>
      <c r="G257" t="s">
        <v>2380</v>
      </c>
      <c r="H257" t="s">
        <v>2383</v>
      </c>
      <c r="J257">
        <v>1</v>
      </c>
      <c r="K257" t="str">
        <f t="shared" si="11"/>
        <v>yes</v>
      </c>
      <c r="L257" t="s">
        <v>2382</v>
      </c>
    </row>
    <row r="258" spans="1:12" x14ac:dyDescent="0.35">
      <c r="A258" t="s">
        <v>2115</v>
      </c>
      <c r="B258" t="str">
        <f t="shared" si="9"/>
        <v>Obesity</v>
      </c>
      <c r="C258">
        <v>31.73</v>
      </c>
      <c r="D258" t="str">
        <f t="shared" si="10"/>
        <v>Prediabetes</v>
      </c>
      <c r="E258">
        <v>5.73</v>
      </c>
      <c r="F258" t="s">
        <v>2380</v>
      </c>
      <c r="G258" t="s">
        <v>2382</v>
      </c>
      <c r="H258" t="s">
        <v>2380</v>
      </c>
      <c r="J258">
        <v>1</v>
      </c>
      <c r="K258" t="str">
        <f t="shared" si="11"/>
        <v>yes</v>
      </c>
      <c r="L258" t="s">
        <v>2382</v>
      </c>
    </row>
    <row r="259" spans="1:12" x14ac:dyDescent="0.35">
      <c r="A259" t="s">
        <v>2114</v>
      </c>
      <c r="B259" t="str">
        <f t="shared" ref="B259:B322" si="12">_xlfn.IFS(C259&lt;18.5, "Underweight", C259&lt;=24.9, "Normal Weight", C259&lt;=29.9, "Overweight", C259&gt;=30, "Obesity")</f>
        <v>Obesity</v>
      </c>
      <c r="C259">
        <v>45.52</v>
      </c>
      <c r="D259" t="str">
        <f t="shared" ref="D259:D322" si="13">_xlfn.IFS(E259&lt;5.7, "Normal", E259&lt;=6.4, "Prediabetes", E259&gt;=6.5, "Diabetes")</f>
        <v>Prediabetes</v>
      </c>
      <c r="E259">
        <v>6.04</v>
      </c>
      <c r="F259" t="s">
        <v>2380</v>
      </c>
      <c r="G259" t="s">
        <v>2380</v>
      </c>
      <c r="H259" t="s">
        <v>2383</v>
      </c>
      <c r="J259">
        <v>1</v>
      </c>
      <c r="K259" t="str">
        <f t="shared" si="11"/>
        <v>yes</v>
      </c>
      <c r="L259" t="s">
        <v>2382</v>
      </c>
    </row>
    <row r="260" spans="1:12" x14ac:dyDescent="0.35">
      <c r="A260" t="s">
        <v>2113</v>
      </c>
      <c r="B260" t="str">
        <f t="shared" si="12"/>
        <v>Obesity</v>
      </c>
      <c r="C260">
        <v>52.81</v>
      </c>
      <c r="D260" t="str">
        <f t="shared" si="13"/>
        <v>Normal</v>
      </c>
      <c r="E260">
        <v>5.19</v>
      </c>
      <c r="F260" t="s">
        <v>2380</v>
      </c>
      <c r="G260" t="s">
        <v>2380</v>
      </c>
      <c r="H260" t="s">
        <v>2383</v>
      </c>
      <c r="J260">
        <v>1</v>
      </c>
      <c r="K260" t="str">
        <f t="shared" ref="K260:K323" si="14">IF(OR(L260="?", ISBLANK(L260)), "No", L260)</f>
        <v>yes</v>
      </c>
      <c r="L260" t="s">
        <v>2382</v>
      </c>
    </row>
    <row r="261" spans="1:12" x14ac:dyDescent="0.35">
      <c r="A261" t="s">
        <v>2112</v>
      </c>
      <c r="B261" t="str">
        <f t="shared" si="12"/>
        <v>Obesity</v>
      </c>
      <c r="C261">
        <v>33.58</v>
      </c>
      <c r="D261" t="str">
        <f t="shared" si="13"/>
        <v>Normal</v>
      </c>
      <c r="E261">
        <v>5.56</v>
      </c>
      <c r="F261" t="s">
        <v>2380</v>
      </c>
      <c r="G261" t="s">
        <v>2380</v>
      </c>
      <c r="H261" t="s">
        <v>2380</v>
      </c>
      <c r="J261">
        <v>1</v>
      </c>
      <c r="K261" t="str">
        <f t="shared" si="14"/>
        <v>yes</v>
      </c>
      <c r="L261" t="s">
        <v>2382</v>
      </c>
    </row>
    <row r="262" spans="1:12" x14ac:dyDescent="0.35">
      <c r="A262" t="s">
        <v>2111</v>
      </c>
      <c r="B262" t="str">
        <f t="shared" si="12"/>
        <v>Obesity</v>
      </c>
      <c r="C262">
        <v>30.684999999999999</v>
      </c>
      <c r="D262" t="str">
        <f t="shared" si="13"/>
        <v>Diabetes</v>
      </c>
      <c r="E262">
        <v>8.23</v>
      </c>
      <c r="F262" t="s">
        <v>2380</v>
      </c>
      <c r="G262" t="s">
        <v>2380</v>
      </c>
      <c r="H262" t="s">
        <v>2380</v>
      </c>
      <c r="J262" t="s">
        <v>2381</v>
      </c>
      <c r="K262" t="str">
        <f t="shared" si="14"/>
        <v>yes</v>
      </c>
      <c r="L262" t="s">
        <v>2382</v>
      </c>
    </row>
    <row r="263" spans="1:12" x14ac:dyDescent="0.35">
      <c r="A263" t="s">
        <v>2110</v>
      </c>
      <c r="B263" t="str">
        <f t="shared" si="12"/>
        <v>Obesity</v>
      </c>
      <c r="C263">
        <v>37.524999999999999</v>
      </c>
      <c r="D263" t="str">
        <f t="shared" si="13"/>
        <v>Diabetes</v>
      </c>
      <c r="E263">
        <v>9.0299999999999994</v>
      </c>
      <c r="F263" t="s">
        <v>2382</v>
      </c>
      <c r="G263" t="s">
        <v>2380</v>
      </c>
      <c r="H263" t="s">
        <v>2380</v>
      </c>
      <c r="J263">
        <v>2</v>
      </c>
      <c r="K263" t="str">
        <f t="shared" si="14"/>
        <v>No</v>
      </c>
      <c r="L263" t="s">
        <v>2380</v>
      </c>
    </row>
    <row r="264" spans="1:12" x14ac:dyDescent="0.35">
      <c r="A264" t="s">
        <v>2109</v>
      </c>
      <c r="B264" t="str">
        <f t="shared" si="12"/>
        <v>Obesity</v>
      </c>
      <c r="C264">
        <v>34.5</v>
      </c>
      <c r="D264" t="str">
        <f t="shared" si="13"/>
        <v>Normal</v>
      </c>
      <c r="E264">
        <v>4.07</v>
      </c>
      <c r="F264" t="s">
        <v>2382</v>
      </c>
      <c r="G264" t="s">
        <v>2380</v>
      </c>
      <c r="H264" t="s">
        <v>2380</v>
      </c>
      <c r="J264" t="s">
        <v>2381</v>
      </c>
      <c r="K264" t="str">
        <f t="shared" si="14"/>
        <v>yes</v>
      </c>
      <c r="L264" t="s">
        <v>2382</v>
      </c>
    </row>
    <row r="265" spans="1:12" x14ac:dyDescent="0.35">
      <c r="A265" t="s">
        <v>2108</v>
      </c>
      <c r="B265" t="str">
        <f t="shared" si="12"/>
        <v>Overweight</v>
      </c>
      <c r="C265">
        <v>28.16</v>
      </c>
      <c r="D265" t="str">
        <f t="shared" si="13"/>
        <v>Prediabetes</v>
      </c>
      <c r="E265">
        <v>5.77</v>
      </c>
      <c r="F265" t="s">
        <v>2380</v>
      </c>
      <c r="G265" t="s">
        <v>2380</v>
      </c>
      <c r="H265" t="s">
        <v>2380</v>
      </c>
      <c r="J265">
        <v>2</v>
      </c>
      <c r="K265" t="str">
        <f t="shared" si="14"/>
        <v>yes</v>
      </c>
      <c r="L265" t="s">
        <v>2382</v>
      </c>
    </row>
    <row r="266" spans="1:12" x14ac:dyDescent="0.35">
      <c r="A266" t="s">
        <v>2107</v>
      </c>
      <c r="B266" t="str">
        <f t="shared" si="12"/>
        <v>Obesity</v>
      </c>
      <c r="C266">
        <v>30.02</v>
      </c>
      <c r="D266" t="str">
        <f t="shared" si="13"/>
        <v>Prediabetes</v>
      </c>
      <c r="E266">
        <v>5.98</v>
      </c>
      <c r="F266" t="s">
        <v>2380</v>
      </c>
      <c r="G266" t="s">
        <v>2380</v>
      </c>
      <c r="H266" t="s">
        <v>2383</v>
      </c>
      <c r="J266">
        <v>1</v>
      </c>
      <c r="K266" t="str">
        <f t="shared" si="14"/>
        <v>yes</v>
      </c>
      <c r="L266" t="s">
        <v>2382</v>
      </c>
    </row>
    <row r="267" spans="1:12" x14ac:dyDescent="0.35">
      <c r="A267" t="s">
        <v>2106</v>
      </c>
      <c r="B267" t="str">
        <f t="shared" si="12"/>
        <v>Obesity</v>
      </c>
      <c r="C267">
        <v>37.82</v>
      </c>
      <c r="D267" t="str">
        <f t="shared" si="13"/>
        <v>Prediabetes</v>
      </c>
      <c r="E267">
        <v>6.01</v>
      </c>
      <c r="F267" t="s">
        <v>2380</v>
      </c>
      <c r="G267" t="s">
        <v>2380</v>
      </c>
      <c r="H267" t="s">
        <v>2380</v>
      </c>
      <c r="J267" t="s">
        <v>2381</v>
      </c>
      <c r="K267" t="str">
        <f t="shared" si="14"/>
        <v>yes</v>
      </c>
      <c r="L267" t="s">
        <v>2382</v>
      </c>
    </row>
    <row r="268" spans="1:12" x14ac:dyDescent="0.35">
      <c r="A268" t="s">
        <v>2105</v>
      </c>
      <c r="B268" t="str">
        <f t="shared" si="12"/>
        <v>Obesity</v>
      </c>
      <c r="C268">
        <v>33.14</v>
      </c>
      <c r="D268" t="str">
        <f t="shared" si="13"/>
        <v>Normal</v>
      </c>
      <c r="E268">
        <v>5.67</v>
      </c>
      <c r="F268" t="s">
        <v>2382</v>
      </c>
      <c r="G268" t="s">
        <v>2380</v>
      </c>
      <c r="H268" t="s">
        <v>2380</v>
      </c>
      <c r="J268" t="s">
        <v>2381</v>
      </c>
      <c r="K268" t="str">
        <f t="shared" si="14"/>
        <v>yes</v>
      </c>
      <c r="L268" t="s">
        <v>2382</v>
      </c>
    </row>
    <row r="269" spans="1:12" x14ac:dyDescent="0.35">
      <c r="A269" t="s">
        <v>2104</v>
      </c>
      <c r="B269" t="str">
        <f t="shared" si="12"/>
        <v>Overweight</v>
      </c>
      <c r="C269">
        <v>25.14</v>
      </c>
      <c r="D269" t="str">
        <f t="shared" si="13"/>
        <v>Prediabetes</v>
      </c>
      <c r="E269">
        <v>6.02</v>
      </c>
      <c r="F269" t="s">
        <v>2382</v>
      </c>
      <c r="G269" t="s">
        <v>2380</v>
      </c>
      <c r="H269" t="s">
        <v>2383</v>
      </c>
      <c r="J269">
        <v>1</v>
      </c>
      <c r="K269" t="str">
        <f t="shared" si="14"/>
        <v>yes</v>
      </c>
      <c r="L269" t="s">
        <v>2382</v>
      </c>
    </row>
    <row r="270" spans="1:12" x14ac:dyDescent="0.35">
      <c r="A270" t="s">
        <v>2103</v>
      </c>
      <c r="B270" t="str">
        <f t="shared" si="12"/>
        <v>Normal Weight</v>
      </c>
      <c r="C270">
        <v>20.18</v>
      </c>
      <c r="D270" t="str">
        <f t="shared" si="13"/>
        <v>Diabetes</v>
      </c>
      <c r="E270">
        <v>11.19</v>
      </c>
      <c r="F270" t="s">
        <v>2380</v>
      </c>
      <c r="G270" t="s">
        <v>2380</v>
      </c>
      <c r="H270" t="s">
        <v>2380</v>
      </c>
      <c r="J270" t="s">
        <v>2381</v>
      </c>
      <c r="K270" t="str">
        <f t="shared" si="14"/>
        <v>yes</v>
      </c>
      <c r="L270" t="s">
        <v>2382</v>
      </c>
    </row>
    <row r="271" spans="1:12" x14ac:dyDescent="0.35">
      <c r="A271" t="s">
        <v>2102</v>
      </c>
      <c r="B271" t="str">
        <f t="shared" si="12"/>
        <v>Obesity</v>
      </c>
      <c r="C271">
        <v>44.36</v>
      </c>
      <c r="D271" t="str">
        <f t="shared" si="13"/>
        <v>Normal</v>
      </c>
      <c r="E271">
        <v>5.1100000000000003</v>
      </c>
      <c r="F271" t="s">
        <v>2380</v>
      </c>
      <c r="G271" t="s">
        <v>2380</v>
      </c>
      <c r="H271" t="s">
        <v>2380</v>
      </c>
      <c r="J271" t="s">
        <v>2381</v>
      </c>
      <c r="K271" t="str">
        <f t="shared" si="14"/>
        <v>yes</v>
      </c>
      <c r="L271" t="s">
        <v>2382</v>
      </c>
    </row>
    <row r="272" spans="1:12" x14ac:dyDescent="0.35">
      <c r="A272" t="s">
        <v>2101</v>
      </c>
      <c r="B272" t="str">
        <f t="shared" si="12"/>
        <v>Normal Weight</v>
      </c>
      <c r="C272">
        <v>23.82</v>
      </c>
      <c r="D272" t="str">
        <f t="shared" si="13"/>
        <v>Diabetes</v>
      </c>
      <c r="E272">
        <v>10.85</v>
      </c>
      <c r="F272" t="s">
        <v>2382</v>
      </c>
      <c r="G272" t="s">
        <v>2380</v>
      </c>
      <c r="H272" t="s">
        <v>2380</v>
      </c>
      <c r="J272" t="s">
        <v>2381</v>
      </c>
      <c r="K272" t="str">
        <f t="shared" si="14"/>
        <v>yes</v>
      </c>
      <c r="L272" t="s">
        <v>2382</v>
      </c>
    </row>
    <row r="273" spans="1:12" x14ac:dyDescent="0.35">
      <c r="A273" t="s">
        <v>2100</v>
      </c>
      <c r="B273" t="str">
        <f t="shared" si="12"/>
        <v>Obesity</v>
      </c>
      <c r="C273">
        <v>45</v>
      </c>
      <c r="D273" t="str">
        <f t="shared" si="13"/>
        <v>Normal</v>
      </c>
      <c r="E273">
        <v>5.24</v>
      </c>
      <c r="F273" t="s">
        <v>2382</v>
      </c>
      <c r="G273" t="s">
        <v>2380</v>
      </c>
      <c r="H273" t="s">
        <v>2380</v>
      </c>
      <c r="J273">
        <v>1</v>
      </c>
      <c r="K273" t="str">
        <f t="shared" si="14"/>
        <v>yes</v>
      </c>
      <c r="L273" t="s">
        <v>2382</v>
      </c>
    </row>
    <row r="274" spans="1:12" x14ac:dyDescent="0.35">
      <c r="A274" t="s">
        <v>2099</v>
      </c>
      <c r="B274" t="str">
        <f t="shared" si="12"/>
        <v>Overweight</v>
      </c>
      <c r="C274">
        <v>26.62</v>
      </c>
      <c r="D274" t="str">
        <f t="shared" si="13"/>
        <v>Diabetes</v>
      </c>
      <c r="E274">
        <v>10.08</v>
      </c>
      <c r="F274" t="s">
        <v>2380</v>
      </c>
      <c r="G274" t="s">
        <v>2380</v>
      </c>
      <c r="H274" t="s">
        <v>2380</v>
      </c>
      <c r="J274" t="s">
        <v>2381</v>
      </c>
      <c r="K274" t="str">
        <f t="shared" si="14"/>
        <v>yes</v>
      </c>
      <c r="L274" t="s">
        <v>2382</v>
      </c>
    </row>
    <row r="275" spans="1:12" x14ac:dyDescent="0.35">
      <c r="A275" t="s">
        <v>2098</v>
      </c>
      <c r="B275" t="str">
        <f t="shared" si="12"/>
        <v>Obesity</v>
      </c>
      <c r="C275">
        <v>32.67</v>
      </c>
      <c r="D275" t="str">
        <f t="shared" si="13"/>
        <v>Diabetes</v>
      </c>
      <c r="E275">
        <v>10.97</v>
      </c>
      <c r="F275" t="s">
        <v>2382</v>
      </c>
      <c r="G275" t="s">
        <v>2380</v>
      </c>
      <c r="H275" t="s">
        <v>2380</v>
      </c>
      <c r="J275" t="s">
        <v>2381</v>
      </c>
      <c r="K275" t="str">
        <f t="shared" si="14"/>
        <v>yes</v>
      </c>
      <c r="L275" t="s">
        <v>2382</v>
      </c>
    </row>
    <row r="276" spans="1:12" x14ac:dyDescent="0.35">
      <c r="A276" t="s">
        <v>2097</v>
      </c>
      <c r="B276" t="str">
        <f t="shared" si="12"/>
        <v>Obesity</v>
      </c>
      <c r="C276">
        <v>44.44</v>
      </c>
      <c r="D276" t="str">
        <f t="shared" si="13"/>
        <v>Normal</v>
      </c>
      <c r="E276">
        <v>4.9000000000000004</v>
      </c>
      <c r="F276" t="s">
        <v>2382</v>
      </c>
      <c r="G276" t="s">
        <v>2380</v>
      </c>
      <c r="H276" t="s">
        <v>2380</v>
      </c>
      <c r="J276">
        <v>1</v>
      </c>
      <c r="K276" t="str">
        <f t="shared" si="14"/>
        <v>yes</v>
      </c>
      <c r="L276" t="s">
        <v>2382</v>
      </c>
    </row>
    <row r="277" spans="1:12" x14ac:dyDescent="0.35">
      <c r="A277" t="s">
        <v>2096</v>
      </c>
      <c r="B277" t="str">
        <f t="shared" si="12"/>
        <v>Overweight</v>
      </c>
      <c r="C277">
        <v>28.31</v>
      </c>
      <c r="D277" t="str">
        <f t="shared" si="13"/>
        <v>Normal</v>
      </c>
      <c r="E277">
        <v>5.33</v>
      </c>
      <c r="F277" t="s">
        <v>2380</v>
      </c>
      <c r="G277" t="s">
        <v>2380</v>
      </c>
      <c r="H277" t="s">
        <v>2380</v>
      </c>
      <c r="J277" t="s">
        <v>2381</v>
      </c>
      <c r="K277" t="str">
        <f t="shared" si="14"/>
        <v>yes</v>
      </c>
      <c r="L277" t="s">
        <v>2382</v>
      </c>
    </row>
    <row r="278" spans="1:12" x14ac:dyDescent="0.35">
      <c r="A278" t="s">
        <v>2095</v>
      </c>
      <c r="B278" t="str">
        <f t="shared" si="12"/>
        <v>Overweight</v>
      </c>
      <c r="C278">
        <v>25.05</v>
      </c>
      <c r="D278" t="str">
        <f t="shared" si="13"/>
        <v>Normal</v>
      </c>
      <c r="E278">
        <v>4.6100000000000003</v>
      </c>
      <c r="F278" t="s">
        <v>2380</v>
      </c>
      <c r="G278" t="s">
        <v>2380</v>
      </c>
      <c r="H278" t="s">
        <v>2380</v>
      </c>
      <c r="J278">
        <v>2</v>
      </c>
      <c r="K278" t="str">
        <f t="shared" si="14"/>
        <v>yes</v>
      </c>
      <c r="L278" t="s">
        <v>2382</v>
      </c>
    </row>
    <row r="279" spans="1:12" x14ac:dyDescent="0.35">
      <c r="A279" t="s">
        <v>2094</v>
      </c>
      <c r="B279" t="str">
        <f t="shared" si="12"/>
        <v>Overweight</v>
      </c>
      <c r="C279">
        <v>28.34</v>
      </c>
      <c r="D279" t="str">
        <f t="shared" si="13"/>
        <v>Diabetes</v>
      </c>
      <c r="E279">
        <v>8.18</v>
      </c>
      <c r="F279" t="s">
        <v>2380</v>
      </c>
      <c r="G279" t="s">
        <v>2380</v>
      </c>
      <c r="H279" t="s">
        <v>2380</v>
      </c>
      <c r="J279" t="s">
        <v>2381</v>
      </c>
      <c r="K279" t="str">
        <f t="shared" si="14"/>
        <v>yes</v>
      </c>
      <c r="L279" t="s">
        <v>2382</v>
      </c>
    </row>
    <row r="280" spans="1:12" x14ac:dyDescent="0.35">
      <c r="A280" t="s">
        <v>2093</v>
      </c>
      <c r="B280" t="str">
        <f t="shared" si="12"/>
        <v>Underweight</v>
      </c>
      <c r="C280">
        <v>17.765000000000001</v>
      </c>
      <c r="D280" t="str">
        <f t="shared" si="13"/>
        <v>Normal</v>
      </c>
      <c r="E280">
        <v>5.62</v>
      </c>
      <c r="F280" t="s">
        <v>2380</v>
      </c>
      <c r="G280" t="s">
        <v>2380</v>
      </c>
      <c r="H280" t="s">
        <v>2380</v>
      </c>
      <c r="J280" t="s">
        <v>2381</v>
      </c>
      <c r="K280" t="str">
        <f t="shared" si="14"/>
        <v>yes</v>
      </c>
      <c r="L280" t="s">
        <v>2382</v>
      </c>
    </row>
    <row r="281" spans="1:12" x14ac:dyDescent="0.35">
      <c r="A281" t="s">
        <v>2092</v>
      </c>
      <c r="B281" t="str">
        <f t="shared" si="12"/>
        <v>Obesity</v>
      </c>
      <c r="C281">
        <v>36.119999999999997</v>
      </c>
      <c r="D281" t="str">
        <f t="shared" si="13"/>
        <v>Prediabetes</v>
      </c>
      <c r="E281">
        <v>5.82</v>
      </c>
      <c r="F281" t="s">
        <v>2380</v>
      </c>
      <c r="G281" t="s">
        <v>2380</v>
      </c>
      <c r="H281" t="s">
        <v>2380</v>
      </c>
      <c r="J281" t="s">
        <v>2381</v>
      </c>
      <c r="K281" t="str">
        <f t="shared" si="14"/>
        <v>yes</v>
      </c>
      <c r="L281" t="s">
        <v>2382</v>
      </c>
    </row>
    <row r="282" spans="1:12" x14ac:dyDescent="0.35">
      <c r="A282" t="s">
        <v>2091</v>
      </c>
      <c r="B282" t="str">
        <f t="shared" si="12"/>
        <v>Normal Weight</v>
      </c>
      <c r="C282">
        <v>23.19</v>
      </c>
      <c r="D282" t="str">
        <f t="shared" si="13"/>
        <v>Diabetes</v>
      </c>
      <c r="E282">
        <v>7.66</v>
      </c>
      <c r="F282" t="s">
        <v>2380</v>
      </c>
      <c r="G282" t="s">
        <v>2380</v>
      </c>
      <c r="H282" t="s">
        <v>2380</v>
      </c>
      <c r="J282" t="s">
        <v>2381</v>
      </c>
      <c r="K282" t="str">
        <f t="shared" si="14"/>
        <v>yes</v>
      </c>
      <c r="L282" t="s">
        <v>2382</v>
      </c>
    </row>
    <row r="283" spans="1:12" x14ac:dyDescent="0.35">
      <c r="A283" t="s">
        <v>2090</v>
      </c>
      <c r="B283" t="str">
        <f t="shared" si="12"/>
        <v>Obesity</v>
      </c>
      <c r="C283">
        <v>35.99</v>
      </c>
      <c r="D283" t="str">
        <f t="shared" si="13"/>
        <v>Normal</v>
      </c>
      <c r="E283">
        <v>4.2300000000000004</v>
      </c>
      <c r="F283" t="s">
        <v>2380</v>
      </c>
      <c r="G283" t="s">
        <v>2380</v>
      </c>
      <c r="H283" t="s">
        <v>2380</v>
      </c>
      <c r="J283" t="s">
        <v>2381</v>
      </c>
      <c r="K283" t="str">
        <f t="shared" si="14"/>
        <v>yes</v>
      </c>
      <c r="L283" t="s">
        <v>2382</v>
      </c>
    </row>
    <row r="284" spans="1:12" x14ac:dyDescent="0.35">
      <c r="A284" t="s">
        <v>2089</v>
      </c>
      <c r="B284" t="str">
        <f t="shared" si="12"/>
        <v>Obesity</v>
      </c>
      <c r="C284">
        <v>30.25</v>
      </c>
      <c r="D284" t="str">
        <f t="shared" si="13"/>
        <v>Normal</v>
      </c>
      <c r="E284">
        <v>5.58</v>
      </c>
      <c r="F284" t="s">
        <v>2380</v>
      </c>
      <c r="G284" t="s">
        <v>2380</v>
      </c>
      <c r="H284" t="s">
        <v>2383</v>
      </c>
      <c r="J284">
        <v>1</v>
      </c>
      <c r="K284" t="str">
        <f t="shared" si="14"/>
        <v>yes</v>
      </c>
      <c r="L284" t="s">
        <v>2382</v>
      </c>
    </row>
    <row r="285" spans="1:12" x14ac:dyDescent="0.35">
      <c r="A285" t="s">
        <v>2088</v>
      </c>
      <c r="B285" t="str">
        <f t="shared" si="12"/>
        <v>Overweight</v>
      </c>
      <c r="C285">
        <v>26.24</v>
      </c>
      <c r="D285" t="str">
        <f t="shared" si="13"/>
        <v>Prediabetes</v>
      </c>
      <c r="E285">
        <v>6.26</v>
      </c>
      <c r="F285" t="s">
        <v>2382</v>
      </c>
      <c r="G285" t="s">
        <v>2380</v>
      </c>
      <c r="H285" t="s">
        <v>2380</v>
      </c>
      <c r="J285" t="s">
        <v>2381</v>
      </c>
      <c r="K285" t="str">
        <f t="shared" si="14"/>
        <v>yes</v>
      </c>
      <c r="L285" t="s">
        <v>2382</v>
      </c>
    </row>
    <row r="286" spans="1:12" x14ac:dyDescent="0.35">
      <c r="A286" t="s">
        <v>2087</v>
      </c>
      <c r="B286" t="str">
        <f t="shared" si="12"/>
        <v>Obesity</v>
      </c>
      <c r="C286">
        <v>31.36</v>
      </c>
      <c r="D286" t="str">
        <f t="shared" si="13"/>
        <v>Diabetes</v>
      </c>
      <c r="E286">
        <v>10.6</v>
      </c>
      <c r="F286" t="s">
        <v>2382</v>
      </c>
      <c r="G286" t="s">
        <v>2380</v>
      </c>
      <c r="H286" t="s">
        <v>2380</v>
      </c>
      <c r="J286" t="s">
        <v>2381</v>
      </c>
      <c r="K286" t="str">
        <f t="shared" si="14"/>
        <v>yes</v>
      </c>
      <c r="L286" t="s">
        <v>2382</v>
      </c>
    </row>
    <row r="287" spans="1:12" x14ac:dyDescent="0.35">
      <c r="A287" t="s">
        <v>2086</v>
      </c>
      <c r="B287" t="str">
        <f t="shared" si="12"/>
        <v>Overweight</v>
      </c>
      <c r="C287">
        <v>25.69</v>
      </c>
      <c r="D287" t="str">
        <f t="shared" si="13"/>
        <v>Normal</v>
      </c>
      <c r="E287">
        <v>4.78</v>
      </c>
      <c r="F287" t="s">
        <v>2382</v>
      </c>
      <c r="G287" t="s">
        <v>2380</v>
      </c>
      <c r="H287" t="s">
        <v>2380</v>
      </c>
      <c r="J287" t="s">
        <v>2381</v>
      </c>
      <c r="K287" t="str">
        <f t="shared" si="14"/>
        <v>yes</v>
      </c>
      <c r="L287" t="s">
        <v>2382</v>
      </c>
    </row>
    <row r="288" spans="1:12" x14ac:dyDescent="0.35">
      <c r="A288" t="s">
        <v>2085</v>
      </c>
      <c r="B288" t="str">
        <f t="shared" si="12"/>
        <v>Overweight</v>
      </c>
      <c r="C288">
        <v>25.46</v>
      </c>
      <c r="D288" t="str">
        <f t="shared" si="13"/>
        <v>Prediabetes</v>
      </c>
      <c r="E288">
        <v>6.03</v>
      </c>
      <c r="F288" t="s">
        <v>2380</v>
      </c>
      <c r="G288" t="s">
        <v>2380</v>
      </c>
      <c r="H288" t="s">
        <v>2380</v>
      </c>
      <c r="J288">
        <v>2</v>
      </c>
      <c r="K288" t="str">
        <f t="shared" si="14"/>
        <v>yes</v>
      </c>
      <c r="L288" t="s">
        <v>2382</v>
      </c>
    </row>
    <row r="289" spans="1:12" x14ac:dyDescent="0.35">
      <c r="A289" t="s">
        <v>2084</v>
      </c>
      <c r="B289" t="str">
        <f t="shared" si="12"/>
        <v>Obesity</v>
      </c>
      <c r="C289">
        <v>31.83</v>
      </c>
      <c r="D289" t="str">
        <f t="shared" si="13"/>
        <v>Diabetes</v>
      </c>
      <c r="E289">
        <v>11.55</v>
      </c>
      <c r="F289" t="s">
        <v>2382</v>
      </c>
      <c r="G289" t="s">
        <v>2380</v>
      </c>
      <c r="H289" t="s">
        <v>2380</v>
      </c>
      <c r="J289">
        <v>1</v>
      </c>
      <c r="K289" t="str">
        <f t="shared" si="14"/>
        <v>yes</v>
      </c>
      <c r="L289" t="s">
        <v>2382</v>
      </c>
    </row>
    <row r="290" spans="1:12" x14ac:dyDescent="0.35">
      <c r="A290" t="s">
        <v>2083</v>
      </c>
      <c r="B290" t="str">
        <f t="shared" si="12"/>
        <v>Normal Weight</v>
      </c>
      <c r="C290">
        <v>24.43</v>
      </c>
      <c r="D290" t="str">
        <f t="shared" si="13"/>
        <v>Diabetes</v>
      </c>
      <c r="E290">
        <v>7.59</v>
      </c>
      <c r="F290" t="s">
        <v>2382</v>
      </c>
      <c r="G290" t="s">
        <v>2380</v>
      </c>
      <c r="H290" t="s">
        <v>2380</v>
      </c>
      <c r="J290">
        <v>1</v>
      </c>
      <c r="K290" t="str">
        <f t="shared" si="14"/>
        <v>yes</v>
      </c>
      <c r="L290" t="s">
        <v>2382</v>
      </c>
    </row>
    <row r="291" spans="1:12" x14ac:dyDescent="0.35">
      <c r="A291" t="s">
        <v>2082</v>
      </c>
      <c r="B291" t="str">
        <f t="shared" si="12"/>
        <v>Obesity</v>
      </c>
      <c r="C291">
        <v>41.9</v>
      </c>
      <c r="D291" t="str">
        <f t="shared" si="13"/>
        <v>Normal</v>
      </c>
      <c r="E291">
        <v>4.26</v>
      </c>
      <c r="F291" t="s">
        <v>2380</v>
      </c>
      <c r="G291" t="s">
        <v>2380</v>
      </c>
      <c r="H291" t="s">
        <v>2380</v>
      </c>
      <c r="J291" t="s">
        <v>2381</v>
      </c>
      <c r="K291" t="str">
        <f t="shared" si="14"/>
        <v>yes</v>
      </c>
      <c r="L291" t="s">
        <v>2382</v>
      </c>
    </row>
    <row r="292" spans="1:12" x14ac:dyDescent="0.35">
      <c r="A292" t="s">
        <v>2081</v>
      </c>
      <c r="B292" t="str">
        <f t="shared" si="12"/>
        <v>Normal Weight</v>
      </c>
      <c r="C292">
        <v>22.88</v>
      </c>
      <c r="D292" t="str">
        <f t="shared" si="13"/>
        <v>Prediabetes</v>
      </c>
      <c r="E292">
        <v>5.9</v>
      </c>
      <c r="F292" t="s">
        <v>2382</v>
      </c>
      <c r="G292" t="s">
        <v>2380</v>
      </c>
      <c r="H292" t="s">
        <v>2383</v>
      </c>
      <c r="J292">
        <v>1</v>
      </c>
      <c r="K292" t="str">
        <f t="shared" si="14"/>
        <v>yes</v>
      </c>
      <c r="L292" t="s">
        <v>2382</v>
      </c>
    </row>
    <row r="293" spans="1:12" x14ac:dyDescent="0.35">
      <c r="A293" t="s">
        <v>2080</v>
      </c>
      <c r="B293" t="str">
        <f t="shared" si="12"/>
        <v>Overweight</v>
      </c>
      <c r="C293">
        <v>29.734999999999999</v>
      </c>
      <c r="D293" t="str">
        <f t="shared" si="13"/>
        <v>Diabetes</v>
      </c>
      <c r="E293">
        <v>7.79</v>
      </c>
      <c r="F293" t="s">
        <v>2380</v>
      </c>
      <c r="G293" t="s">
        <v>2380</v>
      </c>
      <c r="H293" t="s">
        <v>2380</v>
      </c>
      <c r="J293" t="s">
        <v>2381</v>
      </c>
      <c r="K293" t="str">
        <f t="shared" si="14"/>
        <v>No</v>
      </c>
      <c r="L293" t="s">
        <v>2380</v>
      </c>
    </row>
    <row r="294" spans="1:12" x14ac:dyDescent="0.35">
      <c r="A294" t="s">
        <v>2079</v>
      </c>
      <c r="B294" t="str">
        <f t="shared" si="12"/>
        <v>Obesity</v>
      </c>
      <c r="C294">
        <v>40.74</v>
      </c>
      <c r="D294" t="str">
        <f t="shared" si="13"/>
        <v>Normal</v>
      </c>
      <c r="E294">
        <v>5.28</v>
      </c>
      <c r="F294" t="s">
        <v>2380</v>
      </c>
      <c r="G294" t="s">
        <v>2380</v>
      </c>
      <c r="H294" t="s">
        <v>2383</v>
      </c>
      <c r="J294">
        <v>1</v>
      </c>
      <c r="K294" t="str">
        <f t="shared" si="14"/>
        <v>yes</v>
      </c>
      <c r="L294" t="s">
        <v>2382</v>
      </c>
    </row>
    <row r="295" spans="1:12" x14ac:dyDescent="0.35">
      <c r="A295" t="s">
        <v>2078</v>
      </c>
      <c r="B295" t="str">
        <f t="shared" si="12"/>
        <v>Normal Weight</v>
      </c>
      <c r="C295">
        <v>24.14</v>
      </c>
      <c r="D295" t="str">
        <f t="shared" si="13"/>
        <v>Prediabetes</v>
      </c>
      <c r="E295">
        <v>5.87</v>
      </c>
      <c r="F295" t="s">
        <v>2380</v>
      </c>
      <c r="G295" t="s">
        <v>2380</v>
      </c>
      <c r="H295" t="s">
        <v>2380</v>
      </c>
      <c r="J295">
        <v>2</v>
      </c>
      <c r="K295" t="str">
        <f t="shared" si="14"/>
        <v>yes</v>
      </c>
      <c r="L295" t="s">
        <v>2382</v>
      </c>
    </row>
    <row r="296" spans="1:12" x14ac:dyDescent="0.35">
      <c r="A296" t="s">
        <v>2077</v>
      </c>
      <c r="B296" t="str">
        <f t="shared" si="12"/>
        <v>Overweight</v>
      </c>
      <c r="C296">
        <v>25.15</v>
      </c>
      <c r="D296" t="str">
        <f t="shared" si="13"/>
        <v>Diabetes</v>
      </c>
      <c r="E296">
        <v>9.08</v>
      </c>
      <c r="F296" t="s">
        <v>2382</v>
      </c>
      <c r="G296" t="s">
        <v>2380</v>
      </c>
      <c r="H296" t="s">
        <v>2380</v>
      </c>
      <c r="J296">
        <v>1</v>
      </c>
      <c r="K296" t="str">
        <f t="shared" si="14"/>
        <v>yes</v>
      </c>
      <c r="L296" t="s">
        <v>2382</v>
      </c>
    </row>
    <row r="297" spans="1:12" x14ac:dyDescent="0.35">
      <c r="A297" t="s">
        <v>2076</v>
      </c>
      <c r="B297" t="str">
        <f t="shared" si="12"/>
        <v>Overweight</v>
      </c>
      <c r="C297">
        <v>28.71</v>
      </c>
      <c r="D297" t="str">
        <f t="shared" si="13"/>
        <v>Normal</v>
      </c>
      <c r="E297">
        <v>5.2</v>
      </c>
      <c r="F297" t="s">
        <v>2380</v>
      </c>
      <c r="G297" t="s">
        <v>2380</v>
      </c>
      <c r="H297" t="s">
        <v>2380</v>
      </c>
      <c r="J297">
        <v>1</v>
      </c>
      <c r="K297" t="str">
        <f t="shared" si="14"/>
        <v>yes</v>
      </c>
      <c r="L297" t="s">
        <v>2382</v>
      </c>
    </row>
    <row r="298" spans="1:12" x14ac:dyDescent="0.35">
      <c r="A298" t="s">
        <v>2075</v>
      </c>
      <c r="B298" t="str">
        <f t="shared" si="12"/>
        <v>Normal Weight</v>
      </c>
      <c r="C298">
        <v>23</v>
      </c>
      <c r="D298" t="str">
        <f t="shared" si="13"/>
        <v>Normal</v>
      </c>
      <c r="E298">
        <v>5.48</v>
      </c>
      <c r="F298" t="s">
        <v>2380</v>
      </c>
      <c r="G298" t="s">
        <v>2380</v>
      </c>
      <c r="H298" t="s">
        <v>2380</v>
      </c>
      <c r="J298" t="s">
        <v>2381</v>
      </c>
      <c r="K298" t="str">
        <f t="shared" si="14"/>
        <v>yes</v>
      </c>
      <c r="L298" t="s">
        <v>2382</v>
      </c>
    </row>
    <row r="299" spans="1:12" x14ac:dyDescent="0.35">
      <c r="A299" t="s">
        <v>2074</v>
      </c>
      <c r="B299" t="str">
        <f t="shared" si="12"/>
        <v>Obesity</v>
      </c>
      <c r="C299">
        <v>36.86</v>
      </c>
      <c r="D299" t="str">
        <f t="shared" si="13"/>
        <v>Diabetes</v>
      </c>
      <c r="E299">
        <v>11.95</v>
      </c>
      <c r="F299" t="s">
        <v>2380</v>
      </c>
      <c r="G299" t="s">
        <v>2380</v>
      </c>
      <c r="H299" t="s">
        <v>2380</v>
      </c>
      <c r="J299" t="s">
        <v>2381</v>
      </c>
      <c r="K299" t="str">
        <f t="shared" si="14"/>
        <v>No</v>
      </c>
      <c r="L299" t="s">
        <v>2380</v>
      </c>
    </row>
    <row r="300" spans="1:12" x14ac:dyDescent="0.35">
      <c r="A300" t="s">
        <v>2073</v>
      </c>
      <c r="B300" t="str">
        <f t="shared" si="12"/>
        <v>Normal Weight</v>
      </c>
      <c r="C300">
        <v>24.25</v>
      </c>
      <c r="D300" t="str">
        <f t="shared" si="13"/>
        <v>Diabetes</v>
      </c>
      <c r="E300">
        <v>8.6999999999999993</v>
      </c>
      <c r="F300" t="s">
        <v>2382</v>
      </c>
      <c r="G300" t="s">
        <v>2380</v>
      </c>
      <c r="H300" t="s">
        <v>2380</v>
      </c>
      <c r="J300">
        <v>1</v>
      </c>
      <c r="K300" t="str">
        <f t="shared" si="14"/>
        <v>yes</v>
      </c>
      <c r="L300" t="s">
        <v>2382</v>
      </c>
    </row>
    <row r="301" spans="1:12" x14ac:dyDescent="0.35">
      <c r="A301" t="s">
        <v>2072</v>
      </c>
      <c r="B301" t="str">
        <f t="shared" si="12"/>
        <v>Normal Weight</v>
      </c>
      <c r="C301">
        <v>23.85</v>
      </c>
      <c r="D301" t="str">
        <f t="shared" si="13"/>
        <v>Diabetes</v>
      </c>
      <c r="E301">
        <v>7.84</v>
      </c>
      <c r="F301" t="s">
        <v>2380</v>
      </c>
      <c r="G301" t="s">
        <v>2380</v>
      </c>
      <c r="H301" t="s">
        <v>2380</v>
      </c>
      <c r="J301" t="s">
        <v>2381</v>
      </c>
      <c r="K301" t="str">
        <f t="shared" si="14"/>
        <v>yes</v>
      </c>
      <c r="L301" t="s">
        <v>2382</v>
      </c>
    </row>
    <row r="302" spans="1:12" x14ac:dyDescent="0.35">
      <c r="A302" t="s">
        <v>2071</v>
      </c>
      <c r="B302" t="str">
        <f t="shared" si="12"/>
        <v>Obesity</v>
      </c>
      <c r="C302">
        <v>40.020000000000003</v>
      </c>
      <c r="D302" t="str">
        <f t="shared" si="13"/>
        <v>Normal</v>
      </c>
      <c r="E302">
        <v>5.19</v>
      </c>
      <c r="F302" t="s">
        <v>2382</v>
      </c>
      <c r="G302" t="s">
        <v>2380</v>
      </c>
      <c r="H302" t="s">
        <v>2380</v>
      </c>
      <c r="J302">
        <v>1</v>
      </c>
      <c r="K302" t="str">
        <f t="shared" si="14"/>
        <v>yes</v>
      </c>
      <c r="L302" t="s">
        <v>2382</v>
      </c>
    </row>
    <row r="303" spans="1:12" x14ac:dyDescent="0.35">
      <c r="A303" t="s">
        <v>2070</v>
      </c>
      <c r="B303" t="str">
        <f t="shared" si="12"/>
        <v>Normal Weight</v>
      </c>
      <c r="C303">
        <v>19.170000000000002</v>
      </c>
      <c r="D303" t="str">
        <f t="shared" si="13"/>
        <v>Diabetes</v>
      </c>
      <c r="E303">
        <v>8.41</v>
      </c>
      <c r="F303" t="s">
        <v>2380</v>
      </c>
      <c r="G303" t="s">
        <v>2380</v>
      </c>
      <c r="H303" t="s">
        <v>2380</v>
      </c>
      <c r="J303" t="s">
        <v>2381</v>
      </c>
      <c r="K303" t="str">
        <f t="shared" si="14"/>
        <v>yes</v>
      </c>
      <c r="L303" t="s">
        <v>2382</v>
      </c>
    </row>
    <row r="304" spans="1:12" x14ac:dyDescent="0.35">
      <c r="A304" t="s">
        <v>2069</v>
      </c>
      <c r="B304" t="str">
        <f t="shared" si="12"/>
        <v>Obesity</v>
      </c>
      <c r="C304">
        <v>43.53</v>
      </c>
      <c r="D304" t="str">
        <f t="shared" si="13"/>
        <v>Prediabetes</v>
      </c>
      <c r="E304">
        <v>5.86</v>
      </c>
      <c r="F304" t="s">
        <v>2382</v>
      </c>
      <c r="G304" t="s">
        <v>2382</v>
      </c>
      <c r="H304" t="s">
        <v>2380</v>
      </c>
      <c r="J304">
        <v>2</v>
      </c>
      <c r="K304" t="str">
        <f t="shared" si="14"/>
        <v>yes</v>
      </c>
      <c r="L304" t="s">
        <v>2382</v>
      </c>
    </row>
    <row r="305" spans="1:12" x14ac:dyDescent="0.35">
      <c r="A305" t="s">
        <v>2068</v>
      </c>
      <c r="B305" t="str">
        <f t="shared" si="12"/>
        <v>Obesity</v>
      </c>
      <c r="C305">
        <v>46.06</v>
      </c>
      <c r="D305" t="str">
        <f t="shared" si="13"/>
        <v>Normal</v>
      </c>
      <c r="E305">
        <v>4.18</v>
      </c>
      <c r="F305" t="s">
        <v>2380</v>
      </c>
      <c r="G305" t="s">
        <v>2382</v>
      </c>
      <c r="H305" t="s">
        <v>2380</v>
      </c>
      <c r="J305">
        <v>1</v>
      </c>
      <c r="K305" t="str">
        <f t="shared" si="14"/>
        <v>yes</v>
      </c>
      <c r="L305" t="s">
        <v>2382</v>
      </c>
    </row>
    <row r="306" spans="1:12" x14ac:dyDescent="0.35">
      <c r="A306" t="s">
        <v>2067</v>
      </c>
      <c r="B306" t="e">
        <f t="shared" si="12"/>
        <v>#N/A</v>
      </c>
      <c r="C306">
        <v>29.92</v>
      </c>
      <c r="D306" t="str">
        <f t="shared" si="13"/>
        <v>Diabetes</v>
      </c>
      <c r="E306">
        <v>11.99</v>
      </c>
      <c r="F306" t="s">
        <v>2382</v>
      </c>
      <c r="G306" t="s">
        <v>2380</v>
      </c>
      <c r="H306" t="s">
        <v>2380</v>
      </c>
      <c r="J306">
        <v>2</v>
      </c>
      <c r="K306" t="str">
        <f t="shared" si="14"/>
        <v>yes</v>
      </c>
      <c r="L306" t="s">
        <v>2382</v>
      </c>
    </row>
    <row r="307" spans="1:12" x14ac:dyDescent="0.35">
      <c r="A307" t="s">
        <v>2066</v>
      </c>
      <c r="B307" t="str">
        <f t="shared" si="12"/>
        <v>Overweight</v>
      </c>
      <c r="C307">
        <v>28.46</v>
      </c>
      <c r="D307" t="str">
        <f t="shared" si="13"/>
        <v>Normal</v>
      </c>
      <c r="E307">
        <v>4.8499999999999996</v>
      </c>
      <c r="F307" t="s">
        <v>2382</v>
      </c>
      <c r="G307" t="s">
        <v>2380</v>
      </c>
      <c r="H307" t="s">
        <v>2380</v>
      </c>
      <c r="J307">
        <v>1</v>
      </c>
      <c r="K307" t="str">
        <f t="shared" si="14"/>
        <v>yes</v>
      </c>
      <c r="L307" t="s">
        <v>2382</v>
      </c>
    </row>
    <row r="308" spans="1:12" x14ac:dyDescent="0.35">
      <c r="A308" t="s">
        <v>2065</v>
      </c>
      <c r="B308" t="str">
        <f t="shared" si="12"/>
        <v>Normal Weight</v>
      </c>
      <c r="C308">
        <v>24.56</v>
      </c>
      <c r="D308" t="str">
        <f t="shared" si="13"/>
        <v>Prediabetes</v>
      </c>
      <c r="E308">
        <v>6.18</v>
      </c>
      <c r="F308" t="s">
        <v>2382</v>
      </c>
      <c r="G308" t="s">
        <v>2380</v>
      </c>
      <c r="H308" t="s">
        <v>2383</v>
      </c>
      <c r="J308">
        <v>1</v>
      </c>
      <c r="K308" t="str">
        <f t="shared" si="14"/>
        <v>yes</v>
      </c>
      <c r="L308" t="s">
        <v>2382</v>
      </c>
    </row>
    <row r="309" spans="1:12" x14ac:dyDescent="0.35">
      <c r="A309" t="s">
        <v>2064</v>
      </c>
      <c r="B309" t="str">
        <f t="shared" si="12"/>
        <v>Obesity</v>
      </c>
      <c r="C309">
        <v>41.19</v>
      </c>
      <c r="D309" t="str">
        <f t="shared" si="13"/>
        <v>Prediabetes</v>
      </c>
      <c r="E309">
        <v>6.37</v>
      </c>
      <c r="F309" t="s">
        <v>2380</v>
      </c>
      <c r="G309" t="s">
        <v>2380</v>
      </c>
      <c r="H309" t="s">
        <v>2380</v>
      </c>
      <c r="J309" t="s">
        <v>2381</v>
      </c>
      <c r="K309" t="str">
        <f t="shared" si="14"/>
        <v>yes</v>
      </c>
      <c r="L309" t="s">
        <v>2382</v>
      </c>
    </row>
    <row r="310" spans="1:12" x14ac:dyDescent="0.35">
      <c r="A310" t="s">
        <v>2063</v>
      </c>
      <c r="B310" t="str">
        <f t="shared" si="12"/>
        <v>Normal Weight</v>
      </c>
      <c r="C310">
        <v>18.63</v>
      </c>
      <c r="D310" t="str">
        <f t="shared" si="13"/>
        <v>Diabetes</v>
      </c>
      <c r="E310">
        <v>9.81</v>
      </c>
      <c r="F310" t="s">
        <v>2382</v>
      </c>
      <c r="G310" t="s">
        <v>2380</v>
      </c>
      <c r="H310" t="s">
        <v>2380</v>
      </c>
      <c r="J310">
        <v>2</v>
      </c>
      <c r="K310" t="str">
        <f t="shared" si="14"/>
        <v>yes</v>
      </c>
      <c r="L310" t="s">
        <v>2382</v>
      </c>
    </row>
    <row r="311" spans="1:12" x14ac:dyDescent="0.35">
      <c r="A311" t="s">
        <v>2062</v>
      </c>
      <c r="B311" t="str">
        <f t="shared" si="12"/>
        <v>Overweight</v>
      </c>
      <c r="C311">
        <v>26.26</v>
      </c>
      <c r="D311" t="str">
        <f t="shared" si="13"/>
        <v>Diabetes</v>
      </c>
      <c r="E311">
        <v>11.8</v>
      </c>
      <c r="F311" t="s">
        <v>2382</v>
      </c>
      <c r="G311" t="s">
        <v>2380</v>
      </c>
      <c r="H311" t="s">
        <v>2380</v>
      </c>
      <c r="J311">
        <v>1</v>
      </c>
      <c r="K311" t="str">
        <f t="shared" si="14"/>
        <v>yes</v>
      </c>
      <c r="L311" t="s">
        <v>2382</v>
      </c>
    </row>
    <row r="312" spans="1:12" x14ac:dyDescent="0.35">
      <c r="A312" t="s">
        <v>2061</v>
      </c>
      <c r="B312" t="str">
        <f t="shared" si="12"/>
        <v>Normal Weight</v>
      </c>
      <c r="C312">
        <v>22.37</v>
      </c>
      <c r="D312" t="str">
        <f t="shared" si="13"/>
        <v>Prediabetes</v>
      </c>
      <c r="E312">
        <v>5.86</v>
      </c>
      <c r="F312" t="s">
        <v>2382</v>
      </c>
      <c r="G312" t="s">
        <v>2380</v>
      </c>
      <c r="H312" t="s">
        <v>2383</v>
      </c>
      <c r="J312">
        <v>1</v>
      </c>
      <c r="K312" t="str">
        <f t="shared" si="14"/>
        <v>yes</v>
      </c>
      <c r="L312" t="s">
        <v>2382</v>
      </c>
    </row>
    <row r="313" spans="1:12" x14ac:dyDescent="0.35">
      <c r="A313" t="s">
        <v>2060</v>
      </c>
      <c r="B313" t="str">
        <f t="shared" si="12"/>
        <v>Obesity</v>
      </c>
      <c r="C313">
        <v>39.619999999999997</v>
      </c>
      <c r="D313" t="str">
        <f t="shared" si="13"/>
        <v>Normal</v>
      </c>
      <c r="E313">
        <v>4.28</v>
      </c>
      <c r="F313" t="s">
        <v>2380</v>
      </c>
      <c r="G313" t="s">
        <v>2380</v>
      </c>
      <c r="H313" t="s">
        <v>2380</v>
      </c>
      <c r="J313">
        <v>1</v>
      </c>
      <c r="K313" t="str">
        <f t="shared" si="14"/>
        <v>yes</v>
      </c>
      <c r="L313" t="s">
        <v>2382</v>
      </c>
    </row>
    <row r="314" spans="1:12" x14ac:dyDescent="0.35">
      <c r="A314" t="s">
        <v>2059</v>
      </c>
      <c r="B314" t="str">
        <f t="shared" si="12"/>
        <v>Underweight</v>
      </c>
      <c r="C314">
        <v>18.329999999999998</v>
      </c>
      <c r="D314" t="str">
        <f t="shared" si="13"/>
        <v>Normal</v>
      </c>
      <c r="E314">
        <v>4.16</v>
      </c>
      <c r="F314" t="s">
        <v>2382</v>
      </c>
      <c r="G314" t="s">
        <v>2380</v>
      </c>
      <c r="H314" t="s">
        <v>2380</v>
      </c>
      <c r="J314" t="s">
        <v>2381</v>
      </c>
      <c r="K314" t="str">
        <f t="shared" si="14"/>
        <v>yes</v>
      </c>
      <c r="L314" t="s">
        <v>2382</v>
      </c>
    </row>
    <row r="315" spans="1:12" x14ac:dyDescent="0.35">
      <c r="A315" t="s">
        <v>2058</v>
      </c>
      <c r="B315" t="str">
        <f t="shared" si="12"/>
        <v>Underweight</v>
      </c>
      <c r="C315">
        <v>17.11</v>
      </c>
      <c r="D315" t="str">
        <f t="shared" si="13"/>
        <v>Normal</v>
      </c>
      <c r="E315">
        <v>4.9800000000000004</v>
      </c>
      <c r="F315" t="s">
        <v>2382</v>
      </c>
      <c r="G315" t="s">
        <v>2380</v>
      </c>
      <c r="H315" t="s">
        <v>2383</v>
      </c>
      <c r="J315">
        <v>1</v>
      </c>
      <c r="K315" t="str">
        <f t="shared" si="14"/>
        <v>yes</v>
      </c>
      <c r="L315" t="s">
        <v>2382</v>
      </c>
    </row>
    <row r="316" spans="1:12" x14ac:dyDescent="0.35">
      <c r="A316" t="s">
        <v>2057</v>
      </c>
      <c r="B316" t="str">
        <f t="shared" si="12"/>
        <v>Obesity</v>
      </c>
      <c r="C316">
        <v>43.5</v>
      </c>
      <c r="D316" t="str">
        <f t="shared" si="13"/>
        <v>Prediabetes</v>
      </c>
      <c r="E316">
        <v>6.38</v>
      </c>
      <c r="F316" t="s">
        <v>2380</v>
      </c>
      <c r="G316" t="s">
        <v>2382</v>
      </c>
      <c r="H316" t="s">
        <v>2380</v>
      </c>
      <c r="J316">
        <v>1</v>
      </c>
      <c r="K316" t="str">
        <f t="shared" si="14"/>
        <v>yes</v>
      </c>
      <c r="L316" t="s">
        <v>2382</v>
      </c>
    </row>
    <row r="317" spans="1:12" x14ac:dyDescent="0.35">
      <c r="A317" t="s">
        <v>2056</v>
      </c>
      <c r="B317" t="str">
        <f t="shared" si="12"/>
        <v>Overweight</v>
      </c>
      <c r="C317">
        <v>25.364999999999998</v>
      </c>
      <c r="D317" t="str">
        <f t="shared" si="13"/>
        <v>Normal</v>
      </c>
      <c r="E317">
        <v>5.19</v>
      </c>
      <c r="F317" t="s">
        <v>2380</v>
      </c>
      <c r="G317" t="s">
        <v>2380</v>
      </c>
      <c r="H317" t="s">
        <v>2380</v>
      </c>
      <c r="J317">
        <v>2</v>
      </c>
      <c r="K317" t="str">
        <f t="shared" si="14"/>
        <v>No</v>
      </c>
      <c r="L317" t="s">
        <v>2380</v>
      </c>
    </row>
    <row r="318" spans="1:12" x14ac:dyDescent="0.35">
      <c r="A318" t="s">
        <v>2055</v>
      </c>
      <c r="B318" t="str">
        <f t="shared" si="12"/>
        <v>Overweight</v>
      </c>
      <c r="C318">
        <v>28.594999999999999</v>
      </c>
      <c r="D318" t="str">
        <f t="shared" si="13"/>
        <v>Diabetes</v>
      </c>
      <c r="E318">
        <v>10.210000000000001</v>
      </c>
      <c r="F318" t="s">
        <v>2380</v>
      </c>
      <c r="G318" t="s">
        <v>2380</v>
      </c>
      <c r="H318" t="s">
        <v>2380</v>
      </c>
      <c r="J318" t="s">
        <v>2381</v>
      </c>
      <c r="K318" t="str">
        <f t="shared" si="14"/>
        <v>No</v>
      </c>
      <c r="L318" t="s">
        <v>2380</v>
      </c>
    </row>
    <row r="319" spans="1:12" x14ac:dyDescent="0.35">
      <c r="A319" t="s">
        <v>2054</v>
      </c>
      <c r="B319" t="str">
        <f t="shared" si="12"/>
        <v>Overweight</v>
      </c>
      <c r="C319">
        <v>29.83</v>
      </c>
      <c r="D319" t="str">
        <f t="shared" si="13"/>
        <v>Diabetes</v>
      </c>
      <c r="E319">
        <v>9.6999999999999993</v>
      </c>
      <c r="F319" t="s">
        <v>2382</v>
      </c>
      <c r="G319" t="s">
        <v>2380</v>
      </c>
      <c r="H319" t="s">
        <v>2383</v>
      </c>
      <c r="J319">
        <v>1</v>
      </c>
      <c r="K319" t="str">
        <f t="shared" si="14"/>
        <v>yes</v>
      </c>
      <c r="L319" t="s">
        <v>2382</v>
      </c>
    </row>
    <row r="320" spans="1:12" x14ac:dyDescent="0.35">
      <c r="A320" t="s">
        <v>2053</v>
      </c>
      <c r="B320" t="str">
        <f t="shared" si="12"/>
        <v>Normal Weight</v>
      </c>
      <c r="C320">
        <v>24.7</v>
      </c>
      <c r="D320" t="str">
        <f t="shared" si="13"/>
        <v>Diabetes</v>
      </c>
      <c r="E320">
        <v>10.25</v>
      </c>
      <c r="F320" t="s">
        <v>2380</v>
      </c>
      <c r="G320" t="s">
        <v>2380</v>
      </c>
      <c r="H320" t="s">
        <v>2380</v>
      </c>
      <c r="J320">
        <v>3</v>
      </c>
      <c r="K320" t="str">
        <f t="shared" si="14"/>
        <v>No</v>
      </c>
      <c r="L320" t="s">
        <v>2380</v>
      </c>
    </row>
    <row r="321" spans="1:12" x14ac:dyDescent="0.35">
      <c r="A321" t="s">
        <v>2052</v>
      </c>
      <c r="B321" t="str">
        <f t="shared" si="12"/>
        <v>Underweight</v>
      </c>
      <c r="C321">
        <v>17.940000000000001</v>
      </c>
      <c r="D321" t="str">
        <f t="shared" si="13"/>
        <v>Diabetes</v>
      </c>
      <c r="E321">
        <v>9.77</v>
      </c>
      <c r="F321" t="s">
        <v>2380</v>
      </c>
      <c r="G321" t="s">
        <v>2380</v>
      </c>
      <c r="H321" t="s">
        <v>2380</v>
      </c>
      <c r="J321" t="s">
        <v>2381</v>
      </c>
      <c r="K321" t="str">
        <f t="shared" si="14"/>
        <v>yes</v>
      </c>
      <c r="L321" t="s">
        <v>2382</v>
      </c>
    </row>
    <row r="322" spans="1:12" x14ac:dyDescent="0.35">
      <c r="A322" t="s">
        <v>2051</v>
      </c>
      <c r="B322" t="str">
        <f t="shared" si="12"/>
        <v>Normal Weight</v>
      </c>
      <c r="C322">
        <v>21.08</v>
      </c>
      <c r="D322" t="str">
        <f t="shared" si="13"/>
        <v>Normal</v>
      </c>
      <c r="E322">
        <v>4.83</v>
      </c>
      <c r="F322" t="s">
        <v>2380</v>
      </c>
      <c r="G322" t="s">
        <v>2380</v>
      </c>
      <c r="H322" t="s">
        <v>2383</v>
      </c>
      <c r="J322">
        <v>1</v>
      </c>
      <c r="K322" t="str">
        <f t="shared" si="14"/>
        <v>yes</v>
      </c>
      <c r="L322" t="s">
        <v>2382</v>
      </c>
    </row>
    <row r="323" spans="1:12" x14ac:dyDescent="0.35">
      <c r="A323" t="s">
        <v>2050</v>
      </c>
      <c r="B323" t="str">
        <f t="shared" ref="B323:B386" si="15">_xlfn.IFS(C323&lt;18.5, "Underweight", C323&lt;=24.9, "Normal Weight", C323&lt;=29.9, "Overweight", C323&gt;=30, "Obesity")</f>
        <v>Obesity</v>
      </c>
      <c r="C323">
        <v>37.715000000000003</v>
      </c>
      <c r="D323" t="str">
        <f t="shared" ref="D323:D386" si="16">_xlfn.IFS(E323&lt;5.7, "Normal", E323&lt;=6.4, "Prediabetes", E323&gt;=6.5, "Diabetes")</f>
        <v>Diabetes</v>
      </c>
      <c r="E323">
        <v>10.86</v>
      </c>
      <c r="F323" t="s">
        <v>2382</v>
      </c>
      <c r="G323" t="s">
        <v>2380</v>
      </c>
      <c r="H323" t="s">
        <v>2380</v>
      </c>
      <c r="J323" t="s">
        <v>2381</v>
      </c>
      <c r="K323" t="str">
        <f t="shared" si="14"/>
        <v>No</v>
      </c>
      <c r="L323" t="s">
        <v>2380</v>
      </c>
    </row>
    <row r="324" spans="1:12" x14ac:dyDescent="0.35">
      <c r="A324" t="s">
        <v>2049</v>
      </c>
      <c r="B324" t="str">
        <f t="shared" si="15"/>
        <v>Normal Weight</v>
      </c>
      <c r="C324">
        <v>22.39</v>
      </c>
      <c r="D324" t="str">
        <f t="shared" si="16"/>
        <v>Diabetes</v>
      </c>
      <c r="E324">
        <v>9.5299999999999994</v>
      </c>
      <c r="F324" t="s">
        <v>2382</v>
      </c>
      <c r="G324" t="s">
        <v>2380</v>
      </c>
      <c r="H324" t="s">
        <v>2380</v>
      </c>
      <c r="J324" t="s">
        <v>2381</v>
      </c>
      <c r="K324" t="str">
        <f t="shared" ref="K324:K387" si="17">IF(OR(L324="?", ISBLANK(L324)), "No", L324)</f>
        <v>yes</v>
      </c>
      <c r="L324" t="s">
        <v>2382</v>
      </c>
    </row>
    <row r="325" spans="1:12" x14ac:dyDescent="0.35">
      <c r="A325" t="s">
        <v>2048</v>
      </c>
      <c r="B325" t="str">
        <f t="shared" si="15"/>
        <v>Overweight</v>
      </c>
      <c r="C325">
        <v>28.78</v>
      </c>
      <c r="D325" t="str">
        <f t="shared" si="16"/>
        <v>Normal</v>
      </c>
      <c r="E325">
        <v>5.68</v>
      </c>
      <c r="F325" t="s">
        <v>2380</v>
      </c>
      <c r="G325" t="s">
        <v>2380</v>
      </c>
      <c r="H325" t="s">
        <v>2380</v>
      </c>
      <c r="J325" t="s">
        <v>2381</v>
      </c>
      <c r="K325" t="str">
        <f t="shared" si="17"/>
        <v>yes</v>
      </c>
      <c r="L325" t="s">
        <v>2382</v>
      </c>
    </row>
    <row r="326" spans="1:12" x14ac:dyDescent="0.35">
      <c r="A326" t="s">
        <v>2047</v>
      </c>
      <c r="B326" t="str">
        <f t="shared" si="15"/>
        <v>Underweight</v>
      </c>
      <c r="C326">
        <v>18.329999999999998</v>
      </c>
      <c r="D326" t="str">
        <f t="shared" si="16"/>
        <v>Normal</v>
      </c>
      <c r="E326">
        <v>5.57</v>
      </c>
      <c r="F326" t="s">
        <v>2382</v>
      </c>
      <c r="G326" t="s">
        <v>2380</v>
      </c>
      <c r="H326" t="s">
        <v>2380</v>
      </c>
      <c r="J326" t="s">
        <v>2381</v>
      </c>
      <c r="K326" t="str">
        <f t="shared" si="17"/>
        <v>yes</v>
      </c>
      <c r="L326" t="s">
        <v>2382</v>
      </c>
    </row>
    <row r="327" spans="1:12" x14ac:dyDescent="0.35">
      <c r="A327" t="s">
        <v>2046</v>
      </c>
      <c r="B327" t="str">
        <f t="shared" si="15"/>
        <v>Overweight</v>
      </c>
      <c r="C327">
        <v>26.39</v>
      </c>
      <c r="D327" t="str">
        <f t="shared" si="16"/>
        <v>Normal</v>
      </c>
      <c r="E327">
        <v>4.58</v>
      </c>
      <c r="F327" t="s">
        <v>2382</v>
      </c>
      <c r="G327" t="s">
        <v>2380</v>
      </c>
      <c r="H327" t="s">
        <v>2380</v>
      </c>
      <c r="J327">
        <v>1</v>
      </c>
      <c r="K327" t="str">
        <f t="shared" si="17"/>
        <v>yes</v>
      </c>
      <c r="L327" t="s">
        <v>2382</v>
      </c>
    </row>
    <row r="328" spans="1:12" x14ac:dyDescent="0.35">
      <c r="A328" t="s">
        <v>2045</v>
      </c>
      <c r="B328" t="str">
        <f t="shared" si="15"/>
        <v>Normal Weight</v>
      </c>
      <c r="C328">
        <v>19.260000000000002</v>
      </c>
      <c r="D328" t="str">
        <f t="shared" si="16"/>
        <v>Diabetes</v>
      </c>
      <c r="E328">
        <v>8.9600000000000009</v>
      </c>
      <c r="F328" t="s">
        <v>2382</v>
      </c>
      <c r="G328" t="s">
        <v>2380</v>
      </c>
      <c r="H328" t="s">
        <v>2380</v>
      </c>
      <c r="J328">
        <v>1</v>
      </c>
      <c r="K328" t="str">
        <f t="shared" si="17"/>
        <v>yes</v>
      </c>
      <c r="L328" t="s">
        <v>2382</v>
      </c>
    </row>
    <row r="329" spans="1:12" x14ac:dyDescent="0.35">
      <c r="A329" t="s">
        <v>2044</v>
      </c>
      <c r="B329" t="str">
        <f t="shared" si="15"/>
        <v>Overweight</v>
      </c>
      <c r="C329">
        <v>26.92</v>
      </c>
      <c r="D329" t="str">
        <f t="shared" si="16"/>
        <v>Prediabetes</v>
      </c>
      <c r="E329">
        <v>6.09</v>
      </c>
      <c r="F329" t="s">
        <v>2380</v>
      </c>
      <c r="G329" t="s">
        <v>2380</v>
      </c>
      <c r="H329" t="s">
        <v>2380</v>
      </c>
      <c r="J329" t="s">
        <v>2381</v>
      </c>
      <c r="K329" t="str">
        <f t="shared" si="17"/>
        <v>yes</v>
      </c>
      <c r="L329" t="s">
        <v>2382</v>
      </c>
    </row>
    <row r="330" spans="1:12" x14ac:dyDescent="0.35">
      <c r="A330" t="s">
        <v>2043</v>
      </c>
      <c r="B330" t="str">
        <f t="shared" si="15"/>
        <v>Normal Weight</v>
      </c>
      <c r="C330">
        <v>19.73</v>
      </c>
      <c r="D330" t="str">
        <f t="shared" si="16"/>
        <v>Normal</v>
      </c>
      <c r="E330">
        <v>4.3600000000000003</v>
      </c>
      <c r="F330" t="s">
        <v>2380</v>
      </c>
      <c r="G330" t="s">
        <v>2380</v>
      </c>
      <c r="H330" t="s">
        <v>2380</v>
      </c>
      <c r="J330" t="s">
        <v>2381</v>
      </c>
      <c r="K330" t="str">
        <f t="shared" si="17"/>
        <v>yes</v>
      </c>
      <c r="L330" t="s">
        <v>2382</v>
      </c>
    </row>
    <row r="331" spans="1:12" x14ac:dyDescent="0.35">
      <c r="A331" t="s">
        <v>2042</v>
      </c>
      <c r="B331" t="str">
        <f t="shared" si="15"/>
        <v>Normal Weight</v>
      </c>
      <c r="C331">
        <v>23.56</v>
      </c>
      <c r="D331" t="str">
        <f t="shared" si="16"/>
        <v>Diabetes</v>
      </c>
      <c r="E331">
        <v>11.74</v>
      </c>
      <c r="F331" t="s">
        <v>2382</v>
      </c>
      <c r="G331" t="s">
        <v>2380</v>
      </c>
      <c r="H331" t="s">
        <v>2380</v>
      </c>
      <c r="J331" t="s">
        <v>2381</v>
      </c>
      <c r="K331" t="str">
        <f t="shared" si="17"/>
        <v>yes</v>
      </c>
      <c r="L331" t="s">
        <v>2382</v>
      </c>
    </row>
    <row r="332" spans="1:12" x14ac:dyDescent="0.35">
      <c r="A332" t="s">
        <v>2041</v>
      </c>
      <c r="B332" t="str">
        <f t="shared" si="15"/>
        <v>Obesity</v>
      </c>
      <c r="C332">
        <v>37.67</v>
      </c>
      <c r="D332" t="str">
        <f t="shared" si="16"/>
        <v>Prediabetes</v>
      </c>
      <c r="E332">
        <v>5.89</v>
      </c>
      <c r="F332" t="s">
        <v>2380</v>
      </c>
      <c r="G332" t="s">
        <v>2380</v>
      </c>
      <c r="H332" t="s">
        <v>2380</v>
      </c>
      <c r="J332">
        <v>1</v>
      </c>
      <c r="K332" t="str">
        <f t="shared" si="17"/>
        <v>yes</v>
      </c>
      <c r="L332" t="s">
        <v>2382</v>
      </c>
    </row>
    <row r="333" spans="1:12" x14ac:dyDescent="0.35">
      <c r="A333" t="s">
        <v>2040</v>
      </c>
      <c r="B333" t="str">
        <f t="shared" si="15"/>
        <v>Normal Weight</v>
      </c>
      <c r="C333">
        <v>18.73</v>
      </c>
      <c r="D333" t="str">
        <f t="shared" si="16"/>
        <v>Diabetes</v>
      </c>
      <c r="E333">
        <v>10.64</v>
      </c>
      <c r="F333" t="s">
        <v>2380</v>
      </c>
      <c r="G333" t="s">
        <v>2380</v>
      </c>
      <c r="H333" t="s">
        <v>2380</v>
      </c>
      <c r="J333">
        <v>2</v>
      </c>
      <c r="K333" t="str">
        <f t="shared" si="17"/>
        <v>yes</v>
      </c>
      <c r="L333" t="s">
        <v>2382</v>
      </c>
    </row>
    <row r="334" spans="1:12" x14ac:dyDescent="0.35">
      <c r="A334" t="s">
        <v>2039</v>
      </c>
      <c r="B334" t="str">
        <f t="shared" si="15"/>
        <v>Obesity</v>
      </c>
      <c r="C334">
        <v>33.090000000000003</v>
      </c>
      <c r="D334" t="str">
        <f t="shared" si="16"/>
        <v>Prediabetes</v>
      </c>
      <c r="E334">
        <v>6.06</v>
      </c>
      <c r="F334" t="s">
        <v>2380</v>
      </c>
      <c r="G334" t="s">
        <v>2380</v>
      </c>
      <c r="H334" t="s">
        <v>2383</v>
      </c>
      <c r="J334">
        <v>1</v>
      </c>
      <c r="K334" t="str">
        <f t="shared" si="17"/>
        <v>yes</v>
      </c>
      <c r="L334" t="s">
        <v>2382</v>
      </c>
    </row>
    <row r="335" spans="1:12" x14ac:dyDescent="0.35">
      <c r="A335" t="s">
        <v>2038</v>
      </c>
      <c r="B335" t="str">
        <f t="shared" si="15"/>
        <v>Underweight</v>
      </c>
      <c r="C335">
        <v>18.329999999999998</v>
      </c>
      <c r="D335" t="str">
        <f t="shared" si="16"/>
        <v>Diabetes</v>
      </c>
      <c r="E335">
        <v>7.46</v>
      </c>
      <c r="F335" t="s">
        <v>2382</v>
      </c>
      <c r="G335" t="s">
        <v>2380</v>
      </c>
      <c r="H335" t="s">
        <v>2380</v>
      </c>
      <c r="J335">
        <v>1</v>
      </c>
      <c r="K335" t="str">
        <f t="shared" si="17"/>
        <v>yes</v>
      </c>
      <c r="L335" t="s">
        <v>2382</v>
      </c>
    </row>
    <row r="336" spans="1:12" x14ac:dyDescent="0.35">
      <c r="A336" t="s">
        <v>2037</v>
      </c>
      <c r="B336" t="str">
        <f t="shared" si="15"/>
        <v>Overweight</v>
      </c>
      <c r="C336">
        <v>27.74</v>
      </c>
      <c r="D336" t="str">
        <f t="shared" si="16"/>
        <v>Normal</v>
      </c>
      <c r="E336">
        <v>4.68</v>
      </c>
      <c r="F336" t="s">
        <v>2382</v>
      </c>
      <c r="G336" t="s">
        <v>2380</v>
      </c>
      <c r="H336" t="s">
        <v>2380</v>
      </c>
      <c r="J336">
        <v>2</v>
      </c>
      <c r="K336" t="str">
        <f t="shared" si="17"/>
        <v>yes</v>
      </c>
      <c r="L336" t="s">
        <v>2382</v>
      </c>
    </row>
    <row r="337" spans="1:12" x14ac:dyDescent="0.35">
      <c r="A337" t="s">
        <v>2036</v>
      </c>
      <c r="B337" t="str">
        <f t="shared" si="15"/>
        <v>Normal Weight</v>
      </c>
      <c r="C337">
        <v>24.2</v>
      </c>
      <c r="D337" t="str">
        <f t="shared" si="16"/>
        <v>Prediabetes</v>
      </c>
      <c r="E337">
        <v>6.15</v>
      </c>
      <c r="F337" t="s">
        <v>2380</v>
      </c>
      <c r="G337" t="s">
        <v>2380</v>
      </c>
      <c r="H337" t="s">
        <v>2380</v>
      </c>
      <c r="J337">
        <v>1</v>
      </c>
      <c r="K337" t="str">
        <f t="shared" si="17"/>
        <v>yes</v>
      </c>
      <c r="L337" t="s">
        <v>2382</v>
      </c>
    </row>
    <row r="338" spans="1:12" x14ac:dyDescent="0.35">
      <c r="A338" t="s">
        <v>2035</v>
      </c>
      <c r="B338" t="str">
        <f t="shared" si="15"/>
        <v>Normal Weight</v>
      </c>
      <c r="C338">
        <v>22.03</v>
      </c>
      <c r="D338" t="str">
        <f t="shared" si="16"/>
        <v>Normal</v>
      </c>
      <c r="E338">
        <v>4.28</v>
      </c>
      <c r="F338" t="s">
        <v>2382</v>
      </c>
      <c r="G338" t="s">
        <v>2380</v>
      </c>
      <c r="H338" t="s">
        <v>2380</v>
      </c>
      <c r="J338" t="s">
        <v>2381</v>
      </c>
      <c r="K338" t="str">
        <f t="shared" si="17"/>
        <v>yes</v>
      </c>
      <c r="L338" t="s">
        <v>2382</v>
      </c>
    </row>
    <row r="339" spans="1:12" x14ac:dyDescent="0.35">
      <c r="A339" t="s">
        <v>2034</v>
      </c>
      <c r="B339" t="str">
        <f t="shared" si="15"/>
        <v>Overweight</v>
      </c>
      <c r="C339">
        <v>26.885000000000002</v>
      </c>
      <c r="D339" t="str">
        <f t="shared" si="16"/>
        <v>Diabetes</v>
      </c>
      <c r="E339">
        <v>9.86</v>
      </c>
      <c r="F339" t="s">
        <v>2380</v>
      </c>
      <c r="G339" t="s">
        <v>2380</v>
      </c>
      <c r="H339" t="s">
        <v>2380</v>
      </c>
      <c r="J339">
        <v>3</v>
      </c>
      <c r="K339" t="str">
        <f t="shared" si="17"/>
        <v>yes</v>
      </c>
      <c r="L339" t="s">
        <v>2382</v>
      </c>
    </row>
    <row r="340" spans="1:12" x14ac:dyDescent="0.35">
      <c r="A340" t="s">
        <v>2033</v>
      </c>
      <c r="B340" t="str">
        <f t="shared" si="15"/>
        <v>Underweight</v>
      </c>
      <c r="C340">
        <v>16.36</v>
      </c>
      <c r="D340" t="str">
        <f t="shared" si="16"/>
        <v>Diabetes</v>
      </c>
      <c r="E340">
        <v>11.19</v>
      </c>
      <c r="F340" t="s">
        <v>2380</v>
      </c>
      <c r="G340" t="s">
        <v>2380</v>
      </c>
      <c r="H340" t="s">
        <v>2380</v>
      </c>
      <c r="J340" t="s">
        <v>2381</v>
      </c>
      <c r="K340" t="str">
        <f t="shared" si="17"/>
        <v>yes</v>
      </c>
      <c r="L340" t="s">
        <v>2382</v>
      </c>
    </row>
    <row r="341" spans="1:12" x14ac:dyDescent="0.35">
      <c r="A341" t="s">
        <v>2032</v>
      </c>
      <c r="B341" t="str">
        <f t="shared" si="15"/>
        <v>Obesity</v>
      </c>
      <c r="C341">
        <v>32.299999999999997</v>
      </c>
      <c r="D341" t="str">
        <f t="shared" si="16"/>
        <v>Normal</v>
      </c>
      <c r="E341">
        <v>4.8899999999999997</v>
      </c>
      <c r="F341" t="s">
        <v>2382</v>
      </c>
      <c r="G341" t="s">
        <v>2380</v>
      </c>
      <c r="H341" t="s">
        <v>2383</v>
      </c>
      <c r="J341">
        <v>1</v>
      </c>
      <c r="K341" t="str">
        <f t="shared" si="17"/>
        <v>No</v>
      </c>
      <c r="L341" t="s">
        <v>2380</v>
      </c>
    </row>
    <row r="342" spans="1:12" x14ac:dyDescent="0.35">
      <c r="A342" t="s">
        <v>2031</v>
      </c>
      <c r="B342" t="str">
        <f t="shared" si="15"/>
        <v>Underweight</v>
      </c>
      <c r="C342">
        <v>16.05</v>
      </c>
      <c r="D342" t="str">
        <f t="shared" si="16"/>
        <v>Normal</v>
      </c>
      <c r="E342">
        <v>4.3499999999999996</v>
      </c>
      <c r="F342" t="s">
        <v>2382</v>
      </c>
      <c r="G342" t="s">
        <v>2380</v>
      </c>
      <c r="H342" t="s">
        <v>2380</v>
      </c>
      <c r="J342" t="s">
        <v>2381</v>
      </c>
      <c r="K342" t="str">
        <f t="shared" si="17"/>
        <v>yes</v>
      </c>
      <c r="L342" t="s">
        <v>2382</v>
      </c>
    </row>
    <row r="343" spans="1:12" x14ac:dyDescent="0.35">
      <c r="A343" t="s">
        <v>2030</v>
      </c>
      <c r="B343" t="str">
        <f t="shared" si="15"/>
        <v>Overweight</v>
      </c>
      <c r="C343">
        <v>29.07</v>
      </c>
      <c r="D343" t="str">
        <f t="shared" si="16"/>
        <v>Diabetes</v>
      </c>
      <c r="E343">
        <v>8.66</v>
      </c>
      <c r="F343" t="s">
        <v>2382</v>
      </c>
      <c r="G343" t="s">
        <v>2380</v>
      </c>
      <c r="H343" t="s">
        <v>2380</v>
      </c>
      <c r="J343">
        <v>2</v>
      </c>
      <c r="K343" t="str">
        <f t="shared" si="17"/>
        <v>yes</v>
      </c>
      <c r="L343" t="s">
        <v>2382</v>
      </c>
    </row>
    <row r="344" spans="1:12" x14ac:dyDescent="0.35">
      <c r="A344" t="s">
        <v>2029</v>
      </c>
      <c r="B344" t="str">
        <f t="shared" si="15"/>
        <v>Underweight</v>
      </c>
      <c r="C344">
        <v>17.43</v>
      </c>
      <c r="D344" t="str">
        <f t="shared" si="16"/>
        <v>Diabetes</v>
      </c>
      <c r="E344">
        <v>8.64</v>
      </c>
      <c r="F344" t="s">
        <v>2380</v>
      </c>
      <c r="G344" t="s">
        <v>2380</v>
      </c>
      <c r="H344" t="s">
        <v>2380</v>
      </c>
      <c r="J344" t="s">
        <v>2381</v>
      </c>
      <c r="K344" t="str">
        <f t="shared" si="17"/>
        <v>yes</v>
      </c>
      <c r="L344" t="s">
        <v>2382</v>
      </c>
    </row>
    <row r="345" spans="1:12" x14ac:dyDescent="0.35">
      <c r="A345" t="s">
        <v>2028</v>
      </c>
      <c r="B345" t="str">
        <f t="shared" si="15"/>
        <v>Normal Weight</v>
      </c>
      <c r="C345">
        <v>19.329999999999998</v>
      </c>
      <c r="D345" t="str">
        <f t="shared" si="16"/>
        <v>Normal</v>
      </c>
      <c r="E345">
        <v>4.2699999999999996</v>
      </c>
      <c r="F345" t="s">
        <v>2380</v>
      </c>
      <c r="G345" t="s">
        <v>2380</v>
      </c>
      <c r="H345" t="s">
        <v>2380</v>
      </c>
      <c r="J345" t="s">
        <v>2381</v>
      </c>
      <c r="K345" t="str">
        <f t="shared" si="17"/>
        <v>yes</v>
      </c>
      <c r="L345" t="s">
        <v>2382</v>
      </c>
    </row>
    <row r="346" spans="1:12" x14ac:dyDescent="0.35">
      <c r="A346" t="s">
        <v>2027</v>
      </c>
      <c r="B346" t="str">
        <f t="shared" si="15"/>
        <v>Obesity</v>
      </c>
      <c r="C346">
        <v>30.52</v>
      </c>
      <c r="D346" t="str">
        <f t="shared" si="16"/>
        <v>Normal</v>
      </c>
      <c r="E346">
        <v>4.21</v>
      </c>
      <c r="F346" t="s">
        <v>2380</v>
      </c>
      <c r="G346" t="s">
        <v>2380</v>
      </c>
      <c r="H346" t="s">
        <v>2380</v>
      </c>
      <c r="J346">
        <v>1</v>
      </c>
      <c r="K346" t="str">
        <f t="shared" si="17"/>
        <v>yes</v>
      </c>
      <c r="L346" t="s">
        <v>2382</v>
      </c>
    </row>
    <row r="347" spans="1:12" x14ac:dyDescent="0.35">
      <c r="A347" t="s">
        <v>2026</v>
      </c>
      <c r="B347" t="str">
        <f t="shared" si="15"/>
        <v>Obesity</v>
      </c>
      <c r="C347">
        <v>39.21</v>
      </c>
      <c r="D347" t="str">
        <f t="shared" si="16"/>
        <v>Normal</v>
      </c>
      <c r="E347">
        <v>5.04</v>
      </c>
      <c r="F347" t="s">
        <v>2380</v>
      </c>
      <c r="G347" t="s">
        <v>2380</v>
      </c>
      <c r="H347" t="s">
        <v>2383</v>
      </c>
      <c r="J347">
        <v>1</v>
      </c>
      <c r="K347" t="str">
        <f t="shared" si="17"/>
        <v>yes</v>
      </c>
      <c r="L347" t="s">
        <v>2382</v>
      </c>
    </row>
    <row r="348" spans="1:12" x14ac:dyDescent="0.35">
      <c r="A348" t="s">
        <v>2025</v>
      </c>
      <c r="B348" t="str">
        <f t="shared" si="15"/>
        <v>Overweight</v>
      </c>
      <c r="C348">
        <v>26.98</v>
      </c>
      <c r="D348" t="str">
        <f t="shared" si="16"/>
        <v>Normal</v>
      </c>
      <c r="E348">
        <v>5.21</v>
      </c>
      <c r="F348" t="s">
        <v>2382</v>
      </c>
      <c r="G348" t="s">
        <v>2380</v>
      </c>
      <c r="H348" t="s">
        <v>2380</v>
      </c>
      <c r="J348">
        <v>2</v>
      </c>
      <c r="K348" t="str">
        <f t="shared" si="17"/>
        <v>yes</v>
      </c>
      <c r="L348" t="s">
        <v>2382</v>
      </c>
    </row>
    <row r="349" spans="1:12" x14ac:dyDescent="0.35">
      <c r="A349" t="s">
        <v>2024</v>
      </c>
      <c r="B349" t="str">
        <f t="shared" si="15"/>
        <v>Overweight</v>
      </c>
      <c r="C349">
        <v>25.84</v>
      </c>
      <c r="D349" t="str">
        <f t="shared" si="16"/>
        <v>Diabetes</v>
      </c>
      <c r="E349">
        <v>8.83</v>
      </c>
      <c r="F349" t="s">
        <v>2380</v>
      </c>
      <c r="G349" t="s">
        <v>2380</v>
      </c>
      <c r="H349" t="s">
        <v>2380</v>
      </c>
      <c r="J349" t="s">
        <v>2381</v>
      </c>
      <c r="K349" t="str">
        <f t="shared" si="17"/>
        <v>No</v>
      </c>
      <c r="L349" t="s">
        <v>2380</v>
      </c>
    </row>
    <row r="350" spans="1:12" x14ac:dyDescent="0.35">
      <c r="A350" t="s">
        <v>2023</v>
      </c>
      <c r="B350" t="str">
        <f t="shared" si="15"/>
        <v>Overweight</v>
      </c>
      <c r="C350">
        <v>28.31</v>
      </c>
      <c r="D350" t="str">
        <f t="shared" si="16"/>
        <v>Diabetes</v>
      </c>
      <c r="E350">
        <v>8.4700000000000006</v>
      </c>
      <c r="F350" t="s">
        <v>2382</v>
      </c>
      <c r="G350" t="s">
        <v>2380</v>
      </c>
      <c r="H350" t="s">
        <v>2380</v>
      </c>
      <c r="J350">
        <v>2</v>
      </c>
      <c r="K350" t="str">
        <f t="shared" si="17"/>
        <v>yes</v>
      </c>
      <c r="L350" t="s">
        <v>2382</v>
      </c>
    </row>
    <row r="351" spans="1:12" x14ac:dyDescent="0.35">
      <c r="A351" t="s">
        <v>2022</v>
      </c>
      <c r="B351" t="str">
        <f t="shared" si="15"/>
        <v>Normal Weight</v>
      </c>
      <c r="C351">
        <v>23.94</v>
      </c>
      <c r="D351" t="str">
        <f t="shared" si="16"/>
        <v>Normal</v>
      </c>
      <c r="E351">
        <v>4.2</v>
      </c>
      <c r="F351" t="s">
        <v>2380</v>
      </c>
      <c r="G351" t="s">
        <v>2380</v>
      </c>
      <c r="H351" t="s">
        <v>2380</v>
      </c>
      <c r="J351" t="s">
        <v>2381</v>
      </c>
      <c r="K351" t="str">
        <f t="shared" si="17"/>
        <v>yes</v>
      </c>
      <c r="L351" t="s">
        <v>2382</v>
      </c>
    </row>
    <row r="352" spans="1:12" x14ac:dyDescent="0.35">
      <c r="A352" t="s">
        <v>2021</v>
      </c>
      <c r="B352" t="str">
        <f t="shared" si="15"/>
        <v>Normal Weight</v>
      </c>
      <c r="C352">
        <v>20.03</v>
      </c>
      <c r="D352" t="str">
        <f t="shared" si="16"/>
        <v>Prediabetes</v>
      </c>
      <c r="E352">
        <v>6.14</v>
      </c>
      <c r="F352" t="s">
        <v>2382</v>
      </c>
      <c r="G352" t="s">
        <v>2380</v>
      </c>
      <c r="H352" t="s">
        <v>2380</v>
      </c>
      <c r="J352" t="s">
        <v>2381</v>
      </c>
      <c r="K352" t="str">
        <f t="shared" si="17"/>
        <v>yes</v>
      </c>
      <c r="L352" t="s">
        <v>2382</v>
      </c>
    </row>
    <row r="353" spans="1:12" x14ac:dyDescent="0.35">
      <c r="A353" t="s">
        <v>2020</v>
      </c>
      <c r="B353" t="str">
        <f t="shared" si="15"/>
        <v>Obesity</v>
      </c>
      <c r="C353">
        <v>41.42</v>
      </c>
      <c r="D353" t="str">
        <f t="shared" si="16"/>
        <v>Prediabetes</v>
      </c>
      <c r="E353">
        <v>6.07</v>
      </c>
      <c r="F353" t="s">
        <v>2380</v>
      </c>
      <c r="G353" t="s">
        <v>2380</v>
      </c>
      <c r="H353" t="s">
        <v>2380</v>
      </c>
      <c r="J353" t="s">
        <v>2381</v>
      </c>
      <c r="K353" t="str">
        <f t="shared" si="17"/>
        <v>No</v>
      </c>
      <c r="L353" t="s">
        <v>2380</v>
      </c>
    </row>
    <row r="354" spans="1:12" x14ac:dyDescent="0.35">
      <c r="A354" t="s">
        <v>2019</v>
      </c>
      <c r="B354" t="str">
        <f t="shared" si="15"/>
        <v>Obesity</v>
      </c>
      <c r="C354">
        <v>36.67</v>
      </c>
      <c r="D354" t="str">
        <f t="shared" si="16"/>
        <v>Diabetes</v>
      </c>
      <c r="E354">
        <v>10.210000000000001</v>
      </c>
      <c r="F354" t="s">
        <v>2380</v>
      </c>
      <c r="G354" t="s">
        <v>2380</v>
      </c>
      <c r="H354" t="s">
        <v>2380</v>
      </c>
      <c r="J354" t="s">
        <v>2381</v>
      </c>
      <c r="K354" t="str">
        <f t="shared" si="17"/>
        <v>No</v>
      </c>
      <c r="L354" t="s">
        <v>2380</v>
      </c>
    </row>
    <row r="355" spans="1:12" x14ac:dyDescent="0.35">
      <c r="A355" t="s">
        <v>2018</v>
      </c>
      <c r="B355" t="str">
        <f t="shared" si="15"/>
        <v>Overweight</v>
      </c>
      <c r="C355">
        <v>27.645</v>
      </c>
      <c r="D355" t="str">
        <f t="shared" si="16"/>
        <v>Normal</v>
      </c>
      <c r="E355">
        <v>4.6900000000000004</v>
      </c>
      <c r="F355" t="s">
        <v>2380</v>
      </c>
      <c r="G355" t="s">
        <v>2380</v>
      </c>
      <c r="H355" t="s">
        <v>2380</v>
      </c>
      <c r="J355" t="s">
        <v>2381</v>
      </c>
      <c r="K355" t="str">
        <f t="shared" si="17"/>
        <v>No</v>
      </c>
      <c r="L355" t="s">
        <v>2380</v>
      </c>
    </row>
    <row r="356" spans="1:12" x14ac:dyDescent="0.35">
      <c r="A356" t="s">
        <v>2017</v>
      </c>
      <c r="B356" t="str">
        <f t="shared" si="15"/>
        <v>Normal Weight</v>
      </c>
      <c r="C356">
        <v>22.72</v>
      </c>
      <c r="D356" t="str">
        <f t="shared" si="16"/>
        <v>Prediabetes</v>
      </c>
      <c r="E356">
        <v>5.71</v>
      </c>
      <c r="F356" t="s">
        <v>2380</v>
      </c>
      <c r="G356" t="s">
        <v>2380</v>
      </c>
      <c r="H356" t="s">
        <v>2380</v>
      </c>
      <c r="J356" t="s">
        <v>2381</v>
      </c>
      <c r="K356" t="str">
        <f t="shared" si="17"/>
        <v>yes</v>
      </c>
      <c r="L356" t="s">
        <v>2382</v>
      </c>
    </row>
    <row r="357" spans="1:12" x14ac:dyDescent="0.35">
      <c r="A357" t="s">
        <v>2016</v>
      </c>
      <c r="B357" t="str">
        <f t="shared" si="15"/>
        <v>Obesity</v>
      </c>
      <c r="C357">
        <v>36.520000000000003</v>
      </c>
      <c r="D357" t="str">
        <f t="shared" si="16"/>
        <v>Diabetes</v>
      </c>
      <c r="E357">
        <v>9.07</v>
      </c>
      <c r="F357" t="s">
        <v>2382</v>
      </c>
      <c r="G357" t="s">
        <v>2380</v>
      </c>
      <c r="H357" t="s">
        <v>2383</v>
      </c>
      <c r="J357">
        <v>1</v>
      </c>
      <c r="K357" t="str">
        <f t="shared" si="17"/>
        <v>No</v>
      </c>
      <c r="L357" t="s">
        <v>2380</v>
      </c>
    </row>
    <row r="358" spans="1:12" x14ac:dyDescent="0.35">
      <c r="A358" t="s">
        <v>2015</v>
      </c>
      <c r="B358" t="str">
        <f t="shared" si="15"/>
        <v>Obesity</v>
      </c>
      <c r="C358">
        <v>33.96</v>
      </c>
      <c r="D358" t="str">
        <f t="shared" si="16"/>
        <v>Normal</v>
      </c>
      <c r="E358">
        <v>4.99</v>
      </c>
      <c r="F358" t="s">
        <v>2380</v>
      </c>
      <c r="G358" t="s">
        <v>2380</v>
      </c>
      <c r="H358" t="s">
        <v>2380</v>
      </c>
      <c r="J358" t="s">
        <v>2381</v>
      </c>
      <c r="K358" t="str">
        <f t="shared" si="17"/>
        <v>yes</v>
      </c>
      <c r="L358" t="s">
        <v>2382</v>
      </c>
    </row>
    <row r="359" spans="1:12" x14ac:dyDescent="0.35">
      <c r="A359" t="s">
        <v>2014</v>
      </c>
      <c r="B359" t="str">
        <f t="shared" si="15"/>
        <v>Overweight</v>
      </c>
      <c r="C359">
        <v>26.695</v>
      </c>
      <c r="D359" t="str">
        <f t="shared" si="16"/>
        <v>Diabetes</v>
      </c>
      <c r="E359">
        <v>8.31</v>
      </c>
      <c r="F359" t="s">
        <v>2380</v>
      </c>
      <c r="G359" t="s">
        <v>2380</v>
      </c>
      <c r="H359" t="s">
        <v>2380</v>
      </c>
      <c r="J359" t="s">
        <v>2381</v>
      </c>
      <c r="K359" t="str">
        <f t="shared" si="17"/>
        <v>yes</v>
      </c>
      <c r="L359" t="s">
        <v>2382</v>
      </c>
    </row>
    <row r="360" spans="1:12" x14ac:dyDescent="0.35">
      <c r="A360" t="s">
        <v>2013</v>
      </c>
      <c r="B360" t="str">
        <f t="shared" si="15"/>
        <v>Underweight</v>
      </c>
      <c r="C360">
        <v>18.45</v>
      </c>
      <c r="D360" t="str">
        <f t="shared" si="16"/>
        <v>Normal</v>
      </c>
      <c r="E360">
        <v>5.07</v>
      </c>
      <c r="F360" t="s">
        <v>2382</v>
      </c>
      <c r="G360" t="s">
        <v>2380</v>
      </c>
      <c r="H360" t="s">
        <v>2380</v>
      </c>
      <c r="J360" t="s">
        <v>2381</v>
      </c>
      <c r="K360" t="str">
        <f t="shared" si="17"/>
        <v>yes</v>
      </c>
      <c r="L360" t="s">
        <v>2382</v>
      </c>
    </row>
    <row r="361" spans="1:12" x14ac:dyDescent="0.35">
      <c r="A361" t="s">
        <v>2012</v>
      </c>
      <c r="B361" t="str">
        <f t="shared" si="15"/>
        <v>Obesity</v>
      </c>
      <c r="C361">
        <v>33.18</v>
      </c>
      <c r="D361" t="str">
        <f t="shared" si="16"/>
        <v>Normal</v>
      </c>
      <c r="E361">
        <v>4.79</v>
      </c>
      <c r="F361" t="s">
        <v>2380</v>
      </c>
      <c r="G361" t="s">
        <v>2380</v>
      </c>
      <c r="H361" t="s">
        <v>2380</v>
      </c>
      <c r="J361" t="s">
        <v>2381</v>
      </c>
      <c r="K361" t="str">
        <f t="shared" si="17"/>
        <v>yes</v>
      </c>
      <c r="L361" t="s">
        <v>2382</v>
      </c>
    </row>
    <row r="362" spans="1:12" x14ac:dyDescent="0.35">
      <c r="A362" t="s">
        <v>2011</v>
      </c>
      <c r="B362" t="str">
        <f t="shared" si="15"/>
        <v>Obesity</v>
      </c>
      <c r="C362">
        <v>36.1</v>
      </c>
      <c r="D362" t="str">
        <f t="shared" si="16"/>
        <v>Diabetes</v>
      </c>
      <c r="E362">
        <v>11.39</v>
      </c>
      <c r="F362" t="s">
        <v>2382</v>
      </c>
      <c r="G362" t="s">
        <v>2380</v>
      </c>
      <c r="H362" t="s">
        <v>2380</v>
      </c>
      <c r="J362">
        <v>2</v>
      </c>
      <c r="K362" t="str">
        <f t="shared" si="17"/>
        <v>No</v>
      </c>
      <c r="L362" t="s">
        <v>2380</v>
      </c>
    </row>
    <row r="363" spans="1:12" x14ac:dyDescent="0.35">
      <c r="A363" t="s">
        <v>2010</v>
      </c>
      <c r="B363" t="str">
        <f t="shared" si="15"/>
        <v>Normal Weight</v>
      </c>
      <c r="C363">
        <v>22.77</v>
      </c>
      <c r="D363" t="str">
        <f t="shared" si="16"/>
        <v>Prediabetes</v>
      </c>
      <c r="E363">
        <v>6</v>
      </c>
      <c r="F363" t="s">
        <v>2380</v>
      </c>
      <c r="G363" t="s">
        <v>2380</v>
      </c>
      <c r="H363" t="s">
        <v>2380</v>
      </c>
      <c r="J363" t="s">
        <v>2381</v>
      </c>
      <c r="K363" t="str">
        <f t="shared" si="17"/>
        <v>yes</v>
      </c>
      <c r="L363" t="s">
        <v>2382</v>
      </c>
    </row>
    <row r="364" spans="1:12" x14ac:dyDescent="0.35">
      <c r="A364" t="s">
        <v>2009</v>
      </c>
      <c r="B364" t="str">
        <f t="shared" si="15"/>
        <v>Normal Weight</v>
      </c>
      <c r="C364">
        <v>21.24</v>
      </c>
      <c r="D364" t="str">
        <f t="shared" si="16"/>
        <v>Normal</v>
      </c>
      <c r="E364">
        <v>5.13</v>
      </c>
      <c r="F364" t="s">
        <v>2380</v>
      </c>
      <c r="G364" t="s">
        <v>2380</v>
      </c>
      <c r="H364" t="s">
        <v>2380</v>
      </c>
      <c r="J364" t="s">
        <v>2381</v>
      </c>
      <c r="K364" t="str">
        <f t="shared" si="17"/>
        <v>yes</v>
      </c>
      <c r="L364" t="s">
        <v>2382</v>
      </c>
    </row>
    <row r="365" spans="1:12" x14ac:dyDescent="0.35">
      <c r="A365" t="s">
        <v>2008</v>
      </c>
      <c r="B365" t="str">
        <f t="shared" si="15"/>
        <v>Underweight</v>
      </c>
      <c r="C365">
        <v>17.600000000000001</v>
      </c>
      <c r="D365" t="str">
        <f t="shared" si="16"/>
        <v>Normal</v>
      </c>
      <c r="E365">
        <v>5.26</v>
      </c>
      <c r="F365" t="s">
        <v>2382</v>
      </c>
      <c r="G365" t="s">
        <v>2380</v>
      </c>
      <c r="H365" t="s">
        <v>2380</v>
      </c>
      <c r="J365" t="s">
        <v>2381</v>
      </c>
      <c r="K365" t="str">
        <f t="shared" si="17"/>
        <v>yes</v>
      </c>
      <c r="L365" t="s">
        <v>2382</v>
      </c>
    </row>
    <row r="366" spans="1:12" x14ac:dyDescent="0.35">
      <c r="A366" t="s">
        <v>2007</v>
      </c>
      <c r="B366" t="str">
        <f t="shared" si="15"/>
        <v>Overweight</v>
      </c>
      <c r="C366">
        <v>26.29</v>
      </c>
      <c r="D366" t="str">
        <f t="shared" si="16"/>
        <v>Diabetes</v>
      </c>
      <c r="E366">
        <v>6.84</v>
      </c>
      <c r="F366" t="s">
        <v>2380</v>
      </c>
      <c r="G366" t="s">
        <v>2380</v>
      </c>
      <c r="H366" t="s">
        <v>2380</v>
      </c>
      <c r="J366" t="s">
        <v>2381</v>
      </c>
      <c r="K366" t="str">
        <f t="shared" si="17"/>
        <v>yes</v>
      </c>
      <c r="L366" t="s">
        <v>2382</v>
      </c>
    </row>
    <row r="367" spans="1:12" x14ac:dyDescent="0.35">
      <c r="A367" t="s">
        <v>2006</v>
      </c>
      <c r="B367" t="str">
        <f t="shared" si="15"/>
        <v>Obesity</v>
      </c>
      <c r="C367">
        <v>35.31</v>
      </c>
      <c r="D367" t="str">
        <f t="shared" si="16"/>
        <v>Diabetes</v>
      </c>
      <c r="E367">
        <v>9.0399999999999991</v>
      </c>
      <c r="F367" t="s">
        <v>2380</v>
      </c>
      <c r="G367" t="s">
        <v>2380</v>
      </c>
      <c r="H367" t="s">
        <v>2380</v>
      </c>
      <c r="J367" t="s">
        <v>2381</v>
      </c>
      <c r="K367" t="str">
        <f t="shared" si="17"/>
        <v>No</v>
      </c>
      <c r="L367" t="s">
        <v>2380</v>
      </c>
    </row>
    <row r="368" spans="1:12" x14ac:dyDescent="0.35">
      <c r="A368" t="s">
        <v>2005</v>
      </c>
      <c r="B368" t="str">
        <f t="shared" si="15"/>
        <v>Overweight</v>
      </c>
      <c r="C368">
        <v>27.04</v>
      </c>
      <c r="D368" t="str">
        <f t="shared" si="16"/>
        <v>Normal</v>
      </c>
      <c r="E368">
        <v>4.0999999999999996</v>
      </c>
      <c r="F368" t="s">
        <v>2380</v>
      </c>
      <c r="G368" t="s">
        <v>2380</v>
      </c>
      <c r="H368" t="s">
        <v>2380</v>
      </c>
      <c r="J368">
        <v>1</v>
      </c>
      <c r="K368" t="str">
        <f t="shared" si="17"/>
        <v>yes</v>
      </c>
      <c r="L368" t="s">
        <v>2382</v>
      </c>
    </row>
    <row r="369" spans="1:12" x14ac:dyDescent="0.35">
      <c r="A369" t="s">
        <v>2004</v>
      </c>
      <c r="B369" t="str">
        <f t="shared" si="15"/>
        <v>Obesity</v>
      </c>
      <c r="C369">
        <v>30.23</v>
      </c>
      <c r="D369" t="str">
        <f t="shared" si="16"/>
        <v>Normal</v>
      </c>
      <c r="E369">
        <v>4.2300000000000004</v>
      </c>
      <c r="F369" t="s">
        <v>2382</v>
      </c>
      <c r="G369" t="s">
        <v>2380</v>
      </c>
      <c r="H369" t="s">
        <v>2383</v>
      </c>
      <c r="J369">
        <v>1</v>
      </c>
      <c r="K369" t="str">
        <f t="shared" si="17"/>
        <v>yes</v>
      </c>
      <c r="L369" t="s">
        <v>2382</v>
      </c>
    </row>
    <row r="370" spans="1:12" x14ac:dyDescent="0.35">
      <c r="A370" t="s">
        <v>2003</v>
      </c>
      <c r="B370" t="str">
        <f t="shared" si="15"/>
        <v>Obesity</v>
      </c>
      <c r="C370">
        <v>30.6</v>
      </c>
      <c r="D370" t="e">
        <f t="shared" si="16"/>
        <v>#N/A</v>
      </c>
      <c r="E370">
        <v>6.48</v>
      </c>
      <c r="F370" t="s">
        <v>2382</v>
      </c>
      <c r="G370" t="s">
        <v>2380</v>
      </c>
      <c r="H370" t="s">
        <v>2383</v>
      </c>
      <c r="J370">
        <v>1</v>
      </c>
      <c r="K370" t="str">
        <f t="shared" si="17"/>
        <v>yes</v>
      </c>
      <c r="L370" t="s">
        <v>2382</v>
      </c>
    </row>
    <row r="371" spans="1:12" x14ac:dyDescent="0.35">
      <c r="A371" t="s">
        <v>2002</v>
      </c>
      <c r="B371" t="str">
        <f t="shared" si="15"/>
        <v>Overweight</v>
      </c>
      <c r="C371">
        <v>26.8</v>
      </c>
      <c r="D371" t="str">
        <f t="shared" si="16"/>
        <v>Normal</v>
      </c>
      <c r="E371">
        <v>5.53</v>
      </c>
      <c r="F371" t="s">
        <v>2380</v>
      </c>
      <c r="G371" t="s">
        <v>2380</v>
      </c>
      <c r="H371" t="s">
        <v>2380</v>
      </c>
      <c r="J371">
        <v>1</v>
      </c>
      <c r="K371" t="str">
        <f t="shared" si="17"/>
        <v>yes</v>
      </c>
      <c r="L371" t="s">
        <v>2382</v>
      </c>
    </row>
    <row r="372" spans="1:12" x14ac:dyDescent="0.35">
      <c r="A372" t="s">
        <v>2001</v>
      </c>
      <c r="B372" t="str">
        <f t="shared" si="15"/>
        <v>Underweight</v>
      </c>
      <c r="C372">
        <v>16.86</v>
      </c>
      <c r="D372" t="str">
        <f t="shared" si="16"/>
        <v>Normal</v>
      </c>
      <c r="E372">
        <v>4.07</v>
      </c>
      <c r="F372" t="s">
        <v>2382</v>
      </c>
      <c r="G372" t="s">
        <v>2380</v>
      </c>
      <c r="H372" t="s">
        <v>2380</v>
      </c>
      <c r="J372" t="s">
        <v>2381</v>
      </c>
      <c r="K372" t="str">
        <f t="shared" si="17"/>
        <v>yes</v>
      </c>
      <c r="L372" t="s">
        <v>2382</v>
      </c>
    </row>
    <row r="373" spans="1:12" x14ac:dyDescent="0.35">
      <c r="A373" t="s">
        <v>2000</v>
      </c>
      <c r="B373" t="str">
        <f t="shared" si="15"/>
        <v>Underweight</v>
      </c>
      <c r="C373">
        <v>16.3</v>
      </c>
      <c r="D373" t="str">
        <f t="shared" si="16"/>
        <v>Normal</v>
      </c>
      <c r="E373">
        <v>5.51</v>
      </c>
      <c r="F373" t="s">
        <v>2380</v>
      </c>
      <c r="G373" t="s">
        <v>2380</v>
      </c>
      <c r="H373" t="s">
        <v>2380</v>
      </c>
      <c r="J373">
        <v>1</v>
      </c>
      <c r="K373" t="str">
        <f t="shared" si="17"/>
        <v>yes</v>
      </c>
      <c r="L373" t="s">
        <v>2382</v>
      </c>
    </row>
    <row r="374" spans="1:12" x14ac:dyDescent="0.35">
      <c r="A374" t="s">
        <v>1999</v>
      </c>
      <c r="B374" t="str">
        <f t="shared" si="15"/>
        <v>Overweight</v>
      </c>
      <c r="C374">
        <v>29.81</v>
      </c>
      <c r="D374" t="str">
        <f t="shared" si="16"/>
        <v>Diabetes</v>
      </c>
      <c r="E374">
        <v>11.66</v>
      </c>
      <c r="F374" t="s">
        <v>2380</v>
      </c>
      <c r="G374" t="s">
        <v>2380</v>
      </c>
      <c r="H374" t="s">
        <v>2380</v>
      </c>
      <c r="J374" t="s">
        <v>2381</v>
      </c>
      <c r="K374" t="str">
        <f t="shared" si="17"/>
        <v>yes</v>
      </c>
      <c r="L374" t="s">
        <v>2382</v>
      </c>
    </row>
    <row r="375" spans="1:12" x14ac:dyDescent="0.35">
      <c r="A375" t="s">
        <v>1998</v>
      </c>
      <c r="B375" t="str">
        <f t="shared" si="15"/>
        <v>Underweight</v>
      </c>
      <c r="C375">
        <v>16.329999999999998</v>
      </c>
      <c r="D375" t="str">
        <f t="shared" si="16"/>
        <v>Diabetes</v>
      </c>
      <c r="E375">
        <v>7.26</v>
      </c>
      <c r="F375" t="s">
        <v>2382</v>
      </c>
      <c r="G375" t="s">
        <v>2380</v>
      </c>
      <c r="H375" t="s">
        <v>2380</v>
      </c>
      <c r="J375" t="s">
        <v>2381</v>
      </c>
      <c r="K375" t="str">
        <f t="shared" si="17"/>
        <v>yes</v>
      </c>
      <c r="L375" t="s">
        <v>2382</v>
      </c>
    </row>
    <row r="376" spans="1:12" x14ac:dyDescent="0.35">
      <c r="A376" t="s">
        <v>1997</v>
      </c>
      <c r="B376" t="str">
        <f t="shared" si="15"/>
        <v>Underweight</v>
      </c>
      <c r="C376">
        <v>16.37</v>
      </c>
      <c r="D376" t="str">
        <f t="shared" si="16"/>
        <v>Normal</v>
      </c>
      <c r="E376">
        <v>4.79</v>
      </c>
      <c r="F376" t="s">
        <v>2382</v>
      </c>
      <c r="G376" t="s">
        <v>2380</v>
      </c>
      <c r="H376" t="s">
        <v>2380</v>
      </c>
      <c r="J376" t="s">
        <v>2381</v>
      </c>
      <c r="K376" t="str">
        <f t="shared" si="17"/>
        <v>yes</v>
      </c>
      <c r="L376" t="s">
        <v>2382</v>
      </c>
    </row>
    <row r="377" spans="1:12" x14ac:dyDescent="0.35">
      <c r="A377" t="s">
        <v>1996</v>
      </c>
      <c r="B377" t="str">
        <f t="shared" si="15"/>
        <v>Normal Weight</v>
      </c>
      <c r="C377">
        <v>22.42</v>
      </c>
      <c r="D377" t="str">
        <f t="shared" si="16"/>
        <v>Normal</v>
      </c>
      <c r="E377">
        <v>4.68</v>
      </c>
      <c r="F377" t="s">
        <v>2382</v>
      </c>
      <c r="G377" t="s">
        <v>2380</v>
      </c>
      <c r="H377" t="s">
        <v>2380</v>
      </c>
      <c r="J377">
        <v>1</v>
      </c>
      <c r="K377" t="str">
        <f t="shared" si="17"/>
        <v>No</v>
      </c>
      <c r="L377" t="s">
        <v>2380</v>
      </c>
    </row>
    <row r="378" spans="1:12" x14ac:dyDescent="0.35">
      <c r="A378" t="s">
        <v>1995</v>
      </c>
      <c r="B378" t="str">
        <f t="shared" si="15"/>
        <v>Obesity</v>
      </c>
      <c r="C378">
        <v>31.35</v>
      </c>
      <c r="D378" t="str">
        <f t="shared" si="16"/>
        <v>Normal</v>
      </c>
      <c r="E378">
        <v>4.33</v>
      </c>
      <c r="F378" t="s">
        <v>2382</v>
      </c>
      <c r="G378" t="s">
        <v>2380</v>
      </c>
      <c r="H378" t="s">
        <v>2383</v>
      </c>
      <c r="J378">
        <v>1</v>
      </c>
      <c r="K378" t="str">
        <f t="shared" si="17"/>
        <v>No</v>
      </c>
      <c r="L378" t="s">
        <v>2380</v>
      </c>
    </row>
    <row r="379" spans="1:12" x14ac:dyDescent="0.35">
      <c r="A379" t="s">
        <v>1994</v>
      </c>
      <c r="B379" t="str">
        <f t="shared" si="15"/>
        <v>Obesity</v>
      </c>
      <c r="C379">
        <v>31.9</v>
      </c>
      <c r="D379" t="str">
        <f t="shared" si="16"/>
        <v>Diabetes</v>
      </c>
      <c r="E379">
        <v>11.89</v>
      </c>
      <c r="F379" t="s">
        <v>2380</v>
      </c>
      <c r="G379" t="s">
        <v>2380</v>
      </c>
      <c r="H379" t="s">
        <v>2380</v>
      </c>
      <c r="J379" t="s">
        <v>2381</v>
      </c>
      <c r="K379" t="str">
        <f t="shared" si="17"/>
        <v>No</v>
      </c>
      <c r="L379" t="s">
        <v>2380</v>
      </c>
    </row>
    <row r="380" spans="1:12" x14ac:dyDescent="0.35">
      <c r="A380" t="s">
        <v>1993</v>
      </c>
      <c r="B380" t="str">
        <f t="shared" si="15"/>
        <v>Obesity</v>
      </c>
      <c r="C380">
        <v>30.6</v>
      </c>
      <c r="D380" t="str">
        <f t="shared" si="16"/>
        <v>Normal</v>
      </c>
      <c r="E380">
        <v>5.24</v>
      </c>
      <c r="F380" t="s">
        <v>2380</v>
      </c>
      <c r="G380" t="s">
        <v>2380</v>
      </c>
      <c r="H380" t="s">
        <v>2380</v>
      </c>
      <c r="J380" t="s">
        <v>2381</v>
      </c>
      <c r="K380" t="str">
        <f t="shared" si="17"/>
        <v>yes</v>
      </c>
      <c r="L380" t="s">
        <v>2382</v>
      </c>
    </row>
    <row r="381" spans="1:12" x14ac:dyDescent="0.35">
      <c r="A381" t="s">
        <v>1992</v>
      </c>
      <c r="B381" t="str">
        <f t="shared" si="15"/>
        <v>Overweight</v>
      </c>
      <c r="C381">
        <v>28.975000000000001</v>
      </c>
      <c r="D381" t="str">
        <f t="shared" si="16"/>
        <v>Diabetes</v>
      </c>
      <c r="E381">
        <v>7.63</v>
      </c>
      <c r="F381" t="s">
        <v>2380</v>
      </c>
      <c r="G381" t="s">
        <v>2380</v>
      </c>
      <c r="H381" t="s">
        <v>2380</v>
      </c>
      <c r="J381" t="s">
        <v>2381</v>
      </c>
      <c r="K381" t="str">
        <f t="shared" si="17"/>
        <v>yes</v>
      </c>
      <c r="L381" t="s">
        <v>2382</v>
      </c>
    </row>
    <row r="382" spans="1:12" x14ac:dyDescent="0.35">
      <c r="A382" t="s">
        <v>1991</v>
      </c>
      <c r="B382" t="str">
        <f t="shared" si="15"/>
        <v>Normal Weight</v>
      </c>
      <c r="C382">
        <v>24.86</v>
      </c>
      <c r="D382" t="str">
        <f t="shared" si="16"/>
        <v>Diabetes</v>
      </c>
      <c r="E382">
        <v>8.92</v>
      </c>
      <c r="F382" t="s">
        <v>2382</v>
      </c>
      <c r="G382" t="s">
        <v>2380</v>
      </c>
      <c r="H382" t="s">
        <v>2380</v>
      </c>
      <c r="J382">
        <v>2</v>
      </c>
      <c r="K382" t="str">
        <f t="shared" si="17"/>
        <v>No</v>
      </c>
      <c r="L382" t="s">
        <v>2380</v>
      </c>
    </row>
    <row r="383" spans="1:12" x14ac:dyDescent="0.35">
      <c r="A383" t="s">
        <v>1990</v>
      </c>
      <c r="B383" t="str">
        <f t="shared" si="15"/>
        <v>Normal Weight</v>
      </c>
      <c r="C383">
        <v>19.54</v>
      </c>
      <c r="D383" t="str">
        <f t="shared" si="16"/>
        <v>Normal</v>
      </c>
      <c r="E383">
        <v>5.37</v>
      </c>
      <c r="F383" t="s">
        <v>2380</v>
      </c>
      <c r="G383" t="s">
        <v>2380</v>
      </c>
      <c r="H383" t="s">
        <v>2380</v>
      </c>
      <c r="J383" t="s">
        <v>2381</v>
      </c>
      <c r="K383" t="str">
        <f t="shared" si="17"/>
        <v>yes</v>
      </c>
      <c r="L383" t="s">
        <v>2382</v>
      </c>
    </row>
    <row r="384" spans="1:12" x14ac:dyDescent="0.35">
      <c r="A384" t="s">
        <v>1989</v>
      </c>
      <c r="B384" t="str">
        <f t="shared" si="15"/>
        <v>Overweight</v>
      </c>
      <c r="C384">
        <v>26.74</v>
      </c>
      <c r="D384" t="str">
        <f t="shared" si="16"/>
        <v>Normal</v>
      </c>
      <c r="E384">
        <v>4.3099999999999996</v>
      </c>
      <c r="F384" t="s">
        <v>2380</v>
      </c>
      <c r="G384" t="s">
        <v>2380</v>
      </c>
      <c r="H384" t="s">
        <v>2380</v>
      </c>
      <c r="J384" t="s">
        <v>2381</v>
      </c>
      <c r="K384" t="str">
        <f t="shared" si="17"/>
        <v>yes</v>
      </c>
      <c r="L384" t="s">
        <v>2382</v>
      </c>
    </row>
    <row r="385" spans="1:12" x14ac:dyDescent="0.35">
      <c r="A385" t="s">
        <v>1988</v>
      </c>
      <c r="B385" t="str">
        <f t="shared" si="15"/>
        <v>Normal Weight</v>
      </c>
      <c r="C385">
        <v>22.99</v>
      </c>
      <c r="D385" t="str">
        <f t="shared" si="16"/>
        <v>Diabetes</v>
      </c>
      <c r="E385">
        <v>10.46</v>
      </c>
      <c r="F385" t="s">
        <v>2380</v>
      </c>
      <c r="G385" t="s">
        <v>2380</v>
      </c>
      <c r="H385" t="s">
        <v>2380</v>
      </c>
      <c r="J385">
        <v>3</v>
      </c>
      <c r="K385" t="str">
        <f t="shared" si="17"/>
        <v>yes</v>
      </c>
      <c r="L385" t="s">
        <v>2382</v>
      </c>
    </row>
    <row r="386" spans="1:12" x14ac:dyDescent="0.35">
      <c r="A386" t="s">
        <v>1987</v>
      </c>
      <c r="B386" t="str">
        <f t="shared" si="15"/>
        <v>Obesity</v>
      </c>
      <c r="C386">
        <v>31.46</v>
      </c>
      <c r="D386" t="str">
        <f t="shared" si="16"/>
        <v>Diabetes</v>
      </c>
      <c r="E386">
        <v>7.39</v>
      </c>
      <c r="F386" t="s">
        <v>2380</v>
      </c>
      <c r="G386" t="s">
        <v>2380</v>
      </c>
      <c r="H386" t="s">
        <v>2380</v>
      </c>
      <c r="J386" t="s">
        <v>2381</v>
      </c>
      <c r="K386" t="str">
        <f t="shared" si="17"/>
        <v>No</v>
      </c>
      <c r="L386" t="s">
        <v>2380</v>
      </c>
    </row>
    <row r="387" spans="1:12" x14ac:dyDescent="0.35">
      <c r="A387" t="s">
        <v>1986</v>
      </c>
      <c r="B387" t="str">
        <f t="shared" ref="B387:B450" si="18">_xlfn.IFS(C387&lt;18.5, "Underweight", C387&lt;=24.9, "Normal Weight", C387&lt;=29.9, "Overweight", C387&gt;=30, "Obesity")</f>
        <v>Obesity</v>
      </c>
      <c r="C387">
        <v>30.86</v>
      </c>
      <c r="D387" t="str">
        <f t="shared" ref="D387:D450" si="19">_xlfn.IFS(E387&lt;5.7, "Normal", E387&lt;=6.4, "Prediabetes", E387&gt;=6.5, "Diabetes")</f>
        <v>Prediabetes</v>
      </c>
      <c r="E387">
        <v>6.18</v>
      </c>
      <c r="F387" t="s">
        <v>2380</v>
      </c>
      <c r="G387" t="s">
        <v>2382</v>
      </c>
      <c r="H387" t="s">
        <v>2380</v>
      </c>
      <c r="J387">
        <v>2</v>
      </c>
      <c r="K387" t="str">
        <f t="shared" si="17"/>
        <v>yes</v>
      </c>
      <c r="L387" t="s">
        <v>2382</v>
      </c>
    </row>
    <row r="388" spans="1:12" x14ac:dyDescent="0.35">
      <c r="A388" t="s">
        <v>1985</v>
      </c>
      <c r="B388" t="str">
        <f t="shared" si="18"/>
        <v>Obesity</v>
      </c>
      <c r="C388">
        <v>31.96</v>
      </c>
      <c r="D388" t="str">
        <f t="shared" si="19"/>
        <v>Diabetes</v>
      </c>
      <c r="E388">
        <v>8.86</v>
      </c>
      <c r="F388" t="s">
        <v>2380</v>
      </c>
      <c r="G388" t="s">
        <v>2380</v>
      </c>
      <c r="H388" t="s">
        <v>2380</v>
      </c>
      <c r="J388" t="s">
        <v>2381</v>
      </c>
      <c r="K388" t="str">
        <f t="shared" ref="K388:K451" si="20">IF(OR(L388="?", ISBLANK(L388)), "No", L388)</f>
        <v>yes</v>
      </c>
      <c r="L388" t="s">
        <v>2382</v>
      </c>
    </row>
    <row r="389" spans="1:12" x14ac:dyDescent="0.35">
      <c r="A389" t="s">
        <v>1984</v>
      </c>
      <c r="B389" t="str">
        <f t="shared" si="18"/>
        <v>Normal Weight</v>
      </c>
      <c r="C389">
        <v>23.76</v>
      </c>
      <c r="D389" t="str">
        <f t="shared" si="19"/>
        <v>Diabetes</v>
      </c>
      <c r="E389">
        <v>10.96</v>
      </c>
      <c r="F389" t="s">
        <v>2380</v>
      </c>
      <c r="G389" t="s">
        <v>2380</v>
      </c>
      <c r="H389" t="s">
        <v>2380</v>
      </c>
      <c r="J389">
        <v>3</v>
      </c>
      <c r="K389" t="str">
        <f t="shared" si="20"/>
        <v>yes</v>
      </c>
      <c r="L389" t="s">
        <v>2382</v>
      </c>
    </row>
    <row r="390" spans="1:12" x14ac:dyDescent="0.35">
      <c r="A390" t="s">
        <v>1983</v>
      </c>
      <c r="B390" t="str">
        <f t="shared" si="18"/>
        <v>Normal Weight</v>
      </c>
      <c r="C390">
        <v>19.38</v>
      </c>
      <c r="D390" t="str">
        <f t="shared" si="19"/>
        <v>Prediabetes</v>
      </c>
      <c r="E390">
        <v>6.28</v>
      </c>
      <c r="F390" t="s">
        <v>2380</v>
      </c>
      <c r="G390" t="s">
        <v>2380</v>
      </c>
      <c r="H390" t="s">
        <v>2380</v>
      </c>
      <c r="J390" t="s">
        <v>2381</v>
      </c>
      <c r="K390" t="str">
        <f t="shared" si="20"/>
        <v>yes</v>
      </c>
      <c r="L390" t="s">
        <v>2382</v>
      </c>
    </row>
    <row r="391" spans="1:12" x14ac:dyDescent="0.35">
      <c r="A391" t="s">
        <v>1982</v>
      </c>
      <c r="B391" t="str">
        <f t="shared" si="18"/>
        <v>Underweight</v>
      </c>
      <c r="C391">
        <v>16.21</v>
      </c>
      <c r="D391" t="str">
        <f t="shared" si="19"/>
        <v>Prediabetes</v>
      </c>
      <c r="E391">
        <v>6.29</v>
      </c>
      <c r="F391" t="s">
        <v>2382</v>
      </c>
      <c r="G391" t="s">
        <v>2380</v>
      </c>
      <c r="H391" t="s">
        <v>2380</v>
      </c>
      <c r="J391">
        <v>1</v>
      </c>
      <c r="K391" t="str">
        <f t="shared" si="20"/>
        <v>yes</v>
      </c>
      <c r="L391" t="s">
        <v>2382</v>
      </c>
    </row>
    <row r="392" spans="1:12" x14ac:dyDescent="0.35">
      <c r="A392" t="s">
        <v>1981</v>
      </c>
      <c r="B392" t="str">
        <f t="shared" si="18"/>
        <v>Obesity</v>
      </c>
      <c r="C392">
        <v>32.54</v>
      </c>
      <c r="D392" t="str">
        <f t="shared" si="19"/>
        <v>Normal</v>
      </c>
      <c r="E392">
        <v>4.0199999999999996</v>
      </c>
      <c r="F392" t="s">
        <v>2380</v>
      </c>
      <c r="G392" t="s">
        <v>2382</v>
      </c>
      <c r="H392" t="s">
        <v>2380</v>
      </c>
      <c r="J392">
        <v>1</v>
      </c>
      <c r="K392" t="str">
        <f t="shared" si="20"/>
        <v>yes</v>
      </c>
      <c r="L392" t="s">
        <v>2382</v>
      </c>
    </row>
    <row r="393" spans="1:12" x14ac:dyDescent="0.35">
      <c r="A393" t="s">
        <v>1980</v>
      </c>
      <c r="B393" t="str">
        <f t="shared" si="18"/>
        <v>Obesity</v>
      </c>
      <c r="C393">
        <v>36.765000000000001</v>
      </c>
      <c r="D393" t="str">
        <f t="shared" si="19"/>
        <v>Diabetes</v>
      </c>
      <c r="E393">
        <v>11.95</v>
      </c>
      <c r="F393" t="s">
        <v>2382</v>
      </c>
      <c r="G393" t="s">
        <v>2380</v>
      </c>
      <c r="H393" t="s">
        <v>2380</v>
      </c>
      <c r="J393">
        <v>2</v>
      </c>
      <c r="K393" t="str">
        <f t="shared" si="20"/>
        <v>No</v>
      </c>
      <c r="L393" t="s">
        <v>2380</v>
      </c>
    </row>
    <row r="394" spans="1:12" x14ac:dyDescent="0.35">
      <c r="A394" t="s">
        <v>1979</v>
      </c>
      <c r="B394" t="str">
        <f t="shared" si="18"/>
        <v>Obesity</v>
      </c>
      <c r="C394">
        <v>35.909999999999997</v>
      </c>
      <c r="D394" t="str">
        <f t="shared" si="19"/>
        <v>Diabetes</v>
      </c>
      <c r="E394">
        <v>8.7100000000000009</v>
      </c>
      <c r="F394" t="s">
        <v>2380</v>
      </c>
      <c r="G394" t="s">
        <v>2380</v>
      </c>
      <c r="H394" t="s">
        <v>2380</v>
      </c>
      <c r="J394" t="s">
        <v>2381</v>
      </c>
      <c r="K394" t="str">
        <f t="shared" si="20"/>
        <v>No</v>
      </c>
      <c r="L394" t="s">
        <v>2380</v>
      </c>
    </row>
    <row r="395" spans="1:12" x14ac:dyDescent="0.35">
      <c r="A395" t="s">
        <v>1978</v>
      </c>
      <c r="B395" t="str">
        <f t="shared" si="18"/>
        <v>Obesity</v>
      </c>
      <c r="C395">
        <v>32.06</v>
      </c>
      <c r="D395" t="str">
        <f t="shared" si="19"/>
        <v>Normal</v>
      </c>
      <c r="E395">
        <v>4.67</v>
      </c>
      <c r="F395" t="s">
        <v>2380</v>
      </c>
      <c r="G395" t="s">
        <v>2382</v>
      </c>
      <c r="H395" t="s">
        <v>2380</v>
      </c>
      <c r="J395">
        <v>1</v>
      </c>
      <c r="K395" t="str">
        <f t="shared" si="20"/>
        <v>yes</v>
      </c>
      <c r="L395" t="s">
        <v>2382</v>
      </c>
    </row>
    <row r="396" spans="1:12" x14ac:dyDescent="0.35">
      <c r="A396" t="s">
        <v>1977</v>
      </c>
      <c r="B396" t="str">
        <f t="shared" si="18"/>
        <v>Normal Weight</v>
      </c>
      <c r="C396">
        <v>24.1</v>
      </c>
      <c r="D396" t="str">
        <f t="shared" si="19"/>
        <v>Diabetes</v>
      </c>
      <c r="E396">
        <v>11.14</v>
      </c>
      <c r="F396" t="s">
        <v>2382</v>
      </c>
      <c r="G396" t="s">
        <v>2380</v>
      </c>
      <c r="H396" t="s">
        <v>2380</v>
      </c>
      <c r="J396">
        <v>1</v>
      </c>
      <c r="K396" t="str">
        <f t="shared" si="20"/>
        <v>No</v>
      </c>
      <c r="L396" t="s">
        <v>2380</v>
      </c>
    </row>
    <row r="397" spans="1:12" x14ac:dyDescent="0.35">
      <c r="A397" t="s">
        <v>1976</v>
      </c>
      <c r="B397" t="str">
        <f t="shared" si="18"/>
        <v>Overweight</v>
      </c>
      <c r="C397">
        <v>27.1</v>
      </c>
      <c r="D397" t="str">
        <f t="shared" si="19"/>
        <v>Diabetes</v>
      </c>
      <c r="E397">
        <v>9.0500000000000007</v>
      </c>
      <c r="F397" t="s">
        <v>2380</v>
      </c>
      <c r="G397" t="s">
        <v>2380</v>
      </c>
      <c r="H397" t="s">
        <v>2380</v>
      </c>
      <c r="J397">
        <v>2</v>
      </c>
      <c r="K397" t="str">
        <f t="shared" si="20"/>
        <v>No</v>
      </c>
      <c r="L397" t="s">
        <v>2380</v>
      </c>
    </row>
    <row r="398" spans="1:12" x14ac:dyDescent="0.35">
      <c r="A398" t="s">
        <v>1975</v>
      </c>
      <c r="B398" t="str">
        <f t="shared" si="18"/>
        <v>Normal Weight</v>
      </c>
      <c r="C398">
        <v>24.42</v>
      </c>
      <c r="D398" t="str">
        <f t="shared" si="19"/>
        <v>Diabetes</v>
      </c>
      <c r="E398">
        <v>11.31</v>
      </c>
      <c r="F398" t="s">
        <v>2380</v>
      </c>
      <c r="G398" t="s">
        <v>2380</v>
      </c>
      <c r="H398" t="s">
        <v>2380</v>
      </c>
      <c r="J398" t="s">
        <v>2381</v>
      </c>
      <c r="K398" t="str">
        <f t="shared" si="20"/>
        <v>yes</v>
      </c>
      <c r="L398" t="s">
        <v>2382</v>
      </c>
    </row>
    <row r="399" spans="1:12" x14ac:dyDescent="0.35">
      <c r="A399" t="s">
        <v>1974</v>
      </c>
      <c r="B399" t="str">
        <f t="shared" si="18"/>
        <v>Overweight</v>
      </c>
      <c r="C399">
        <v>26.695</v>
      </c>
      <c r="D399" t="str">
        <f t="shared" si="19"/>
        <v>Normal</v>
      </c>
      <c r="E399">
        <v>4.68</v>
      </c>
      <c r="F399" t="s">
        <v>2382</v>
      </c>
      <c r="G399" t="s">
        <v>2380</v>
      </c>
      <c r="H399" t="s">
        <v>2380</v>
      </c>
      <c r="J399">
        <v>2</v>
      </c>
      <c r="K399" t="str">
        <f t="shared" si="20"/>
        <v>yes</v>
      </c>
      <c r="L399" t="s">
        <v>2382</v>
      </c>
    </row>
    <row r="400" spans="1:12" x14ac:dyDescent="0.35">
      <c r="A400" t="s">
        <v>1973</v>
      </c>
      <c r="B400" t="str">
        <f t="shared" si="18"/>
        <v>Overweight</v>
      </c>
      <c r="C400">
        <v>27.79</v>
      </c>
      <c r="D400" t="str">
        <f t="shared" si="19"/>
        <v>Prediabetes</v>
      </c>
      <c r="E400">
        <v>6.05</v>
      </c>
      <c r="F400" t="s">
        <v>2382</v>
      </c>
      <c r="G400" t="s">
        <v>2382</v>
      </c>
      <c r="H400" t="s">
        <v>2380</v>
      </c>
      <c r="J400">
        <v>1</v>
      </c>
      <c r="K400" t="str">
        <f t="shared" si="20"/>
        <v>yes</v>
      </c>
      <c r="L400" t="s">
        <v>2382</v>
      </c>
    </row>
    <row r="401" spans="1:12" x14ac:dyDescent="0.35">
      <c r="A401" t="s">
        <v>1972</v>
      </c>
      <c r="B401" t="str">
        <f t="shared" si="18"/>
        <v>Obesity</v>
      </c>
      <c r="C401">
        <v>32.68</v>
      </c>
      <c r="D401" t="str">
        <f t="shared" si="19"/>
        <v>Normal</v>
      </c>
      <c r="E401">
        <v>4.68</v>
      </c>
      <c r="F401" t="s">
        <v>2382</v>
      </c>
      <c r="G401" t="s">
        <v>2380</v>
      </c>
      <c r="H401" t="s">
        <v>2380</v>
      </c>
      <c r="J401" t="s">
        <v>2381</v>
      </c>
      <c r="K401" t="str">
        <f t="shared" si="20"/>
        <v>No</v>
      </c>
      <c r="L401" t="s">
        <v>2380</v>
      </c>
    </row>
    <row r="402" spans="1:12" x14ac:dyDescent="0.35">
      <c r="A402" t="s">
        <v>1971</v>
      </c>
      <c r="B402" t="str">
        <f t="shared" si="18"/>
        <v>Overweight</v>
      </c>
      <c r="C402">
        <v>26.4</v>
      </c>
      <c r="D402" t="str">
        <f t="shared" si="19"/>
        <v>Diabetes</v>
      </c>
      <c r="E402">
        <v>9.5</v>
      </c>
      <c r="F402" t="s">
        <v>2382</v>
      </c>
      <c r="G402" t="s">
        <v>2380</v>
      </c>
      <c r="H402" t="s">
        <v>2380</v>
      </c>
      <c r="J402">
        <v>2</v>
      </c>
      <c r="K402" t="str">
        <f t="shared" si="20"/>
        <v>No</v>
      </c>
      <c r="L402" t="s">
        <v>2380</v>
      </c>
    </row>
    <row r="403" spans="1:12" x14ac:dyDescent="0.35">
      <c r="A403" t="s">
        <v>1970</v>
      </c>
      <c r="B403" t="str">
        <f t="shared" si="18"/>
        <v>Normal Weight</v>
      </c>
      <c r="C403">
        <v>23.655000000000001</v>
      </c>
      <c r="D403" t="str">
        <f t="shared" si="19"/>
        <v>Diabetes</v>
      </c>
      <c r="E403">
        <v>10.84</v>
      </c>
      <c r="F403" t="s">
        <v>2382</v>
      </c>
      <c r="G403" t="s">
        <v>2380</v>
      </c>
      <c r="H403" t="s">
        <v>2383</v>
      </c>
      <c r="J403">
        <v>1</v>
      </c>
      <c r="K403" t="str">
        <f t="shared" si="20"/>
        <v>yes</v>
      </c>
      <c r="L403" t="s">
        <v>2382</v>
      </c>
    </row>
    <row r="404" spans="1:12" x14ac:dyDescent="0.35">
      <c r="A404" t="s">
        <v>1969</v>
      </c>
      <c r="B404" t="str">
        <f t="shared" si="18"/>
        <v>Overweight</v>
      </c>
      <c r="C404">
        <v>27.36</v>
      </c>
      <c r="D404" t="str">
        <f t="shared" si="19"/>
        <v>Prediabetes</v>
      </c>
      <c r="E404">
        <v>5.88</v>
      </c>
      <c r="F404" t="s">
        <v>2380</v>
      </c>
      <c r="G404" t="s">
        <v>2380</v>
      </c>
      <c r="H404" t="s">
        <v>2380</v>
      </c>
      <c r="J404">
        <v>2</v>
      </c>
      <c r="K404" t="str">
        <f t="shared" si="20"/>
        <v>No</v>
      </c>
      <c r="L404" t="s">
        <v>2380</v>
      </c>
    </row>
    <row r="405" spans="1:12" x14ac:dyDescent="0.35">
      <c r="A405" t="s">
        <v>1968</v>
      </c>
      <c r="B405" t="str">
        <f t="shared" si="18"/>
        <v>Overweight</v>
      </c>
      <c r="C405">
        <v>27.82</v>
      </c>
      <c r="D405" t="str">
        <f t="shared" si="19"/>
        <v>Normal</v>
      </c>
      <c r="E405">
        <v>5.24</v>
      </c>
      <c r="F405" t="s">
        <v>2382</v>
      </c>
      <c r="G405" t="s">
        <v>2380</v>
      </c>
      <c r="H405" t="s">
        <v>2380</v>
      </c>
      <c r="J405" t="s">
        <v>2381</v>
      </c>
      <c r="K405" t="str">
        <f t="shared" si="20"/>
        <v>yes</v>
      </c>
      <c r="L405" t="s">
        <v>2382</v>
      </c>
    </row>
    <row r="406" spans="1:12" x14ac:dyDescent="0.35">
      <c r="A406" t="s">
        <v>1967</v>
      </c>
      <c r="B406" t="str">
        <f t="shared" si="18"/>
        <v>Overweight</v>
      </c>
      <c r="C406">
        <v>25.46</v>
      </c>
      <c r="D406" t="str">
        <f t="shared" si="19"/>
        <v>Diabetes</v>
      </c>
      <c r="E406">
        <v>11.75</v>
      </c>
      <c r="F406" t="s">
        <v>2380</v>
      </c>
      <c r="G406" t="s">
        <v>2380</v>
      </c>
      <c r="H406" t="s">
        <v>2380</v>
      </c>
      <c r="J406" t="s">
        <v>2381</v>
      </c>
      <c r="K406" t="str">
        <f t="shared" si="20"/>
        <v>No</v>
      </c>
      <c r="L406" t="s">
        <v>2380</v>
      </c>
    </row>
    <row r="407" spans="1:12" x14ac:dyDescent="0.35">
      <c r="A407" t="s">
        <v>1966</v>
      </c>
      <c r="B407" t="str">
        <f t="shared" si="18"/>
        <v>Overweight</v>
      </c>
      <c r="C407">
        <v>25.1</v>
      </c>
      <c r="D407" t="str">
        <f t="shared" si="19"/>
        <v>Diabetes</v>
      </c>
      <c r="E407">
        <v>6.97</v>
      </c>
      <c r="F407" t="s">
        <v>2380</v>
      </c>
      <c r="G407" t="s">
        <v>2380</v>
      </c>
      <c r="H407" t="s">
        <v>2380</v>
      </c>
      <c r="J407" t="s">
        <v>2381</v>
      </c>
      <c r="K407" t="str">
        <f t="shared" si="20"/>
        <v>yes</v>
      </c>
      <c r="L407" t="s">
        <v>2382</v>
      </c>
    </row>
    <row r="408" spans="1:12" x14ac:dyDescent="0.35">
      <c r="A408" t="s">
        <v>1965</v>
      </c>
      <c r="B408" t="str">
        <f t="shared" si="18"/>
        <v>Obesity</v>
      </c>
      <c r="C408">
        <v>32.11</v>
      </c>
      <c r="D408" t="str">
        <f t="shared" si="19"/>
        <v>Normal</v>
      </c>
      <c r="E408">
        <v>4.76</v>
      </c>
      <c r="F408" t="s">
        <v>2380</v>
      </c>
      <c r="G408" t="s">
        <v>2380</v>
      </c>
      <c r="H408" t="s">
        <v>2380</v>
      </c>
      <c r="J408">
        <v>2</v>
      </c>
      <c r="K408" t="str">
        <f t="shared" si="20"/>
        <v>No</v>
      </c>
      <c r="L408" t="s">
        <v>2380</v>
      </c>
    </row>
    <row r="409" spans="1:12" x14ac:dyDescent="0.35">
      <c r="A409" t="s">
        <v>1964</v>
      </c>
      <c r="B409" t="str">
        <f t="shared" si="18"/>
        <v>Overweight</v>
      </c>
      <c r="C409">
        <v>29.8</v>
      </c>
      <c r="D409" t="str">
        <f t="shared" si="19"/>
        <v>Diabetes</v>
      </c>
      <c r="E409">
        <v>8.24</v>
      </c>
      <c r="F409" t="s">
        <v>2382</v>
      </c>
      <c r="G409" t="s">
        <v>2380</v>
      </c>
      <c r="H409" t="s">
        <v>2380</v>
      </c>
      <c r="J409">
        <v>1</v>
      </c>
      <c r="K409" t="str">
        <f t="shared" si="20"/>
        <v>yes</v>
      </c>
      <c r="L409" t="s">
        <v>2382</v>
      </c>
    </row>
    <row r="410" spans="1:12" x14ac:dyDescent="0.35">
      <c r="A410" t="s">
        <v>1963</v>
      </c>
      <c r="B410" t="str">
        <f t="shared" si="18"/>
        <v>Normal Weight</v>
      </c>
      <c r="C410">
        <v>24.01</v>
      </c>
      <c r="D410" t="str">
        <f t="shared" si="19"/>
        <v>Normal</v>
      </c>
      <c r="E410">
        <v>4.76</v>
      </c>
      <c r="F410" t="s">
        <v>2380</v>
      </c>
      <c r="G410" t="s">
        <v>2380</v>
      </c>
      <c r="H410" t="s">
        <v>2380</v>
      </c>
      <c r="J410">
        <v>1</v>
      </c>
      <c r="K410" t="str">
        <f t="shared" si="20"/>
        <v>yes</v>
      </c>
      <c r="L410" t="s">
        <v>2382</v>
      </c>
    </row>
    <row r="411" spans="1:12" x14ac:dyDescent="0.35">
      <c r="A411" t="s">
        <v>1962</v>
      </c>
      <c r="B411" t="str">
        <f t="shared" si="18"/>
        <v>Normal Weight</v>
      </c>
      <c r="C411">
        <v>23.21</v>
      </c>
      <c r="D411" t="str">
        <f t="shared" si="19"/>
        <v>Prediabetes</v>
      </c>
      <c r="E411">
        <v>6.03</v>
      </c>
      <c r="F411" t="s">
        <v>2380</v>
      </c>
      <c r="G411" t="s">
        <v>2380</v>
      </c>
      <c r="H411" t="s">
        <v>2380</v>
      </c>
      <c r="J411">
        <v>1</v>
      </c>
      <c r="K411" t="str">
        <f t="shared" si="20"/>
        <v>No</v>
      </c>
      <c r="L411" t="s">
        <v>2380</v>
      </c>
    </row>
    <row r="412" spans="1:12" x14ac:dyDescent="0.35">
      <c r="A412" t="s">
        <v>1961</v>
      </c>
      <c r="B412" t="str">
        <f t="shared" si="18"/>
        <v>Normal Weight</v>
      </c>
      <c r="C412">
        <v>21.2</v>
      </c>
      <c r="D412" t="str">
        <f t="shared" si="19"/>
        <v>Normal</v>
      </c>
      <c r="E412">
        <v>4.07</v>
      </c>
      <c r="F412" t="s">
        <v>2382</v>
      </c>
      <c r="G412" t="s">
        <v>2380</v>
      </c>
      <c r="H412" t="s">
        <v>2380</v>
      </c>
      <c r="J412">
        <v>1</v>
      </c>
      <c r="K412" t="str">
        <f t="shared" si="20"/>
        <v>yes</v>
      </c>
      <c r="L412" t="s">
        <v>2382</v>
      </c>
    </row>
    <row r="413" spans="1:12" x14ac:dyDescent="0.35">
      <c r="A413" t="s">
        <v>1960</v>
      </c>
      <c r="B413" t="str">
        <f t="shared" si="18"/>
        <v>Overweight</v>
      </c>
      <c r="C413">
        <v>28.215</v>
      </c>
      <c r="D413" t="str">
        <f t="shared" si="19"/>
        <v>Diabetes</v>
      </c>
      <c r="E413">
        <v>8.26</v>
      </c>
      <c r="F413" t="s">
        <v>2382</v>
      </c>
      <c r="G413" t="s">
        <v>2380</v>
      </c>
      <c r="H413" t="s">
        <v>2380</v>
      </c>
      <c r="J413">
        <v>1</v>
      </c>
      <c r="K413" t="str">
        <f t="shared" si="20"/>
        <v>yes</v>
      </c>
      <c r="L413" t="s">
        <v>2382</v>
      </c>
    </row>
    <row r="414" spans="1:12" x14ac:dyDescent="0.35">
      <c r="A414" t="s">
        <v>1959</v>
      </c>
      <c r="B414" t="str">
        <f t="shared" si="18"/>
        <v>Obesity</v>
      </c>
      <c r="C414">
        <v>38.094999999999999</v>
      </c>
      <c r="D414" t="str">
        <f t="shared" si="19"/>
        <v>Normal</v>
      </c>
      <c r="E414">
        <v>4.76</v>
      </c>
      <c r="F414" t="s">
        <v>2380</v>
      </c>
      <c r="G414" t="s">
        <v>2380</v>
      </c>
      <c r="H414" t="s">
        <v>2380</v>
      </c>
      <c r="J414">
        <v>1</v>
      </c>
      <c r="K414" t="str">
        <f t="shared" si="20"/>
        <v>No</v>
      </c>
      <c r="L414" t="s">
        <v>2380</v>
      </c>
    </row>
    <row r="415" spans="1:12" x14ac:dyDescent="0.35">
      <c r="A415" t="s">
        <v>1958</v>
      </c>
      <c r="B415" t="str">
        <f t="shared" si="18"/>
        <v>Normal Weight</v>
      </c>
      <c r="C415">
        <v>22.61</v>
      </c>
      <c r="D415" t="str">
        <f t="shared" si="19"/>
        <v>Prediabetes</v>
      </c>
      <c r="E415">
        <v>6.13</v>
      </c>
      <c r="F415" t="s">
        <v>2382</v>
      </c>
      <c r="G415" t="s">
        <v>2380</v>
      </c>
      <c r="H415" t="s">
        <v>2383</v>
      </c>
      <c r="J415">
        <v>1</v>
      </c>
      <c r="K415" t="str">
        <f t="shared" si="20"/>
        <v>yes</v>
      </c>
      <c r="L415" t="s">
        <v>2382</v>
      </c>
    </row>
    <row r="416" spans="1:12" x14ac:dyDescent="0.35">
      <c r="A416" t="s">
        <v>1957</v>
      </c>
      <c r="B416" t="str">
        <f t="shared" si="18"/>
        <v>Normal Weight</v>
      </c>
      <c r="C416">
        <v>24.32</v>
      </c>
      <c r="D416" t="str">
        <f t="shared" si="19"/>
        <v>Diabetes</v>
      </c>
      <c r="E416">
        <v>10.47</v>
      </c>
      <c r="F416" t="s">
        <v>2382</v>
      </c>
      <c r="G416" t="s">
        <v>2380</v>
      </c>
      <c r="H416" t="s">
        <v>2380</v>
      </c>
      <c r="J416">
        <v>2</v>
      </c>
      <c r="K416" t="str">
        <f t="shared" si="20"/>
        <v>yes</v>
      </c>
      <c r="L416" t="s">
        <v>2382</v>
      </c>
    </row>
    <row r="417" spans="1:12" x14ac:dyDescent="0.35">
      <c r="A417" t="s">
        <v>1956</v>
      </c>
      <c r="B417" t="str">
        <f t="shared" si="18"/>
        <v>Normal Weight</v>
      </c>
      <c r="C417">
        <v>20.96</v>
      </c>
      <c r="D417" t="str">
        <f t="shared" si="19"/>
        <v>Normal</v>
      </c>
      <c r="E417">
        <v>4.04</v>
      </c>
      <c r="F417" t="s">
        <v>2382</v>
      </c>
      <c r="G417" t="s">
        <v>2380</v>
      </c>
      <c r="H417" t="s">
        <v>2380</v>
      </c>
      <c r="J417">
        <v>1</v>
      </c>
      <c r="K417" t="str">
        <f t="shared" si="20"/>
        <v>yes</v>
      </c>
      <c r="L417" t="s">
        <v>2382</v>
      </c>
    </row>
    <row r="418" spans="1:12" x14ac:dyDescent="0.35">
      <c r="A418" t="s">
        <v>1955</v>
      </c>
      <c r="B418" t="str">
        <f t="shared" si="18"/>
        <v>Normal Weight</v>
      </c>
      <c r="C418">
        <v>19.68</v>
      </c>
      <c r="D418" t="str">
        <f t="shared" si="19"/>
        <v>Prediabetes</v>
      </c>
      <c r="E418">
        <v>5.74</v>
      </c>
      <c r="F418" t="s">
        <v>2380</v>
      </c>
      <c r="G418" t="s">
        <v>2380</v>
      </c>
      <c r="H418" t="s">
        <v>2380</v>
      </c>
      <c r="J418" t="s">
        <v>2381</v>
      </c>
      <c r="K418" t="str">
        <f t="shared" si="20"/>
        <v>yes</v>
      </c>
      <c r="L418" t="s">
        <v>2382</v>
      </c>
    </row>
    <row r="419" spans="1:12" x14ac:dyDescent="0.35">
      <c r="A419" t="s">
        <v>1954</v>
      </c>
      <c r="B419" t="str">
        <f t="shared" si="18"/>
        <v>Underweight</v>
      </c>
      <c r="C419">
        <v>18.100000000000001</v>
      </c>
      <c r="D419" t="str">
        <f t="shared" si="19"/>
        <v>Prediabetes</v>
      </c>
      <c r="E419">
        <v>6.33</v>
      </c>
      <c r="F419" t="s">
        <v>2380</v>
      </c>
      <c r="G419" t="s">
        <v>2380</v>
      </c>
      <c r="H419" t="s">
        <v>2380</v>
      </c>
      <c r="J419">
        <v>1</v>
      </c>
      <c r="K419" t="str">
        <f t="shared" si="20"/>
        <v>yes</v>
      </c>
      <c r="L419" t="s">
        <v>2382</v>
      </c>
    </row>
    <row r="420" spans="1:12" x14ac:dyDescent="0.35">
      <c r="A420" t="s">
        <v>1953</v>
      </c>
      <c r="B420" t="str">
        <f t="shared" si="18"/>
        <v>Overweight</v>
      </c>
      <c r="C420">
        <v>29.64</v>
      </c>
      <c r="D420" t="str">
        <f t="shared" si="19"/>
        <v>Normal</v>
      </c>
      <c r="E420">
        <v>4.28</v>
      </c>
      <c r="F420" t="s">
        <v>2382</v>
      </c>
      <c r="G420" t="s">
        <v>2380</v>
      </c>
      <c r="H420" t="s">
        <v>2380</v>
      </c>
      <c r="J420" t="s">
        <v>2381</v>
      </c>
      <c r="K420" t="str">
        <f t="shared" si="20"/>
        <v>No</v>
      </c>
      <c r="L420" t="s">
        <v>2380</v>
      </c>
    </row>
    <row r="421" spans="1:12" x14ac:dyDescent="0.35">
      <c r="A421" t="s">
        <v>1952</v>
      </c>
      <c r="B421" t="str">
        <f t="shared" si="18"/>
        <v>Overweight</v>
      </c>
      <c r="C421">
        <v>25.3</v>
      </c>
      <c r="D421" t="str">
        <f t="shared" si="19"/>
        <v>Diabetes</v>
      </c>
      <c r="E421">
        <v>9.4700000000000006</v>
      </c>
      <c r="F421" t="s">
        <v>2382</v>
      </c>
      <c r="G421" t="s">
        <v>2380</v>
      </c>
      <c r="H421" t="s">
        <v>2380</v>
      </c>
      <c r="J421">
        <v>2</v>
      </c>
      <c r="K421" t="str">
        <f t="shared" si="20"/>
        <v>yes</v>
      </c>
      <c r="L421" t="s">
        <v>2382</v>
      </c>
    </row>
    <row r="422" spans="1:12" x14ac:dyDescent="0.35">
      <c r="A422" t="s">
        <v>1951</v>
      </c>
      <c r="B422" t="str">
        <f t="shared" si="18"/>
        <v>Overweight</v>
      </c>
      <c r="C422">
        <v>27.6</v>
      </c>
      <c r="D422" t="str">
        <f t="shared" si="19"/>
        <v>Normal</v>
      </c>
      <c r="E422">
        <v>4.8499999999999996</v>
      </c>
      <c r="F422" t="s">
        <v>2382</v>
      </c>
      <c r="G422" t="s">
        <v>2380</v>
      </c>
      <c r="H422" t="s">
        <v>2380</v>
      </c>
      <c r="J422" t="s">
        <v>2381</v>
      </c>
      <c r="K422" t="str">
        <f t="shared" si="20"/>
        <v>No</v>
      </c>
      <c r="L422" t="s">
        <v>2380</v>
      </c>
    </row>
    <row r="423" spans="1:12" x14ac:dyDescent="0.35">
      <c r="A423" t="s">
        <v>1950</v>
      </c>
      <c r="B423" t="str">
        <f t="shared" si="18"/>
        <v>Overweight</v>
      </c>
      <c r="C423">
        <v>27.645</v>
      </c>
      <c r="D423" t="str">
        <f t="shared" si="19"/>
        <v>Diabetes</v>
      </c>
      <c r="E423">
        <v>11.03</v>
      </c>
      <c r="F423" t="s">
        <v>2382</v>
      </c>
      <c r="G423" t="s">
        <v>2380</v>
      </c>
      <c r="H423" t="s">
        <v>2380</v>
      </c>
      <c r="J423">
        <v>1</v>
      </c>
      <c r="K423" t="str">
        <f t="shared" si="20"/>
        <v>yes</v>
      </c>
      <c r="L423" t="s">
        <v>2382</v>
      </c>
    </row>
    <row r="424" spans="1:12" x14ac:dyDescent="0.35">
      <c r="A424" t="s">
        <v>1949</v>
      </c>
      <c r="B424" t="str">
        <f t="shared" si="18"/>
        <v>Overweight</v>
      </c>
      <c r="C424">
        <v>27.6</v>
      </c>
      <c r="D424" t="str">
        <f t="shared" si="19"/>
        <v>Normal</v>
      </c>
      <c r="E424">
        <v>5.22</v>
      </c>
      <c r="F424" t="s">
        <v>2380</v>
      </c>
      <c r="G424" t="s">
        <v>2380</v>
      </c>
      <c r="H424" t="s">
        <v>2380</v>
      </c>
      <c r="J424">
        <v>2</v>
      </c>
      <c r="K424" t="str">
        <f t="shared" si="20"/>
        <v>yes</v>
      </c>
      <c r="L424" t="s">
        <v>2382</v>
      </c>
    </row>
    <row r="425" spans="1:12" x14ac:dyDescent="0.35">
      <c r="A425" t="s">
        <v>1948</v>
      </c>
      <c r="B425" t="str">
        <f t="shared" si="18"/>
        <v>Overweight</v>
      </c>
      <c r="C425">
        <v>25.08</v>
      </c>
      <c r="D425" t="str">
        <f t="shared" si="19"/>
        <v>Diabetes</v>
      </c>
      <c r="E425">
        <v>9.52</v>
      </c>
      <c r="F425" t="s">
        <v>2382</v>
      </c>
      <c r="G425" t="s">
        <v>2380</v>
      </c>
      <c r="H425" t="s">
        <v>2380</v>
      </c>
      <c r="J425">
        <v>2</v>
      </c>
      <c r="K425" t="str">
        <f t="shared" si="20"/>
        <v>No</v>
      </c>
      <c r="L425" t="s">
        <v>2380</v>
      </c>
    </row>
    <row r="426" spans="1:12" x14ac:dyDescent="0.35">
      <c r="A426" t="s">
        <v>1947</v>
      </c>
      <c r="B426" t="str">
        <f t="shared" si="18"/>
        <v>Obesity</v>
      </c>
      <c r="C426">
        <v>30.02</v>
      </c>
      <c r="D426" t="str">
        <f t="shared" si="19"/>
        <v>Diabetes</v>
      </c>
      <c r="E426">
        <v>11.09</v>
      </c>
      <c r="F426" t="s">
        <v>2380</v>
      </c>
      <c r="G426" t="s">
        <v>2380</v>
      </c>
      <c r="H426" t="s">
        <v>2380</v>
      </c>
      <c r="J426" t="s">
        <v>2381</v>
      </c>
      <c r="K426" t="str">
        <f t="shared" si="20"/>
        <v>No</v>
      </c>
      <c r="L426" t="s">
        <v>2380</v>
      </c>
    </row>
    <row r="427" spans="1:12" x14ac:dyDescent="0.35">
      <c r="A427" t="s">
        <v>1946</v>
      </c>
      <c r="B427" t="str">
        <f t="shared" si="18"/>
        <v>Overweight</v>
      </c>
      <c r="C427">
        <v>27.36</v>
      </c>
      <c r="D427" t="str">
        <f t="shared" si="19"/>
        <v>Diabetes</v>
      </c>
      <c r="E427">
        <v>9.4499999999999993</v>
      </c>
      <c r="F427" t="s">
        <v>2382</v>
      </c>
      <c r="G427" t="s">
        <v>2380</v>
      </c>
      <c r="H427" t="s">
        <v>2380</v>
      </c>
      <c r="J427">
        <v>2</v>
      </c>
      <c r="K427" t="str">
        <f t="shared" si="20"/>
        <v>yes</v>
      </c>
      <c r="L427" t="s">
        <v>2382</v>
      </c>
    </row>
    <row r="428" spans="1:12" x14ac:dyDescent="0.35">
      <c r="A428" t="s">
        <v>1945</v>
      </c>
      <c r="B428" t="str">
        <f t="shared" si="18"/>
        <v>Normal Weight</v>
      </c>
      <c r="C428">
        <v>22.2</v>
      </c>
      <c r="D428" t="str">
        <f t="shared" si="19"/>
        <v>Normal</v>
      </c>
      <c r="E428">
        <v>5.51</v>
      </c>
      <c r="F428" t="s">
        <v>2380</v>
      </c>
      <c r="G428" t="s">
        <v>2380</v>
      </c>
      <c r="H428" t="s">
        <v>2380</v>
      </c>
      <c r="J428" t="s">
        <v>2381</v>
      </c>
      <c r="K428" t="str">
        <f t="shared" si="20"/>
        <v>yes</v>
      </c>
      <c r="L428" t="s">
        <v>2382</v>
      </c>
    </row>
    <row r="429" spans="1:12" x14ac:dyDescent="0.35">
      <c r="A429" t="s">
        <v>1944</v>
      </c>
      <c r="B429" t="str">
        <f t="shared" si="18"/>
        <v>Overweight</v>
      </c>
      <c r="C429">
        <v>25.71</v>
      </c>
      <c r="D429" t="str">
        <f t="shared" si="19"/>
        <v>Normal</v>
      </c>
      <c r="E429">
        <v>4.18</v>
      </c>
      <c r="F429" t="s">
        <v>2380</v>
      </c>
      <c r="G429" t="s">
        <v>2382</v>
      </c>
      <c r="H429" t="s">
        <v>2380</v>
      </c>
      <c r="J429">
        <v>1</v>
      </c>
      <c r="K429" t="str">
        <f t="shared" si="20"/>
        <v>yes</v>
      </c>
      <c r="L429" t="s">
        <v>2382</v>
      </c>
    </row>
    <row r="430" spans="1:12" x14ac:dyDescent="0.35">
      <c r="A430" t="s">
        <v>1943</v>
      </c>
      <c r="B430" t="str">
        <f t="shared" si="18"/>
        <v>Obesity</v>
      </c>
      <c r="C430">
        <v>41.91</v>
      </c>
      <c r="D430" t="str">
        <f t="shared" si="19"/>
        <v>Prediabetes</v>
      </c>
      <c r="E430">
        <v>5.98</v>
      </c>
      <c r="F430" t="s">
        <v>2382</v>
      </c>
      <c r="G430" t="s">
        <v>2380</v>
      </c>
      <c r="H430" t="s">
        <v>2380</v>
      </c>
      <c r="J430">
        <v>1</v>
      </c>
      <c r="K430" t="str">
        <f t="shared" si="20"/>
        <v>No</v>
      </c>
      <c r="L430" t="s">
        <v>2380</v>
      </c>
    </row>
    <row r="431" spans="1:12" x14ac:dyDescent="0.35">
      <c r="A431" t="s">
        <v>1942</v>
      </c>
      <c r="B431" t="str">
        <f t="shared" si="18"/>
        <v>Overweight</v>
      </c>
      <c r="C431">
        <v>25.85</v>
      </c>
      <c r="D431" t="str">
        <f t="shared" si="19"/>
        <v>Diabetes</v>
      </c>
      <c r="E431">
        <v>10.16</v>
      </c>
      <c r="F431" t="s">
        <v>2380</v>
      </c>
      <c r="G431" t="s">
        <v>2380</v>
      </c>
      <c r="H431" t="s">
        <v>2380</v>
      </c>
      <c r="J431" t="s">
        <v>2381</v>
      </c>
      <c r="K431" t="str">
        <f t="shared" si="20"/>
        <v>yes</v>
      </c>
      <c r="L431" t="s">
        <v>2382</v>
      </c>
    </row>
    <row r="432" spans="1:12" x14ac:dyDescent="0.35">
      <c r="A432" t="s">
        <v>1941</v>
      </c>
      <c r="B432" t="str">
        <f t="shared" si="18"/>
        <v>Normal Weight</v>
      </c>
      <c r="C432">
        <v>23.844999999999999</v>
      </c>
      <c r="D432" t="str">
        <f t="shared" si="19"/>
        <v>Diabetes</v>
      </c>
      <c r="E432">
        <v>11.71</v>
      </c>
      <c r="F432" t="s">
        <v>2380</v>
      </c>
      <c r="G432" t="s">
        <v>2380</v>
      </c>
      <c r="H432" t="s">
        <v>2380</v>
      </c>
      <c r="J432">
        <v>2</v>
      </c>
      <c r="K432" t="str">
        <f t="shared" si="20"/>
        <v>yes</v>
      </c>
      <c r="L432" t="s">
        <v>2382</v>
      </c>
    </row>
    <row r="433" spans="1:12" x14ac:dyDescent="0.35">
      <c r="A433" t="s">
        <v>1940</v>
      </c>
      <c r="B433" t="str">
        <f t="shared" si="18"/>
        <v>Obesity</v>
      </c>
      <c r="C433">
        <v>30.59</v>
      </c>
      <c r="D433" t="str">
        <f t="shared" si="19"/>
        <v>Normal</v>
      </c>
      <c r="E433">
        <v>5.23</v>
      </c>
      <c r="F433" t="s">
        <v>2380</v>
      </c>
      <c r="G433" t="s">
        <v>2380</v>
      </c>
      <c r="H433" t="s">
        <v>2383</v>
      </c>
      <c r="J433">
        <v>1</v>
      </c>
      <c r="K433" t="str">
        <f t="shared" si="20"/>
        <v>No</v>
      </c>
      <c r="L433" t="s">
        <v>2380</v>
      </c>
    </row>
    <row r="434" spans="1:12" x14ac:dyDescent="0.35">
      <c r="A434" t="s">
        <v>1939</v>
      </c>
      <c r="B434" t="str">
        <f t="shared" si="18"/>
        <v>Normal Weight</v>
      </c>
      <c r="C434">
        <v>24.795000000000002</v>
      </c>
      <c r="D434" t="str">
        <f t="shared" si="19"/>
        <v>Diabetes</v>
      </c>
      <c r="E434">
        <v>6.85</v>
      </c>
      <c r="F434" t="s">
        <v>2380</v>
      </c>
      <c r="G434" t="s">
        <v>2380</v>
      </c>
      <c r="H434" t="s">
        <v>2380</v>
      </c>
      <c r="J434" t="s">
        <v>2381</v>
      </c>
      <c r="K434" t="str">
        <f t="shared" si="20"/>
        <v>yes</v>
      </c>
      <c r="L434" t="s">
        <v>2382</v>
      </c>
    </row>
    <row r="435" spans="1:12" x14ac:dyDescent="0.35">
      <c r="A435" t="s">
        <v>1938</v>
      </c>
      <c r="B435" t="str">
        <f t="shared" si="18"/>
        <v>Normal Weight</v>
      </c>
      <c r="C435">
        <v>24.13</v>
      </c>
      <c r="D435" t="str">
        <f t="shared" si="19"/>
        <v>Diabetes</v>
      </c>
      <c r="E435">
        <v>7.05</v>
      </c>
      <c r="F435" t="s">
        <v>2382</v>
      </c>
      <c r="G435" t="s">
        <v>2380</v>
      </c>
      <c r="H435" t="s">
        <v>2380</v>
      </c>
      <c r="J435">
        <v>2</v>
      </c>
      <c r="K435" t="str">
        <f t="shared" si="20"/>
        <v>yes</v>
      </c>
      <c r="L435" t="s">
        <v>2382</v>
      </c>
    </row>
    <row r="436" spans="1:12" x14ac:dyDescent="0.35">
      <c r="A436" t="s">
        <v>1937</v>
      </c>
      <c r="B436" t="str">
        <f t="shared" si="18"/>
        <v>Overweight</v>
      </c>
      <c r="C436">
        <v>25.84</v>
      </c>
      <c r="D436" t="str">
        <f t="shared" si="19"/>
        <v>Diabetes</v>
      </c>
      <c r="E436">
        <v>11.64</v>
      </c>
      <c r="F436" t="s">
        <v>2380</v>
      </c>
      <c r="G436" t="s">
        <v>2380</v>
      </c>
      <c r="H436" t="s">
        <v>2380</v>
      </c>
      <c r="J436">
        <v>2</v>
      </c>
      <c r="K436" t="str">
        <f t="shared" si="20"/>
        <v>yes</v>
      </c>
      <c r="L436" t="s">
        <v>2382</v>
      </c>
    </row>
    <row r="437" spans="1:12" x14ac:dyDescent="0.35">
      <c r="A437" t="s">
        <v>1936</v>
      </c>
      <c r="B437" t="str">
        <f t="shared" si="18"/>
        <v>Overweight</v>
      </c>
      <c r="C437">
        <v>28</v>
      </c>
      <c r="D437" t="str">
        <f t="shared" si="19"/>
        <v>Diabetes</v>
      </c>
      <c r="E437">
        <v>10.52</v>
      </c>
      <c r="F437" t="s">
        <v>2380</v>
      </c>
      <c r="G437" t="s">
        <v>2380</v>
      </c>
      <c r="H437" t="s">
        <v>2380</v>
      </c>
      <c r="J437" t="s">
        <v>2381</v>
      </c>
      <c r="K437" t="str">
        <f t="shared" si="20"/>
        <v>yes</v>
      </c>
      <c r="L437" t="s">
        <v>2382</v>
      </c>
    </row>
    <row r="438" spans="1:12" x14ac:dyDescent="0.35">
      <c r="A438" t="s">
        <v>1935</v>
      </c>
      <c r="B438" t="str">
        <f t="shared" si="18"/>
        <v>Obesity</v>
      </c>
      <c r="C438">
        <v>34.1</v>
      </c>
      <c r="D438" t="str">
        <f t="shared" si="19"/>
        <v>Normal</v>
      </c>
      <c r="E438">
        <v>4.01</v>
      </c>
      <c r="F438" t="s">
        <v>2382</v>
      </c>
      <c r="G438" t="s">
        <v>2380</v>
      </c>
      <c r="H438" t="s">
        <v>2383</v>
      </c>
      <c r="J438">
        <v>1</v>
      </c>
      <c r="K438" t="str">
        <f t="shared" si="20"/>
        <v>No</v>
      </c>
      <c r="L438" t="s">
        <v>2380</v>
      </c>
    </row>
    <row r="439" spans="1:12" x14ac:dyDescent="0.35">
      <c r="A439" t="s">
        <v>1934</v>
      </c>
      <c r="B439" t="str">
        <f t="shared" si="18"/>
        <v>Overweight</v>
      </c>
      <c r="C439">
        <v>26.125</v>
      </c>
      <c r="D439" t="str">
        <f t="shared" si="19"/>
        <v>Diabetes</v>
      </c>
      <c r="E439">
        <v>8.56</v>
      </c>
      <c r="F439" t="s">
        <v>2382</v>
      </c>
      <c r="G439" t="s">
        <v>2380</v>
      </c>
      <c r="H439" t="s">
        <v>2380</v>
      </c>
      <c r="J439">
        <v>1</v>
      </c>
      <c r="K439" t="str">
        <f t="shared" si="20"/>
        <v>yes</v>
      </c>
      <c r="L439" t="s">
        <v>2382</v>
      </c>
    </row>
    <row r="440" spans="1:12" x14ac:dyDescent="0.35">
      <c r="A440" t="s">
        <v>1933</v>
      </c>
      <c r="B440" t="str">
        <f t="shared" si="18"/>
        <v>Overweight</v>
      </c>
      <c r="C440">
        <v>25.6</v>
      </c>
      <c r="D440" t="str">
        <f t="shared" si="19"/>
        <v>Diabetes</v>
      </c>
      <c r="E440">
        <v>10.5</v>
      </c>
      <c r="F440" t="s">
        <v>2380</v>
      </c>
      <c r="G440" t="s">
        <v>2380</v>
      </c>
      <c r="H440" t="s">
        <v>2380</v>
      </c>
      <c r="J440">
        <v>2</v>
      </c>
      <c r="K440" t="str">
        <f t="shared" si="20"/>
        <v>yes</v>
      </c>
      <c r="L440" t="s">
        <v>2382</v>
      </c>
    </row>
    <row r="441" spans="1:12" x14ac:dyDescent="0.35">
      <c r="A441" t="s">
        <v>1932</v>
      </c>
      <c r="B441" t="str">
        <f t="shared" si="18"/>
        <v>Normal Weight</v>
      </c>
      <c r="C441">
        <v>24.32</v>
      </c>
      <c r="D441" t="str">
        <f t="shared" si="19"/>
        <v>Prediabetes</v>
      </c>
      <c r="E441">
        <v>6.39</v>
      </c>
      <c r="F441" t="s">
        <v>2380</v>
      </c>
      <c r="G441" t="s">
        <v>2380</v>
      </c>
      <c r="H441" t="s">
        <v>2380</v>
      </c>
      <c r="J441" t="s">
        <v>2381</v>
      </c>
      <c r="K441" t="str">
        <f t="shared" si="20"/>
        <v>No</v>
      </c>
      <c r="L441" t="s">
        <v>2380</v>
      </c>
    </row>
    <row r="442" spans="1:12" x14ac:dyDescent="0.35">
      <c r="A442" t="s">
        <v>1931</v>
      </c>
      <c r="B442" t="str">
        <f t="shared" si="18"/>
        <v>Normal Weight</v>
      </c>
      <c r="C442">
        <v>22.88</v>
      </c>
      <c r="D442" t="str">
        <f t="shared" si="19"/>
        <v>Prediabetes</v>
      </c>
      <c r="E442">
        <v>5.71</v>
      </c>
      <c r="F442" t="s">
        <v>2382</v>
      </c>
      <c r="G442" t="s">
        <v>2380</v>
      </c>
      <c r="H442" t="s">
        <v>2383</v>
      </c>
      <c r="J442">
        <v>1</v>
      </c>
      <c r="K442" t="str">
        <f t="shared" si="20"/>
        <v>yes</v>
      </c>
      <c r="L442" t="s">
        <v>2382</v>
      </c>
    </row>
    <row r="443" spans="1:12" x14ac:dyDescent="0.35">
      <c r="A443" t="s">
        <v>1930</v>
      </c>
      <c r="B443" t="str">
        <f t="shared" si="18"/>
        <v>Overweight</v>
      </c>
      <c r="C443">
        <v>24.984999999999999</v>
      </c>
      <c r="D443" t="str">
        <f t="shared" si="19"/>
        <v>Normal</v>
      </c>
      <c r="E443">
        <v>4.43</v>
      </c>
      <c r="F443" t="s">
        <v>2382</v>
      </c>
      <c r="G443" t="s">
        <v>2380</v>
      </c>
      <c r="H443" t="s">
        <v>2383</v>
      </c>
      <c r="J443">
        <v>1</v>
      </c>
      <c r="K443" t="str">
        <f t="shared" si="20"/>
        <v>No</v>
      </c>
      <c r="L443" t="s">
        <v>2380</v>
      </c>
    </row>
    <row r="444" spans="1:12" x14ac:dyDescent="0.35">
      <c r="A444" t="s">
        <v>1929</v>
      </c>
      <c r="B444" t="str">
        <f t="shared" si="18"/>
        <v>Obesity</v>
      </c>
      <c r="C444">
        <v>33.1</v>
      </c>
      <c r="D444" t="str">
        <f t="shared" si="19"/>
        <v>Normal</v>
      </c>
      <c r="E444">
        <v>5.52</v>
      </c>
      <c r="F444" t="s">
        <v>2380</v>
      </c>
      <c r="G444" t="s">
        <v>2380</v>
      </c>
      <c r="H444" t="s">
        <v>2383</v>
      </c>
      <c r="J444">
        <v>1</v>
      </c>
      <c r="K444" t="str">
        <f t="shared" si="20"/>
        <v>No</v>
      </c>
      <c r="L444" t="s">
        <v>2380</v>
      </c>
    </row>
    <row r="445" spans="1:12" x14ac:dyDescent="0.35">
      <c r="A445" t="s">
        <v>1928</v>
      </c>
      <c r="B445" t="str">
        <f t="shared" si="18"/>
        <v>Overweight</v>
      </c>
      <c r="C445">
        <v>27.83</v>
      </c>
      <c r="D445" t="str">
        <f t="shared" si="19"/>
        <v>Diabetes</v>
      </c>
      <c r="E445">
        <v>9.1999999999999993</v>
      </c>
      <c r="F445" t="s">
        <v>2382</v>
      </c>
      <c r="G445" t="s">
        <v>2380</v>
      </c>
      <c r="H445" t="s">
        <v>2380</v>
      </c>
      <c r="J445">
        <v>1</v>
      </c>
      <c r="K445" t="str">
        <f t="shared" si="20"/>
        <v>yes</v>
      </c>
      <c r="L445" t="s">
        <v>2382</v>
      </c>
    </row>
    <row r="446" spans="1:12" x14ac:dyDescent="0.35">
      <c r="A446" t="s">
        <v>1927</v>
      </c>
      <c r="B446" t="str">
        <f t="shared" si="18"/>
        <v>Obesity</v>
      </c>
      <c r="C446">
        <v>30.875</v>
      </c>
      <c r="D446" t="str">
        <f t="shared" si="19"/>
        <v>Diabetes</v>
      </c>
      <c r="E446">
        <v>10.97</v>
      </c>
      <c r="F446" t="s">
        <v>2382</v>
      </c>
      <c r="G446" t="s">
        <v>2380</v>
      </c>
      <c r="H446" t="s">
        <v>2380</v>
      </c>
      <c r="J446">
        <v>2</v>
      </c>
      <c r="K446" t="str">
        <f t="shared" si="20"/>
        <v>No</v>
      </c>
      <c r="L446" t="s">
        <v>2380</v>
      </c>
    </row>
    <row r="447" spans="1:12" x14ac:dyDescent="0.35">
      <c r="A447" t="s">
        <v>1926</v>
      </c>
      <c r="B447" t="str">
        <f t="shared" si="18"/>
        <v>Overweight</v>
      </c>
      <c r="C447">
        <v>27.265000000000001</v>
      </c>
      <c r="D447" t="str">
        <f t="shared" si="19"/>
        <v>Normal</v>
      </c>
      <c r="E447">
        <v>4.25</v>
      </c>
      <c r="F447" t="s">
        <v>2380</v>
      </c>
      <c r="G447" t="s">
        <v>2380</v>
      </c>
      <c r="H447" t="s">
        <v>2383</v>
      </c>
      <c r="J447">
        <v>1</v>
      </c>
      <c r="K447" t="str">
        <f t="shared" si="20"/>
        <v>No</v>
      </c>
      <c r="L447" t="s">
        <v>2380</v>
      </c>
    </row>
    <row r="448" spans="1:12" x14ac:dyDescent="0.35">
      <c r="A448" t="s">
        <v>1925</v>
      </c>
      <c r="B448" t="str">
        <f t="shared" si="18"/>
        <v>Overweight</v>
      </c>
      <c r="C448">
        <v>26.7</v>
      </c>
      <c r="D448" t="str">
        <f t="shared" si="19"/>
        <v>Normal</v>
      </c>
      <c r="E448">
        <v>5.23</v>
      </c>
      <c r="F448" t="s">
        <v>2380</v>
      </c>
      <c r="G448" t="s">
        <v>2380</v>
      </c>
      <c r="H448" t="s">
        <v>2383</v>
      </c>
      <c r="J448">
        <v>1</v>
      </c>
      <c r="K448" t="str">
        <f t="shared" si="20"/>
        <v>yes</v>
      </c>
      <c r="L448" t="s">
        <v>2382</v>
      </c>
    </row>
    <row r="449" spans="1:12" x14ac:dyDescent="0.35">
      <c r="A449" t="s">
        <v>1924</v>
      </c>
      <c r="B449" t="e">
        <f t="shared" si="18"/>
        <v>#N/A</v>
      </c>
      <c r="C449">
        <v>29.925000000000001</v>
      </c>
      <c r="D449" t="str">
        <f t="shared" si="19"/>
        <v>Prediabetes</v>
      </c>
      <c r="E449">
        <v>5.96</v>
      </c>
      <c r="F449" t="s">
        <v>2382</v>
      </c>
      <c r="G449" t="s">
        <v>2380</v>
      </c>
      <c r="H449" t="s">
        <v>2383</v>
      </c>
      <c r="J449">
        <v>1</v>
      </c>
      <c r="K449" t="str">
        <f t="shared" si="20"/>
        <v>yes</v>
      </c>
      <c r="L449" t="s">
        <v>2382</v>
      </c>
    </row>
    <row r="450" spans="1:12" x14ac:dyDescent="0.35">
      <c r="A450" t="s">
        <v>1923</v>
      </c>
      <c r="B450" t="str">
        <f t="shared" si="18"/>
        <v>Normal Weight</v>
      </c>
      <c r="C450">
        <v>19.95</v>
      </c>
      <c r="D450" t="str">
        <f t="shared" si="19"/>
        <v>Normal</v>
      </c>
      <c r="E450">
        <v>4.29</v>
      </c>
      <c r="F450" t="s">
        <v>2382</v>
      </c>
      <c r="G450" t="s">
        <v>2380</v>
      </c>
      <c r="H450" t="s">
        <v>2380</v>
      </c>
      <c r="J450">
        <v>2</v>
      </c>
      <c r="K450" t="str">
        <f t="shared" si="20"/>
        <v>yes</v>
      </c>
      <c r="L450" t="s">
        <v>2382</v>
      </c>
    </row>
    <row r="451" spans="1:12" x14ac:dyDescent="0.35">
      <c r="A451" t="s">
        <v>1922</v>
      </c>
      <c r="B451" t="str">
        <f t="shared" ref="B451:B514" si="21">_xlfn.IFS(C451&lt;18.5, "Underweight", C451&lt;=24.9, "Normal Weight", C451&lt;=29.9, "Overweight", C451&gt;=30, "Obesity")</f>
        <v>Normal Weight</v>
      </c>
      <c r="C451">
        <v>24.225000000000001</v>
      </c>
      <c r="D451" t="str">
        <f t="shared" ref="D451:D514" si="22">_xlfn.IFS(E451&lt;5.7, "Normal", E451&lt;=6.4, "Prediabetes", E451&gt;=6.5, "Diabetes")</f>
        <v>Normal</v>
      </c>
      <c r="E451">
        <v>4.09</v>
      </c>
      <c r="F451" t="s">
        <v>2380</v>
      </c>
      <c r="G451" t="s">
        <v>2380</v>
      </c>
      <c r="H451" t="s">
        <v>2380</v>
      </c>
      <c r="J451" t="s">
        <v>2381</v>
      </c>
      <c r="K451" t="str">
        <f t="shared" si="20"/>
        <v>No</v>
      </c>
      <c r="L451" t="s">
        <v>2380</v>
      </c>
    </row>
    <row r="452" spans="1:12" x14ac:dyDescent="0.35">
      <c r="A452" t="s">
        <v>1921</v>
      </c>
      <c r="B452" t="str">
        <f t="shared" si="21"/>
        <v>Overweight</v>
      </c>
      <c r="C452">
        <v>28.12</v>
      </c>
      <c r="D452" t="str">
        <f t="shared" si="22"/>
        <v>Normal</v>
      </c>
      <c r="E452">
        <v>4.88</v>
      </c>
      <c r="F452" t="s">
        <v>2380</v>
      </c>
      <c r="G452" t="s">
        <v>2380</v>
      </c>
      <c r="H452" t="s">
        <v>2380</v>
      </c>
      <c r="J452" t="s">
        <v>2381</v>
      </c>
      <c r="K452" t="str">
        <f t="shared" ref="K452:K515" si="23">IF(OR(L452="?", ISBLANK(L452)), "No", L452)</f>
        <v>yes</v>
      </c>
      <c r="L452" t="s">
        <v>2382</v>
      </c>
    </row>
    <row r="453" spans="1:12" x14ac:dyDescent="0.35">
      <c r="A453" t="s">
        <v>1920</v>
      </c>
      <c r="B453" t="str">
        <f t="shared" si="21"/>
        <v>Normal Weight</v>
      </c>
      <c r="C453">
        <v>23.21</v>
      </c>
      <c r="D453" t="str">
        <f t="shared" si="22"/>
        <v>Diabetes</v>
      </c>
      <c r="E453">
        <v>6.76</v>
      </c>
      <c r="F453" t="s">
        <v>2380</v>
      </c>
      <c r="G453" t="s">
        <v>2380</v>
      </c>
      <c r="H453" t="s">
        <v>2380</v>
      </c>
      <c r="J453" t="s">
        <v>2381</v>
      </c>
      <c r="K453" t="str">
        <f t="shared" si="23"/>
        <v>yes</v>
      </c>
      <c r="L453" t="s">
        <v>2382</v>
      </c>
    </row>
    <row r="454" spans="1:12" x14ac:dyDescent="0.35">
      <c r="A454" t="s">
        <v>1919</v>
      </c>
      <c r="B454" t="str">
        <f t="shared" si="21"/>
        <v>Normal Weight</v>
      </c>
      <c r="C454">
        <v>23.98</v>
      </c>
      <c r="D454" t="str">
        <f t="shared" si="22"/>
        <v>Diabetes</v>
      </c>
      <c r="E454">
        <v>10.67</v>
      </c>
      <c r="F454" t="s">
        <v>2380</v>
      </c>
      <c r="G454" t="s">
        <v>2380</v>
      </c>
      <c r="H454" t="s">
        <v>2380</v>
      </c>
      <c r="J454" t="s">
        <v>2381</v>
      </c>
      <c r="K454" t="str">
        <f t="shared" si="23"/>
        <v>No</v>
      </c>
      <c r="L454" t="s">
        <v>2380</v>
      </c>
    </row>
    <row r="455" spans="1:12" x14ac:dyDescent="0.35">
      <c r="A455" t="s">
        <v>1918</v>
      </c>
      <c r="B455" t="str">
        <f t="shared" si="21"/>
        <v>Obesity</v>
      </c>
      <c r="C455">
        <v>30</v>
      </c>
      <c r="D455" t="str">
        <f t="shared" si="22"/>
        <v>Prediabetes</v>
      </c>
      <c r="E455">
        <v>6.21</v>
      </c>
      <c r="F455" t="s">
        <v>2380</v>
      </c>
      <c r="G455" t="s">
        <v>2380</v>
      </c>
      <c r="H455" t="s">
        <v>2380</v>
      </c>
      <c r="J455" t="s">
        <v>2381</v>
      </c>
      <c r="K455" t="str">
        <f t="shared" si="23"/>
        <v>yes</v>
      </c>
      <c r="L455" t="s">
        <v>2382</v>
      </c>
    </row>
    <row r="456" spans="1:12" x14ac:dyDescent="0.35">
      <c r="A456" t="s">
        <v>1917</v>
      </c>
      <c r="B456" t="str">
        <f t="shared" si="21"/>
        <v>Underweight</v>
      </c>
      <c r="C456">
        <v>17.350000000000001</v>
      </c>
      <c r="D456" t="str">
        <f t="shared" si="22"/>
        <v>Normal</v>
      </c>
      <c r="E456">
        <v>5.03</v>
      </c>
      <c r="F456" t="s">
        <v>2382</v>
      </c>
      <c r="G456" t="s">
        <v>2380</v>
      </c>
      <c r="H456" t="s">
        <v>2380</v>
      </c>
      <c r="J456" t="s">
        <v>2381</v>
      </c>
      <c r="K456" t="str">
        <f t="shared" si="23"/>
        <v>yes</v>
      </c>
      <c r="L456" t="s">
        <v>2382</v>
      </c>
    </row>
    <row r="457" spans="1:12" x14ac:dyDescent="0.35">
      <c r="A457" t="s">
        <v>1916</v>
      </c>
      <c r="B457" t="str">
        <f t="shared" si="21"/>
        <v>Normal Weight</v>
      </c>
      <c r="C457">
        <v>22.704999999999998</v>
      </c>
      <c r="D457" t="str">
        <f t="shared" si="22"/>
        <v>Normal</v>
      </c>
      <c r="E457">
        <v>5.27</v>
      </c>
      <c r="F457" t="s">
        <v>2380</v>
      </c>
      <c r="G457" t="s">
        <v>2380</v>
      </c>
      <c r="H457" t="s">
        <v>2380</v>
      </c>
      <c r="J457" t="s">
        <v>2381</v>
      </c>
      <c r="K457" t="str">
        <f t="shared" si="23"/>
        <v>No</v>
      </c>
      <c r="L457" t="s">
        <v>2380</v>
      </c>
    </row>
    <row r="458" spans="1:12" x14ac:dyDescent="0.35">
      <c r="A458" t="s">
        <v>1915</v>
      </c>
      <c r="B458" t="str">
        <f t="shared" si="21"/>
        <v>Overweight</v>
      </c>
      <c r="C458">
        <v>25.41</v>
      </c>
      <c r="D458" t="str">
        <f t="shared" si="22"/>
        <v>Diabetes</v>
      </c>
      <c r="E458">
        <v>10.53</v>
      </c>
      <c r="F458" t="s">
        <v>2382</v>
      </c>
      <c r="G458" t="s">
        <v>2380</v>
      </c>
      <c r="H458" t="s">
        <v>2380</v>
      </c>
      <c r="J458">
        <v>1</v>
      </c>
      <c r="K458" t="str">
        <f t="shared" si="23"/>
        <v>yes</v>
      </c>
      <c r="L458" t="s">
        <v>2382</v>
      </c>
    </row>
    <row r="459" spans="1:12" x14ac:dyDescent="0.35">
      <c r="A459" t="s">
        <v>1914</v>
      </c>
      <c r="B459" t="str">
        <f t="shared" si="21"/>
        <v>Underweight</v>
      </c>
      <c r="C459">
        <v>18.23</v>
      </c>
      <c r="D459" t="str">
        <f t="shared" si="22"/>
        <v>Prediabetes</v>
      </c>
      <c r="E459">
        <v>5.78</v>
      </c>
      <c r="F459" t="s">
        <v>2380</v>
      </c>
      <c r="G459" t="s">
        <v>2380</v>
      </c>
      <c r="H459" t="s">
        <v>2383</v>
      </c>
      <c r="J459">
        <v>1</v>
      </c>
      <c r="K459" t="str">
        <f t="shared" si="23"/>
        <v>yes</v>
      </c>
      <c r="L459" t="s">
        <v>2382</v>
      </c>
    </row>
    <row r="460" spans="1:12" x14ac:dyDescent="0.35">
      <c r="A460" t="s">
        <v>1913</v>
      </c>
      <c r="B460" t="str">
        <f t="shared" si="21"/>
        <v>Normal Weight</v>
      </c>
      <c r="C460">
        <v>24.7</v>
      </c>
      <c r="D460" t="str">
        <f t="shared" si="22"/>
        <v>Normal</v>
      </c>
      <c r="E460">
        <v>4.3600000000000003</v>
      </c>
      <c r="F460" t="s">
        <v>2380</v>
      </c>
      <c r="G460" t="s">
        <v>2380</v>
      </c>
      <c r="H460" t="s">
        <v>2383</v>
      </c>
      <c r="J460">
        <v>1</v>
      </c>
      <c r="K460" t="str">
        <f t="shared" si="23"/>
        <v>yes</v>
      </c>
      <c r="L460" t="s">
        <v>2382</v>
      </c>
    </row>
    <row r="461" spans="1:12" x14ac:dyDescent="0.35">
      <c r="A461" t="s">
        <v>1912</v>
      </c>
      <c r="B461" t="str">
        <f t="shared" si="21"/>
        <v>Obesity</v>
      </c>
      <c r="C461">
        <v>37.4</v>
      </c>
      <c r="D461" t="str">
        <f t="shared" si="22"/>
        <v>Diabetes</v>
      </c>
      <c r="E461">
        <v>9.7200000000000006</v>
      </c>
      <c r="F461" t="s">
        <v>2382</v>
      </c>
      <c r="G461" t="s">
        <v>2380</v>
      </c>
      <c r="H461" t="s">
        <v>2383</v>
      </c>
      <c r="J461">
        <v>1</v>
      </c>
      <c r="K461" t="str">
        <f t="shared" si="23"/>
        <v>No</v>
      </c>
      <c r="L461" t="s">
        <v>2380</v>
      </c>
    </row>
    <row r="462" spans="1:12" x14ac:dyDescent="0.35">
      <c r="A462" t="s">
        <v>1911</v>
      </c>
      <c r="B462" t="str">
        <f t="shared" si="21"/>
        <v>Overweight</v>
      </c>
      <c r="C462">
        <v>26.885000000000002</v>
      </c>
      <c r="D462" t="str">
        <f t="shared" si="22"/>
        <v>Normal</v>
      </c>
      <c r="E462">
        <v>5.18</v>
      </c>
      <c r="F462" t="s">
        <v>2380</v>
      </c>
      <c r="G462" t="s">
        <v>2380</v>
      </c>
      <c r="H462" t="s">
        <v>2383</v>
      </c>
      <c r="J462">
        <v>1</v>
      </c>
      <c r="K462" t="str">
        <f t="shared" si="23"/>
        <v>yes</v>
      </c>
      <c r="L462" t="s">
        <v>2382</v>
      </c>
    </row>
    <row r="463" spans="1:12" x14ac:dyDescent="0.35">
      <c r="A463" t="s">
        <v>1910</v>
      </c>
      <c r="B463" t="str">
        <f t="shared" si="21"/>
        <v>Overweight</v>
      </c>
      <c r="C463">
        <v>25.27</v>
      </c>
      <c r="D463" t="str">
        <f t="shared" si="22"/>
        <v>Normal</v>
      </c>
      <c r="E463">
        <v>5.29</v>
      </c>
      <c r="F463" t="s">
        <v>2380</v>
      </c>
      <c r="G463" t="s">
        <v>2380</v>
      </c>
      <c r="H463" t="s">
        <v>2383</v>
      </c>
      <c r="J463">
        <v>1</v>
      </c>
      <c r="K463" t="str">
        <f t="shared" si="23"/>
        <v>yes</v>
      </c>
      <c r="L463" t="s">
        <v>2382</v>
      </c>
    </row>
    <row r="464" spans="1:12" x14ac:dyDescent="0.35">
      <c r="A464" t="s">
        <v>1909</v>
      </c>
      <c r="B464" t="str">
        <f t="shared" si="21"/>
        <v>Normal Weight</v>
      </c>
      <c r="C464">
        <v>23.655000000000001</v>
      </c>
      <c r="D464" t="str">
        <f t="shared" si="22"/>
        <v>Normal</v>
      </c>
      <c r="E464">
        <v>4.8600000000000003</v>
      </c>
      <c r="F464" t="s">
        <v>2382</v>
      </c>
      <c r="G464" t="s">
        <v>2380</v>
      </c>
      <c r="H464" t="s">
        <v>2380</v>
      </c>
      <c r="J464" t="s">
        <v>2381</v>
      </c>
      <c r="K464" t="str">
        <f t="shared" si="23"/>
        <v>yes</v>
      </c>
      <c r="L464" t="s">
        <v>2382</v>
      </c>
    </row>
    <row r="465" spans="1:12" x14ac:dyDescent="0.35">
      <c r="A465" t="s">
        <v>1908</v>
      </c>
      <c r="B465" t="str">
        <f t="shared" si="21"/>
        <v>Obesity</v>
      </c>
      <c r="C465">
        <v>55.05</v>
      </c>
      <c r="D465" t="str">
        <f t="shared" si="22"/>
        <v>Diabetes</v>
      </c>
      <c r="E465">
        <v>7.66</v>
      </c>
      <c r="F465" t="s">
        <v>2380</v>
      </c>
      <c r="G465" t="s">
        <v>2380</v>
      </c>
      <c r="H465" t="s">
        <v>2380</v>
      </c>
      <c r="J465" t="s">
        <v>2381</v>
      </c>
      <c r="K465" t="str">
        <f t="shared" si="23"/>
        <v>No</v>
      </c>
      <c r="L465" t="s">
        <v>2380</v>
      </c>
    </row>
    <row r="466" spans="1:12" x14ac:dyDescent="0.35">
      <c r="A466" t="s">
        <v>1907</v>
      </c>
      <c r="B466" t="str">
        <f t="shared" si="21"/>
        <v>Normal Weight</v>
      </c>
      <c r="C466">
        <v>24.89</v>
      </c>
      <c r="D466" t="str">
        <f t="shared" si="22"/>
        <v>Prediabetes</v>
      </c>
      <c r="E466">
        <v>6.1</v>
      </c>
      <c r="F466" t="s">
        <v>2382</v>
      </c>
      <c r="G466" t="s">
        <v>2380</v>
      </c>
      <c r="H466" t="s">
        <v>2383</v>
      </c>
      <c r="J466">
        <v>1</v>
      </c>
      <c r="K466" t="str">
        <f t="shared" si="23"/>
        <v>yes</v>
      </c>
      <c r="L466" t="s">
        <v>2382</v>
      </c>
    </row>
    <row r="467" spans="1:12" x14ac:dyDescent="0.35">
      <c r="A467" t="s">
        <v>1906</v>
      </c>
      <c r="B467" t="str">
        <f t="shared" si="21"/>
        <v>Normal Weight</v>
      </c>
      <c r="C467">
        <v>18.715</v>
      </c>
      <c r="D467" t="str">
        <f t="shared" si="22"/>
        <v>Normal</v>
      </c>
      <c r="E467">
        <v>4.4400000000000004</v>
      </c>
      <c r="F467" t="s">
        <v>2380</v>
      </c>
      <c r="G467" t="s">
        <v>2380</v>
      </c>
      <c r="H467" t="s">
        <v>2380</v>
      </c>
      <c r="J467" t="s">
        <v>2381</v>
      </c>
      <c r="K467" t="str">
        <f t="shared" si="23"/>
        <v>No</v>
      </c>
      <c r="L467" t="s">
        <v>2380</v>
      </c>
    </row>
    <row r="468" spans="1:12" x14ac:dyDescent="0.35">
      <c r="A468" t="s">
        <v>1905</v>
      </c>
      <c r="B468" t="str">
        <f t="shared" si="21"/>
        <v>Overweight</v>
      </c>
      <c r="C468">
        <v>28.12</v>
      </c>
      <c r="D468" t="str">
        <f t="shared" si="22"/>
        <v>Prediabetes</v>
      </c>
      <c r="E468">
        <v>6.15</v>
      </c>
      <c r="F468" t="s">
        <v>2380</v>
      </c>
      <c r="G468" t="s">
        <v>2380</v>
      </c>
      <c r="H468" t="s">
        <v>2380</v>
      </c>
      <c r="J468" t="s">
        <v>2381</v>
      </c>
      <c r="K468" t="str">
        <f t="shared" si="23"/>
        <v>yes</v>
      </c>
      <c r="L468" t="s">
        <v>2382</v>
      </c>
    </row>
    <row r="469" spans="1:12" x14ac:dyDescent="0.35">
      <c r="A469" t="s">
        <v>1904</v>
      </c>
      <c r="B469" t="str">
        <f t="shared" si="21"/>
        <v>Overweight</v>
      </c>
      <c r="C469">
        <v>26.6</v>
      </c>
      <c r="D469" t="str">
        <f t="shared" si="22"/>
        <v>Normal</v>
      </c>
      <c r="E469">
        <v>4.53</v>
      </c>
      <c r="F469" t="s">
        <v>2380</v>
      </c>
      <c r="G469" t="s">
        <v>2380</v>
      </c>
      <c r="H469" t="s">
        <v>2380</v>
      </c>
      <c r="J469" t="s">
        <v>2381</v>
      </c>
      <c r="K469" t="str">
        <f t="shared" si="23"/>
        <v>yes</v>
      </c>
      <c r="L469" t="s">
        <v>2382</v>
      </c>
    </row>
    <row r="470" spans="1:12" x14ac:dyDescent="0.35">
      <c r="A470" t="s">
        <v>1903</v>
      </c>
      <c r="B470" t="str">
        <f t="shared" si="21"/>
        <v>Obesity</v>
      </c>
      <c r="C470">
        <v>30.114999999999998</v>
      </c>
      <c r="D470" t="str">
        <f t="shared" si="22"/>
        <v>Normal</v>
      </c>
      <c r="E470">
        <v>5.48</v>
      </c>
      <c r="F470" t="s">
        <v>2380</v>
      </c>
      <c r="G470" t="s">
        <v>2382</v>
      </c>
      <c r="H470" t="s">
        <v>2380</v>
      </c>
      <c r="J470">
        <v>1</v>
      </c>
      <c r="K470" t="str">
        <f t="shared" si="23"/>
        <v>No</v>
      </c>
      <c r="L470" t="s">
        <v>2380</v>
      </c>
    </row>
    <row r="471" spans="1:12" x14ac:dyDescent="0.35">
      <c r="A471" t="s">
        <v>1902</v>
      </c>
      <c r="B471" t="str">
        <f t="shared" si="21"/>
        <v>Normal Weight</v>
      </c>
      <c r="C471">
        <v>24.605</v>
      </c>
      <c r="D471" t="str">
        <f t="shared" si="22"/>
        <v>Normal</v>
      </c>
      <c r="E471">
        <v>5.48</v>
      </c>
      <c r="F471" t="s">
        <v>2380</v>
      </c>
      <c r="G471" t="s">
        <v>2380</v>
      </c>
      <c r="H471" t="s">
        <v>2380</v>
      </c>
      <c r="J471" t="s">
        <v>2381</v>
      </c>
      <c r="K471" t="str">
        <f t="shared" si="23"/>
        <v>yes</v>
      </c>
      <c r="L471" t="s">
        <v>2382</v>
      </c>
    </row>
    <row r="472" spans="1:12" x14ac:dyDescent="0.35">
      <c r="A472" t="s">
        <v>1901</v>
      </c>
      <c r="B472" t="str">
        <f t="shared" si="21"/>
        <v>Overweight</v>
      </c>
      <c r="C472">
        <v>29.6</v>
      </c>
      <c r="D472" t="str">
        <f t="shared" si="22"/>
        <v>Diabetes</v>
      </c>
      <c r="E472">
        <v>8.1</v>
      </c>
      <c r="F472" t="s">
        <v>2380</v>
      </c>
      <c r="G472" t="s">
        <v>2380</v>
      </c>
      <c r="H472" t="s">
        <v>2380</v>
      </c>
      <c r="J472" t="s">
        <v>2381</v>
      </c>
      <c r="K472" t="str">
        <f t="shared" si="23"/>
        <v>No</v>
      </c>
      <c r="L472" t="s">
        <v>2380</v>
      </c>
    </row>
    <row r="473" spans="1:12" x14ac:dyDescent="0.35">
      <c r="A473" t="s">
        <v>1900</v>
      </c>
      <c r="B473" t="str">
        <f t="shared" si="21"/>
        <v>Normal Weight</v>
      </c>
      <c r="C473">
        <v>24.42</v>
      </c>
      <c r="D473" t="str">
        <f t="shared" si="22"/>
        <v>Diabetes</v>
      </c>
      <c r="E473">
        <v>7.16</v>
      </c>
      <c r="F473" t="s">
        <v>2380</v>
      </c>
      <c r="G473" t="s">
        <v>2380</v>
      </c>
      <c r="H473" t="s">
        <v>2380</v>
      </c>
      <c r="J473" t="s">
        <v>2381</v>
      </c>
      <c r="K473" t="str">
        <f t="shared" si="23"/>
        <v>yes</v>
      </c>
      <c r="L473" t="s">
        <v>2382</v>
      </c>
    </row>
    <row r="474" spans="1:12" x14ac:dyDescent="0.35">
      <c r="A474" t="s">
        <v>1899</v>
      </c>
      <c r="B474" t="str">
        <f t="shared" si="21"/>
        <v>Normal Weight</v>
      </c>
      <c r="C474">
        <v>20.9</v>
      </c>
      <c r="D474" t="str">
        <f t="shared" si="22"/>
        <v>Normal</v>
      </c>
      <c r="E474">
        <v>4.55</v>
      </c>
      <c r="F474" t="s">
        <v>2382</v>
      </c>
      <c r="G474" t="s">
        <v>2380</v>
      </c>
      <c r="H474" t="s">
        <v>2383</v>
      </c>
      <c r="J474">
        <v>1</v>
      </c>
      <c r="K474" t="str">
        <f t="shared" si="23"/>
        <v>yes</v>
      </c>
      <c r="L474" t="s">
        <v>2382</v>
      </c>
    </row>
    <row r="475" spans="1:12" x14ac:dyDescent="0.35">
      <c r="A475" t="s">
        <v>1898</v>
      </c>
      <c r="B475" t="str">
        <f t="shared" si="21"/>
        <v>Normal Weight</v>
      </c>
      <c r="C475">
        <v>22.895</v>
      </c>
      <c r="D475" t="str">
        <f t="shared" si="22"/>
        <v>Prediabetes</v>
      </c>
      <c r="E475">
        <v>6.03</v>
      </c>
      <c r="F475" t="s">
        <v>2380</v>
      </c>
      <c r="G475" t="s">
        <v>2380</v>
      </c>
      <c r="H475" t="s">
        <v>2380</v>
      </c>
      <c r="J475" t="s">
        <v>2381</v>
      </c>
      <c r="K475" t="str">
        <f t="shared" si="23"/>
        <v>yes</v>
      </c>
      <c r="L475" t="s">
        <v>2382</v>
      </c>
    </row>
    <row r="476" spans="1:12" x14ac:dyDescent="0.35">
      <c r="A476" t="s">
        <v>1897</v>
      </c>
      <c r="B476" t="str">
        <f t="shared" si="21"/>
        <v>Overweight</v>
      </c>
      <c r="C476">
        <v>28.3</v>
      </c>
      <c r="D476" t="str">
        <f t="shared" si="22"/>
        <v>Normal</v>
      </c>
      <c r="E476">
        <v>5.47</v>
      </c>
      <c r="F476" t="s">
        <v>2382</v>
      </c>
      <c r="G476" t="s">
        <v>2380</v>
      </c>
      <c r="H476" t="s">
        <v>2383</v>
      </c>
      <c r="J476">
        <v>1</v>
      </c>
      <c r="K476" t="str">
        <f t="shared" si="23"/>
        <v>yes</v>
      </c>
      <c r="L476" t="s">
        <v>2382</v>
      </c>
    </row>
    <row r="477" spans="1:12" x14ac:dyDescent="0.35">
      <c r="A477" t="s">
        <v>1895</v>
      </c>
      <c r="B477" t="str">
        <f t="shared" si="21"/>
        <v>Obesity</v>
      </c>
      <c r="C477">
        <v>54.3</v>
      </c>
      <c r="D477" t="str">
        <f t="shared" si="22"/>
        <v>Normal</v>
      </c>
      <c r="E477">
        <v>4.1500000000000004</v>
      </c>
      <c r="F477" t="s">
        <v>2382</v>
      </c>
      <c r="G477" t="s">
        <v>2380</v>
      </c>
      <c r="H477" t="s">
        <v>2380</v>
      </c>
      <c r="J477">
        <v>1</v>
      </c>
      <c r="K477" t="str">
        <f t="shared" si="23"/>
        <v>No</v>
      </c>
      <c r="L477" t="s">
        <v>2380</v>
      </c>
    </row>
    <row r="478" spans="1:12" x14ac:dyDescent="0.35">
      <c r="A478" t="s">
        <v>1894</v>
      </c>
      <c r="B478" t="str">
        <f t="shared" si="21"/>
        <v>Obesity</v>
      </c>
      <c r="C478">
        <v>33.344999999999999</v>
      </c>
      <c r="D478" t="str">
        <f t="shared" si="22"/>
        <v>Diabetes</v>
      </c>
      <c r="E478">
        <v>11.32</v>
      </c>
      <c r="F478" t="s">
        <v>2382</v>
      </c>
      <c r="G478" t="s">
        <v>2380</v>
      </c>
      <c r="H478" t="s">
        <v>2380</v>
      </c>
      <c r="J478">
        <v>1</v>
      </c>
      <c r="K478" t="str">
        <f t="shared" si="23"/>
        <v>No</v>
      </c>
      <c r="L478" t="s">
        <v>2380</v>
      </c>
    </row>
    <row r="479" spans="1:12" x14ac:dyDescent="0.35">
      <c r="A479" t="s">
        <v>1893</v>
      </c>
      <c r="B479" t="str">
        <f t="shared" si="21"/>
        <v>Obesity</v>
      </c>
      <c r="C479">
        <v>33</v>
      </c>
      <c r="D479" t="str">
        <f t="shared" si="22"/>
        <v>Diabetes</v>
      </c>
      <c r="E479">
        <v>9.51</v>
      </c>
      <c r="F479" t="s">
        <v>2382</v>
      </c>
      <c r="G479" t="s">
        <v>2380</v>
      </c>
      <c r="H479" t="s">
        <v>2380</v>
      </c>
      <c r="J479" t="s">
        <v>2381</v>
      </c>
      <c r="K479" t="str">
        <f t="shared" si="23"/>
        <v>No</v>
      </c>
      <c r="L479" t="s">
        <v>2380</v>
      </c>
    </row>
    <row r="480" spans="1:12" x14ac:dyDescent="0.35">
      <c r="A480" t="s">
        <v>1892</v>
      </c>
      <c r="B480" t="str">
        <f t="shared" si="21"/>
        <v>Overweight</v>
      </c>
      <c r="C480">
        <v>28.024999999999999</v>
      </c>
      <c r="D480" t="str">
        <f t="shared" si="22"/>
        <v>Diabetes</v>
      </c>
      <c r="E480">
        <v>7.67</v>
      </c>
      <c r="F480" t="s">
        <v>2382</v>
      </c>
      <c r="G480" t="s">
        <v>2380</v>
      </c>
      <c r="H480" t="s">
        <v>2380</v>
      </c>
      <c r="J480">
        <v>1</v>
      </c>
      <c r="K480" t="str">
        <f t="shared" si="23"/>
        <v>yes</v>
      </c>
      <c r="L480" t="s">
        <v>2382</v>
      </c>
    </row>
    <row r="481" spans="1:12" x14ac:dyDescent="0.35">
      <c r="A481" t="s">
        <v>1891</v>
      </c>
      <c r="B481" t="str">
        <f t="shared" si="21"/>
        <v>Overweight</v>
      </c>
      <c r="C481">
        <v>28.69</v>
      </c>
      <c r="D481" t="str">
        <f t="shared" si="22"/>
        <v>Prediabetes</v>
      </c>
      <c r="E481">
        <v>6.23</v>
      </c>
      <c r="F481" t="s">
        <v>2380</v>
      </c>
      <c r="G481" t="s">
        <v>2380</v>
      </c>
      <c r="H481" t="s">
        <v>2380</v>
      </c>
      <c r="J481">
        <v>1</v>
      </c>
      <c r="K481" t="str">
        <f t="shared" si="23"/>
        <v>yes</v>
      </c>
      <c r="L481" t="s">
        <v>2382</v>
      </c>
    </row>
    <row r="482" spans="1:12" x14ac:dyDescent="0.35">
      <c r="A482" t="s">
        <v>1890</v>
      </c>
      <c r="B482" t="str">
        <f t="shared" si="21"/>
        <v>Obesity</v>
      </c>
      <c r="C482">
        <v>40.28</v>
      </c>
      <c r="D482" t="str">
        <f t="shared" si="22"/>
        <v>Diabetes</v>
      </c>
      <c r="E482">
        <v>8.9</v>
      </c>
      <c r="F482" t="s">
        <v>2380</v>
      </c>
      <c r="G482" t="s">
        <v>2380</v>
      </c>
      <c r="H482" t="s">
        <v>2380</v>
      </c>
      <c r="J482" t="s">
        <v>2381</v>
      </c>
      <c r="K482" t="str">
        <f t="shared" si="23"/>
        <v>No</v>
      </c>
      <c r="L482" t="s">
        <v>2380</v>
      </c>
    </row>
    <row r="483" spans="1:12" x14ac:dyDescent="0.35">
      <c r="A483" t="s">
        <v>1889</v>
      </c>
      <c r="B483" t="str">
        <f t="shared" si="21"/>
        <v>Obesity</v>
      </c>
      <c r="C483">
        <v>37.299999999999997</v>
      </c>
      <c r="D483" t="str">
        <f t="shared" si="22"/>
        <v>Diabetes</v>
      </c>
      <c r="E483">
        <v>7.79</v>
      </c>
      <c r="F483" t="s">
        <v>2382</v>
      </c>
      <c r="G483" t="s">
        <v>2380</v>
      </c>
      <c r="H483" t="s">
        <v>2380</v>
      </c>
      <c r="J483" t="s">
        <v>2381</v>
      </c>
      <c r="K483" t="str">
        <f t="shared" si="23"/>
        <v>No</v>
      </c>
      <c r="L483" t="s">
        <v>2380</v>
      </c>
    </row>
    <row r="484" spans="1:12" x14ac:dyDescent="0.35">
      <c r="A484" t="s">
        <v>1888</v>
      </c>
      <c r="B484" t="str">
        <f t="shared" si="21"/>
        <v>Obesity</v>
      </c>
      <c r="C484">
        <v>54.47</v>
      </c>
      <c r="D484" t="str">
        <f t="shared" si="22"/>
        <v>Normal</v>
      </c>
      <c r="E484">
        <v>4.49</v>
      </c>
      <c r="F484" t="s">
        <v>2382</v>
      </c>
      <c r="G484" t="s">
        <v>2380</v>
      </c>
      <c r="H484" t="s">
        <v>2380</v>
      </c>
      <c r="J484">
        <v>2</v>
      </c>
      <c r="K484" t="str">
        <f t="shared" si="23"/>
        <v>No</v>
      </c>
      <c r="L484" t="s">
        <v>2380</v>
      </c>
    </row>
    <row r="485" spans="1:12" x14ac:dyDescent="0.35">
      <c r="A485" t="s">
        <v>1887</v>
      </c>
      <c r="B485" t="str">
        <f t="shared" si="21"/>
        <v>Obesity</v>
      </c>
      <c r="C485">
        <v>38.06</v>
      </c>
      <c r="D485" t="str">
        <f t="shared" si="22"/>
        <v>Normal</v>
      </c>
      <c r="E485">
        <v>5.24</v>
      </c>
      <c r="F485" t="s">
        <v>2382</v>
      </c>
      <c r="G485" t="s">
        <v>2380</v>
      </c>
      <c r="H485" t="s">
        <v>2383</v>
      </c>
      <c r="J485">
        <v>1</v>
      </c>
      <c r="K485" t="str">
        <f t="shared" si="23"/>
        <v>No</v>
      </c>
      <c r="L485" t="s">
        <v>2380</v>
      </c>
    </row>
    <row r="486" spans="1:12" x14ac:dyDescent="0.35">
      <c r="A486" t="s">
        <v>1886</v>
      </c>
      <c r="B486" t="str">
        <f t="shared" si="21"/>
        <v>Obesity</v>
      </c>
      <c r="C486">
        <v>51.47</v>
      </c>
      <c r="D486" t="str">
        <f t="shared" si="22"/>
        <v>Diabetes</v>
      </c>
      <c r="E486">
        <v>9.6</v>
      </c>
      <c r="F486" t="s">
        <v>2380</v>
      </c>
      <c r="G486" t="s">
        <v>2380</v>
      </c>
      <c r="H486" t="s">
        <v>2380</v>
      </c>
      <c r="J486" t="s">
        <v>2381</v>
      </c>
      <c r="K486" t="str">
        <f t="shared" si="23"/>
        <v>No</v>
      </c>
      <c r="L486" t="s">
        <v>2380</v>
      </c>
    </row>
    <row r="487" spans="1:12" x14ac:dyDescent="0.35">
      <c r="A487" t="s">
        <v>1885</v>
      </c>
      <c r="B487" t="str">
        <f t="shared" si="21"/>
        <v>Overweight</v>
      </c>
      <c r="C487">
        <v>29.8</v>
      </c>
      <c r="D487" t="str">
        <f t="shared" si="22"/>
        <v>Prediabetes</v>
      </c>
      <c r="E487">
        <v>5.78</v>
      </c>
      <c r="F487" t="s">
        <v>2382</v>
      </c>
      <c r="G487" t="s">
        <v>2380</v>
      </c>
      <c r="H487" t="s">
        <v>2380</v>
      </c>
      <c r="J487" t="s">
        <v>2381</v>
      </c>
      <c r="K487" t="str">
        <f t="shared" si="23"/>
        <v>No</v>
      </c>
      <c r="L487" t="s">
        <v>2380</v>
      </c>
    </row>
    <row r="488" spans="1:12" x14ac:dyDescent="0.35">
      <c r="A488" t="s">
        <v>1884</v>
      </c>
      <c r="B488" t="str">
        <f t="shared" si="21"/>
        <v>Obesity</v>
      </c>
      <c r="C488">
        <v>49.77</v>
      </c>
      <c r="D488" t="str">
        <f t="shared" si="22"/>
        <v>Diabetes</v>
      </c>
      <c r="E488">
        <v>7.02</v>
      </c>
      <c r="F488" t="s">
        <v>2380</v>
      </c>
      <c r="G488" t="s">
        <v>2380</v>
      </c>
      <c r="H488" t="s">
        <v>2380</v>
      </c>
      <c r="J488" t="s">
        <v>2381</v>
      </c>
      <c r="K488" t="str">
        <f t="shared" si="23"/>
        <v>No</v>
      </c>
      <c r="L488" t="s">
        <v>2380</v>
      </c>
    </row>
    <row r="489" spans="1:12" x14ac:dyDescent="0.35">
      <c r="A489" t="s">
        <v>1883</v>
      </c>
      <c r="B489" t="str">
        <f t="shared" si="21"/>
        <v>Overweight</v>
      </c>
      <c r="C489">
        <v>25.555</v>
      </c>
      <c r="D489" t="str">
        <f t="shared" si="22"/>
        <v>Normal</v>
      </c>
      <c r="E489">
        <v>4.09</v>
      </c>
      <c r="F489" t="s">
        <v>2382</v>
      </c>
      <c r="G489" t="s">
        <v>2380</v>
      </c>
      <c r="H489" t="s">
        <v>2380</v>
      </c>
      <c r="J489" t="s">
        <v>2381</v>
      </c>
      <c r="K489" t="str">
        <f t="shared" si="23"/>
        <v>yes</v>
      </c>
      <c r="L489" t="s">
        <v>2382</v>
      </c>
    </row>
    <row r="490" spans="1:12" x14ac:dyDescent="0.35">
      <c r="A490" t="s">
        <v>1882</v>
      </c>
      <c r="B490" t="str">
        <f t="shared" si="21"/>
        <v>Overweight</v>
      </c>
      <c r="C490">
        <v>29.64</v>
      </c>
      <c r="D490" t="str">
        <f t="shared" si="22"/>
        <v>Normal</v>
      </c>
      <c r="E490">
        <v>4.93</v>
      </c>
      <c r="F490" t="s">
        <v>2380</v>
      </c>
      <c r="G490" t="s">
        <v>2380</v>
      </c>
      <c r="H490" t="s">
        <v>2383</v>
      </c>
      <c r="J490">
        <v>1</v>
      </c>
      <c r="K490" t="str">
        <f t="shared" si="23"/>
        <v>No</v>
      </c>
      <c r="L490" t="s">
        <v>2380</v>
      </c>
    </row>
    <row r="491" spans="1:12" x14ac:dyDescent="0.35">
      <c r="A491" t="s">
        <v>1881</v>
      </c>
      <c r="B491" t="str">
        <f t="shared" si="21"/>
        <v>Obesity</v>
      </c>
      <c r="C491">
        <v>53.93</v>
      </c>
      <c r="D491" t="str">
        <f t="shared" si="22"/>
        <v>Normal</v>
      </c>
      <c r="E491">
        <v>5.34</v>
      </c>
      <c r="F491" t="s">
        <v>2382</v>
      </c>
      <c r="G491" t="s">
        <v>2380</v>
      </c>
      <c r="H491" t="s">
        <v>2380</v>
      </c>
      <c r="J491">
        <v>2</v>
      </c>
      <c r="K491" t="str">
        <f t="shared" si="23"/>
        <v>No</v>
      </c>
      <c r="L491" t="s">
        <v>2380</v>
      </c>
    </row>
    <row r="492" spans="1:12" x14ac:dyDescent="0.35">
      <c r="A492" t="s">
        <v>1880</v>
      </c>
      <c r="B492" t="str">
        <f t="shared" si="21"/>
        <v>Overweight</v>
      </c>
      <c r="C492">
        <v>28.024999999999999</v>
      </c>
      <c r="D492" t="str">
        <f t="shared" si="22"/>
        <v>Normal</v>
      </c>
      <c r="E492">
        <v>5.65</v>
      </c>
      <c r="F492" t="s">
        <v>2380</v>
      </c>
      <c r="G492" t="s">
        <v>2380</v>
      </c>
      <c r="H492" t="s">
        <v>2380</v>
      </c>
      <c r="J492">
        <v>1</v>
      </c>
      <c r="K492" t="str">
        <f t="shared" si="23"/>
        <v>yes</v>
      </c>
      <c r="L492" t="s">
        <v>2382</v>
      </c>
    </row>
    <row r="493" spans="1:12" x14ac:dyDescent="0.35">
      <c r="A493" t="s">
        <v>1879</v>
      </c>
      <c r="B493" t="str">
        <f t="shared" si="21"/>
        <v>Overweight</v>
      </c>
      <c r="C493">
        <v>27.5</v>
      </c>
      <c r="D493" t="str">
        <f t="shared" si="22"/>
        <v>Normal</v>
      </c>
      <c r="E493">
        <v>4.49</v>
      </c>
      <c r="F493" t="s">
        <v>2380</v>
      </c>
      <c r="G493" t="s">
        <v>2380</v>
      </c>
      <c r="H493" t="s">
        <v>2380</v>
      </c>
      <c r="J493" t="s">
        <v>2381</v>
      </c>
      <c r="K493" t="str">
        <f t="shared" si="23"/>
        <v>No</v>
      </c>
      <c r="L493" t="s">
        <v>2380</v>
      </c>
    </row>
    <row r="494" spans="1:12" x14ac:dyDescent="0.35">
      <c r="A494" t="s">
        <v>1878</v>
      </c>
      <c r="B494" t="str">
        <f t="shared" si="21"/>
        <v>Normal Weight</v>
      </c>
      <c r="C494">
        <v>21.8</v>
      </c>
      <c r="D494" t="str">
        <f t="shared" si="22"/>
        <v>Diabetes</v>
      </c>
      <c r="E494">
        <v>10.55</v>
      </c>
      <c r="F494" t="s">
        <v>2380</v>
      </c>
      <c r="G494" t="s">
        <v>2380</v>
      </c>
      <c r="H494" t="s">
        <v>2380</v>
      </c>
      <c r="J494" t="s">
        <v>2381</v>
      </c>
      <c r="K494" t="str">
        <f t="shared" si="23"/>
        <v>yes</v>
      </c>
      <c r="L494" t="s">
        <v>2382</v>
      </c>
    </row>
    <row r="495" spans="1:12" x14ac:dyDescent="0.35">
      <c r="A495" t="s">
        <v>1877</v>
      </c>
      <c r="B495" t="str">
        <f t="shared" si="21"/>
        <v>Overweight</v>
      </c>
      <c r="C495">
        <v>26.41</v>
      </c>
      <c r="D495" t="str">
        <f t="shared" si="22"/>
        <v>Normal</v>
      </c>
      <c r="E495">
        <v>4.92</v>
      </c>
      <c r="F495" t="s">
        <v>2382</v>
      </c>
      <c r="G495" t="s">
        <v>2380</v>
      </c>
      <c r="H495" t="s">
        <v>2383</v>
      </c>
      <c r="J495">
        <v>1</v>
      </c>
      <c r="K495" t="str">
        <f t="shared" si="23"/>
        <v>yes</v>
      </c>
      <c r="L495" t="s">
        <v>2382</v>
      </c>
    </row>
    <row r="496" spans="1:12" x14ac:dyDescent="0.35">
      <c r="A496" t="s">
        <v>1876</v>
      </c>
      <c r="B496" t="str">
        <f t="shared" si="21"/>
        <v>Overweight</v>
      </c>
      <c r="C496">
        <v>27.835000000000001</v>
      </c>
      <c r="D496" t="str">
        <f t="shared" si="22"/>
        <v>Prediabetes</v>
      </c>
      <c r="E496">
        <v>5.9</v>
      </c>
      <c r="F496" t="s">
        <v>2382</v>
      </c>
      <c r="G496" t="s">
        <v>2380</v>
      </c>
      <c r="H496" t="s">
        <v>2380</v>
      </c>
      <c r="J496">
        <v>1</v>
      </c>
      <c r="K496" t="str">
        <f t="shared" si="23"/>
        <v>yes</v>
      </c>
      <c r="L496" t="s">
        <v>2382</v>
      </c>
    </row>
    <row r="497" spans="1:12" x14ac:dyDescent="0.35">
      <c r="A497" t="s">
        <v>1875</v>
      </c>
      <c r="B497" t="str">
        <f t="shared" si="21"/>
        <v>Obesity</v>
      </c>
      <c r="C497">
        <v>51.74</v>
      </c>
      <c r="D497" t="str">
        <f t="shared" si="22"/>
        <v>Normal</v>
      </c>
      <c r="E497">
        <v>4.9800000000000004</v>
      </c>
      <c r="F497" t="s">
        <v>2382</v>
      </c>
      <c r="G497" t="s">
        <v>2380</v>
      </c>
      <c r="H497" t="s">
        <v>2380</v>
      </c>
      <c r="J497">
        <v>2</v>
      </c>
      <c r="K497" t="str">
        <f t="shared" si="23"/>
        <v>No</v>
      </c>
      <c r="L497" t="s">
        <v>2380</v>
      </c>
    </row>
    <row r="498" spans="1:12" x14ac:dyDescent="0.35">
      <c r="A498" t="s">
        <v>1874</v>
      </c>
      <c r="B498" t="str">
        <f t="shared" si="21"/>
        <v>Normal Weight</v>
      </c>
      <c r="C498">
        <v>23.37</v>
      </c>
      <c r="D498" t="str">
        <f t="shared" si="22"/>
        <v>Prediabetes</v>
      </c>
      <c r="E498">
        <v>5.8</v>
      </c>
      <c r="F498" t="s">
        <v>2380</v>
      </c>
      <c r="G498" t="s">
        <v>2380</v>
      </c>
      <c r="H498" t="s">
        <v>2380</v>
      </c>
      <c r="J498" t="s">
        <v>2381</v>
      </c>
      <c r="K498" t="str">
        <f t="shared" si="23"/>
        <v>yes</v>
      </c>
      <c r="L498" t="s">
        <v>2382</v>
      </c>
    </row>
    <row r="499" spans="1:12" x14ac:dyDescent="0.35">
      <c r="A499" t="s">
        <v>1873</v>
      </c>
      <c r="B499" t="str">
        <f t="shared" si="21"/>
        <v>Overweight</v>
      </c>
      <c r="C499">
        <v>29.7</v>
      </c>
      <c r="D499" t="str">
        <f t="shared" si="22"/>
        <v>Prediabetes</v>
      </c>
      <c r="E499">
        <v>6.21</v>
      </c>
      <c r="F499" t="s">
        <v>2382</v>
      </c>
      <c r="G499" t="s">
        <v>2380</v>
      </c>
      <c r="H499" t="s">
        <v>2383</v>
      </c>
      <c r="J499">
        <v>1</v>
      </c>
      <c r="K499" t="str">
        <f t="shared" si="23"/>
        <v>yes</v>
      </c>
      <c r="L499" t="s">
        <v>2382</v>
      </c>
    </row>
    <row r="500" spans="1:12" x14ac:dyDescent="0.35">
      <c r="A500" t="s">
        <v>1872</v>
      </c>
      <c r="B500" t="str">
        <f t="shared" si="21"/>
        <v>Normal Weight</v>
      </c>
      <c r="C500">
        <v>20.045000000000002</v>
      </c>
      <c r="D500" t="str">
        <f t="shared" si="22"/>
        <v>Prediabetes</v>
      </c>
      <c r="E500">
        <v>6.17</v>
      </c>
      <c r="F500" t="s">
        <v>2380</v>
      </c>
      <c r="G500" t="s">
        <v>2380</v>
      </c>
      <c r="H500" t="s">
        <v>2383</v>
      </c>
      <c r="J500">
        <v>1</v>
      </c>
      <c r="K500" t="str">
        <f t="shared" si="23"/>
        <v>yes</v>
      </c>
      <c r="L500" t="s">
        <v>2382</v>
      </c>
    </row>
    <row r="501" spans="1:12" x14ac:dyDescent="0.35">
      <c r="A501" t="s">
        <v>1871</v>
      </c>
      <c r="B501" t="str">
        <f t="shared" si="21"/>
        <v>Overweight</v>
      </c>
      <c r="C501">
        <v>27.83</v>
      </c>
      <c r="D501" t="str">
        <f t="shared" si="22"/>
        <v>Normal</v>
      </c>
      <c r="E501">
        <v>5.36</v>
      </c>
      <c r="F501" t="s">
        <v>2380</v>
      </c>
      <c r="G501" t="s">
        <v>2380</v>
      </c>
      <c r="H501" t="s">
        <v>2380</v>
      </c>
      <c r="J501">
        <v>2</v>
      </c>
      <c r="K501" t="str">
        <f t="shared" si="23"/>
        <v>No</v>
      </c>
      <c r="L501" t="s">
        <v>2380</v>
      </c>
    </row>
    <row r="502" spans="1:12" x14ac:dyDescent="0.35">
      <c r="A502" t="s">
        <v>1870</v>
      </c>
      <c r="B502" t="str">
        <f t="shared" si="21"/>
        <v>Overweight</v>
      </c>
      <c r="C502">
        <v>28.93</v>
      </c>
      <c r="D502" t="str">
        <f t="shared" si="22"/>
        <v>Normal</v>
      </c>
      <c r="E502">
        <v>5.2</v>
      </c>
      <c r="F502" t="s">
        <v>2380</v>
      </c>
      <c r="G502" t="s">
        <v>2380</v>
      </c>
      <c r="H502" t="s">
        <v>2380</v>
      </c>
      <c r="J502" t="s">
        <v>2381</v>
      </c>
      <c r="K502" t="str">
        <f t="shared" si="23"/>
        <v>yes</v>
      </c>
      <c r="L502" t="s">
        <v>2382</v>
      </c>
    </row>
    <row r="503" spans="1:12" x14ac:dyDescent="0.35">
      <c r="A503" t="s">
        <v>1869</v>
      </c>
      <c r="B503" t="str">
        <f t="shared" si="21"/>
        <v>Obesity</v>
      </c>
      <c r="C503">
        <v>33.82</v>
      </c>
      <c r="D503" t="str">
        <f t="shared" si="22"/>
        <v>Normal</v>
      </c>
      <c r="E503">
        <v>5.42</v>
      </c>
      <c r="F503" t="s">
        <v>2380</v>
      </c>
      <c r="G503" t="s">
        <v>2380</v>
      </c>
      <c r="H503" t="s">
        <v>2380</v>
      </c>
      <c r="J503" t="s">
        <v>2381</v>
      </c>
      <c r="K503" t="str">
        <f t="shared" si="23"/>
        <v>No</v>
      </c>
      <c r="L503" t="s">
        <v>2380</v>
      </c>
    </row>
    <row r="504" spans="1:12" x14ac:dyDescent="0.35">
      <c r="A504" t="s">
        <v>1868</v>
      </c>
      <c r="B504" t="str">
        <f t="shared" si="21"/>
        <v>Normal Weight</v>
      </c>
      <c r="C504">
        <v>20.234999999999999</v>
      </c>
      <c r="D504" t="str">
        <f t="shared" si="22"/>
        <v>Diabetes</v>
      </c>
      <c r="E504">
        <v>6.84</v>
      </c>
      <c r="F504" t="s">
        <v>2380</v>
      </c>
      <c r="G504" t="s">
        <v>2380</v>
      </c>
      <c r="H504" t="s">
        <v>2380</v>
      </c>
      <c r="J504" t="s">
        <v>2381</v>
      </c>
      <c r="K504" t="str">
        <f t="shared" si="23"/>
        <v>yes</v>
      </c>
      <c r="L504" t="s">
        <v>2382</v>
      </c>
    </row>
    <row r="505" spans="1:12" x14ac:dyDescent="0.35">
      <c r="A505" t="s">
        <v>1867</v>
      </c>
      <c r="B505" t="str">
        <f t="shared" si="21"/>
        <v>Obesity</v>
      </c>
      <c r="C505">
        <v>49.2</v>
      </c>
      <c r="D505" t="str">
        <f t="shared" si="22"/>
        <v>Diabetes</v>
      </c>
      <c r="E505">
        <v>10.9</v>
      </c>
      <c r="F505" t="s">
        <v>2382</v>
      </c>
      <c r="G505" t="s">
        <v>2380</v>
      </c>
      <c r="H505" t="s">
        <v>2383</v>
      </c>
      <c r="J505">
        <v>1</v>
      </c>
      <c r="K505" t="str">
        <f t="shared" si="23"/>
        <v>No</v>
      </c>
      <c r="L505" t="s">
        <v>2380</v>
      </c>
    </row>
    <row r="506" spans="1:12" x14ac:dyDescent="0.35">
      <c r="A506" t="s">
        <v>1866</v>
      </c>
      <c r="B506" t="str">
        <f t="shared" si="21"/>
        <v>Overweight</v>
      </c>
      <c r="C506">
        <v>26.4</v>
      </c>
      <c r="D506" t="str">
        <f t="shared" si="22"/>
        <v>Normal</v>
      </c>
      <c r="E506">
        <v>4.87</v>
      </c>
      <c r="F506" t="s">
        <v>2382</v>
      </c>
      <c r="G506" t="s">
        <v>2380</v>
      </c>
      <c r="H506" t="s">
        <v>2380</v>
      </c>
      <c r="J506" t="s">
        <v>2381</v>
      </c>
      <c r="K506" t="str">
        <f t="shared" si="23"/>
        <v>yes</v>
      </c>
      <c r="L506" t="s">
        <v>2382</v>
      </c>
    </row>
    <row r="507" spans="1:12" x14ac:dyDescent="0.35">
      <c r="A507" t="s">
        <v>1865</v>
      </c>
      <c r="B507" t="str">
        <f t="shared" si="21"/>
        <v>Overweight</v>
      </c>
      <c r="C507">
        <v>28.38</v>
      </c>
      <c r="D507" t="str">
        <f t="shared" si="22"/>
        <v>Prediabetes</v>
      </c>
      <c r="E507">
        <v>6.07</v>
      </c>
      <c r="F507" t="s">
        <v>2380</v>
      </c>
      <c r="G507" t="s">
        <v>2380</v>
      </c>
      <c r="H507" t="s">
        <v>2380</v>
      </c>
      <c r="J507">
        <v>1</v>
      </c>
      <c r="K507" t="str">
        <f t="shared" si="23"/>
        <v>yes</v>
      </c>
      <c r="L507" t="s">
        <v>2382</v>
      </c>
    </row>
    <row r="508" spans="1:12" x14ac:dyDescent="0.35">
      <c r="A508" t="s">
        <v>1864</v>
      </c>
      <c r="B508" t="str">
        <f t="shared" si="21"/>
        <v>Normal Weight</v>
      </c>
      <c r="C508">
        <v>24.64</v>
      </c>
      <c r="D508" t="str">
        <f t="shared" si="22"/>
        <v>Normal</v>
      </c>
      <c r="E508">
        <v>4.33</v>
      </c>
      <c r="F508" t="s">
        <v>2380</v>
      </c>
      <c r="G508" t="s">
        <v>2380</v>
      </c>
      <c r="H508" t="s">
        <v>2380</v>
      </c>
      <c r="J508" t="s">
        <v>2381</v>
      </c>
      <c r="K508" t="str">
        <f t="shared" si="23"/>
        <v>yes</v>
      </c>
      <c r="L508" t="s">
        <v>2382</v>
      </c>
    </row>
    <row r="509" spans="1:12" x14ac:dyDescent="0.35">
      <c r="A509" t="s">
        <v>1863</v>
      </c>
      <c r="B509" t="str">
        <f t="shared" si="21"/>
        <v>Obesity</v>
      </c>
      <c r="C509">
        <v>39.71</v>
      </c>
      <c r="D509" t="str">
        <f t="shared" si="22"/>
        <v>Prediabetes</v>
      </c>
      <c r="E509">
        <v>5.83</v>
      </c>
      <c r="F509" t="s">
        <v>2380</v>
      </c>
      <c r="G509" t="s">
        <v>2380</v>
      </c>
      <c r="H509" t="s">
        <v>2380</v>
      </c>
      <c r="J509">
        <v>1</v>
      </c>
      <c r="K509" t="str">
        <f t="shared" si="23"/>
        <v>No</v>
      </c>
      <c r="L509" t="s">
        <v>2380</v>
      </c>
    </row>
    <row r="510" spans="1:12" x14ac:dyDescent="0.35">
      <c r="A510" t="s">
        <v>1862</v>
      </c>
      <c r="B510" t="str">
        <f t="shared" si="21"/>
        <v>Normal Weight</v>
      </c>
      <c r="C510">
        <v>22.22</v>
      </c>
      <c r="D510" t="str">
        <f t="shared" si="22"/>
        <v>Normal</v>
      </c>
      <c r="E510">
        <v>5.5</v>
      </c>
      <c r="F510" t="s">
        <v>2380</v>
      </c>
      <c r="G510" t="s">
        <v>2380</v>
      </c>
      <c r="H510" t="s">
        <v>2380</v>
      </c>
      <c r="J510" t="s">
        <v>2381</v>
      </c>
      <c r="K510" t="str">
        <f t="shared" si="23"/>
        <v>yes</v>
      </c>
      <c r="L510" t="s">
        <v>2382</v>
      </c>
    </row>
    <row r="511" spans="1:12" x14ac:dyDescent="0.35">
      <c r="A511" t="s">
        <v>1861</v>
      </c>
      <c r="B511" t="str">
        <f t="shared" si="21"/>
        <v>Obesity</v>
      </c>
      <c r="C511">
        <v>33.344999999999999</v>
      </c>
      <c r="D511" t="str">
        <f t="shared" si="22"/>
        <v>Normal</v>
      </c>
      <c r="E511">
        <v>4.79</v>
      </c>
      <c r="F511" t="s">
        <v>2380</v>
      </c>
      <c r="G511" t="s">
        <v>2380</v>
      </c>
      <c r="H511" t="s">
        <v>2383</v>
      </c>
      <c r="J511">
        <v>1</v>
      </c>
      <c r="K511" t="str">
        <f t="shared" si="23"/>
        <v>No</v>
      </c>
      <c r="L511" t="s">
        <v>2380</v>
      </c>
    </row>
    <row r="512" spans="1:12" x14ac:dyDescent="0.35">
      <c r="A512" t="s">
        <v>1860</v>
      </c>
      <c r="B512" t="str">
        <f t="shared" si="21"/>
        <v>Normal Weight</v>
      </c>
      <c r="C512">
        <v>24.42</v>
      </c>
      <c r="D512" t="str">
        <f t="shared" si="22"/>
        <v>Prediabetes</v>
      </c>
      <c r="E512">
        <v>5.81</v>
      </c>
      <c r="F512" t="s">
        <v>2380</v>
      </c>
      <c r="G512" t="s">
        <v>2380</v>
      </c>
      <c r="H512" t="s">
        <v>2380</v>
      </c>
      <c r="J512">
        <v>1</v>
      </c>
      <c r="K512" t="str">
        <f t="shared" si="23"/>
        <v>yes</v>
      </c>
      <c r="L512" t="s">
        <v>2382</v>
      </c>
    </row>
    <row r="513" spans="1:12" x14ac:dyDescent="0.35">
      <c r="A513" t="s">
        <v>1859</v>
      </c>
      <c r="B513" t="str">
        <f t="shared" si="21"/>
        <v>Overweight</v>
      </c>
      <c r="C513">
        <v>29.81</v>
      </c>
      <c r="D513" t="str">
        <f t="shared" si="22"/>
        <v>Normal</v>
      </c>
      <c r="E513">
        <v>5.58</v>
      </c>
      <c r="F513" t="s">
        <v>2380</v>
      </c>
      <c r="G513" t="s">
        <v>2380</v>
      </c>
      <c r="H513" t="s">
        <v>2380</v>
      </c>
      <c r="J513" t="s">
        <v>2381</v>
      </c>
      <c r="K513" t="str">
        <f t="shared" si="23"/>
        <v>yes</v>
      </c>
      <c r="L513" t="s">
        <v>2382</v>
      </c>
    </row>
    <row r="514" spans="1:12" x14ac:dyDescent="0.35">
      <c r="A514" t="s">
        <v>1858</v>
      </c>
      <c r="B514" t="str">
        <f t="shared" si="21"/>
        <v>Obesity</v>
      </c>
      <c r="C514">
        <v>51.18</v>
      </c>
      <c r="D514" t="str">
        <f t="shared" si="22"/>
        <v>Normal</v>
      </c>
      <c r="E514">
        <v>4.4000000000000004</v>
      </c>
      <c r="F514" t="s">
        <v>2382</v>
      </c>
      <c r="G514" t="s">
        <v>2380</v>
      </c>
      <c r="H514" t="s">
        <v>2380</v>
      </c>
      <c r="J514">
        <v>2</v>
      </c>
      <c r="K514" t="str">
        <f t="shared" si="23"/>
        <v>No</v>
      </c>
      <c r="L514" t="s">
        <v>2380</v>
      </c>
    </row>
    <row r="515" spans="1:12" x14ac:dyDescent="0.35">
      <c r="A515" t="s">
        <v>1857</v>
      </c>
      <c r="B515" t="str">
        <f t="shared" ref="B515:B578" si="24">_xlfn.IFS(C515&lt;18.5, "Underweight", C515&lt;=24.9, "Normal Weight", C515&lt;=29.9, "Overweight", C515&gt;=30, "Obesity")</f>
        <v>Obesity</v>
      </c>
      <c r="C515">
        <v>51.37</v>
      </c>
      <c r="D515" t="str">
        <f t="shared" ref="D515:D578" si="25">_xlfn.IFS(E515&lt;5.7, "Normal", E515&lt;=6.4, "Prediabetes", E515&gt;=6.5, "Diabetes")</f>
        <v>Diabetes</v>
      </c>
      <c r="E515">
        <v>8.18</v>
      </c>
      <c r="F515" t="s">
        <v>2382</v>
      </c>
      <c r="G515" t="s">
        <v>2380</v>
      </c>
      <c r="H515" t="s">
        <v>2380</v>
      </c>
      <c r="J515" t="s">
        <v>2381</v>
      </c>
      <c r="K515" t="str">
        <f t="shared" si="23"/>
        <v>No</v>
      </c>
      <c r="L515" t="s">
        <v>2380</v>
      </c>
    </row>
    <row r="516" spans="1:12" x14ac:dyDescent="0.35">
      <c r="A516" t="s">
        <v>1856</v>
      </c>
      <c r="B516" t="str">
        <f t="shared" si="24"/>
        <v>Obesity</v>
      </c>
      <c r="C516">
        <v>36.19</v>
      </c>
      <c r="D516" t="str">
        <f t="shared" si="25"/>
        <v>Normal</v>
      </c>
      <c r="E516">
        <v>5.52</v>
      </c>
      <c r="F516" t="s">
        <v>2382</v>
      </c>
      <c r="G516" t="s">
        <v>2380</v>
      </c>
      <c r="H516" t="s">
        <v>2380</v>
      </c>
      <c r="J516" t="s">
        <v>2381</v>
      </c>
      <c r="K516" t="str">
        <f t="shared" ref="K516:K579" si="26">IF(OR(L516="?", ISBLANK(L516)), "No", L516)</f>
        <v>No</v>
      </c>
      <c r="L516" t="s">
        <v>2380</v>
      </c>
    </row>
    <row r="517" spans="1:12" x14ac:dyDescent="0.35">
      <c r="A517" t="s">
        <v>1855</v>
      </c>
      <c r="B517" t="str">
        <f t="shared" si="24"/>
        <v>Overweight</v>
      </c>
      <c r="C517">
        <v>25.9</v>
      </c>
      <c r="D517" t="str">
        <f t="shared" si="25"/>
        <v>Normal</v>
      </c>
      <c r="E517">
        <v>4.84</v>
      </c>
      <c r="F517" t="s">
        <v>2380</v>
      </c>
      <c r="G517" t="s">
        <v>2380</v>
      </c>
      <c r="H517" t="s">
        <v>2380</v>
      </c>
      <c r="J517" t="s">
        <v>2381</v>
      </c>
      <c r="K517" t="str">
        <f t="shared" si="26"/>
        <v>yes</v>
      </c>
      <c r="L517" t="s">
        <v>2382</v>
      </c>
    </row>
    <row r="518" spans="1:12" x14ac:dyDescent="0.35">
      <c r="A518" t="s">
        <v>1854</v>
      </c>
      <c r="B518" t="str">
        <f t="shared" si="24"/>
        <v>Obesity</v>
      </c>
      <c r="C518">
        <v>35.72</v>
      </c>
      <c r="D518" t="str">
        <f t="shared" si="25"/>
        <v>Normal</v>
      </c>
      <c r="E518">
        <v>4.08</v>
      </c>
      <c r="F518" t="s">
        <v>2380</v>
      </c>
      <c r="G518" t="s">
        <v>2380</v>
      </c>
      <c r="H518" t="s">
        <v>2383</v>
      </c>
      <c r="J518">
        <v>1</v>
      </c>
      <c r="K518" t="str">
        <f t="shared" si="26"/>
        <v>No</v>
      </c>
      <c r="L518" t="s">
        <v>2380</v>
      </c>
    </row>
    <row r="519" spans="1:12" x14ac:dyDescent="0.35">
      <c r="A519" t="s">
        <v>1853</v>
      </c>
      <c r="B519" t="str">
        <f t="shared" si="24"/>
        <v>Overweight</v>
      </c>
      <c r="C519">
        <v>27.94</v>
      </c>
      <c r="D519" t="str">
        <f t="shared" si="25"/>
        <v>Normal</v>
      </c>
      <c r="E519">
        <v>4.4800000000000004</v>
      </c>
      <c r="F519" t="s">
        <v>2380</v>
      </c>
      <c r="G519" t="s">
        <v>2380</v>
      </c>
      <c r="H519" t="s">
        <v>2383</v>
      </c>
      <c r="J519">
        <v>1</v>
      </c>
      <c r="K519" t="str">
        <f t="shared" si="26"/>
        <v>yes</v>
      </c>
      <c r="L519" t="s">
        <v>2382</v>
      </c>
    </row>
    <row r="520" spans="1:12" x14ac:dyDescent="0.35">
      <c r="A520" t="s">
        <v>1852</v>
      </c>
      <c r="B520" t="str">
        <f t="shared" si="24"/>
        <v>Overweight</v>
      </c>
      <c r="C520">
        <v>27.1</v>
      </c>
      <c r="D520" t="str">
        <f t="shared" si="25"/>
        <v>Prediabetes</v>
      </c>
      <c r="E520">
        <v>5.73</v>
      </c>
      <c r="F520" t="s">
        <v>2380</v>
      </c>
      <c r="G520" t="s">
        <v>2380</v>
      </c>
      <c r="H520" t="s">
        <v>2380</v>
      </c>
      <c r="J520" t="s">
        <v>2381</v>
      </c>
      <c r="K520" t="str">
        <f t="shared" si="26"/>
        <v>yes</v>
      </c>
      <c r="L520" t="s">
        <v>2382</v>
      </c>
    </row>
    <row r="521" spans="1:12" x14ac:dyDescent="0.35">
      <c r="A521" t="s">
        <v>1851</v>
      </c>
      <c r="B521" t="str">
        <f t="shared" si="24"/>
        <v>Underweight</v>
      </c>
      <c r="C521">
        <v>18.3</v>
      </c>
      <c r="D521" t="str">
        <f t="shared" si="25"/>
        <v>Normal</v>
      </c>
      <c r="E521">
        <v>5.46</v>
      </c>
      <c r="F521" t="s">
        <v>2382</v>
      </c>
      <c r="G521" t="s">
        <v>2380</v>
      </c>
      <c r="H521" t="s">
        <v>2383</v>
      </c>
      <c r="J521">
        <v>1</v>
      </c>
      <c r="K521" t="str">
        <f t="shared" si="26"/>
        <v>yes</v>
      </c>
      <c r="L521" t="s">
        <v>2382</v>
      </c>
    </row>
    <row r="522" spans="1:12" x14ac:dyDescent="0.35">
      <c r="A522" t="s">
        <v>1850</v>
      </c>
      <c r="B522" t="str">
        <f t="shared" si="24"/>
        <v>Overweight</v>
      </c>
      <c r="C522">
        <v>25.3</v>
      </c>
      <c r="D522" t="str">
        <f t="shared" si="25"/>
        <v>Normal</v>
      </c>
      <c r="E522">
        <v>5.0199999999999996</v>
      </c>
      <c r="F522" t="s">
        <v>2382</v>
      </c>
      <c r="G522" t="s">
        <v>2380</v>
      </c>
      <c r="H522" t="s">
        <v>2380</v>
      </c>
      <c r="J522">
        <v>1</v>
      </c>
      <c r="K522" t="str">
        <f t="shared" si="26"/>
        <v>yes</v>
      </c>
      <c r="L522" t="s">
        <v>2382</v>
      </c>
    </row>
    <row r="523" spans="1:12" x14ac:dyDescent="0.35">
      <c r="A523" t="s">
        <v>1849</v>
      </c>
      <c r="B523" t="str">
        <f t="shared" si="24"/>
        <v>Obesity</v>
      </c>
      <c r="C523">
        <v>38.83</v>
      </c>
      <c r="D523" t="str">
        <f t="shared" si="25"/>
        <v>Prediabetes</v>
      </c>
      <c r="E523">
        <v>6.36</v>
      </c>
      <c r="F523" t="s">
        <v>2380</v>
      </c>
      <c r="G523" t="s">
        <v>2380</v>
      </c>
      <c r="H523" t="s">
        <v>2380</v>
      </c>
      <c r="J523">
        <v>1</v>
      </c>
      <c r="K523" t="str">
        <f t="shared" si="26"/>
        <v>No</v>
      </c>
      <c r="L523" t="s">
        <v>2380</v>
      </c>
    </row>
    <row r="524" spans="1:12" x14ac:dyDescent="0.35">
      <c r="A524" t="s">
        <v>1848</v>
      </c>
      <c r="B524" t="str">
        <f t="shared" si="24"/>
        <v>Overweight</v>
      </c>
      <c r="C524">
        <v>27.6</v>
      </c>
      <c r="D524" t="str">
        <f t="shared" si="25"/>
        <v>Normal</v>
      </c>
      <c r="E524">
        <v>5.36</v>
      </c>
      <c r="F524" t="s">
        <v>2380</v>
      </c>
      <c r="G524" t="s">
        <v>2380</v>
      </c>
      <c r="H524" t="s">
        <v>2380</v>
      </c>
      <c r="J524">
        <v>1</v>
      </c>
      <c r="K524" t="str">
        <f t="shared" si="26"/>
        <v>No</v>
      </c>
      <c r="L524" t="s">
        <v>2380</v>
      </c>
    </row>
    <row r="525" spans="1:12" x14ac:dyDescent="0.35">
      <c r="A525" t="s">
        <v>1847</v>
      </c>
      <c r="B525" t="str">
        <f t="shared" si="24"/>
        <v>Obesity</v>
      </c>
      <c r="C525">
        <v>46.4</v>
      </c>
      <c r="D525" t="str">
        <f t="shared" si="25"/>
        <v>Diabetes</v>
      </c>
      <c r="E525">
        <v>8.3699999999999992</v>
      </c>
      <c r="F525" t="s">
        <v>2382</v>
      </c>
      <c r="G525" t="s">
        <v>2380</v>
      </c>
      <c r="H525" t="s">
        <v>2383</v>
      </c>
      <c r="J525">
        <v>1</v>
      </c>
      <c r="K525" t="str">
        <f t="shared" si="26"/>
        <v>No</v>
      </c>
      <c r="L525" t="s">
        <v>2380</v>
      </c>
    </row>
    <row r="526" spans="1:12" x14ac:dyDescent="0.35">
      <c r="A526" t="s">
        <v>1846</v>
      </c>
      <c r="B526" t="str">
        <f t="shared" si="24"/>
        <v>Obesity</v>
      </c>
      <c r="C526">
        <v>51.92</v>
      </c>
      <c r="D526" t="str">
        <f t="shared" si="25"/>
        <v>Normal</v>
      </c>
      <c r="E526">
        <v>5.18</v>
      </c>
      <c r="F526" t="s">
        <v>2382</v>
      </c>
      <c r="G526" t="s">
        <v>2380</v>
      </c>
      <c r="H526" t="s">
        <v>2383</v>
      </c>
      <c r="J526">
        <v>1</v>
      </c>
      <c r="K526" t="str">
        <f t="shared" si="26"/>
        <v>No</v>
      </c>
      <c r="L526" t="s">
        <v>2380</v>
      </c>
    </row>
    <row r="527" spans="1:12" x14ac:dyDescent="0.35">
      <c r="A527" t="s">
        <v>1845</v>
      </c>
      <c r="B527" t="str">
        <f t="shared" si="24"/>
        <v>Obesity</v>
      </c>
      <c r="C527">
        <v>32.395000000000003</v>
      </c>
      <c r="D527" t="str">
        <f t="shared" si="25"/>
        <v>Normal</v>
      </c>
      <c r="E527">
        <v>5.68</v>
      </c>
      <c r="F527" t="s">
        <v>2382</v>
      </c>
      <c r="G527" t="s">
        <v>2380</v>
      </c>
      <c r="H527" t="s">
        <v>2380</v>
      </c>
      <c r="J527">
        <v>1</v>
      </c>
      <c r="K527" t="str">
        <f t="shared" si="26"/>
        <v>No</v>
      </c>
      <c r="L527" t="s">
        <v>2380</v>
      </c>
    </row>
    <row r="528" spans="1:12" x14ac:dyDescent="0.35">
      <c r="A528" t="s">
        <v>1844</v>
      </c>
      <c r="B528" t="str">
        <f t="shared" si="24"/>
        <v>Obesity</v>
      </c>
      <c r="C528">
        <v>46.19</v>
      </c>
      <c r="D528" t="str">
        <f t="shared" si="25"/>
        <v>Diabetes</v>
      </c>
      <c r="E528">
        <v>7.31</v>
      </c>
      <c r="F528" t="s">
        <v>2382</v>
      </c>
      <c r="G528" t="s">
        <v>2380</v>
      </c>
      <c r="H528" t="s">
        <v>2383</v>
      </c>
      <c r="J528">
        <v>1</v>
      </c>
      <c r="K528" t="str">
        <f t="shared" si="26"/>
        <v>No</v>
      </c>
      <c r="L528" t="s">
        <v>2380</v>
      </c>
    </row>
    <row r="529" spans="1:12" x14ac:dyDescent="0.35">
      <c r="A529" t="s">
        <v>1843</v>
      </c>
      <c r="B529" t="str">
        <f t="shared" si="24"/>
        <v>Overweight</v>
      </c>
      <c r="C529">
        <v>27.93</v>
      </c>
      <c r="D529" t="str">
        <f t="shared" si="25"/>
        <v>Normal</v>
      </c>
      <c r="E529">
        <v>4.67</v>
      </c>
      <c r="F529" t="s">
        <v>2380</v>
      </c>
      <c r="G529" t="s">
        <v>2380</v>
      </c>
      <c r="H529" t="s">
        <v>2383</v>
      </c>
      <c r="J529">
        <v>1</v>
      </c>
      <c r="K529" t="str">
        <f t="shared" si="26"/>
        <v>No</v>
      </c>
      <c r="L529" t="s">
        <v>2380</v>
      </c>
    </row>
    <row r="530" spans="1:12" x14ac:dyDescent="0.35">
      <c r="A530" t="s">
        <v>1842</v>
      </c>
      <c r="B530" t="str">
        <f t="shared" si="24"/>
        <v>Obesity</v>
      </c>
      <c r="C530">
        <v>45.62</v>
      </c>
      <c r="D530" t="str">
        <f t="shared" si="25"/>
        <v>Diabetes</v>
      </c>
      <c r="E530">
        <v>6.87</v>
      </c>
      <c r="F530" t="s">
        <v>2380</v>
      </c>
      <c r="G530" t="s">
        <v>2380</v>
      </c>
      <c r="H530" t="s">
        <v>2380</v>
      </c>
      <c r="J530" t="s">
        <v>2381</v>
      </c>
      <c r="K530" t="str">
        <f t="shared" si="26"/>
        <v>No</v>
      </c>
      <c r="L530" t="s">
        <v>2380</v>
      </c>
    </row>
    <row r="531" spans="1:12" x14ac:dyDescent="0.35">
      <c r="A531" t="s">
        <v>1841</v>
      </c>
      <c r="B531" t="str">
        <f t="shared" si="24"/>
        <v>Obesity</v>
      </c>
      <c r="C531">
        <v>35.31</v>
      </c>
      <c r="D531" t="str">
        <f t="shared" si="25"/>
        <v>Prediabetes</v>
      </c>
      <c r="E531">
        <v>5.87</v>
      </c>
      <c r="F531" t="s">
        <v>2380</v>
      </c>
      <c r="G531" t="s">
        <v>2380</v>
      </c>
      <c r="H531" t="s">
        <v>2383</v>
      </c>
      <c r="J531">
        <v>1</v>
      </c>
      <c r="K531" t="str">
        <f t="shared" si="26"/>
        <v>No</v>
      </c>
      <c r="L531" t="s">
        <v>2380</v>
      </c>
    </row>
    <row r="532" spans="1:12" x14ac:dyDescent="0.35">
      <c r="A532" t="s">
        <v>1840</v>
      </c>
      <c r="B532" t="str">
        <f t="shared" si="24"/>
        <v>Obesity</v>
      </c>
      <c r="C532">
        <v>30.4</v>
      </c>
      <c r="D532" t="str">
        <f t="shared" si="25"/>
        <v>Normal</v>
      </c>
      <c r="E532">
        <v>4.07</v>
      </c>
      <c r="F532" t="s">
        <v>2382</v>
      </c>
      <c r="G532" t="s">
        <v>2380</v>
      </c>
      <c r="H532" t="s">
        <v>2380</v>
      </c>
      <c r="J532">
        <v>1</v>
      </c>
      <c r="K532" t="str">
        <f t="shared" si="26"/>
        <v>No</v>
      </c>
      <c r="L532" t="s">
        <v>2380</v>
      </c>
    </row>
    <row r="533" spans="1:12" x14ac:dyDescent="0.35">
      <c r="A533" t="s">
        <v>1839</v>
      </c>
      <c r="B533" t="str">
        <f t="shared" si="24"/>
        <v>Normal Weight</v>
      </c>
      <c r="C533">
        <v>20.13</v>
      </c>
      <c r="D533" t="e">
        <f t="shared" si="25"/>
        <v>#N/A</v>
      </c>
      <c r="E533">
        <v>6.47</v>
      </c>
      <c r="F533" t="s">
        <v>2380</v>
      </c>
      <c r="G533" t="s">
        <v>2380</v>
      </c>
      <c r="H533" t="s">
        <v>2383</v>
      </c>
      <c r="J533">
        <v>1</v>
      </c>
      <c r="K533" t="str">
        <f t="shared" si="26"/>
        <v>yes</v>
      </c>
      <c r="L533" t="s">
        <v>2382</v>
      </c>
    </row>
    <row r="534" spans="1:12" x14ac:dyDescent="0.35">
      <c r="A534" t="s">
        <v>1838</v>
      </c>
      <c r="B534" t="str">
        <f t="shared" si="24"/>
        <v>Normal Weight</v>
      </c>
      <c r="C534">
        <v>23.655000000000001</v>
      </c>
      <c r="D534" t="str">
        <f t="shared" si="25"/>
        <v>Normal</v>
      </c>
      <c r="E534">
        <v>5.14</v>
      </c>
      <c r="F534" t="s">
        <v>2380</v>
      </c>
      <c r="G534" t="s">
        <v>2380</v>
      </c>
      <c r="H534" t="s">
        <v>2380</v>
      </c>
      <c r="J534">
        <v>1</v>
      </c>
      <c r="K534" t="str">
        <f t="shared" si="26"/>
        <v>yes</v>
      </c>
      <c r="L534" t="s">
        <v>2382</v>
      </c>
    </row>
    <row r="535" spans="1:12" x14ac:dyDescent="0.35">
      <c r="A535" t="s">
        <v>1837</v>
      </c>
      <c r="B535" t="str">
        <f t="shared" si="24"/>
        <v>Obesity</v>
      </c>
      <c r="C535">
        <v>49.05</v>
      </c>
      <c r="D535" t="str">
        <f t="shared" si="25"/>
        <v>Diabetes</v>
      </c>
      <c r="E535">
        <v>9.77</v>
      </c>
      <c r="F535" t="s">
        <v>2382</v>
      </c>
      <c r="G535" t="s">
        <v>2380</v>
      </c>
      <c r="H535" t="s">
        <v>2380</v>
      </c>
      <c r="J535" t="s">
        <v>2381</v>
      </c>
      <c r="K535" t="str">
        <f t="shared" si="26"/>
        <v>No</v>
      </c>
      <c r="L535" t="s">
        <v>2380</v>
      </c>
    </row>
    <row r="536" spans="1:12" x14ac:dyDescent="0.35">
      <c r="A536" t="s">
        <v>1836</v>
      </c>
      <c r="B536" t="str">
        <f t="shared" si="24"/>
        <v>Obesity</v>
      </c>
      <c r="C536">
        <v>51.94</v>
      </c>
      <c r="D536" t="str">
        <f t="shared" si="25"/>
        <v>Diabetes</v>
      </c>
      <c r="E536">
        <v>8.8000000000000007</v>
      </c>
      <c r="F536" t="s">
        <v>2382</v>
      </c>
      <c r="G536" t="s">
        <v>2380</v>
      </c>
      <c r="H536" t="s">
        <v>2380</v>
      </c>
      <c r="J536">
        <v>2</v>
      </c>
      <c r="K536" t="str">
        <f t="shared" si="26"/>
        <v>No</v>
      </c>
      <c r="L536" t="s">
        <v>2380</v>
      </c>
    </row>
    <row r="537" spans="1:12" x14ac:dyDescent="0.35">
      <c r="A537" t="s">
        <v>1835</v>
      </c>
      <c r="B537" t="str">
        <f t="shared" si="24"/>
        <v>Overweight</v>
      </c>
      <c r="C537">
        <v>29.83</v>
      </c>
      <c r="D537" t="str">
        <f t="shared" si="25"/>
        <v>Prediabetes</v>
      </c>
      <c r="E537">
        <v>5.84</v>
      </c>
      <c r="F537" t="s">
        <v>2380</v>
      </c>
      <c r="G537" t="s">
        <v>2380</v>
      </c>
      <c r="H537" t="s">
        <v>2380</v>
      </c>
      <c r="J537">
        <v>1</v>
      </c>
      <c r="K537" t="str">
        <f t="shared" si="26"/>
        <v>yes</v>
      </c>
      <c r="L537" t="s">
        <v>2382</v>
      </c>
    </row>
    <row r="538" spans="1:12" x14ac:dyDescent="0.35">
      <c r="A538" t="s">
        <v>1834</v>
      </c>
      <c r="B538" t="str">
        <f t="shared" si="24"/>
        <v>Normal Weight</v>
      </c>
      <c r="C538">
        <v>22.6</v>
      </c>
      <c r="D538" t="str">
        <f t="shared" si="25"/>
        <v>Diabetes</v>
      </c>
      <c r="E538">
        <v>10.43</v>
      </c>
      <c r="F538" t="s">
        <v>2382</v>
      </c>
      <c r="G538" t="s">
        <v>2380</v>
      </c>
      <c r="H538" t="s">
        <v>2380</v>
      </c>
      <c r="J538">
        <v>1</v>
      </c>
      <c r="K538" t="str">
        <f t="shared" si="26"/>
        <v>yes</v>
      </c>
      <c r="L538" t="s">
        <v>2382</v>
      </c>
    </row>
    <row r="539" spans="1:12" x14ac:dyDescent="0.35">
      <c r="A539" t="s">
        <v>1833</v>
      </c>
      <c r="B539" t="str">
        <f t="shared" si="24"/>
        <v>Obesity</v>
      </c>
      <c r="C539">
        <v>46.69</v>
      </c>
      <c r="D539" t="str">
        <f t="shared" si="25"/>
        <v>Normal</v>
      </c>
      <c r="E539">
        <v>4.25</v>
      </c>
      <c r="F539" t="s">
        <v>2382</v>
      </c>
      <c r="G539" t="s">
        <v>2380</v>
      </c>
      <c r="H539" t="s">
        <v>2380</v>
      </c>
      <c r="J539">
        <v>1</v>
      </c>
      <c r="K539" t="str">
        <f t="shared" si="26"/>
        <v>No</v>
      </c>
      <c r="L539" t="s">
        <v>2380</v>
      </c>
    </row>
    <row r="540" spans="1:12" x14ac:dyDescent="0.35">
      <c r="A540" t="s">
        <v>1832</v>
      </c>
      <c r="B540" t="str">
        <f t="shared" si="24"/>
        <v>Overweight</v>
      </c>
      <c r="C540">
        <v>28.49</v>
      </c>
      <c r="D540" t="str">
        <f t="shared" si="25"/>
        <v>Normal</v>
      </c>
      <c r="E540">
        <v>4.8899999999999997</v>
      </c>
      <c r="F540" t="s">
        <v>2380</v>
      </c>
      <c r="G540" t="s">
        <v>2380</v>
      </c>
      <c r="H540" t="s">
        <v>2380</v>
      </c>
      <c r="J540" t="s">
        <v>2381</v>
      </c>
      <c r="K540" t="str">
        <f t="shared" si="26"/>
        <v>yes</v>
      </c>
      <c r="L540" t="s">
        <v>2382</v>
      </c>
    </row>
    <row r="541" spans="1:12" x14ac:dyDescent="0.35">
      <c r="A541" t="s">
        <v>1831</v>
      </c>
      <c r="B541" t="str">
        <f t="shared" si="24"/>
        <v>Overweight</v>
      </c>
      <c r="C541">
        <v>28.5</v>
      </c>
      <c r="D541" t="str">
        <f t="shared" si="25"/>
        <v>Normal</v>
      </c>
      <c r="E541">
        <v>5.55</v>
      </c>
      <c r="F541" t="s">
        <v>2382</v>
      </c>
      <c r="G541" t="s">
        <v>2380</v>
      </c>
      <c r="H541" t="s">
        <v>2380</v>
      </c>
      <c r="J541">
        <v>1</v>
      </c>
      <c r="K541" t="str">
        <f t="shared" si="26"/>
        <v>yes</v>
      </c>
      <c r="L541" t="s">
        <v>2382</v>
      </c>
    </row>
    <row r="542" spans="1:12" x14ac:dyDescent="0.35">
      <c r="A542" t="s">
        <v>1830</v>
      </c>
      <c r="B542" t="str">
        <f t="shared" si="24"/>
        <v>Normal Weight</v>
      </c>
      <c r="C542">
        <v>24.4</v>
      </c>
      <c r="D542" t="str">
        <f t="shared" si="25"/>
        <v>Normal</v>
      </c>
      <c r="E542">
        <v>4.5199999999999996</v>
      </c>
      <c r="F542" t="s">
        <v>2380</v>
      </c>
      <c r="G542" t="s">
        <v>2380</v>
      </c>
      <c r="H542" t="s">
        <v>2380</v>
      </c>
      <c r="J542">
        <v>1</v>
      </c>
      <c r="K542" t="str">
        <f t="shared" si="26"/>
        <v>yes</v>
      </c>
      <c r="L542" t="s">
        <v>2382</v>
      </c>
    </row>
    <row r="543" spans="1:12" x14ac:dyDescent="0.35">
      <c r="A543" t="s">
        <v>1829</v>
      </c>
      <c r="B543" t="str">
        <f t="shared" si="24"/>
        <v>Overweight</v>
      </c>
      <c r="C543">
        <v>29.15</v>
      </c>
      <c r="D543" t="str">
        <f t="shared" si="25"/>
        <v>Normal</v>
      </c>
      <c r="E543">
        <v>4.45</v>
      </c>
      <c r="F543" t="s">
        <v>2382</v>
      </c>
      <c r="G543" t="s">
        <v>2380</v>
      </c>
      <c r="H543" t="s">
        <v>2380</v>
      </c>
      <c r="J543">
        <v>1</v>
      </c>
      <c r="K543" t="str">
        <f t="shared" si="26"/>
        <v>yes</v>
      </c>
      <c r="L543" t="s">
        <v>2382</v>
      </c>
    </row>
    <row r="544" spans="1:12" x14ac:dyDescent="0.35">
      <c r="A544" t="s">
        <v>1828</v>
      </c>
      <c r="B544" t="str">
        <f t="shared" si="24"/>
        <v>Overweight</v>
      </c>
      <c r="C544">
        <v>27.28</v>
      </c>
      <c r="D544" t="str">
        <f t="shared" si="25"/>
        <v>Normal</v>
      </c>
      <c r="E544">
        <v>4.72</v>
      </c>
      <c r="F544" t="s">
        <v>2380</v>
      </c>
      <c r="G544" t="s">
        <v>2382</v>
      </c>
      <c r="H544" t="s">
        <v>2380</v>
      </c>
      <c r="J544">
        <v>1</v>
      </c>
      <c r="K544" t="str">
        <f t="shared" si="26"/>
        <v>yes</v>
      </c>
      <c r="L544" t="s">
        <v>2382</v>
      </c>
    </row>
    <row r="545" spans="1:12" x14ac:dyDescent="0.35">
      <c r="A545" t="s">
        <v>1827</v>
      </c>
      <c r="B545" t="str">
        <f t="shared" si="24"/>
        <v>Obesity</v>
      </c>
      <c r="C545">
        <v>32.229999999999997</v>
      </c>
      <c r="D545" t="str">
        <f t="shared" si="25"/>
        <v>Normal</v>
      </c>
      <c r="E545">
        <v>4.6500000000000004</v>
      </c>
      <c r="F545" t="s">
        <v>2382</v>
      </c>
      <c r="G545" t="s">
        <v>2380</v>
      </c>
      <c r="H545" t="s">
        <v>2383</v>
      </c>
      <c r="J545">
        <v>1</v>
      </c>
      <c r="K545" t="str">
        <f t="shared" si="26"/>
        <v>No</v>
      </c>
      <c r="L545" t="s">
        <v>2380</v>
      </c>
    </row>
    <row r="546" spans="1:12" x14ac:dyDescent="0.35">
      <c r="A546" t="s">
        <v>1826</v>
      </c>
      <c r="B546" t="str">
        <f t="shared" si="24"/>
        <v>Obesity</v>
      </c>
      <c r="C546">
        <v>44.2</v>
      </c>
      <c r="D546" t="str">
        <f t="shared" si="25"/>
        <v>Diabetes</v>
      </c>
      <c r="E546">
        <v>11.34</v>
      </c>
      <c r="F546" t="s">
        <v>2382</v>
      </c>
      <c r="G546" t="s">
        <v>2380</v>
      </c>
      <c r="H546" t="s">
        <v>2383</v>
      </c>
      <c r="J546">
        <v>1</v>
      </c>
      <c r="K546" t="str">
        <f t="shared" si="26"/>
        <v>No</v>
      </c>
      <c r="L546" t="s">
        <v>2380</v>
      </c>
    </row>
    <row r="547" spans="1:12" x14ac:dyDescent="0.35">
      <c r="A547" t="s">
        <v>1825</v>
      </c>
      <c r="B547" t="str">
        <f t="shared" si="24"/>
        <v>Overweight</v>
      </c>
      <c r="C547">
        <v>29.734999999999999</v>
      </c>
      <c r="D547" t="str">
        <f t="shared" si="25"/>
        <v>Normal</v>
      </c>
      <c r="E547">
        <v>4.53</v>
      </c>
      <c r="F547" t="s">
        <v>2380</v>
      </c>
      <c r="G547" t="s">
        <v>2380</v>
      </c>
      <c r="H547" t="s">
        <v>2383</v>
      </c>
      <c r="J547">
        <v>1</v>
      </c>
      <c r="K547" t="str">
        <f t="shared" si="26"/>
        <v>No</v>
      </c>
      <c r="L547" t="s">
        <v>2380</v>
      </c>
    </row>
    <row r="548" spans="1:12" x14ac:dyDescent="0.35">
      <c r="A548" t="s">
        <v>1824</v>
      </c>
      <c r="B548" t="str">
        <f t="shared" si="24"/>
        <v>Overweight</v>
      </c>
      <c r="C548">
        <v>28.31</v>
      </c>
      <c r="D548" t="str">
        <f t="shared" si="25"/>
        <v>Prediabetes</v>
      </c>
      <c r="E548">
        <v>6.35</v>
      </c>
      <c r="F548" t="s">
        <v>2380</v>
      </c>
      <c r="G548" t="s">
        <v>2380</v>
      </c>
      <c r="H548" t="s">
        <v>2380</v>
      </c>
      <c r="J548" t="s">
        <v>2381</v>
      </c>
      <c r="K548" t="str">
        <f t="shared" si="26"/>
        <v>yes</v>
      </c>
      <c r="L548" t="s">
        <v>2382</v>
      </c>
    </row>
    <row r="549" spans="1:12" x14ac:dyDescent="0.35">
      <c r="A549" t="s">
        <v>1823</v>
      </c>
      <c r="B549" t="str">
        <f t="shared" si="24"/>
        <v>Obesity</v>
      </c>
      <c r="C549">
        <v>46.62</v>
      </c>
      <c r="D549" t="str">
        <f t="shared" si="25"/>
        <v>Diabetes</v>
      </c>
      <c r="E549">
        <v>8.51</v>
      </c>
      <c r="F549" t="s">
        <v>2380</v>
      </c>
      <c r="G549" t="s">
        <v>2380</v>
      </c>
      <c r="H549" t="s">
        <v>2380</v>
      </c>
      <c r="J549" t="s">
        <v>2381</v>
      </c>
      <c r="K549" t="str">
        <f t="shared" si="26"/>
        <v>No</v>
      </c>
      <c r="L549" t="s">
        <v>2380</v>
      </c>
    </row>
    <row r="550" spans="1:12" x14ac:dyDescent="0.35">
      <c r="A550" t="s">
        <v>1822</v>
      </c>
      <c r="B550" t="str">
        <f t="shared" si="24"/>
        <v>Obesity</v>
      </c>
      <c r="C550">
        <v>51.75</v>
      </c>
      <c r="D550" t="str">
        <f t="shared" si="25"/>
        <v>Diabetes</v>
      </c>
      <c r="E550">
        <v>8.59</v>
      </c>
      <c r="F550" t="s">
        <v>2382</v>
      </c>
      <c r="G550" t="s">
        <v>2380</v>
      </c>
      <c r="H550" t="s">
        <v>2380</v>
      </c>
      <c r="J550">
        <v>1</v>
      </c>
      <c r="K550" t="str">
        <f t="shared" si="26"/>
        <v>No</v>
      </c>
      <c r="L550" t="s">
        <v>2380</v>
      </c>
    </row>
    <row r="551" spans="1:12" x14ac:dyDescent="0.35">
      <c r="A551" t="s">
        <v>1821</v>
      </c>
      <c r="B551" t="str">
        <f t="shared" si="24"/>
        <v>Overweight</v>
      </c>
      <c r="C551">
        <v>25.7</v>
      </c>
      <c r="D551" t="str">
        <f t="shared" si="25"/>
        <v>Normal</v>
      </c>
      <c r="E551">
        <v>4.13</v>
      </c>
      <c r="F551" t="s">
        <v>2382</v>
      </c>
      <c r="G551" t="s">
        <v>2380</v>
      </c>
      <c r="H551" t="s">
        <v>2380</v>
      </c>
      <c r="J551" t="s">
        <v>2381</v>
      </c>
      <c r="K551" t="str">
        <f t="shared" si="26"/>
        <v>yes</v>
      </c>
      <c r="L551" t="s">
        <v>2382</v>
      </c>
    </row>
    <row r="552" spans="1:12" x14ac:dyDescent="0.35">
      <c r="A552" t="s">
        <v>1820</v>
      </c>
      <c r="B552" t="str">
        <f t="shared" si="24"/>
        <v>Obesity</v>
      </c>
      <c r="C552">
        <v>31.79</v>
      </c>
      <c r="D552" t="str">
        <f t="shared" si="25"/>
        <v>Normal</v>
      </c>
      <c r="E552">
        <v>4.55</v>
      </c>
      <c r="F552" t="s">
        <v>2380</v>
      </c>
      <c r="G552" t="s">
        <v>2380</v>
      </c>
      <c r="H552" t="s">
        <v>2380</v>
      </c>
      <c r="J552" t="s">
        <v>2381</v>
      </c>
      <c r="K552" t="str">
        <f t="shared" si="26"/>
        <v>No</v>
      </c>
      <c r="L552" t="s">
        <v>2380</v>
      </c>
    </row>
    <row r="553" spans="1:12" x14ac:dyDescent="0.35">
      <c r="A553" t="s">
        <v>1819</v>
      </c>
      <c r="B553" t="str">
        <f t="shared" si="24"/>
        <v>Normal Weight</v>
      </c>
      <c r="C553">
        <v>24.795000000000002</v>
      </c>
      <c r="D553" t="str">
        <f t="shared" si="25"/>
        <v>Normal</v>
      </c>
      <c r="E553">
        <v>4.5199999999999996</v>
      </c>
      <c r="F553" t="s">
        <v>2380</v>
      </c>
      <c r="G553" t="s">
        <v>2380</v>
      </c>
      <c r="H553" t="s">
        <v>2380</v>
      </c>
      <c r="J553" t="s">
        <v>2381</v>
      </c>
      <c r="K553" t="str">
        <f t="shared" si="26"/>
        <v>yes</v>
      </c>
      <c r="L553" t="s">
        <v>2382</v>
      </c>
    </row>
    <row r="554" spans="1:12" x14ac:dyDescent="0.35">
      <c r="A554" t="s">
        <v>1818</v>
      </c>
      <c r="B554" t="str">
        <f t="shared" si="24"/>
        <v>Obesity</v>
      </c>
      <c r="C554">
        <v>53.98</v>
      </c>
      <c r="D554" t="str">
        <f t="shared" si="25"/>
        <v>Normal</v>
      </c>
      <c r="E554">
        <v>5.07</v>
      </c>
      <c r="F554" t="s">
        <v>2380</v>
      </c>
      <c r="G554" t="s">
        <v>2380</v>
      </c>
      <c r="H554" t="s">
        <v>2383</v>
      </c>
      <c r="J554">
        <v>1</v>
      </c>
      <c r="K554" t="str">
        <f t="shared" si="26"/>
        <v>No</v>
      </c>
      <c r="L554" t="s">
        <v>2380</v>
      </c>
    </row>
    <row r="555" spans="1:12" x14ac:dyDescent="0.35">
      <c r="A555" t="s">
        <v>1817</v>
      </c>
      <c r="B555" t="str">
        <f t="shared" si="24"/>
        <v>Obesity</v>
      </c>
      <c r="C555">
        <v>41.325000000000003</v>
      </c>
      <c r="D555" t="str">
        <f t="shared" si="25"/>
        <v>Normal</v>
      </c>
      <c r="E555">
        <v>4.04</v>
      </c>
      <c r="F555" t="s">
        <v>2382</v>
      </c>
      <c r="G555" t="s">
        <v>2380</v>
      </c>
      <c r="H555" t="s">
        <v>2383</v>
      </c>
      <c r="J555">
        <v>1</v>
      </c>
      <c r="K555" t="str">
        <f t="shared" si="26"/>
        <v>No</v>
      </c>
      <c r="L555" t="s">
        <v>2380</v>
      </c>
    </row>
    <row r="556" spans="1:12" x14ac:dyDescent="0.35">
      <c r="A556" t="s">
        <v>1816</v>
      </c>
      <c r="B556" t="str">
        <f t="shared" si="24"/>
        <v>Obesity</v>
      </c>
      <c r="C556">
        <v>51.65</v>
      </c>
      <c r="D556" t="str">
        <f t="shared" si="25"/>
        <v>Normal</v>
      </c>
      <c r="E556">
        <v>5.3</v>
      </c>
      <c r="F556" t="s">
        <v>2382</v>
      </c>
      <c r="G556" t="s">
        <v>2380</v>
      </c>
      <c r="H556" t="s">
        <v>2380</v>
      </c>
      <c r="J556" t="s">
        <v>2381</v>
      </c>
      <c r="K556" t="str">
        <f t="shared" si="26"/>
        <v>No</v>
      </c>
      <c r="L556" t="s">
        <v>2380</v>
      </c>
    </row>
    <row r="557" spans="1:12" x14ac:dyDescent="0.35">
      <c r="A557" t="s">
        <v>1815</v>
      </c>
      <c r="B557" t="str">
        <f t="shared" si="24"/>
        <v>Obesity</v>
      </c>
      <c r="C557">
        <v>44.52</v>
      </c>
      <c r="D557" t="str">
        <f t="shared" si="25"/>
        <v>Diabetes</v>
      </c>
      <c r="E557">
        <v>8.64</v>
      </c>
      <c r="F557" t="s">
        <v>2382</v>
      </c>
      <c r="G557" t="s">
        <v>2380</v>
      </c>
      <c r="H557" t="s">
        <v>2383</v>
      </c>
      <c r="J557">
        <v>1</v>
      </c>
      <c r="K557" t="str">
        <f t="shared" si="26"/>
        <v>No</v>
      </c>
      <c r="L557" t="s">
        <v>2380</v>
      </c>
    </row>
    <row r="558" spans="1:12" x14ac:dyDescent="0.35">
      <c r="A558" t="s">
        <v>1814</v>
      </c>
      <c r="B558" t="str">
        <f t="shared" si="24"/>
        <v>Obesity</v>
      </c>
      <c r="C558">
        <v>53.29</v>
      </c>
      <c r="D558" t="str">
        <f t="shared" si="25"/>
        <v>Normal</v>
      </c>
      <c r="E558">
        <v>4.03</v>
      </c>
      <c r="F558" t="s">
        <v>2380</v>
      </c>
      <c r="G558" t="s">
        <v>2380</v>
      </c>
      <c r="H558" t="s">
        <v>2383</v>
      </c>
      <c r="J558">
        <v>1</v>
      </c>
      <c r="K558" t="str">
        <f t="shared" si="26"/>
        <v>No</v>
      </c>
      <c r="L558" t="s">
        <v>2380</v>
      </c>
    </row>
    <row r="559" spans="1:12" x14ac:dyDescent="0.35">
      <c r="A559" t="s">
        <v>1813</v>
      </c>
      <c r="B559" t="str">
        <f t="shared" si="24"/>
        <v>Obesity</v>
      </c>
      <c r="C559">
        <v>46.63</v>
      </c>
      <c r="D559" t="str">
        <f t="shared" si="25"/>
        <v>Normal</v>
      </c>
      <c r="E559">
        <v>4.26</v>
      </c>
      <c r="F559" t="s">
        <v>2382</v>
      </c>
      <c r="G559" t="s">
        <v>2380</v>
      </c>
      <c r="H559" t="s">
        <v>2380</v>
      </c>
      <c r="J559">
        <v>2</v>
      </c>
      <c r="K559" t="str">
        <f t="shared" si="26"/>
        <v>No</v>
      </c>
      <c r="L559" t="s">
        <v>2380</v>
      </c>
    </row>
    <row r="560" spans="1:12" x14ac:dyDescent="0.35">
      <c r="A560" t="s">
        <v>1812</v>
      </c>
      <c r="B560" t="str">
        <f t="shared" si="24"/>
        <v>Overweight</v>
      </c>
      <c r="C560">
        <v>28.88</v>
      </c>
      <c r="D560" t="str">
        <f t="shared" si="25"/>
        <v>Normal</v>
      </c>
      <c r="E560">
        <v>5.35</v>
      </c>
      <c r="F560" t="s">
        <v>2380</v>
      </c>
      <c r="G560" t="s">
        <v>2380</v>
      </c>
      <c r="H560" t="s">
        <v>2383</v>
      </c>
      <c r="J560">
        <v>1</v>
      </c>
      <c r="K560" t="str">
        <f t="shared" si="26"/>
        <v>yes</v>
      </c>
      <c r="L560" t="s">
        <v>2382</v>
      </c>
    </row>
    <row r="561" spans="1:12" x14ac:dyDescent="0.35">
      <c r="A561" t="s">
        <v>1811</v>
      </c>
      <c r="B561" t="str">
        <f t="shared" si="24"/>
        <v>Normal Weight</v>
      </c>
      <c r="C561">
        <v>23.98</v>
      </c>
      <c r="D561" t="str">
        <f t="shared" si="25"/>
        <v>Normal</v>
      </c>
      <c r="E561">
        <v>4.9000000000000004</v>
      </c>
      <c r="F561" t="s">
        <v>2380</v>
      </c>
      <c r="G561" t="s">
        <v>2380</v>
      </c>
      <c r="H561" t="s">
        <v>2380</v>
      </c>
      <c r="J561" t="s">
        <v>2381</v>
      </c>
      <c r="K561" t="str">
        <f t="shared" si="26"/>
        <v>No</v>
      </c>
      <c r="L561" t="s">
        <v>31</v>
      </c>
    </row>
    <row r="562" spans="1:12" x14ac:dyDescent="0.35">
      <c r="A562" t="s">
        <v>1810</v>
      </c>
      <c r="B562" t="str">
        <f t="shared" si="24"/>
        <v>Normal Weight</v>
      </c>
      <c r="C562">
        <v>23.65</v>
      </c>
      <c r="D562" t="str">
        <f t="shared" si="25"/>
        <v>Normal</v>
      </c>
      <c r="E562">
        <v>4.5</v>
      </c>
      <c r="F562" t="s">
        <v>2380</v>
      </c>
      <c r="G562" t="s">
        <v>2380</v>
      </c>
      <c r="H562" t="s">
        <v>2380</v>
      </c>
      <c r="J562" t="s">
        <v>2381</v>
      </c>
      <c r="K562" t="str">
        <f t="shared" si="26"/>
        <v>No</v>
      </c>
      <c r="L562" t="s">
        <v>2380</v>
      </c>
    </row>
    <row r="563" spans="1:12" x14ac:dyDescent="0.35">
      <c r="A563" t="s">
        <v>1809</v>
      </c>
      <c r="B563" t="str">
        <f t="shared" si="24"/>
        <v>Obesity</v>
      </c>
      <c r="C563">
        <v>49.09</v>
      </c>
      <c r="D563" t="str">
        <f t="shared" si="25"/>
        <v>Diabetes</v>
      </c>
      <c r="E563">
        <v>8.3800000000000008</v>
      </c>
      <c r="F563" t="s">
        <v>2382</v>
      </c>
      <c r="G563" t="s">
        <v>2380</v>
      </c>
      <c r="H563" t="s">
        <v>2380</v>
      </c>
      <c r="J563">
        <v>2</v>
      </c>
      <c r="K563" t="str">
        <f t="shared" si="26"/>
        <v>No</v>
      </c>
      <c r="L563" t="s">
        <v>2380</v>
      </c>
    </row>
    <row r="564" spans="1:12" x14ac:dyDescent="0.35">
      <c r="A564" t="s">
        <v>1808</v>
      </c>
      <c r="B564" t="str">
        <f t="shared" si="24"/>
        <v>Overweight</v>
      </c>
      <c r="C564">
        <v>28.024999999999999</v>
      </c>
      <c r="D564" t="str">
        <f t="shared" si="25"/>
        <v>Diabetes</v>
      </c>
      <c r="E564">
        <v>7.03</v>
      </c>
      <c r="F564" t="s">
        <v>2380</v>
      </c>
      <c r="G564" t="s">
        <v>2380</v>
      </c>
      <c r="H564" t="s">
        <v>2380</v>
      </c>
      <c r="J564" t="s">
        <v>2381</v>
      </c>
      <c r="K564" t="str">
        <f t="shared" si="26"/>
        <v>yes</v>
      </c>
      <c r="L564" t="s">
        <v>2382</v>
      </c>
    </row>
    <row r="565" spans="1:12" x14ac:dyDescent="0.35">
      <c r="A565" t="s">
        <v>1807</v>
      </c>
      <c r="B565" t="str">
        <f t="shared" si="24"/>
        <v>Obesity</v>
      </c>
      <c r="C565">
        <v>43.32</v>
      </c>
      <c r="D565" t="str">
        <f t="shared" si="25"/>
        <v>Diabetes</v>
      </c>
      <c r="E565">
        <v>8.75</v>
      </c>
      <c r="F565" t="s">
        <v>2382</v>
      </c>
      <c r="G565" t="s">
        <v>2380</v>
      </c>
      <c r="H565" t="s">
        <v>2383</v>
      </c>
      <c r="J565">
        <v>1</v>
      </c>
      <c r="K565" t="str">
        <f t="shared" si="26"/>
        <v>No</v>
      </c>
      <c r="L565" t="s">
        <v>2380</v>
      </c>
    </row>
    <row r="566" spans="1:12" x14ac:dyDescent="0.35">
      <c r="A566" t="s">
        <v>1806</v>
      </c>
      <c r="B566" t="str">
        <f t="shared" si="24"/>
        <v>Obesity</v>
      </c>
      <c r="C566">
        <v>45.92</v>
      </c>
      <c r="D566" t="str">
        <f t="shared" si="25"/>
        <v>Diabetes</v>
      </c>
      <c r="E566">
        <v>9.51</v>
      </c>
      <c r="F566" t="s">
        <v>2380</v>
      </c>
      <c r="G566" t="s">
        <v>2380</v>
      </c>
      <c r="H566" t="s">
        <v>2380</v>
      </c>
      <c r="J566" t="s">
        <v>2381</v>
      </c>
      <c r="K566" t="str">
        <f t="shared" si="26"/>
        <v>No</v>
      </c>
      <c r="L566" t="s">
        <v>2380</v>
      </c>
    </row>
    <row r="567" spans="1:12" x14ac:dyDescent="0.35">
      <c r="A567" t="s">
        <v>1805</v>
      </c>
      <c r="B567" t="str">
        <f t="shared" si="24"/>
        <v>Obesity</v>
      </c>
      <c r="C567">
        <v>44.03</v>
      </c>
      <c r="D567" t="str">
        <f t="shared" si="25"/>
        <v>Diabetes</v>
      </c>
      <c r="E567">
        <v>9.36</v>
      </c>
      <c r="F567" t="s">
        <v>2380</v>
      </c>
      <c r="G567" t="s">
        <v>2380</v>
      </c>
      <c r="H567" t="s">
        <v>2380</v>
      </c>
      <c r="J567" t="s">
        <v>2381</v>
      </c>
      <c r="K567" t="str">
        <f t="shared" si="26"/>
        <v>No</v>
      </c>
      <c r="L567" t="s">
        <v>2380</v>
      </c>
    </row>
    <row r="568" spans="1:12" x14ac:dyDescent="0.35">
      <c r="A568" t="s">
        <v>1804</v>
      </c>
      <c r="B568" t="str">
        <f t="shared" si="24"/>
        <v>Normal Weight</v>
      </c>
      <c r="C568">
        <v>24.6</v>
      </c>
      <c r="D568" t="str">
        <f t="shared" si="25"/>
        <v>Normal</v>
      </c>
      <c r="E568">
        <v>4.8099999999999996</v>
      </c>
      <c r="F568" t="s">
        <v>2380</v>
      </c>
      <c r="G568" t="s">
        <v>2380</v>
      </c>
      <c r="H568" t="s">
        <v>2380</v>
      </c>
      <c r="J568" t="s">
        <v>2381</v>
      </c>
      <c r="K568" t="str">
        <f t="shared" si="26"/>
        <v>yes</v>
      </c>
      <c r="L568" t="s">
        <v>2382</v>
      </c>
    </row>
    <row r="569" spans="1:12" x14ac:dyDescent="0.35">
      <c r="A569" t="s">
        <v>1803</v>
      </c>
      <c r="B569" t="str">
        <f t="shared" si="24"/>
        <v>Obesity</v>
      </c>
      <c r="C569">
        <v>49.15</v>
      </c>
      <c r="D569" t="str">
        <f t="shared" si="25"/>
        <v>Diabetes</v>
      </c>
      <c r="E569">
        <v>8.08</v>
      </c>
      <c r="F569" t="s">
        <v>2380</v>
      </c>
      <c r="G569" t="s">
        <v>2380</v>
      </c>
      <c r="H569" t="s">
        <v>2380</v>
      </c>
      <c r="J569" t="s">
        <v>2381</v>
      </c>
      <c r="K569" t="str">
        <f t="shared" si="26"/>
        <v>No</v>
      </c>
      <c r="L569" t="s">
        <v>2380</v>
      </c>
    </row>
    <row r="570" spans="1:12" x14ac:dyDescent="0.35">
      <c r="A570" t="s">
        <v>1802</v>
      </c>
      <c r="B570" t="str">
        <f t="shared" si="24"/>
        <v>Overweight</v>
      </c>
      <c r="C570">
        <v>28.31</v>
      </c>
      <c r="D570" t="str">
        <f t="shared" si="25"/>
        <v>Prediabetes</v>
      </c>
      <c r="E570">
        <v>6.29</v>
      </c>
      <c r="F570" t="s">
        <v>2380</v>
      </c>
      <c r="G570" t="s">
        <v>2380</v>
      </c>
      <c r="H570" t="s">
        <v>2383</v>
      </c>
      <c r="J570">
        <v>1</v>
      </c>
      <c r="K570" t="str">
        <f t="shared" si="26"/>
        <v>yes</v>
      </c>
      <c r="L570" t="s">
        <v>2382</v>
      </c>
    </row>
    <row r="571" spans="1:12" x14ac:dyDescent="0.35">
      <c r="A571" t="s">
        <v>1801</v>
      </c>
      <c r="B571" t="str">
        <f t="shared" si="24"/>
        <v>Normal Weight</v>
      </c>
      <c r="C571">
        <v>22.99</v>
      </c>
      <c r="D571" t="str">
        <f t="shared" si="25"/>
        <v>Prediabetes</v>
      </c>
      <c r="E571">
        <v>6.29</v>
      </c>
      <c r="F571" t="s">
        <v>2380</v>
      </c>
      <c r="G571" t="s">
        <v>2380</v>
      </c>
      <c r="H571" t="s">
        <v>2380</v>
      </c>
      <c r="J571">
        <v>1</v>
      </c>
      <c r="K571" t="str">
        <f t="shared" si="26"/>
        <v>yes</v>
      </c>
      <c r="L571" t="s">
        <v>2382</v>
      </c>
    </row>
    <row r="572" spans="1:12" x14ac:dyDescent="0.35">
      <c r="A572" t="s">
        <v>1800</v>
      </c>
      <c r="B572" t="str">
        <f t="shared" si="24"/>
        <v>Overweight</v>
      </c>
      <c r="C572">
        <v>29.07</v>
      </c>
      <c r="D572" t="str">
        <f t="shared" si="25"/>
        <v>Normal</v>
      </c>
      <c r="E572">
        <v>5.12</v>
      </c>
      <c r="F572" t="s">
        <v>2380</v>
      </c>
      <c r="G572" t="s">
        <v>2380</v>
      </c>
      <c r="H572" t="s">
        <v>2383</v>
      </c>
      <c r="J572">
        <v>1</v>
      </c>
      <c r="K572" t="str">
        <f t="shared" si="26"/>
        <v>yes</v>
      </c>
      <c r="L572" t="s">
        <v>2382</v>
      </c>
    </row>
    <row r="573" spans="1:12" x14ac:dyDescent="0.35">
      <c r="A573" t="s">
        <v>1799</v>
      </c>
      <c r="B573" t="str">
        <f t="shared" si="24"/>
        <v>Obesity</v>
      </c>
      <c r="C573">
        <v>42.02</v>
      </c>
      <c r="D573" t="str">
        <f t="shared" si="25"/>
        <v>Diabetes</v>
      </c>
      <c r="E573">
        <v>9.9499999999999993</v>
      </c>
      <c r="F573" t="s">
        <v>2382</v>
      </c>
      <c r="G573" t="s">
        <v>2380</v>
      </c>
      <c r="H573" t="s">
        <v>2383</v>
      </c>
      <c r="J573">
        <v>1</v>
      </c>
      <c r="K573" t="str">
        <f t="shared" si="26"/>
        <v>No</v>
      </c>
      <c r="L573" t="s">
        <v>2380</v>
      </c>
    </row>
    <row r="574" spans="1:12" x14ac:dyDescent="0.35">
      <c r="A574" t="s">
        <v>1798</v>
      </c>
      <c r="B574" t="str">
        <f t="shared" si="24"/>
        <v>Obesity</v>
      </c>
      <c r="C574">
        <v>49.07</v>
      </c>
      <c r="D574" t="str">
        <f t="shared" si="25"/>
        <v>Diabetes</v>
      </c>
      <c r="E574">
        <v>9.08</v>
      </c>
      <c r="F574" t="s">
        <v>2382</v>
      </c>
      <c r="G574" t="s">
        <v>2380</v>
      </c>
      <c r="H574" t="s">
        <v>2380</v>
      </c>
      <c r="J574">
        <v>1</v>
      </c>
      <c r="K574" t="str">
        <f t="shared" si="26"/>
        <v>No</v>
      </c>
      <c r="L574" t="s">
        <v>2380</v>
      </c>
    </row>
    <row r="575" spans="1:12" x14ac:dyDescent="0.35">
      <c r="A575" t="s">
        <v>1797</v>
      </c>
      <c r="B575" t="str">
        <f t="shared" si="24"/>
        <v>Normal Weight</v>
      </c>
      <c r="C575">
        <v>19.8</v>
      </c>
      <c r="D575" t="str">
        <f t="shared" si="25"/>
        <v>Normal</v>
      </c>
      <c r="E575">
        <v>4.82</v>
      </c>
      <c r="F575" t="s">
        <v>2380</v>
      </c>
      <c r="G575" t="s">
        <v>2380</v>
      </c>
      <c r="H575" t="s">
        <v>2380</v>
      </c>
      <c r="J575" t="s">
        <v>2381</v>
      </c>
      <c r="K575" t="str">
        <f t="shared" si="26"/>
        <v>yes</v>
      </c>
      <c r="L575" t="s">
        <v>2382</v>
      </c>
    </row>
    <row r="576" spans="1:12" x14ac:dyDescent="0.35">
      <c r="A576" t="s">
        <v>1796</v>
      </c>
      <c r="B576" t="str">
        <f t="shared" si="24"/>
        <v>Overweight</v>
      </c>
      <c r="C576">
        <v>27.36</v>
      </c>
      <c r="D576" t="str">
        <f t="shared" si="25"/>
        <v>Normal</v>
      </c>
      <c r="E576">
        <v>4.6500000000000004</v>
      </c>
      <c r="F576" t="s">
        <v>2380</v>
      </c>
      <c r="G576" t="s">
        <v>2382</v>
      </c>
      <c r="H576" t="s">
        <v>2380</v>
      </c>
      <c r="J576">
        <v>1</v>
      </c>
      <c r="K576" t="str">
        <f t="shared" si="26"/>
        <v>yes</v>
      </c>
      <c r="L576" t="s">
        <v>2382</v>
      </c>
    </row>
    <row r="577" spans="1:12" x14ac:dyDescent="0.35">
      <c r="A577" t="s">
        <v>1795</v>
      </c>
      <c r="B577" t="str">
        <f t="shared" si="24"/>
        <v>Obesity</v>
      </c>
      <c r="C577">
        <v>42.95</v>
      </c>
      <c r="D577" t="str">
        <f t="shared" si="25"/>
        <v>Normal</v>
      </c>
      <c r="E577">
        <v>5.16</v>
      </c>
      <c r="F577" t="s">
        <v>2382</v>
      </c>
      <c r="G577" t="s">
        <v>2380</v>
      </c>
      <c r="H577" t="s">
        <v>2380</v>
      </c>
      <c r="J577">
        <v>1</v>
      </c>
      <c r="K577" t="str">
        <f t="shared" si="26"/>
        <v>No</v>
      </c>
      <c r="L577" t="s">
        <v>2380</v>
      </c>
    </row>
    <row r="578" spans="1:12" x14ac:dyDescent="0.35">
      <c r="A578" t="s">
        <v>1794</v>
      </c>
      <c r="B578" t="str">
        <f t="shared" si="24"/>
        <v>Obesity</v>
      </c>
      <c r="C578">
        <v>42.66</v>
      </c>
      <c r="D578" t="str">
        <f t="shared" si="25"/>
        <v>Diabetes</v>
      </c>
      <c r="E578">
        <v>10.44</v>
      </c>
      <c r="F578" t="s">
        <v>2380</v>
      </c>
      <c r="G578" t="s">
        <v>2380</v>
      </c>
      <c r="H578" t="s">
        <v>2380</v>
      </c>
      <c r="J578" t="s">
        <v>2381</v>
      </c>
      <c r="K578" t="str">
        <f t="shared" si="26"/>
        <v>No</v>
      </c>
      <c r="L578" t="s">
        <v>2380</v>
      </c>
    </row>
    <row r="579" spans="1:12" x14ac:dyDescent="0.35">
      <c r="A579" t="s">
        <v>1793</v>
      </c>
      <c r="B579" t="str">
        <f t="shared" ref="B579:B642" si="27">_xlfn.IFS(C579&lt;18.5, "Underweight", C579&lt;=24.9, "Normal Weight", C579&lt;=29.9, "Overweight", C579&gt;=30, "Obesity")</f>
        <v>Obesity</v>
      </c>
      <c r="C579">
        <v>33.630000000000003</v>
      </c>
      <c r="D579" t="str">
        <f t="shared" ref="D579:D642" si="28">_xlfn.IFS(E579&lt;5.7, "Normal", E579&lt;=6.4, "Prediabetes", E579&gt;=6.5, "Diabetes")</f>
        <v>Normal</v>
      </c>
      <c r="E579">
        <v>5.69</v>
      </c>
      <c r="F579" t="s">
        <v>2380</v>
      </c>
      <c r="G579" t="s">
        <v>2380</v>
      </c>
      <c r="H579" t="s">
        <v>2380</v>
      </c>
      <c r="J579">
        <v>1</v>
      </c>
      <c r="K579" t="str">
        <f t="shared" si="26"/>
        <v>No</v>
      </c>
      <c r="L579" t="s">
        <v>2380</v>
      </c>
    </row>
    <row r="580" spans="1:12" x14ac:dyDescent="0.35">
      <c r="A580" t="s">
        <v>1792</v>
      </c>
      <c r="B580" t="str">
        <f t="shared" si="27"/>
        <v>Overweight</v>
      </c>
      <c r="C580">
        <v>26.84</v>
      </c>
      <c r="D580" t="str">
        <f t="shared" si="28"/>
        <v>Diabetes</v>
      </c>
      <c r="E580">
        <v>6.5</v>
      </c>
      <c r="F580" t="s">
        <v>2380</v>
      </c>
      <c r="G580" t="s">
        <v>2380</v>
      </c>
      <c r="H580" t="s">
        <v>2380</v>
      </c>
      <c r="J580" t="s">
        <v>2381</v>
      </c>
      <c r="K580" t="str">
        <f t="shared" ref="K580:K643" si="29">IF(OR(L580="?", ISBLANK(L580)), "No", L580)</f>
        <v>yes</v>
      </c>
      <c r="L580" t="s">
        <v>2382</v>
      </c>
    </row>
    <row r="581" spans="1:12" x14ac:dyDescent="0.35">
      <c r="A581" t="s">
        <v>1791</v>
      </c>
      <c r="B581" t="str">
        <f t="shared" si="27"/>
        <v>Overweight</v>
      </c>
      <c r="C581">
        <v>28.3</v>
      </c>
      <c r="D581" t="str">
        <f t="shared" si="28"/>
        <v>Prediabetes</v>
      </c>
      <c r="E581">
        <v>5.73</v>
      </c>
      <c r="F581" t="s">
        <v>2380</v>
      </c>
      <c r="G581" t="s">
        <v>2380</v>
      </c>
      <c r="H581" t="s">
        <v>2383</v>
      </c>
      <c r="J581">
        <v>1</v>
      </c>
      <c r="K581" t="str">
        <f t="shared" si="29"/>
        <v>yes</v>
      </c>
      <c r="L581" t="s">
        <v>2382</v>
      </c>
    </row>
    <row r="582" spans="1:12" x14ac:dyDescent="0.35">
      <c r="A582" t="s">
        <v>1790</v>
      </c>
      <c r="B582" t="str">
        <f t="shared" si="27"/>
        <v>Overweight</v>
      </c>
      <c r="C582">
        <v>27.06</v>
      </c>
      <c r="D582" t="str">
        <f t="shared" si="28"/>
        <v>Prediabetes</v>
      </c>
      <c r="E582">
        <v>5.74</v>
      </c>
      <c r="F582" t="s">
        <v>2382</v>
      </c>
      <c r="G582" t="s">
        <v>2380</v>
      </c>
      <c r="H582" t="s">
        <v>2380</v>
      </c>
      <c r="J582" t="s">
        <v>2381</v>
      </c>
      <c r="K582" t="str">
        <f t="shared" si="29"/>
        <v>yes</v>
      </c>
      <c r="L582" t="s">
        <v>2382</v>
      </c>
    </row>
    <row r="583" spans="1:12" x14ac:dyDescent="0.35">
      <c r="A583" t="s">
        <v>1789</v>
      </c>
      <c r="B583" t="str">
        <f t="shared" si="27"/>
        <v>Obesity</v>
      </c>
      <c r="C583">
        <v>47.13</v>
      </c>
      <c r="D583" t="str">
        <f t="shared" si="28"/>
        <v>Diabetes</v>
      </c>
      <c r="E583">
        <v>8.6999999999999993</v>
      </c>
      <c r="F583" t="s">
        <v>2380</v>
      </c>
      <c r="G583" t="s">
        <v>2380</v>
      </c>
      <c r="H583" t="s">
        <v>2380</v>
      </c>
      <c r="J583" t="s">
        <v>2381</v>
      </c>
      <c r="K583" t="str">
        <f t="shared" si="29"/>
        <v>No</v>
      </c>
      <c r="L583" t="s">
        <v>2380</v>
      </c>
    </row>
    <row r="584" spans="1:12" x14ac:dyDescent="0.35">
      <c r="A584" t="s">
        <v>1788</v>
      </c>
      <c r="B584" t="str">
        <f t="shared" si="27"/>
        <v>Obesity</v>
      </c>
      <c r="C584">
        <v>51.72</v>
      </c>
      <c r="D584" t="str">
        <f t="shared" si="28"/>
        <v>Normal</v>
      </c>
      <c r="E584">
        <v>5.09</v>
      </c>
      <c r="F584" t="s">
        <v>2380</v>
      </c>
      <c r="G584" t="s">
        <v>2380</v>
      </c>
      <c r="H584" t="s">
        <v>2380</v>
      </c>
      <c r="J584" t="s">
        <v>2381</v>
      </c>
      <c r="K584" t="str">
        <f t="shared" si="29"/>
        <v>No</v>
      </c>
      <c r="L584" t="s">
        <v>2380</v>
      </c>
    </row>
    <row r="585" spans="1:12" x14ac:dyDescent="0.35">
      <c r="A585" t="s">
        <v>1787</v>
      </c>
      <c r="B585" t="str">
        <f t="shared" si="27"/>
        <v>Obesity</v>
      </c>
      <c r="C585">
        <v>48.59</v>
      </c>
      <c r="D585" t="str">
        <f t="shared" si="28"/>
        <v>Normal</v>
      </c>
      <c r="E585">
        <v>5.57</v>
      </c>
      <c r="F585" t="s">
        <v>2380</v>
      </c>
      <c r="G585" t="s">
        <v>2380</v>
      </c>
      <c r="H585" t="s">
        <v>2380</v>
      </c>
      <c r="J585" t="s">
        <v>2381</v>
      </c>
      <c r="K585" t="str">
        <f t="shared" si="29"/>
        <v>No</v>
      </c>
      <c r="L585" t="s">
        <v>2380</v>
      </c>
    </row>
    <row r="586" spans="1:12" x14ac:dyDescent="0.35">
      <c r="A586" t="s">
        <v>1786</v>
      </c>
      <c r="B586" t="str">
        <f t="shared" si="27"/>
        <v>Obesity</v>
      </c>
      <c r="C586">
        <v>45.18</v>
      </c>
      <c r="D586" t="str">
        <f t="shared" si="28"/>
        <v>Diabetes</v>
      </c>
      <c r="E586">
        <v>10.87</v>
      </c>
      <c r="F586" t="s">
        <v>2380</v>
      </c>
      <c r="G586" t="s">
        <v>2380</v>
      </c>
      <c r="H586" t="s">
        <v>2380</v>
      </c>
      <c r="J586" t="s">
        <v>2381</v>
      </c>
      <c r="K586" t="str">
        <f t="shared" si="29"/>
        <v>No</v>
      </c>
      <c r="L586" t="s">
        <v>2380</v>
      </c>
    </row>
    <row r="587" spans="1:12" x14ac:dyDescent="0.35">
      <c r="A587" t="s">
        <v>1785</v>
      </c>
      <c r="B587" t="str">
        <f t="shared" si="27"/>
        <v>Overweight</v>
      </c>
      <c r="C587">
        <v>27.9</v>
      </c>
      <c r="D587" t="str">
        <f t="shared" si="28"/>
        <v>Prediabetes</v>
      </c>
      <c r="E587">
        <v>6.02</v>
      </c>
      <c r="F587" t="s">
        <v>2380</v>
      </c>
      <c r="G587" t="s">
        <v>2380</v>
      </c>
      <c r="H587" t="s">
        <v>2383</v>
      </c>
      <c r="J587">
        <v>1</v>
      </c>
      <c r="K587" t="str">
        <f t="shared" si="29"/>
        <v>yes</v>
      </c>
      <c r="L587" t="s">
        <v>2382</v>
      </c>
    </row>
    <row r="588" spans="1:12" x14ac:dyDescent="0.35">
      <c r="A588" t="s">
        <v>1784</v>
      </c>
      <c r="B588" t="str">
        <f t="shared" si="27"/>
        <v>Obesity</v>
      </c>
      <c r="C588">
        <v>51.33</v>
      </c>
      <c r="D588" t="str">
        <f t="shared" si="28"/>
        <v>Diabetes</v>
      </c>
      <c r="E588">
        <v>7</v>
      </c>
      <c r="F588" t="s">
        <v>2380</v>
      </c>
      <c r="G588" t="s">
        <v>2380</v>
      </c>
      <c r="H588" t="s">
        <v>2380</v>
      </c>
      <c r="J588" t="s">
        <v>2381</v>
      </c>
      <c r="K588" t="str">
        <f t="shared" si="29"/>
        <v>No</v>
      </c>
      <c r="L588" t="s">
        <v>2380</v>
      </c>
    </row>
    <row r="589" spans="1:12" x14ac:dyDescent="0.35">
      <c r="A589" t="s">
        <v>1783</v>
      </c>
      <c r="B589" t="str">
        <f t="shared" si="27"/>
        <v>Obesity</v>
      </c>
      <c r="C589">
        <v>30.59</v>
      </c>
      <c r="D589" t="str">
        <f t="shared" si="28"/>
        <v>Normal</v>
      </c>
      <c r="E589">
        <v>5.56</v>
      </c>
      <c r="F589" t="s">
        <v>2382</v>
      </c>
      <c r="G589" t="s">
        <v>2380</v>
      </c>
      <c r="H589" t="s">
        <v>2380</v>
      </c>
      <c r="J589">
        <v>1</v>
      </c>
      <c r="K589" t="str">
        <f t="shared" si="29"/>
        <v>No</v>
      </c>
      <c r="L589" t="s">
        <v>2380</v>
      </c>
    </row>
    <row r="590" spans="1:12" x14ac:dyDescent="0.35">
      <c r="A590" t="s">
        <v>1782</v>
      </c>
      <c r="B590" t="str">
        <f t="shared" si="27"/>
        <v>Obesity</v>
      </c>
      <c r="C590">
        <v>39.229999999999997</v>
      </c>
      <c r="D590" t="str">
        <f t="shared" si="28"/>
        <v>Diabetes</v>
      </c>
      <c r="E590">
        <v>8.4499999999999993</v>
      </c>
      <c r="F590" t="s">
        <v>2380</v>
      </c>
      <c r="G590" t="s">
        <v>2380</v>
      </c>
      <c r="H590" t="s">
        <v>2380</v>
      </c>
      <c r="J590" t="s">
        <v>2381</v>
      </c>
      <c r="K590" t="str">
        <f t="shared" si="29"/>
        <v>No</v>
      </c>
      <c r="L590" t="s">
        <v>2380</v>
      </c>
    </row>
    <row r="591" spans="1:12" x14ac:dyDescent="0.35">
      <c r="A591" t="s">
        <v>1781</v>
      </c>
      <c r="B591" t="str">
        <f t="shared" si="27"/>
        <v>Normal Weight</v>
      </c>
      <c r="C591">
        <v>19.094999999999999</v>
      </c>
      <c r="D591" t="str">
        <f t="shared" si="28"/>
        <v>Prediabetes</v>
      </c>
      <c r="E591">
        <v>6.19</v>
      </c>
      <c r="F591" t="s">
        <v>2380</v>
      </c>
      <c r="G591" t="s">
        <v>2380</v>
      </c>
      <c r="H591" t="s">
        <v>2380</v>
      </c>
      <c r="J591" t="s">
        <v>2381</v>
      </c>
      <c r="K591" t="str">
        <f t="shared" si="29"/>
        <v>yes</v>
      </c>
      <c r="L591" t="s">
        <v>2382</v>
      </c>
    </row>
    <row r="592" spans="1:12" x14ac:dyDescent="0.35">
      <c r="A592" t="s">
        <v>1780</v>
      </c>
      <c r="B592" t="str">
        <f t="shared" si="27"/>
        <v>Obesity</v>
      </c>
      <c r="C592">
        <v>49.72</v>
      </c>
      <c r="D592" t="str">
        <f t="shared" si="28"/>
        <v>Diabetes</v>
      </c>
      <c r="E592">
        <v>7.71</v>
      </c>
      <c r="F592" t="s">
        <v>2380</v>
      </c>
      <c r="G592" t="s">
        <v>2380</v>
      </c>
      <c r="H592" t="s">
        <v>2380</v>
      </c>
      <c r="J592" t="s">
        <v>2381</v>
      </c>
      <c r="K592" t="str">
        <f t="shared" si="29"/>
        <v>No</v>
      </c>
      <c r="L592" t="s">
        <v>2380</v>
      </c>
    </row>
    <row r="593" spans="1:12" x14ac:dyDescent="0.35">
      <c r="A593" t="s">
        <v>1779</v>
      </c>
      <c r="B593" t="str">
        <f t="shared" si="27"/>
        <v>Normal Weight</v>
      </c>
      <c r="C593">
        <v>21.754999999999999</v>
      </c>
      <c r="D593" t="str">
        <f t="shared" si="28"/>
        <v>Normal</v>
      </c>
      <c r="E593">
        <v>4.63</v>
      </c>
      <c r="F593" t="s">
        <v>2380</v>
      </c>
      <c r="G593" t="s">
        <v>2380</v>
      </c>
      <c r="H593" t="s">
        <v>2383</v>
      </c>
      <c r="J593">
        <v>1</v>
      </c>
      <c r="K593" t="str">
        <f t="shared" si="29"/>
        <v>yes</v>
      </c>
      <c r="L593" t="s">
        <v>2382</v>
      </c>
    </row>
    <row r="594" spans="1:12" x14ac:dyDescent="0.35">
      <c r="A594" t="s">
        <v>1778</v>
      </c>
      <c r="B594" t="str">
        <f t="shared" si="27"/>
        <v>Obesity</v>
      </c>
      <c r="C594">
        <v>48.39</v>
      </c>
      <c r="D594" t="str">
        <f t="shared" si="28"/>
        <v>Normal</v>
      </c>
      <c r="E594">
        <v>4.6100000000000003</v>
      </c>
      <c r="F594" t="s">
        <v>2380</v>
      </c>
      <c r="G594" t="s">
        <v>2380</v>
      </c>
      <c r="H594" t="s">
        <v>2380</v>
      </c>
      <c r="J594" t="s">
        <v>2381</v>
      </c>
      <c r="K594" t="str">
        <f t="shared" si="29"/>
        <v>No</v>
      </c>
      <c r="L594" t="s">
        <v>2380</v>
      </c>
    </row>
    <row r="595" spans="1:12" x14ac:dyDescent="0.35">
      <c r="A595" t="s">
        <v>1777</v>
      </c>
      <c r="B595" t="str">
        <f t="shared" si="27"/>
        <v>Obesity</v>
      </c>
      <c r="C595">
        <v>47.15</v>
      </c>
      <c r="D595" t="str">
        <f t="shared" si="28"/>
        <v>Diabetes</v>
      </c>
      <c r="E595">
        <v>9.5299999999999994</v>
      </c>
      <c r="F595" t="s">
        <v>2382</v>
      </c>
      <c r="G595" t="s">
        <v>2380</v>
      </c>
      <c r="H595" t="s">
        <v>2380</v>
      </c>
      <c r="J595">
        <v>1</v>
      </c>
      <c r="K595" t="str">
        <f t="shared" si="29"/>
        <v>No</v>
      </c>
      <c r="L595" t="s">
        <v>2380</v>
      </c>
    </row>
    <row r="596" spans="1:12" x14ac:dyDescent="0.35">
      <c r="A596" t="s">
        <v>1776</v>
      </c>
      <c r="B596" t="str">
        <f t="shared" si="27"/>
        <v>Obesity</v>
      </c>
      <c r="C596">
        <v>47.59</v>
      </c>
      <c r="D596" t="str">
        <f t="shared" si="28"/>
        <v>Diabetes</v>
      </c>
      <c r="E596">
        <v>11.43</v>
      </c>
      <c r="F596" t="s">
        <v>2382</v>
      </c>
      <c r="G596" t="s">
        <v>2380</v>
      </c>
      <c r="H596" t="s">
        <v>2380</v>
      </c>
      <c r="J596">
        <v>2</v>
      </c>
      <c r="K596" t="str">
        <f t="shared" si="29"/>
        <v>No</v>
      </c>
      <c r="L596" t="s">
        <v>2380</v>
      </c>
    </row>
    <row r="597" spans="1:12" x14ac:dyDescent="0.35">
      <c r="A597" t="s">
        <v>1775</v>
      </c>
      <c r="B597" t="str">
        <f t="shared" si="27"/>
        <v>Obesity</v>
      </c>
      <c r="C597">
        <v>39.81</v>
      </c>
      <c r="D597" t="str">
        <f t="shared" si="28"/>
        <v>Diabetes</v>
      </c>
      <c r="E597">
        <v>7.65</v>
      </c>
      <c r="F597" t="s">
        <v>2382</v>
      </c>
      <c r="G597" t="s">
        <v>2380</v>
      </c>
      <c r="H597" t="s">
        <v>2383</v>
      </c>
      <c r="J597">
        <v>1</v>
      </c>
      <c r="K597" t="str">
        <f t="shared" si="29"/>
        <v>No</v>
      </c>
      <c r="L597" t="s">
        <v>2380</v>
      </c>
    </row>
    <row r="598" spans="1:12" x14ac:dyDescent="0.35">
      <c r="A598" t="s">
        <v>1774</v>
      </c>
      <c r="B598" t="str">
        <f t="shared" si="27"/>
        <v>Obesity</v>
      </c>
      <c r="C598">
        <v>31.02</v>
      </c>
      <c r="D598" t="str">
        <f t="shared" si="28"/>
        <v>Prediabetes</v>
      </c>
      <c r="E598">
        <v>5.87</v>
      </c>
      <c r="F598" t="s">
        <v>2382</v>
      </c>
      <c r="G598" t="s">
        <v>2380</v>
      </c>
      <c r="H598" t="s">
        <v>2380</v>
      </c>
      <c r="J598" t="s">
        <v>2381</v>
      </c>
      <c r="K598" t="str">
        <f t="shared" si="29"/>
        <v>No</v>
      </c>
      <c r="L598" t="s">
        <v>2380</v>
      </c>
    </row>
    <row r="599" spans="1:12" x14ac:dyDescent="0.35">
      <c r="A599" t="s">
        <v>1773</v>
      </c>
      <c r="B599" t="str">
        <f t="shared" si="27"/>
        <v>Normal Weight</v>
      </c>
      <c r="C599">
        <v>24.75</v>
      </c>
      <c r="D599" t="str">
        <f t="shared" si="28"/>
        <v>Normal</v>
      </c>
      <c r="E599">
        <v>4.3600000000000003</v>
      </c>
      <c r="F599" t="s">
        <v>2382</v>
      </c>
      <c r="G599" t="s">
        <v>2380</v>
      </c>
      <c r="H599" t="s">
        <v>2380</v>
      </c>
      <c r="J599">
        <v>1</v>
      </c>
      <c r="K599" t="str">
        <f t="shared" si="29"/>
        <v>yes</v>
      </c>
      <c r="L599" t="s">
        <v>2382</v>
      </c>
    </row>
    <row r="600" spans="1:12" x14ac:dyDescent="0.35">
      <c r="A600" t="s">
        <v>1772</v>
      </c>
      <c r="B600" t="str">
        <f t="shared" si="27"/>
        <v>Obesity</v>
      </c>
      <c r="C600">
        <v>30.114999999999998</v>
      </c>
      <c r="D600" t="str">
        <f t="shared" si="28"/>
        <v>Diabetes</v>
      </c>
      <c r="E600">
        <v>10.119999999999999</v>
      </c>
      <c r="F600" t="s">
        <v>2380</v>
      </c>
      <c r="G600" t="s">
        <v>2380</v>
      </c>
      <c r="H600" t="s">
        <v>2380</v>
      </c>
      <c r="J600">
        <v>3</v>
      </c>
      <c r="K600" t="str">
        <f t="shared" si="29"/>
        <v>No</v>
      </c>
      <c r="L600" t="s">
        <v>2380</v>
      </c>
    </row>
    <row r="601" spans="1:12" x14ac:dyDescent="0.35">
      <c r="A601" t="s">
        <v>1771</v>
      </c>
      <c r="B601" t="str">
        <f t="shared" si="27"/>
        <v>Overweight</v>
      </c>
      <c r="C601">
        <v>26.03</v>
      </c>
      <c r="D601" t="str">
        <f t="shared" si="28"/>
        <v>Normal</v>
      </c>
      <c r="E601">
        <v>4.01</v>
      </c>
      <c r="F601" t="s">
        <v>2380</v>
      </c>
      <c r="G601" t="s">
        <v>2380</v>
      </c>
      <c r="H601" t="s">
        <v>2383</v>
      </c>
      <c r="J601">
        <v>1</v>
      </c>
      <c r="K601" t="str">
        <f t="shared" si="29"/>
        <v>yes</v>
      </c>
      <c r="L601" t="s">
        <v>2382</v>
      </c>
    </row>
    <row r="602" spans="1:12" x14ac:dyDescent="0.35">
      <c r="A602" t="s">
        <v>1770</v>
      </c>
      <c r="B602" t="str">
        <f t="shared" si="27"/>
        <v>Normal Weight</v>
      </c>
      <c r="C602">
        <v>20.045000000000002</v>
      </c>
      <c r="D602" t="str">
        <f t="shared" si="28"/>
        <v>Normal</v>
      </c>
      <c r="E602">
        <v>4.7699999999999996</v>
      </c>
      <c r="F602" t="s">
        <v>2382</v>
      </c>
      <c r="G602" t="s">
        <v>2380</v>
      </c>
      <c r="H602" t="s">
        <v>2380</v>
      </c>
      <c r="J602">
        <v>1</v>
      </c>
      <c r="K602" t="str">
        <f t="shared" si="29"/>
        <v>yes</v>
      </c>
      <c r="L602" t="s">
        <v>2382</v>
      </c>
    </row>
    <row r="603" spans="1:12" x14ac:dyDescent="0.35">
      <c r="A603" t="s">
        <v>1769</v>
      </c>
      <c r="B603" t="str">
        <f t="shared" si="27"/>
        <v>Obesity</v>
      </c>
      <c r="C603">
        <v>40.24</v>
      </c>
      <c r="D603" t="str">
        <f t="shared" si="28"/>
        <v>Diabetes</v>
      </c>
      <c r="E603">
        <v>6.83</v>
      </c>
      <c r="F603" t="s">
        <v>2380</v>
      </c>
      <c r="G603" t="s">
        <v>2380</v>
      </c>
      <c r="H603" t="s">
        <v>2380</v>
      </c>
      <c r="J603" t="s">
        <v>2381</v>
      </c>
      <c r="K603" t="str">
        <f t="shared" si="29"/>
        <v>No</v>
      </c>
      <c r="L603" t="s">
        <v>2380</v>
      </c>
    </row>
    <row r="604" spans="1:12" x14ac:dyDescent="0.35">
      <c r="A604" t="s">
        <v>1768</v>
      </c>
      <c r="B604" t="str">
        <f t="shared" si="27"/>
        <v>Obesity</v>
      </c>
      <c r="C604">
        <v>43.15</v>
      </c>
      <c r="D604" t="str">
        <f t="shared" si="28"/>
        <v>Prediabetes</v>
      </c>
      <c r="E604">
        <v>6.14</v>
      </c>
      <c r="F604" t="s">
        <v>2382</v>
      </c>
      <c r="G604" t="s">
        <v>2380</v>
      </c>
      <c r="H604" t="s">
        <v>2383</v>
      </c>
      <c r="J604">
        <v>1</v>
      </c>
      <c r="K604" t="str">
        <f t="shared" si="29"/>
        <v>No</v>
      </c>
      <c r="L604" t="s">
        <v>2380</v>
      </c>
    </row>
    <row r="605" spans="1:12" x14ac:dyDescent="0.35">
      <c r="A605" t="s">
        <v>1767</v>
      </c>
      <c r="B605" t="str">
        <f t="shared" si="27"/>
        <v>Overweight</v>
      </c>
      <c r="C605">
        <v>27.7</v>
      </c>
      <c r="D605" t="str">
        <f t="shared" si="28"/>
        <v>Normal</v>
      </c>
      <c r="E605">
        <v>5.6</v>
      </c>
      <c r="F605" t="s">
        <v>2380</v>
      </c>
      <c r="G605" t="s">
        <v>2380</v>
      </c>
      <c r="H605" t="s">
        <v>2383</v>
      </c>
      <c r="J605">
        <v>1</v>
      </c>
      <c r="K605" t="str">
        <f t="shared" si="29"/>
        <v>yes</v>
      </c>
      <c r="L605" t="s">
        <v>2382</v>
      </c>
    </row>
    <row r="606" spans="1:12" x14ac:dyDescent="0.35">
      <c r="A606" t="s">
        <v>1766</v>
      </c>
      <c r="B606" t="str">
        <f t="shared" si="27"/>
        <v>Obesity</v>
      </c>
      <c r="C606">
        <v>45.68</v>
      </c>
      <c r="D606" t="str">
        <f t="shared" si="28"/>
        <v>Normal</v>
      </c>
      <c r="E606">
        <v>4.8</v>
      </c>
      <c r="F606" t="s">
        <v>2380</v>
      </c>
      <c r="G606" t="s">
        <v>2380</v>
      </c>
      <c r="H606" t="s">
        <v>2380</v>
      </c>
      <c r="J606">
        <v>2</v>
      </c>
      <c r="K606" t="str">
        <f t="shared" si="29"/>
        <v>No</v>
      </c>
      <c r="L606" t="s">
        <v>2380</v>
      </c>
    </row>
    <row r="607" spans="1:12" x14ac:dyDescent="0.35">
      <c r="A607" t="s">
        <v>1765</v>
      </c>
      <c r="B607" t="str">
        <f t="shared" si="27"/>
        <v>Overweight</v>
      </c>
      <c r="C607">
        <v>27.3</v>
      </c>
      <c r="D607" t="str">
        <f t="shared" si="28"/>
        <v>Diabetes</v>
      </c>
      <c r="E607">
        <v>11.89</v>
      </c>
      <c r="F607" t="s">
        <v>2380</v>
      </c>
      <c r="G607" t="s">
        <v>2380</v>
      </c>
      <c r="H607" t="s">
        <v>2380</v>
      </c>
      <c r="J607" t="s">
        <v>2381</v>
      </c>
      <c r="K607" t="str">
        <f t="shared" si="29"/>
        <v>yes</v>
      </c>
      <c r="L607" t="s">
        <v>2382</v>
      </c>
    </row>
    <row r="608" spans="1:12" x14ac:dyDescent="0.35">
      <c r="A608" t="s">
        <v>1764</v>
      </c>
      <c r="B608" t="str">
        <f t="shared" si="27"/>
        <v>Obesity</v>
      </c>
      <c r="C608">
        <v>54.45</v>
      </c>
      <c r="D608" t="str">
        <f t="shared" si="28"/>
        <v>Normal</v>
      </c>
      <c r="E608">
        <v>4.7300000000000004</v>
      </c>
      <c r="F608" t="s">
        <v>2382</v>
      </c>
      <c r="G608" t="s">
        <v>2380</v>
      </c>
      <c r="H608" t="s">
        <v>2380</v>
      </c>
      <c r="J608">
        <v>1</v>
      </c>
      <c r="K608" t="str">
        <f t="shared" si="29"/>
        <v>No</v>
      </c>
      <c r="L608" t="s">
        <v>2380</v>
      </c>
    </row>
    <row r="609" spans="1:12" x14ac:dyDescent="0.35">
      <c r="A609" t="s">
        <v>1763</v>
      </c>
      <c r="B609" t="str">
        <f t="shared" si="27"/>
        <v>Obesity</v>
      </c>
      <c r="C609">
        <v>54.43</v>
      </c>
      <c r="D609" t="str">
        <f t="shared" si="28"/>
        <v>Normal</v>
      </c>
      <c r="E609">
        <v>4.6100000000000003</v>
      </c>
      <c r="F609" t="s">
        <v>2382</v>
      </c>
      <c r="G609" t="s">
        <v>2380</v>
      </c>
      <c r="H609" t="s">
        <v>2380</v>
      </c>
      <c r="J609">
        <v>1</v>
      </c>
      <c r="K609" t="str">
        <f t="shared" si="29"/>
        <v>No</v>
      </c>
      <c r="L609" t="s">
        <v>2380</v>
      </c>
    </row>
    <row r="610" spans="1:12" x14ac:dyDescent="0.35">
      <c r="A610" t="s">
        <v>1762</v>
      </c>
      <c r="B610" t="str">
        <f t="shared" si="27"/>
        <v>Obesity</v>
      </c>
      <c r="C610">
        <v>48.01</v>
      </c>
      <c r="D610" t="str">
        <f t="shared" si="28"/>
        <v>Diabetes</v>
      </c>
      <c r="E610">
        <v>7.3</v>
      </c>
      <c r="F610" t="s">
        <v>2380</v>
      </c>
      <c r="G610" t="s">
        <v>2380</v>
      </c>
      <c r="H610" t="s">
        <v>2380</v>
      </c>
      <c r="J610" t="s">
        <v>2381</v>
      </c>
      <c r="K610" t="str">
        <f t="shared" si="29"/>
        <v>No</v>
      </c>
      <c r="L610" t="s">
        <v>2380</v>
      </c>
    </row>
    <row r="611" spans="1:12" x14ac:dyDescent="0.35">
      <c r="A611" t="s">
        <v>1761</v>
      </c>
      <c r="B611" t="str">
        <f t="shared" si="27"/>
        <v>Obesity</v>
      </c>
      <c r="C611">
        <v>48.32</v>
      </c>
      <c r="D611" t="str">
        <f t="shared" si="28"/>
        <v>Prediabetes</v>
      </c>
      <c r="E611">
        <v>5.88</v>
      </c>
      <c r="F611" t="s">
        <v>2380</v>
      </c>
      <c r="G611" t="s">
        <v>2380</v>
      </c>
      <c r="H611" t="s">
        <v>2380</v>
      </c>
      <c r="J611" t="s">
        <v>2381</v>
      </c>
      <c r="K611" t="str">
        <f t="shared" si="29"/>
        <v>No</v>
      </c>
      <c r="L611" t="s">
        <v>2380</v>
      </c>
    </row>
    <row r="612" spans="1:12" x14ac:dyDescent="0.35">
      <c r="A612" t="s">
        <v>1760</v>
      </c>
      <c r="B612" t="str">
        <f t="shared" si="27"/>
        <v>Normal Weight</v>
      </c>
      <c r="C612">
        <v>22.895</v>
      </c>
      <c r="D612" t="str">
        <f t="shared" si="28"/>
        <v>Normal</v>
      </c>
      <c r="E612">
        <v>4.0599999999999996</v>
      </c>
      <c r="F612" t="s">
        <v>2380</v>
      </c>
      <c r="G612" t="s">
        <v>2380</v>
      </c>
      <c r="H612" t="s">
        <v>2383</v>
      </c>
      <c r="J612">
        <v>1</v>
      </c>
      <c r="K612" t="str">
        <f t="shared" si="29"/>
        <v>yes</v>
      </c>
      <c r="L612" t="s">
        <v>2382</v>
      </c>
    </row>
    <row r="613" spans="1:12" x14ac:dyDescent="0.35">
      <c r="A613" t="s">
        <v>1759</v>
      </c>
      <c r="B613" t="str">
        <f t="shared" si="27"/>
        <v>Obesity</v>
      </c>
      <c r="C613">
        <v>54.85</v>
      </c>
      <c r="D613" t="str">
        <f t="shared" si="28"/>
        <v>Normal</v>
      </c>
      <c r="E613">
        <v>4.9000000000000004</v>
      </c>
      <c r="F613" t="s">
        <v>2380</v>
      </c>
      <c r="G613" t="s">
        <v>2380</v>
      </c>
      <c r="H613" t="s">
        <v>2380</v>
      </c>
      <c r="J613">
        <v>1</v>
      </c>
      <c r="K613" t="str">
        <f t="shared" si="29"/>
        <v>No</v>
      </c>
      <c r="L613" t="s">
        <v>2380</v>
      </c>
    </row>
    <row r="614" spans="1:12" x14ac:dyDescent="0.35">
      <c r="A614" t="s">
        <v>1758</v>
      </c>
      <c r="B614" t="str">
        <f t="shared" si="27"/>
        <v>Normal Weight</v>
      </c>
      <c r="C614">
        <v>21.85</v>
      </c>
      <c r="D614" t="str">
        <f t="shared" si="28"/>
        <v>Normal</v>
      </c>
      <c r="E614">
        <v>5.52</v>
      </c>
      <c r="F614" t="s">
        <v>2380</v>
      </c>
      <c r="G614" t="s">
        <v>2380</v>
      </c>
      <c r="H614" t="s">
        <v>2383</v>
      </c>
      <c r="J614">
        <v>1</v>
      </c>
      <c r="K614" t="str">
        <f t="shared" si="29"/>
        <v>yes</v>
      </c>
      <c r="L614" t="s">
        <v>2382</v>
      </c>
    </row>
    <row r="615" spans="1:12" x14ac:dyDescent="0.35">
      <c r="A615" t="s">
        <v>1757</v>
      </c>
      <c r="B615" t="str">
        <f t="shared" si="27"/>
        <v>Obesity</v>
      </c>
      <c r="C615">
        <v>51.86</v>
      </c>
      <c r="D615" t="str">
        <f t="shared" si="28"/>
        <v>Normal</v>
      </c>
      <c r="E615">
        <v>5.2</v>
      </c>
      <c r="F615" t="s">
        <v>2382</v>
      </c>
      <c r="G615" t="s">
        <v>2380</v>
      </c>
      <c r="H615" t="s">
        <v>2380</v>
      </c>
      <c r="J615" t="s">
        <v>2381</v>
      </c>
      <c r="K615" t="str">
        <f t="shared" si="29"/>
        <v>No</v>
      </c>
      <c r="L615" t="s">
        <v>2380</v>
      </c>
    </row>
    <row r="616" spans="1:12" x14ac:dyDescent="0.35">
      <c r="A616" t="s">
        <v>1756</v>
      </c>
      <c r="B616" t="str">
        <f t="shared" si="27"/>
        <v>Obesity</v>
      </c>
      <c r="C616">
        <v>39.049999999999997</v>
      </c>
      <c r="D616" t="str">
        <f t="shared" si="28"/>
        <v>Diabetes</v>
      </c>
      <c r="E616">
        <v>7.59</v>
      </c>
      <c r="F616" t="s">
        <v>2380</v>
      </c>
      <c r="G616" t="s">
        <v>2380</v>
      </c>
      <c r="H616" t="s">
        <v>2380</v>
      </c>
      <c r="J616">
        <v>3</v>
      </c>
      <c r="K616" t="str">
        <f t="shared" si="29"/>
        <v>No</v>
      </c>
      <c r="L616" t="s">
        <v>2380</v>
      </c>
    </row>
    <row r="617" spans="1:12" x14ac:dyDescent="0.35">
      <c r="A617" t="s">
        <v>1755</v>
      </c>
      <c r="B617" t="str">
        <f t="shared" si="27"/>
        <v>Obesity</v>
      </c>
      <c r="C617">
        <v>31.824999999999999</v>
      </c>
      <c r="D617" t="str">
        <f t="shared" si="28"/>
        <v>Diabetes</v>
      </c>
      <c r="E617">
        <v>8.2799999999999994</v>
      </c>
      <c r="F617" t="s">
        <v>2380</v>
      </c>
      <c r="G617" t="s">
        <v>2380</v>
      </c>
      <c r="H617" t="s">
        <v>2380</v>
      </c>
      <c r="J617">
        <v>3</v>
      </c>
      <c r="K617" t="str">
        <f t="shared" si="29"/>
        <v>No</v>
      </c>
      <c r="L617" t="s">
        <v>2380</v>
      </c>
    </row>
    <row r="618" spans="1:12" x14ac:dyDescent="0.35">
      <c r="A618" t="s">
        <v>1754</v>
      </c>
      <c r="B618" t="str">
        <f t="shared" si="27"/>
        <v>Obesity</v>
      </c>
      <c r="C618">
        <v>46.43</v>
      </c>
      <c r="D618" t="str">
        <f t="shared" si="28"/>
        <v>Diabetes</v>
      </c>
      <c r="E618">
        <v>6.72</v>
      </c>
      <c r="F618" t="s">
        <v>2380</v>
      </c>
      <c r="G618" t="s">
        <v>2380</v>
      </c>
      <c r="H618" t="s">
        <v>2380</v>
      </c>
      <c r="J618" t="s">
        <v>2381</v>
      </c>
      <c r="K618" t="str">
        <f t="shared" si="29"/>
        <v>No</v>
      </c>
      <c r="L618" t="s">
        <v>2380</v>
      </c>
    </row>
    <row r="619" spans="1:12" x14ac:dyDescent="0.35">
      <c r="A619" t="s">
        <v>1753</v>
      </c>
      <c r="B619" t="str">
        <f t="shared" si="27"/>
        <v>Obesity</v>
      </c>
      <c r="C619">
        <v>53.63</v>
      </c>
      <c r="D619" t="str">
        <f t="shared" si="28"/>
        <v>Normal</v>
      </c>
      <c r="E619">
        <v>5.47</v>
      </c>
      <c r="F619" t="s">
        <v>2382</v>
      </c>
      <c r="G619" t="s">
        <v>2380</v>
      </c>
      <c r="H619" t="s">
        <v>2380</v>
      </c>
      <c r="J619">
        <v>1</v>
      </c>
      <c r="K619" t="str">
        <f t="shared" si="29"/>
        <v>No</v>
      </c>
      <c r="L619" t="s">
        <v>2380</v>
      </c>
    </row>
    <row r="620" spans="1:12" x14ac:dyDescent="0.35">
      <c r="A620" t="s">
        <v>1752</v>
      </c>
      <c r="B620" t="str">
        <f t="shared" si="27"/>
        <v>Obesity</v>
      </c>
      <c r="C620">
        <v>48.7</v>
      </c>
      <c r="D620" t="str">
        <f t="shared" si="28"/>
        <v>Normal</v>
      </c>
      <c r="E620">
        <v>4.71</v>
      </c>
      <c r="F620" t="s">
        <v>2380</v>
      </c>
      <c r="G620" t="s">
        <v>2380</v>
      </c>
      <c r="H620" t="s">
        <v>2380</v>
      </c>
      <c r="J620" t="s">
        <v>2381</v>
      </c>
      <c r="K620" t="str">
        <f t="shared" si="29"/>
        <v>No</v>
      </c>
      <c r="L620" t="s">
        <v>2380</v>
      </c>
    </row>
    <row r="621" spans="1:12" x14ac:dyDescent="0.35">
      <c r="A621" t="s">
        <v>1751</v>
      </c>
      <c r="B621" t="str">
        <f t="shared" si="27"/>
        <v>Obesity</v>
      </c>
      <c r="C621">
        <v>48.81</v>
      </c>
      <c r="D621" t="str">
        <f t="shared" si="28"/>
        <v>Normal</v>
      </c>
      <c r="E621">
        <v>5.49</v>
      </c>
      <c r="F621" t="s">
        <v>2380</v>
      </c>
      <c r="G621" t="s">
        <v>2380</v>
      </c>
      <c r="H621" t="s">
        <v>2380</v>
      </c>
      <c r="J621" t="s">
        <v>2381</v>
      </c>
      <c r="K621" t="str">
        <f t="shared" si="29"/>
        <v>No</v>
      </c>
      <c r="L621" t="s">
        <v>2380</v>
      </c>
    </row>
    <row r="622" spans="1:12" x14ac:dyDescent="0.35">
      <c r="A622" t="s">
        <v>1750</v>
      </c>
      <c r="B622" t="str">
        <f t="shared" si="27"/>
        <v>Obesity</v>
      </c>
      <c r="C622">
        <v>47.53</v>
      </c>
      <c r="D622" t="str">
        <f t="shared" si="28"/>
        <v>Normal</v>
      </c>
      <c r="E622">
        <v>4.72</v>
      </c>
      <c r="F622" t="s">
        <v>2380</v>
      </c>
      <c r="G622" t="s">
        <v>2380</v>
      </c>
      <c r="H622" t="s">
        <v>2380</v>
      </c>
      <c r="J622" t="s">
        <v>2381</v>
      </c>
      <c r="K622" t="str">
        <f t="shared" si="29"/>
        <v>No</v>
      </c>
      <c r="L622" t="s">
        <v>2380</v>
      </c>
    </row>
    <row r="623" spans="1:12" x14ac:dyDescent="0.35">
      <c r="A623" t="s">
        <v>1749</v>
      </c>
      <c r="B623" t="str">
        <f t="shared" si="27"/>
        <v>Obesity</v>
      </c>
      <c r="C623">
        <v>36.85</v>
      </c>
      <c r="D623" t="str">
        <f t="shared" si="28"/>
        <v>Diabetes</v>
      </c>
      <c r="E623">
        <v>6.7</v>
      </c>
      <c r="F623" t="s">
        <v>2380</v>
      </c>
      <c r="G623" t="s">
        <v>2380</v>
      </c>
      <c r="H623" t="s">
        <v>2380</v>
      </c>
      <c r="J623" t="s">
        <v>2381</v>
      </c>
      <c r="K623" t="str">
        <f t="shared" si="29"/>
        <v>No</v>
      </c>
      <c r="L623" t="s">
        <v>2380</v>
      </c>
    </row>
    <row r="624" spans="1:12" x14ac:dyDescent="0.35">
      <c r="A624" t="s">
        <v>1748</v>
      </c>
      <c r="B624" t="str">
        <f t="shared" si="27"/>
        <v>Overweight</v>
      </c>
      <c r="C624">
        <v>29.3</v>
      </c>
      <c r="D624" t="str">
        <f t="shared" si="28"/>
        <v>Normal</v>
      </c>
      <c r="E624">
        <v>5.5</v>
      </c>
      <c r="F624" t="s">
        <v>2380</v>
      </c>
      <c r="G624" t="s">
        <v>2380</v>
      </c>
      <c r="H624" t="s">
        <v>2380</v>
      </c>
      <c r="J624" t="s">
        <v>2381</v>
      </c>
      <c r="K624" t="str">
        <f t="shared" si="29"/>
        <v>No</v>
      </c>
      <c r="L624" t="s">
        <v>2380</v>
      </c>
    </row>
    <row r="625" spans="1:12" x14ac:dyDescent="0.35">
      <c r="A625" t="s">
        <v>1747</v>
      </c>
      <c r="B625" t="str">
        <f t="shared" si="27"/>
        <v>Normal Weight</v>
      </c>
      <c r="C625">
        <v>19.3</v>
      </c>
      <c r="D625" t="str">
        <f t="shared" si="28"/>
        <v>Normal</v>
      </c>
      <c r="E625">
        <v>4.46</v>
      </c>
      <c r="F625" t="s">
        <v>2380</v>
      </c>
      <c r="G625" t="s">
        <v>2380</v>
      </c>
      <c r="H625" t="s">
        <v>2380</v>
      </c>
      <c r="J625">
        <v>1</v>
      </c>
      <c r="K625" t="str">
        <f t="shared" si="29"/>
        <v>yes</v>
      </c>
      <c r="L625" t="s">
        <v>2382</v>
      </c>
    </row>
    <row r="626" spans="1:12" x14ac:dyDescent="0.35">
      <c r="A626" t="s">
        <v>1746</v>
      </c>
      <c r="B626" t="str">
        <f t="shared" si="27"/>
        <v>Normal Weight</v>
      </c>
      <c r="C626">
        <v>24.13</v>
      </c>
      <c r="D626" t="str">
        <f t="shared" si="28"/>
        <v>Normal</v>
      </c>
      <c r="E626">
        <v>5.29</v>
      </c>
      <c r="F626" t="s">
        <v>2382</v>
      </c>
      <c r="G626" t="s">
        <v>2380</v>
      </c>
      <c r="H626" t="s">
        <v>2383</v>
      </c>
      <c r="J626">
        <v>1</v>
      </c>
      <c r="K626" t="str">
        <f t="shared" si="29"/>
        <v>yes</v>
      </c>
      <c r="L626" t="s">
        <v>2382</v>
      </c>
    </row>
    <row r="627" spans="1:12" x14ac:dyDescent="0.35">
      <c r="A627" t="s">
        <v>1745</v>
      </c>
      <c r="B627" t="str">
        <f t="shared" si="27"/>
        <v>Obesity</v>
      </c>
      <c r="C627">
        <v>46.7</v>
      </c>
      <c r="D627" t="str">
        <f t="shared" si="28"/>
        <v>Diabetes</v>
      </c>
      <c r="E627">
        <v>10.99</v>
      </c>
      <c r="F627" t="s">
        <v>2380</v>
      </c>
      <c r="G627" t="s">
        <v>2380</v>
      </c>
      <c r="H627" t="s">
        <v>2380</v>
      </c>
      <c r="J627" t="s">
        <v>2381</v>
      </c>
      <c r="K627" t="str">
        <f t="shared" si="29"/>
        <v>No</v>
      </c>
      <c r="L627" t="s">
        <v>2380</v>
      </c>
    </row>
    <row r="628" spans="1:12" x14ac:dyDescent="0.35">
      <c r="A628" t="s">
        <v>1744</v>
      </c>
      <c r="B628" t="str">
        <f t="shared" si="27"/>
        <v>Obesity</v>
      </c>
      <c r="C628">
        <v>45.27</v>
      </c>
      <c r="D628" t="str">
        <f t="shared" si="28"/>
        <v>Normal</v>
      </c>
      <c r="E628">
        <v>5.2</v>
      </c>
      <c r="F628" t="s">
        <v>2382</v>
      </c>
      <c r="G628" t="s">
        <v>2380</v>
      </c>
      <c r="H628" t="s">
        <v>2380</v>
      </c>
      <c r="J628" t="s">
        <v>2381</v>
      </c>
      <c r="K628" t="str">
        <f t="shared" si="29"/>
        <v>No</v>
      </c>
      <c r="L628" t="s">
        <v>2380</v>
      </c>
    </row>
    <row r="629" spans="1:12" x14ac:dyDescent="0.35">
      <c r="A629" t="s">
        <v>1743</v>
      </c>
      <c r="B629" t="str">
        <f t="shared" si="27"/>
        <v>Obesity</v>
      </c>
      <c r="C629">
        <v>44.29</v>
      </c>
      <c r="D629" t="str">
        <f t="shared" si="28"/>
        <v>Diabetes</v>
      </c>
      <c r="E629">
        <v>9.66</v>
      </c>
      <c r="F629" t="s">
        <v>2380</v>
      </c>
      <c r="G629" t="s">
        <v>2380</v>
      </c>
      <c r="H629" t="s">
        <v>2380</v>
      </c>
      <c r="J629">
        <v>2</v>
      </c>
      <c r="K629" t="str">
        <f t="shared" si="29"/>
        <v>No</v>
      </c>
      <c r="L629" t="s">
        <v>2380</v>
      </c>
    </row>
    <row r="630" spans="1:12" x14ac:dyDescent="0.35">
      <c r="A630" t="s">
        <v>1742</v>
      </c>
      <c r="B630" t="str">
        <f t="shared" si="27"/>
        <v>Obesity</v>
      </c>
      <c r="C630">
        <v>54.59</v>
      </c>
      <c r="D630" t="str">
        <f t="shared" si="28"/>
        <v>Normal</v>
      </c>
      <c r="E630">
        <v>4.22</v>
      </c>
      <c r="F630" t="s">
        <v>2382</v>
      </c>
      <c r="G630" t="s">
        <v>2380</v>
      </c>
      <c r="H630" t="s">
        <v>2380</v>
      </c>
      <c r="J630">
        <v>1</v>
      </c>
      <c r="K630" t="str">
        <f t="shared" si="29"/>
        <v>No</v>
      </c>
      <c r="L630" t="s">
        <v>2380</v>
      </c>
    </row>
    <row r="631" spans="1:12" x14ac:dyDescent="0.35">
      <c r="A631" t="s">
        <v>1741</v>
      </c>
      <c r="B631" t="str">
        <f t="shared" si="27"/>
        <v>Obesity</v>
      </c>
      <c r="C631">
        <v>32.965000000000003</v>
      </c>
      <c r="D631" t="str">
        <f t="shared" si="28"/>
        <v>Diabetes</v>
      </c>
      <c r="E631">
        <v>11.78</v>
      </c>
      <c r="F631" t="s">
        <v>2380</v>
      </c>
      <c r="G631" t="s">
        <v>2380</v>
      </c>
      <c r="H631" t="s">
        <v>2380</v>
      </c>
      <c r="J631" t="s">
        <v>2381</v>
      </c>
      <c r="K631" t="str">
        <f t="shared" si="29"/>
        <v>No</v>
      </c>
      <c r="L631" t="s">
        <v>2380</v>
      </c>
    </row>
    <row r="632" spans="1:12" x14ac:dyDescent="0.35">
      <c r="A632" t="s">
        <v>1740</v>
      </c>
      <c r="B632" t="str">
        <f t="shared" si="27"/>
        <v>Obesity</v>
      </c>
      <c r="C632">
        <v>38.049999999999997</v>
      </c>
      <c r="D632" t="str">
        <f t="shared" si="28"/>
        <v>Diabetes</v>
      </c>
      <c r="E632">
        <v>9.6199999999999992</v>
      </c>
      <c r="F632" t="s">
        <v>2380</v>
      </c>
      <c r="G632" t="s">
        <v>2380</v>
      </c>
      <c r="H632" t="s">
        <v>2380</v>
      </c>
      <c r="J632" t="s">
        <v>2381</v>
      </c>
      <c r="K632" t="str">
        <f t="shared" si="29"/>
        <v>No</v>
      </c>
      <c r="L632" t="s">
        <v>2380</v>
      </c>
    </row>
    <row r="633" spans="1:12" x14ac:dyDescent="0.35">
      <c r="A633" t="s">
        <v>1739</v>
      </c>
      <c r="B633" t="str">
        <f t="shared" si="27"/>
        <v>Obesity</v>
      </c>
      <c r="C633">
        <v>46.14</v>
      </c>
      <c r="D633" t="str">
        <f t="shared" si="28"/>
        <v>Diabetes</v>
      </c>
      <c r="E633">
        <v>10.78</v>
      </c>
      <c r="F633" t="s">
        <v>2380</v>
      </c>
      <c r="G633" t="s">
        <v>2380</v>
      </c>
      <c r="H633" t="s">
        <v>2380</v>
      </c>
      <c r="J633" t="s">
        <v>2381</v>
      </c>
      <c r="K633" t="str">
        <f t="shared" si="29"/>
        <v>No</v>
      </c>
      <c r="L633" t="s">
        <v>2380</v>
      </c>
    </row>
    <row r="634" spans="1:12" x14ac:dyDescent="0.35">
      <c r="A634" t="s">
        <v>1738</v>
      </c>
      <c r="B634" t="str">
        <f t="shared" si="27"/>
        <v>Obesity</v>
      </c>
      <c r="C634">
        <v>41.325000000000003</v>
      </c>
      <c r="D634" t="str">
        <f t="shared" si="28"/>
        <v>Normal</v>
      </c>
      <c r="E634">
        <v>5.1100000000000003</v>
      </c>
      <c r="F634" t="s">
        <v>2382</v>
      </c>
      <c r="G634" t="s">
        <v>2380</v>
      </c>
      <c r="H634" t="s">
        <v>2380</v>
      </c>
      <c r="J634">
        <v>2</v>
      </c>
      <c r="K634" t="str">
        <f t="shared" si="29"/>
        <v>No</v>
      </c>
      <c r="L634" t="s">
        <v>2380</v>
      </c>
    </row>
    <row r="635" spans="1:12" x14ac:dyDescent="0.35">
      <c r="A635" t="s">
        <v>1737</v>
      </c>
      <c r="B635" t="str">
        <f t="shared" si="27"/>
        <v>Obesity</v>
      </c>
      <c r="C635">
        <v>44.64</v>
      </c>
      <c r="D635" t="str">
        <f t="shared" si="28"/>
        <v>Diabetes</v>
      </c>
      <c r="E635">
        <v>7.18</v>
      </c>
      <c r="F635" t="s">
        <v>2380</v>
      </c>
      <c r="G635" t="s">
        <v>2380</v>
      </c>
      <c r="H635" t="s">
        <v>2380</v>
      </c>
      <c r="J635" t="s">
        <v>2381</v>
      </c>
      <c r="K635" t="str">
        <f t="shared" si="29"/>
        <v>No</v>
      </c>
      <c r="L635" t="s">
        <v>2380</v>
      </c>
    </row>
    <row r="636" spans="1:12" x14ac:dyDescent="0.35">
      <c r="A636" t="s">
        <v>1736</v>
      </c>
      <c r="B636" t="str">
        <f t="shared" si="27"/>
        <v>Overweight</v>
      </c>
      <c r="C636">
        <v>25.175000000000001</v>
      </c>
      <c r="D636" t="str">
        <f t="shared" si="28"/>
        <v>Normal</v>
      </c>
      <c r="E636">
        <v>4.96</v>
      </c>
      <c r="F636" t="s">
        <v>2380</v>
      </c>
      <c r="G636" t="s">
        <v>2382</v>
      </c>
      <c r="H636" t="s">
        <v>2380</v>
      </c>
      <c r="J636">
        <v>1</v>
      </c>
      <c r="K636" t="str">
        <f t="shared" si="29"/>
        <v>No</v>
      </c>
      <c r="L636" t="s">
        <v>31</v>
      </c>
    </row>
    <row r="637" spans="1:12" x14ac:dyDescent="0.35">
      <c r="A637" t="s">
        <v>1735</v>
      </c>
      <c r="B637" t="str">
        <f t="shared" si="27"/>
        <v>Obesity</v>
      </c>
      <c r="C637">
        <v>43.11</v>
      </c>
      <c r="D637" t="str">
        <f t="shared" si="28"/>
        <v>Normal</v>
      </c>
      <c r="E637">
        <v>4.67</v>
      </c>
      <c r="F637" t="s">
        <v>2382</v>
      </c>
      <c r="G637" t="s">
        <v>2380</v>
      </c>
      <c r="H637" t="s">
        <v>2380</v>
      </c>
      <c r="J637" t="s">
        <v>2381</v>
      </c>
      <c r="K637" t="str">
        <f t="shared" si="29"/>
        <v>No</v>
      </c>
      <c r="L637" t="s">
        <v>2380</v>
      </c>
    </row>
    <row r="638" spans="1:12" x14ac:dyDescent="0.35">
      <c r="A638" t="s">
        <v>1734</v>
      </c>
      <c r="B638" t="str">
        <f t="shared" si="27"/>
        <v>Obesity</v>
      </c>
      <c r="C638">
        <v>53.32</v>
      </c>
      <c r="D638" t="str">
        <f t="shared" si="28"/>
        <v>Normal</v>
      </c>
      <c r="E638">
        <v>5.0599999999999996</v>
      </c>
      <c r="F638" t="s">
        <v>2380</v>
      </c>
      <c r="G638" t="s">
        <v>2380</v>
      </c>
      <c r="H638" t="s">
        <v>2380</v>
      </c>
      <c r="J638" t="s">
        <v>2381</v>
      </c>
      <c r="K638" t="str">
        <f t="shared" si="29"/>
        <v>No</v>
      </c>
      <c r="L638" t="s">
        <v>2380</v>
      </c>
    </row>
    <row r="639" spans="1:12" x14ac:dyDescent="0.35">
      <c r="A639" t="s">
        <v>1733</v>
      </c>
      <c r="B639" t="str">
        <f t="shared" si="27"/>
        <v>Obesity</v>
      </c>
      <c r="C639">
        <v>38.04</v>
      </c>
      <c r="D639" t="str">
        <f t="shared" si="28"/>
        <v>Normal</v>
      </c>
      <c r="E639">
        <v>5.0199999999999996</v>
      </c>
      <c r="F639" t="s">
        <v>2382</v>
      </c>
      <c r="G639" t="s">
        <v>2380</v>
      </c>
      <c r="H639" t="s">
        <v>2380</v>
      </c>
      <c r="J639">
        <v>1</v>
      </c>
      <c r="K639" t="str">
        <f t="shared" si="29"/>
        <v>No</v>
      </c>
      <c r="L639" t="s">
        <v>2380</v>
      </c>
    </row>
    <row r="640" spans="1:12" x14ac:dyDescent="0.35">
      <c r="A640" t="s">
        <v>1732</v>
      </c>
      <c r="B640" t="str">
        <f t="shared" si="27"/>
        <v>Obesity</v>
      </c>
      <c r="C640">
        <v>37.9</v>
      </c>
      <c r="D640" t="str">
        <f t="shared" si="28"/>
        <v>Diabetes</v>
      </c>
      <c r="E640">
        <v>7.76</v>
      </c>
      <c r="F640" t="s">
        <v>2380</v>
      </c>
      <c r="G640" t="s">
        <v>2380</v>
      </c>
      <c r="H640" t="s">
        <v>2380</v>
      </c>
      <c r="J640" t="s">
        <v>2381</v>
      </c>
      <c r="K640" t="str">
        <f t="shared" si="29"/>
        <v>No</v>
      </c>
      <c r="L640" t="s">
        <v>2380</v>
      </c>
    </row>
    <row r="641" spans="1:12" x14ac:dyDescent="0.35">
      <c r="A641" t="s">
        <v>1731</v>
      </c>
      <c r="B641" t="str">
        <f t="shared" si="27"/>
        <v>Obesity</v>
      </c>
      <c r="C641">
        <v>39.6</v>
      </c>
      <c r="D641" t="str">
        <f t="shared" si="28"/>
        <v>Diabetes</v>
      </c>
      <c r="E641">
        <v>9.32</v>
      </c>
      <c r="F641" t="s">
        <v>2380</v>
      </c>
      <c r="G641" t="s">
        <v>2380</v>
      </c>
      <c r="H641" t="s">
        <v>2380</v>
      </c>
      <c r="J641" t="s">
        <v>2381</v>
      </c>
      <c r="K641" t="str">
        <f t="shared" si="29"/>
        <v>No</v>
      </c>
      <c r="L641" t="s">
        <v>2380</v>
      </c>
    </row>
    <row r="642" spans="1:12" x14ac:dyDescent="0.35">
      <c r="A642" t="s">
        <v>1730</v>
      </c>
      <c r="B642" t="str">
        <f t="shared" si="27"/>
        <v>Obesity</v>
      </c>
      <c r="C642">
        <v>50.92</v>
      </c>
      <c r="D642" t="str">
        <f t="shared" si="28"/>
        <v>Normal</v>
      </c>
      <c r="E642">
        <v>5.31</v>
      </c>
      <c r="F642" t="s">
        <v>2382</v>
      </c>
      <c r="G642" t="s">
        <v>2380</v>
      </c>
      <c r="H642" t="s">
        <v>2380</v>
      </c>
      <c r="J642">
        <v>1</v>
      </c>
      <c r="K642" t="str">
        <f t="shared" si="29"/>
        <v>No</v>
      </c>
      <c r="L642" t="s">
        <v>2380</v>
      </c>
    </row>
    <row r="643" spans="1:12" x14ac:dyDescent="0.35">
      <c r="A643" t="s">
        <v>1729</v>
      </c>
      <c r="B643" t="str">
        <f t="shared" ref="B643:B706" si="30">_xlfn.IFS(C643&lt;18.5, "Underweight", C643&lt;=24.9, "Normal Weight", C643&lt;=29.9, "Overweight", C643&gt;=30, "Obesity")</f>
        <v>Normal Weight</v>
      </c>
      <c r="C643">
        <v>21.85</v>
      </c>
      <c r="D643" t="str">
        <f t="shared" ref="D643:D706" si="31">_xlfn.IFS(E643&lt;5.7, "Normal", E643&lt;=6.4, "Prediabetes", E643&gt;=6.5, "Diabetes")</f>
        <v>Normal</v>
      </c>
      <c r="E643">
        <v>5.56</v>
      </c>
      <c r="F643" t="s">
        <v>2382</v>
      </c>
      <c r="G643" t="s">
        <v>2380</v>
      </c>
      <c r="H643" t="s">
        <v>2380</v>
      </c>
      <c r="J643" t="s">
        <v>2381</v>
      </c>
      <c r="K643" t="str">
        <f t="shared" si="29"/>
        <v>yes</v>
      </c>
      <c r="L643" t="s">
        <v>2382</v>
      </c>
    </row>
    <row r="644" spans="1:12" x14ac:dyDescent="0.35">
      <c r="A644" t="s">
        <v>1728</v>
      </c>
      <c r="B644" t="str">
        <f t="shared" si="30"/>
        <v>Obesity</v>
      </c>
      <c r="C644">
        <v>36.08</v>
      </c>
      <c r="D644" t="str">
        <f t="shared" si="31"/>
        <v>Diabetes</v>
      </c>
      <c r="E644">
        <v>7.11</v>
      </c>
      <c r="F644" t="s">
        <v>2382</v>
      </c>
      <c r="G644" t="s">
        <v>2380</v>
      </c>
      <c r="H644" t="s">
        <v>2383</v>
      </c>
      <c r="J644">
        <v>1</v>
      </c>
      <c r="K644" t="str">
        <f t="shared" ref="K644:K707" si="32">IF(OR(L644="?", ISBLANK(L644)), "No", L644)</f>
        <v>No</v>
      </c>
      <c r="L644" t="s">
        <v>2380</v>
      </c>
    </row>
    <row r="645" spans="1:12" x14ac:dyDescent="0.35">
      <c r="A645" t="s">
        <v>1727</v>
      </c>
      <c r="B645" t="str">
        <f t="shared" si="30"/>
        <v>Obesity</v>
      </c>
      <c r="C645">
        <v>40.44</v>
      </c>
      <c r="D645" t="str">
        <f t="shared" si="31"/>
        <v>Normal</v>
      </c>
      <c r="E645">
        <v>5.13</v>
      </c>
      <c r="F645" t="s">
        <v>2382</v>
      </c>
      <c r="G645" t="s">
        <v>2380</v>
      </c>
      <c r="H645" t="s">
        <v>2383</v>
      </c>
      <c r="J645">
        <v>1</v>
      </c>
      <c r="K645" t="str">
        <f t="shared" si="32"/>
        <v>No</v>
      </c>
      <c r="L645" t="s">
        <v>2380</v>
      </c>
    </row>
    <row r="646" spans="1:12" x14ac:dyDescent="0.35">
      <c r="A646" t="s">
        <v>1726</v>
      </c>
      <c r="B646" t="str">
        <f t="shared" si="30"/>
        <v>Obesity</v>
      </c>
      <c r="C646">
        <v>38.094999999999999</v>
      </c>
      <c r="D646" t="str">
        <f t="shared" si="31"/>
        <v>Diabetes</v>
      </c>
      <c r="E646">
        <v>10.199999999999999</v>
      </c>
      <c r="F646" t="s">
        <v>2380</v>
      </c>
      <c r="G646" t="s">
        <v>2380</v>
      </c>
      <c r="H646" t="s">
        <v>2380</v>
      </c>
      <c r="J646" t="s">
        <v>2381</v>
      </c>
      <c r="K646" t="str">
        <f t="shared" si="32"/>
        <v>No</v>
      </c>
      <c r="L646" t="s">
        <v>2380</v>
      </c>
    </row>
    <row r="647" spans="1:12" x14ac:dyDescent="0.35">
      <c r="A647" t="s">
        <v>1725</v>
      </c>
      <c r="B647" t="str">
        <f t="shared" si="30"/>
        <v>Obesity</v>
      </c>
      <c r="C647">
        <v>44.95</v>
      </c>
      <c r="D647" t="str">
        <f t="shared" si="31"/>
        <v>Diabetes</v>
      </c>
      <c r="E647">
        <v>10.4</v>
      </c>
      <c r="F647" t="s">
        <v>2380</v>
      </c>
      <c r="G647" t="s">
        <v>2380</v>
      </c>
      <c r="H647" t="s">
        <v>2380</v>
      </c>
      <c r="J647" t="s">
        <v>2381</v>
      </c>
      <c r="K647" t="str">
        <f t="shared" si="32"/>
        <v>No</v>
      </c>
      <c r="L647" t="s">
        <v>2380</v>
      </c>
    </row>
    <row r="648" spans="1:12" x14ac:dyDescent="0.35">
      <c r="A648" t="s">
        <v>1724</v>
      </c>
      <c r="B648" t="str">
        <f t="shared" si="30"/>
        <v>Obesity</v>
      </c>
      <c r="C648">
        <v>35.54</v>
      </c>
      <c r="D648" t="str">
        <f t="shared" si="31"/>
        <v>Diabetes</v>
      </c>
      <c r="E648">
        <v>10.67</v>
      </c>
      <c r="F648" t="s">
        <v>2380</v>
      </c>
      <c r="G648" t="s">
        <v>2380</v>
      </c>
      <c r="H648" t="s">
        <v>2380</v>
      </c>
      <c r="J648" t="s">
        <v>2381</v>
      </c>
      <c r="K648" t="str">
        <f t="shared" si="32"/>
        <v>No</v>
      </c>
      <c r="L648" t="s">
        <v>2380</v>
      </c>
    </row>
    <row r="649" spans="1:12" x14ac:dyDescent="0.35">
      <c r="A649" t="s">
        <v>1723</v>
      </c>
      <c r="B649" t="str">
        <f t="shared" si="30"/>
        <v>Obesity</v>
      </c>
      <c r="C649">
        <v>39.799999999999997</v>
      </c>
      <c r="D649" t="str">
        <f t="shared" si="31"/>
        <v>Normal</v>
      </c>
      <c r="E649">
        <v>4.6500000000000004</v>
      </c>
      <c r="F649" t="s">
        <v>2382</v>
      </c>
      <c r="G649" t="s">
        <v>2380</v>
      </c>
      <c r="H649" t="s">
        <v>2380</v>
      </c>
      <c r="J649">
        <v>2</v>
      </c>
      <c r="K649" t="str">
        <f t="shared" si="32"/>
        <v>No</v>
      </c>
      <c r="L649" t="s">
        <v>2380</v>
      </c>
    </row>
    <row r="650" spans="1:12" x14ac:dyDescent="0.35">
      <c r="A650" t="s">
        <v>1722</v>
      </c>
      <c r="B650" t="str">
        <f t="shared" si="30"/>
        <v>Obesity</v>
      </c>
      <c r="C650">
        <v>33.659999999999997</v>
      </c>
      <c r="D650" t="str">
        <f t="shared" si="31"/>
        <v>Normal</v>
      </c>
      <c r="E650">
        <v>5.65</v>
      </c>
      <c r="F650" t="s">
        <v>2382</v>
      </c>
      <c r="G650" t="s">
        <v>2380</v>
      </c>
      <c r="H650" t="s">
        <v>2380</v>
      </c>
      <c r="J650">
        <v>2</v>
      </c>
      <c r="K650" t="str">
        <f t="shared" si="32"/>
        <v>No</v>
      </c>
      <c r="L650" t="s">
        <v>2380</v>
      </c>
    </row>
    <row r="651" spans="1:12" x14ac:dyDescent="0.35">
      <c r="A651" t="s">
        <v>1721</v>
      </c>
      <c r="B651" t="str">
        <f t="shared" si="30"/>
        <v>Obesity</v>
      </c>
      <c r="C651">
        <v>35.5</v>
      </c>
      <c r="D651" t="str">
        <f t="shared" si="31"/>
        <v>Diabetes</v>
      </c>
      <c r="E651">
        <v>11.97</v>
      </c>
      <c r="F651" t="s">
        <v>2380</v>
      </c>
      <c r="G651" t="s">
        <v>2380</v>
      </c>
      <c r="H651" t="s">
        <v>2380</v>
      </c>
      <c r="J651" t="s">
        <v>2381</v>
      </c>
      <c r="K651" t="str">
        <f t="shared" si="32"/>
        <v>No</v>
      </c>
      <c r="L651" t="s">
        <v>2380</v>
      </c>
    </row>
    <row r="652" spans="1:12" x14ac:dyDescent="0.35">
      <c r="A652" t="s">
        <v>1720</v>
      </c>
      <c r="B652" t="str">
        <f t="shared" si="30"/>
        <v>Obesity</v>
      </c>
      <c r="C652">
        <v>41.63</v>
      </c>
      <c r="D652" t="str">
        <f t="shared" si="31"/>
        <v>Diabetes</v>
      </c>
      <c r="E652">
        <v>6.71</v>
      </c>
      <c r="F652" t="s">
        <v>2380</v>
      </c>
      <c r="G652" t="s">
        <v>2380</v>
      </c>
      <c r="H652" t="s">
        <v>2380</v>
      </c>
      <c r="J652" t="s">
        <v>2381</v>
      </c>
      <c r="K652" t="str">
        <f t="shared" si="32"/>
        <v>No</v>
      </c>
      <c r="L652" t="s">
        <v>2380</v>
      </c>
    </row>
    <row r="653" spans="1:12" x14ac:dyDescent="0.35">
      <c r="A653" t="s">
        <v>1719</v>
      </c>
      <c r="B653" t="str">
        <f t="shared" si="30"/>
        <v>Obesity</v>
      </c>
      <c r="C653">
        <v>46.49</v>
      </c>
      <c r="D653" t="str">
        <f t="shared" si="31"/>
        <v>Diabetes</v>
      </c>
      <c r="E653">
        <v>11.92</v>
      </c>
      <c r="F653" t="s">
        <v>2380</v>
      </c>
      <c r="G653" t="s">
        <v>2380</v>
      </c>
      <c r="H653" t="s">
        <v>2380</v>
      </c>
      <c r="J653" t="s">
        <v>2381</v>
      </c>
      <c r="K653" t="str">
        <f t="shared" si="32"/>
        <v>No</v>
      </c>
      <c r="L653" t="s">
        <v>2380</v>
      </c>
    </row>
    <row r="654" spans="1:12" x14ac:dyDescent="0.35">
      <c r="A654" t="s">
        <v>1718</v>
      </c>
      <c r="B654" t="str">
        <f t="shared" si="30"/>
        <v>Obesity</v>
      </c>
      <c r="C654">
        <v>43.29</v>
      </c>
      <c r="D654" t="str">
        <f t="shared" si="31"/>
        <v>Normal</v>
      </c>
      <c r="E654">
        <v>5.35</v>
      </c>
      <c r="F654" t="s">
        <v>2380</v>
      </c>
      <c r="G654" t="s">
        <v>2380</v>
      </c>
      <c r="H654" t="s">
        <v>2380</v>
      </c>
      <c r="J654">
        <v>2</v>
      </c>
      <c r="K654" t="str">
        <f t="shared" si="32"/>
        <v>No</v>
      </c>
      <c r="L654" t="s">
        <v>2380</v>
      </c>
    </row>
    <row r="655" spans="1:12" x14ac:dyDescent="0.35">
      <c r="A655" t="s">
        <v>1717</v>
      </c>
      <c r="B655" t="str">
        <f t="shared" si="30"/>
        <v>Obesity</v>
      </c>
      <c r="C655">
        <v>43.08</v>
      </c>
      <c r="D655" t="str">
        <f t="shared" si="31"/>
        <v>Diabetes</v>
      </c>
      <c r="E655">
        <v>8.9600000000000009</v>
      </c>
      <c r="F655" t="s">
        <v>2382</v>
      </c>
      <c r="G655" t="s">
        <v>2380</v>
      </c>
      <c r="H655" t="s">
        <v>2380</v>
      </c>
      <c r="J655">
        <v>1</v>
      </c>
      <c r="K655" t="str">
        <f t="shared" si="32"/>
        <v>No</v>
      </c>
      <c r="L655" t="s">
        <v>2380</v>
      </c>
    </row>
    <row r="656" spans="1:12" x14ac:dyDescent="0.35">
      <c r="A656" t="s">
        <v>1716</v>
      </c>
      <c r="B656" t="str">
        <f t="shared" si="30"/>
        <v>Obesity</v>
      </c>
      <c r="C656">
        <v>39.07</v>
      </c>
      <c r="D656" t="str">
        <f t="shared" si="31"/>
        <v>Diabetes</v>
      </c>
      <c r="E656">
        <v>11.93</v>
      </c>
      <c r="F656" t="s">
        <v>2380</v>
      </c>
      <c r="G656" t="s">
        <v>2380</v>
      </c>
      <c r="H656" t="s">
        <v>2380</v>
      </c>
      <c r="J656" t="s">
        <v>2381</v>
      </c>
      <c r="K656" t="str">
        <f t="shared" si="32"/>
        <v>No</v>
      </c>
      <c r="L656" t="s">
        <v>2380</v>
      </c>
    </row>
    <row r="657" spans="1:12" x14ac:dyDescent="0.35">
      <c r="A657" t="s">
        <v>1715</v>
      </c>
      <c r="B657" t="str">
        <f t="shared" si="30"/>
        <v>Obesity</v>
      </c>
      <c r="C657">
        <v>41.3</v>
      </c>
      <c r="D657" t="str">
        <f t="shared" si="31"/>
        <v>Diabetes</v>
      </c>
      <c r="E657">
        <v>9.59</v>
      </c>
      <c r="F657" t="s">
        <v>2380</v>
      </c>
      <c r="G657" t="s">
        <v>2380</v>
      </c>
      <c r="H657" t="s">
        <v>2380</v>
      </c>
      <c r="J657" t="s">
        <v>2381</v>
      </c>
      <c r="K657" t="str">
        <f t="shared" si="32"/>
        <v>No</v>
      </c>
      <c r="L657" t="s">
        <v>2380</v>
      </c>
    </row>
    <row r="658" spans="1:12" x14ac:dyDescent="0.35">
      <c r="A658" t="s">
        <v>1714</v>
      </c>
      <c r="B658" t="str">
        <f t="shared" si="30"/>
        <v>Obesity</v>
      </c>
      <c r="C658">
        <v>42.95</v>
      </c>
      <c r="D658" t="str">
        <f t="shared" si="31"/>
        <v>Diabetes</v>
      </c>
      <c r="E658">
        <v>11.88</v>
      </c>
      <c r="F658" t="s">
        <v>2382</v>
      </c>
      <c r="G658" t="s">
        <v>2380</v>
      </c>
      <c r="H658" t="s">
        <v>2380</v>
      </c>
      <c r="J658">
        <v>2</v>
      </c>
      <c r="K658" t="str">
        <f t="shared" si="32"/>
        <v>No</v>
      </c>
      <c r="L658" t="s">
        <v>2380</v>
      </c>
    </row>
    <row r="659" spans="1:12" x14ac:dyDescent="0.35">
      <c r="A659" t="s">
        <v>1713</v>
      </c>
      <c r="B659" t="str">
        <f t="shared" si="30"/>
        <v>Obesity</v>
      </c>
      <c r="C659">
        <v>46.96</v>
      </c>
      <c r="D659" t="str">
        <f t="shared" si="31"/>
        <v>Normal</v>
      </c>
      <c r="E659">
        <v>4.6399999999999997</v>
      </c>
      <c r="F659" t="s">
        <v>2380</v>
      </c>
      <c r="G659" t="s">
        <v>2380</v>
      </c>
      <c r="H659" t="s">
        <v>2383</v>
      </c>
      <c r="J659">
        <v>1</v>
      </c>
      <c r="K659" t="str">
        <f t="shared" si="32"/>
        <v>No</v>
      </c>
      <c r="L659" t="s">
        <v>2380</v>
      </c>
    </row>
    <row r="660" spans="1:12" x14ac:dyDescent="0.35">
      <c r="A660" t="s">
        <v>1712</v>
      </c>
      <c r="B660" t="str">
        <f t="shared" si="30"/>
        <v>Obesity</v>
      </c>
      <c r="C660">
        <v>30.495000000000001</v>
      </c>
      <c r="D660" t="str">
        <f t="shared" si="31"/>
        <v>Diabetes</v>
      </c>
      <c r="E660">
        <v>9.5299999999999994</v>
      </c>
      <c r="F660" t="s">
        <v>2380</v>
      </c>
      <c r="G660" t="s">
        <v>2380</v>
      </c>
      <c r="H660" t="s">
        <v>2380</v>
      </c>
      <c r="J660" t="s">
        <v>2381</v>
      </c>
      <c r="K660" t="str">
        <f t="shared" si="32"/>
        <v>No</v>
      </c>
      <c r="L660" t="s">
        <v>2380</v>
      </c>
    </row>
    <row r="661" spans="1:12" x14ac:dyDescent="0.35">
      <c r="A661" t="s">
        <v>1711</v>
      </c>
      <c r="B661" t="str">
        <f t="shared" si="30"/>
        <v>Underweight</v>
      </c>
      <c r="C661">
        <v>17.954999999999998</v>
      </c>
      <c r="D661" t="str">
        <f t="shared" si="31"/>
        <v>Normal</v>
      </c>
      <c r="E661">
        <v>5.29</v>
      </c>
      <c r="F661" t="s">
        <v>2382</v>
      </c>
      <c r="G661" t="s">
        <v>2380</v>
      </c>
      <c r="H661" t="s">
        <v>2380</v>
      </c>
      <c r="J661">
        <v>1</v>
      </c>
      <c r="K661" t="str">
        <f t="shared" si="32"/>
        <v>yes</v>
      </c>
      <c r="L661" t="s">
        <v>2382</v>
      </c>
    </row>
    <row r="662" spans="1:12" x14ac:dyDescent="0.35">
      <c r="A662" t="s">
        <v>1710</v>
      </c>
      <c r="B662" t="str">
        <f t="shared" si="30"/>
        <v>Overweight</v>
      </c>
      <c r="C662">
        <v>25.6</v>
      </c>
      <c r="D662" t="str">
        <f t="shared" si="31"/>
        <v>Diabetes</v>
      </c>
      <c r="E662">
        <v>10.95</v>
      </c>
      <c r="F662" t="s">
        <v>2380</v>
      </c>
      <c r="G662" t="s">
        <v>2380</v>
      </c>
      <c r="H662" t="s">
        <v>2380</v>
      </c>
      <c r="J662">
        <v>3</v>
      </c>
      <c r="K662" t="str">
        <f t="shared" si="32"/>
        <v>No</v>
      </c>
      <c r="L662" t="s">
        <v>2380</v>
      </c>
    </row>
    <row r="663" spans="1:12" x14ac:dyDescent="0.35">
      <c r="A663" t="s">
        <v>1709</v>
      </c>
      <c r="B663" t="str">
        <f t="shared" si="30"/>
        <v>Obesity</v>
      </c>
      <c r="C663">
        <v>34.21</v>
      </c>
      <c r="D663" t="str">
        <f t="shared" si="31"/>
        <v>Diabetes</v>
      </c>
      <c r="E663">
        <v>9.17</v>
      </c>
      <c r="F663" t="s">
        <v>2380</v>
      </c>
      <c r="G663" t="s">
        <v>2380</v>
      </c>
      <c r="H663" t="s">
        <v>2380</v>
      </c>
      <c r="J663" t="s">
        <v>2381</v>
      </c>
      <c r="K663" t="str">
        <f t="shared" si="32"/>
        <v>No</v>
      </c>
      <c r="L663" t="s">
        <v>2380</v>
      </c>
    </row>
    <row r="664" spans="1:12" x14ac:dyDescent="0.35">
      <c r="A664" t="s">
        <v>1708</v>
      </c>
      <c r="B664" t="str">
        <f t="shared" si="30"/>
        <v>Obesity</v>
      </c>
      <c r="C664">
        <v>39.74</v>
      </c>
      <c r="D664" t="str">
        <f t="shared" si="31"/>
        <v>Diabetes</v>
      </c>
      <c r="E664">
        <v>7.39</v>
      </c>
      <c r="F664" t="s">
        <v>2380</v>
      </c>
      <c r="G664" t="s">
        <v>2380</v>
      </c>
      <c r="H664" t="s">
        <v>2380</v>
      </c>
      <c r="J664" t="s">
        <v>2381</v>
      </c>
      <c r="K664" t="str">
        <f t="shared" si="32"/>
        <v>No</v>
      </c>
      <c r="L664" t="s">
        <v>2380</v>
      </c>
    </row>
    <row r="665" spans="1:12" x14ac:dyDescent="0.35">
      <c r="A665" t="s">
        <v>1707</v>
      </c>
      <c r="B665" t="str">
        <f t="shared" si="30"/>
        <v>Obesity</v>
      </c>
      <c r="C665">
        <v>49.53</v>
      </c>
      <c r="D665" t="str">
        <f t="shared" si="31"/>
        <v>Diabetes</v>
      </c>
      <c r="E665">
        <v>9.1300000000000008</v>
      </c>
      <c r="F665" t="s">
        <v>2382</v>
      </c>
      <c r="G665" t="s">
        <v>2380</v>
      </c>
      <c r="H665" t="s">
        <v>2380</v>
      </c>
      <c r="J665" t="s">
        <v>2381</v>
      </c>
      <c r="K665" t="str">
        <f t="shared" si="32"/>
        <v>No</v>
      </c>
      <c r="L665" t="s">
        <v>2380</v>
      </c>
    </row>
    <row r="666" spans="1:12" x14ac:dyDescent="0.35">
      <c r="A666" t="s">
        <v>1706</v>
      </c>
      <c r="B666" t="str">
        <f t="shared" si="30"/>
        <v>Obesity</v>
      </c>
      <c r="C666">
        <v>39.33</v>
      </c>
      <c r="D666" t="str">
        <f t="shared" si="31"/>
        <v>Diabetes</v>
      </c>
      <c r="E666">
        <v>10.4</v>
      </c>
      <c r="F666" t="s">
        <v>2380</v>
      </c>
      <c r="G666" t="s">
        <v>2380</v>
      </c>
      <c r="H666" t="s">
        <v>2380</v>
      </c>
      <c r="J666">
        <v>3</v>
      </c>
      <c r="K666" t="str">
        <f t="shared" si="32"/>
        <v>No</v>
      </c>
      <c r="L666" t="s">
        <v>2380</v>
      </c>
    </row>
    <row r="667" spans="1:12" x14ac:dyDescent="0.35">
      <c r="A667" t="s">
        <v>1705</v>
      </c>
      <c r="B667" t="str">
        <f t="shared" si="30"/>
        <v>Obesity</v>
      </c>
      <c r="C667">
        <v>39.979999999999997</v>
      </c>
      <c r="D667" t="str">
        <f t="shared" si="31"/>
        <v>Diabetes</v>
      </c>
      <c r="E667">
        <v>9.4600000000000009</v>
      </c>
      <c r="F667" t="s">
        <v>2382</v>
      </c>
      <c r="G667" t="s">
        <v>2380</v>
      </c>
      <c r="H667" t="s">
        <v>2380</v>
      </c>
      <c r="J667">
        <v>2</v>
      </c>
      <c r="K667" t="str">
        <f t="shared" si="32"/>
        <v>No</v>
      </c>
      <c r="L667" t="s">
        <v>2380</v>
      </c>
    </row>
    <row r="668" spans="1:12" x14ac:dyDescent="0.35">
      <c r="A668" t="s">
        <v>1704</v>
      </c>
      <c r="B668" t="str">
        <f t="shared" si="30"/>
        <v>Obesity</v>
      </c>
      <c r="C668">
        <v>46.51</v>
      </c>
      <c r="D668" t="str">
        <f t="shared" si="31"/>
        <v>Diabetes</v>
      </c>
      <c r="E668">
        <v>8.69</v>
      </c>
      <c r="F668" t="s">
        <v>2382</v>
      </c>
      <c r="G668" t="s">
        <v>2380</v>
      </c>
      <c r="H668" t="s">
        <v>2380</v>
      </c>
      <c r="J668" t="s">
        <v>2381</v>
      </c>
      <c r="K668" t="str">
        <f t="shared" si="32"/>
        <v>No</v>
      </c>
      <c r="L668" t="s">
        <v>2380</v>
      </c>
    </row>
    <row r="669" spans="1:12" x14ac:dyDescent="0.35">
      <c r="A669" t="s">
        <v>1703</v>
      </c>
      <c r="B669" t="str">
        <f t="shared" si="30"/>
        <v>Obesity</v>
      </c>
      <c r="C669">
        <v>43.58</v>
      </c>
      <c r="D669" t="str">
        <f t="shared" si="31"/>
        <v>Normal</v>
      </c>
      <c r="E669">
        <v>4.2300000000000004</v>
      </c>
      <c r="F669" t="s">
        <v>2380</v>
      </c>
      <c r="G669" t="s">
        <v>2380</v>
      </c>
      <c r="H669" t="s">
        <v>2383</v>
      </c>
      <c r="J669">
        <v>1</v>
      </c>
      <c r="K669" t="str">
        <f t="shared" si="32"/>
        <v>No</v>
      </c>
      <c r="L669" t="s">
        <v>2380</v>
      </c>
    </row>
    <row r="670" spans="1:12" x14ac:dyDescent="0.35">
      <c r="A670" t="s">
        <v>1702</v>
      </c>
      <c r="B670" t="str">
        <f t="shared" si="30"/>
        <v>Obesity</v>
      </c>
      <c r="C670">
        <v>42.28</v>
      </c>
      <c r="D670" t="str">
        <f t="shared" si="31"/>
        <v>Diabetes</v>
      </c>
      <c r="E670">
        <v>9.16</v>
      </c>
      <c r="F670" t="s">
        <v>2382</v>
      </c>
      <c r="G670" t="s">
        <v>2380</v>
      </c>
      <c r="H670" t="s">
        <v>2380</v>
      </c>
      <c r="J670">
        <v>1</v>
      </c>
      <c r="K670" t="str">
        <f t="shared" si="32"/>
        <v>No</v>
      </c>
      <c r="L670" t="s">
        <v>2380</v>
      </c>
    </row>
    <row r="671" spans="1:12" x14ac:dyDescent="0.35">
      <c r="A671" t="s">
        <v>1701</v>
      </c>
      <c r="B671" t="str">
        <f t="shared" si="30"/>
        <v>Obesity</v>
      </c>
      <c r="C671">
        <v>35.520000000000003</v>
      </c>
      <c r="D671" t="str">
        <f t="shared" si="31"/>
        <v>Diabetes</v>
      </c>
      <c r="E671">
        <v>8.26</v>
      </c>
      <c r="F671" t="s">
        <v>2380</v>
      </c>
      <c r="G671" t="s">
        <v>2380</v>
      </c>
      <c r="H671" t="s">
        <v>2380</v>
      </c>
      <c r="J671" t="s">
        <v>2381</v>
      </c>
      <c r="K671" t="str">
        <f t="shared" si="32"/>
        <v>No</v>
      </c>
      <c r="L671" t="s">
        <v>2380</v>
      </c>
    </row>
    <row r="672" spans="1:12" x14ac:dyDescent="0.35">
      <c r="A672" t="s">
        <v>1700</v>
      </c>
      <c r="B672" t="str">
        <f t="shared" si="30"/>
        <v>Obesity</v>
      </c>
      <c r="C672">
        <v>33.6</v>
      </c>
      <c r="D672" t="str">
        <f t="shared" si="31"/>
        <v>Diabetes</v>
      </c>
      <c r="E672">
        <v>11.25</v>
      </c>
      <c r="F672" t="s">
        <v>2380</v>
      </c>
      <c r="G672" t="s">
        <v>2380</v>
      </c>
      <c r="H672" t="s">
        <v>2380</v>
      </c>
      <c r="J672" t="s">
        <v>2381</v>
      </c>
      <c r="K672" t="str">
        <f t="shared" si="32"/>
        <v>No</v>
      </c>
      <c r="L672" t="s">
        <v>2380</v>
      </c>
    </row>
    <row r="673" spans="1:12" x14ac:dyDescent="0.35">
      <c r="A673" t="s">
        <v>1699</v>
      </c>
      <c r="B673" t="str">
        <f t="shared" si="30"/>
        <v>Normal Weight</v>
      </c>
      <c r="C673">
        <v>22.42</v>
      </c>
      <c r="D673" t="str">
        <f t="shared" si="31"/>
        <v>Diabetes</v>
      </c>
      <c r="E673">
        <v>6.74</v>
      </c>
      <c r="F673" t="s">
        <v>2380</v>
      </c>
      <c r="G673" t="s">
        <v>2380</v>
      </c>
      <c r="H673" t="s">
        <v>2380</v>
      </c>
      <c r="J673" t="s">
        <v>2381</v>
      </c>
      <c r="K673" t="str">
        <f t="shared" si="32"/>
        <v>yes</v>
      </c>
      <c r="L673" t="s">
        <v>2382</v>
      </c>
    </row>
    <row r="674" spans="1:12" x14ac:dyDescent="0.35">
      <c r="A674" t="s">
        <v>1698</v>
      </c>
      <c r="B674" t="str">
        <f t="shared" si="30"/>
        <v>Obesity</v>
      </c>
      <c r="C674">
        <v>46.86</v>
      </c>
      <c r="D674" t="str">
        <f t="shared" si="31"/>
        <v>Normal</v>
      </c>
      <c r="E674">
        <v>4.87</v>
      </c>
      <c r="F674" t="s">
        <v>2380</v>
      </c>
      <c r="G674" t="s">
        <v>2380</v>
      </c>
      <c r="H674" t="s">
        <v>2380</v>
      </c>
      <c r="J674" t="s">
        <v>2381</v>
      </c>
      <c r="K674" t="str">
        <f t="shared" si="32"/>
        <v>No</v>
      </c>
      <c r="L674" t="s">
        <v>2380</v>
      </c>
    </row>
    <row r="675" spans="1:12" x14ac:dyDescent="0.35">
      <c r="A675" t="s">
        <v>1697</v>
      </c>
      <c r="B675" t="str">
        <f t="shared" si="30"/>
        <v>Obesity</v>
      </c>
      <c r="C675">
        <v>32.965000000000003</v>
      </c>
      <c r="D675" t="str">
        <f t="shared" si="31"/>
        <v>Diabetes</v>
      </c>
      <c r="E675">
        <v>6.68</v>
      </c>
      <c r="F675" t="s">
        <v>2380</v>
      </c>
      <c r="G675" t="s">
        <v>2380</v>
      </c>
      <c r="H675" t="s">
        <v>2380</v>
      </c>
      <c r="J675">
        <v>3</v>
      </c>
      <c r="K675" t="str">
        <f t="shared" si="32"/>
        <v>No</v>
      </c>
      <c r="L675" t="s">
        <v>2380</v>
      </c>
    </row>
    <row r="676" spans="1:12" x14ac:dyDescent="0.35">
      <c r="A676" t="s">
        <v>1696</v>
      </c>
      <c r="B676" t="str">
        <f t="shared" si="30"/>
        <v>Obesity</v>
      </c>
      <c r="C676">
        <v>39.340000000000003</v>
      </c>
      <c r="D676" t="str">
        <f t="shared" si="31"/>
        <v>Normal</v>
      </c>
      <c r="E676">
        <v>5.0199999999999996</v>
      </c>
      <c r="F676" t="s">
        <v>2382</v>
      </c>
      <c r="G676" t="s">
        <v>2380</v>
      </c>
      <c r="H676" t="s">
        <v>2383</v>
      </c>
      <c r="J676">
        <v>1</v>
      </c>
      <c r="K676" t="str">
        <f t="shared" si="32"/>
        <v>No</v>
      </c>
      <c r="L676" t="s">
        <v>2380</v>
      </c>
    </row>
    <row r="677" spans="1:12" x14ac:dyDescent="0.35">
      <c r="A677" t="s">
        <v>1695</v>
      </c>
      <c r="B677" t="str">
        <f t="shared" si="30"/>
        <v>Obesity</v>
      </c>
      <c r="C677">
        <v>47</v>
      </c>
      <c r="D677" t="str">
        <f t="shared" si="31"/>
        <v>Diabetes</v>
      </c>
      <c r="E677">
        <v>10.64</v>
      </c>
      <c r="F677" t="s">
        <v>2382</v>
      </c>
      <c r="G677" t="s">
        <v>2380</v>
      </c>
      <c r="H677" t="s">
        <v>2380</v>
      </c>
      <c r="J677" t="s">
        <v>2381</v>
      </c>
      <c r="K677" t="str">
        <f t="shared" si="32"/>
        <v>No</v>
      </c>
      <c r="L677" t="s">
        <v>2380</v>
      </c>
    </row>
    <row r="678" spans="1:12" x14ac:dyDescent="0.35">
      <c r="A678" t="s">
        <v>1694</v>
      </c>
      <c r="B678" t="str">
        <f t="shared" si="30"/>
        <v>Obesity</v>
      </c>
      <c r="C678">
        <v>36.71</v>
      </c>
      <c r="D678" t="str">
        <f t="shared" si="31"/>
        <v>Diabetes</v>
      </c>
      <c r="E678">
        <v>8.74</v>
      </c>
      <c r="F678" t="s">
        <v>2382</v>
      </c>
      <c r="G678" t="s">
        <v>2380</v>
      </c>
      <c r="H678" t="s">
        <v>2380</v>
      </c>
      <c r="J678" t="s">
        <v>2381</v>
      </c>
      <c r="K678" t="str">
        <f t="shared" si="32"/>
        <v>No</v>
      </c>
      <c r="L678" t="s">
        <v>2380</v>
      </c>
    </row>
    <row r="679" spans="1:12" x14ac:dyDescent="0.35">
      <c r="A679" t="s">
        <v>1693</v>
      </c>
      <c r="B679" t="str">
        <f t="shared" si="30"/>
        <v>Obesity</v>
      </c>
      <c r="C679">
        <v>53.48</v>
      </c>
      <c r="D679" t="str">
        <f t="shared" si="31"/>
        <v>Normal</v>
      </c>
      <c r="E679">
        <v>5.64</v>
      </c>
      <c r="F679" t="s">
        <v>2380</v>
      </c>
      <c r="G679" t="s">
        <v>2380</v>
      </c>
      <c r="H679" t="s">
        <v>2380</v>
      </c>
      <c r="J679" t="s">
        <v>2381</v>
      </c>
      <c r="K679" t="str">
        <f t="shared" si="32"/>
        <v>No</v>
      </c>
      <c r="L679" t="s">
        <v>2380</v>
      </c>
    </row>
    <row r="680" spans="1:12" x14ac:dyDescent="0.35">
      <c r="A680" t="s">
        <v>1692</v>
      </c>
      <c r="B680" t="str">
        <f t="shared" si="30"/>
        <v>Obesity</v>
      </c>
      <c r="C680">
        <v>35.5</v>
      </c>
      <c r="D680" t="str">
        <f t="shared" si="31"/>
        <v>Diabetes</v>
      </c>
      <c r="E680">
        <v>10.37</v>
      </c>
      <c r="F680" t="s">
        <v>2380</v>
      </c>
      <c r="G680" t="s">
        <v>2380</v>
      </c>
      <c r="H680" t="s">
        <v>2380</v>
      </c>
      <c r="J680" t="s">
        <v>2381</v>
      </c>
      <c r="K680" t="str">
        <f t="shared" si="32"/>
        <v>No</v>
      </c>
      <c r="L680" t="s">
        <v>2380</v>
      </c>
    </row>
    <row r="681" spans="1:12" x14ac:dyDescent="0.35">
      <c r="A681" t="s">
        <v>1691</v>
      </c>
      <c r="B681" t="str">
        <f t="shared" si="30"/>
        <v>Obesity</v>
      </c>
      <c r="C681">
        <v>36.979999999999997</v>
      </c>
      <c r="D681" t="str">
        <f t="shared" si="31"/>
        <v>Diabetes</v>
      </c>
      <c r="E681">
        <v>9.56</v>
      </c>
      <c r="F681" t="s">
        <v>2382</v>
      </c>
      <c r="G681" t="s">
        <v>2380</v>
      </c>
      <c r="H681" t="s">
        <v>2380</v>
      </c>
      <c r="J681" t="s">
        <v>2381</v>
      </c>
      <c r="K681" t="str">
        <f t="shared" si="32"/>
        <v>No</v>
      </c>
      <c r="L681" t="s">
        <v>2380</v>
      </c>
    </row>
    <row r="682" spans="1:12" x14ac:dyDescent="0.35">
      <c r="A682" t="s">
        <v>1690</v>
      </c>
      <c r="B682" t="str">
        <f t="shared" si="30"/>
        <v>Obesity</v>
      </c>
      <c r="C682">
        <v>32.395000000000003</v>
      </c>
      <c r="D682" t="str">
        <f t="shared" si="31"/>
        <v>Diabetes</v>
      </c>
      <c r="E682">
        <v>8.23</v>
      </c>
      <c r="F682" t="s">
        <v>2382</v>
      </c>
      <c r="G682" t="s">
        <v>2380</v>
      </c>
      <c r="H682" t="s">
        <v>2383</v>
      </c>
      <c r="J682">
        <v>1</v>
      </c>
      <c r="K682" t="str">
        <f t="shared" si="32"/>
        <v>No</v>
      </c>
      <c r="L682" t="s">
        <v>2380</v>
      </c>
    </row>
    <row r="683" spans="1:12" x14ac:dyDescent="0.35">
      <c r="A683" t="s">
        <v>1689</v>
      </c>
      <c r="B683" t="str">
        <f t="shared" si="30"/>
        <v>Obesity</v>
      </c>
      <c r="C683">
        <v>32.729999999999997</v>
      </c>
      <c r="D683" t="str">
        <f t="shared" si="31"/>
        <v>Diabetes</v>
      </c>
      <c r="E683">
        <v>7.03</v>
      </c>
      <c r="F683" t="s">
        <v>2380</v>
      </c>
      <c r="G683" t="s">
        <v>2380</v>
      </c>
      <c r="H683" t="s">
        <v>2380</v>
      </c>
      <c r="J683" t="s">
        <v>2381</v>
      </c>
      <c r="K683" t="str">
        <f t="shared" si="32"/>
        <v>No</v>
      </c>
      <c r="L683" t="s">
        <v>2380</v>
      </c>
    </row>
    <row r="684" spans="1:12" x14ac:dyDescent="0.35">
      <c r="A684" t="s">
        <v>1688</v>
      </c>
      <c r="B684" t="str">
        <f t="shared" si="30"/>
        <v>Normal Weight</v>
      </c>
      <c r="C684">
        <v>20.52</v>
      </c>
      <c r="D684" t="str">
        <f t="shared" si="31"/>
        <v>Normal</v>
      </c>
      <c r="E684">
        <v>5.45</v>
      </c>
      <c r="F684" t="s">
        <v>2380</v>
      </c>
      <c r="G684" t="s">
        <v>2380</v>
      </c>
      <c r="H684" t="s">
        <v>2380</v>
      </c>
      <c r="J684">
        <v>1</v>
      </c>
      <c r="K684" t="str">
        <f t="shared" si="32"/>
        <v>yes</v>
      </c>
      <c r="L684" t="s">
        <v>2382</v>
      </c>
    </row>
    <row r="685" spans="1:12" x14ac:dyDescent="0.35">
      <c r="A685" t="s">
        <v>1687</v>
      </c>
      <c r="B685" t="str">
        <f t="shared" si="30"/>
        <v>Obesity</v>
      </c>
      <c r="C685">
        <v>51.72</v>
      </c>
      <c r="D685" t="str">
        <f t="shared" si="31"/>
        <v>Prediabetes</v>
      </c>
      <c r="E685">
        <v>5.76</v>
      </c>
      <c r="F685" t="s">
        <v>2380</v>
      </c>
      <c r="G685" t="s">
        <v>2380</v>
      </c>
      <c r="H685" t="s">
        <v>2380</v>
      </c>
      <c r="J685" t="s">
        <v>2381</v>
      </c>
      <c r="K685" t="str">
        <f t="shared" si="32"/>
        <v>No</v>
      </c>
      <c r="L685" t="s">
        <v>2380</v>
      </c>
    </row>
    <row r="686" spans="1:12" x14ac:dyDescent="0.35">
      <c r="A686" t="s">
        <v>1686</v>
      </c>
      <c r="B686" t="str">
        <f t="shared" si="30"/>
        <v>Obesity</v>
      </c>
      <c r="C686">
        <v>50.2</v>
      </c>
      <c r="D686" t="str">
        <f t="shared" si="31"/>
        <v>Normal</v>
      </c>
      <c r="E686">
        <v>5.4</v>
      </c>
      <c r="F686" t="s">
        <v>2380</v>
      </c>
      <c r="G686" t="s">
        <v>2380</v>
      </c>
      <c r="H686" t="s">
        <v>2380</v>
      </c>
      <c r="J686" t="s">
        <v>2381</v>
      </c>
      <c r="K686" t="str">
        <f t="shared" si="32"/>
        <v>No</v>
      </c>
      <c r="L686" t="s">
        <v>2380</v>
      </c>
    </row>
    <row r="687" spans="1:12" x14ac:dyDescent="0.35">
      <c r="A687" t="s">
        <v>1685</v>
      </c>
      <c r="B687" t="str">
        <f t="shared" si="30"/>
        <v>Overweight</v>
      </c>
      <c r="C687">
        <v>25.52</v>
      </c>
      <c r="D687" t="str">
        <f t="shared" si="31"/>
        <v>Prediabetes</v>
      </c>
      <c r="E687">
        <v>6.35</v>
      </c>
      <c r="F687" t="s">
        <v>2380</v>
      </c>
      <c r="G687" t="s">
        <v>2380</v>
      </c>
      <c r="H687" t="s">
        <v>2383</v>
      </c>
      <c r="J687">
        <v>1</v>
      </c>
      <c r="K687" t="str">
        <f t="shared" si="32"/>
        <v>No</v>
      </c>
      <c r="L687" t="s">
        <v>2380</v>
      </c>
    </row>
    <row r="688" spans="1:12" x14ac:dyDescent="0.35">
      <c r="A688" t="s">
        <v>1684</v>
      </c>
      <c r="B688" t="str">
        <f t="shared" si="30"/>
        <v>Obesity</v>
      </c>
      <c r="C688">
        <v>35.200000000000003</v>
      </c>
      <c r="D688" t="str">
        <f t="shared" si="31"/>
        <v>Prediabetes</v>
      </c>
      <c r="E688">
        <v>6.26</v>
      </c>
      <c r="F688" t="s">
        <v>2382</v>
      </c>
      <c r="G688" t="s">
        <v>2380</v>
      </c>
      <c r="H688" t="s">
        <v>2380</v>
      </c>
      <c r="J688">
        <v>2</v>
      </c>
      <c r="K688" t="str">
        <f t="shared" si="32"/>
        <v>No</v>
      </c>
      <c r="L688" t="s">
        <v>2380</v>
      </c>
    </row>
    <row r="689" spans="1:12" x14ac:dyDescent="0.35">
      <c r="A689" t="s">
        <v>1683</v>
      </c>
      <c r="B689" t="str">
        <f t="shared" si="30"/>
        <v>Obesity</v>
      </c>
      <c r="C689">
        <v>41.26</v>
      </c>
      <c r="D689" t="str">
        <f t="shared" si="31"/>
        <v>Prediabetes</v>
      </c>
      <c r="E689">
        <v>5.97</v>
      </c>
      <c r="F689" t="s">
        <v>2382</v>
      </c>
      <c r="G689" t="s">
        <v>2380</v>
      </c>
      <c r="H689" t="s">
        <v>2380</v>
      </c>
      <c r="J689" t="s">
        <v>2381</v>
      </c>
      <c r="K689" t="str">
        <f t="shared" si="32"/>
        <v>No</v>
      </c>
      <c r="L689" t="s">
        <v>2380</v>
      </c>
    </row>
    <row r="690" spans="1:12" x14ac:dyDescent="0.35">
      <c r="A690" t="s">
        <v>1682</v>
      </c>
      <c r="B690" t="str">
        <f t="shared" si="30"/>
        <v>Underweight</v>
      </c>
      <c r="C690">
        <v>17.195</v>
      </c>
      <c r="D690" t="str">
        <f t="shared" si="31"/>
        <v>Normal</v>
      </c>
      <c r="E690">
        <v>5.29</v>
      </c>
      <c r="F690" t="s">
        <v>2382</v>
      </c>
      <c r="G690" t="s">
        <v>2380</v>
      </c>
      <c r="H690" t="s">
        <v>2380</v>
      </c>
      <c r="J690" t="s">
        <v>2381</v>
      </c>
      <c r="K690" t="str">
        <f t="shared" si="32"/>
        <v>yes</v>
      </c>
      <c r="L690" t="s">
        <v>2382</v>
      </c>
    </row>
    <row r="691" spans="1:12" x14ac:dyDescent="0.35">
      <c r="A691" t="s">
        <v>1681</v>
      </c>
      <c r="B691" t="str">
        <f t="shared" si="30"/>
        <v>Normal Weight</v>
      </c>
      <c r="C691">
        <v>23.085000000000001</v>
      </c>
      <c r="D691" t="str">
        <f t="shared" si="31"/>
        <v>Normal</v>
      </c>
      <c r="E691">
        <v>4.2699999999999996</v>
      </c>
      <c r="F691" t="s">
        <v>2382</v>
      </c>
      <c r="G691" t="s">
        <v>2380</v>
      </c>
      <c r="H691" t="s">
        <v>2380</v>
      </c>
      <c r="J691">
        <v>2</v>
      </c>
      <c r="K691" t="str">
        <f t="shared" si="32"/>
        <v>No</v>
      </c>
      <c r="L691" t="s">
        <v>2380</v>
      </c>
    </row>
    <row r="692" spans="1:12" x14ac:dyDescent="0.35">
      <c r="A692" t="s">
        <v>1680</v>
      </c>
      <c r="B692" t="str">
        <f t="shared" si="30"/>
        <v>Normal Weight</v>
      </c>
      <c r="C692">
        <v>21.66</v>
      </c>
      <c r="D692" t="str">
        <f t="shared" si="31"/>
        <v>Normal</v>
      </c>
      <c r="E692">
        <v>5.2</v>
      </c>
      <c r="F692" t="s">
        <v>2382</v>
      </c>
      <c r="G692" t="s">
        <v>2380</v>
      </c>
      <c r="H692" t="s">
        <v>2380</v>
      </c>
      <c r="J692">
        <v>2</v>
      </c>
      <c r="K692" t="str">
        <f t="shared" si="32"/>
        <v>No</v>
      </c>
      <c r="L692" t="s">
        <v>2380</v>
      </c>
    </row>
    <row r="693" spans="1:12" x14ac:dyDescent="0.35">
      <c r="A693" t="s">
        <v>1679</v>
      </c>
      <c r="B693" t="str">
        <f t="shared" si="30"/>
        <v>Obesity</v>
      </c>
      <c r="C693">
        <v>36.47</v>
      </c>
      <c r="D693" t="str">
        <f t="shared" si="31"/>
        <v>Diabetes</v>
      </c>
      <c r="E693">
        <v>8.23</v>
      </c>
      <c r="F693" t="s">
        <v>2382</v>
      </c>
      <c r="G693" t="s">
        <v>2380</v>
      </c>
      <c r="H693" t="s">
        <v>2380</v>
      </c>
      <c r="J693" t="s">
        <v>2381</v>
      </c>
      <c r="K693" t="str">
        <f t="shared" si="32"/>
        <v>No</v>
      </c>
      <c r="L693" t="s">
        <v>2380</v>
      </c>
    </row>
    <row r="694" spans="1:12" x14ac:dyDescent="0.35">
      <c r="A694" t="s">
        <v>1678</v>
      </c>
      <c r="B694" t="str">
        <f t="shared" si="30"/>
        <v>Obesity</v>
      </c>
      <c r="C694">
        <v>36.08</v>
      </c>
      <c r="D694" t="str">
        <f t="shared" si="31"/>
        <v>Diabetes</v>
      </c>
      <c r="E694">
        <v>10.33</v>
      </c>
      <c r="F694" t="s">
        <v>2382</v>
      </c>
      <c r="G694" t="s">
        <v>2380</v>
      </c>
      <c r="H694" t="s">
        <v>2380</v>
      </c>
      <c r="J694" t="s">
        <v>2381</v>
      </c>
      <c r="K694" t="str">
        <f t="shared" si="32"/>
        <v>No</v>
      </c>
      <c r="L694" t="s">
        <v>2380</v>
      </c>
    </row>
    <row r="695" spans="1:12" x14ac:dyDescent="0.35">
      <c r="A695" t="s">
        <v>1677</v>
      </c>
      <c r="B695" t="str">
        <f t="shared" si="30"/>
        <v>Normal Weight</v>
      </c>
      <c r="C695">
        <v>23.18</v>
      </c>
      <c r="D695" t="str">
        <f t="shared" si="31"/>
        <v>Prediabetes</v>
      </c>
      <c r="E695">
        <v>6.13</v>
      </c>
      <c r="F695" t="s">
        <v>2380</v>
      </c>
      <c r="G695" t="s">
        <v>2380</v>
      </c>
      <c r="H695" t="s">
        <v>2380</v>
      </c>
      <c r="J695" t="s">
        <v>2381</v>
      </c>
      <c r="K695" t="str">
        <f t="shared" si="32"/>
        <v>No</v>
      </c>
      <c r="L695" t="s">
        <v>2380</v>
      </c>
    </row>
    <row r="696" spans="1:12" x14ac:dyDescent="0.35">
      <c r="A696" t="s">
        <v>1676</v>
      </c>
      <c r="B696" t="str">
        <f t="shared" si="30"/>
        <v>Obesity</v>
      </c>
      <c r="C696">
        <v>39.159999999999997</v>
      </c>
      <c r="D696" t="str">
        <f t="shared" si="31"/>
        <v>Diabetes</v>
      </c>
      <c r="E696">
        <v>8.08</v>
      </c>
      <c r="F696" t="s">
        <v>2380</v>
      </c>
      <c r="G696" t="s">
        <v>2380</v>
      </c>
      <c r="H696" t="s">
        <v>2380</v>
      </c>
      <c r="J696">
        <v>3</v>
      </c>
      <c r="K696" t="str">
        <f t="shared" si="32"/>
        <v>No</v>
      </c>
      <c r="L696" t="s">
        <v>2380</v>
      </c>
    </row>
    <row r="697" spans="1:12" x14ac:dyDescent="0.35">
      <c r="A697" t="s">
        <v>1675</v>
      </c>
      <c r="B697" t="str">
        <f t="shared" si="30"/>
        <v>Obesity</v>
      </c>
      <c r="C697">
        <v>38.19</v>
      </c>
      <c r="D697" t="str">
        <f t="shared" si="31"/>
        <v>Diabetes</v>
      </c>
      <c r="E697">
        <v>10.49</v>
      </c>
      <c r="F697" t="s">
        <v>2380</v>
      </c>
      <c r="G697" t="s">
        <v>2380</v>
      </c>
      <c r="H697" t="s">
        <v>2380</v>
      </c>
      <c r="J697">
        <v>3</v>
      </c>
      <c r="K697" t="str">
        <f t="shared" si="32"/>
        <v>No</v>
      </c>
      <c r="L697" t="s">
        <v>2380</v>
      </c>
    </row>
    <row r="698" spans="1:12" x14ac:dyDescent="0.35">
      <c r="A698" t="s">
        <v>1674</v>
      </c>
      <c r="B698" t="str">
        <f t="shared" si="30"/>
        <v>Overweight</v>
      </c>
      <c r="C698">
        <v>26.41</v>
      </c>
      <c r="D698" t="str">
        <f t="shared" si="31"/>
        <v>Diabetes</v>
      </c>
      <c r="E698">
        <v>8.11</v>
      </c>
      <c r="F698" t="s">
        <v>2380</v>
      </c>
      <c r="G698" t="s">
        <v>2380</v>
      </c>
      <c r="H698" t="s">
        <v>2380</v>
      </c>
      <c r="J698">
        <v>3</v>
      </c>
      <c r="K698" t="str">
        <f t="shared" si="32"/>
        <v>No</v>
      </c>
      <c r="L698" t="s">
        <v>2380</v>
      </c>
    </row>
    <row r="699" spans="1:12" x14ac:dyDescent="0.35">
      <c r="A699" t="s">
        <v>1673</v>
      </c>
      <c r="B699" t="str">
        <f t="shared" si="30"/>
        <v>Overweight</v>
      </c>
      <c r="C699">
        <v>28.785</v>
      </c>
      <c r="D699" t="str">
        <f t="shared" si="31"/>
        <v>Diabetes</v>
      </c>
      <c r="E699">
        <v>6.6</v>
      </c>
      <c r="F699" t="s">
        <v>2380</v>
      </c>
      <c r="G699" t="s">
        <v>2380</v>
      </c>
      <c r="H699" t="s">
        <v>2380</v>
      </c>
      <c r="J699" t="s">
        <v>2381</v>
      </c>
      <c r="K699" t="str">
        <f t="shared" si="32"/>
        <v>No</v>
      </c>
      <c r="L699" t="s">
        <v>2380</v>
      </c>
    </row>
    <row r="700" spans="1:12" x14ac:dyDescent="0.35">
      <c r="A700" t="s">
        <v>1672</v>
      </c>
      <c r="B700" t="str">
        <f t="shared" si="30"/>
        <v>Overweight</v>
      </c>
      <c r="C700">
        <v>26.695</v>
      </c>
      <c r="D700" t="str">
        <f t="shared" si="31"/>
        <v>Diabetes</v>
      </c>
      <c r="E700">
        <v>10.14</v>
      </c>
      <c r="F700" t="s">
        <v>2382</v>
      </c>
      <c r="G700" t="s">
        <v>2380</v>
      </c>
      <c r="H700" t="s">
        <v>2383</v>
      </c>
      <c r="J700">
        <v>1</v>
      </c>
      <c r="K700" t="str">
        <f t="shared" si="32"/>
        <v>No</v>
      </c>
      <c r="L700" t="s">
        <v>2380</v>
      </c>
    </row>
    <row r="701" spans="1:12" x14ac:dyDescent="0.35">
      <c r="A701" t="s">
        <v>1671</v>
      </c>
      <c r="B701" t="str">
        <f t="shared" si="30"/>
        <v>Obesity</v>
      </c>
      <c r="C701">
        <v>32.799999999999997</v>
      </c>
      <c r="D701" t="str">
        <f t="shared" si="31"/>
        <v>Prediabetes</v>
      </c>
      <c r="E701">
        <v>6.06</v>
      </c>
      <c r="F701" t="s">
        <v>2382</v>
      </c>
      <c r="G701" t="s">
        <v>2380</v>
      </c>
      <c r="H701" t="s">
        <v>2380</v>
      </c>
      <c r="J701">
        <v>1</v>
      </c>
      <c r="K701" t="str">
        <f t="shared" si="32"/>
        <v>No</v>
      </c>
      <c r="L701" t="s">
        <v>2380</v>
      </c>
    </row>
    <row r="702" spans="1:12" x14ac:dyDescent="0.35">
      <c r="A702" t="s">
        <v>1670</v>
      </c>
      <c r="B702" t="str">
        <f t="shared" si="30"/>
        <v>Obesity</v>
      </c>
      <c r="C702">
        <v>35.869999999999997</v>
      </c>
      <c r="D702" t="str">
        <f t="shared" si="31"/>
        <v>Diabetes</v>
      </c>
      <c r="E702">
        <v>9.91</v>
      </c>
      <c r="F702" t="s">
        <v>2382</v>
      </c>
      <c r="G702" t="s">
        <v>2380</v>
      </c>
      <c r="H702" t="s">
        <v>2380</v>
      </c>
      <c r="J702" t="s">
        <v>2381</v>
      </c>
      <c r="K702" t="str">
        <f t="shared" si="32"/>
        <v>No</v>
      </c>
      <c r="L702" t="s">
        <v>2380</v>
      </c>
    </row>
    <row r="703" spans="1:12" x14ac:dyDescent="0.35">
      <c r="A703" t="s">
        <v>1669</v>
      </c>
      <c r="B703" t="str">
        <f t="shared" si="30"/>
        <v>Normal Weight</v>
      </c>
      <c r="C703">
        <v>21.66</v>
      </c>
      <c r="D703" t="str">
        <f t="shared" si="31"/>
        <v>Normal</v>
      </c>
      <c r="E703">
        <v>4.1399999999999997</v>
      </c>
      <c r="F703" t="s">
        <v>2382</v>
      </c>
      <c r="G703" t="s">
        <v>2380</v>
      </c>
      <c r="H703" t="s">
        <v>2380</v>
      </c>
      <c r="J703">
        <v>2</v>
      </c>
      <c r="K703" t="str">
        <f t="shared" si="32"/>
        <v>No</v>
      </c>
      <c r="L703" t="s">
        <v>2380</v>
      </c>
    </row>
    <row r="704" spans="1:12" x14ac:dyDescent="0.35">
      <c r="A704" t="s">
        <v>1668</v>
      </c>
      <c r="B704" t="str">
        <f t="shared" si="30"/>
        <v>Obesity</v>
      </c>
      <c r="C704">
        <v>37.72</v>
      </c>
      <c r="D704" t="str">
        <f t="shared" si="31"/>
        <v>Normal</v>
      </c>
      <c r="E704">
        <v>4.38</v>
      </c>
      <c r="F704" t="s">
        <v>2382</v>
      </c>
      <c r="G704" t="s">
        <v>2380</v>
      </c>
      <c r="H704" t="s">
        <v>2383</v>
      </c>
      <c r="J704">
        <v>1</v>
      </c>
      <c r="K704" t="str">
        <f t="shared" si="32"/>
        <v>No</v>
      </c>
      <c r="L704" t="s">
        <v>2380</v>
      </c>
    </row>
    <row r="705" spans="1:12" x14ac:dyDescent="0.35">
      <c r="A705" t="s">
        <v>1667</v>
      </c>
      <c r="B705" t="str">
        <f t="shared" si="30"/>
        <v>Obesity</v>
      </c>
      <c r="C705">
        <v>39.700000000000003</v>
      </c>
      <c r="D705" t="str">
        <f t="shared" si="31"/>
        <v>Diabetes</v>
      </c>
      <c r="E705">
        <v>9.83</v>
      </c>
      <c r="F705" t="s">
        <v>2380</v>
      </c>
      <c r="G705" t="s">
        <v>2380</v>
      </c>
      <c r="H705" t="s">
        <v>2380</v>
      </c>
      <c r="J705">
        <v>3</v>
      </c>
      <c r="K705" t="str">
        <f t="shared" si="32"/>
        <v>No</v>
      </c>
      <c r="L705" t="s">
        <v>2380</v>
      </c>
    </row>
    <row r="706" spans="1:12" x14ac:dyDescent="0.35">
      <c r="A706" t="s">
        <v>1666</v>
      </c>
      <c r="B706" t="str">
        <f t="shared" si="30"/>
        <v>Obesity</v>
      </c>
      <c r="C706">
        <v>35.97</v>
      </c>
      <c r="D706" t="str">
        <f t="shared" si="31"/>
        <v>Diabetes</v>
      </c>
      <c r="E706">
        <v>11.08</v>
      </c>
      <c r="F706" t="s">
        <v>2380</v>
      </c>
      <c r="G706" t="s">
        <v>2380</v>
      </c>
      <c r="H706" t="s">
        <v>2380</v>
      </c>
      <c r="J706">
        <v>3</v>
      </c>
      <c r="K706" t="str">
        <f t="shared" si="32"/>
        <v>No</v>
      </c>
      <c r="L706" t="s">
        <v>2380</v>
      </c>
    </row>
    <row r="707" spans="1:12" x14ac:dyDescent="0.35">
      <c r="A707" t="s">
        <v>1665</v>
      </c>
      <c r="B707" t="str">
        <f t="shared" ref="B707:B770" si="33">_xlfn.IFS(C707&lt;18.5, "Underweight", C707&lt;=24.9, "Normal Weight", C707&lt;=29.9, "Overweight", C707&gt;=30, "Obesity")</f>
        <v>Obesity</v>
      </c>
      <c r="C707">
        <v>37.85</v>
      </c>
      <c r="D707" t="str">
        <f t="shared" ref="D707:D770" si="34">_xlfn.IFS(E707&lt;5.7, "Normal", E707&lt;=6.4, "Prediabetes", E707&gt;=6.5, "Diabetes")</f>
        <v>Diabetes</v>
      </c>
      <c r="E707">
        <v>11.01</v>
      </c>
      <c r="F707" t="s">
        <v>2380</v>
      </c>
      <c r="G707" t="s">
        <v>2380</v>
      </c>
      <c r="H707" t="s">
        <v>2380</v>
      </c>
      <c r="J707" t="s">
        <v>2381</v>
      </c>
      <c r="K707" t="str">
        <f t="shared" si="32"/>
        <v>No</v>
      </c>
      <c r="L707" t="s">
        <v>2380</v>
      </c>
    </row>
    <row r="708" spans="1:12" x14ac:dyDescent="0.35">
      <c r="A708" t="s">
        <v>1664</v>
      </c>
      <c r="B708" t="str">
        <f t="shared" si="33"/>
        <v>Normal Weight</v>
      </c>
      <c r="C708">
        <v>21.66</v>
      </c>
      <c r="D708" t="str">
        <f t="shared" si="34"/>
        <v>Normal</v>
      </c>
      <c r="E708">
        <v>4.37</v>
      </c>
      <c r="F708" t="s">
        <v>2380</v>
      </c>
      <c r="G708" t="s">
        <v>2382</v>
      </c>
      <c r="H708" t="s">
        <v>2380</v>
      </c>
      <c r="J708">
        <v>1</v>
      </c>
      <c r="K708" t="str">
        <f t="shared" ref="K708:K771" si="35">IF(OR(L708="?", ISBLANK(L708)), "No", L708)</f>
        <v>yes</v>
      </c>
      <c r="L708" t="s">
        <v>2382</v>
      </c>
    </row>
    <row r="709" spans="1:12" x14ac:dyDescent="0.35">
      <c r="A709" t="s">
        <v>1663</v>
      </c>
      <c r="B709" t="str">
        <f t="shared" si="33"/>
        <v>Obesity</v>
      </c>
      <c r="C709">
        <v>39.369999999999997</v>
      </c>
      <c r="D709" t="str">
        <f t="shared" si="34"/>
        <v>Prediabetes</v>
      </c>
      <c r="E709">
        <v>5.91</v>
      </c>
      <c r="F709" t="s">
        <v>2380</v>
      </c>
      <c r="G709" t="s">
        <v>2380</v>
      </c>
      <c r="H709" t="s">
        <v>2380</v>
      </c>
      <c r="J709">
        <v>2</v>
      </c>
      <c r="K709" t="str">
        <f t="shared" si="35"/>
        <v>No</v>
      </c>
      <c r="L709" t="s">
        <v>2380</v>
      </c>
    </row>
    <row r="710" spans="1:12" x14ac:dyDescent="0.35">
      <c r="A710" t="s">
        <v>1662</v>
      </c>
      <c r="B710" t="str">
        <f t="shared" si="33"/>
        <v>Obesity</v>
      </c>
      <c r="C710">
        <v>40.880000000000003</v>
      </c>
      <c r="D710" t="str">
        <f t="shared" si="34"/>
        <v>Diabetes</v>
      </c>
      <c r="E710">
        <v>7.65</v>
      </c>
      <c r="F710" t="s">
        <v>2380</v>
      </c>
      <c r="G710" t="s">
        <v>2380</v>
      </c>
      <c r="H710" t="s">
        <v>2380</v>
      </c>
      <c r="J710" t="s">
        <v>2381</v>
      </c>
      <c r="K710" t="str">
        <f t="shared" si="35"/>
        <v>No</v>
      </c>
      <c r="L710" t="s">
        <v>2380</v>
      </c>
    </row>
    <row r="711" spans="1:12" x14ac:dyDescent="0.35">
      <c r="A711" t="s">
        <v>1661</v>
      </c>
      <c r="B711" t="str">
        <f t="shared" si="33"/>
        <v>Overweight</v>
      </c>
      <c r="C711">
        <v>26.22</v>
      </c>
      <c r="D711" t="str">
        <f t="shared" si="34"/>
        <v>Normal</v>
      </c>
      <c r="E711">
        <v>5.37</v>
      </c>
      <c r="F711" t="s">
        <v>2382</v>
      </c>
      <c r="G711" t="s">
        <v>2380</v>
      </c>
      <c r="H711" t="s">
        <v>2380</v>
      </c>
      <c r="J711">
        <v>2</v>
      </c>
      <c r="K711" t="str">
        <f t="shared" si="35"/>
        <v>No</v>
      </c>
      <c r="L711" t="s">
        <v>2380</v>
      </c>
    </row>
    <row r="712" spans="1:12" x14ac:dyDescent="0.35">
      <c r="A712" t="s">
        <v>1660</v>
      </c>
      <c r="B712" t="str">
        <f t="shared" si="33"/>
        <v>Overweight</v>
      </c>
      <c r="C712">
        <v>25.08</v>
      </c>
      <c r="D712" t="str">
        <f t="shared" si="34"/>
        <v>Prediabetes</v>
      </c>
      <c r="E712">
        <v>5.75</v>
      </c>
      <c r="F712" t="s">
        <v>2382</v>
      </c>
      <c r="G712" t="s">
        <v>2380</v>
      </c>
      <c r="H712" t="s">
        <v>2380</v>
      </c>
      <c r="J712">
        <v>2</v>
      </c>
      <c r="K712" t="str">
        <f t="shared" si="35"/>
        <v>No</v>
      </c>
      <c r="L712" t="s">
        <v>2380</v>
      </c>
    </row>
    <row r="713" spans="1:12" x14ac:dyDescent="0.35">
      <c r="A713" t="s">
        <v>1659</v>
      </c>
      <c r="B713" t="str">
        <f t="shared" si="33"/>
        <v>Obesity</v>
      </c>
      <c r="C713">
        <v>39.1</v>
      </c>
      <c r="D713" t="str">
        <f t="shared" si="34"/>
        <v>Diabetes</v>
      </c>
      <c r="E713">
        <v>6.79</v>
      </c>
      <c r="F713" t="s">
        <v>2382</v>
      </c>
      <c r="G713" t="s">
        <v>2380</v>
      </c>
      <c r="H713" t="s">
        <v>2380</v>
      </c>
      <c r="J713">
        <v>2</v>
      </c>
      <c r="K713" t="str">
        <f t="shared" si="35"/>
        <v>No</v>
      </c>
      <c r="L713" t="s">
        <v>2380</v>
      </c>
    </row>
    <row r="714" spans="1:12" x14ac:dyDescent="0.35">
      <c r="A714" t="s">
        <v>1658</v>
      </c>
      <c r="B714" t="str">
        <f t="shared" si="33"/>
        <v>Obesity</v>
      </c>
      <c r="C714">
        <v>37.905000000000001</v>
      </c>
      <c r="D714" t="str">
        <f t="shared" si="34"/>
        <v>Diabetes</v>
      </c>
      <c r="E714">
        <v>7.03</v>
      </c>
      <c r="F714" t="s">
        <v>2380</v>
      </c>
      <c r="G714" t="s">
        <v>2380</v>
      </c>
      <c r="H714" t="s">
        <v>2380</v>
      </c>
      <c r="J714">
        <v>3</v>
      </c>
      <c r="K714" t="str">
        <f t="shared" si="35"/>
        <v>No</v>
      </c>
      <c r="L714" t="s">
        <v>2380</v>
      </c>
    </row>
    <row r="715" spans="1:12" x14ac:dyDescent="0.35">
      <c r="A715" t="s">
        <v>1657</v>
      </c>
      <c r="B715" t="str">
        <f t="shared" si="33"/>
        <v>Obesity</v>
      </c>
      <c r="C715">
        <v>43.35</v>
      </c>
      <c r="D715" t="str">
        <f t="shared" si="34"/>
        <v>Normal</v>
      </c>
      <c r="E715">
        <v>5.41</v>
      </c>
      <c r="F715" t="s">
        <v>2382</v>
      </c>
      <c r="G715" t="s">
        <v>2380</v>
      </c>
      <c r="H715" t="s">
        <v>2383</v>
      </c>
      <c r="J715">
        <v>1</v>
      </c>
      <c r="K715" t="str">
        <f t="shared" si="35"/>
        <v>No</v>
      </c>
      <c r="L715" t="s">
        <v>2380</v>
      </c>
    </row>
    <row r="716" spans="1:12" x14ac:dyDescent="0.35">
      <c r="A716" t="s">
        <v>1656</v>
      </c>
      <c r="B716" t="str">
        <f t="shared" si="33"/>
        <v>Obesity</v>
      </c>
      <c r="C716">
        <v>36.15</v>
      </c>
      <c r="D716" t="str">
        <f t="shared" si="34"/>
        <v>Diabetes</v>
      </c>
      <c r="E716">
        <v>8.0500000000000007</v>
      </c>
      <c r="F716" t="s">
        <v>2380</v>
      </c>
      <c r="G716" t="s">
        <v>2380</v>
      </c>
      <c r="H716" t="s">
        <v>2380</v>
      </c>
      <c r="J716" t="s">
        <v>2381</v>
      </c>
      <c r="K716" t="str">
        <f t="shared" si="35"/>
        <v>No</v>
      </c>
      <c r="L716" t="s">
        <v>2380</v>
      </c>
    </row>
    <row r="717" spans="1:12" x14ac:dyDescent="0.35">
      <c r="A717" t="s">
        <v>1655</v>
      </c>
      <c r="B717" t="str">
        <f t="shared" si="33"/>
        <v>Obesity</v>
      </c>
      <c r="C717">
        <v>44.98</v>
      </c>
      <c r="D717" t="str">
        <f t="shared" si="34"/>
        <v>Prediabetes</v>
      </c>
      <c r="E717">
        <v>5.94</v>
      </c>
      <c r="F717" t="s">
        <v>2380</v>
      </c>
      <c r="G717" t="s">
        <v>2380</v>
      </c>
      <c r="H717" t="s">
        <v>2380</v>
      </c>
      <c r="J717">
        <v>1</v>
      </c>
      <c r="K717" t="str">
        <f t="shared" si="35"/>
        <v>No</v>
      </c>
      <c r="L717" t="s">
        <v>2380</v>
      </c>
    </row>
    <row r="718" spans="1:12" x14ac:dyDescent="0.35">
      <c r="A718" t="s">
        <v>1654</v>
      </c>
      <c r="B718" t="str">
        <f t="shared" si="33"/>
        <v>Obesity</v>
      </c>
      <c r="C718">
        <v>38.28</v>
      </c>
      <c r="D718" t="str">
        <f t="shared" si="34"/>
        <v>Normal</v>
      </c>
      <c r="E718">
        <v>5.51</v>
      </c>
      <c r="F718" t="s">
        <v>2380</v>
      </c>
      <c r="G718" t="s">
        <v>2382</v>
      </c>
      <c r="H718" t="s">
        <v>2380</v>
      </c>
      <c r="J718">
        <v>1</v>
      </c>
      <c r="K718" t="str">
        <f t="shared" si="35"/>
        <v>No</v>
      </c>
      <c r="L718" t="s">
        <v>2380</v>
      </c>
    </row>
    <row r="719" spans="1:12" x14ac:dyDescent="0.35">
      <c r="A719" t="s">
        <v>1653</v>
      </c>
      <c r="B719" t="str">
        <f t="shared" si="33"/>
        <v>Obesity</v>
      </c>
      <c r="C719">
        <v>32.299999999999997</v>
      </c>
      <c r="D719" t="str">
        <f t="shared" si="34"/>
        <v>Diabetes</v>
      </c>
      <c r="E719">
        <v>6.55</v>
      </c>
      <c r="F719" t="s">
        <v>2382</v>
      </c>
      <c r="G719" t="s">
        <v>2380</v>
      </c>
      <c r="H719" t="s">
        <v>2380</v>
      </c>
      <c r="J719">
        <v>2</v>
      </c>
      <c r="K719" t="str">
        <f t="shared" si="35"/>
        <v>No</v>
      </c>
      <c r="L719" t="s">
        <v>2380</v>
      </c>
    </row>
    <row r="720" spans="1:12" x14ac:dyDescent="0.35">
      <c r="A720" t="s">
        <v>1652</v>
      </c>
      <c r="B720" t="str">
        <f t="shared" si="33"/>
        <v>Obesity</v>
      </c>
      <c r="C720">
        <v>39.51</v>
      </c>
      <c r="D720" t="str">
        <f t="shared" si="34"/>
        <v>Prediabetes</v>
      </c>
      <c r="E720">
        <v>5.79</v>
      </c>
      <c r="F720" t="s">
        <v>2382</v>
      </c>
      <c r="G720" t="s">
        <v>2380</v>
      </c>
      <c r="H720" t="s">
        <v>2380</v>
      </c>
      <c r="J720" t="s">
        <v>2381</v>
      </c>
      <c r="K720" t="str">
        <f t="shared" si="35"/>
        <v>No</v>
      </c>
      <c r="L720" t="s">
        <v>2380</v>
      </c>
    </row>
    <row r="721" spans="1:12" x14ac:dyDescent="0.35">
      <c r="A721" t="s">
        <v>1651</v>
      </c>
      <c r="B721" t="str">
        <f t="shared" si="33"/>
        <v>Obesity</v>
      </c>
      <c r="C721">
        <v>50.46</v>
      </c>
      <c r="D721" t="str">
        <f t="shared" si="34"/>
        <v>Normal</v>
      </c>
      <c r="E721">
        <v>4.5599999999999996</v>
      </c>
      <c r="F721" t="s">
        <v>2380</v>
      </c>
      <c r="G721" t="s">
        <v>2380</v>
      </c>
      <c r="H721" t="s">
        <v>2380</v>
      </c>
      <c r="J721" t="s">
        <v>2381</v>
      </c>
      <c r="K721" t="str">
        <f t="shared" si="35"/>
        <v>No</v>
      </c>
      <c r="L721" t="s">
        <v>2380</v>
      </c>
    </row>
    <row r="722" spans="1:12" x14ac:dyDescent="0.35">
      <c r="A722" t="s">
        <v>1650</v>
      </c>
      <c r="B722" t="str">
        <f t="shared" si="33"/>
        <v>Obesity</v>
      </c>
      <c r="C722">
        <v>31.73</v>
      </c>
      <c r="D722" t="str">
        <f t="shared" si="34"/>
        <v>Diabetes</v>
      </c>
      <c r="E722">
        <v>7</v>
      </c>
      <c r="F722" t="s">
        <v>2380</v>
      </c>
      <c r="G722" t="s">
        <v>2380</v>
      </c>
      <c r="H722" t="s">
        <v>2380</v>
      </c>
      <c r="J722" t="s">
        <v>2381</v>
      </c>
      <c r="K722" t="str">
        <f t="shared" si="35"/>
        <v>No</v>
      </c>
      <c r="L722" t="s">
        <v>2380</v>
      </c>
    </row>
    <row r="723" spans="1:12" x14ac:dyDescent="0.35">
      <c r="A723" t="s">
        <v>1649</v>
      </c>
      <c r="B723" t="str">
        <f t="shared" si="33"/>
        <v>Obesity</v>
      </c>
      <c r="C723">
        <v>32.1</v>
      </c>
      <c r="D723" t="str">
        <f t="shared" si="34"/>
        <v>Diabetes</v>
      </c>
      <c r="E723">
        <v>6.57</v>
      </c>
      <c r="F723" t="s">
        <v>2382</v>
      </c>
      <c r="G723" t="s">
        <v>2380</v>
      </c>
      <c r="H723" t="s">
        <v>2383</v>
      </c>
      <c r="J723">
        <v>1</v>
      </c>
      <c r="K723" t="str">
        <f t="shared" si="35"/>
        <v>No</v>
      </c>
      <c r="L723" t="s">
        <v>2380</v>
      </c>
    </row>
    <row r="724" spans="1:12" x14ac:dyDescent="0.35">
      <c r="A724" t="s">
        <v>1648</v>
      </c>
      <c r="B724" t="str">
        <f t="shared" si="33"/>
        <v>Overweight</v>
      </c>
      <c r="C724">
        <v>27.83</v>
      </c>
      <c r="D724" t="str">
        <f t="shared" si="34"/>
        <v>Diabetes</v>
      </c>
      <c r="E724">
        <v>11.61</v>
      </c>
      <c r="F724" t="s">
        <v>2382</v>
      </c>
      <c r="G724" t="s">
        <v>2380</v>
      </c>
      <c r="H724" t="s">
        <v>2383</v>
      </c>
      <c r="J724">
        <v>1</v>
      </c>
      <c r="K724" t="str">
        <f t="shared" si="35"/>
        <v>No</v>
      </c>
      <c r="L724" t="s">
        <v>2380</v>
      </c>
    </row>
    <row r="725" spans="1:12" x14ac:dyDescent="0.35">
      <c r="A725" t="s">
        <v>1647</v>
      </c>
      <c r="B725" t="str">
        <f t="shared" si="33"/>
        <v>Overweight</v>
      </c>
      <c r="C725">
        <v>27.72</v>
      </c>
      <c r="D725" t="str">
        <f t="shared" si="34"/>
        <v>Diabetes</v>
      </c>
      <c r="E725">
        <v>8.16</v>
      </c>
      <c r="F725" t="s">
        <v>2382</v>
      </c>
      <c r="G725" t="s">
        <v>2380</v>
      </c>
      <c r="H725" t="s">
        <v>2383</v>
      </c>
      <c r="J725">
        <v>1</v>
      </c>
      <c r="K725" t="str">
        <f t="shared" si="35"/>
        <v>No</v>
      </c>
      <c r="L725" t="s">
        <v>2380</v>
      </c>
    </row>
    <row r="726" spans="1:12" x14ac:dyDescent="0.35">
      <c r="A726" t="s">
        <v>1646</v>
      </c>
      <c r="B726" t="str">
        <f t="shared" si="33"/>
        <v>Obesity</v>
      </c>
      <c r="C726">
        <v>36.765000000000001</v>
      </c>
      <c r="D726" t="str">
        <f t="shared" si="34"/>
        <v>Normal</v>
      </c>
      <c r="E726">
        <v>4.4800000000000004</v>
      </c>
      <c r="F726" t="s">
        <v>2382</v>
      </c>
      <c r="G726" t="s">
        <v>2380</v>
      </c>
      <c r="H726" t="s">
        <v>2380</v>
      </c>
      <c r="J726">
        <v>2</v>
      </c>
      <c r="K726" t="str">
        <f t="shared" si="35"/>
        <v>No</v>
      </c>
      <c r="L726" t="s">
        <v>2380</v>
      </c>
    </row>
    <row r="727" spans="1:12" x14ac:dyDescent="0.35">
      <c r="A727" t="s">
        <v>1645</v>
      </c>
      <c r="B727" t="str">
        <f t="shared" si="33"/>
        <v>Obesity</v>
      </c>
      <c r="C727">
        <v>48.36</v>
      </c>
      <c r="D727" t="str">
        <f t="shared" si="34"/>
        <v>Normal</v>
      </c>
      <c r="E727">
        <v>4.08</v>
      </c>
      <c r="F727" t="s">
        <v>2380</v>
      </c>
      <c r="G727" t="s">
        <v>2380</v>
      </c>
      <c r="H727" t="s">
        <v>2380</v>
      </c>
      <c r="J727" t="s">
        <v>2381</v>
      </c>
      <c r="K727" t="str">
        <f t="shared" si="35"/>
        <v>No</v>
      </c>
      <c r="L727" t="s">
        <v>2380</v>
      </c>
    </row>
    <row r="728" spans="1:12" x14ac:dyDescent="0.35">
      <c r="A728" t="s">
        <v>1644</v>
      </c>
      <c r="B728" t="str">
        <f t="shared" si="33"/>
        <v>Obesity</v>
      </c>
      <c r="C728">
        <v>31.445</v>
      </c>
      <c r="D728" t="str">
        <f t="shared" si="34"/>
        <v>Normal</v>
      </c>
      <c r="E728">
        <v>4.4000000000000004</v>
      </c>
      <c r="F728" t="s">
        <v>2382</v>
      </c>
      <c r="G728" t="s">
        <v>2380</v>
      </c>
      <c r="H728" t="s">
        <v>2380</v>
      </c>
      <c r="J728">
        <v>2</v>
      </c>
      <c r="K728" t="str">
        <f t="shared" si="35"/>
        <v>No</v>
      </c>
      <c r="L728" t="s">
        <v>2380</v>
      </c>
    </row>
    <row r="729" spans="1:12" x14ac:dyDescent="0.35">
      <c r="A729" t="s">
        <v>1643</v>
      </c>
      <c r="B729" t="str">
        <f t="shared" si="33"/>
        <v>Overweight</v>
      </c>
      <c r="C729">
        <v>27.55</v>
      </c>
      <c r="D729" t="str">
        <f t="shared" si="34"/>
        <v>Diabetes</v>
      </c>
      <c r="E729">
        <v>9.02</v>
      </c>
      <c r="F729" t="s">
        <v>2380</v>
      </c>
      <c r="G729" t="s">
        <v>2380</v>
      </c>
      <c r="H729" t="s">
        <v>2380</v>
      </c>
      <c r="J729" t="s">
        <v>2381</v>
      </c>
      <c r="K729" t="str">
        <f t="shared" si="35"/>
        <v>No</v>
      </c>
      <c r="L729" t="s">
        <v>2380</v>
      </c>
    </row>
    <row r="730" spans="1:12" x14ac:dyDescent="0.35">
      <c r="A730" t="s">
        <v>1642</v>
      </c>
      <c r="B730" t="str">
        <f t="shared" si="33"/>
        <v>Obesity</v>
      </c>
      <c r="C730">
        <v>33.11</v>
      </c>
      <c r="D730" t="str">
        <f t="shared" si="34"/>
        <v>Diabetes</v>
      </c>
      <c r="E730">
        <v>8.06</v>
      </c>
      <c r="F730" t="s">
        <v>2380</v>
      </c>
      <c r="G730" t="s">
        <v>2380</v>
      </c>
      <c r="H730" t="s">
        <v>2380</v>
      </c>
      <c r="J730" t="s">
        <v>2381</v>
      </c>
      <c r="K730" t="str">
        <f t="shared" si="35"/>
        <v>No</v>
      </c>
      <c r="L730" t="s">
        <v>2380</v>
      </c>
    </row>
    <row r="731" spans="1:12" x14ac:dyDescent="0.35">
      <c r="A731" t="s">
        <v>1641</v>
      </c>
      <c r="B731" t="str">
        <f t="shared" si="33"/>
        <v>Obesity</v>
      </c>
      <c r="C731">
        <v>36.85</v>
      </c>
      <c r="D731" t="str">
        <f t="shared" si="34"/>
        <v>Prediabetes</v>
      </c>
      <c r="E731">
        <v>6.21</v>
      </c>
      <c r="F731" t="s">
        <v>2382</v>
      </c>
      <c r="G731" t="s">
        <v>2380</v>
      </c>
      <c r="H731" t="s">
        <v>2380</v>
      </c>
      <c r="J731">
        <v>2</v>
      </c>
      <c r="K731" t="str">
        <f t="shared" si="35"/>
        <v>No</v>
      </c>
      <c r="L731" t="s">
        <v>2380</v>
      </c>
    </row>
    <row r="732" spans="1:12" x14ac:dyDescent="0.35">
      <c r="A732" t="s">
        <v>1640</v>
      </c>
      <c r="B732" t="str">
        <f t="shared" si="33"/>
        <v>Obesity</v>
      </c>
      <c r="C732">
        <v>36.299999999999997</v>
      </c>
      <c r="D732" t="str">
        <f t="shared" si="34"/>
        <v>Prediabetes</v>
      </c>
      <c r="E732">
        <v>5.79</v>
      </c>
      <c r="F732" t="s">
        <v>2382</v>
      </c>
      <c r="G732" t="s">
        <v>2380</v>
      </c>
      <c r="H732" t="s">
        <v>2380</v>
      </c>
      <c r="J732">
        <v>2</v>
      </c>
      <c r="K732" t="str">
        <f t="shared" si="35"/>
        <v>No</v>
      </c>
      <c r="L732" t="s">
        <v>2380</v>
      </c>
    </row>
    <row r="733" spans="1:12" x14ac:dyDescent="0.35">
      <c r="A733" t="s">
        <v>1639</v>
      </c>
      <c r="B733" t="str">
        <f t="shared" si="33"/>
        <v>Obesity</v>
      </c>
      <c r="C733">
        <v>45.34</v>
      </c>
      <c r="D733" t="str">
        <f t="shared" si="34"/>
        <v>Normal</v>
      </c>
      <c r="E733">
        <v>5.69</v>
      </c>
      <c r="F733" t="s">
        <v>2382</v>
      </c>
      <c r="G733" t="s">
        <v>2380</v>
      </c>
      <c r="H733" t="s">
        <v>2380</v>
      </c>
      <c r="J733" t="s">
        <v>2381</v>
      </c>
      <c r="K733" t="str">
        <f t="shared" si="35"/>
        <v>No</v>
      </c>
      <c r="L733" t="s">
        <v>2380</v>
      </c>
    </row>
    <row r="734" spans="1:12" x14ac:dyDescent="0.35">
      <c r="A734" t="s">
        <v>1638</v>
      </c>
      <c r="B734" t="str">
        <f t="shared" si="33"/>
        <v>Obesity</v>
      </c>
      <c r="C734">
        <v>31.8</v>
      </c>
      <c r="D734" t="str">
        <f t="shared" si="34"/>
        <v>Normal</v>
      </c>
      <c r="E734">
        <v>5.36</v>
      </c>
      <c r="F734" t="s">
        <v>2382</v>
      </c>
      <c r="G734" t="s">
        <v>2380</v>
      </c>
      <c r="H734" t="s">
        <v>2380</v>
      </c>
      <c r="J734">
        <v>2</v>
      </c>
      <c r="K734" t="str">
        <f t="shared" si="35"/>
        <v>No</v>
      </c>
      <c r="L734" t="s">
        <v>2380</v>
      </c>
    </row>
    <row r="735" spans="1:12" x14ac:dyDescent="0.35">
      <c r="A735" t="s">
        <v>1637</v>
      </c>
      <c r="B735" t="str">
        <f t="shared" si="33"/>
        <v>Obesity</v>
      </c>
      <c r="C735">
        <v>41.02</v>
      </c>
      <c r="D735" t="str">
        <f t="shared" si="34"/>
        <v>Diabetes</v>
      </c>
      <c r="E735">
        <v>11.37</v>
      </c>
      <c r="F735" t="s">
        <v>2380</v>
      </c>
      <c r="G735" t="s">
        <v>2380</v>
      </c>
      <c r="H735" t="s">
        <v>2380</v>
      </c>
      <c r="J735" t="s">
        <v>2381</v>
      </c>
      <c r="K735" t="str">
        <f t="shared" si="35"/>
        <v>No</v>
      </c>
      <c r="L735" t="s">
        <v>2380</v>
      </c>
    </row>
    <row r="736" spans="1:12" x14ac:dyDescent="0.35">
      <c r="A736" t="s">
        <v>1636</v>
      </c>
      <c r="B736" t="str">
        <f t="shared" si="33"/>
        <v>Obesity</v>
      </c>
      <c r="C736">
        <v>32.68</v>
      </c>
      <c r="D736" t="str">
        <f t="shared" si="34"/>
        <v>Diabetes</v>
      </c>
      <c r="E736">
        <v>11.87</v>
      </c>
      <c r="F736" t="s">
        <v>2380</v>
      </c>
      <c r="G736" t="s">
        <v>2380</v>
      </c>
      <c r="H736" t="s">
        <v>2380</v>
      </c>
      <c r="J736" t="s">
        <v>2381</v>
      </c>
      <c r="K736" t="str">
        <f t="shared" si="35"/>
        <v>No</v>
      </c>
      <c r="L736" t="s">
        <v>2380</v>
      </c>
    </row>
    <row r="737" spans="1:12" x14ac:dyDescent="0.35">
      <c r="A737" t="s">
        <v>1635</v>
      </c>
      <c r="B737" t="str">
        <f t="shared" si="33"/>
        <v>Normal Weight</v>
      </c>
      <c r="C737">
        <v>21.7</v>
      </c>
      <c r="D737" t="str">
        <f t="shared" si="34"/>
        <v>Normal</v>
      </c>
      <c r="E737">
        <v>4.9000000000000004</v>
      </c>
      <c r="F737" t="s">
        <v>2380</v>
      </c>
      <c r="G737" t="s">
        <v>2380</v>
      </c>
      <c r="H737" t="s">
        <v>2383</v>
      </c>
      <c r="J737">
        <v>1</v>
      </c>
      <c r="K737" t="str">
        <f t="shared" si="35"/>
        <v>yes</v>
      </c>
      <c r="L737" t="s">
        <v>2382</v>
      </c>
    </row>
    <row r="738" spans="1:12" x14ac:dyDescent="0.35">
      <c r="A738" t="s">
        <v>1634</v>
      </c>
      <c r="B738" t="str">
        <f t="shared" si="33"/>
        <v>Obesity</v>
      </c>
      <c r="C738">
        <v>40.479999999999997</v>
      </c>
      <c r="D738" t="str">
        <f t="shared" si="34"/>
        <v>Diabetes</v>
      </c>
      <c r="E738">
        <v>6.7</v>
      </c>
      <c r="F738" t="s">
        <v>2380</v>
      </c>
      <c r="G738" t="s">
        <v>2380</v>
      </c>
      <c r="H738" t="s">
        <v>2380</v>
      </c>
      <c r="J738">
        <v>3</v>
      </c>
      <c r="K738" t="str">
        <f t="shared" si="35"/>
        <v>No</v>
      </c>
      <c r="L738" t="s">
        <v>2380</v>
      </c>
    </row>
    <row r="739" spans="1:12" x14ac:dyDescent="0.35">
      <c r="A739" t="s">
        <v>1633</v>
      </c>
      <c r="B739" t="str">
        <f t="shared" si="33"/>
        <v>Obesity</v>
      </c>
      <c r="C739">
        <v>34.5</v>
      </c>
      <c r="D739" t="str">
        <f t="shared" si="34"/>
        <v>Diabetes</v>
      </c>
      <c r="E739">
        <v>10.3</v>
      </c>
      <c r="F739" t="s">
        <v>2380</v>
      </c>
      <c r="G739" t="s">
        <v>2380</v>
      </c>
      <c r="H739" t="s">
        <v>2380</v>
      </c>
      <c r="J739">
        <v>3</v>
      </c>
      <c r="K739" t="str">
        <f t="shared" si="35"/>
        <v>No</v>
      </c>
      <c r="L739" t="s">
        <v>2380</v>
      </c>
    </row>
    <row r="740" spans="1:12" x14ac:dyDescent="0.35">
      <c r="A740" t="s">
        <v>1632</v>
      </c>
      <c r="B740" t="str">
        <f t="shared" si="33"/>
        <v>Obesity</v>
      </c>
      <c r="C740">
        <v>45.9</v>
      </c>
      <c r="D740" t="str">
        <f t="shared" si="34"/>
        <v>Diabetes</v>
      </c>
      <c r="E740">
        <v>11.14</v>
      </c>
      <c r="F740" t="s">
        <v>2382</v>
      </c>
      <c r="G740" t="s">
        <v>2380</v>
      </c>
      <c r="H740" t="s">
        <v>2380</v>
      </c>
      <c r="J740">
        <v>1</v>
      </c>
      <c r="K740" t="str">
        <f t="shared" si="35"/>
        <v>No</v>
      </c>
      <c r="L740" t="s">
        <v>2380</v>
      </c>
    </row>
    <row r="741" spans="1:12" x14ac:dyDescent="0.35">
      <c r="A741" t="s">
        <v>1631</v>
      </c>
      <c r="B741" t="str">
        <f t="shared" si="33"/>
        <v>Obesity</v>
      </c>
      <c r="C741">
        <v>33.479999999999997</v>
      </c>
      <c r="D741" t="str">
        <f t="shared" si="34"/>
        <v>Normal</v>
      </c>
      <c r="E741">
        <v>4.74</v>
      </c>
      <c r="F741" t="s">
        <v>2382</v>
      </c>
      <c r="G741" t="s">
        <v>2380</v>
      </c>
      <c r="H741" t="s">
        <v>2380</v>
      </c>
      <c r="J741">
        <v>2</v>
      </c>
      <c r="K741" t="str">
        <f t="shared" si="35"/>
        <v>No</v>
      </c>
      <c r="L741" t="s">
        <v>2380</v>
      </c>
    </row>
    <row r="742" spans="1:12" x14ac:dyDescent="0.35">
      <c r="A742" t="s">
        <v>1630</v>
      </c>
      <c r="B742" t="str">
        <f t="shared" si="33"/>
        <v>Overweight</v>
      </c>
      <c r="C742">
        <v>28.31</v>
      </c>
      <c r="D742" t="str">
        <f t="shared" si="34"/>
        <v>Prediabetes</v>
      </c>
      <c r="E742">
        <v>5.96</v>
      </c>
      <c r="F742" t="s">
        <v>2382</v>
      </c>
      <c r="G742" t="s">
        <v>2380</v>
      </c>
      <c r="H742" t="s">
        <v>2380</v>
      </c>
      <c r="J742">
        <v>2</v>
      </c>
      <c r="K742" t="str">
        <f t="shared" si="35"/>
        <v>No</v>
      </c>
      <c r="L742" t="s">
        <v>2380</v>
      </c>
    </row>
    <row r="743" spans="1:12" x14ac:dyDescent="0.35">
      <c r="A743" t="s">
        <v>1629</v>
      </c>
      <c r="B743" t="str">
        <f t="shared" si="33"/>
        <v>Normal Weight</v>
      </c>
      <c r="C743">
        <v>21.565000000000001</v>
      </c>
      <c r="D743" t="str">
        <f t="shared" si="34"/>
        <v>Normal</v>
      </c>
      <c r="E743">
        <v>4.95</v>
      </c>
      <c r="F743" t="s">
        <v>2380</v>
      </c>
      <c r="G743" t="s">
        <v>2382</v>
      </c>
      <c r="H743" t="s">
        <v>2380</v>
      </c>
      <c r="J743">
        <v>1</v>
      </c>
      <c r="K743" t="str">
        <f t="shared" si="35"/>
        <v>yes</v>
      </c>
      <c r="L743" t="s">
        <v>2382</v>
      </c>
    </row>
    <row r="744" spans="1:12" x14ac:dyDescent="0.35">
      <c r="A744" t="s">
        <v>1628</v>
      </c>
      <c r="B744" t="str">
        <f t="shared" si="33"/>
        <v>Obesity</v>
      </c>
      <c r="C744">
        <v>35.590000000000003</v>
      </c>
      <c r="D744" t="str">
        <f t="shared" si="34"/>
        <v>Normal</v>
      </c>
      <c r="E744">
        <v>5.21</v>
      </c>
      <c r="F744" t="s">
        <v>2382</v>
      </c>
      <c r="G744" t="s">
        <v>2380</v>
      </c>
      <c r="H744" t="s">
        <v>2383</v>
      </c>
      <c r="J744">
        <v>1</v>
      </c>
      <c r="K744" t="str">
        <f t="shared" si="35"/>
        <v>No</v>
      </c>
      <c r="L744" t="s">
        <v>2380</v>
      </c>
    </row>
    <row r="745" spans="1:12" x14ac:dyDescent="0.35">
      <c r="A745" t="s">
        <v>1627</v>
      </c>
      <c r="B745" t="str">
        <f t="shared" si="33"/>
        <v>Obesity</v>
      </c>
      <c r="C745">
        <v>43.44</v>
      </c>
      <c r="D745" t="str">
        <f t="shared" si="34"/>
        <v>Normal</v>
      </c>
      <c r="E745">
        <v>4.8600000000000003</v>
      </c>
      <c r="F745" t="s">
        <v>2382</v>
      </c>
      <c r="G745" t="s">
        <v>2380</v>
      </c>
      <c r="H745" t="s">
        <v>2380</v>
      </c>
      <c r="J745" t="s">
        <v>2381</v>
      </c>
      <c r="K745" t="str">
        <f t="shared" si="35"/>
        <v>No</v>
      </c>
      <c r="L745" t="s">
        <v>2380</v>
      </c>
    </row>
    <row r="746" spans="1:12" x14ac:dyDescent="0.35">
      <c r="A746" t="s">
        <v>1626</v>
      </c>
      <c r="B746" t="str">
        <f t="shared" si="33"/>
        <v>Normal Weight</v>
      </c>
      <c r="C746">
        <v>21.754999999999999</v>
      </c>
      <c r="D746" t="str">
        <f t="shared" si="34"/>
        <v>Diabetes</v>
      </c>
      <c r="E746">
        <v>7.79</v>
      </c>
      <c r="F746" t="s">
        <v>2382</v>
      </c>
      <c r="G746" t="s">
        <v>2380</v>
      </c>
      <c r="H746" t="s">
        <v>2380</v>
      </c>
      <c r="J746" t="s">
        <v>2381</v>
      </c>
      <c r="K746" t="str">
        <f t="shared" si="35"/>
        <v>No</v>
      </c>
      <c r="L746" t="s">
        <v>2380</v>
      </c>
    </row>
    <row r="747" spans="1:12" x14ac:dyDescent="0.35">
      <c r="A747" t="s">
        <v>1625</v>
      </c>
      <c r="B747" t="str">
        <f t="shared" si="33"/>
        <v>Obesity</v>
      </c>
      <c r="C747">
        <v>44.55</v>
      </c>
      <c r="D747" t="str">
        <f t="shared" si="34"/>
        <v>Diabetes</v>
      </c>
      <c r="E747">
        <v>7.12</v>
      </c>
      <c r="F747" t="s">
        <v>2382</v>
      </c>
      <c r="G747" t="s">
        <v>2380</v>
      </c>
      <c r="H747" t="s">
        <v>2380</v>
      </c>
      <c r="J747">
        <v>1</v>
      </c>
      <c r="K747" t="str">
        <f t="shared" si="35"/>
        <v>No</v>
      </c>
      <c r="L747" t="s">
        <v>2380</v>
      </c>
    </row>
    <row r="748" spans="1:12" x14ac:dyDescent="0.35">
      <c r="A748" t="s">
        <v>1624</v>
      </c>
      <c r="B748" t="str">
        <f t="shared" si="33"/>
        <v>Obesity</v>
      </c>
      <c r="C748">
        <v>43.32</v>
      </c>
      <c r="D748" t="str">
        <f t="shared" si="34"/>
        <v>Normal</v>
      </c>
      <c r="E748">
        <v>4.67</v>
      </c>
      <c r="F748" t="s">
        <v>2382</v>
      </c>
      <c r="G748" t="s">
        <v>2380</v>
      </c>
      <c r="H748" t="s">
        <v>2380</v>
      </c>
      <c r="J748" t="s">
        <v>2381</v>
      </c>
      <c r="K748" t="str">
        <f t="shared" si="35"/>
        <v>No</v>
      </c>
      <c r="L748" t="s">
        <v>2380</v>
      </c>
    </row>
    <row r="749" spans="1:12" x14ac:dyDescent="0.35">
      <c r="A749" t="s">
        <v>1623</v>
      </c>
      <c r="B749" t="str">
        <f t="shared" si="33"/>
        <v>Obesity</v>
      </c>
      <c r="C749">
        <v>31.23</v>
      </c>
      <c r="D749" t="str">
        <f t="shared" si="34"/>
        <v>Diabetes</v>
      </c>
      <c r="E749">
        <v>9.1199999999999992</v>
      </c>
      <c r="F749" t="s">
        <v>2382</v>
      </c>
      <c r="G749" t="s">
        <v>2380</v>
      </c>
      <c r="H749" t="s">
        <v>2383</v>
      </c>
      <c r="J749">
        <v>1</v>
      </c>
      <c r="K749" t="str">
        <f t="shared" si="35"/>
        <v>No</v>
      </c>
      <c r="L749" t="s">
        <v>2380</v>
      </c>
    </row>
    <row r="750" spans="1:12" x14ac:dyDescent="0.35">
      <c r="A750" t="s">
        <v>1622</v>
      </c>
      <c r="B750" t="str">
        <f t="shared" si="33"/>
        <v>Obesity</v>
      </c>
      <c r="C750">
        <v>42.81</v>
      </c>
      <c r="D750" t="str">
        <f t="shared" si="34"/>
        <v>Normal</v>
      </c>
      <c r="E750">
        <v>4.1500000000000004</v>
      </c>
      <c r="F750" t="s">
        <v>2380</v>
      </c>
      <c r="G750" t="s">
        <v>2380</v>
      </c>
      <c r="H750" t="s">
        <v>2380</v>
      </c>
      <c r="J750">
        <v>1</v>
      </c>
      <c r="K750" t="str">
        <f t="shared" si="35"/>
        <v>No</v>
      </c>
      <c r="L750" t="s">
        <v>2380</v>
      </c>
    </row>
    <row r="751" spans="1:12" x14ac:dyDescent="0.35">
      <c r="A751" t="s">
        <v>1621</v>
      </c>
      <c r="B751" t="str">
        <f t="shared" si="33"/>
        <v>Obesity</v>
      </c>
      <c r="C751">
        <v>35.909999999999997</v>
      </c>
      <c r="D751" t="str">
        <f t="shared" si="34"/>
        <v>Diabetes</v>
      </c>
      <c r="E751">
        <v>6.72</v>
      </c>
      <c r="F751" t="s">
        <v>2382</v>
      </c>
      <c r="G751" t="s">
        <v>2380</v>
      </c>
      <c r="H751" t="s">
        <v>2380</v>
      </c>
      <c r="J751">
        <v>2</v>
      </c>
      <c r="K751" t="str">
        <f t="shared" si="35"/>
        <v>No</v>
      </c>
      <c r="L751" t="s">
        <v>2380</v>
      </c>
    </row>
    <row r="752" spans="1:12" x14ac:dyDescent="0.35">
      <c r="A752" t="s">
        <v>1620</v>
      </c>
      <c r="B752" t="str">
        <f t="shared" si="33"/>
        <v>Obesity</v>
      </c>
      <c r="C752">
        <v>36.65</v>
      </c>
      <c r="D752" t="str">
        <f t="shared" si="34"/>
        <v>Normal</v>
      </c>
      <c r="E752">
        <v>5.01</v>
      </c>
      <c r="F752" t="s">
        <v>2382</v>
      </c>
      <c r="G752" t="s">
        <v>2380</v>
      </c>
      <c r="H752" t="s">
        <v>2383</v>
      </c>
      <c r="J752">
        <v>1</v>
      </c>
      <c r="K752" t="str">
        <f t="shared" si="35"/>
        <v>No</v>
      </c>
      <c r="L752" t="s">
        <v>2380</v>
      </c>
    </row>
    <row r="753" spans="1:12" x14ac:dyDescent="0.35">
      <c r="A753" t="s">
        <v>1619</v>
      </c>
      <c r="B753" t="str">
        <f t="shared" si="33"/>
        <v>Normal Weight</v>
      </c>
      <c r="C753">
        <v>22.04</v>
      </c>
      <c r="D753" t="str">
        <f t="shared" si="34"/>
        <v>Diabetes</v>
      </c>
      <c r="E753">
        <v>10.9</v>
      </c>
      <c r="F753" t="s">
        <v>2382</v>
      </c>
      <c r="G753" t="s">
        <v>2380</v>
      </c>
      <c r="H753" t="s">
        <v>2380</v>
      </c>
      <c r="J753">
        <v>2</v>
      </c>
      <c r="K753" t="str">
        <f t="shared" si="35"/>
        <v>No</v>
      </c>
      <c r="L753" t="s">
        <v>2380</v>
      </c>
    </row>
    <row r="754" spans="1:12" x14ac:dyDescent="0.35">
      <c r="A754" t="s">
        <v>1618</v>
      </c>
      <c r="B754" t="str">
        <f t="shared" si="33"/>
        <v>Obesity</v>
      </c>
      <c r="C754">
        <v>31.824999999999999</v>
      </c>
      <c r="D754" t="str">
        <f t="shared" si="34"/>
        <v>Normal</v>
      </c>
      <c r="E754">
        <v>5.52</v>
      </c>
      <c r="F754" t="s">
        <v>2382</v>
      </c>
      <c r="G754" t="s">
        <v>2380</v>
      </c>
      <c r="H754" t="s">
        <v>2380</v>
      </c>
      <c r="J754">
        <v>1</v>
      </c>
      <c r="K754" t="str">
        <f t="shared" si="35"/>
        <v>No</v>
      </c>
      <c r="L754" t="s">
        <v>2380</v>
      </c>
    </row>
    <row r="755" spans="1:12" x14ac:dyDescent="0.35">
      <c r="A755" t="s">
        <v>1617</v>
      </c>
      <c r="B755" t="str">
        <f t="shared" si="33"/>
        <v>Obesity</v>
      </c>
      <c r="C755">
        <v>53.58</v>
      </c>
      <c r="D755" t="str">
        <f t="shared" si="34"/>
        <v>Normal</v>
      </c>
      <c r="E755">
        <v>4.55</v>
      </c>
      <c r="F755" t="s">
        <v>2380</v>
      </c>
      <c r="G755" t="s">
        <v>2380</v>
      </c>
      <c r="H755" t="s">
        <v>2380</v>
      </c>
      <c r="J755">
        <v>1</v>
      </c>
      <c r="K755" t="str">
        <f t="shared" si="35"/>
        <v>No</v>
      </c>
      <c r="L755" t="s">
        <v>2380</v>
      </c>
    </row>
    <row r="756" spans="1:12" x14ac:dyDescent="0.35">
      <c r="A756" t="s">
        <v>1616</v>
      </c>
      <c r="B756" t="str">
        <f t="shared" si="33"/>
        <v>Obesity</v>
      </c>
      <c r="C756">
        <v>34.299999999999997</v>
      </c>
      <c r="D756" t="str">
        <f t="shared" si="34"/>
        <v>Diabetes</v>
      </c>
      <c r="E756">
        <v>11.76</v>
      </c>
      <c r="F756" t="s">
        <v>2380</v>
      </c>
      <c r="G756" t="s">
        <v>2380</v>
      </c>
      <c r="H756" t="s">
        <v>2380</v>
      </c>
      <c r="J756" t="s">
        <v>2381</v>
      </c>
      <c r="K756" t="str">
        <f t="shared" si="35"/>
        <v>No</v>
      </c>
      <c r="L756" t="s">
        <v>2380</v>
      </c>
    </row>
    <row r="757" spans="1:12" x14ac:dyDescent="0.35">
      <c r="A757" t="s">
        <v>1615</v>
      </c>
      <c r="B757" t="str">
        <f t="shared" si="33"/>
        <v>Obesity</v>
      </c>
      <c r="C757">
        <v>32.11</v>
      </c>
      <c r="D757" t="str">
        <f t="shared" si="34"/>
        <v>Diabetes</v>
      </c>
      <c r="E757">
        <v>7.06</v>
      </c>
      <c r="F757" t="s">
        <v>2380</v>
      </c>
      <c r="G757" t="s">
        <v>2380</v>
      </c>
      <c r="H757" t="s">
        <v>2380</v>
      </c>
      <c r="J757" t="s">
        <v>2381</v>
      </c>
      <c r="K757" t="str">
        <f t="shared" si="35"/>
        <v>No</v>
      </c>
      <c r="L757" t="s">
        <v>2380</v>
      </c>
    </row>
    <row r="758" spans="1:12" x14ac:dyDescent="0.35">
      <c r="A758" t="s">
        <v>1614</v>
      </c>
      <c r="B758" t="str">
        <f t="shared" si="33"/>
        <v>Obesity</v>
      </c>
      <c r="C758">
        <v>31.78</v>
      </c>
      <c r="D758" t="str">
        <f t="shared" si="34"/>
        <v>Diabetes</v>
      </c>
      <c r="E758">
        <v>11.35</v>
      </c>
      <c r="F758" t="s">
        <v>2382</v>
      </c>
      <c r="G758" t="s">
        <v>2380</v>
      </c>
      <c r="H758" t="s">
        <v>2383</v>
      </c>
      <c r="J758">
        <v>1</v>
      </c>
      <c r="K758" t="str">
        <f t="shared" si="35"/>
        <v>No</v>
      </c>
      <c r="L758" t="s">
        <v>2380</v>
      </c>
    </row>
    <row r="759" spans="1:12" x14ac:dyDescent="0.35">
      <c r="A759" t="s">
        <v>1613</v>
      </c>
      <c r="B759" t="str">
        <f t="shared" si="33"/>
        <v>Obesity</v>
      </c>
      <c r="C759">
        <v>46.89</v>
      </c>
      <c r="D759" t="str">
        <f t="shared" si="34"/>
        <v>Normal</v>
      </c>
      <c r="E759">
        <v>5.52</v>
      </c>
      <c r="F759" t="s">
        <v>2380</v>
      </c>
      <c r="G759" t="s">
        <v>2380</v>
      </c>
      <c r="H759" t="s">
        <v>2380</v>
      </c>
      <c r="J759" t="s">
        <v>2381</v>
      </c>
      <c r="K759" t="str">
        <f t="shared" si="35"/>
        <v>No</v>
      </c>
      <c r="L759" t="s">
        <v>2380</v>
      </c>
    </row>
    <row r="760" spans="1:12" x14ac:dyDescent="0.35">
      <c r="A760" t="s">
        <v>1612</v>
      </c>
      <c r="B760" t="str">
        <f t="shared" si="33"/>
        <v>Obesity</v>
      </c>
      <c r="C760">
        <v>39.35</v>
      </c>
      <c r="D760" t="str">
        <f t="shared" si="34"/>
        <v>Diabetes</v>
      </c>
      <c r="E760">
        <v>7.86</v>
      </c>
      <c r="F760" t="s">
        <v>2382</v>
      </c>
      <c r="G760" t="s">
        <v>2380</v>
      </c>
      <c r="H760" t="s">
        <v>2380</v>
      </c>
      <c r="J760">
        <v>1</v>
      </c>
      <c r="K760" t="str">
        <f t="shared" si="35"/>
        <v>No</v>
      </c>
      <c r="L760" t="s">
        <v>2380</v>
      </c>
    </row>
    <row r="761" spans="1:12" x14ac:dyDescent="0.35">
      <c r="A761" t="s">
        <v>1611</v>
      </c>
      <c r="B761" t="str">
        <f t="shared" si="33"/>
        <v>Obesity</v>
      </c>
      <c r="C761">
        <v>39.200000000000003</v>
      </c>
      <c r="D761" t="str">
        <f t="shared" si="34"/>
        <v>Diabetes</v>
      </c>
      <c r="E761">
        <v>11.38</v>
      </c>
      <c r="F761" t="s">
        <v>2380</v>
      </c>
      <c r="G761" t="s">
        <v>2380</v>
      </c>
      <c r="H761" t="s">
        <v>2380</v>
      </c>
      <c r="J761" t="s">
        <v>2381</v>
      </c>
      <c r="K761" t="str">
        <f t="shared" si="35"/>
        <v>No</v>
      </c>
      <c r="L761" t="s">
        <v>2380</v>
      </c>
    </row>
    <row r="762" spans="1:12" x14ac:dyDescent="0.35">
      <c r="A762" t="s">
        <v>1610</v>
      </c>
      <c r="B762" t="str">
        <f t="shared" si="33"/>
        <v>Obesity</v>
      </c>
      <c r="C762">
        <v>39.159999999999997</v>
      </c>
      <c r="D762" t="str">
        <f t="shared" si="34"/>
        <v>Diabetes</v>
      </c>
      <c r="E762">
        <v>10.48</v>
      </c>
      <c r="F762" t="s">
        <v>2380</v>
      </c>
      <c r="G762" t="s">
        <v>2380</v>
      </c>
      <c r="H762" t="s">
        <v>2380</v>
      </c>
      <c r="J762" t="s">
        <v>2381</v>
      </c>
      <c r="K762" t="str">
        <f t="shared" si="35"/>
        <v>No</v>
      </c>
      <c r="L762" t="s">
        <v>2380</v>
      </c>
    </row>
    <row r="763" spans="1:12" x14ac:dyDescent="0.35">
      <c r="A763" t="s">
        <v>1609</v>
      </c>
      <c r="B763" t="str">
        <f t="shared" si="33"/>
        <v>Obesity</v>
      </c>
      <c r="C763">
        <v>44.1</v>
      </c>
      <c r="D763" t="str">
        <f t="shared" si="34"/>
        <v>Normal</v>
      </c>
      <c r="E763">
        <v>5.04</v>
      </c>
      <c r="F763" t="s">
        <v>2382</v>
      </c>
      <c r="G763" t="s">
        <v>2380</v>
      </c>
      <c r="H763" t="s">
        <v>2380</v>
      </c>
      <c r="J763" t="s">
        <v>2381</v>
      </c>
      <c r="K763" t="str">
        <f t="shared" si="35"/>
        <v>No</v>
      </c>
      <c r="L763" t="s">
        <v>2380</v>
      </c>
    </row>
    <row r="764" spans="1:12" x14ac:dyDescent="0.35">
      <c r="A764" t="s">
        <v>1608</v>
      </c>
      <c r="B764" t="str">
        <f t="shared" si="33"/>
        <v>Obesity</v>
      </c>
      <c r="C764">
        <v>33.200000000000003</v>
      </c>
      <c r="D764" t="str">
        <f t="shared" si="34"/>
        <v>Diabetes</v>
      </c>
      <c r="E764">
        <v>9.06</v>
      </c>
      <c r="F764" t="s">
        <v>2380</v>
      </c>
      <c r="G764" t="s">
        <v>2380</v>
      </c>
      <c r="H764" t="s">
        <v>2380</v>
      </c>
      <c r="J764" t="s">
        <v>2381</v>
      </c>
      <c r="K764" t="str">
        <f t="shared" si="35"/>
        <v>No</v>
      </c>
      <c r="L764" t="s">
        <v>2380</v>
      </c>
    </row>
    <row r="765" spans="1:12" x14ac:dyDescent="0.35">
      <c r="A765" t="s">
        <v>1607</v>
      </c>
      <c r="B765" t="e">
        <f t="shared" si="33"/>
        <v>#N/A</v>
      </c>
      <c r="C765">
        <v>29.92</v>
      </c>
      <c r="D765" t="str">
        <f t="shared" si="34"/>
        <v>Diabetes</v>
      </c>
      <c r="E765">
        <v>11.07</v>
      </c>
      <c r="F765" t="s">
        <v>2380</v>
      </c>
      <c r="G765" t="s">
        <v>2380</v>
      </c>
      <c r="H765" t="s">
        <v>2380</v>
      </c>
      <c r="J765" t="s">
        <v>2381</v>
      </c>
      <c r="K765" t="str">
        <f t="shared" si="35"/>
        <v>No</v>
      </c>
      <c r="L765" t="s">
        <v>2380</v>
      </c>
    </row>
    <row r="766" spans="1:12" x14ac:dyDescent="0.35">
      <c r="A766" t="s">
        <v>1606</v>
      </c>
      <c r="B766" t="str">
        <f t="shared" si="33"/>
        <v>Overweight</v>
      </c>
      <c r="C766">
        <v>25</v>
      </c>
      <c r="D766" t="str">
        <f t="shared" si="34"/>
        <v>Diabetes</v>
      </c>
      <c r="E766">
        <v>10.45</v>
      </c>
      <c r="F766" t="s">
        <v>2380</v>
      </c>
      <c r="G766" t="s">
        <v>2380</v>
      </c>
      <c r="H766" t="s">
        <v>2380</v>
      </c>
      <c r="J766" t="s">
        <v>2381</v>
      </c>
      <c r="K766" t="str">
        <f t="shared" si="35"/>
        <v>No</v>
      </c>
      <c r="L766" t="s">
        <v>2380</v>
      </c>
    </row>
    <row r="767" spans="1:12" x14ac:dyDescent="0.35">
      <c r="A767" t="s">
        <v>1605</v>
      </c>
      <c r="B767" t="str">
        <f t="shared" si="33"/>
        <v>Obesity</v>
      </c>
      <c r="C767">
        <v>38.869999999999997</v>
      </c>
      <c r="D767" t="str">
        <f t="shared" si="34"/>
        <v>Diabetes</v>
      </c>
      <c r="E767">
        <v>8.6300000000000008</v>
      </c>
      <c r="F767" t="s">
        <v>2382</v>
      </c>
      <c r="G767" t="s">
        <v>2380</v>
      </c>
      <c r="H767" t="s">
        <v>2380</v>
      </c>
      <c r="J767">
        <v>1</v>
      </c>
      <c r="K767" t="str">
        <f t="shared" si="35"/>
        <v>No</v>
      </c>
      <c r="L767" t="s">
        <v>2380</v>
      </c>
    </row>
    <row r="768" spans="1:12" x14ac:dyDescent="0.35">
      <c r="A768" t="s">
        <v>1604</v>
      </c>
      <c r="B768" t="str">
        <f t="shared" si="33"/>
        <v>Obesity</v>
      </c>
      <c r="C768">
        <v>32.299999999999997</v>
      </c>
      <c r="D768" t="str">
        <f t="shared" si="34"/>
        <v>Normal</v>
      </c>
      <c r="E768">
        <v>5.28</v>
      </c>
      <c r="F768" t="s">
        <v>2382</v>
      </c>
      <c r="G768" t="s">
        <v>2380</v>
      </c>
      <c r="H768" t="s">
        <v>2380</v>
      </c>
      <c r="J768">
        <v>2</v>
      </c>
      <c r="K768" t="str">
        <f t="shared" si="35"/>
        <v>No</v>
      </c>
      <c r="L768" t="s">
        <v>2380</v>
      </c>
    </row>
    <row r="769" spans="1:12" x14ac:dyDescent="0.35">
      <c r="A769" t="s">
        <v>1603</v>
      </c>
      <c r="B769" t="str">
        <f t="shared" si="33"/>
        <v>Obesity</v>
      </c>
      <c r="C769">
        <v>31.16</v>
      </c>
      <c r="D769" t="str">
        <f t="shared" si="34"/>
        <v>Diabetes</v>
      </c>
      <c r="E769">
        <v>7.49</v>
      </c>
      <c r="F769" t="s">
        <v>2382</v>
      </c>
      <c r="G769" t="s">
        <v>2380</v>
      </c>
      <c r="H769" t="s">
        <v>2380</v>
      </c>
      <c r="J769">
        <v>2</v>
      </c>
      <c r="K769" t="str">
        <f t="shared" si="35"/>
        <v>No</v>
      </c>
      <c r="L769" t="s">
        <v>2380</v>
      </c>
    </row>
    <row r="770" spans="1:12" x14ac:dyDescent="0.35">
      <c r="A770" t="s">
        <v>1602</v>
      </c>
      <c r="B770" t="str">
        <f t="shared" si="33"/>
        <v>Obesity</v>
      </c>
      <c r="C770">
        <v>54.59</v>
      </c>
      <c r="D770" t="str">
        <f t="shared" si="34"/>
        <v>Normal</v>
      </c>
      <c r="E770">
        <v>4.2699999999999996</v>
      </c>
      <c r="F770" t="s">
        <v>2380</v>
      </c>
      <c r="G770" t="s">
        <v>2380</v>
      </c>
      <c r="H770" t="s">
        <v>2380</v>
      </c>
      <c r="J770" t="s">
        <v>2381</v>
      </c>
      <c r="K770" t="str">
        <f t="shared" si="35"/>
        <v>No</v>
      </c>
      <c r="L770" t="s">
        <v>2380</v>
      </c>
    </row>
    <row r="771" spans="1:12" x14ac:dyDescent="0.35">
      <c r="A771" t="s">
        <v>1601</v>
      </c>
      <c r="B771" t="str">
        <f t="shared" ref="B771:B834" si="36">_xlfn.IFS(C771&lt;18.5, "Underweight", C771&lt;=24.9, "Normal Weight", C771&lt;=29.9, "Overweight", C771&gt;=30, "Obesity")</f>
        <v>Normal Weight</v>
      </c>
      <c r="C771">
        <v>21.09</v>
      </c>
      <c r="D771" t="str">
        <f t="shared" ref="D771:D834" si="37">_xlfn.IFS(E771&lt;5.7, "Normal", E771&lt;=6.4, "Prediabetes", E771&gt;=6.5, "Diabetes")</f>
        <v>Diabetes</v>
      </c>
      <c r="E771">
        <v>9.2200000000000006</v>
      </c>
      <c r="F771" t="s">
        <v>2382</v>
      </c>
      <c r="G771" t="s">
        <v>2380</v>
      </c>
      <c r="H771" t="s">
        <v>2380</v>
      </c>
      <c r="J771">
        <v>2</v>
      </c>
      <c r="K771" t="str">
        <f t="shared" si="35"/>
        <v>No</v>
      </c>
      <c r="L771" t="s">
        <v>2380</v>
      </c>
    </row>
    <row r="772" spans="1:12" x14ac:dyDescent="0.35">
      <c r="A772" t="s">
        <v>1600</v>
      </c>
      <c r="B772" t="str">
        <f t="shared" si="36"/>
        <v>Obesity</v>
      </c>
      <c r="C772">
        <v>52.41</v>
      </c>
      <c r="D772" t="str">
        <f t="shared" si="37"/>
        <v>Prediabetes</v>
      </c>
      <c r="E772">
        <v>5.99</v>
      </c>
      <c r="F772" t="s">
        <v>2380</v>
      </c>
      <c r="G772" t="s">
        <v>2380</v>
      </c>
      <c r="H772" t="s">
        <v>2380</v>
      </c>
      <c r="J772">
        <v>1</v>
      </c>
      <c r="K772" t="str">
        <f t="shared" ref="K772:K835" si="38">IF(OR(L772="?", ISBLANK(L772)), "No", L772)</f>
        <v>No</v>
      </c>
      <c r="L772" t="s">
        <v>2380</v>
      </c>
    </row>
    <row r="773" spans="1:12" x14ac:dyDescent="0.35">
      <c r="A773" t="s">
        <v>1599</v>
      </c>
      <c r="B773" t="str">
        <f t="shared" si="36"/>
        <v>Obesity</v>
      </c>
      <c r="C773">
        <v>41.47</v>
      </c>
      <c r="D773" t="str">
        <f t="shared" si="37"/>
        <v>Prediabetes</v>
      </c>
      <c r="E773">
        <v>5.86</v>
      </c>
      <c r="F773" t="s">
        <v>2382</v>
      </c>
      <c r="G773" t="s">
        <v>2380</v>
      </c>
      <c r="H773" t="s">
        <v>2380</v>
      </c>
      <c r="J773">
        <v>2</v>
      </c>
      <c r="K773" t="str">
        <f t="shared" si="38"/>
        <v>No</v>
      </c>
      <c r="L773" t="s">
        <v>2380</v>
      </c>
    </row>
    <row r="774" spans="1:12" x14ac:dyDescent="0.35">
      <c r="A774" t="s">
        <v>1598</v>
      </c>
      <c r="B774" t="str">
        <f t="shared" si="36"/>
        <v>Obesity</v>
      </c>
      <c r="C774">
        <v>33.1</v>
      </c>
      <c r="D774" t="str">
        <f t="shared" si="37"/>
        <v>Normal</v>
      </c>
      <c r="E774">
        <v>5.19</v>
      </c>
      <c r="F774" t="s">
        <v>2382</v>
      </c>
      <c r="G774" t="s">
        <v>2380</v>
      </c>
      <c r="H774" t="s">
        <v>2380</v>
      </c>
      <c r="J774">
        <v>2</v>
      </c>
      <c r="K774" t="str">
        <f t="shared" si="38"/>
        <v>No</v>
      </c>
      <c r="L774" t="s">
        <v>2380</v>
      </c>
    </row>
    <row r="775" spans="1:12" x14ac:dyDescent="0.35">
      <c r="A775" t="s">
        <v>1597</v>
      </c>
      <c r="B775" t="str">
        <f t="shared" si="36"/>
        <v>Obesity</v>
      </c>
      <c r="C775">
        <v>30.8</v>
      </c>
      <c r="D775" t="str">
        <f t="shared" si="37"/>
        <v>Normal</v>
      </c>
      <c r="E775">
        <v>4.37</v>
      </c>
      <c r="F775" t="s">
        <v>2382</v>
      </c>
      <c r="G775" t="s">
        <v>2380</v>
      </c>
      <c r="H775" t="s">
        <v>2380</v>
      </c>
      <c r="J775">
        <v>2</v>
      </c>
      <c r="K775" t="str">
        <f t="shared" si="38"/>
        <v>No</v>
      </c>
      <c r="L775" t="s">
        <v>2380</v>
      </c>
    </row>
    <row r="776" spans="1:12" x14ac:dyDescent="0.35">
      <c r="A776" t="s">
        <v>1596</v>
      </c>
      <c r="B776" t="str">
        <f t="shared" si="36"/>
        <v>Obesity</v>
      </c>
      <c r="C776">
        <v>42.06</v>
      </c>
      <c r="D776" t="str">
        <f t="shared" si="37"/>
        <v>Normal</v>
      </c>
      <c r="E776">
        <v>5.32</v>
      </c>
      <c r="F776" t="s">
        <v>2380</v>
      </c>
      <c r="G776" t="s">
        <v>2380</v>
      </c>
      <c r="H776" t="s">
        <v>2380</v>
      </c>
      <c r="J776">
        <v>1</v>
      </c>
      <c r="K776" t="str">
        <f t="shared" si="38"/>
        <v>No</v>
      </c>
      <c r="L776" t="s">
        <v>2380</v>
      </c>
    </row>
    <row r="777" spans="1:12" x14ac:dyDescent="0.35">
      <c r="A777" t="s">
        <v>1595</v>
      </c>
      <c r="B777" t="str">
        <f t="shared" si="36"/>
        <v>Obesity</v>
      </c>
      <c r="C777">
        <v>39.270000000000003</v>
      </c>
      <c r="D777" t="str">
        <f t="shared" si="37"/>
        <v>Normal</v>
      </c>
      <c r="E777">
        <v>5.64</v>
      </c>
      <c r="F777" t="s">
        <v>2380</v>
      </c>
      <c r="G777" t="s">
        <v>2380</v>
      </c>
      <c r="H777" t="s">
        <v>2383</v>
      </c>
      <c r="J777">
        <v>1</v>
      </c>
      <c r="K777" t="str">
        <f t="shared" si="38"/>
        <v>No</v>
      </c>
      <c r="L777" t="s">
        <v>2380</v>
      </c>
    </row>
    <row r="778" spans="1:12" x14ac:dyDescent="0.35">
      <c r="A778" t="s">
        <v>1594</v>
      </c>
      <c r="B778" t="str">
        <f t="shared" si="36"/>
        <v>Obesity</v>
      </c>
      <c r="C778">
        <v>30.71</v>
      </c>
      <c r="D778" t="str">
        <f t="shared" si="37"/>
        <v>Normal</v>
      </c>
      <c r="E778">
        <v>5.59</v>
      </c>
      <c r="F778" t="s">
        <v>2382</v>
      </c>
      <c r="G778" t="s">
        <v>2380</v>
      </c>
      <c r="H778" t="s">
        <v>2380</v>
      </c>
      <c r="J778">
        <v>1</v>
      </c>
      <c r="K778" t="str">
        <f t="shared" si="38"/>
        <v>No</v>
      </c>
      <c r="L778" t="s">
        <v>2380</v>
      </c>
    </row>
    <row r="779" spans="1:12" x14ac:dyDescent="0.35">
      <c r="A779" t="s">
        <v>1593</v>
      </c>
      <c r="B779" t="str">
        <f t="shared" si="36"/>
        <v>Obesity</v>
      </c>
      <c r="C779">
        <v>47.19</v>
      </c>
      <c r="D779" t="str">
        <f t="shared" si="37"/>
        <v>Normal</v>
      </c>
      <c r="E779">
        <v>5.29</v>
      </c>
      <c r="F779" t="s">
        <v>2380</v>
      </c>
      <c r="G779" t="s">
        <v>2380</v>
      </c>
      <c r="H779" t="s">
        <v>2380</v>
      </c>
      <c r="J779" t="s">
        <v>2381</v>
      </c>
      <c r="K779" t="str">
        <f t="shared" si="38"/>
        <v>No</v>
      </c>
      <c r="L779" t="s">
        <v>2380</v>
      </c>
    </row>
    <row r="780" spans="1:12" x14ac:dyDescent="0.35">
      <c r="A780" t="s">
        <v>1592</v>
      </c>
      <c r="B780" t="str">
        <f t="shared" si="36"/>
        <v>Obesity</v>
      </c>
      <c r="C780">
        <v>30.02</v>
      </c>
      <c r="D780" t="str">
        <f t="shared" si="37"/>
        <v>Diabetes</v>
      </c>
      <c r="E780">
        <v>6.65</v>
      </c>
      <c r="F780" t="s">
        <v>2380</v>
      </c>
      <c r="G780" t="s">
        <v>2380</v>
      </c>
      <c r="H780" t="s">
        <v>2380</v>
      </c>
      <c r="J780" t="s">
        <v>2381</v>
      </c>
      <c r="K780" t="str">
        <f t="shared" si="38"/>
        <v>No</v>
      </c>
      <c r="L780" t="s">
        <v>2380</v>
      </c>
    </row>
    <row r="781" spans="1:12" x14ac:dyDescent="0.35">
      <c r="A781" t="s">
        <v>1591</v>
      </c>
      <c r="B781" t="str">
        <f t="shared" si="36"/>
        <v>Obesity</v>
      </c>
      <c r="C781">
        <v>37.909999999999997</v>
      </c>
      <c r="D781" t="str">
        <f t="shared" si="37"/>
        <v>Normal</v>
      </c>
      <c r="E781">
        <v>5.68</v>
      </c>
      <c r="F781" t="s">
        <v>2382</v>
      </c>
      <c r="G781" t="s">
        <v>2380</v>
      </c>
      <c r="H781" t="s">
        <v>2380</v>
      </c>
      <c r="J781" t="s">
        <v>2381</v>
      </c>
      <c r="K781" t="str">
        <f t="shared" si="38"/>
        <v>No</v>
      </c>
      <c r="L781" t="s">
        <v>2380</v>
      </c>
    </row>
    <row r="782" spans="1:12" x14ac:dyDescent="0.35">
      <c r="A782" t="s">
        <v>1590</v>
      </c>
      <c r="B782" t="str">
        <f t="shared" si="36"/>
        <v>Obesity</v>
      </c>
      <c r="C782">
        <v>54.61</v>
      </c>
      <c r="D782" t="str">
        <f t="shared" si="37"/>
        <v>Normal</v>
      </c>
      <c r="E782">
        <v>4.49</v>
      </c>
      <c r="F782" t="s">
        <v>2380</v>
      </c>
      <c r="G782" t="s">
        <v>2380</v>
      </c>
      <c r="H782" t="s">
        <v>2380</v>
      </c>
      <c r="J782" t="s">
        <v>2381</v>
      </c>
      <c r="K782" t="str">
        <f t="shared" si="38"/>
        <v>No</v>
      </c>
      <c r="L782" t="s">
        <v>2380</v>
      </c>
    </row>
    <row r="783" spans="1:12" x14ac:dyDescent="0.35">
      <c r="A783" t="s">
        <v>1589</v>
      </c>
      <c r="B783" t="str">
        <f t="shared" si="36"/>
        <v>Obesity</v>
      </c>
      <c r="C783">
        <v>36.005000000000003</v>
      </c>
      <c r="D783" t="str">
        <f t="shared" si="37"/>
        <v>Diabetes</v>
      </c>
      <c r="E783">
        <v>6.9</v>
      </c>
      <c r="F783" t="s">
        <v>2380</v>
      </c>
      <c r="G783" t="s">
        <v>2380</v>
      </c>
      <c r="H783" t="s">
        <v>2380</v>
      </c>
      <c r="J783" t="s">
        <v>2381</v>
      </c>
      <c r="K783" t="str">
        <f t="shared" si="38"/>
        <v>No</v>
      </c>
      <c r="L783" t="s">
        <v>2380</v>
      </c>
    </row>
    <row r="784" spans="1:12" x14ac:dyDescent="0.35">
      <c r="A784" t="s">
        <v>1588</v>
      </c>
      <c r="B784" t="str">
        <f t="shared" si="36"/>
        <v>Overweight</v>
      </c>
      <c r="C784">
        <v>28.7</v>
      </c>
      <c r="D784" t="str">
        <f t="shared" si="37"/>
        <v>Diabetes</v>
      </c>
      <c r="E784">
        <v>11.52</v>
      </c>
      <c r="F784" t="s">
        <v>2380</v>
      </c>
      <c r="G784" t="s">
        <v>2380</v>
      </c>
      <c r="H784" t="s">
        <v>2380</v>
      </c>
      <c r="J784" t="s">
        <v>2381</v>
      </c>
      <c r="K784" t="str">
        <f t="shared" si="38"/>
        <v>No</v>
      </c>
      <c r="L784" t="s">
        <v>2380</v>
      </c>
    </row>
    <row r="785" spans="1:12" x14ac:dyDescent="0.35">
      <c r="A785" t="s">
        <v>1587</v>
      </c>
      <c r="B785" t="str">
        <f t="shared" si="36"/>
        <v>Obesity</v>
      </c>
      <c r="C785">
        <v>34.295000000000002</v>
      </c>
      <c r="D785" t="str">
        <f t="shared" si="37"/>
        <v>Diabetes</v>
      </c>
      <c r="E785">
        <v>11.24</v>
      </c>
      <c r="F785" t="s">
        <v>2380</v>
      </c>
      <c r="G785" t="s">
        <v>2380</v>
      </c>
      <c r="H785" t="s">
        <v>2380</v>
      </c>
      <c r="J785" t="s">
        <v>2381</v>
      </c>
      <c r="K785" t="str">
        <f t="shared" si="38"/>
        <v>No</v>
      </c>
      <c r="L785" t="s">
        <v>2380</v>
      </c>
    </row>
    <row r="786" spans="1:12" x14ac:dyDescent="0.35">
      <c r="A786" t="s">
        <v>1586</v>
      </c>
      <c r="B786" t="str">
        <f t="shared" si="36"/>
        <v>Overweight</v>
      </c>
      <c r="C786">
        <v>27.55</v>
      </c>
      <c r="D786" t="str">
        <f t="shared" si="37"/>
        <v>Diabetes</v>
      </c>
      <c r="E786">
        <v>10.98</v>
      </c>
      <c r="F786" t="s">
        <v>2380</v>
      </c>
      <c r="G786" t="s">
        <v>2380</v>
      </c>
      <c r="H786" t="s">
        <v>2380</v>
      </c>
      <c r="J786" t="s">
        <v>2381</v>
      </c>
      <c r="K786" t="str">
        <f t="shared" si="38"/>
        <v>No</v>
      </c>
      <c r="L786" t="s">
        <v>2380</v>
      </c>
    </row>
    <row r="787" spans="1:12" x14ac:dyDescent="0.35">
      <c r="A787" t="s">
        <v>1585</v>
      </c>
      <c r="B787" t="str">
        <f t="shared" si="36"/>
        <v>Obesity</v>
      </c>
      <c r="C787">
        <v>40.700000000000003</v>
      </c>
      <c r="D787" t="str">
        <f t="shared" si="37"/>
        <v>Normal</v>
      </c>
      <c r="E787">
        <v>5.42</v>
      </c>
      <c r="F787" t="s">
        <v>2380</v>
      </c>
      <c r="G787" t="s">
        <v>2380</v>
      </c>
      <c r="H787" t="s">
        <v>2380</v>
      </c>
      <c r="J787" t="s">
        <v>2381</v>
      </c>
      <c r="K787" t="str">
        <f t="shared" si="38"/>
        <v>No</v>
      </c>
      <c r="L787" t="s">
        <v>2380</v>
      </c>
    </row>
    <row r="788" spans="1:12" x14ac:dyDescent="0.35">
      <c r="A788" t="s">
        <v>1584</v>
      </c>
      <c r="B788" t="str">
        <f t="shared" si="36"/>
        <v>Underweight</v>
      </c>
      <c r="C788">
        <v>18.335000000000001</v>
      </c>
      <c r="D788" t="str">
        <f t="shared" si="37"/>
        <v>Diabetes</v>
      </c>
      <c r="E788">
        <v>10.97</v>
      </c>
      <c r="F788" t="s">
        <v>2380</v>
      </c>
      <c r="G788" t="s">
        <v>2380</v>
      </c>
      <c r="H788" t="s">
        <v>2380</v>
      </c>
      <c r="J788" t="s">
        <v>2381</v>
      </c>
      <c r="K788" t="str">
        <f t="shared" si="38"/>
        <v>No</v>
      </c>
      <c r="L788" t="s">
        <v>2380</v>
      </c>
    </row>
    <row r="789" spans="1:12" x14ac:dyDescent="0.35">
      <c r="A789" t="s">
        <v>1583</v>
      </c>
      <c r="B789" t="str">
        <f t="shared" si="36"/>
        <v>Obesity</v>
      </c>
      <c r="C789">
        <v>33.914999999999999</v>
      </c>
      <c r="D789" t="str">
        <f t="shared" si="37"/>
        <v>Diabetes</v>
      </c>
      <c r="E789">
        <v>9.56</v>
      </c>
      <c r="F789" t="s">
        <v>2382</v>
      </c>
      <c r="G789" t="s">
        <v>2380</v>
      </c>
      <c r="H789" t="s">
        <v>2380</v>
      </c>
      <c r="J789">
        <v>2</v>
      </c>
      <c r="K789" t="str">
        <f t="shared" si="38"/>
        <v>No</v>
      </c>
      <c r="L789" t="s">
        <v>2380</v>
      </c>
    </row>
    <row r="790" spans="1:12" x14ac:dyDescent="0.35">
      <c r="A790" t="s">
        <v>1582</v>
      </c>
      <c r="B790" t="str">
        <f t="shared" si="36"/>
        <v>Obesity</v>
      </c>
      <c r="C790">
        <v>33.534999999999997</v>
      </c>
      <c r="D790" t="str">
        <f t="shared" si="37"/>
        <v>Diabetes</v>
      </c>
      <c r="E790">
        <v>9.4</v>
      </c>
      <c r="F790" t="s">
        <v>2382</v>
      </c>
      <c r="G790" t="s">
        <v>2380</v>
      </c>
      <c r="H790" t="s">
        <v>2380</v>
      </c>
      <c r="J790">
        <v>2</v>
      </c>
      <c r="K790" t="str">
        <f t="shared" si="38"/>
        <v>No</v>
      </c>
      <c r="L790" t="s">
        <v>2380</v>
      </c>
    </row>
    <row r="791" spans="1:12" x14ac:dyDescent="0.35">
      <c r="A791" t="s">
        <v>1581</v>
      </c>
      <c r="B791" t="str">
        <f t="shared" si="36"/>
        <v>Normal Weight</v>
      </c>
      <c r="C791">
        <v>23.655000000000001</v>
      </c>
      <c r="D791" t="str">
        <f t="shared" si="37"/>
        <v>Diabetes</v>
      </c>
      <c r="E791">
        <v>8.48</v>
      </c>
      <c r="F791" t="s">
        <v>2382</v>
      </c>
      <c r="G791" t="s">
        <v>2380</v>
      </c>
      <c r="H791" t="s">
        <v>2380</v>
      </c>
      <c r="J791">
        <v>2</v>
      </c>
      <c r="K791" t="str">
        <f t="shared" si="38"/>
        <v>No</v>
      </c>
      <c r="L791" t="s">
        <v>2380</v>
      </c>
    </row>
    <row r="792" spans="1:12" x14ac:dyDescent="0.35">
      <c r="A792" t="s">
        <v>1580</v>
      </c>
      <c r="B792" t="str">
        <f t="shared" si="36"/>
        <v>Overweight</v>
      </c>
      <c r="C792">
        <v>28</v>
      </c>
      <c r="D792" t="str">
        <f t="shared" si="37"/>
        <v>Normal</v>
      </c>
      <c r="E792">
        <v>5.57</v>
      </c>
      <c r="F792" t="s">
        <v>2380</v>
      </c>
      <c r="G792" t="s">
        <v>2380</v>
      </c>
      <c r="H792" t="s">
        <v>2380</v>
      </c>
      <c r="J792" t="s">
        <v>2381</v>
      </c>
      <c r="K792" t="str">
        <f t="shared" si="38"/>
        <v>No</v>
      </c>
      <c r="L792" t="s">
        <v>2380</v>
      </c>
    </row>
    <row r="793" spans="1:12" x14ac:dyDescent="0.35">
      <c r="A793" t="s">
        <v>1579</v>
      </c>
      <c r="B793" t="str">
        <f t="shared" si="36"/>
        <v>Obesity</v>
      </c>
      <c r="C793">
        <v>30.23</v>
      </c>
      <c r="D793" t="str">
        <f t="shared" si="37"/>
        <v>Diabetes</v>
      </c>
      <c r="E793">
        <v>6.94</v>
      </c>
      <c r="F793" t="s">
        <v>2382</v>
      </c>
      <c r="G793" t="s">
        <v>2380</v>
      </c>
      <c r="H793" t="s">
        <v>2383</v>
      </c>
      <c r="J793">
        <v>1</v>
      </c>
      <c r="K793" t="str">
        <f t="shared" si="38"/>
        <v>No</v>
      </c>
      <c r="L793" t="s">
        <v>2380</v>
      </c>
    </row>
    <row r="794" spans="1:12" x14ac:dyDescent="0.35">
      <c r="A794" t="s">
        <v>1578</v>
      </c>
      <c r="B794" t="str">
        <f t="shared" si="36"/>
        <v>Obesity</v>
      </c>
      <c r="C794">
        <v>51.14</v>
      </c>
      <c r="D794" t="str">
        <f t="shared" si="37"/>
        <v>Normal</v>
      </c>
      <c r="E794">
        <v>4.05</v>
      </c>
      <c r="F794" t="s">
        <v>2380</v>
      </c>
      <c r="G794" t="s">
        <v>2380</v>
      </c>
      <c r="H794" t="s">
        <v>2380</v>
      </c>
      <c r="J794">
        <v>1</v>
      </c>
      <c r="K794" t="str">
        <f t="shared" si="38"/>
        <v>No</v>
      </c>
      <c r="L794" t="s">
        <v>2380</v>
      </c>
    </row>
    <row r="795" spans="1:12" x14ac:dyDescent="0.35">
      <c r="A795" t="s">
        <v>1577</v>
      </c>
      <c r="B795" t="str">
        <f t="shared" si="36"/>
        <v>Normal Weight</v>
      </c>
      <c r="C795">
        <v>24.32</v>
      </c>
      <c r="D795" t="str">
        <f t="shared" si="37"/>
        <v>Diabetes</v>
      </c>
      <c r="E795">
        <v>10.220000000000001</v>
      </c>
      <c r="F795" t="s">
        <v>2380</v>
      </c>
      <c r="G795" t="s">
        <v>2380</v>
      </c>
      <c r="H795" t="s">
        <v>2380</v>
      </c>
      <c r="J795" t="s">
        <v>2381</v>
      </c>
      <c r="K795" t="str">
        <f t="shared" si="38"/>
        <v>No</v>
      </c>
      <c r="L795" t="s">
        <v>2380</v>
      </c>
    </row>
    <row r="796" spans="1:12" x14ac:dyDescent="0.35">
      <c r="A796" t="s">
        <v>1576</v>
      </c>
      <c r="B796" t="str">
        <f t="shared" si="36"/>
        <v>Obesity</v>
      </c>
      <c r="C796">
        <v>38.06</v>
      </c>
      <c r="D796" t="str">
        <f t="shared" si="37"/>
        <v>Diabetes</v>
      </c>
      <c r="E796">
        <v>9.24</v>
      </c>
      <c r="F796" t="s">
        <v>2380</v>
      </c>
      <c r="G796" t="s">
        <v>2380</v>
      </c>
      <c r="H796" t="s">
        <v>2380</v>
      </c>
      <c r="J796" t="s">
        <v>2381</v>
      </c>
      <c r="K796" t="str">
        <f t="shared" si="38"/>
        <v>No</v>
      </c>
      <c r="L796" t="s">
        <v>2380</v>
      </c>
    </row>
    <row r="797" spans="1:12" x14ac:dyDescent="0.35">
      <c r="A797" t="s">
        <v>1575</v>
      </c>
      <c r="B797" t="str">
        <f t="shared" si="36"/>
        <v>Obesity</v>
      </c>
      <c r="C797">
        <v>37.700000000000003</v>
      </c>
      <c r="D797" t="str">
        <f t="shared" si="37"/>
        <v>Diabetes</v>
      </c>
      <c r="E797">
        <v>8.6</v>
      </c>
      <c r="F797" t="s">
        <v>2380</v>
      </c>
      <c r="G797" t="s">
        <v>2380</v>
      </c>
      <c r="H797" t="s">
        <v>2380</v>
      </c>
      <c r="J797" t="s">
        <v>2381</v>
      </c>
      <c r="K797" t="str">
        <f t="shared" si="38"/>
        <v>No</v>
      </c>
      <c r="L797" t="s">
        <v>2380</v>
      </c>
    </row>
    <row r="798" spans="1:12" x14ac:dyDescent="0.35">
      <c r="A798" t="s">
        <v>1574</v>
      </c>
      <c r="B798" t="str">
        <f t="shared" si="36"/>
        <v>Obesity</v>
      </c>
      <c r="C798">
        <v>44</v>
      </c>
      <c r="D798" t="str">
        <f t="shared" si="37"/>
        <v>Diabetes</v>
      </c>
      <c r="E798">
        <v>9.32</v>
      </c>
      <c r="F798" t="s">
        <v>2382</v>
      </c>
      <c r="G798" t="s">
        <v>2380</v>
      </c>
      <c r="H798" t="s">
        <v>2380</v>
      </c>
      <c r="J798">
        <v>2</v>
      </c>
      <c r="K798" t="str">
        <f t="shared" si="38"/>
        <v>No</v>
      </c>
      <c r="L798" t="s">
        <v>2380</v>
      </c>
    </row>
    <row r="799" spans="1:12" x14ac:dyDescent="0.35">
      <c r="A799" t="s">
        <v>1573</v>
      </c>
      <c r="B799" t="str">
        <f t="shared" si="36"/>
        <v>Obesity</v>
      </c>
      <c r="C799">
        <v>41.45</v>
      </c>
      <c r="D799" t="str">
        <f t="shared" si="37"/>
        <v>Prediabetes</v>
      </c>
      <c r="E799">
        <v>6.12</v>
      </c>
      <c r="F799" t="s">
        <v>2382</v>
      </c>
      <c r="G799" t="s">
        <v>2380</v>
      </c>
      <c r="H799" t="s">
        <v>2380</v>
      </c>
      <c r="J799" t="s">
        <v>2381</v>
      </c>
      <c r="K799" t="str">
        <f t="shared" si="38"/>
        <v>No</v>
      </c>
      <c r="L799" t="s">
        <v>2380</v>
      </c>
    </row>
    <row r="800" spans="1:12" x14ac:dyDescent="0.35">
      <c r="A800" t="s">
        <v>1572</v>
      </c>
      <c r="B800" t="str">
        <f t="shared" si="36"/>
        <v>Overweight</v>
      </c>
      <c r="C800">
        <v>25.364999999999998</v>
      </c>
      <c r="D800" t="str">
        <f t="shared" si="37"/>
        <v>Diabetes</v>
      </c>
      <c r="E800">
        <v>9.19</v>
      </c>
      <c r="F800" t="s">
        <v>2382</v>
      </c>
      <c r="G800" t="s">
        <v>2380</v>
      </c>
      <c r="H800" t="s">
        <v>2380</v>
      </c>
      <c r="J800" t="s">
        <v>2381</v>
      </c>
      <c r="K800" t="str">
        <f t="shared" si="38"/>
        <v>No</v>
      </c>
      <c r="L800" t="s">
        <v>2380</v>
      </c>
    </row>
    <row r="801" spans="1:12" x14ac:dyDescent="0.35">
      <c r="A801" t="s">
        <v>1571</v>
      </c>
      <c r="B801" t="str">
        <f t="shared" si="36"/>
        <v>Obesity</v>
      </c>
      <c r="C801">
        <v>34.56</v>
      </c>
      <c r="D801" t="str">
        <f t="shared" si="37"/>
        <v>Prediabetes</v>
      </c>
      <c r="E801">
        <v>5.84</v>
      </c>
      <c r="F801" t="s">
        <v>2382</v>
      </c>
      <c r="G801" t="s">
        <v>2380</v>
      </c>
      <c r="H801" t="s">
        <v>2383</v>
      </c>
      <c r="J801">
        <v>1</v>
      </c>
      <c r="K801" t="str">
        <f t="shared" si="38"/>
        <v>No</v>
      </c>
      <c r="L801" t="s">
        <v>2380</v>
      </c>
    </row>
    <row r="802" spans="1:12" x14ac:dyDescent="0.35">
      <c r="A802" t="s">
        <v>1570</v>
      </c>
      <c r="B802" t="str">
        <f t="shared" si="36"/>
        <v>Overweight</v>
      </c>
      <c r="C802">
        <v>28.2</v>
      </c>
      <c r="D802" t="str">
        <f t="shared" si="37"/>
        <v>Diabetes</v>
      </c>
      <c r="E802">
        <v>7.19</v>
      </c>
      <c r="F802" t="s">
        <v>2382</v>
      </c>
      <c r="G802" t="s">
        <v>2380</v>
      </c>
      <c r="H802" t="s">
        <v>2380</v>
      </c>
      <c r="J802">
        <v>2</v>
      </c>
      <c r="K802" t="str">
        <f t="shared" si="38"/>
        <v>No</v>
      </c>
      <c r="L802" t="s">
        <v>2380</v>
      </c>
    </row>
    <row r="803" spans="1:12" x14ac:dyDescent="0.35">
      <c r="A803" t="s">
        <v>1569</v>
      </c>
      <c r="B803" t="str">
        <f t="shared" si="36"/>
        <v>Obesity</v>
      </c>
      <c r="C803">
        <v>30.43</v>
      </c>
      <c r="D803" t="str">
        <f t="shared" si="37"/>
        <v>Diabetes</v>
      </c>
      <c r="E803">
        <v>9.39</v>
      </c>
      <c r="F803" t="s">
        <v>2380</v>
      </c>
      <c r="G803" t="s">
        <v>2380</v>
      </c>
      <c r="H803" t="s">
        <v>2380</v>
      </c>
      <c r="J803" t="s">
        <v>2381</v>
      </c>
      <c r="K803" t="str">
        <f t="shared" si="38"/>
        <v>No</v>
      </c>
      <c r="L803" t="s">
        <v>2380</v>
      </c>
    </row>
    <row r="804" spans="1:12" x14ac:dyDescent="0.35">
      <c r="A804" t="s">
        <v>1568</v>
      </c>
      <c r="B804" t="str">
        <f t="shared" si="36"/>
        <v>Obesity</v>
      </c>
      <c r="C804">
        <v>32.395000000000003</v>
      </c>
      <c r="D804" t="str">
        <f t="shared" si="37"/>
        <v>Normal</v>
      </c>
      <c r="E804">
        <v>4.2699999999999996</v>
      </c>
      <c r="F804" t="s">
        <v>2382</v>
      </c>
      <c r="G804" t="s">
        <v>2380</v>
      </c>
      <c r="H804" t="s">
        <v>2380</v>
      </c>
      <c r="J804">
        <v>1</v>
      </c>
      <c r="K804" t="str">
        <f t="shared" si="38"/>
        <v>No</v>
      </c>
      <c r="L804" t="s">
        <v>2380</v>
      </c>
    </row>
    <row r="805" spans="1:12" x14ac:dyDescent="0.35">
      <c r="A805" t="s">
        <v>1567</v>
      </c>
      <c r="B805" t="str">
        <f t="shared" si="36"/>
        <v>Normal Weight</v>
      </c>
      <c r="C805">
        <v>24.035</v>
      </c>
      <c r="D805" t="str">
        <f t="shared" si="37"/>
        <v>Diabetes</v>
      </c>
      <c r="E805">
        <v>11.71</v>
      </c>
      <c r="F805" t="s">
        <v>2380</v>
      </c>
      <c r="G805" t="s">
        <v>2380</v>
      </c>
      <c r="H805" t="s">
        <v>2380</v>
      </c>
      <c r="J805" t="s">
        <v>2381</v>
      </c>
      <c r="K805" t="str">
        <f t="shared" si="38"/>
        <v>No</v>
      </c>
      <c r="L805" t="s">
        <v>2380</v>
      </c>
    </row>
    <row r="806" spans="1:12" x14ac:dyDescent="0.35">
      <c r="A806" t="s">
        <v>1566</v>
      </c>
      <c r="B806" t="str">
        <f t="shared" si="36"/>
        <v>Obesity</v>
      </c>
      <c r="C806">
        <v>37.119999999999997</v>
      </c>
      <c r="D806" t="str">
        <f t="shared" si="37"/>
        <v>Normal</v>
      </c>
      <c r="E806">
        <v>5.29</v>
      </c>
      <c r="F806" t="s">
        <v>2380</v>
      </c>
      <c r="G806" t="s">
        <v>2380</v>
      </c>
      <c r="H806" t="s">
        <v>2380</v>
      </c>
      <c r="J806">
        <v>2</v>
      </c>
      <c r="K806" t="str">
        <f t="shared" si="38"/>
        <v>No</v>
      </c>
      <c r="L806" t="s">
        <v>2380</v>
      </c>
    </row>
    <row r="807" spans="1:12" x14ac:dyDescent="0.35">
      <c r="A807" t="s">
        <v>1565</v>
      </c>
      <c r="B807" t="str">
        <f t="shared" si="36"/>
        <v>Obesity</v>
      </c>
      <c r="C807">
        <v>34.840000000000003</v>
      </c>
      <c r="D807" t="str">
        <f t="shared" si="37"/>
        <v>Prediabetes</v>
      </c>
      <c r="E807">
        <v>6</v>
      </c>
      <c r="F807" t="s">
        <v>2382</v>
      </c>
      <c r="G807" t="s">
        <v>2380</v>
      </c>
      <c r="H807" t="s">
        <v>2383</v>
      </c>
      <c r="J807">
        <v>1</v>
      </c>
      <c r="K807" t="str">
        <f t="shared" si="38"/>
        <v>No</v>
      </c>
      <c r="L807" t="s">
        <v>2380</v>
      </c>
    </row>
    <row r="808" spans="1:12" x14ac:dyDescent="0.35">
      <c r="A808" t="s">
        <v>1564</v>
      </c>
      <c r="B808" t="str">
        <f t="shared" si="36"/>
        <v>Overweight</v>
      </c>
      <c r="C808">
        <v>29.53</v>
      </c>
      <c r="D808" t="str">
        <f t="shared" si="37"/>
        <v>Diabetes</v>
      </c>
      <c r="E808">
        <v>10.64</v>
      </c>
      <c r="F808" t="s">
        <v>2380</v>
      </c>
      <c r="G808" t="s">
        <v>2380</v>
      </c>
      <c r="H808" t="s">
        <v>2380</v>
      </c>
      <c r="J808" t="s">
        <v>2381</v>
      </c>
      <c r="K808" t="str">
        <f t="shared" si="38"/>
        <v>No</v>
      </c>
      <c r="L808" t="s">
        <v>2380</v>
      </c>
    </row>
    <row r="809" spans="1:12" x14ac:dyDescent="0.35">
      <c r="A809" t="s">
        <v>1563</v>
      </c>
      <c r="B809" t="str">
        <f t="shared" si="36"/>
        <v>Obesity</v>
      </c>
      <c r="C809">
        <v>42.51</v>
      </c>
      <c r="D809" t="str">
        <f t="shared" si="37"/>
        <v>Diabetes</v>
      </c>
      <c r="E809">
        <v>8.2100000000000009</v>
      </c>
      <c r="F809" t="s">
        <v>2382</v>
      </c>
      <c r="G809" t="s">
        <v>2380</v>
      </c>
      <c r="H809" t="s">
        <v>2380</v>
      </c>
      <c r="J809" t="s">
        <v>2381</v>
      </c>
      <c r="K809" t="str">
        <f t="shared" si="38"/>
        <v>No</v>
      </c>
      <c r="L809" t="s">
        <v>2380</v>
      </c>
    </row>
    <row r="810" spans="1:12" x14ac:dyDescent="0.35">
      <c r="A810" t="s">
        <v>1562</v>
      </c>
      <c r="B810" t="str">
        <f t="shared" si="36"/>
        <v>Obesity</v>
      </c>
      <c r="C810">
        <v>38.14</v>
      </c>
      <c r="D810" t="str">
        <f t="shared" si="37"/>
        <v>Normal</v>
      </c>
      <c r="E810">
        <v>5.58</v>
      </c>
      <c r="F810" t="s">
        <v>2380</v>
      </c>
      <c r="G810" t="s">
        <v>2380</v>
      </c>
      <c r="H810" t="s">
        <v>2383</v>
      </c>
      <c r="J810">
        <v>1</v>
      </c>
      <c r="K810" t="str">
        <f t="shared" si="38"/>
        <v>No</v>
      </c>
      <c r="L810" t="s">
        <v>2380</v>
      </c>
    </row>
    <row r="811" spans="1:12" x14ac:dyDescent="0.35">
      <c r="A811" t="s">
        <v>1561</v>
      </c>
      <c r="B811" t="str">
        <f t="shared" si="36"/>
        <v>Obesity</v>
      </c>
      <c r="C811">
        <v>39.93</v>
      </c>
      <c r="D811" t="str">
        <f t="shared" si="37"/>
        <v>Diabetes</v>
      </c>
      <c r="E811">
        <v>8.75</v>
      </c>
      <c r="F811" t="s">
        <v>2380</v>
      </c>
      <c r="G811" t="s">
        <v>2380</v>
      </c>
      <c r="H811" t="s">
        <v>2380</v>
      </c>
      <c r="J811" t="s">
        <v>2381</v>
      </c>
      <c r="K811" t="str">
        <f t="shared" si="38"/>
        <v>No</v>
      </c>
      <c r="L811" t="s">
        <v>2380</v>
      </c>
    </row>
    <row r="812" spans="1:12" x14ac:dyDescent="0.35">
      <c r="A812" t="s">
        <v>1560</v>
      </c>
      <c r="B812" t="str">
        <f t="shared" si="36"/>
        <v>Obesity</v>
      </c>
      <c r="C812">
        <v>38.83</v>
      </c>
      <c r="D812" t="str">
        <f t="shared" si="37"/>
        <v>Diabetes</v>
      </c>
      <c r="E812">
        <v>11.86</v>
      </c>
      <c r="F812" t="s">
        <v>2380</v>
      </c>
      <c r="G812" t="s">
        <v>2380</v>
      </c>
      <c r="H812" t="s">
        <v>2380</v>
      </c>
      <c r="J812" t="s">
        <v>2381</v>
      </c>
      <c r="K812" t="str">
        <f t="shared" si="38"/>
        <v>No</v>
      </c>
      <c r="L812" t="s">
        <v>2380</v>
      </c>
    </row>
    <row r="813" spans="1:12" x14ac:dyDescent="0.35">
      <c r="A813" t="s">
        <v>1559</v>
      </c>
      <c r="B813" t="str">
        <f t="shared" si="36"/>
        <v>Obesity</v>
      </c>
      <c r="C813">
        <v>37.4</v>
      </c>
      <c r="D813" t="str">
        <f t="shared" si="37"/>
        <v>Diabetes</v>
      </c>
      <c r="E813">
        <v>11.46</v>
      </c>
      <c r="F813" t="s">
        <v>2380</v>
      </c>
      <c r="G813" t="s">
        <v>2380</v>
      </c>
      <c r="H813" t="s">
        <v>2380</v>
      </c>
      <c r="J813" t="s">
        <v>2381</v>
      </c>
      <c r="K813" t="str">
        <f t="shared" si="38"/>
        <v>No</v>
      </c>
      <c r="L813" t="s">
        <v>2380</v>
      </c>
    </row>
    <row r="814" spans="1:12" x14ac:dyDescent="0.35">
      <c r="A814" t="s">
        <v>1558</v>
      </c>
      <c r="B814" t="str">
        <f t="shared" si="36"/>
        <v>Normal Weight</v>
      </c>
      <c r="C814">
        <v>21.4</v>
      </c>
      <c r="D814" t="str">
        <f t="shared" si="37"/>
        <v>Diabetes</v>
      </c>
      <c r="E814">
        <v>9.0299999999999994</v>
      </c>
      <c r="F814" t="s">
        <v>2380</v>
      </c>
      <c r="G814" t="s">
        <v>2380</v>
      </c>
      <c r="H814" t="s">
        <v>2380</v>
      </c>
      <c r="J814" t="s">
        <v>2381</v>
      </c>
      <c r="K814" t="str">
        <f t="shared" si="38"/>
        <v>No</v>
      </c>
      <c r="L814" t="s">
        <v>2380</v>
      </c>
    </row>
    <row r="815" spans="1:12" x14ac:dyDescent="0.35">
      <c r="A815" t="s">
        <v>1557</v>
      </c>
      <c r="B815" t="str">
        <f t="shared" si="36"/>
        <v>Obesity</v>
      </c>
      <c r="C815">
        <v>38.380000000000003</v>
      </c>
      <c r="D815" t="str">
        <f t="shared" si="37"/>
        <v>Diabetes</v>
      </c>
      <c r="E815">
        <v>8.26</v>
      </c>
      <c r="F815" t="s">
        <v>2382</v>
      </c>
      <c r="G815" t="s">
        <v>2380</v>
      </c>
      <c r="H815" t="s">
        <v>2380</v>
      </c>
      <c r="J815">
        <v>2</v>
      </c>
      <c r="K815" t="str">
        <f t="shared" si="38"/>
        <v>No</v>
      </c>
      <c r="L815" t="s">
        <v>2380</v>
      </c>
    </row>
    <row r="816" spans="1:12" x14ac:dyDescent="0.35">
      <c r="A816" t="s">
        <v>1556</v>
      </c>
      <c r="B816" t="str">
        <f t="shared" si="36"/>
        <v>Obesity</v>
      </c>
      <c r="C816">
        <v>33.659999999999997</v>
      </c>
      <c r="D816" t="str">
        <f t="shared" si="37"/>
        <v>Normal</v>
      </c>
      <c r="E816">
        <v>5.42</v>
      </c>
      <c r="F816" t="s">
        <v>2382</v>
      </c>
      <c r="G816" t="s">
        <v>2380</v>
      </c>
      <c r="H816" t="s">
        <v>2380</v>
      </c>
      <c r="J816">
        <v>2</v>
      </c>
      <c r="K816" t="str">
        <f t="shared" si="38"/>
        <v>No</v>
      </c>
      <c r="L816" t="s">
        <v>2380</v>
      </c>
    </row>
    <row r="817" spans="1:12" x14ac:dyDescent="0.35">
      <c r="A817" t="s">
        <v>1555</v>
      </c>
      <c r="B817" t="str">
        <f t="shared" si="36"/>
        <v>Obesity</v>
      </c>
      <c r="C817">
        <v>31.79</v>
      </c>
      <c r="D817" t="str">
        <f t="shared" si="37"/>
        <v>Diabetes</v>
      </c>
      <c r="E817">
        <v>11.33</v>
      </c>
      <c r="F817" t="s">
        <v>2382</v>
      </c>
      <c r="G817" t="s">
        <v>2380</v>
      </c>
      <c r="H817" t="s">
        <v>2383</v>
      </c>
      <c r="J817">
        <v>1</v>
      </c>
      <c r="K817" t="str">
        <f t="shared" si="38"/>
        <v>No</v>
      </c>
      <c r="L817" t="s">
        <v>2380</v>
      </c>
    </row>
    <row r="818" spans="1:12" x14ac:dyDescent="0.35">
      <c r="A818" t="s">
        <v>1554</v>
      </c>
      <c r="B818" t="str">
        <f t="shared" si="36"/>
        <v>Overweight</v>
      </c>
      <c r="C818">
        <v>29.7</v>
      </c>
      <c r="D818" t="str">
        <f t="shared" si="37"/>
        <v>Diabetes</v>
      </c>
      <c r="E818">
        <v>7.69</v>
      </c>
      <c r="F818" t="s">
        <v>2382</v>
      </c>
      <c r="G818" t="s">
        <v>2380</v>
      </c>
      <c r="H818" t="s">
        <v>2383</v>
      </c>
      <c r="J818">
        <v>1</v>
      </c>
      <c r="K818" t="str">
        <f t="shared" si="38"/>
        <v>No</v>
      </c>
      <c r="L818" t="s">
        <v>2380</v>
      </c>
    </row>
    <row r="819" spans="1:12" x14ac:dyDescent="0.35">
      <c r="A819" t="s">
        <v>1553</v>
      </c>
      <c r="B819" t="str">
        <f t="shared" si="36"/>
        <v>Overweight</v>
      </c>
      <c r="C819">
        <v>25.46</v>
      </c>
      <c r="D819" t="str">
        <f t="shared" si="37"/>
        <v>Diabetes</v>
      </c>
      <c r="E819">
        <v>8.77</v>
      </c>
      <c r="F819" t="s">
        <v>2382</v>
      </c>
      <c r="G819" t="s">
        <v>2380</v>
      </c>
      <c r="H819" t="s">
        <v>2383</v>
      </c>
      <c r="J819">
        <v>1</v>
      </c>
      <c r="K819" t="str">
        <f t="shared" si="38"/>
        <v>No</v>
      </c>
      <c r="L819" t="s">
        <v>2380</v>
      </c>
    </row>
    <row r="820" spans="1:12" x14ac:dyDescent="0.35">
      <c r="A820" t="s">
        <v>1552</v>
      </c>
      <c r="B820" t="str">
        <f t="shared" si="36"/>
        <v>Obesity</v>
      </c>
      <c r="C820">
        <v>39.14</v>
      </c>
      <c r="D820" t="str">
        <f t="shared" si="37"/>
        <v>Normal</v>
      </c>
      <c r="E820">
        <v>4.91</v>
      </c>
      <c r="F820" t="s">
        <v>2380</v>
      </c>
      <c r="G820" t="s">
        <v>2382</v>
      </c>
      <c r="H820" t="s">
        <v>2380</v>
      </c>
      <c r="J820">
        <v>1</v>
      </c>
      <c r="K820" t="str">
        <f t="shared" si="38"/>
        <v>No</v>
      </c>
      <c r="L820" t="s">
        <v>2380</v>
      </c>
    </row>
    <row r="821" spans="1:12" x14ac:dyDescent="0.35">
      <c r="A821" t="s">
        <v>1551</v>
      </c>
      <c r="B821" t="str">
        <f t="shared" si="36"/>
        <v>Obesity</v>
      </c>
      <c r="C821">
        <v>41.2</v>
      </c>
      <c r="D821" t="str">
        <f t="shared" si="37"/>
        <v>Normal</v>
      </c>
      <c r="E821">
        <v>4.95</v>
      </c>
      <c r="F821" t="s">
        <v>2380</v>
      </c>
      <c r="G821" t="s">
        <v>2380</v>
      </c>
      <c r="H821" t="s">
        <v>2380</v>
      </c>
      <c r="J821">
        <v>1</v>
      </c>
      <c r="K821" t="str">
        <f t="shared" si="38"/>
        <v>No</v>
      </c>
      <c r="L821" t="s">
        <v>2380</v>
      </c>
    </row>
    <row r="822" spans="1:12" x14ac:dyDescent="0.35">
      <c r="A822" t="s">
        <v>1550</v>
      </c>
      <c r="B822" t="str">
        <f t="shared" si="36"/>
        <v>Overweight</v>
      </c>
      <c r="C822">
        <v>28.81</v>
      </c>
      <c r="D822" t="str">
        <f t="shared" si="37"/>
        <v>Diabetes</v>
      </c>
      <c r="E822">
        <v>10.8</v>
      </c>
      <c r="F822" t="s">
        <v>2382</v>
      </c>
      <c r="G822" t="s">
        <v>2380</v>
      </c>
      <c r="H822" t="s">
        <v>2383</v>
      </c>
      <c r="J822">
        <v>1</v>
      </c>
      <c r="K822" t="str">
        <f t="shared" si="38"/>
        <v>No</v>
      </c>
      <c r="L822" t="s">
        <v>2380</v>
      </c>
    </row>
    <row r="823" spans="1:12" x14ac:dyDescent="0.35">
      <c r="A823" t="s">
        <v>1549</v>
      </c>
      <c r="B823" t="str">
        <f t="shared" si="36"/>
        <v>Obesity</v>
      </c>
      <c r="C823">
        <v>37.409999999999997</v>
      </c>
      <c r="D823" t="str">
        <f t="shared" si="37"/>
        <v>Diabetes</v>
      </c>
      <c r="E823">
        <v>7.21</v>
      </c>
      <c r="F823" t="s">
        <v>2380</v>
      </c>
      <c r="G823" t="s">
        <v>2380</v>
      </c>
      <c r="H823" t="s">
        <v>2380</v>
      </c>
      <c r="J823">
        <v>2</v>
      </c>
      <c r="K823" t="str">
        <f t="shared" si="38"/>
        <v>No</v>
      </c>
      <c r="L823" t="s">
        <v>2380</v>
      </c>
    </row>
    <row r="824" spans="1:12" x14ac:dyDescent="0.35">
      <c r="A824" t="s">
        <v>1548</v>
      </c>
      <c r="B824" t="str">
        <f t="shared" si="36"/>
        <v>Obesity</v>
      </c>
      <c r="C824">
        <v>52.54</v>
      </c>
      <c r="D824" t="str">
        <f t="shared" si="37"/>
        <v>Normal</v>
      </c>
      <c r="E824">
        <v>5.12</v>
      </c>
      <c r="F824" t="s">
        <v>2380</v>
      </c>
      <c r="G824" t="s">
        <v>2380</v>
      </c>
      <c r="H824" t="s">
        <v>2383</v>
      </c>
      <c r="J824">
        <v>1</v>
      </c>
      <c r="K824" t="str">
        <f t="shared" si="38"/>
        <v>No</v>
      </c>
      <c r="L824" t="s">
        <v>2380</v>
      </c>
    </row>
    <row r="825" spans="1:12" x14ac:dyDescent="0.35">
      <c r="A825" t="s">
        <v>1547</v>
      </c>
      <c r="B825" t="str">
        <f t="shared" si="36"/>
        <v>Underweight</v>
      </c>
      <c r="C825">
        <v>17.29</v>
      </c>
      <c r="D825" t="str">
        <f t="shared" si="37"/>
        <v>Normal</v>
      </c>
      <c r="E825">
        <v>4.62</v>
      </c>
      <c r="F825" t="s">
        <v>2380</v>
      </c>
      <c r="G825" t="s">
        <v>2382</v>
      </c>
      <c r="H825" t="s">
        <v>2380</v>
      </c>
      <c r="J825">
        <v>1</v>
      </c>
      <c r="K825" t="str">
        <f t="shared" si="38"/>
        <v>yes</v>
      </c>
      <c r="L825" t="s">
        <v>2382</v>
      </c>
    </row>
    <row r="826" spans="1:12" x14ac:dyDescent="0.35">
      <c r="A826" t="s">
        <v>1546</v>
      </c>
      <c r="B826" t="str">
        <f t="shared" si="36"/>
        <v>Obesity</v>
      </c>
      <c r="C826">
        <v>31.74</v>
      </c>
      <c r="D826" t="str">
        <f t="shared" si="37"/>
        <v>Diabetes</v>
      </c>
      <c r="E826">
        <v>7.68</v>
      </c>
      <c r="F826" t="s">
        <v>2382</v>
      </c>
      <c r="G826" t="s">
        <v>2380</v>
      </c>
      <c r="H826" t="s">
        <v>2380</v>
      </c>
      <c r="J826" t="s">
        <v>2381</v>
      </c>
      <c r="K826" t="str">
        <f t="shared" si="38"/>
        <v>No</v>
      </c>
      <c r="L826" t="s">
        <v>2380</v>
      </c>
    </row>
    <row r="827" spans="1:12" x14ac:dyDescent="0.35">
      <c r="A827" t="s">
        <v>1545</v>
      </c>
      <c r="B827" t="str">
        <f t="shared" si="36"/>
        <v>Overweight</v>
      </c>
      <c r="C827">
        <v>26.504999999999999</v>
      </c>
      <c r="D827" t="str">
        <f t="shared" si="37"/>
        <v>Diabetes</v>
      </c>
      <c r="E827">
        <v>6.79</v>
      </c>
      <c r="F827" t="s">
        <v>2382</v>
      </c>
      <c r="G827" t="s">
        <v>2380</v>
      </c>
      <c r="H827" t="s">
        <v>2383</v>
      </c>
      <c r="J827">
        <v>1</v>
      </c>
      <c r="K827" t="str">
        <f t="shared" si="38"/>
        <v>No</v>
      </c>
      <c r="L827" t="s">
        <v>2380</v>
      </c>
    </row>
    <row r="828" spans="1:12" x14ac:dyDescent="0.35">
      <c r="A828" t="s">
        <v>1544</v>
      </c>
      <c r="B828" t="str">
        <f t="shared" si="36"/>
        <v>Obesity</v>
      </c>
      <c r="C828">
        <v>36.479999999999997</v>
      </c>
      <c r="D828" t="str">
        <f t="shared" si="37"/>
        <v>Diabetes</v>
      </c>
      <c r="E828">
        <v>11.09</v>
      </c>
      <c r="F828" t="s">
        <v>2380</v>
      </c>
      <c r="G828" t="s">
        <v>2380</v>
      </c>
      <c r="H828" t="s">
        <v>2380</v>
      </c>
      <c r="J828" t="s">
        <v>2381</v>
      </c>
      <c r="K828" t="str">
        <f t="shared" si="38"/>
        <v>No</v>
      </c>
      <c r="L828" t="s">
        <v>2380</v>
      </c>
    </row>
    <row r="829" spans="1:12" x14ac:dyDescent="0.35">
      <c r="A829" t="s">
        <v>1543</v>
      </c>
      <c r="B829" t="str">
        <f t="shared" si="36"/>
        <v>Obesity</v>
      </c>
      <c r="C829">
        <v>39.159999999999997</v>
      </c>
      <c r="D829" t="str">
        <f t="shared" si="37"/>
        <v>Normal</v>
      </c>
      <c r="E829">
        <v>5.24</v>
      </c>
      <c r="F829" t="s">
        <v>2382</v>
      </c>
      <c r="G829" t="s">
        <v>2380</v>
      </c>
      <c r="H829" t="s">
        <v>2383</v>
      </c>
      <c r="J829">
        <v>1</v>
      </c>
      <c r="K829" t="str">
        <f t="shared" si="38"/>
        <v>No</v>
      </c>
      <c r="L829" t="s">
        <v>2380</v>
      </c>
    </row>
    <row r="830" spans="1:12" x14ac:dyDescent="0.35">
      <c r="A830" t="s">
        <v>1542</v>
      </c>
      <c r="B830" t="str">
        <f t="shared" si="36"/>
        <v>Overweight</v>
      </c>
      <c r="C830">
        <v>28.22</v>
      </c>
      <c r="D830" t="str">
        <f t="shared" si="37"/>
        <v>Diabetes</v>
      </c>
      <c r="E830">
        <v>7.51</v>
      </c>
      <c r="F830" t="s">
        <v>2382</v>
      </c>
      <c r="G830" t="s">
        <v>2380</v>
      </c>
      <c r="H830" t="s">
        <v>2383</v>
      </c>
      <c r="J830">
        <v>1</v>
      </c>
      <c r="K830" t="str">
        <f t="shared" si="38"/>
        <v>No</v>
      </c>
      <c r="L830" t="s">
        <v>2380</v>
      </c>
    </row>
    <row r="831" spans="1:12" x14ac:dyDescent="0.35">
      <c r="A831" t="s">
        <v>1541</v>
      </c>
      <c r="B831" t="str">
        <f t="shared" si="36"/>
        <v>Obesity</v>
      </c>
      <c r="C831">
        <v>35</v>
      </c>
      <c r="D831" t="str">
        <f t="shared" si="37"/>
        <v>Normal</v>
      </c>
      <c r="E831">
        <v>4.13</v>
      </c>
      <c r="F831" t="s">
        <v>2380</v>
      </c>
      <c r="G831" t="s">
        <v>2380</v>
      </c>
      <c r="H831" t="s">
        <v>2380</v>
      </c>
      <c r="J831">
        <v>2</v>
      </c>
      <c r="K831" t="str">
        <f t="shared" si="38"/>
        <v>No</v>
      </c>
      <c r="L831" t="s">
        <v>2380</v>
      </c>
    </row>
    <row r="832" spans="1:12" x14ac:dyDescent="0.35">
      <c r="A832" t="s">
        <v>1540</v>
      </c>
      <c r="B832" t="str">
        <f t="shared" si="36"/>
        <v>Obesity</v>
      </c>
      <c r="C832">
        <v>36.24</v>
      </c>
      <c r="D832" t="str">
        <f t="shared" si="37"/>
        <v>Diabetes</v>
      </c>
      <c r="E832">
        <v>8.3800000000000008</v>
      </c>
      <c r="F832" t="s">
        <v>2382</v>
      </c>
      <c r="G832" t="s">
        <v>2380</v>
      </c>
      <c r="H832" t="s">
        <v>2380</v>
      </c>
      <c r="J832">
        <v>1</v>
      </c>
      <c r="K832" t="str">
        <f t="shared" si="38"/>
        <v>No</v>
      </c>
      <c r="L832" t="s">
        <v>2380</v>
      </c>
    </row>
    <row r="833" spans="1:12" x14ac:dyDescent="0.35">
      <c r="A833" t="s">
        <v>1539</v>
      </c>
      <c r="B833" t="str">
        <f t="shared" si="36"/>
        <v>Obesity</v>
      </c>
      <c r="C833">
        <v>36.954999999999998</v>
      </c>
      <c r="D833" t="str">
        <f t="shared" si="37"/>
        <v>Diabetes</v>
      </c>
      <c r="E833">
        <v>8.07</v>
      </c>
      <c r="F833" t="s">
        <v>2380</v>
      </c>
      <c r="G833" t="s">
        <v>2380</v>
      </c>
      <c r="H833" t="s">
        <v>2380</v>
      </c>
      <c r="J833" t="s">
        <v>2381</v>
      </c>
      <c r="K833" t="str">
        <f t="shared" si="38"/>
        <v>No</v>
      </c>
      <c r="L833" t="s">
        <v>2380</v>
      </c>
    </row>
    <row r="834" spans="1:12" x14ac:dyDescent="0.35">
      <c r="A834" t="s">
        <v>1538</v>
      </c>
      <c r="B834" t="str">
        <f t="shared" si="36"/>
        <v>Overweight</v>
      </c>
      <c r="C834">
        <v>29.64</v>
      </c>
      <c r="D834" t="str">
        <f t="shared" si="37"/>
        <v>Diabetes</v>
      </c>
      <c r="E834">
        <v>8.9499999999999993</v>
      </c>
      <c r="F834" t="s">
        <v>2380</v>
      </c>
      <c r="G834" t="s">
        <v>2380</v>
      </c>
      <c r="H834" t="s">
        <v>2380</v>
      </c>
      <c r="J834" t="s">
        <v>2381</v>
      </c>
      <c r="K834" t="str">
        <f t="shared" si="38"/>
        <v>No</v>
      </c>
      <c r="L834" t="s">
        <v>2380</v>
      </c>
    </row>
    <row r="835" spans="1:12" x14ac:dyDescent="0.35">
      <c r="A835" t="s">
        <v>1537</v>
      </c>
      <c r="B835" t="str">
        <f t="shared" ref="B835:B898" si="39">_xlfn.IFS(C835&lt;18.5, "Underweight", C835&lt;=24.9, "Normal Weight", C835&lt;=29.9, "Overweight", C835&gt;=30, "Obesity")</f>
        <v>Obesity</v>
      </c>
      <c r="C835">
        <v>42.74</v>
      </c>
      <c r="D835" t="str">
        <f t="shared" ref="D835:D898" si="40">_xlfn.IFS(E835&lt;5.7, "Normal", E835&lt;=6.4, "Prediabetes", E835&gt;=6.5, "Diabetes")</f>
        <v>Prediabetes</v>
      </c>
      <c r="E835">
        <v>6.31</v>
      </c>
      <c r="F835" t="s">
        <v>2382</v>
      </c>
      <c r="G835" t="s">
        <v>2380</v>
      </c>
      <c r="H835" t="s">
        <v>2380</v>
      </c>
      <c r="J835">
        <v>1</v>
      </c>
      <c r="K835" t="str">
        <f t="shared" si="38"/>
        <v>No</v>
      </c>
      <c r="L835" t="s">
        <v>2380</v>
      </c>
    </row>
    <row r="836" spans="1:12" x14ac:dyDescent="0.35">
      <c r="A836" t="s">
        <v>1536</v>
      </c>
      <c r="B836" t="str">
        <f t="shared" si="39"/>
        <v>Obesity</v>
      </c>
      <c r="C836">
        <v>36.130000000000003</v>
      </c>
      <c r="D836" t="str">
        <f t="shared" si="40"/>
        <v>Diabetes</v>
      </c>
      <c r="E836">
        <v>7.19</v>
      </c>
      <c r="F836" t="s">
        <v>2382</v>
      </c>
      <c r="G836" t="s">
        <v>2380</v>
      </c>
      <c r="H836" t="s">
        <v>2380</v>
      </c>
      <c r="J836">
        <v>2</v>
      </c>
      <c r="K836" t="str">
        <f t="shared" ref="K836:K899" si="41">IF(OR(L836="?", ISBLANK(L836)), "No", L836)</f>
        <v>No</v>
      </c>
      <c r="L836" t="s">
        <v>2380</v>
      </c>
    </row>
    <row r="837" spans="1:12" x14ac:dyDescent="0.35">
      <c r="A837" t="s">
        <v>1535</v>
      </c>
      <c r="B837" t="str">
        <f t="shared" si="39"/>
        <v>Obesity</v>
      </c>
      <c r="C837">
        <v>31.55</v>
      </c>
      <c r="D837" t="str">
        <f t="shared" si="40"/>
        <v>Prediabetes</v>
      </c>
      <c r="E837">
        <v>6.11</v>
      </c>
      <c r="F837" t="s">
        <v>2382</v>
      </c>
      <c r="G837" t="s">
        <v>2380</v>
      </c>
      <c r="H837" t="s">
        <v>2380</v>
      </c>
      <c r="J837">
        <v>1</v>
      </c>
      <c r="K837" t="str">
        <f t="shared" si="41"/>
        <v>No</v>
      </c>
      <c r="L837" t="s">
        <v>2380</v>
      </c>
    </row>
    <row r="838" spans="1:12" x14ac:dyDescent="0.35">
      <c r="A838" t="s">
        <v>1534</v>
      </c>
      <c r="B838" t="str">
        <f t="shared" si="39"/>
        <v>Obesity</v>
      </c>
      <c r="C838">
        <v>52.75</v>
      </c>
      <c r="D838" t="str">
        <f t="shared" si="40"/>
        <v>Prediabetes</v>
      </c>
      <c r="E838">
        <v>6.02</v>
      </c>
      <c r="F838" t="s">
        <v>2380</v>
      </c>
      <c r="G838" t="s">
        <v>2380</v>
      </c>
      <c r="H838" t="s">
        <v>2380</v>
      </c>
      <c r="J838">
        <v>1</v>
      </c>
      <c r="K838" t="str">
        <f t="shared" si="41"/>
        <v>No</v>
      </c>
      <c r="L838" t="s">
        <v>2380</v>
      </c>
    </row>
    <row r="839" spans="1:12" x14ac:dyDescent="0.35">
      <c r="A839" t="s">
        <v>1533</v>
      </c>
      <c r="B839" t="str">
        <f t="shared" si="39"/>
        <v>Obesity</v>
      </c>
      <c r="C839">
        <v>36.67</v>
      </c>
      <c r="D839" t="str">
        <f t="shared" si="40"/>
        <v>Diabetes</v>
      </c>
      <c r="E839">
        <v>11.86</v>
      </c>
      <c r="F839" t="s">
        <v>2380</v>
      </c>
      <c r="G839" t="s">
        <v>2380</v>
      </c>
      <c r="H839" t="s">
        <v>2380</v>
      </c>
      <c r="J839" t="s">
        <v>2381</v>
      </c>
      <c r="K839" t="str">
        <f t="shared" si="41"/>
        <v>No</v>
      </c>
      <c r="L839" t="s">
        <v>2380</v>
      </c>
    </row>
    <row r="840" spans="1:12" x14ac:dyDescent="0.35">
      <c r="A840" t="s">
        <v>1532</v>
      </c>
      <c r="B840" t="str">
        <f t="shared" si="39"/>
        <v>Obesity</v>
      </c>
      <c r="C840">
        <v>38.06</v>
      </c>
      <c r="D840" t="str">
        <f t="shared" si="40"/>
        <v>Diabetes</v>
      </c>
      <c r="E840">
        <v>8.25</v>
      </c>
      <c r="F840" t="s">
        <v>2380</v>
      </c>
      <c r="G840" t="s">
        <v>2380</v>
      </c>
      <c r="H840" t="s">
        <v>2380</v>
      </c>
      <c r="J840" t="s">
        <v>2381</v>
      </c>
      <c r="K840" t="str">
        <f t="shared" si="41"/>
        <v>No</v>
      </c>
      <c r="L840" t="s">
        <v>2380</v>
      </c>
    </row>
    <row r="841" spans="1:12" x14ac:dyDescent="0.35">
      <c r="A841" t="s">
        <v>1531</v>
      </c>
      <c r="B841" t="str">
        <f t="shared" si="39"/>
        <v>Obesity</v>
      </c>
      <c r="C841">
        <v>38</v>
      </c>
      <c r="D841" t="str">
        <f t="shared" si="40"/>
        <v>Diabetes</v>
      </c>
      <c r="E841">
        <v>8.1300000000000008</v>
      </c>
      <c r="F841" t="s">
        <v>2380</v>
      </c>
      <c r="G841" t="s">
        <v>2380</v>
      </c>
      <c r="H841" t="s">
        <v>2380</v>
      </c>
      <c r="J841" t="s">
        <v>2381</v>
      </c>
      <c r="K841" t="str">
        <f t="shared" si="41"/>
        <v>No</v>
      </c>
      <c r="L841" t="s">
        <v>2380</v>
      </c>
    </row>
    <row r="842" spans="1:12" x14ac:dyDescent="0.35">
      <c r="A842" t="s">
        <v>1530</v>
      </c>
      <c r="B842" t="str">
        <f t="shared" si="39"/>
        <v>Obesity</v>
      </c>
      <c r="C842">
        <v>35.1</v>
      </c>
      <c r="D842" t="str">
        <f t="shared" si="40"/>
        <v>Diabetes</v>
      </c>
      <c r="E842">
        <v>10.1</v>
      </c>
      <c r="F842" t="s">
        <v>2380</v>
      </c>
      <c r="G842" t="s">
        <v>2380</v>
      </c>
      <c r="H842" t="s">
        <v>2380</v>
      </c>
      <c r="J842" t="s">
        <v>2381</v>
      </c>
      <c r="K842" t="str">
        <f t="shared" si="41"/>
        <v>No</v>
      </c>
      <c r="L842" t="s">
        <v>2380</v>
      </c>
    </row>
    <row r="843" spans="1:12" x14ac:dyDescent="0.35">
      <c r="A843" t="s">
        <v>1529</v>
      </c>
      <c r="B843" t="str">
        <f t="shared" si="39"/>
        <v>Obesity</v>
      </c>
      <c r="C843">
        <v>33.82</v>
      </c>
      <c r="D843" t="str">
        <f t="shared" si="40"/>
        <v>Prediabetes</v>
      </c>
      <c r="E843">
        <v>5.89</v>
      </c>
      <c r="F843" t="s">
        <v>2382</v>
      </c>
      <c r="G843" t="s">
        <v>2380</v>
      </c>
      <c r="H843" t="s">
        <v>2380</v>
      </c>
      <c r="J843">
        <v>2</v>
      </c>
      <c r="K843" t="str">
        <f t="shared" si="41"/>
        <v>No</v>
      </c>
      <c r="L843" t="s">
        <v>2380</v>
      </c>
    </row>
    <row r="844" spans="1:12" x14ac:dyDescent="0.35">
      <c r="A844" t="s">
        <v>1528</v>
      </c>
      <c r="B844" t="str">
        <f t="shared" si="39"/>
        <v>Obesity</v>
      </c>
      <c r="C844">
        <v>37.43</v>
      </c>
      <c r="D844" t="str">
        <f t="shared" si="40"/>
        <v>Normal</v>
      </c>
      <c r="E844">
        <v>4.97</v>
      </c>
      <c r="F844" t="s">
        <v>2380</v>
      </c>
      <c r="G844" t="s">
        <v>2380</v>
      </c>
      <c r="H844" t="s">
        <v>2380</v>
      </c>
      <c r="J844">
        <v>2</v>
      </c>
      <c r="K844" t="str">
        <f t="shared" si="41"/>
        <v>No</v>
      </c>
      <c r="L844" t="s">
        <v>2380</v>
      </c>
    </row>
    <row r="845" spans="1:12" x14ac:dyDescent="0.35">
      <c r="A845" t="s">
        <v>1527</v>
      </c>
      <c r="B845" t="str">
        <f t="shared" si="39"/>
        <v>Obesity</v>
      </c>
      <c r="C845">
        <v>30.5</v>
      </c>
      <c r="D845" t="str">
        <f t="shared" si="40"/>
        <v>Diabetes</v>
      </c>
      <c r="E845">
        <v>9.9</v>
      </c>
      <c r="F845" t="s">
        <v>2380</v>
      </c>
      <c r="G845" t="s">
        <v>2380</v>
      </c>
      <c r="H845" t="s">
        <v>2380</v>
      </c>
      <c r="J845" t="s">
        <v>2381</v>
      </c>
      <c r="K845" t="str">
        <f t="shared" si="41"/>
        <v>No</v>
      </c>
      <c r="L845" t="s">
        <v>2380</v>
      </c>
    </row>
    <row r="846" spans="1:12" x14ac:dyDescent="0.35">
      <c r="A846" t="s">
        <v>1526</v>
      </c>
      <c r="B846" t="str">
        <f t="shared" si="39"/>
        <v>Normal Weight</v>
      </c>
      <c r="C846">
        <v>24.53</v>
      </c>
      <c r="D846" t="str">
        <f t="shared" si="40"/>
        <v>Diabetes</v>
      </c>
      <c r="E846">
        <v>9.0500000000000007</v>
      </c>
      <c r="F846" t="s">
        <v>2380</v>
      </c>
      <c r="G846" t="s">
        <v>2380</v>
      </c>
      <c r="H846" t="s">
        <v>2380</v>
      </c>
      <c r="J846" t="s">
        <v>2381</v>
      </c>
      <c r="K846" t="str">
        <f t="shared" si="41"/>
        <v>No</v>
      </c>
      <c r="L846" t="s">
        <v>2380</v>
      </c>
    </row>
    <row r="847" spans="1:12" x14ac:dyDescent="0.35">
      <c r="A847" t="s">
        <v>1525</v>
      </c>
      <c r="B847" t="str">
        <f t="shared" si="39"/>
        <v>Overweight</v>
      </c>
      <c r="C847">
        <v>25.74</v>
      </c>
      <c r="D847" t="str">
        <f t="shared" si="40"/>
        <v>Diabetes</v>
      </c>
      <c r="E847">
        <v>10.93</v>
      </c>
      <c r="F847" t="s">
        <v>2380</v>
      </c>
      <c r="G847" t="s">
        <v>2380</v>
      </c>
      <c r="H847" t="s">
        <v>2380</v>
      </c>
      <c r="J847" t="s">
        <v>2381</v>
      </c>
      <c r="K847" t="str">
        <f t="shared" si="41"/>
        <v>No</v>
      </c>
      <c r="L847" t="s">
        <v>2380</v>
      </c>
    </row>
    <row r="848" spans="1:12" x14ac:dyDescent="0.35">
      <c r="A848" t="s">
        <v>1524</v>
      </c>
      <c r="B848" t="str">
        <f t="shared" si="39"/>
        <v>Obesity</v>
      </c>
      <c r="C848">
        <v>34.08</v>
      </c>
      <c r="D848" t="str">
        <f t="shared" si="40"/>
        <v>Diabetes</v>
      </c>
      <c r="E848">
        <v>7.58</v>
      </c>
      <c r="F848" t="s">
        <v>2382</v>
      </c>
      <c r="G848" t="s">
        <v>2380</v>
      </c>
      <c r="H848" t="s">
        <v>2380</v>
      </c>
      <c r="J848">
        <v>2</v>
      </c>
      <c r="K848" t="str">
        <f t="shared" si="41"/>
        <v>No</v>
      </c>
      <c r="L848" t="s">
        <v>2380</v>
      </c>
    </row>
    <row r="849" spans="1:12" x14ac:dyDescent="0.35">
      <c r="A849" t="s">
        <v>1523</v>
      </c>
      <c r="B849" t="str">
        <f t="shared" si="39"/>
        <v>Obesity</v>
      </c>
      <c r="C849">
        <v>31.35</v>
      </c>
      <c r="D849" t="str">
        <f t="shared" si="40"/>
        <v>Diabetes</v>
      </c>
      <c r="E849">
        <v>11</v>
      </c>
      <c r="F849" t="s">
        <v>2382</v>
      </c>
      <c r="G849" t="s">
        <v>2380</v>
      </c>
      <c r="H849" t="s">
        <v>2383</v>
      </c>
      <c r="J849">
        <v>1</v>
      </c>
      <c r="K849" t="str">
        <f t="shared" si="41"/>
        <v>No</v>
      </c>
      <c r="L849" t="s">
        <v>2380</v>
      </c>
    </row>
    <row r="850" spans="1:12" x14ac:dyDescent="0.35">
      <c r="A850" t="s">
        <v>1522</v>
      </c>
      <c r="B850" t="str">
        <f t="shared" si="39"/>
        <v>Overweight</v>
      </c>
      <c r="C850">
        <v>26.79</v>
      </c>
      <c r="D850" t="str">
        <f t="shared" si="40"/>
        <v>Normal</v>
      </c>
      <c r="E850">
        <v>5.0599999999999996</v>
      </c>
      <c r="F850" t="s">
        <v>2380</v>
      </c>
      <c r="G850" t="s">
        <v>2380</v>
      </c>
      <c r="H850" t="s">
        <v>2380</v>
      </c>
      <c r="J850">
        <v>1</v>
      </c>
      <c r="K850" t="str">
        <f t="shared" si="41"/>
        <v>No</v>
      </c>
      <c r="L850" t="s">
        <v>2380</v>
      </c>
    </row>
    <row r="851" spans="1:12" x14ac:dyDescent="0.35">
      <c r="A851" t="s">
        <v>1521</v>
      </c>
      <c r="B851" t="str">
        <f t="shared" si="39"/>
        <v>Obesity</v>
      </c>
      <c r="C851">
        <v>42.78</v>
      </c>
      <c r="D851" t="str">
        <f t="shared" si="40"/>
        <v>Prediabetes</v>
      </c>
      <c r="E851">
        <v>6.11</v>
      </c>
      <c r="F851" t="s">
        <v>2382</v>
      </c>
      <c r="G851" t="s">
        <v>2380</v>
      </c>
      <c r="H851" t="s">
        <v>2380</v>
      </c>
      <c r="J851">
        <v>1</v>
      </c>
      <c r="K851" t="str">
        <f t="shared" si="41"/>
        <v>No</v>
      </c>
      <c r="L851" t="s">
        <v>2380</v>
      </c>
    </row>
    <row r="852" spans="1:12" x14ac:dyDescent="0.35">
      <c r="A852" t="s">
        <v>1520</v>
      </c>
      <c r="B852" t="str">
        <f t="shared" si="39"/>
        <v>Obesity</v>
      </c>
      <c r="C852">
        <v>46.75</v>
      </c>
      <c r="D852" t="str">
        <f t="shared" si="40"/>
        <v>Diabetes</v>
      </c>
      <c r="E852">
        <v>6.66</v>
      </c>
      <c r="F852" t="s">
        <v>2382</v>
      </c>
      <c r="G852" t="s">
        <v>2380</v>
      </c>
      <c r="H852" t="s">
        <v>2380</v>
      </c>
      <c r="J852">
        <v>2</v>
      </c>
      <c r="K852" t="str">
        <f t="shared" si="41"/>
        <v>No</v>
      </c>
      <c r="L852" t="s">
        <v>2380</v>
      </c>
    </row>
    <row r="853" spans="1:12" x14ac:dyDescent="0.35">
      <c r="A853" t="s">
        <v>1519</v>
      </c>
      <c r="B853" t="str">
        <f t="shared" si="39"/>
        <v>Obesity</v>
      </c>
      <c r="C853">
        <v>32.15</v>
      </c>
      <c r="D853" t="str">
        <f t="shared" si="40"/>
        <v>Normal</v>
      </c>
      <c r="E853">
        <v>4.0199999999999996</v>
      </c>
      <c r="F853" t="s">
        <v>2382</v>
      </c>
      <c r="G853" t="s">
        <v>2380</v>
      </c>
      <c r="H853" t="s">
        <v>2383</v>
      </c>
      <c r="J853">
        <v>1</v>
      </c>
      <c r="K853" t="str">
        <f t="shared" si="41"/>
        <v>No</v>
      </c>
      <c r="L853" t="s">
        <v>2380</v>
      </c>
    </row>
    <row r="854" spans="1:12" x14ac:dyDescent="0.35">
      <c r="A854" t="s">
        <v>1518</v>
      </c>
      <c r="B854" t="str">
        <f t="shared" si="39"/>
        <v>Obesity</v>
      </c>
      <c r="C854">
        <v>43.4</v>
      </c>
      <c r="D854" t="str">
        <f t="shared" si="40"/>
        <v>Diabetes</v>
      </c>
      <c r="E854">
        <v>8.81</v>
      </c>
      <c r="F854" t="s">
        <v>2382</v>
      </c>
      <c r="G854" t="s">
        <v>2380</v>
      </c>
      <c r="H854" t="s">
        <v>2380</v>
      </c>
      <c r="J854">
        <v>2</v>
      </c>
      <c r="K854" t="str">
        <f t="shared" si="41"/>
        <v>No</v>
      </c>
      <c r="L854" t="s">
        <v>2380</v>
      </c>
    </row>
    <row r="855" spans="1:12" x14ac:dyDescent="0.35">
      <c r="A855" t="s">
        <v>1517</v>
      </c>
      <c r="B855" t="str">
        <f t="shared" si="39"/>
        <v>Obesity</v>
      </c>
      <c r="C855">
        <v>31.57</v>
      </c>
      <c r="D855" t="str">
        <f t="shared" si="40"/>
        <v>Diabetes</v>
      </c>
      <c r="E855">
        <v>7.92</v>
      </c>
      <c r="F855" t="s">
        <v>2382</v>
      </c>
      <c r="G855" t="s">
        <v>2380</v>
      </c>
      <c r="H855" t="s">
        <v>2380</v>
      </c>
      <c r="J855">
        <v>2</v>
      </c>
      <c r="K855" t="str">
        <f t="shared" si="41"/>
        <v>No</v>
      </c>
      <c r="L855" t="s">
        <v>2380</v>
      </c>
    </row>
    <row r="856" spans="1:12" x14ac:dyDescent="0.35">
      <c r="A856" t="s">
        <v>1516</v>
      </c>
      <c r="B856" t="str">
        <f t="shared" si="39"/>
        <v>Normal Weight</v>
      </c>
      <c r="C856">
        <v>24.32</v>
      </c>
      <c r="D856" t="str">
        <f t="shared" si="40"/>
        <v>Diabetes</v>
      </c>
      <c r="E856">
        <v>7.48</v>
      </c>
      <c r="F856" t="s">
        <v>2380</v>
      </c>
      <c r="G856" t="s">
        <v>2380</v>
      </c>
      <c r="H856" t="s">
        <v>2380</v>
      </c>
      <c r="J856" t="s">
        <v>2381</v>
      </c>
      <c r="K856" t="str">
        <f t="shared" si="41"/>
        <v>No</v>
      </c>
      <c r="L856" t="s">
        <v>2380</v>
      </c>
    </row>
    <row r="857" spans="1:12" x14ac:dyDescent="0.35">
      <c r="A857" t="s">
        <v>1515</v>
      </c>
      <c r="B857" t="str">
        <f t="shared" si="39"/>
        <v>Obesity</v>
      </c>
      <c r="C857">
        <v>31.07</v>
      </c>
      <c r="D857" t="str">
        <f t="shared" si="40"/>
        <v>Normal</v>
      </c>
      <c r="E857">
        <v>4.62</v>
      </c>
      <c r="F857" t="s">
        <v>2382</v>
      </c>
      <c r="G857" t="s">
        <v>2380</v>
      </c>
      <c r="H857" t="s">
        <v>2380</v>
      </c>
      <c r="J857">
        <v>2</v>
      </c>
      <c r="K857" t="str">
        <f t="shared" si="41"/>
        <v>No</v>
      </c>
      <c r="L857" t="s">
        <v>2380</v>
      </c>
    </row>
    <row r="858" spans="1:12" x14ac:dyDescent="0.35">
      <c r="A858" t="s">
        <v>1514</v>
      </c>
      <c r="B858" t="str">
        <f t="shared" si="39"/>
        <v>Obesity</v>
      </c>
      <c r="C858">
        <v>35.814999999999998</v>
      </c>
      <c r="D858" t="str">
        <f t="shared" si="40"/>
        <v>Diabetes</v>
      </c>
      <c r="E858">
        <v>8.4700000000000006</v>
      </c>
      <c r="F858" t="s">
        <v>2380</v>
      </c>
      <c r="G858" t="s">
        <v>2380</v>
      </c>
      <c r="H858" t="s">
        <v>2380</v>
      </c>
      <c r="J858" t="s">
        <v>2381</v>
      </c>
      <c r="K858" t="str">
        <f t="shared" si="41"/>
        <v>No</v>
      </c>
      <c r="L858" t="s">
        <v>2380</v>
      </c>
    </row>
    <row r="859" spans="1:12" x14ac:dyDescent="0.35">
      <c r="A859" t="s">
        <v>1513</v>
      </c>
      <c r="B859" t="str">
        <f t="shared" si="39"/>
        <v>Obesity</v>
      </c>
      <c r="C859">
        <v>40.81</v>
      </c>
      <c r="D859" t="str">
        <f t="shared" si="40"/>
        <v>Diabetes</v>
      </c>
      <c r="E859">
        <v>10.58</v>
      </c>
      <c r="F859" t="s">
        <v>2382</v>
      </c>
      <c r="G859" t="s">
        <v>2380</v>
      </c>
      <c r="H859" t="s">
        <v>2380</v>
      </c>
      <c r="J859" t="s">
        <v>2381</v>
      </c>
      <c r="K859" t="str">
        <f t="shared" si="41"/>
        <v>No</v>
      </c>
      <c r="L859" t="s">
        <v>2380</v>
      </c>
    </row>
    <row r="860" spans="1:12" x14ac:dyDescent="0.35">
      <c r="A860" t="s">
        <v>1512</v>
      </c>
      <c r="B860" t="str">
        <f t="shared" si="39"/>
        <v>Normal Weight</v>
      </c>
      <c r="C860">
        <v>24.605</v>
      </c>
      <c r="D860" t="str">
        <f t="shared" si="40"/>
        <v>Diabetes</v>
      </c>
      <c r="E860">
        <v>7.48</v>
      </c>
      <c r="F860" t="s">
        <v>2380</v>
      </c>
      <c r="G860" t="s">
        <v>2380</v>
      </c>
      <c r="H860" t="s">
        <v>2380</v>
      </c>
      <c r="J860" t="s">
        <v>2381</v>
      </c>
      <c r="K860" t="str">
        <f t="shared" si="41"/>
        <v>No</v>
      </c>
      <c r="L860" t="s">
        <v>2380</v>
      </c>
    </row>
    <row r="861" spans="1:12" x14ac:dyDescent="0.35">
      <c r="A861" t="s">
        <v>1511</v>
      </c>
      <c r="B861" t="str">
        <f t="shared" si="39"/>
        <v>Normal Weight</v>
      </c>
      <c r="C861">
        <v>21.47</v>
      </c>
      <c r="D861" t="str">
        <f t="shared" si="40"/>
        <v>Diabetes</v>
      </c>
      <c r="E861">
        <v>7.82</v>
      </c>
      <c r="F861" t="s">
        <v>2380</v>
      </c>
      <c r="G861" t="s">
        <v>2380</v>
      </c>
      <c r="H861" t="s">
        <v>2380</v>
      </c>
      <c r="J861" t="s">
        <v>2381</v>
      </c>
      <c r="K861" t="str">
        <f t="shared" si="41"/>
        <v>No</v>
      </c>
      <c r="L861" t="s">
        <v>2380</v>
      </c>
    </row>
    <row r="862" spans="1:12" x14ac:dyDescent="0.35">
      <c r="A862" t="s">
        <v>1510</v>
      </c>
      <c r="B862" t="str">
        <f t="shared" si="39"/>
        <v>Obesity</v>
      </c>
      <c r="C862">
        <v>52.89</v>
      </c>
      <c r="D862" t="str">
        <f t="shared" si="40"/>
        <v>Normal</v>
      </c>
      <c r="E862">
        <v>4.96</v>
      </c>
      <c r="F862" t="s">
        <v>2382</v>
      </c>
      <c r="G862" t="s">
        <v>2380</v>
      </c>
      <c r="H862" t="s">
        <v>2380</v>
      </c>
      <c r="J862">
        <v>1</v>
      </c>
      <c r="K862" t="str">
        <f t="shared" si="41"/>
        <v>No</v>
      </c>
      <c r="L862" t="s">
        <v>2380</v>
      </c>
    </row>
    <row r="863" spans="1:12" x14ac:dyDescent="0.35">
      <c r="A863" t="s">
        <v>1509</v>
      </c>
      <c r="B863" t="str">
        <f t="shared" si="39"/>
        <v>Obesity</v>
      </c>
      <c r="C863">
        <v>32.965000000000003</v>
      </c>
      <c r="D863" t="str">
        <f t="shared" si="40"/>
        <v>Prediabetes</v>
      </c>
      <c r="E863">
        <v>6.15</v>
      </c>
      <c r="F863" t="s">
        <v>2382</v>
      </c>
      <c r="G863" t="s">
        <v>2380</v>
      </c>
      <c r="H863" t="s">
        <v>2380</v>
      </c>
      <c r="J863">
        <v>1</v>
      </c>
      <c r="K863" t="str">
        <f t="shared" si="41"/>
        <v>No</v>
      </c>
      <c r="L863" t="s">
        <v>2380</v>
      </c>
    </row>
    <row r="864" spans="1:12" x14ac:dyDescent="0.35">
      <c r="A864" t="s">
        <v>1508</v>
      </c>
      <c r="B864" t="str">
        <f t="shared" si="39"/>
        <v>Obesity</v>
      </c>
      <c r="C864">
        <v>36.799999999999997</v>
      </c>
      <c r="D864" t="str">
        <f t="shared" si="40"/>
        <v>Normal</v>
      </c>
      <c r="E864">
        <v>4.62</v>
      </c>
      <c r="F864" t="s">
        <v>2380</v>
      </c>
      <c r="G864" t="s">
        <v>2380</v>
      </c>
      <c r="H864" t="s">
        <v>2383</v>
      </c>
      <c r="J864">
        <v>1</v>
      </c>
      <c r="K864" t="str">
        <f t="shared" si="41"/>
        <v>No</v>
      </c>
      <c r="L864" t="s">
        <v>2380</v>
      </c>
    </row>
    <row r="865" spans="1:12" x14ac:dyDescent="0.35">
      <c r="A865" t="s">
        <v>1507</v>
      </c>
      <c r="B865" t="str">
        <f t="shared" si="39"/>
        <v>Obesity</v>
      </c>
      <c r="C865">
        <v>34.299999999999997</v>
      </c>
      <c r="D865" t="str">
        <f t="shared" si="40"/>
        <v>Normal</v>
      </c>
      <c r="E865">
        <v>4.87</v>
      </c>
      <c r="F865" t="s">
        <v>2380</v>
      </c>
      <c r="G865" t="s">
        <v>2380</v>
      </c>
      <c r="H865" t="s">
        <v>2380</v>
      </c>
      <c r="J865">
        <v>2</v>
      </c>
      <c r="K865" t="str">
        <f t="shared" si="41"/>
        <v>No</v>
      </c>
      <c r="L865" t="s">
        <v>2380</v>
      </c>
    </row>
    <row r="866" spans="1:12" x14ac:dyDescent="0.35">
      <c r="A866" t="s">
        <v>1506</v>
      </c>
      <c r="B866" t="str">
        <f t="shared" si="39"/>
        <v>Obesity</v>
      </c>
      <c r="C866">
        <v>35.244999999999997</v>
      </c>
      <c r="D866" t="str">
        <f t="shared" si="40"/>
        <v>Normal</v>
      </c>
      <c r="E866">
        <v>4.63</v>
      </c>
      <c r="F866" t="s">
        <v>2380</v>
      </c>
      <c r="G866" t="s">
        <v>2380</v>
      </c>
      <c r="H866" t="s">
        <v>2380</v>
      </c>
      <c r="J866" t="s">
        <v>2381</v>
      </c>
      <c r="K866" t="str">
        <f t="shared" si="41"/>
        <v>No</v>
      </c>
      <c r="L866" t="s">
        <v>2380</v>
      </c>
    </row>
    <row r="867" spans="1:12" x14ac:dyDescent="0.35">
      <c r="A867" t="s">
        <v>1505</v>
      </c>
      <c r="B867" t="str">
        <f t="shared" si="39"/>
        <v>Overweight</v>
      </c>
      <c r="C867">
        <v>26.23</v>
      </c>
      <c r="D867" t="str">
        <f t="shared" si="40"/>
        <v>Diabetes</v>
      </c>
      <c r="E867">
        <v>11.93</v>
      </c>
      <c r="F867" t="s">
        <v>2380</v>
      </c>
      <c r="G867" t="s">
        <v>2380</v>
      </c>
      <c r="H867" t="s">
        <v>2380</v>
      </c>
      <c r="J867" t="s">
        <v>2381</v>
      </c>
      <c r="K867" t="str">
        <f t="shared" si="41"/>
        <v>No</v>
      </c>
      <c r="L867" t="s">
        <v>2380</v>
      </c>
    </row>
    <row r="868" spans="1:12" x14ac:dyDescent="0.35">
      <c r="A868" t="s">
        <v>1504</v>
      </c>
      <c r="B868" t="str">
        <f t="shared" si="39"/>
        <v>Obesity</v>
      </c>
      <c r="C868">
        <v>36.1</v>
      </c>
      <c r="D868" t="str">
        <f t="shared" si="40"/>
        <v>Normal</v>
      </c>
      <c r="E868">
        <v>5.65</v>
      </c>
      <c r="F868" t="s">
        <v>2382</v>
      </c>
      <c r="G868" t="s">
        <v>2380</v>
      </c>
      <c r="H868" t="s">
        <v>2380</v>
      </c>
      <c r="J868">
        <v>2</v>
      </c>
      <c r="K868" t="str">
        <f t="shared" si="41"/>
        <v>No</v>
      </c>
      <c r="L868" t="s">
        <v>2380</v>
      </c>
    </row>
    <row r="869" spans="1:12" x14ac:dyDescent="0.35">
      <c r="A869" t="s">
        <v>1503</v>
      </c>
      <c r="B869" t="str">
        <f t="shared" si="39"/>
        <v>Obesity</v>
      </c>
      <c r="C869">
        <v>37.1</v>
      </c>
      <c r="D869" t="str">
        <f t="shared" si="40"/>
        <v>Diabetes</v>
      </c>
      <c r="E869">
        <v>11.21</v>
      </c>
      <c r="F869" t="s">
        <v>2382</v>
      </c>
      <c r="G869" t="s">
        <v>2380</v>
      </c>
      <c r="H869" t="s">
        <v>2383</v>
      </c>
      <c r="J869">
        <v>1</v>
      </c>
      <c r="K869" t="str">
        <f t="shared" si="41"/>
        <v>No</v>
      </c>
      <c r="L869" t="s">
        <v>2380</v>
      </c>
    </row>
    <row r="870" spans="1:12" x14ac:dyDescent="0.35">
      <c r="A870" t="s">
        <v>1502</v>
      </c>
      <c r="B870" t="str">
        <f t="shared" si="39"/>
        <v>Overweight</v>
      </c>
      <c r="C870">
        <v>27.5</v>
      </c>
      <c r="D870" t="str">
        <f t="shared" si="40"/>
        <v>Diabetes</v>
      </c>
      <c r="E870">
        <v>10.62</v>
      </c>
      <c r="F870" t="s">
        <v>2382</v>
      </c>
      <c r="G870" t="s">
        <v>2380</v>
      </c>
      <c r="H870" t="s">
        <v>2383</v>
      </c>
      <c r="J870">
        <v>1</v>
      </c>
      <c r="K870" t="str">
        <f t="shared" si="41"/>
        <v>No</v>
      </c>
      <c r="L870" t="s">
        <v>2380</v>
      </c>
    </row>
    <row r="871" spans="1:12" x14ac:dyDescent="0.35">
      <c r="A871" t="s">
        <v>1501</v>
      </c>
      <c r="B871" t="str">
        <f t="shared" si="39"/>
        <v>Normal Weight</v>
      </c>
      <c r="C871">
        <v>24.7</v>
      </c>
      <c r="D871" t="str">
        <f t="shared" si="40"/>
        <v>Diabetes</v>
      </c>
      <c r="E871">
        <v>10.7</v>
      </c>
      <c r="F871" t="s">
        <v>2382</v>
      </c>
      <c r="G871" t="s">
        <v>2380</v>
      </c>
      <c r="H871" t="s">
        <v>2383</v>
      </c>
      <c r="J871">
        <v>1</v>
      </c>
      <c r="K871" t="str">
        <f t="shared" si="41"/>
        <v>No</v>
      </c>
      <c r="L871" t="s">
        <v>2380</v>
      </c>
    </row>
    <row r="872" spans="1:12" x14ac:dyDescent="0.35">
      <c r="A872" t="s">
        <v>1500</v>
      </c>
      <c r="B872" t="str">
        <f t="shared" si="39"/>
        <v>Overweight</v>
      </c>
      <c r="C872">
        <v>26.78</v>
      </c>
      <c r="D872" t="str">
        <f t="shared" si="40"/>
        <v>Diabetes</v>
      </c>
      <c r="E872">
        <v>10.02</v>
      </c>
      <c r="F872" t="s">
        <v>2382</v>
      </c>
      <c r="G872" t="s">
        <v>2380</v>
      </c>
      <c r="H872" t="s">
        <v>2383</v>
      </c>
      <c r="J872">
        <v>1</v>
      </c>
      <c r="K872" t="str">
        <f t="shared" si="41"/>
        <v>No</v>
      </c>
      <c r="L872" t="s">
        <v>2380</v>
      </c>
    </row>
    <row r="873" spans="1:12" x14ac:dyDescent="0.35">
      <c r="A873" t="s">
        <v>1499</v>
      </c>
      <c r="B873" t="str">
        <f t="shared" si="39"/>
        <v>Obesity</v>
      </c>
      <c r="C873">
        <v>45.8</v>
      </c>
      <c r="D873" t="str">
        <f t="shared" si="40"/>
        <v>Normal</v>
      </c>
      <c r="E873">
        <v>4.8499999999999996</v>
      </c>
      <c r="F873" t="s">
        <v>2380</v>
      </c>
      <c r="G873" t="s">
        <v>2380</v>
      </c>
      <c r="H873" t="s">
        <v>2380</v>
      </c>
      <c r="J873" t="s">
        <v>2381</v>
      </c>
      <c r="K873" t="str">
        <f t="shared" si="41"/>
        <v>No</v>
      </c>
      <c r="L873" t="s">
        <v>2380</v>
      </c>
    </row>
    <row r="874" spans="1:12" x14ac:dyDescent="0.35">
      <c r="A874" t="s">
        <v>1498</v>
      </c>
      <c r="B874" t="str">
        <f t="shared" si="39"/>
        <v>Overweight</v>
      </c>
      <c r="C874">
        <v>29</v>
      </c>
      <c r="D874" t="str">
        <f t="shared" si="40"/>
        <v>Normal</v>
      </c>
      <c r="E874">
        <v>4.3899999999999997</v>
      </c>
      <c r="F874" t="s">
        <v>2382</v>
      </c>
      <c r="G874" t="s">
        <v>2380</v>
      </c>
      <c r="H874" t="s">
        <v>2380</v>
      </c>
      <c r="J874">
        <v>2</v>
      </c>
      <c r="K874" t="str">
        <f t="shared" si="41"/>
        <v>No</v>
      </c>
      <c r="L874" t="s">
        <v>2380</v>
      </c>
    </row>
    <row r="875" spans="1:12" x14ac:dyDescent="0.35">
      <c r="A875" t="s">
        <v>1497</v>
      </c>
      <c r="B875" t="str">
        <f t="shared" si="39"/>
        <v>Obesity</v>
      </c>
      <c r="C875">
        <v>33.534999999999997</v>
      </c>
      <c r="D875" t="str">
        <f t="shared" si="40"/>
        <v>Diabetes</v>
      </c>
      <c r="E875">
        <v>8.24</v>
      </c>
      <c r="F875" t="s">
        <v>2382</v>
      </c>
      <c r="G875" t="s">
        <v>2380</v>
      </c>
      <c r="H875" t="s">
        <v>2380</v>
      </c>
      <c r="J875" t="s">
        <v>2381</v>
      </c>
      <c r="K875" t="str">
        <f t="shared" si="41"/>
        <v>No</v>
      </c>
      <c r="L875" t="s">
        <v>2380</v>
      </c>
    </row>
    <row r="876" spans="1:12" x14ac:dyDescent="0.35">
      <c r="A876" t="s">
        <v>1496</v>
      </c>
      <c r="B876" t="str">
        <f t="shared" si="39"/>
        <v>Obesity</v>
      </c>
      <c r="C876">
        <v>32.774999999999999</v>
      </c>
      <c r="D876" t="str">
        <f t="shared" si="40"/>
        <v>Diabetes</v>
      </c>
      <c r="E876">
        <v>9.77</v>
      </c>
      <c r="F876" t="s">
        <v>2382</v>
      </c>
      <c r="G876" t="s">
        <v>2380</v>
      </c>
      <c r="H876" t="s">
        <v>2380</v>
      </c>
      <c r="J876" t="s">
        <v>2381</v>
      </c>
      <c r="K876" t="str">
        <f t="shared" si="41"/>
        <v>No</v>
      </c>
      <c r="L876" t="s">
        <v>2380</v>
      </c>
    </row>
    <row r="877" spans="1:12" x14ac:dyDescent="0.35">
      <c r="A877" t="s">
        <v>1495</v>
      </c>
      <c r="B877" t="str">
        <f t="shared" si="39"/>
        <v>Obesity</v>
      </c>
      <c r="C877">
        <v>37.51</v>
      </c>
      <c r="D877" t="str">
        <f t="shared" si="40"/>
        <v>Normal</v>
      </c>
      <c r="E877">
        <v>5.5</v>
      </c>
      <c r="F877" t="s">
        <v>2382</v>
      </c>
      <c r="G877" t="s">
        <v>2380</v>
      </c>
      <c r="H877" t="s">
        <v>2380</v>
      </c>
      <c r="J877">
        <v>2</v>
      </c>
      <c r="K877" t="str">
        <f t="shared" si="41"/>
        <v>No</v>
      </c>
      <c r="L877" t="s">
        <v>2380</v>
      </c>
    </row>
    <row r="878" spans="1:12" x14ac:dyDescent="0.35">
      <c r="A878" t="s">
        <v>1494</v>
      </c>
      <c r="B878" t="str">
        <f t="shared" si="39"/>
        <v>Obesity</v>
      </c>
      <c r="C878">
        <v>39.86</v>
      </c>
      <c r="D878" t="str">
        <f t="shared" si="40"/>
        <v>Diabetes</v>
      </c>
      <c r="E878">
        <v>11.84</v>
      </c>
      <c r="F878" t="s">
        <v>2382</v>
      </c>
      <c r="G878" t="s">
        <v>2380</v>
      </c>
      <c r="H878" t="s">
        <v>2380</v>
      </c>
      <c r="J878">
        <v>1</v>
      </c>
      <c r="K878" t="str">
        <f t="shared" si="41"/>
        <v>No</v>
      </c>
      <c r="L878" t="s">
        <v>2380</v>
      </c>
    </row>
    <row r="879" spans="1:12" x14ac:dyDescent="0.35">
      <c r="A879" t="s">
        <v>1493</v>
      </c>
      <c r="B879" t="str">
        <f t="shared" si="39"/>
        <v>Obesity</v>
      </c>
      <c r="C879">
        <v>42.13</v>
      </c>
      <c r="D879" t="str">
        <f t="shared" si="40"/>
        <v>Normal</v>
      </c>
      <c r="E879">
        <v>4.66</v>
      </c>
      <c r="F879" t="s">
        <v>2380</v>
      </c>
      <c r="G879" t="s">
        <v>2380</v>
      </c>
      <c r="H879" t="s">
        <v>2380</v>
      </c>
      <c r="J879" t="s">
        <v>2381</v>
      </c>
      <c r="K879" t="str">
        <f t="shared" si="41"/>
        <v>No</v>
      </c>
      <c r="L879" t="s">
        <v>2380</v>
      </c>
    </row>
    <row r="880" spans="1:12" x14ac:dyDescent="0.35">
      <c r="A880" t="s">
        <v>1492</v>
      </c>
      <c r="B880" t="str">
        <f t="shared" si="39"/>
        <v>Obesity</v>
      </c>
      <c r="C880">
        <v>35.99</v>
      </c>
      <c r="D880" t="str">
        <f t="shared" si="40"/>
        <v>Diabetes</v>
      </c>
      <c r="E880">
        <v>11.11</v>
      </c>
      <c r="F880" t="s">
        <v>2380</v>
      </c>
      <c r="G880" t="s">
        <v>2380</v>
      </c>
      <c r="H880" t="s">
        <v>2380</v>
      </c>
      <c r="J880" t="s">
        <v>2381</v>
      </c>
      <c r="K880" t="str">
        <f t="shared" si="41"/>
        <v>No</v>
      </c>
      <c r="L880" t="s">
        <v>2380</v>
      </c>
    </row>
    <row r="881" spans="1:12" x14ac:dyDescent="0.35">
      <c r="A881" t="s">
        <v>1491</v>
      </c>
      <c r="B881" t="str">
        <f t="shared" si="39"/>
        <v>Obesity</v>
      </c>
      <c r="C881">
        <v>35.200000000000003</v>
      </c>
      <c r="D881" t="str">
        <f t="shared" si="40"/>
        <v>Diabetes</v>
      </c>
      <c r="E881">
        <v>7.72</v>
      </c>
      <c r="F881" t="s">
        <v>2382</v>
      </c>
      <c r="G881" t="s">
        <v>2380</v>
      </c>
      <c r="H881" t="s">
        <v>2383</v>
      </c>
      <c r="J881">
        <v>1</v>
      </c>
      <c r="K881" t="str">
        <f t="shared" si="41"/>
        <v>No</v>
      </c>
      <c r="L881" t="s">
        <v>2380</v>
      </c>
    </row>
    <row r="882" spans="1:12" x14ac:dyDescent="0.35">
      <c r="A882" t="s">
        <v>1490</v>
      </c>
      <c r="B882" t="e">
        <f t="shared" si="39"/>
        <v>#N/A</v>
      </c>
      <c r="C882">
        <v>29.91</v>
      </c>
      <c r="D882" t="str">
        <f t="shared" si="40"/>
        <v>Normal</v>
      </c>
      <c r="E882">
        <v>5.55</v>
      </c>
      <c r="F882" t="s">
        <v>2382</v>
      </c>
      <c r="G882" t="s">
        <v>2380</v>
      </c>
      <c r="H882" t="s">
        <v>2380</v>
      </c>
      <c r="J882">
        <v>2</v>
      </c>
      <c r="K882" t="str">
        <f t="shared" si="41"/>
        <v>No</v>
      </c>
      <c r="L882" t="s">
        <v>2380</v>
      </c>
    </row>
    <row r="883" spans="1:12" x14ac:dyDescent="0.35">
      <c r="A883" t="s">
        <v>1489</v>
      </c>
      <c r="B883" t="str">
        <f t="shared" si="39"/>
        <v>Obesity</v>
      </c>
      <c r="C883">
        <v>36.479999999999997</v>
      </c>
      <c r="D883" t="str">
        <f t="shared" si="40"/>
        <v>Normal</v>
      </c>
      <c r="E883">
        <v>5.05</v>
      </c>
      <c r="F883" t="s">
        <v>2382</v>
      </c>
      <c r="G883" t="s">
        <v>2380</v>
      </c>
      <c r="H883" t="s">
        <v>2380</v>
      </c>
      <c r="J883">
        <v>1</v>
      </c>
      <c r="K883" t="str">
        <f t="shared" si="41"/>
        <v>No</v>
      </c>
      <c r="L883" t="s">
        <v>2380</v>
      </c>
    </row>
    <row r="884" spans="1:12" x14ac:dyDescent="0.35">
      <c r="A884" t="s">
        <v>1488</v>
      </c>
      <c r="B884" t="str">
        <f t="shared" si="39"/>
        <v>Overweight</v>
      </c>
      <c r="C884">
        <v>27.5</v>
      </c>
      <c r="D884" t="str">
        <f t="shared" si="40"/>
        <v>Diabetes</v>
      </c>
      <c r="E884">
        <v>8.69</v>
      </c>
      <c r="F884" t="s">
        <v>2382</v>
      </c>
      <c r="G884" t="s">
        <v>2380</v>
      </c>
      <c r="H884" t="s">
        <v>2383</v>
      </c>
      <c r="J884">
        <v>1</v>
      </c>
      <c r="K884" t="str">
        <f t="shared" si="41"/>
        <v>No</v>
      </c>
      <c r="L884" t="s">
        <v>2380</v>
      </c>
    </row>
    <row r="885" spans="1:12" x14ac:dyDescent="0.35">
      <c r="A885" t="s">
        <v>1487</v>
      </c>
      <c r="B885" t="str">
        <f t="shared" si="39"/>
        <v>Obesity</v>
      </c>
      <c r="C885">
        <v>33.44</v>
      </c>
      <c r="D885" t="str">
        <f t="shared" si="40"/>
        <v>Prediabetes</v>
      </c>
      <c r="E885">
        <v>5.9</v>
      </c>
      <c r="F885" t="s">
        <v>2382</v>
      </c>
      <c r="G885" t="s">
        <v>2380</v>
      </c>
      <c r="H885" t="s">
        <v>2380</v>
      </c>
      <c r="J885">
        <v>1</v>
      </c>
      <c r="K885" t="str">
        <f t="shared" si="41"/>
        <v>No</v>
      </c>
      <c r="L885" t="s">
        <v>2380</v>
      </c>
    </row>
    <row r="886" spans="1:12" x14ac:dyDescent="0.35">
      <c r="A886" t="s">
        <v>1486</v>
      </c>
      <c r="B886" t="str">
        <f t="shared" si="39"/>
        <v>Overweight</v>
      </c>
      <c r="C886">
        <v>28.215</v>
      </c>
      <c r="D886" t="str">
        <f t="shared" si="40"/>
        <v>Prediabetes</v>
      </c>
      <c r="E886">
        <v>6.29</v>
      </c>
      <c r="F886" t="s">
        <v>2382</v>
      </c>
      <c r="G886" t="s">
        <v>2380</v>
      </c>
      <c r="H886" t="s">
        <v>2380</v>
      </c>
      <c r="J886">
        <v>1</v>
      </c>
      <c r="K886" t="str">
        <f t="shared" si="41"/>
        <v>No</v>
      </c>
      <c r="L886" t="s">
        <v>2380</v>
      </c>
    </row>
    <row r="887" spans="1:12" x14ac:dyDescent="0.35">
      <c r="A887" t="s">
        <v>1485</v>
      </c>
      <c r="B887" t="str">
        <f t="shared" si="39"/>
        <v>Overweight</v>
      </c>
      <c r="C887">
        <v>27.17</v>
      </c>
      <c r="D887" t="str">
        <f t="shared" si="40"/>
        <v>Prediabetes</v>
      </c>
      <c r="E887">
        <v>5.84</v>
      </c>
      <c r="F887" t="s">
        <v>2382</v>
      </c>
      <c r="G887" t="s">
        <v>2380</v>
      </c>
      <c r="H887" t="s">
        <v>2380</v>
      </c>
      <c r="J887">
        <v>1</v>
      </c>
      <c r="K887" t="str">
        <f t="shared" si="41"/>
        <v>No</v>
      </c>
      <c r="L887" t="s">
        <v>2380</v>
      </c>
    </row>
    <row r="888" spans="1:12" x14ac:dyDescent="0.35">
      <c r="A888" t="s">
        <v>1484</v>
      </c>
      <c r="B888" t="str">
        <f t="shared" si="39"/>
        <v>Obesity</v>
      </c>
      <c r="C888">
        <v>35.380000000000003</v>
      </c>
      <c r="D888" t="str">
        <f t="shared" si="40"/>
        <v>Prediabetes</v>
      </c>
      <c r="E888">
        <v>6.12</v>
      </c>
      <c r="F888" t="s">
        <v>2380</v>
      </c>
      <c r="G888" t="s">
        <v>2380</v>
      </c>
      <c r="H888" t="s">
        <v>2380</v>
      </c>
      <c r="J888" t="s">
        <v>2381</v>
      </c>
      <c r="K888" t="str">
        <f t="shared" si="41"/>
        <v>No</v>
      </c>
      <c r="L888" t="s">
        <v>2380</v>
      </c>
    </row>
    <row r="889" spans="1:12" x14ac:dyDescent="0.35">
      <c r="A889" t="s">
        <v>1483</v>
      </c>
      <c r="B889" t="str">
        <f t="shared" si="39"/>
        <v>Obesity</v>
      </c>
      <c r="C889">
        <v>43.48</v>
      </c>
      <c r="D889" t="str">
        <f t="shared" si="40"/>
        <v>Prediabetes</v>
      </c>
      <c r="E889">
        <v>6.24</v>
      </c>
      <c r="F889" t="s">
        <v>2380</v>
      </c>
      <c r="G889" t="s">
        <v>2380</v>
      </c>
      <c r="H889" t="s">
        <v>2380</v>
      </c>
      <c r="J889" t="s">
        <v>2381</v>
      </c>
      <c r="K889" t="str">
        <f t="shared" si="41"/>
        <v>No</v>
      </c>
      <c r="L889" t="s">
        <v>2380</v>
      </c>
    </row>
    <row r="890" spans="1:12" x14ac:dyDescent="0.35">
      <c r="A890" t="s">
        <v>1482</v>
      </c>
      <c r="B890" t="str">
        <f t="shared" si="39"/>
        <v>Obesity</v>
      </c>
      <c r="C890">
        <v>41.73</v>
      </c>
      <c r="D890" t="str">
        <f t="shared" si="40"/>
        <v>Prediabetes</v>
      </c>
      <c r="E890">
        <v>6.25</v>
      </c>
      <c r="F890" t="s">
        <v>2380</v>
      </c>
      <c r="G890" t="s">
        <v>2380</v>
      </c>
      <c r="H890" t="s">
        <v>2380</v>
      </c>
      <c r="J890">
        <v>1</v>
      </c>
      <c r="K890" t="str">
        <f t="shared" si="41"/>
        <v>No</v>
      </c>
      <c r="L890" t="s">
        <v>2380</v>
      </c>
    </row>
    <row r="891" spans="1:12" x14ac:dyDescent="0.35">
      <c r="A891" t="s">
        <v>1481</v>
      </c>
      <c r="B891" t="str">
        <f t="shared" si="39"/>
        <v>Overweight</v>
      </c>
      <c r="C891">
        <v>28.9</v>
      </c>
      <c r="D891" t="str">
        <f t="shared" si="40"/>
        <v>Diabetes</v>
      </c>
      <c r="E891">
        <v>11.96</v>
      </c>
      <c r="F891" t="s">
        <v>2380</v>
      </c>
      <c r="G891" t="s">
        <v>2380</v>
      </c>
      <c r="H891" t="s">
        <v>2380</v>
      </c>
      <c r="J891" t="s">
        <v>2381</v>
      </c>
      <c r="K891" t="str">
        <f t="shared" si="41"/>
        <v>No</v>
      </c>
      <c r="L891" t="s">
        <v>2380</v>
      </c>
    </row>
    <row r="892" spans="1:12" x14ac:dyDescent="0.35">
      <c r="A892" t="s">
        <v>1480</v>
      </c>
      <c r="B892" t="str">
        <f t="shared" si="39"/>
        <v>Overweight</v>
      </c>
      <c r="C892">
        <v>25.74</v>
      </c>
      <c r="D892" t="str">
        <f t="shared" si="40"/>
        <v>Diabetes</v>
      </c>
      <c r="E892">
        <v>7.69</v>
      </c>
      <c r="F892" t="s">
        <v>2380</v>
      </c>
      <c r="G892" t="s">
        <v>2380</v>
      </c>
      <c r="H892" t="s">
        <v>2380</v>
      </c>
      <c r="J892" t="s">
        <v>2381</v>
      </c>
      <c r="K892" t="str">
        <f t="shared" si="41"/>
        <v>No</v>
      </c>
      <c r="L892" t="s">
        <v>2380</v>
      </c>
    </row>
    <row r="893" spans="1:12" x14ac:dyDescent="0.35">
      <c r="A893" t="s">
        <v>1479</v>
      </c>
      <c r="B893" t="str">
        <f t="shared" si="39"/>
        <v>Obesity</v>
      </c>
      <c r="C893">
        <v>36.06</v>
      </c>
      <c r="D893" t="str">
        <f t="shared" si="40"/>
        <v>Diabetes</v>
      </c>
      <c r="E893">
        <v>8.83</v>
      </c>
      <c r="F893" t="s">
        <v>2380</v>
      </c>
      <c r="G893" t="s">
        <v>2380</v>
      </c>
      <c r="H893" t="s">
        <v>2380</v>
      </c>
      <c r="J893" t="s">
        <v>2381</v>
      </c>
      <c r="K893" t="str">
        <f t="shared" si="41"/>
        <v>No</v>
      </c>
      <c r="L893" t="s">
        <v>2380</v>
      </c>
    </row>
    <row r="894" spans="1:12" x14ac:dyDescent="0.35">
      <c r="A894" t="s">
        <v>1478</v>
      </c>
      <c r="B894" t="str">
        <f t="shared" si="39"/>
        <v>Obesity</v>
      </c>
      <c r="C894">
        <v>43.28</v>
      </c>
      <c r="D894" t="str">
        <f t="shared" si="40"/>
        <v>Normal</v>
      </c>
      <c r="E894">
        <v>4.41</v>
      </c>
      <c r="F894" t="s">
        <v>2380</v>
      </c>
      <c r="G894" t="s">
        <v>2380</v>
      </c>
      <c r="H894" t="s">
        <v>2380</v>
      </c>
      <c r="J894" t="s">
        <v>2381</v>
      </c>
      <c r="K894" t="str">
        <f t="shared" si="41"/>
        <v>No</v>
      </c>
      <c r="L894" t="s">
        <v>2380</v>
      </c>
    </row>
    <row r="895" spans="1:12" x14ac:dyDescent="0.35">
      <c r="A895" t="s">
        <v>1477</v>
      </c>
      <c r="B895" t="str">
        <f t="shared" si="39"/>
        <v>Overweight</v>
      </c>
      <c r="C895">
        <v>28.785</v>
      </c>
      <c r="D895" t="str">
        <f t="shared" si="40"/>
        <v>Diabetes</v>
      </c>
      <c r="E895">
        <v>9.1</v>
      </c>
      <c r="F895" t="s">
        <v>2382</v>
      </c>
      <c r="G895" t="s">
        <v>2380</v>
      </c>
      <c r="H895" t="s">
        <v>2383</v>
      </c>
      <c r="J895">
        <v>1</v>
      </c>
      <c r="K895" t="str">
        <f t="shared" si="41"/>
        <v>No</v>
      </c>
      <c r="L895" t="s">
        <v>2380</v>
      </c>
    </row>
    <row r="896" spans="1:12" x14ac:dyDescent="0.35">
      <c r="A896" t="s">
        <v>1476</v>
      </c>
      <c r="B896" t="str">
        <f t="shared" si="39"/>
        <v>Overweight</v>
      </c>
      <c r="C896">
        <v>25.46</v>
      </c>
      <c r="D896" t="str">
        <f t="shared" si="40"/>
        <v>Diabetes</v>
      </c>
      <c r="E896">
        <v>11.52</v>
      </c>
      <c r="F896" t="s">
        <v>2382</v>
      </c>
      <c r="G896" t="s">
        <v>2380</v>
      </c>
      <c r="H896" t="s">
        <v>2383</v>
      </c>
      <c r="J896">
        <v>1</v>
      </c>
      <c r="K896" t="str">
        <f t="shared" si="41"/>
        <v>No</v>
      </c>
      <c r="L896" t="s">
        <v>2380</v>
      </c>
    </row>
    <row r="897" spans="1:12" x14ac:dyDescent="0.35">
      <c r="A897" t="s">
        <v>1475</v>
      </c>
      <c r="B897" t="str">
        <f t="shared" si="39"/>
        <v>Obesity</v>
      </c>
      <c r="C897">
        <v>30.8</v>
      </c>
      <c r="D897" t="str">
        <f t="shared" si="40"/>
        <v>Diabetes</v>
      </c>
      <c r="E897">
        <v>10.95</v>
      </c>
      <c r="F897" t="s">
        <v>2380</v>
      </c>
      <c r="G897" t="s">
        <v>2380</v>
      </c>
      <c r="H897" t="s">
        <v>2380</v>
      </c>
      <c r="J897" t="s">
        <v>2381</v>
      </c>
      <c r="K897" t="str">
        <f t="shared" si="41"/>
        <v>No</v>
      </c>
      <c r="L897" t="s">
        <v>2380</v>
      </c>
    </row>
    <row r="898" spans="1:12" x14ac:dyDescent="0.35">
      <c r="A898" t="s">
        <v>1474</v>
      </c>
      <c r="B898" t="str">
        <f t="shared" si="39"/>
        <v>Overweight</v>
      </c>
      <c r="C898">
        <v>28.88</v>
      </c>
      <c r="D898" t="str">
        <f t="shared" si="40"/>
        <v>Diabetes</v>
      </c>
      <c r="E898">
        <v>11.5</v>
      </c>
      <c r="F898" t="s">
        <v>2380</v>
      </c>
      <c r="G898" t="s">
        <v>2380</v>
      </c>
      <c r="H898" t="s">
        <v>2380</v>
      </c>
      <c r="J898" t="s">
        <v>2381</v>
      </c>
      <c r="K898" t="str">
        <f t="shared" si="41"/>
        <v>No</v>
      </c>
      <c r="L898" t="s">
        <v>2380</v>
      </c>
    </row>
    <row r="899" spans="1:12" x14ac:dyDescent="0.35">
      <c r="A899" t="s">
        <v>1473</v>
      </c>
      <c r="B899" t="str">
        <f t="shared" ref="B899:B962" si="42">_xlfn.IFS(C899&lt;18.5, "Underweight", C899&lt;=24.9, "Normal Weight", C899&lt;=29.9, "Overweight", C899&gt;=30, "Obesity")</f>
        <v>Normal Weight</v>
      </c>
      <c r="C899">
        <v>23</v>
      </c>
      <c r="D899" t="str">
        <f t="shared" ref="D899:D962" si="43">_xlfn.IFS(E899&lt;5.7, "Normal", E899&lt;=6.4, "Prediabetes", E899&gt;=6.5, "Diabetes")</f>
        <v>Diabetes</v>
      </c>
      <c r="E899">
        <v>9.8800000000000008</v>
      </c>
      <c r="F899" t="s">
        <v>2380</v>
      </c>
      <c r="G899" t="s">
        <v>2380</v>
      </c>
      <c r="H899" t="s">
        <v>2380</v>
      </c>
      <c r="J899" t="s">
        <v>2381</v>
      </c>
      <c r="K899" t="str">
        <f t="shared" si="41"/>
        <v>No</v>
      </c>
      <c r="L899" t="s">
        <v>2380</v>
      </c>
    </row>
    <row r="900" spans="1:12" x14ac:dyDescent="0.35">
      <c r="A900" t="s">
        <v>1472</v>
      </c>
      <c r="B900" t="str">
        <f t="shared" si="42"/>
        <v>Obesity</v>
      </c>
      <c r="C900">
        <v>38.25</v>
      </c>
      <c r="D900" t="str">
        <f t="shared" si="43"/>
        <v>Prediabetes</v>
      </c>
      <c r="E900">
        <v>6.2</v>
      </c>
      <c r="F900" t="s">
        <v>2380</v>
      </c>
      <c r="G900" t="s">
        <v>2380</v>
      </c>
      <c r="H900" t="s">
        <v>2380</v>
      </c>
      <c r="J900">
        <v>1</v>
      </c>
      <c r="K900" t="str">
        <f t="shared" ref="K900:K963" si="44">IF(OR(L900="?", ISBLANK(L900)), "No", L900)</f>
        <v>No</v>
      </c>
      <c r="L900" t="s">
        <v>2380</v>
      </c>
    </row>
    <row r="901" spans="1:12" x14ac:dyDescent="0.35">
      <c r="A901" t="s">
        <v>1471</v>
      </c>
      <c r="B901" t="str">
        <f t="shared" si="42"/>
        <v>Obesity</v>
      </c>
      <c r="C901">
        <v>39.25</v>
      </c>
      <c r="D901" t="str">
        <f t="shared" si="43"/>
        <v>Diabetes</v>
      </c>
      <c r="E901">
        <v>8.41</v>
      </c>
      <c r="F901" t="s">
        <v>2382</v>
      </c>
      <c r="G901" t="s">
        <v>2380</v>
      </c>
      <c r="H901" t="s">
        <v>2380</v>
      </c>
      <c r="J901">
        <v>1</v>
      </c>
      <c r="K901" t="str">
        <f t="shared" si="44"/>
        <v>No</v>
      </c>
      <c r="L901" t="s">
        <v>2380</v>
      </c>
    </row>
    <row r="902" spans="1:12" x14ac:dyDescent="0.35">
      <c r="A902" t="s">
        <v>1470</v>
      </c>
      <c r="B902" t="str">
        <f t="shared" si="42"/>
        <v>Overweight</v>
      </c>
      <c r="C902">
        <v>26.6</v>
      </c>
      <c r="D902" t="str">
        <f t="shared" si="43"/>
        <v>Normal</v>
      </c>
      <c r="E902">
        <v>5.07</v>
      </c>
      <c r="F902" t="s">
        <v>2382</v>
      </c>
      <c r="G902" t="s">
        <v>2380</v>
      </c>
      <c r="H902" t="s">
        <v>2380</v>
      </c>
      <c r="J902">
        <v>2</v>
      </c>
      <c r="K902" t="str">
        <f t="shared" si="44"/>
        <v>No</v>
      </c>
      <c r="L902" t="s">
        <v>2380</v>
      </c>
    </row>
    <row r="903" spans="1:12" x14ac:dyDescent="0.35">
      <c r="A903" t="s">
        <v>1469</v>
      </c>
      <c r="B903" t="str">
        <f t="shared" si="42"/>
        <v>Obesity</v>
      </c>
      <c r="C903">
        <v>35.700000000000003</v>
      </c>
      <c r="D903" t="str">
        <f t="shared" si="43"/>
        <v>Normal</v>
      </c>
      <c r="E903">
        <v>4.0599999999999996</v>
      </c>
      <c r="F903" t="s">
        <v>2380</v>
      </c>
      <c r="G903" t="s">
        <v>2380</v>
      </c>
      <c r="H903" t="s">
        <v>2383</v>
      </c>
      <c r="J903">
        <v>1</v>
      </c>
      <c r="K903" t="str">
        <f t="shared" si="44"/>
        <v>No</v>
      </c>
      <c r="L903" t="s">
        <v>2380</v>
      </c>
    </row>
    <row r="904" spans="1:12" x14ac:dyDescent="0.35">
      <c r="A904" t="s">
        <v>1468</v>
      </c>
      <c r="B904" t="str">
        <f t="shared" si="42"/>
        <v>Normal Weight</v>
      </c>
      <c r="C904">
        <v>20.100000000000001</v>
      </c>
      <c r="D904" t="str">
        <f t="shared" si="43"/>
        <v>Diabetes</v>
      </c>
      <c r="E904">
        <v>10.52</v>
      </c>
      <c r="F904" t="s">
        <v>2380</v>
      </c>
      <c r="G904" t="s">
        <v>2380</v>
      </c>
      <c r="H904" t="s">
        <v>2380</v>
      </c>
      <c r="J904" t="s">
        <v>2381</v>
      </c>
      <c r="K904" t="str">
        <f t="shared" si="44"/>
        <v>No</v>
      </c>
      <c r="L904" t="s">
        <v>2380</v>
      </c>
    </row>
    <row r="905" spans="1:12" x14ac:dyDescent="0.35">
      <c r="A905" t="s">
        <v>1467</v>
      </c>
      <c r="B905" t="str">
        <f t="shared" si="42"/>
        <v>Normal Weight</v>
      </c>
      <c r="C905">
        <v>22.23</v>
      </c>
      <c r="D905" t="str">
        <f t="shared" si="43"/>
        <v>Diabetes</v>
      </c>
      <c r="E905">
        <v>9.65</v>
      </c>
      <c r="F905" t="s">
        <v>2380</v>
      </c>
      <c r="G905" t="s">
        <v>2380</v>
      </c>
      <c r="H905" t="s">
        <v>2380</v>
      </c>
      <c r="J905" t="s">
        <v>2381</v>
      </c>
      <c r="K905" t="str">
        <f t="shared" si="44"/>
        <v>No</v>
      </c>
      <c r="L905" t="s">
        <v>2380</v>
      </c>
    </row>
    <row r="906" spans="1:12" x14ac:dyDescent="0.35">
      <c r="A906" t="s">
        <v>1466</v>
      </c>
      <c r="B906" t="str">
        <f t="shared" si="42"/>
        <v>Obesity</v>
      </c>
      <c r="C906">
        <v>36.47</v>
      </c>
      <c r="D906" t="str">
        <f t="shared" si="43"/>
        <v>Prediabetes</v>
      </c>
      <c r="E906">
        <v>6.21</v>
      </c>
      <c r="F906" t="s">
        <v>2380</v>
      </c>
      <c r="G906" t="s">
        <v>2380</v>
      </c>
      <c r="H906" t="s">
        <v>2380</v>
      </c>
      <c r="J906" t="s">
        <v>2381</v>
      </c>
      <c r="K906" t="str">
        <f t="shared" si="44"/>
        <v>No</v>
      </c>
      <c r="L906" t="s">
        <v>2380</v>
      </c>
    </row>
    <row r="907" spans="1:12" x14ac:dyDescent="0.35">
      <c r="A907" t="s">
        <v>1465</v>
      </c>
      <c r="B907" t="str">
        <f t="shared" si="42"/>
        <v>Obesity</v>
      </c>
      <c r="C907">
        <v>49.64</v>
      </c>
      <c r="D907" t="str">
        <f t="shared" si="43"/>
        <v>Normal</v>
      </c>
      <c r="E907">
        <v>4.76</v>
      </c>
      <c r="F907" t="s">
        <v>2380</v>
      </c>
      <c r="G907" t="s">
        <v>2380</v>
      </c>
      <c r="H907" t="s">
        <v>2383</v>
      </c>
      <c r="J907">
        <v>1</v>
      </c>
      <c r="K907" t="str">
        <f t="shared" si="44"/>
        <v>No</v>
      </c>
      <c r="L907" t="s">
        <v>2380</v>
      </c>
    </row>
    <row r="908" spans="1:12" x14ac:dyDescent="0.35">
      <c r="A908" t="s">
        <v>1464</v>
      </c>
      <c r="B908" t="str">
        <f t="shared" si="42"/>
        <v>Obesity</v>
      </c>
      <c r="C908">
        <v>36.799999999999997</v>
      </c>
      <c r="D908" t="str">
        <f t="shared" si="43"/>
        <v>Prediabetes</v>
      </c>
      <c r="E908">
        <v>5.73</v>
      </c>
      <c r="F908" t="s">
        <v>2382</v>
      </c>
      <c r="G908" t="s">
        <v>2380</v>
      </c>
      <c r="H908" t="s">
        <v>2383</v>
      </c>
      <c r="J908">
        <v>1</v>
      </c>
      <c r="K908" t="str">
        <f t="shared" si="44"/>
        <v>No</v>
      </c>
      <c r="L908" t="s">
        <v>2380</v>
      </c>
    </row>
    <row r="909" spans="1:12" x14ac:dyDescent="0.35">
      <c r="A909" t="s">
        <v>1463</v>
      </c>
      <c r="B909" t="str">
        <f t="shared" si="42"/>
        <v>Obesity</v>
      </c>
      <c r="C909">
        <v>33.880000000000003</v>
      </c>
      <c r="D909" t="str">
        <f t="shared" si="43"/>
        <v>Diabetes</v>
      </c>
      <c r="E909">
        <v>10.78</v>
      </c>
      <c r="F909" t="s">
        <v>2382</v>
      </c>
      <c r="G909" t="s">
        <v>2380</v>
      </c>
      <c r="H909" t="s">
        <v>2380</v>
      </c>
      <c r="J909" t="s">
        <v>2381</v>
      </c>
      <c r="K909" t="str">
        <f t="shared" si="44"/>
        <v>No</v>
      </c>
      <c r="L909" t="s">
        <v>2380</v>
      </c>
    </row>
    <row r="910" spans="1:12" x14ac:dyDescent="0.35">
      <c r="A910" t="s">
        <v>1462</v>
      </c>
      <c r="B910" t="str">
        <f t="shared" si="42"/>
        <v>Obesity</v>
      </c>
      <c r="C910">
        <v>32.01</v>
      </c>
      <c r="D910" t="str">
        <f t="shared" si="43"/>
        <v>Normal</v>
      </c>
      <c r="E910">
        <v>5.08</v>
      </c>
      <c r="F910" t="s">
        <v>2382</v>
      </c>
      <c r="G910" t="s">
        <v>2380</v>
      </c>
      <c r="H910" t="s">
        <v>2380</v>
      </c>
      <c r="J910">
        <v>1</v>
      </c>
      <c r="K910" t="str">
        <f t="shared" si="44"/>
        <v>No</v>
      </c>
      <c r="L910" t="s">
        <v>2380</v>
      </c>
    </row>
    <row r="911" spans="1:12" x14ac:dyDescent="0.35">
      <c r="A911" t="s">
        <v>1461</v>
      </c>
      <c r="B911" t="str">
        <f t="shared" si="42"/>
        <v>Obesity</v>
      </c>
      <c r="C911">
        <v>33.630000000000003</v>
      </c>
      <c r="D911" t="str">
        <f t="shared" si="43"/>
        <v>Diabetes</v>
      </c>
      <c r="E911">
        <v>11.39</v>
      </c>
      <c r="F911" t="s">
        <v>2380</v>
      </c>
      <c r="G911" t="s">
        <v>2380</v>
      </c>
      <c r="H911" t="s">
        <v>2380</v>
      </c>
      <c r="J911" t="s">
        <v>2381</v>
      </c>
      <c r="K911" t="str">
        <f t="shared" si="44"/>
        <v>No</v>
      </c>
      <c r="L911" t="s">
        <v>2380</v>
      </c>
    </row>
    <row r="912" spans="1:12" x14ac:dyDescent="0.35">
      <c r="A912" t="s">
        <v>1460</v>
      </c>
      <c r="B912" t="str">
        <f t="shared" si="42"/>
        <v>Obesity</v>
      </c>
      <c r="C912">
        <v>34.865000000000002</v>
      </c>
      <c r="D912" t="str">
        <f t="shared" si="43"/>
        <v>Normal</v>
      </c>
      <c r="E912">
        <v>5.35</v>
      </c>
      <c r="F912" t="s">
        <v>2382</v>
      </c>
      <c r="G912" t="s">
        <v>2380</v>
      </c>
      <c r="H912" t="s">
        <v>2380</v>
      </c>
      <c r="J912">
        <v>1</v>
      </c>
      <c r="K912" t="str">
        <f t="shared" si="44"/>
        <v>No</v>
      </c>
      <c r="L912" t="s">
        <v>2380</v>
      </c>
    </row>
    <row r="913" spans="1:12" x14ac:dyDescent="0.35">
      <c r="A913" t="s">
        <v>1459</v>
      </c>
      <c r="B913" t="str">
        <f t="shared" si="42"/>
        <v>Obesity</v>
      </c>
      <c r="C913">
        <v>43.11</v>
      </c>
      <c r="D913" t="str">
        <f t="shared" si="43"/>
        <v>Normal</v>
      </c>
      <c r="E913">
        <v>5.6</v>
      </c>
      <c r="F913" t="s">
        <v>2380</v>
      </c>
      <c r="G913" t="s">
        <v>2380</v>
      </c>
      <c r="H913" t="s">
        <v>2380</v>
      </c>
      <c r="J913" t="s">
        <v>2381</v>
      </c>
      <c r="K913" t="str">
        <f t="shared" si="44"/>
        <v>No</v>
      </c>
      <c r="L913" t="s">
        <v>2380</v>
      </c>
    </row>
    <row r="914" spans="1:12" x14ac:dyDescent="0.35">
      <c r="A914" t="s">
        <v>1458</v>
      </c>
      <c r="B914" t="str">
        <f t="shared" si="42"/>
        <v>Obesity</v>
      </c>
      <c r="C914">
        <v>30.305</v>
      </c>
      <c r="D914" t="str">
        <f t="shared" si="43"/>
        <v>Normal</v>
      </c>
      <c r="E914">
        <v>4.2699999999999996</v>
      </c>
      <c r="F914" t="s">
        <v>2382</v>
      </c>
      <c r="G914" t="s">
        <v>2380</v>
      </c>
      <c r="H914" t="s">
        <v>2380</v>
      </c>
      <c r="J914">
        <v>1</v>
      </c>
      <c r="K914" t="str">
        <f t="shared" si="44"/>
        <v>No</v>
      </c>
      <c r="L914" t="s">
        <v>2380</v>
      </c>
    </row>
    <row r="915" spans="1:12" x14ac:dyDescent="0.35">
      <c r="A915" t="s">
        <v>1457</v>
      </c>
      <c r="B915" t="str">
        <f t="shared" si="42"/>
        <v>Overweight</v>
      </c>
      <c r="C915">
        <v>25.175000000000001</v>
      </c>
      <c r="D915" t="str">
        <f t="shared" si="43"/>
        <v>Normal</v>
      </c>
      <c r="E915">
        <v>5.57</v>
      </c>
      <c r="F915" t="s">
        <v>2382</v>
      </c>
      <c r="G915" t="s">
        <v>2380</v>
      </c>
      <c r="H915" t="s">
        <v>2380</v>
      </c>
      <c r="J915">
        <v>1</v>
      </c>
      <c r="K915" t="str">
        <f t="shared" si="44"/>
        <v>No</v>
      </c>
      <c r="L915" t="s">
        <v>2380</v>
      </c>
    </row>
    <row r="916" spans="1:12" x14ac:dyDescent="0.35">
      <c r="A916" t="s">
        <v>1456</v>
      </c>
      <c r="B916" t="str">
        <f t="shared" si="42"/>
        <v>Overweight</v>
      </c>
      <c r="C916">
        <v>26.8</v>
      </c>
      <c r="D916" t="str">
        <f t="shared" si="43"/>
        <v>Normal</v>
      </c>
      <c r="E916">
        <v>5.68</v>
      </c>
      <c r="F916" t="s">
        <v>2382</v>
      </c>
      <c r="G916" t="s">
        <v>2380</v>
      </c>
      <c r="H916" t="s">
        <v>2380</v>
      </c>
      <c r="J916">
        <v>1</v>
      </c>
      <c r="K916" t="str">
        <f t="shared" si="44"/>
        <v>No</v>
      </c>
      <c r="L916" t="s">
        <v>2380</v>
      </c>
    </row>
    <row r="917" spans="1:12" x14ac:dyDescent="0.35">
      <c r="A917" t="s">
        <v>1455</v>
      </c>
      <c r="B917" t="str">
        <f t="shared" si="42"/>
        <v>Normal Weight</v>
      </c>
      <c r="C917">
        <v>21.78</v>
      </c>
      <c r="D917" t="str">
        <f t="shared" si="43"/>
        <v>Normal</v>
      </c>
      <c r="E917">
        <v>5.3</v>
      </c>
      <c r="F917" t="s">
        <v>2380</v>
      </c>
      <c r="G917" t="s">
        <v>2382</v>
      </c>
      <c r="H917" t="s">
        <v>2380</v>
      </c>
      <c r="J917">
        <v>1</v>
      </c>
      <c r="K917" t="str">
        <f t="shared" si="44"/>
        <v>No</v>
      </c>
      <c r="L917" t="s">
        <v>2380</v>
      </c>
    </row>
    <row r="918" spans="1:12" x14ac:dyDescent="0.35">
      <c r="A918" t="s">
        <v>1454</v>
      </c>
      <c r="B918" t="str">
        <f t="shared" si="42"/>
        <v>Obesity</v>
      </c>
      <c r="C918">
        <v>30.14</v>
      </c>
      <c r="D918" t="str">
        <f t="shared" si="43"/>
        <v>Diabetes</v>
      </c>
      <c r="E918">
        <v>9.4499999999999993</v>
      </c>
      <c r="F918" t="s">
        <v>2382</v>
      </c>
      <c r="G918" t="s">
        <v>2380</v>
      </c>
      <c r="H918" t="s">
        <v>2380</v>
      </c>
      <c r="J918" t="s">
        <v>2381</v>
      </c>
      <c r="K918" t="str">
        <f t="shared" si="44"/>
        <v>No</v>
      </c>
      <c r="L918" t="s">
        <v>2380</v>
      </c>
    </row>
    <row r="919" spans="1:12" x14ac:dyDescent="0.35">
      <c r="A919" t="s">
        <v>1453</v>
      </c>
      <c r="B919" t="str">
        <f t="shared" si="42"/>
        <v>Overweight</v>
      </c>
      <c r="C919">
        <v>29.7</v>
      </c>
      <c r="D919" t="str">
        <f t="shared" si="43"/>
        <v>Diabetes</v>
      </c>
      <c r="E919">
        <v>6.79</v>
      </c>
      <c r="F919" t="s">
        <v>2382</v>
      </c>
      <c r="G919" t="s">
        <v>2380</v>
      </c>
      <c r="H919" t="s">
        <v>2380</v>
      </c>
      <c r="J919" t="s">
        <v>2381</v>
      </c>
      <c r="K919" t="str">
        <f t="shared" si="44"/>
        <v>No</v>
      </c>
      <c r="L919" t="s">
        <v>2380</v>
      </c>
    </row>
    <row r="920" spans="1:12" x14ac:dyDescent="0.35">
      <c r="A920" t="s">
        <v>1452</v>
      </c>
      <c r="B920" t="str">
        <f t="shared" si="42"/>
        <v>Obesity</v>
      </c>
      <c r="C920">
        <v>32.395000000000003</v>
      </c>
      <c r="D920" t="str">
        <f t="shared" si="43"/>
        <v>Diabetes</v>
      </c>
      <c r="E920">
        <v>11.1</v>
      </c>
      <c r="F920" t="s">
        <v>2382</v>
      </c>
      <c r="G920" t="s">
        <v>2380</v>
      </c>
      <c r="H920" t="s">
        <v>2380</v>
      </c>
      <c r="J920" t="s">
        <v>2381</v>
      </c>
      <c r="K920" t="str">
        <f t="shared" si="44"/>
        <v>No</v>
      </c>
      <c r="L920" t="s">
        <v>2380</v>
      </c>
    </row>
    <row r="921" spans="1:12" x14ac:dyDescent="0.35">
      <c r="A921" t="s">
        <v>1451</v>
      </c>
      <c r="B921" t="str">
        <f t="shared" si="42"/>
        <v>Obesity</v>
      </c>
      <c r="C921">
        <v>36.64</v>
      </c>
      <c r="D921" t="str">
        <f t="shared" si="43"/>
        <v>Diabetes</v>
      </c>
      <c r="E921">
        <v>7.26</v>
      </c>
      <c r="F921" t="s">
        <v>2380</v>
      </c>
      <c r="G921" t="s">
        <v>2380</v>
      </c>
      <c r="H921" t="s">
        <v>2380</v>
      </c>
      <c r="J921" t="s">
        <v>2381</v>
      </c>
      <c r="K921" t="str">
        <f t="shared" si="44"/>
        <v>No</v>
      </c>
      <c r="L921" t="s">
        <v>2380</v>
      </c>
    </row>
    <row r="922" spans="1:12" x14ac:dyDescent="0.35">
      <c r="A922" t="s">
        <v>1450</v>
      </c>
      <c r="B922" t="str">
        <f t="shared" si="42"/>
        <v>Obesity</v>
      </c>
      <c r="C922">
        <v>39.049999999999997</v>
      </c>
      <c r="D922" t="str">
        <f t="shared" si="43"/>
        <v>Normal</v>
      </c>
      <c r="E922">
        <v>5.27</v>
      </c>
      <c r="F922" t="s">
        <v>2382</v>
      </c>
      <c r="G922" t="s">
        <v>2380</v>
      </c>
      <c r="H922" t="s">
        <v>2380</v>
      </c>
      <c r="J922">
        <v>1</v>
      </c>
      <c r="K922" t="str">
        <f t="shared" si="44"/>
        <v>No</v>
      </c>
      <c r="L922" t="s">
        <v>2380</v>
      </c>
    </row>
    <row r="923" spans="1:12" x14ac:dyDescent="0.35">
      <c r="A923" t="s">
        <v>1449</v>
      </c>
      <c r="B923" t="str">
        <f t="shared" si="42"/>
        <v>Obesity</v>
      </c>
      <c r="C923">
        <v>33.1</v>
      </c>
      <c r="D923" t="str">
        <f t="shared" si="43"/>
        <v>Normal</v>
      </c>
      <c r="E923">
        <v>5.46</v>
      </c>
      <c r="F923" t="s">
        <v>2382</v>
      </c>
      <c r="G923" t="s">
        <v>2380</v>
      </c>
      <c r="H923" t="s">
        <v>2380</v>
      </c>
      <c r="J923">
        <v>1</v>
      </c>
      <c r="K923" t="str">
        <f t="shared" si="44"/>
        <v>No</v>
      </c>
      <c r="L923" t="s">
        <v>2380</v>
      </c>
    </row>
    <row r="924" spans="1:12" x14ac:dyDescent="0.35">
      <c r="A924" t="s">
        <v>1448</v>
      </c>
      <c r="B924" t="str">
        <f t="shared" si="42"/>
        <v>Obesity</v>
      </c>
      <c r="C924">
        <v>31.824999999999999</v>
      </c>
      <c r="D924" t="str">
        <f t="shared" si="43"/>
        <v>Diabetes</v>
      </c>
      <c r="E924">
        <v>8.1300000000000008</v>
      </c>
      <c r="F924" t="s">
        <v>2380</v>
      </c>
      <c r="G924" t="s">
        <v>2380</v>
      </c>
      <c r="H924" t="s">
        <v>2380</v>
      </c>
      <c r="J924" t="s">
        <v>2381</v>
      </c>
      <c r="K924" t="str">
        <f t="shared" si="44"/>
        <v>No</v>
      </c>
      <c r="L924" t="s">
        <v>2380</v>
      </c>
    </row>
    <row r="925" spans="1:12" x14ac:dyDescent="0.35">
      <c r="A925" t="s">
        <v>1447</v>
      </c>
      <c r="B925" t="str">
        <f t="shared" si="42"/>
        <v>Overweight</v>
      </c>
      <c r="C925">
        <v>29</v>
      </c>
      <c r="D925" t="str">
        <f t="shared" si="43"/>
        <v>Normal</v>
      </c>
      <c r="E925">
        <v>4.25</v>
      </c>
      <c r="F925" t="s">
        <v>2382</v>
      </c>
      <c r="G925" t="s">
        <v>2380</v>
      </c>
      <c r="H925" t="s">
        <v>2380</v>
      </c>
      <c r="J925">
        <v>1</v>
      </c>
      <c r="K925" t="str">
        <f t="shared" si="44"/>
        <v>No</v>
      </c>
      <c r="L925" t="s">
        <v>2380</v>
      </c>
    </row>
    <row r="926" spans="1:12" x14ac:dyDescent="0.35">
      <c r="A926" t="s">
        <v>1446</v>
      </c>
      <c r="B926" t="str">
        <f t="shared" si="42"/>
        <v>Obesity</v>
      </c>
      <c r="C926">
        <v>30.495000000000001</v>
      </c>
      <c r="D926" t="str">
        <f t="shared" si="43"/>
        <v>Diabetes</v>
      </c>
      <c r="E926">
        <v>8.68</v>
      </c>
      <c r="F926" t="s">
        <v>2380</v>
      </c>
      <c r="G926" t="s">
        <v>2380</v>
      </c>
      <c r="H926" t="s">
        <v>2380</v>
      </c>
      <c r="J926" t="s">
        <v>2381</v>
      </c>
      <c r="K926" t="str">
        <f t="shared" si="44"/>
        <v>No</v>
      </c>
      <c r="L926" t="s">
        <v>2380</v>
      </c>
    </row>
    <row r="927" spans="1:12" x14ac:dyDescent="0.35">
      <c r="A927" t="s">
        <v>1445</v>
      </c>
      <c r="B927" t="str">
        <f t="shared" si="42"/>
        <v>Overweight</v>
      </c>
      <c r="C927">
        <v>25.2</v>
      </c>
      <c r="D927" t="str">
        <f t="shared" si="43"/>
        <v>Prediabetes</v>
      </c>
      <c r="E927">
        <v>6.25</v>
      </c>
      <c r="F927" t="s">
        <v>2382</v>
      </c>
      <c r="G927" t="s">
        <v>2380</v>
      </c>
      <c r="H927" t="s">
        <v>2380</v>
      </c>
      <c r="J927">
        <v>1</v>
      </c>
      <c r="K927" t="str">
        <f t="shared" si="44"/>
        <v>No</v>
      </c>
      <c r="L927" t="s">
        <v>2380</v>
      </c>
    </row>
    <row r="928" spans="1:12" x14ac:dyDescent="0.35">
      <c r="A928" t="s">
        <v>1444</v>
      </c>
      <c r="B928" t="str">
        <f t="shared" si="42"/>
        <v>Normal Weight</v>
      </c>
      <c r="C928">
        <v>22.77</v>
      </c>
      <c r="D928" t="str">
        <f t="shared" si="43"/>
        <v>Normal</v>
      </c>
      <c r="E928">
        <v>4.47</v>
      </c>
      <c r="F928" t="s">
        <v>2382</v>
      </c>
      <c r="G928" t="s">
        <v>2380</v>
      </c>
      <c r="H928" t="s">
        <v>2380</v>
      </c>
      <c r="J928">
        <v>1</v>
      </c>
      <c r="K928" t="str">
        <f t="shared" si="44"/>
        <v>No</v>
      </c>
      <c r="L928" t="s">
        <v>2380</v>
      </c>
    </row>
    <row r="929" spans="1:12" x14ac:dyDescent="0.35">
      <c r="A929" t="s">
        <v>1443</v>
      </c>
      <c r="B929" t="str">
        <f t="shared" si="42"/>
        <v>Normal Weight</v>
      </c>
      <c r="C929">
        <v>23.18</v>
      </c>
      <c r="D929" t="str">
        <f t="shared" si="43"/>
        <v>Diabetes</v>
      </c>
      <c r="E929">
        <v>8.31</v>
      </c>
      <c r="F929" t="s">
        <v>2380</v>
      </c>
      <c r="G929" t="s">
        <v>2380</v>
      </c>
      <c r="H929" t="s">
        <v>2380</v>
      </c>
      <c r="J929" t="s">
        <v>2381</v>
      </c>
      <c r="K929" t="str">
        <f t="shared" si="44"/>
        <v>No</v>
      </c>
      <c r="L929" t="s">
        <v>2380</v>
      </c>
    </row>
    <row r="930" spans="1:12" x14ac:dyDescent="0.35">
      <c r="A930" t="s">
        <v>1442</v>
      </c>
      <c r="B930" t="str">
        <f t="shared" si="42"/>
        <v>Obesity</v>
      </c>
      <c r="C930">
        <v>35.409999999999997</v>
      </c>
      <c r="D930" t="str">
        <f t="shared" si="43"/>
        <v>Normal</v>
      </c>
      <c r="E930">
        <v>5.68</v>
      </c>
      <c r="F930" t="s">
        <v>2380</v>
      </c>
      <c r="G930" t="s">
        <v>2380</v>
      </c>
      <c r="H930" t="s">
        <v>2380</v>
      </c>
      <c r="J930" t="s">
        <v>2381</v>
      </c>
      <c r="K930" t="str">
        <f t="shared" si="44"/>
        <v>No</v>
      </c>
      <c r="L930" t="s">
        <v>2380</v>
      </c>
    </row>
    <row r="931" spans="1:12" x14ac:dyDescent="0.35">
      <c r="A931" t="s">
        <v>1441</v>
      </c>
      <c r="B931" t="str">
        <f t="shared" si="42"/>
        <v>Obesity</v>
      </c>
      <c r="C931">
        <v>32.11</v>
      </c>
      <c r="D931" t="str">
        <f t="shared" si="43"/>
        <v>Normal</v>
      </c>
      <c r="E931">
        <v>4.75</v>
      </c>
      <c r="F931" t="s">
        <v>2382</v>
      </c>
      <c r="G931" t="s">
        <v>2380</v>
      </c>
      <c r="H931" t="s">
        <v>2380</v>
      </c>
      <c r="J931">
        <v>2</v>
      </c>
      <c r="K931" t="str">
        <f t="shared" si="44"/>
        <v>No</v>
      </c>
      <c r="L931" t="s">
        <v>2380</v>
      </c>
    </row>
    <row r="932" spans="1:12" x14ac:dyDescent="0.35">
      <c r="A932" t="s">
        <v>1440</v>
      </c>
      <c r="B932" t="str">
        <f t="shared" si="42"/>
        <v>Obesity</v>
      </c>
      <c r="C932">
        <v>34.479999999999997</v>
      </c>
      <c r="D932" t="str">
        <f t="shared" si="43"/>
        <v>Prediabetes</v>
      </c>
      <c r="E932">
        <v>6.31</v>
      </c>
      <c r="F932" t="s">
        <v>2380</v>
      </c>
      <c r="G932" t="s">
        <v>2380</v>
      </c>
      <c r="H932" t="s">
        <v>2383</v>
      </c>
      <c r="J932">
        <v>1</v>
      </c>
      <c r="K932" t="str">
        <f t="shared" si="44"/>
        <v>No</v>
      </c>
      <c r="L932" t="s">
        <v>2380</v>
      </c>
    </row>
    <row r="933" spans="1:12" x14ac:dyDescent="0.35">
      <c r="A933" t="s">
        <v>1439</v>
      </c>
      <c r="B933" t="str">
        <f t="shared" si="42"/>
        <v>Obesity</v>
      </c>
      <c r="C933">
        <v>34.39</v>
      </c>
      <c r="D933" t="str">
        <f t="shared" si="43"/>
        <v>Prediabetes</v>
      </c>
      <c r="E933">
        <v>6.28</v>
      </c>
      <c r="F933" t="s">
        <v>2382</v>
      </c>
      <c r="G933" t="s">
        <v>2380</v>
      </c>
      <c r="H933" t="s">
        <v>2380</v>
      </c>
      <c r="J933">
        <v>1</v>
      </c>
      <c r="K933" t="str">
        <f t="shared" si="44"/>
        <v>No</v>
      </c>
      <c r="L933" t="s">
        <v>2380</v>
      </c>
    </row>
    <row r="934" spans="1:12" x14ac:dyDescent="0.35">
      <c r="A934" t="s">
        <v>1438</v>
      </c>
      <c r="B934" t="str">
        <f t="shared" si="42"/>
        <v>Overweight</v>
      </c>
      <c r="C934">
        <v>26.4</v>
      </c>
      <c r="D934" t="str">
        <f t="shared" si="43"/>
        <v>Diabetes</v>
      </c>
      <c r="E934">
        <v>9.2899999999999991</v>
      </c>
      <c r="F934" t="s">
        <v>2382</v>
      </c>
      <c r="G934" t="s">
        <v>2380</v>
      </c>
      <c r="H934" t="s">
        <v>2383</v>
      </c>
      <c r="J934">
        <v>1</v>
      </c>
      <c r="K934" t="str">
        <f t="shared" si="44"/>
        <v>No</v>
      </c>
      <c r="L934" t="s">
        <v>2380</v>
      </c>
    </row>
    <row r="935" spans="1:12" x14ac:dyDescent="0.35">
      <c r="A935" t="s">
        <v>1437</v>
      </c>
      <c r="B935" t="str">
        <f t="shared" si="42"/>
        <v>Overweight</v>
      </c>
      <c r="C935">
        <v>28.1</v>
      </c>
      <c r="D935" t="str">
        <f t="shared" si="43"/>
        <v>Prediabetes</v>
      </c>
      <c r="E935">
        <v>5.79</v>
      </c>
      <c r="F935" t="s">
        <v>2382</v>
      </c>
      <c r="G935" t="s">
        <v>2380</v>
      </c>
      <c r="H935" t="s">
        <v>2383</v>
      </c>
      <c r="J935">
        <v>1</v>
      </c>
      <c r="K935" t="str">
        <f t="shared" si="44"/>
        <v>No</v>
      </c>
      <c r="L935" t="s">
        <v>2380</v>
      </c>
    </row>
    <row r="936" spans="1:12" x14ac:dyDescent="0.35">
      <c r="A936" t="s">
        <v>1436</v>
      </c>
      <c r="B936" t="str">
        <f t="shared" si="42"/>
        <v>Overweight</v>
      </c>
      <c r="C936">
        <v>27</v>
      </c>
      <c r="D936" t="str">
        <f t="shared" si="43"/>
        <v>Normal</v>
      </c>
      <c r="E936">
        <v>4.54</v>
      </c>
      <c r="F936" t="s">
        <v>2382</v>
      </c>
      <c r="G936" t="s">
        <v>2380</v>
      </c>
      <c r="H936" t="s">
        <v>2380</v>
      </c>
      <c r="J936">
        <v>1</v>
      </c>
      <c r="K936" t="str">
        <f t="shared" si="44"/>
        <v>No</v>
      </c>
      <c r="L936" t="s">
        <v>2380</v>
      </c>
    </row>
    <row r="937" spans="1:12" x14ac:dyDescent="0.35">
      <c r="A937" t="s">
        <v>1435</v>
      </c>
      <c r="B937" t="str">
        <f t="shared" si="42"/>
        <v>Overweight</v>
      </c>
      <c r="C937">
        <v>28.594999999999999</v>
      </c>
      <c r="D937" t="str">
        <f t="shared" si="43"/>
        <v>Normal</v>
      </c>
      <c r="E937">
        <v>4.68</v>
      </c>
      <c r="F937" t="s">
        <v>2382</v>
      </c>
      <c r="G937" t="s">
        <v>2380</v>
      </c>
      <c r="H937" t="s">
        <v>2380</v>
      </c>
      <c r="J937">
        <v>1</v>
      </c>
      <c r="K937" t="str">
        <f t="shared" si="44"/>
        <v>No</v>
      </c>
      <c r="L937" t="s">
        <v>2380</v>
      </c>
    </row>
    <row r="938" spans="1:12" x14ac:dyDescent="0.35">
      <c r="A938" t="s">
        <v>1434</v>
      </c>
      <c r="B938" t="str">
        <f t="shared" si="42"/>
        <v>Obesity</v>
      </c>
      <c r="C938">
        <v>36.799999999999997</v>
      </c>
      <c r="D938" t="str">
        <f t="shared" si="43"/>
        <v>Prediabetes</v>
      </c>
      <c r="E938">
        <v>5.88</v>
      </c>
      <c r="F938" t="s">
        <v>2380</v>
      </c>
      <c r="G938" t="s">
        <v>2380</v>
      </c>
      <c r="H938" t="s">
        <v>2380</v>
      </c>
      <c r="J938">
        <v>1</v>
      </c>
      <c r="K938" t="str">
        <f t="shared" si="44"/>
        <v>No</v>
      </c>
      <c r="L938" t="s">
        <v>2380</v>
      </c>
    </row>
    <row r="939" spans="1:12" x14ac:dyDescent="0.35">
      <c r="A939" t="s">
        <v>1433</v>
      </c>
      <c r="B939" t="str">
        <f t="shared" si="42"/>
        <v>Normal Weight</v>
      </c>
      <c r="C939">
        <v>23.75</v>
      </c>
      <c r="D939" t="str">
        <f t="shared" si="43"/>
        <v>Normal</v>
      </c>
      <c r="E939">
        <v>5.42</v>
      </c>
      <c r="F939" t="s">
        <v>2382</v>
      </c>
      <c r="G939" t="s">
        <v>2380</v>
      </c>
      <c r="H939" t="s">
        <v>2383</v>
      </c>
      <c r="J939">
        <v>1</v>
      </c>
      <c r="K939" t="str">
        <f t="shared" si="44"/>
        <v>No</v>
      </c>
      <c r="L939" t="s">
        <v>2380</v>
      </c>
    </row>
    <row r="940" spans="1:12" x14ac:dyDescent="0.35">
      <c r="A940" t="s">
        <v>1432</v>
      </c>
      <c r="B940" t="str">
        <f t="shared" si="42"/>
        <v>Obesity</v>
      </c>
      <c r="C940">
        <v>35.619999999999997</v>
      </c>
      <c r="D940" t="str">
        <f t="shared" si="43"/>
        <v>Normal</v>
      </c>
      <c r="E940">
        <v>4.16</v>
      </c>
      <c r="F940" t="s">
        <v>2380</v>
      </c>
      <c r="G940" t="s">
        <v>2380</v>
      </c>
      <c r="H940" t="s">
        <v>2380</v>
      </c>
      <c r="J940" t="s">
        <v>2381</v>
      </c>
      <c r="K940" t="str">
        <f t="shared" si="44"/>
        <v>No</v>
      </c>
      <c r="L940" t="s">
        <v>2380</v>
      </c>
    </row>
    <row r="941" spans="1:12" x14ac:dyDescent="0.35">
      <c r="A941" t="s">
        <v>1431</v>
      </c>
      <c r="B941" t="str">
        <f t="shared" si="42"/>
        <v>Obesity</v>
      </c>
      <c r="C941">
        <v>30.69</v>
      </c>
      <c r="D941" t="str">
        <f t="shared" si="43"/>
        <v>Diabetes</v>
      </c>
      <c r="E941">
        <v>7.05</v>
      </c>
      <c r="F941" t="s">
        <v>2382</v>
      </c>
      <c r="G941" t="s">
        <v>2380</v>
      </c>
      <c r="H941" t="s">
        <v>2380</v>
      </c>
      <c r="J941">
        <v>2</v>
      </c>
      <c r="K941" t="str">
        <f t="shared" si="44"/>
        <v>No</v>
      </c>
      <c r="L941" t="s">
        <v>2380</v>
      </c>
    </row>
    <row r="942" spans="1:12" x14ac:dyDescent="0.35">
      <c r="A942" t="s">
        <v>1430</v>
      </c>
      <c r="B942" t="str">
        <f t="shared" si="42"/>
        <v>Obesity</v>
      </c>
      <c r="C942">
        <v>35.799999999999997</v>
      </c>
      <c r="D942" t="str">
        <f t="shared" si="43"/>
        <v>Normal</v>
      </c>
      <c r="E942">
        <v>5.63</v>
      </c>
      <c r="F942" t="s">
        <v>2382</v>
      </c>
      <c r="G942" t="s">
        <v>2380</v>
      </c>
      <c r="H942" t="s">
        <v>2380</v>
      </c>
      <c r="J942">
        <v>2</v>
      </c>
      <c r="K942" t="str">
        <f t="shared" si="44"/>
        <v>No</v>
      </c>
      <c r="L942" t="s">
        <v>2380</v>
      </c>
    </row>
    <row r="943" spans="1:12" x14ac:dyDescent="0.35">
      <c r="A943" t="s">
        <v>1429</v>
      </c>
      <c r="B943" t="str">
        <f t="shared" si="42"/>
        <v>Overweight</v>
      </c>
      <c r="C943">
        <v>28.785</v>
      </c>
      <c r="D943" t="str">
        <f t="shared" si="43"/>
        <v>Normal</v>
      </c>
      <c r="E943">
        <v>4.24</v>
      </c>
      <c r="F943" t="s">
        <v>2382</v>
      </c>
      <c r="G943" t="s">
        <v>2380</v>
      </c>
      <c r="H943" t="s">
        <v>2380</v>
      </c>
      <c r="J943">
        <v>2</v>
      </c>
      <c r="K943" t="str">
        <f t="shared" si="44"/>
        <v>No</v>
      </c>
      <c r="L943" t="s">
        <v>2380</v>
      </c>
    </row>
    <row r="944" spans="1:12" x14ac:dyDescent="0.35">
      <c r="A944" t="s">
        <v>1428</v>
      </c>
      <c r="B944" t="str">
        <f t="shared" si="42"/>
        <v>Overweight</v>
      </c>
      <c r="C944">
        <v>28.594999999999999</v>
      </c>
      <c r="D944" t="str">
        <f t="shared" si="43"/>
        <v>Normal</v>
      </c>
      <c r="E944">
        <v>4.96</v>
      </c>
      <c r="F944" t="s">
        <v>2382</v>
      </c>
      <c r="G944" t="s">
        <v>2380</v>
      </c>
      <c r="H944" t="s">
        <v>2380</v>
      </c>
      <c r="J944">
        <v>2</v>
      </c>
      <c r="K944" t="str">
        <f t="shared" si="44"/>
        <v>No</v>
      </c>
      <c r="L944" t="s">
        <v>2380</v>
      </c>
    </row>
    <row r="945" spans="1:12" x14ac:dyDescent="0.35">
      <c r="A945" t="s">
        <v>1427</v>
      </c>
      <c r="B945" t="str">
        <f t="shared" si="42"/>
        <v>Obesity</v>
      </c>
      <c r="C945">
        <v>48.75</v>
      </c>
      <c r="D945" t="str">
        <f t="shared" si="43"/>
        <v>Normal</v>
      </c>
      <c r="E945">
        <v>4.34</v>
      </c>
      <c r="F945" t="s">
        <v>2380</v>
      </c>
      <c r="G945" t="s">
        <v>2380</v>
      </c>
      <c r="H945" t="s">
        <v>2380</v>
      </c>
      <c r="J945" t="s">
        <v>2381</v>
      </c>
      <c r="K945" t="str">
        <f t="shared" si="44"/>
        <v>No</v>
      </c>
      <c r="L945" t="s">
        <v>2380</v>
      </c>
    </row>
    <row r="946" spans="1:12" x14ac:dyDescent="0.35">
      <c r="A946" t="s">
        <v>1426</v>
      </c>
      <c r="B946" t="str">
        <f t="shared" si="42"/>
        <v>Overweight</v>
      </c>
      <c r="C946">
        <v>28.31</v>
      </c>
      <c r="D946" t="str">
        <f t="shared" si="43"/>
        <v>Normal</v>
      </c>
      <c r="E946">
        <v>5.43</v>
      </c>
      <c r="F946" t="s">
        <v>2382</v>
      </c>
      <c r="G946" t="s">
        <v>2380</v>
      </c>
      <c r="H946" t="s">
        <v>2380</v>
      </c>
      <c r="J946">
        <v>2</v>
      </c>
      <c r="K946" t="str">
        <f t="shared" si="44"/>
        <v>No</v>
      </c>
      <c r="L946" t="s">
        <v>2380</v>
      </c>
    </row>
    <row r="947" spans="1:12" x14ac:dyDescent="0.35">
      <c r="A947" t="s">
        <v>1425</v>
      </c>
      <c r="B947" t="str">
        <f t="shared" si="42"/>
        <v>Obesity</v>
      </c>
      <c r="C947">
        <v>38.39</v>
      </c>
      <c r="D947" t="str">
        <f t="shared" si="43"/>
        <v>Diabetes</v>
      </c>
      <c r="E947">
        <v>8.33</v>
      </c>
      <c r="F947" t="s">
        <v>2382</v>
      </c>
      <c r="G947" t="s">
        <v>2380</v>
      </c>
      <c r="H947" t="s">
        <v>2380</v>
      </c>
      <c r="J947">
        <v>1</v>
      </c>
      <c r="K947" t="str">
        <f t="shared" si="44"/>
        <v>No</v>
      </c>
      <c r="L947" t="s">
        <v>2380</v>
      </c>
    </row>
    <row r="948" spans="1:12" x14ac:dyDescent="0.35">
      <c r="A948" t="s">
        <v>1424</v>
      </c>
      <c r="B948" t="str">
        <f t="shared" si="42"/>
        <v>Overweight</v>
      </c>
      <c r="C948">
        <v>25.87</v>
      </c>
      <c r="D948" t="str">
        <f t="shared" si="43"/>
        <v>Normal</v>
      </c>
      <c r="E948">
        <v>5.63</v>
      </c>
      <c r="F948" t="s">
        <v>2382</v>
      </c>
      <c r="G948" t="s">
        <v>2380</v>
      </c>
      <c r="H948" t="s">
        <v>2380</v>
      </c>
      <c r="J948">
        <v>1</v>
      </c>
      <c r="K948" t="str">
        <f t="shared" si="44"/>
        <v>No</v>
      </c>
      <c r="L948" t="s">
        <v>2380</v>
      </c>
    </row>
    <row r="949" spans="1:12" x14ac:dyDescent="0.35">
      <c r="A949" t="s">
        <v>1423</v>
      </c>
      <c r="B949" t="str">
        <f t="shared" si="42"/>
        <v>Obesity</v>
      </c>
      <c r="C949">
        <v>43.7</v>
      </c>
      <c r="D949" t="str">
        <f t="shared" si="43"/>
        <v>Diabetes</v>
      </c>
      <c r="E949">
        <v>7.23</v>
      </c>
      <c r="F949" t="s">
        <v>2380</v>
      </c>
      <c r="G949" t="s">
        <v>2380</v>
      </c>
      <c r="H949" t="s">
        <v>2380</v>
      </c>
      <c r="J949" t="s">
        <v>2381</v>
      </c>
      <c r="K949" t="str">
        <f t="shared" si="44"/>
        <v>No</v>
      </c>
      <c r="L949" t="s">
        <v>2380</v>
      </c>
    </row>
    <row r="950" spans="1:12" x14ac:dyDescent="0.35">
      <c r="A950" t="s">
        <v>1422</v>
      </c>
      <c r="B950" t="str">
        <f t="shared" si="42"/>
        <v>Obesity</v>
      </c>
      <c r="C950">
        <v>40.945</v>
      </c>
      <c r="D950" t="str">
        <f t="shared" si="43"/>
        <v>Diabetes</v>
      </c>
      <c r="E950">
        <v>10.57</v>
      </c>
      <c r="F950" t="s">
        <v>2380</v>
      </c>
      <c r="G950" t="s">
        <v>2380</v>
      </c>
      <c r="H950" t="s">
        <v>2380</v>
      </c>
      <c r="J950" t="s">
        <v>2381</v>
      </c>
      <c r="K950" t="str">
        <f t="shared" si="44"/>
        <v>No</v>
      </c>
      <c r="L950" t="s">
        <v>2380</v>
      </c>
    </row>
    <row r="951" spans="1:12" x14ac:dyDescent="0.35">
      <c r="A951" t="s">
        <v>1421</v>
      </c>
      <c r="B951" t="str">
        <f t="shared" si="42"/>
        <v>Overweight</v>
      </c>
      <c r="C951">
        <v>27.94</v>
      </c>
      <c r="D951" t="str">
        <f t="shared" si="43"/>
        <v>Diabetes</v>
      </c>
      <c r="E951">
        <v>7.92</v>
      </c>
      <c r="F951" t="s">
        <v>2380</v>
      </c>
      <c r="G951" t="s">
        <v>2380</v>
      </c>
      <c r="H951" t="s">
        <v>2380</v>
      </c>
      <c r="J951" t="s">
        <v>2381</v>
      </c>
      <c r="K951" t="str">
        <f t="shared" si="44"/>
        <v>No</v>
      </c>
      <c r="L951" t="s">
        <v>2380</v>
      </c>
    </row>
    <row r="952" spans="1:12" x14ac:dyDescent="0.35">
      <c r="A952" t="s">
        <v>1420</v>
      </c>
      <c r="B952" t="str">
        <f t="shared" si="42"/>
        <v>Obesity</v>
      </c>
      <c r="C952">
        <v>31.9</v>
      </c>
      <c r="D952" t="str">
        <f t="shared" si="43"/>
        <v>Diabetes</v>
      </c>
      <c r="E952">
        <v>10.119999999999999</v>
      </c>
      <c r="F952" t="s">
        <v>2380</v>
      </c>
      <c r="G952" t="s">
        <v>2380</v>
      </c>
      <c r="H952" t="s">
        <v>2380</v>
      </c>
      <c r="J952">
        <v>2</v>
      </c>
      <c r="K952" t="str">
        <f t="shared" si="44"/>
        <v>No</v>
      </c>
      <c r="L952" t="s">
        <v>2380</v>
      </c>
    </row>
    <row r="953" spans="1:12" x14ac:dyDescent="0.35">
      <c r="A953" t="s">
        <v>1419</v>
      </c>
      <c r="B953" t="str">
        <f t="shared" si="42"/>
        <v>Obesity</v>
      </c>
      <c r="C953">
        <v>31.64</v>
      </c>
      <c r="D953" t="str">
        <f t="shared" si="43"/>
        <v>Diabetes</v>
      </c>
      <c r="E953">
        <v>7.91</v>
      </c>
      <c r="F953" t="s">
        <v>2380</v>
      </c>
      <c r="G953" t="s">
        <v>2380</v>
      </c>
      <c r="H953" t="s">
        <v>2380</v>
      </c>
      <c r="J953" t="s">
        <v>2381</v>
      </c>
      <c r="K953" t="str">
        <f t="shared" si="44"/>
        <v>No</v>
      </c>
      <c r="L953" t="s">
        <v>2380</v>
      </c>
    </row>
    <row r="954" spans="1:12" x14ac:dyDescent="0.35">
      <c r="A954" t="s">
        <v>1418</v>
      </c>
      <c r="B954" t="str">
        <f t="shared" si="42"/>
        <v>Obesity</v>
      </c>
      <c r="C954">
        <v>46.7</v>
      </c>
      <c r="D954" t="str">
        <f t="shared" si="43"/>
        <v>Diabetes</v>
      </c>
      <c r="E954">
        <v>10.9</v>
      </c>
      <c r="F954" t="s">
        <v>2380</v>
      </c>
      <c r="G954" t="s">
        <v>2380</v>
      </c>
      <c r="H954" t="s">
        <v>2380</v>
      </c>
      <c r="J954" t="s">
        <v>2381</v>
      </c>
      <c r="K954" t="str">
        <f t="shared" si="44"/>
        <v>No</v>
      </c>
      <c r="L954" t="s">
        <v>2380</v>
      </c>
    </row>
    <row r="955" spans="1:12" x14ac:dyDescent="0.35">
      <c r="A955" t="s">
        <v>1417</v>
      </c>
      <c r="B955" t="str">
        <f t="shared" si="42"/>
        <v>Underweight</v>
      </c>
      <c r="C955">
        <v>18.335000000000001</v>
      </c>
      <c r="D955" t="str">
        <f t="shared" si="43"/>
        <v>Diabetes</v>
      </c>
      <c r="E955">
        <v>11.83</v>
      </c>
      <c r="F955" t="s">
        <v>2380</v>
      </c>
      <c r="G955" t="s">
        <v>2380</v>
      </c>
      <c r="H955" t="s">
        <v>2380</v>
      </c>
      <c r="J955" t="s">
        <v>2381</v>
      </c>
      <c r="K955" t="str">
        <f t="shared" si="44"/>
        <v>No</v>
      </c>
      <c r="L955" t="s">
        <v>2380</v>
      </c>
    </row>
    <row r="956" spans="1:12" x14ac:dyDescent="0.35">
      <c r="A956" t="s">
        <v>1416</v>
      </c>
      <c r="B956" t="str">
        <f t="shared" si="42"/>
        <v>Obesity</v>
      </c>
      <c r="C956">
        <v>31.24</v>
      </c>
      <c r="D956" t="str">
        <f t="shared" si="43"/>
        <v>Diabetes</v>
      </c>
      <c r="E956">
        <v>7.42</v>
      </c>
      <c r="F956" t="s">
        <v>2382</v>
      </c>
      <c r="G956" t="s">
        <v>2380</v>
      </c>
      <c r="H956" t="s">
        <v>2380</v>
      </c>
      <c r="J956">
        <v>2</v>
      </c>
      <c r="K956" t="str">
        <f t="shared" si="44"/>
        <v>No</v>
      </c>
      <c r="L956" t="s">
        <v>2380</v>
      </c>
    </row>
    <row r="957" spans="1:12" x14ac:dyDescent="0.35">
      <c r="A957" t="s">
        <v>1415</v>
      </c>
      <c r="B957" t="str">
        <f t="shared" si="42"/>
        <v>Obesity</v>
      </c>
      <c r="C957">
        <v>39.22</v>
      </c>
      <c r="D957" t="str">
        <f t="shared" si="43"/>
        <v>Normal</v>
      </c>
      <c r="E957">
        <v>5.62</v>
      </c>
      <c r="F957" t="s">
        <v>2382</v>
      </c>
      <c r="G957" t="s">
        <v>2380</v>
      </c>
      <c r="H957" t="s">
        <v>2380</v>
      </c>
      <c r="J957">
        <v>1</v>
      </c>
      <c r="K957" t="str">
        <f t="shared" si="44"/>
        <v>No</v>
      </c>
      <c r="L957" t="s">
        <v>2380</v>
      </c>
    </row>
    <row r="958" spans="1:12" x14ac:dyDescent="0.35">
      <c r="A958" t="s">
        <v>1414</v>
      </c>
      <c r="B958" t="str">
        <f t="shared" si="42"/>
        <v>Normal Weight</v>
      </c>
      <c r="C958">
        <v>24.414999999999999</v>
      </c>
      <c r="D958" t="str">
        <f t="shared" si="43"/>
        <v>Diabetes</v>
      </c>
      <c r="E958">
        <v>7.16</v>
      </c>
      <c r="F958" t="s">
        <v>2380</v>
      </c>
      <c r="G958" t="s">
        <v>2380</v>
      </c>
      <c r="H958" t="s">
        <v>2380</v>
      </c>
      <c r="J958" t="s">
        <v>2381</v>
      </c>
      <c r="K958" t="str">
        <f t="shared" si="44"/>
        <v>No</v>
      </c>
      <c r="L958" t="s">
        <v>2380</v>
      </c>
    </row>
    <row r="959" spans="1:12" x14ac:dyDescent="0.35">
      <c r="A959" t="s">
        <v>1413</v>
      </c>
      <c r="B959" t="str">
        <f t="shared" si="42"/>
        <v>Obesity</v>
      </c>
      <c r="C959">
        <v>32.299999999999997</v>
      </c>
      <c r="D959" t="str">
        <f t="shared" si="43"/>
        <v>Diabetes</v>
      </c>
      <c r="E959">
        <v>9.89</v>
      </c>
      <c r="F959" t="s">
        <v>2380</v>
      </c>
      <c r="G959" t="s">
        <v>2380</v>
      </c>
      <c r="H959" t="s">
        <v>2380</v>
      </c>
      <c r="J959" t="s">
        <v>2381</v>
      </c>
      <c r="K959" t="str">
        <f t="shared" si="44"/>
        <v>No</v>
      </c>
      <c r="L959" t="s">
        <v>2380</v>
      </c>
    </row>
    <row r="960" spans="1:12" x14ac:dyDescent="0.35">
      <c r="A960" t="s">
        <v>1412</v>
      </c>
      <c r="B960" t="str">
        <f t="shared" si="42"/>
        <v>Obesity</v>
      </c>
      <c r="C960">
        <v>39.94</v>
      </c>
      <c r="D960" t="str">
        <f t="shared" si="43"/>
        <v>Normal</v>
      </c>
      <c r="E960">
        <v>5.14</v>
      </c>
      <c r="F960" t="s">
        <v>2380</v>
      </c>
      <c r="G960" t="s">
        <v>2380</v>
      </c>
      <c r="H960" t="s">
        <v>2380</v>
      </c>
      <c r="J960" t="s">
        <v>2381</v>
      </c>
      <c r="K960" t="str">
        <f t="shared" si="44"/>
        <v>No</v>
      </c>
      <c r="L960" t="s">
        <v>2380</v>
      </c>
    </row>
    <row r="961" spans="1:12" x14ac:dyDescent="0.35">
      <c r="A961" t="s">
        <v>1411</v>
      </c>
      <c r="B961" t="str">
        <f t="shared" si="42"/>
        <v>Obesity</v>
      </c>
      <c r="C961">
        <v>30</v>
      </c>
      <c r="D961" t="str">
        <f t="shared" si="43"/>
        <v>Normal</v>
      </c>
      <c r="E961">
        <v>5.61</v>
      </c>
      <c r="F961" t="s">
        <v>2382</v>
      </c>
      <c r="G961" t="s">
        <v>2380</v>
      </c>
      <c r="H961" t="s">
        <v>2383</v>
      </c>
      <c r="J961">
        <v>1</v>
      </c>
      <c r="K961" t="str">
        <f t="shared" si="44"/>
        <v>No</v>
      </c>
      <c r="L961" t="s">
        <v>2380</v>
      </c>
    </row>
    <row r="962" spans="1:12" x14ac:dyDescent="0.35">
      <c r="A962" t="s">
        <v>1410</v>
      </c>
      <c r="B962" t="str">
        <f t="shared" si="42"/>
        <v>Obesity</v>
      </c>
      <c r="C962">
        <v>35.340000000000003</v>
      </c>
      <c r="D962" t="str">
        <f t="shared" si="43"/>
        <v>Normal</v>
      </c>
      <c r="E962">
        <v>5.51</v>
      </c>
      <c r="F962" t="s">
        <v>2382</v>
      </c>
      <c r="G962" t="s">
        <v>2380</v>
      </c>
      <c r="H962" t="s">
        <v>2383</v>
      </c>
      <c r="J962">
        <v>1</v>
      </c>
      <c r="K962" t="str">
        <f t="shared" si="44"/>
        <v>No</v>
      </c>
      <c r="L962" t="s">
        <v>2380</v>
      </c>
    </row>
    <row r="963" spans="1:12" x14ac:dyDescent="0.35">
      <c r="A963" t="s">
        <v>1409</v>
      </c>
      <c r="B963" t="str">
        <f t="shared" ref="B963:B1026" si="45">_xlfn.IFS(C963&lt;18.5, "Underweight", C963&lt;=24.9, "Normal Weight", C963&lt;=29.9, "Overweight", C963&gt;=30, "Obesity")</f>
        <v>Obesity</v>
      </c>
      <c r="C963">
        <v>32.204999999999998</v>
      </c>
      <c r="D963" t="str">
        <f t="shared" ref="D963:D1026" si="46">_xlfn.IFS(E963&lt;5.7, "Normal", E963&lt;=6.4, "Prediabetes", E963&gt;=6.5, "Diabetes")</f>
        <v>Diabetes</v>
      </c>
      <c r="E963">
        <v>8.3800000000000008</v>
      </c>
      <c r="F963" t="s">
        <v>2382</v>
      </c>
      <c r="G963" t="s">
        <v>2380</v>
      </c>
      <c r="H963" t="s">
        <v>2380</v>
      </c>
      <c r="J963">
        <v>2</v>
      </c>
      <c r="K963" t="str">
        <f t="shared" si="44"/>
        <v>No</v>
      </c>
      <c r="L963" t="s">
        <v>2380</v>
      </c>
    </row>
    <row r="964" spans="1:12" x14ac:dyDescent="0.35">
      <c r="A964" t="s">
        <v>1408</v>
      </c>
      <c r="B964" t="str">
        <f t="shared" si="45"/>
        <v>Obesity</v>
      </c>
      <c r="C964">
        <v>33.880000000000003</v>
      </c>
      <c r="D964" t="str">
        <f t="shared" si="46"/>
        <v>Normal</v>
      </c>
      <c r="E964">
        <v>4.68</v>
      </c>
      <c r="F964" t="s">
        <v>2380</v>
      </c>
      <c r="G964" t="s">
        <v>2382</v>
      </c>
      <c r="H964" t="s">
        <v>2380</v>
      </c>
      <c r="J964">
        <v>1</v>
      </c>
      <c r="K964" t="str">
        <f t="shared" ref="K964:K1027" si="47">IF(OR(L964="?", ISBLANK(L964)), "No", L964)</f>
        <v>No</v>
      </c>
      <c r="L964" t="s">
        <v>2380</v>
      </c>
    </row>
    <row r="965" spans="1:12" x14ac:dyDescent="0.35">
      <c r="A965" t="s">
        <v>1407</v>
      </c>
      <c r="B965" t="str">
        <f t="shared" si="45"/>
        <v>Overweight</v>
      </c>
      <c r="C965">
        <v>26.63</v>
      </c>
      <c r="D965" t="str">
        <f t="shared" si="46"/>
        <v>Normal</v>
      </c>
      <c r="E965">
        <v>4.3600000000000003</v>
      </c>
      <c r="F965" t="s">
        <v>2382</v>
      </c>
      <c r="G965" t="s">
        <v>2380</v>
      </c>
      <c r="H965" t="s">
        <v>2380</v>
      </c>
      <c r="J965">
        <v>2</v>
      </c>
      <c r="K965" t="str">
        <f t="shared" si="47"/>
        <v>No</v>
      </c>
      <c r="L965" t="s">
        <v>2380</v>
      </c>
    </row>
    <row r="966" spans="1:12" x14ac:dyDescent="0.35">
      <c r="A966" t="s">
        <v>1406</v>
      </c>
      <c r="B966" t="str">
        <f t="shared" si="45"/>
        <v>Overweight</v>
      </c>
      <c r="C966">
        <v>28.7</v>
      </c>
      <c r="D966" t="str">
        <f t="shared" si="46"/>
        <v>Diabetes</v>
      </c>
      <c r="E966">
        <v>7.74</v>
      </c>
      <c r="F966" t="s">
        <v>2380</v>
      </c>
      <c r="G966" t="s">
        <v>2380</v>
      </c>
      <c r="H966" t="s">
        <v>2380</v>
      </c>
      <c r="J966" t="s">
        <v>2381</v>
      </c>
      <c r="K966" t="str">
        <f t="shared" si="47"/>
        <v>No</v>
      </c>
      <c r="L966" t="s">
        <v>2380</v>
      </c>
    </row>
    <row r="967" spans="1:12" x14ac:dyDescent="0.35">
      <c r="A967" t="s">
        <v>1405</v>
      </c>
      <c r="B967" t="str">
        <f t="shared" si="45"/>
        <v>Overweight</v>
      </c>
      <c r="C967">
        <v>25.65</v>
      </c>
      <c r="D967" t="str">
        <f t="shared" si="46"/>
        <v>Normal</v>
      </c>
      <c r="E967">
        <v>4.05</v>
      </c>
      <c r="F967" t="s">
        <v>2382</v>
      </c>
      <c r="G967" t="s">
        <v>2380</v>
      </c>
      <c r="H967" t="s">
        <v>2380</v>
      </c>
      <c r="J967">
        <v>2</v>
      </c>
      <c r="K967" t="str">
        <f t="shared" si="47"/>
        <v>No</v>
      </c>
      <c r="L967" t="s">
        <v>2380</v>
      </c>
    </row>
    <row r="968" spans="1:12" x14ac:dyDescent="0.35">
      <c r="A968" t="s">
        <v>1404</v>
      </c>
      <c r="B968" t="str">
        <f t="shared" si="45"/>
        <v>Obesity</v>
      </c>
      <c r="C968">
        <v>36.384999999999998</v>
      </c>
      <c r="D968" t="str">
        <f t="shared" si="46"/>
        <v>Diabetes</v>
      </c>
      <c r="E968">
        <v>11.49</v>
      </c>
      <c r="F968" t="s">
        <v>2380</v>
      </c>
      <c r="G968" t="s">
        <v>2380</v>
      </c>
      <c r="H968" t="s">
        <v>2380</v>
      </c>
      <c r="J968" t="s">
        <v>2381</v>
      </c>
      <c r="K968" t="str">
        <f t="shared" si="47"/>
        <v>No</v>
      </c>
      <c r="L968" t="s">
        <v>2380</v>
      </c>
    </row>
    <row r="969" spans="1:12" x14ac:dyDescent="0.35">
      <c r="A969" t="s">
        <v>1403</v>
      </c>
      <c r="B969" t="str">
        <f t="shared" si="45"/>
        <v>Obesity</v>
      </c>
      <c r="C969">
        <v>34.69</v>
      </c>
      <c r="D969" t="str">
        <f t="shared" si="46"/>
        <v>Normal</v>
      </c>
      <c r="E969">
        <v>5.65</v>
      </c>
      <c r="F969" t="s">
        <v>2380</v>
      </c>
      <c r="G969" t="s">
        <v>2380</v>
      </c>
      <c r="H969" t="s">
        <v>2380</v>
      </c>
      <c r="J969" t="s">
        <v>2381</v>
      </c>
      <c r="K969" t="str">
        <f t="shared" si="47"/>
        <v>No</v>
      </c>
      <c r="L969" t="s">
        <v>2380</v>
      </c>
    </row>
    <row r="970" spans="1:12" x14ac:dyDescent="0.35">
      <c r="A970" t="s">
        <v>1402</v>
      </c>
      <c r="B970" t="str">
        <f t="shared" si="45"/>
        <v>Obesity</v>
      </c>
      <c r="C970">
        <v>37.68</v>
      </c>
      <c r="D970" t="str">
        <f t="shared" si="46"/>
        <v>Normal</v>
      </c>
      <c r="E970">
        <v>4.29</v>
      </c>
      <c r="F970" t="s">
        <v>2382</v>
      </c>
      <c r="G970" t="s">
        <v>2380</v>
      </c>
      <c r="H970" t="s">
        <v>2380</v>
      </c>
      <c r="J970" t="s">
        <v>2381</v>
      </c>
      <c r="K970" t="str">
        <f t="shared" si="47"/>
        <v>No</v>
      </c>
      <c r="L970" t="s">
        <v>2380</v>
      </c>
    </row>
    <row r="971" spans="1:12" x14ac:dyDescent="0.35">
      <c r="A971" t="s">
        <v>1401</v>
      </c>
      <c r="B971" t="str">
        <f t="shared" si="45"/>
        <v>Obesity</v>
      </c>
      <c r="C971">
        <v>35.49</v>
      </c>
      <c r="D971" t="str">
        <f t="shared" si="46"/>
        <v>Normal</v>
      </c>
      <c r="E971">
        <v>4.74</v>
      </c>
      <c r="F971" t="s">
        <v>2382</v>
      </c>
      <c r="G971" t="s">
        <v>2380</v>
      </c>
      <c r="H971" t="s">
        <v>2383</v>
      </c>
      <c r="J971">
        <v>1</v>
      </c>
      <c r="K971" t="str">
        <f t="shared" si="47"/>
        <v>No</v>
      </c>
      <c r="L971" t="s">
        <v>2380</v>
      </c>
    </row>
    <row r="972" spans="1:12" x14ac:dyDescent="0.35">
      <c r="A972" t="s">
        <v>1400</v>
      </c>
      <c r="B972" t="str">
        <f t="shared" si="45"/>
        <v>Obesity</v>
      </c>
      <c r="C972">
        <v>44.7</v>
      </c>
      <c r="D972" t="str">
        <f t="shared" si="46"/>
        <v>Diabetes</v>
      </c>
      <c r="E972">
        <v>7.6</v>
      </c>
      <c r="F972" t="s">
        <v>2382</v>
      </c>
      <c r="G972" t="s">
        <v>2380</v>
      </c>
      <c r="H972" t="s">
        <v>2380</v>
      </c>
      <c r="J972">
        <v>2</v>
      </c>
      <c r="K972" t="str">
        <f t="shared" si="47"/>
        <v>No</v>
      </c>
      <c r="L972" t="s">
        <v>2380</v>
      </c>
    </row>
    <row r="973" spans="1:12" x14ac:dyDescent="0.35">
      <c r="A973" t="s">
        <v>1399</v>
      </c>
      <c r="B973" t="str">
        <f t="shared" si="45"/>
        <v>Obesity</v>
      </c>
      <c r="C973">
        <v>38.380000000000003</v>
      </c>
      <c r="D973" t="str">
        <f t="shared" si="46"/>
        <v>Diabetes</v>
      </c>
      <c r="E973">
        <v>8.5</v>
      </c>
      <c r="F973" t="s">
        <v>2382</v>
      </c>
      <c r="G973" t="s">
        <v>2380</v>
      </c>
      <c r="H973" t="s">
        <v>2380</v>
      </c>
      <c r="J973">
        <v>2</v>
      </c>
      <c r="K973" t="str">
        <f t="shared" si="47"/>
        <v>No</v>
      </c>
      <c r="L973" t="s">
        <v>2380</v>
      </c>
    </row>
    <row r="974" spans="1:12" x14ac:dyDescent="0.35">
      <c r="A974" t="s">
        <v>1398</v>
      </c>
      <c r="B974" t="str">
        <f t="shared" si="45"/>
        <v>Obesity</v>
      </c>
      <c r="C974">
        <v>35.244999999999997</v>
      </c>
      <c r="D974" t="str">
        <f t="shared" si="46"/>
        <v>Diabetes</v>
      </c>
      <c r="E974">
        <v>11.22</v>
      </c>
      <c r="F974" t="s">
        <v>2382</v>
      </c>
      <c r="G974" t="s">
        <v>2380</v>
      </c>
      <c r="H974" t="s">
        <v>2380</v>
      </c>
      <c r="J974" t="s">
        <v>2381</v>
      </c>
      <c r="K974" t="str">
        <f t="shared" si="47"/>
        <v>No</v>
      </c>
      <c r="L974" t="s">
        <v>2380</v>
      </c>
    </row>
    <row r="975" spans="1:12" x14ac:dyDescent="0.35">
      <c r="A975" t="s">
        <v>1397</v>
      </c>
      <c r="B975" t="str">
        <f t="shared" si="45"/>
        <v>Obesity</v>
      </c>
      <c r="C975">
        <v>49.84</v>
      </c>
      <c r="D975" t="str">
        <f t="shared" si="46"/>
        <v>Normal</v>
      </c>
      <c r="E975">
        <v>5.0999999999999996</v>
      </c>
      <c r="F975" t="s">
        <v>2382</v>
      </c>
      <c r="G975" t="s">
        <v>2380</v>
      </c>
      <c r="H975" t="s">
        <v>2383</v>
      </c>
      <c r="J975">
        <v>1</v>
      </c>
      <c r="K975" t="str">
        <f t="shared" si="47"/>
        <v>No</v>
      </c>
      <c r="L975" t="s">
        <v>2380</v>
      </c>
    </row>
    <row r="976" spans="1:12" x14ac:dyDescent="0.35">
      <c r="A976" t="s">
        <v>1396</v>
      </c>
      <c r="B976" t="str">
        <f t="shared" si="45"/>
        <v>Obesity</v>
      </c>
      <c r="C976">
        <v>49.06</v>
      </c>
      <c r="D976" t="str">
        <f t="shared" si="46"/>
        <v>Normal</v>
      </c>
      <c r="E976">
        <v>5.43</v>
      </c>
      <c r="F976" t="s">
        <v>2382</v>
      </c>
      <c r="G976" t="s">
        <v>2380</v>
      </c>
      <c r="H976" t="s">
        <v>2380</v>
      </c>
      <c r="J976">
        <v>1</v>
      </c>
      <c r="K976" t="str">
        <f t="shared" si="47"/>
        <v>No</v>
      </c>
      <c r="L976" t="s">
        <v>2380</v>
      </c>
    </row>
    <row r="977" spans="1:12" x14ac:dyDescent="0.35">
      <c r="A977" t="s">
        <v>1395</v>
      </c>
      <c r="B977" t="str">
        <f t="shared" si="45"/>
        <v>Obesity</v>
      </c>
      <c r="C977">
        <v>30.88</v>
      </c>
      <c r="D977" t="str">
        <f t="shared" si="46"/>
        <v>Prediabetes</v>
      </c>
      <c r="E977">
        <v>5.82</v>
      </c>
      <c r="F977" t="s">
        <v>2380</v>
      </c>
      <c r="G977" t="s">
        <v>2380</v>
      </c>
      <c r="H977" t="s">
        <v>2380</v>
      </c>
      <c r="J977">
        <v>2</v>
      </c>
      <c r="K977" t="str">
        <f t="shared" si="47"/>
        <v>No</v>
      </c>
      <c r="L977" t="s">
        <v>2380</v>
      </c>
    </row>
    <row r="978" spans="1:12" x14ac:dyDescent="0.35">
      <c r="A978" t="s">
        <v>1394</v>
      </c>
      <c r="B978" t="str">
        <f t="shared" si="45"/>
        <v>Obesity</v>
      </c>
      <c r="C978">
        <v>33.35</v>
      </c>
      <c r="D978" t="str">
        <f t="shared" si="46"/>
        <v>Prediabetes</v>
      </c>
      <c r="E978">
        <v>6.05</v>
      </c>
      <c r="F978" t="s">
        <v>2380</v>
      </c>
      <c r="G978" t="s">
        <v>2380</v>
      </c>
      <c r="H978" t="s">
        <v>2383</v>
      </c>
      <c r="J978">
        <v>1</v>
      </c>
      <c r="K978" t="str">
        <f t="shared" si="47"/>
        <v>No</v>
      </c>
      <c r="L978" t="s">
        <v>2380</v>
      </c>
    </row>
    <row r="979" spans="1:12" x14ac:dyDescent="0.35">
      <c r="A979" t="s">
        <v>1393</v>
      </c>
      <c r="B979" t="str">
        <f t="shared" si="45"/>
        <v>Obesity</v>
      </c>
      <c r="C979">
        <v>38</v>
      </c>
      <c r="D979" t="str">
        <f t="shared" si="46"/>
        <v>Prediabetes</v>
      </c>
      <c r="E979">
        <v>6.38</v>
      </c>
      <c r="F979" t="s">
        <v>2382</v>
      </c>
      <c r="G979" t="s">
        <v>2380</v>
      </c>
      <c r="H979" t="s">
        <v>2380</v>
      </c>
      <c r="J979">
        <v>1</v>
      </c>
      <c r="K979" t="str">
        <f t="shared" si="47"/>
        <v>No</v>
      </c>
      <c r="L979" t="s">
        <v>2380</v>
      </c>
    </row>
    <row r="980" spans="1:12" x14ac:dyDescent="0.35">
      <c r="A980" t="s">
        <v>1392</v>
      </c>
      <c r="B980" t="str">
        <f t="shared" si="45"/>
        <v>Obesity</v>
      </c>
      <c r="C980">
        <v>36.08</v>
      </c>
      <c r="D980" t="str">
        <f t="shared" si="46"/>
        <v>Prediabetes</v>
      </c>
      <c r="E980">
        <v>5.73</v>
      </c>
      <c r="F980" t="s">
        <v>2382</v>
      </c>
      <c r="G980" t="s">
        <v>2380</v>
      </c>
      <c r="H980" t="s">
        <v>2380</v>
      </c>
      <c r="J980">
        <v>1</v>
      </c>
      <c r="K980" t="str">
        <f t="shared" si="47"/>
        <v>No</v>
      </c>
      <c r="L980" t="s">
        <v>2380</v>
      </c>
    </row>
    <row r="981" spans="1:12" x14ac:dyDescent="0.35">
      <c r="A981" t="s">
        <v>1391</v>
      </c>
      <c r="B981" t="str">
        <f t="shared" si="45"/>
        <v>Obesity</v>
      </c>
      <c r="C981">
        <v>35.700000000000003</v>
      </c>
      <c r="D981" t="str">
        <f t="shared" si="46"/>
        <v>Normal</v>
      </c>
      <c r="E981">
        <v>5.47</v>
      </c>
      <c r="F981" t="s">
        <v>2382</v>
      </c>
      <c r="G981" t="s">
        <v>2380</v>
      </c>
      <c r="H981" t="s">
        <v>2380</v>
      </c>
      <c r="J981">
        <v>1</v>
      </c>
      <c r="K981" t="str">
        <f t="shared" si="47"/>
        <v>No</v>
      </c>
      <c r="L981" t="s">
        <v>2380</v>
      </c>
    </row>
    <row r="982" spans="1:12" x14ac:dyDescent="0.35">
      <c r="A982" t="s">
        <v>1390</v>
      </c>
      <c r="B982" t="str">
        <f t="shared" si="45"/>
        <v>Obesity</v>
      </c>
      <c r="C982">
        <v>34.01</v>
      </c>
      <c r="D982" t="str">
        <f t="shared" si="46"/>
        <v>Diabetes</v>
      </c>
      <c r="E982">
        <v>11.3</v>
      </c>
      <c r="F982" t="s">
        <v>2380</v>
      </c>
      <c r="G982" t="s">
        <v>2380</v>
      </c>
      <c r="H982" t="s">
        <v>2380</v>
      </c>
      <c r="J982" t="s">
        <v>2381</v>
      </c>
      <c r="K982" t="str">
        <f t="shared" si="47"/>
        <v>No</v>
      </c>
      <c r="L982" t="s">
        <v>2380</v>
      </c>
    </row>
    <row r="983" spans="1:12" x14ac:dyDescent="0.35">
      <c r="A983" t="s">
        <v>1389</v>
      </c>
      <c r="B983" t="str">
        <f t="shared" si="45"/>
        <v>Obesity</v>
      </c>
      <c r="C983">
        <v>31.54</v>
      </c>
      <c r="D983" t="str">
        <f t="shared" si="46"/>
        <v>Diabetes</v>
      </c>
      <c r="E983">
        <v>6.72</v>
      </c>
      <c r="F983" t="s">
        <v>2380</v>
      </c>
      <c r="G983" t="s">
        <v>2380</v>
      </c>
      <c r="H983" t="s">
        <v>2380</v>
      </c>
      <c r="J983" t="s">
        <v>2381</v>
      </c>
      <c r="K983" t="str">
        <f t="shared" si="47"/>
        <v>No</v>
      </c>
      <c r="L983" t="s">
        <v>2380</v>
      </c>
    </row>
    <row r="984" spans="1:12" x14ac:dyDescent="0.35">
      <c r="A984" t="s">
        <v>1388</v>
      </c>
      <c r="B984" t="str">
        <f t="shared" si="45"/>
        <v>Normal Weight</v>
      </c>
      <c r="C984">
        <v>23.3</v>
      </c>
      <c r="D984" t="str">
        <f t="shared" si="46"/>
        <v>Normal</v>
      </c>
      <c r="E984">
        <v>5.36</v>
      </c>
      <c r="F984" t="s">
        <v>2382</v>
      </c>
      <c r="G984" t="s">
        <v>2380</v>
      </c>
      <c r="H984" t="s">
        <v>2380</v>
      </c>
      <c r="J984">
        <v>1</v>
      </c>
      <c r="K984" t="str">
        <f t="shared" si="47"/>
        <v>No</v>
      </c>
      <c r="L984" t="s">
        <v>2380</v>
      </c>
    </row>
    <row r="985" spans="1:12" x14ac:dyDescent="0.35">
      <c r="A985" t="s">
        <v>1387</v>
      </c>
      <c r="B985" t="str">
        <f t="shared" si="45"/>
        <v>Overweight</v>
      </c>
      <c r="C985">
        <v>27.75</v>
      </c>
      <c r="D985" t="str">
        <f t="shared" si="46"/>
        <v>Diabetes</v>
      </c>
      <c r="E985">
        <v>9.8800000000000008</v>
      </c>
      <c r="F985" t="s">
        <v>2380</v>
      </c>
      <c r="G985" t="s">
        <v>2380</v>
      </c>
      <c r="H985" t="s">
        <v>2380</v>
      </c>
      <c r="J985" t="s">
        <v>2381</v>
      </c>
      <c r="K985" t="str">
        <f t="shared" si="47"/>
        <v>No</v>
      </c>
      <c r="L985" t="s">
        <v>2380</v>
      </c>
    </row>
    <row r="986" spans="1:12" x14ac:dyDescent="0.35">
      <c r="A986" t="s">
        <v>1386</v>
      </c>
      <c r="B986" t="str">
        <f t="shared" si="45"/>
        <v>Obesity</v>
      </c>
      <c r="C986">
        <v>42.46</v>
      </c>
      <c r="D986" t="str">
        <f t="shared" si="46"/>
        <v>Normal</v>
      </c>
      <c r="E986">
        <v>4.1100000000000003</v>
      </c>
      <c r="F986" t="s">
        <v>2380</v>
      </c>
      <c r="G986" t="s">
        <v>2380</v>
      </c>
      <c r="H986" t="s">
        <v>2380</v>
      </c>
      <c r="J986" t="s">
        <v>2381</v>
      </c>
      <c r="K986" t="str">
        <f t="shared" si="47"/>
        <v>No</v>
      </c>
      <c r="L986" t="s">
        <v>2380</v>
      </c>
    </row>
    <row r="987" spans="1:12" x14ac:dyDescent="0.35">
      <c r="A987" t="s">
        <v>1385</v>
      </c>
      <c r="B987" t="str">
        <f t="shared" si="45"/>
        <v>Obesity</v>
      </c>
      <c r="C987">
        <v>54.47</v>
      </c>
      <c r="D987" t="str">
        <f t="shared" si="46"/>
        <v>Diabetes</v>
      </c>
      <c r="E987">
        <v>7.48</v>
      </c>
      <c r="F987" t="s">
        <v>2380</v>
      </c>
      <c r="G987" t="s">
        <v>2380</v>
      </c>
      <c r="H987" t="s">
        <v>2380</v>
      </c>
      <c r="J987" t="s">
        <v>2381</v>
      </c>
      <c r="K987" t="str">
        <f t="shared" si="47"/>
        <v>No</v>
      </c>
      <c r="L987" t="s">
        <v>2380</v>
      </c>
    </row>
    <row r="988" spans="1:12" x14ac:dyDescent="0.35">
      <c r="A988" t="s">
        <v>1384</v>
      </c>
      <c r="B988" t="str">
        <f t="shared" si="45"/>
        <v>Overweight</v>
      </c>
      <c r="C988">
        <v>24.93</v>
      </c>
      <c r="D988" t="str">
        <f t="shared" si="46"/>
        <v>Diabetes</v>
      </c>
      <c r="E988">
        <v>9.18</v>
      </c>
      <c r="F988" t="s">
        <v>2382</v>
      </c>
      <c r="G988" t="s">
        <v>2380</v>
      </c>
      <c r="H988" t="s">
        <v>2383</v>
      </c>
      <c r="J988">
        <v>1</v>
      </c>
      <c r="K988" t="str">
        <f t="shared" si="47"/>
        <v>No</v>
      </c>
      <c r="L988" t="s">
        <v>2380</v>
      </c>
    </row>
    <row r="989" spans="1:12" x14ac:dyDescent="0.35">
      <c r="A989" t="s">
        <v>1383</v>
      </c>
      <c r="B989" t="str">
        <f t="shared" si="45"/>
        <v>Obesity</v>
      </c>
      <c r="C989">
        <v>48.12</v>
      </c>
      <c r="D989" t="str">
        <f t="shared" si="46"/>
        <v>Normal</v>
      </c>
      <c r="E989">
        <v>4.51</v>
      </c>
      <c r="F989" t="s">
        <v>2382</v>
      </c>
      <c r="G989" t="s">
        <v>2380</v>
      </c>
      <c r="H989" t="s">
        <v>2380</v>
      </c>
      <c r="J989">
        <v>1</v>
      </c>
      <c r="K989" t="str">
        <f t="shared" si="47"/>
        <v>No</v>
      </c>
      <c r="L989" t="s">
        <v>2380</v>
      </c>
    </row>
    <row r="990" spans="1:12" x14ac:dyDescent="0.35">
      <c r="A990" t="s">
        <v>1382</v>
      </c>
      <c r="B990" t="str">
        <f t="shared" si="45"/>
        <v>Overweight</v>
      </c>
      <c r="C990">
        <v>24.91</v>
      </c>
      <c r="D990" t="str">
        <f t="shared" si="46"/>
        <v>Diabetes</v>
      </c>
      <c r="E990">
        <v>7.33</v>
      </c>
      <c r="F990" t="s">
        <v>2382</v>
      </c>
      <c r="G990" t="s">
        <v>2380</v>
      </c>
      <c r="H990" t="s">
        <v>2383</v>
      </c>
      <c r="J990">
        <v>1</v>
      </c>
      <c r="K990" t="str">
        <f t="shared" si="47"/>
        <v>No</v>
      </c>
      <c r="L990" t="s">
        <v>2380</v>
      </c>
    </row>
    <row r="991" spans="1:12" x14ac:dyDescent="0.35">
      <c r="A991" t="s">
        <v>1381</v>
      </c>
      <c r="B991" t="str">
        <f t="shared" si="45"/>
        <v>Overweight</v>
      </c>
      <c r="C991">
        <v>27.645</v>
      </c>
      <c r="D991" t="str">
        <f t="shared" si="46"/>
        <v>Diabetes</v>
      </c>
      <c r="E991">
        <v>10.56</v>
      </c>
      <c r="F991" t="s">
        <v>2380</v>
      </c>
      <c r="G991" t="s">
        <v>2380</v>
      </c>
      <c r="H991" t="s">
        <v>2380</v>
      </c>
      <c r="J991" t="s">
        <v>2381</v>
      </c>
      <c r="K991" t="str">
        <f t="shared" si="47"/>
        <v>No</v>
      </c>
      <c r="L991" t="s">
        <v>2380</v>
      </c>
    </row>
    <row r="992" spans="1:12" x14ac:dyDescent="0.35">
      <c r="A992" t="s">
        <v>1380</v>
      </c>
      <c r="B992" t="str">
        <f t="shared" si="45"/>
        <v>Obesity</v>
      </c>
      <c r="C992">
        <v>33.700000000000003</v>
      </c>
      <c r="D992" t="str">
        <f t="shared" si="46"/>
        <v>Normal</v>
      </c>
      <c r="E992">
        <v>4.01</v>
      </c>
      <c r="F992" t="s">
        <v>2380</v>
      </c>
      <c r="G992" t="s">
        <v>2380</v>
      </c>
      <c r="H992" t="s">
        <v>2380</v>
      </c>
      <c r="J992">
        <v>2</v>
      </c>
      <c r="K992" t="str">
        <f t="shared" si="47"/>
        <v>No</v>
      </c>
      <c r="L992" t="s">
        <v>2380</v>
      </c>
    </row>
    <row r="993" spans="1:12" x14ac:dyDescent="0.35">
      <c r="A993" t="s">
        <v>1379</v>
      </c>
      <c r="B993" t="str">
        <f t="shared" si="45"/>
        <v>Obesity</v>
      </c>
      <c r="C993">
        <v>38.93</v>
      </c>
      <c r="D993" t="str">
        <f t="shared" si="46"/>
        <v>Normal</v>
      </c>
      <c r="E993">
        <v>5.64</v>
      </c>
      <c r="F993" t="s">
        <v>2382</v>
      </c>
      <c r="G993" t="s">
        <v>2380</v>
      </c>
      <c r="H993" t="s">
        <v>2380</v>
      </c>
      <c r="J993">
        <v>1</v>
      </c>
      <c r="K993" t="str">
        <f t="shared" si="47"/>
        <v>No</v>
      </c>
      <c r="L993" t="s">
        <v>2380</v>
      </c>
    </row>
    <row r="994" spans="1:12" x14ac:dyDescent="0.35">
      <c r="A994" t="s">
        <v>1378</v>
      </c>
      <c r="B994" t="str">
        <f t="shared" si="45"/>
        <v>Obesity</v>
      </c>
      <c r="C994">
        <v>32.774999999999999</v>
      </c>
      <c r="D994" t="str">
        <f t="shared" si="46"/>
        <v>Diabetes</v>
      </c>
      <c r="E994">
        <v>8.02</v>
      </c>
      <c r="F994" t="s">
        <v>2382</v>
      </c>
      <c r="G994" t="s">
        <v>2380</v>
      </c>
      <c r="H994" t="s">
        <v>2380</v>
      </c>
      <c r="J994">
        <v>2</v>
      </c>
      <c r="K994" t="str">
        <f t="shared" si="47"/>
        <v>No</v>
      </c>
      <c r="L994" t="s">
        <v>2380</v>
      </c>
    </row>
    <row r="995" spans="1:12" x14ac:dyDescent="0.35">
      <c r="A995" t="s">
        <v>1377</v>
      </c>
      <c r="B995" t="str">
        <f t="shared" si="45"/>
        <v>Overweight</v>
      </c>
      <c r="C995">
        <v>29.83</v>
      </c>
      <c r="D995" t="str">
        <f t="shared" si="46"/>
        <v>Diabetes</v>
      </c>
      <c r="E995">
        <v>7.2</v>
      </c>
      <c r="F995" t="s">
        <v>2382</v>
      </c>
      <c r="G995" t="s">
        <v>2380</v>
      </c>
      <c r="H995" t="s">
        <v>2380</v>
      </c>
      <c r="J995" t="s">
        <v>2381</v>
      </c>
      <c r="K995" t="str">
        <f t="shared" si="47"/>
        <v>No</v>
      </c>
      <c r="L995" t="s">
        <v>2380</v>
      </c>
    </row>
    <row r="996" spans="1:12" x14ac:dyDescent="0.35">
      <c r="A996" t="s">
        <v>1376</v>
      </c>
      <c r="B996" t="str">
        <f t="shared" si="45"/>
        <v>Overweight</v>
      </c>
      <c r="C996">
        <v>28.31</v>
      </c>
      <c r="D996" t="str">
        <f t="shared" si="46"/>
        <v>Normal</v>
      </c>
      <c r="E996">
        <v>4.55</v>
      </c>
      <c r="F996" t="s">
        <v>2380</v>
      </c>
      <c r="G996" t="s">
        <v>2382</v>
      </c>
      <c r="H996" t="s">
        <v>2380</v>
      </c>
      <c r="J996">
        <v>1</v>
      </c>
      <c r="K996" t="str">
        <f t="shared" si="47"/>
        <v>No</v>
      </c>
      <c r="L996" t="s">
        <v>2380</v>
      </c>
    </row>
    <row r="997" spans="1:12" x14ac:dyDescent="0.35">
      <c r="A997" t="s">
        <v>1375</v>
      </c>
      <c r="B997" t="str">
        <f t="shared" si="45"/>
        <v>Overweight</v>
      </c>
      <c r="C997">
        <v>29.79</v>
      </c>
      <c r="D997" t="str">
        <f t="shared" si="46"/>
        <v>Diabetes</v>
      </c>
      <c r="E997">
        <v>9.0299999999999994</v>
      </c>
      <c r="F997" t="s">
        <v>2380</v>
      </c>
      <c r="G997" t="s">
        <v>2380</v>
      </c>
      <c r="H997" t="s">
        <v>2380</v>
      </c>
      <c r="J997" t="s">
        <v>2381</v>
      </c>
      <c r="K997" t="str">
        <f t="shared" si="47"/>
        <v>No</v>
      </c>
      <c r="L997" t="s">
        <v>2380</v>
      </c>
    </row>
    <row r="998" spans="1:12" x14ac:dyDescent="0.35">
      <c r="A998" t="s">
        <v>1374</v>
      </c>
      <c r="B998" t="str">
        <f t="shared" si="45"/>
        <v>Obesity</v>
      </c>
      <c r="C998">
        <v>36.6</v>
      </c>
      <c r="D998" t="str">
        <f t="shared" si="46"/>
        <v>Normal</v>
      </c>
      <c r="E998">
        <v>5.2</v>
      </c>
      <c r="F998" t="s">
        <v>2382</v>
      </c>
      <c r="G998" t="s">
        <v>2380</v>
      </c>
      <c r="H998" t="s">
        <v>2383</v>
      </c>
      <c r="J998">
        <v>1</v>
      </c>
      <c r="K998" t="str">
        <f t="shared" si="47"/>
        <v>No</v>
      </c>
      <c r="L998" t="s">
        <v>2380</v>
      </c>
    </row>
    <row r="999" spans="1:12" x14ac:dyDescent="0.35">
      <c r="A999" t="s">
        <v>1373</v>
      </c>
      <c r="B999" t="str">
        <f t="shared" si="45"/>
        <v>Obesity</v>
      </c>
      <c r="C999">
        <v>35.93</v>
      </c>
      <c r="D999" t="str">
        <f t="shared" si="46"/>
        <v>Diabetes</v>
      </c>
      <c r="E999">
        <v>8.3000000000000007</v>
      </c>
      <c r="F999" t="s">
        <v>2382</v>
      </c>
      <c r="G999" t="s">
        <v>2380</v>
      </c>
      <c r="H999" t="s">
        <v>2380</v>
      </c>
      <c r="J999" t="s">
        <v>2381</v>
      </c>
      <c r="K999" t="str">
        <f t="shared" si="47"/>
        <v>No</v>
      </c>
      <c r="L999" t="s">
        <v>2380</v>
      </c>
    </row>
    <row r="1000" spans="1:12" x14ac:dyDescent="0.35">
      <c r="A1000" t="s">
        <v>1372</v>
      </c>
      <c r="B1000" t="str">
        <f t="shared" si="45"/>
        <v>Overweight</v>
      </c>
      <c r="C1000">
        <v>28.6</v>
      </c>
      <c r="D1000" t="str">
        <f t="shared" si="46"/>
        <v>Normal</v>
      </c>
      <c r="E1000">
        <v>5.56</v>
      </c>
      <c r="F1000" t="s">
        <v>2382</v>
      </c>
      <c r="G1000" t="s">
        <v>2380</v>
      </c>
      <c r="H1000" t="s">
        <v>2383</v>
      </c>
      <c r="J1000">
        <v>1</v>
      </c>
      <c r="K1000" t="str">
        <f t="shared" si="47"/>
        <v>No</v>
      </c>
      <c r="L1000" t="s">
        <v>2380</v>
      </c>
    </row>
    <row r="1001" spans="1:12" x14ac:dyDescent="0.35">
      <c r="A1001" t="s">
        <v>1371</v>
      </c>
      <c r="B1001" t="str">
        <f t="shared" si="45"/>
        <v>Obesity</v>
      </c>
      <c r="C1001">
        <v>39.17</v>
      </c>
      <c r="D1001" t="str">
        <f t="shared" si="46"/>
        <v>Normal</v>
      </c>
      <c r="E1001">
        <v>4.1500000000000004</v>
      </c>
      <c r="F1001" t="s">
        <v>2380</v>
      </c>
      <c r="G1001" t="s">
        <v>2380</v>
      </c>
      <c r="H1001" t="s">
        <v>2380</v>
      </c>
      <c r="J1001" t="s">
        <v>2381</v>
      </c>
      <c r="K1001" t="str">
        <f t="shared" si="47"/>
        <v>No</v>
      </c>
      <c r="L1001" t="s">
        <v>2380</v>
      </c>
    </row>
    <row r="1002" spans="1:12" x14ac:dyDescent="0.35">
      <c r="A1002" t="s">
        <v>1370</v>
      </c>
      <c r="B1002" t="str">
        <f t="shared" si="45"/>
        <v>Overweight</v>
      </c>
      <c r="C1002">
        <v>26.41</v>
      </c>
      <c r="D1002" t="str">
        <f t="shared" si="46"/>
        <v>Prediabetes</v>
      </c>
      <c r="E1002">
        <v>5.99</v>
      </c>
      <c r="F1002" t="s">
        <v>2382</v>
      </c>
      <c r="G1002" t="s">
        <v>2380</v>
      </c>
      <c r="H1002" t="s">
        <v>2383</v>
      </c>
      <c r="J1002">
        <v>1</v>
      </c>
      <c r="K1002" t="str">
        <f t="shared" si="47"/>
        <v>No</v>
      </c>
      <c r="L1002" t="s">
        <v>2380</v>
      </c>
    </row>
    <row r="1003" spans="1:12" x14ac:dyDescent="0.35">
      <c r="A1003" t="s">
        <v>1369</v>
      </c>
      <c r="B1003" t="str">
        <f t="shared" si="45"/>
        <v>Obesity</v>
      </c>
      <c r="C1003">
        <v>30.63</v>
      </c>
      <c r="D1003" t="str">
        <f t="shared" si="46"/>
        <v>Prediabetes</v>
      </c>
      <c r="E1003">
        <v>5.8</v>
      </c>
      <c r="F1003" t="s">
        <v>2382</v>
      </c>
      <c r="G1003" t="s">
        <v>2380</v>
      </c>
      <c r="H1003" t="s">
        <v>2380</v>
      </c>
      <c r="J1003" t="s">
        <v>2381</v>
      </c>
      <c r="K1003" t="str">
        <f t="shared" si="47"/>
        <v>No</v>
      </c>
      <c r="L1003" t="s">
        <v>2380</v>
      </c>
    </row>
    <row r="1004" spans="1:12" x14ac:dyDescent="0.35">
      <c r="A1004" t="s">
        <v>1368</v>
      </c>
      <c r="B1004" t="str">
        <f t="shared" si="45"/>
        <v>Obesity</v>
      </c>
      <c r="C1004">
        <v>31.73</v>
      </c>
      <c r="D1004" t="str">
        <f t="shared" si="46"/>
        <v>Diabetes</v>
      </c>
      <c r="E1004">
        <v>7.32</v>
      </c>
      <c r="F1004" t="s">
        <v>2382</v>
      </c>
      <c r="G1004" t="s">
        <v>2380</v>
      </c>
      <c r="H1004" t="s">
        <v>2380</v>
      </c>
      <c r="J1004">
        <v>2</v>
      </c>
      <c r="K1004" t="str">
        <f t="shared" si="47"/>
        <v>No</v>
      </c>
      <c r="L1004" t="s">
        <v>2380</v>
      </c>
    </row>
    <row r="1005" spans="1:12" x14ac:dyDescent="0.35">
      <c r="A1005" t="s">
        <v>1367</v>
      </c>
      <c r="B1005" t="str">
        <f t="shared" si="45"/>
        <v>Obesity</v>
      </c>
      <c r="C1005">
        <v>30.7</v>
      </c>
      <c r="D1005" t="str">
        <f t="shared" si="46"/>
        <v>Normal</v>
      </c>
      <c r="E1005">
        <v>5.16</v>
      </c>
      <c r="F1005" t="s">
        <v>2380</v>
      </c>
      <c r="G1005" t="s">
        <v>2380</v>
      </c>
      <c r="H1005" t="s">
        <v>2380</v>
      </c>
      <c r="J1005">
        <v>2</v>
      </c>
      <c r="K1005" t="str">
        <f t="shared" si="47"/>
        <v>No</v>
      </c>
      <c r="L1005" t="s">
        <v>2380</v>
      </c>
    </row>
    <row r="1006" spans="1:12" x14ac:dyDescent="0.35">
      <c r="A1006" t="s">
        <v>1366</v>
      </c>
      <c r="B1006" t="str">
        <f t="shared" si="45"/>
        <v>Overweight</v>
      </c>
      <c r="C1006">
        <v>25.934999999999999</v>
      </c>
      <c r="D1006" t="str">
        <f t="shared" si="46"/>
        <v>Prediabetes</v>
      </c>
      <c r="E1006">
        <v>5.96</v>
      </c>
      <c r="F1006" t="s">
        <v>2382</v>
      </c>
      <c r="G1006" t="s">
        <v>2380</v>
      </c>
      <c r="H1006" t="s">
        <v>2380</v>
      </c>
      <c r="J1006">
        <v>2</v>
      </c>
      <c r="K1006" t="str">
        <f t="shared" si="47"/>
        <v>No</v>
      </c>
      <c r="L1006" t="s">
        <v>2380</v>
      </c>
    </row>
    <row r="1007" spans="1:12" x14ac:dyDescent="0.35">
      <c r="A1007" t="s">
        <v>1365</v>
      </c>
      <c r="B1007" t="str">
        <f t="shared" si="45"/>
        <v>Obesity</v>
      </c>
      <c r="C1007">
        <v>35.9</v>
      </c>
      <c r="D1007" t="str">
        <f t="shared" si="46"/>
        <v>Normal</v>
      </c>
      <c r="E1007">
        <v>4.8499999999999996</v>
      </c>
      <c r="F1007" t="s">
        <v>2382</v>
      </c>
      <c r="G1007" t="s">
        <v>2380</v>
      </c>
      <c r="H1007" t="s">
        <v>2383</v>
      </c>
      <c r="J1007">
        <v>1</v>
      </c>
      <c r="K1007" t="str">
        <f t="shared" si="47"/>
        <v>No</v>
      </c>
      <c r="L1007" t="s">
        <v>2380</v>
      </c>
    </row>
    <row r="1008" spans="1:12" x14ac:dyDescent="0.35">
      <c r="A1008" t="s">
        <v>1364</v>
      </c>
      <c r="B1008" t="str">
        <f t="shared" si="45"/>
        <v>Overweight</v>
      </c>
      <c r="C1008">
        <v>26.7</v>
      </c>
      <c r="D1008" t="str">
        <f t="shared" si="46"/>
        <v>Normal</v>
      </c>
      <c r="E1008">
        <v>5.09</v>
      </c>
      <c r="F1008" t="s">
        <v>2382</v>
      </c>
      <c r="G1008" t="s">
        <v>2380</v>
      </c>
      <c r="H1008" t="s">
        <v>2383</v>
      </c>
      <c r="J1008">
        <v>1</v>
      </c>
      <c r="K1008" t="str">
        <f t="shared" si="47"/>
        <v>No</v>
      </c>
      <c r="L1008" t="s">
        <v>2380</v>
      </c>
    </row>
    <row r="1009" spans="1:12" x14ac:dyDescent="0.35">
      <c r="A1009" t="s">
        <v>1363</v>
      </c>
      <c r="B1009" t="str">
        <f t="shared" si="45"/>
        <v>Obesity</v>
      </c>
      <c r="C1009">
        <v>33.71</v>
      </c>
      <c r="D1009" t="str">
        <f t="shared" si="46"/>
        <v>Normal</v>
      </c>
      <c r="E1009">
        <v>4.9400000000000004</v>
      </c>
      <c r="F1009" t="s">
        <v>2380</v>
      </c>
      <c r="G1009" t="s">
        <v>2380</v>
      </c>
      <c r="H1009" t="s">
        <v>2380</v>
      </c>
      <c r="J1009" t="s">
        <v>2381</v>
      </c>
      <c r="K1009" t="str">
        <f t="shared" si="47"/>
        <v>No</v>
      </c>
      <c r="L1009" t="s">
        <v>2380</v>
      </c>
    </row>
    <row r="1010" spans="1:12" x14ac:dyDescent="0.35">
      <c r="A1010" t="s">
        <v>1362</v>
      </c>
      <c r="B1010" t="str">
        <f t="shared" si="45"/>
        <v>Obesity</v>
      </c>
      <c r="C1010">
        <v>41.91</v>
      </c>
      <c r="D1010" t="str">
        <f t="shared" si="46"/>
        <v>Normal</v>
      </c>
      <c r="E1010">
        <v>4.92</v>
      </c>
      <c r="F1010" t="s">
        <v>2382</v>
      </c>
      <c r="G1010" t="s">
        <v>2380</v>
      </c>
      <c r="H1010" t="s">
        <v>2380</v>
      </c>
      <c r="J1010">
        <v>2</v>
      </c>
      <c r="K1010" t="str">
        <f t="shared" si="47"/>
        <v>No</v>
      </c>
      <c r="L1010" t="s">
        <v>2380</v>
      </c>
    </row>
    <row r="1011" spans="1:12" x14ac:dyDescent="0.35">
      <c r="A1011" t="s">
        <v>1361</v>
      </c>
      <c r="B1011" t="str">
        <f t="shared" si="45"/>
        <v>Obesity</v>
      </c>
      <c r="C1011">
        <v>39.82</v>
      </c>
      <c r="D1011" t="str">
        <f t="shared" si="46"/>
        <v>Prediabetes</v>
      </c>
      <c r="E1011">
        <v>6.05</v>
      </c>
      <c r="F1011" t="s">
        <v>2382</v>
      </c>
      <c r="G1011" t="s">
        <v>2380</v>
      </c>
      <c r="H1011" t="s">
        <v>2380</v>
      </c>
      <c r="J1011">
        <v>2</v>
      </c>
      <c r="K1011" t="str">
        <f t="shared" si="47"/>
        <v>No</v>
      </c>
      <c r="L1011" t="s">
        <v>2380</v>
      </c>
    </row>
    <row r="1012" spans="1:12" x14ac:dyDescent="0.35">
      <c r="A1012" t="s">
        <v>1360</v>
      </c>
      <c r="B1012" t="str">
        <f t="shared" si="45"/>
        <v>Overweight</v>
      </c>
      <c r="C1012">
        <v>28.12</v>
      </c>
      <c r="D1012" t="str">
        <f t="shared" si="46"/>
        <v>Normal</v>
      </c>
      <c r="E1012">
        <v>4.67</v>
      </c>
      <c r="F1012" t="s">
        <v>2380</v>
      </c>
      <c r="G1012" t="s">
        <v>2380</v>
      </c>
      <c r="H1012" t="s">
        <v>2380</v>
      </c>
      <c r="J1012">
        <v>2</v>
      </c>
      <c r="K1012" t="str">
        <f t="shared" si="47"/>
        <v>No</v>
      </c>
      <c r="L1012" t="s">
        <v>2380</v>
      </c>
    </row>
    <row r="1013" spans="1:12" x14ac:dyDescent="0.35">
      <c r="A1013" t="s">
        <v>1359</v>
      </c>
      <c r="B1013" t="str">
        <f t="shared" si="45"/>
        <v>Overweight</v>
      </c>
      <c r="C1013">
        <v>26.98</v>
      </c>
      <c r="D1013" t="str">
        <f t="shared" si="46"/>
        <v>Diabetes</v>
      </c>
      <c r="E1013">
        <v>9.81</v>
      </c>
      <c r="F1013" t="s">
        <v>2382</v>
      </c>
      <c r="G1013" t="s">
        <v>2380</v>
      </c>
      <c r="H1013" t="s">
        <v>2380</v>
      </c>
      <c r="J1013" t="s">
        <v>2381</v>
      </c>
      <c r="K1013" t="str">
        <f t="shared" si="47"/>
        <v>No</v>
      </c>
      <c r="L1013" t="s">
        <v>2380</v>
      </c>
    </row>
    <row r="1014" spans="1:12" x14ac:dyDescent="0.35">
      <c r="A1014" t="s">
        <v>1358</v>
      </c>
      <c r="B1014" t="str">
        <f t="shared" si="45"/>
        <v>Overweight</v>
      </c>
      <c r="C1014">
        <v>27.2</v>
      </c>
      <c r="D1014" t="str">
        <f t="shared" si="46"/>
        <v>Prediabetes</v>
      </c>
      <c r="E1014">
        <v>6.06</v>
      </c>
      <c r="F1014" t="s">
        <v>2382</v>
      </c>
      <c r="G1014" t="s">
        <v>2380</v>
      </c>
      <c r="H1014" t="s">
        <v>2380</v>
      </c>
      <c r="J1014">
        <v>2</v>
      </c>
      <c r="K1014" t="str">
        <f t="shared" si="47"/>
        <v>No</v>
      </c>
      <c r="L1014" t="s">
        <v>2380</v>
      </c>
    </row>
    <row r="1015" spans="1:12" x14ac:dyDescent="0.35">
      <c r="A1015" t="s">
        <v>1357</v>
      </c>
      <c r="B1015" t="str">
        <f t="shared" si="45"/>
        <v>Overweight</v>
      </c>
      <c r="C1015">
        <v>25.3</v>
      </c>
      <c r="D1015" t="str">
        <f t="shared" si="46"/>
        <v>Normal</v>
      </c>
      <c r="E1015">
        <v>5.19</v>
      </c>
      <c r="F1015" t="s">
        <v>2382</v>
      </c>
      <c r="G1015" t="s">
        <v>2380</v>
      </c>
      <c r="H1015" t="s">
        <v>2380</v>
      </c>
      <c r="J1015">
        <v>2</v>
      </c>
      <c r="K1015" t="str">
        <f t="shared" si="47"/>
        <v>No</v>
      </c>
      <c r="L1015" t="s">
        <v>2380</v>
      </c>
    </row>
    <row r="1016" spans="1:12" x14ac:dyDescent="0.35">
      <c r="A1016" t="s">
        <v>1356</v>
      </c>
      <c r="B1016" t="str">
        <f t="shared" si="45"/>
        <v>Obesity</v>
      </c>
      <c r="C1016">
        <v>30.25</v>
      </c>
      <c r="D1016" t="str">
        <f t="shared" si="46"/>
        <v>Diabetes</v>
      </c>
      <c r="E1016">
        <v>10.16</v>
      </c>
      <c r="F1016" t="s">
        <v>2380</v>
      </c>
      <c r="G1016" t="s">
        <v>2380</v>
      </c>
      <c r="H1016" t="s">
        <v>2380</v>
      </c>
      <c r="J1016" t="s">
        <v>2381</v>
      </c>
      <c r="K1016" t="str">
        <f t="shared" si="47"/>
        <v>No</v>
      </c>
      <c r="L1016" t="s">
        <v>2380</v>
      </c>
    </row>
    <row r="1017" spans="1:12" x14ac:dyDescent="0.35">
      <c r="A1017" t="s">
        <v>1355</v>
      </c>
      <c r="B1017" t="str">
        <f t="shared" si="45"/>
        <v>Obesity</v>
      </c>
      <c r="C1017">
        <v>54</v>
      </c>
      <c r="D1017" t="str">
        <f t="shared" si="46"/>
        <v>Normal</v>
      </c>
      <c r="E1017">
        <v>4.68</v>
      </c>
      <c r="F1017" t="s">
        <v>2382</v>
      </c>
      <c r="G1017" t="s">
        <v>2382</v>
      </c>
      <c r="H1017" t="s">
        <v>2380</v>
      </c>
      <c r="J1017">
        <v>2</v>
      </c>
      <c r="K1017" t="str">
        <f t="shared" si="47"/>
        <v>No</v>
      </c>
      <c r="L1017" t="s">
        <v>2380</v>
      </c>
    </row>
    <row r="1018" spans="1:12" x14ac:dyDescent="0.35">
      <c r="A1018" t="s">
        <v>1354</v>
      </c>
      <c r="B1018" t="str">
        <f t="shared" si="45"/>
        <v>Obesity</v>
      </c>
      <c r="C1018">
        <v>51.86</v>
      </c>
      <c r="D1018" t="str">
        <f t="shared" si="46"/>
        <v>Normal</v>
      </c>
      <c r="E1018">
        <v>5.32</v>
      </c>
      <c r="F1018" t="s">
        <v>2382</v>
      </c>
      <c r="G1018" t="s">
        <v>2380</v>
      </c>
      <c r="H1018" t="s">
        <v>2380</v>
      </c>
      <c r="J1018" t="s">
        <v>2381</v>
      </c>
      <c r="K1018" t="str">
        <f t="shared" si="47"/>
        <v>No</v>
      </c>
      <c r="L1018" t="s">
        <v>2380</v>
      </c>
    </row>
    <row r="1019" spans="1:12" x14ac:dyDescent="0.35">
      <c r="A1019" t="s">
        <v>1353</v>
      </c>
      <c r="B1019" t="str">
        <f t="shared" si="45"/>
        <v>Obesity</v>
      </c>
      <c r="C1019">
        <v>31.39</v>
      </c>
      <c r="D1019" t="str">
        <f t="shared" si="46"/>
        <v>Diabetes</v>
      </c>
      <c r="E1019">
        <v>6.99</v>
      </c>
      <c r="F1019" t="s">
        <v>2380</v>
      </c>
      <c r="G1019" t="s">
        <v>2380</v>
      </c>
      <c r="H1019" t="s">
        <v>2380</v>
      </c>
      <c r="J1019" t="s">
        <v>2381</v>
      </c>
      <c r="K1019" t="str">
        <f t="shared" si="47"/>
        <v>No</v>
      </c>
      <c r="L1019" t="s">
        <v>2380</v>
      </c>
    </row>
    <row r="1020" spans="1:12" x14ac:dyDescent="0.35">
      <c r="A1020" t="s">
        <v>1352</v>
      </c>
      <c r="B1020" t="str">
        <f t="shared" si="45"/>
        <v>Obesity</v>
      </c>
      <c r="C1020">
        <v>39.97</v>
      </c>
      <c r="D1020" t="str">
        <f t="shared" si="46"/>
        <v>Normal</v>
      </c>
      <c r="E1020">
        <v>5.55</v>
      </c>
      <c r="F1020" t="s">
        <v>2380</v>
      </c>
      <c r="G1020" t="s">
        <v>2380</v>
      </c>
      <c r="H1020" t="s">
        <v>2380</v>
      </c>
      <c r="J1020" t="s">
        <v>2381</v>
      </c>
      <c r="K1020" t="str">
        <f t="shared" si="47"/>
        <v>No</v>
      </c>
      <c r="L1020" t="s">
        <v>2380</v>
      </c>
    </row>
    <row r="1021" spans="1:12" x14ac:dyDescent="0.35">
      <c r="A1021" t="s">
        <v>1351</v>
      </c>
      <c r="B1021" t="str">
        <f t="shared" si="45"/>
        <v>Obesity</v>
      </c>
      <c r="C1021">
        <v>41.23</v>
      </c>
      <c r="D1021" t="str">
        <f t="shared" si="46"/>
        <v>Diabetes</v>
      </c>
      <c r="E1021">
        <v>6.94</v>
      </c>
      <c r="F1021" t="s">
        <v>2380</v>
      </c>
      <c r="G1021" t="s">
        <v>2380</v>
      </c>
      <c r="H1021" t="s">
        <v>2380</v>
      </c>
      <c r="J1021" t="s">
        <v>2381</v>
      </c>
      <c r="K1021" t="str">
        <f t="shared" si="47"/>
        <v>No</v>
      </c>
      <c r="L1021" t="s">
        <v>2380</v>
      </c>
    </row>
    <row r="1022" spans="1:12" x14ac:dyDescent="0.35">
      <c r="A1022" t="s">
        <v>1350</v>
      </c>
      <c r="B1022" t="str">
        <f t="shared" si="45"/>
        <v>Obesity</v>
      </c>
      <c r="C1022">
        <v>49.45</v>
      </c>
      <c r="D1022" t="str">
        <f t="shared" si="46"/>
        <v>Normal</v>
      </c>
      <c r="E1022">
        <v>4.2</v>
      </c>
      <c r="F1022" t="s">
        <v>2382</v>
      </c>
      <c r="G1022" t="s">
        <v>2380</v>
      </c>
      <c r="H1022" t="s">
        <v>2380</v>
      </c>
      <c r="J1022" t="s">
        <v>2381</v>
      </c>
      <c r="K1022" t="str">
        <f t="shared" si="47"/>
        <v>No</v>
      </c>
      <c r="L1022" t="s">
        <v>2380</v>
      </c>
    </row>
    <row r="1023" spans="1:12" x14ac:dyDescent="0.35">
      <c r="A1023" t="s">
        <v>1349</v>
      </c>
      <c r="B1023" t="str">
        <f t="shared" si="45"/>
        <v>Obesity</v>
      </c>
      <c r="C1023">
        <v>41.04</v>
      </c>
      <c r="D1023" t="str">
        <f t="shared" si="46"/>
        <v>Normal</v>
      </c>
      <c r="E1023">
        <v>5.59</v>
      </c>
      <c r="F1023" t="s">
        <v>2380</v>
      </c>
      <c r="G1023" t="s">
        <v>2380</v>
      </c>
      <c r="H1023" t="s">
        <v>2380</v>
      </c>
      <c r="J1023" t="s">
        <v>2381</v>
      </c>
      <c r="K1023" t="str">
        <f t="shared" si="47"/>
        <v>No</v>
      </c>
      <c r="L1023" t="s">
        <v>2380</v>
      </c>
    </row>
    <row r="1024" spans="1:12" x14ac:dyDescent="0.35">
      <c r="A1024" t="s">
        <v>1348</v>
      </c>
      <c r="B1024" t="str">
        <f t="shared" si="45"/>
        <v>Overweight</v>
      </c>
      <c r="C1024">
        <v>27.93</v>
      </c>
      <c r="D1024" t="str">
        <f t="shared" si="46"/>
        <v>Diabetes</v>
      </c>
      <c r="E1024">
        <v>9.9600000000000009</v>
      </c>
      <c r="F1024" t="s">
        <v>2380</v>
      </c>
      <c r="G1024" t="s">
        <v>2380</v>
      </c>
      <c r="H1024" t="s">
        <v>2380</v>
      </c>
      <c r="J1024" t="s">
        <v>2381</v>
      </c>
      <c r="K1024" t="str">
        <f t="shared" si="47"/>
        <v>No</v>
      </c>
      <c r="L1024" t="s">
        <v>2380</v>
      </c>
    </row>
    <row r="1025" spans="1:12" x14ac:dyDescent="0.35">
      <c r="A1025" t="s">
        <v>1347</v>
      </c>
      <c r="B1025" t="str">
        <f t="shared" si="45"/>
        <v>Normal Weight</v>
      </c>
      <c r="C1025">
        <v>21.01</v>
      </c>
      <c r="D1025" t="str">
        <f t="shared" si="46"/>
        <v>Diabetes</v>
      </c>
      <c r="E1025">
        <v>7.37</v>
      </c>
      <c r="F1025" t="s">
        <v>2380</v>
      </c>
      <c r="G1025" t="s">
        <v>2380</v>
      </c>
      <c r="H1025" t="s">
        <v>2380</v>
      </c>
      <c r="J1025" t="s">
        <v>2381</v>
      </c>
      <c r="K1025" t="str">
        <f t="shared" si="47"/>
        <v>No</v>
      </c>
      <c r="L1025" t="s">
        <v>2380</v>
      </c>
    </row>
    <row r="1026" spans="1:12" x14ac:dyDescent="0.35">
      <c r="A1026" t="s">
        <v>1346</v>
      </c>
      <c r="B1026" t="str">
        <f t="shared" si="45"/>
        <v>Obesity</v>
      </c>
      <c r="C1026">
        <v>52.37</v>
      </c>
      <c r="D1026" t="str">
        <f t="shared" si="46"/>
        <v>Normal</v>
      </c>
      <c r="E1026">
        <v>5.0599999999999996</v>
      </c>
      <c r="F1026" t="s">
        <v>2382</v>
      </c>
      <c r="G1026" t="s">
        <v>2382</v>
      </c>
      <c r="H1026" t="s">
        <v>2380</v>
      </c>
      <c r="J1026">
        <v>2</v>
      </c>
      <c r="K1026" t="str">
        <f t="shared" si="47"/>
        <v>No</v>
      </c>
      <c r="L1026" t="s">
        <v>2380</v>
      </c>
    </row>
    <row r="1027" spans="1:12" x14ac:dyDescent="0.35">
      <c r="A1027" t="s">
        <v>1345</v>
      </c>
      <c r="B1027" t="str">
        <f t="shared" ref="B1027:B1090" si="48">_xlfn.IFS(C1027&lt;18.5, "Underweight", C1027&lt;=24.9, "Normal Weight", C1027&lt;=29.9, "Overweight", C1027&gt;=30, "Obesity")</f>
        <v>Obesity</v>
      </c>
      <c r="C1027">
        <v>40.369999999999997</v>
      </c>
      <c r="D1027" t="str">
        <f t="shared" ref="D1027:D1090" si="49">_xlfn.IFS(E1027&lt;5.7, "Normal", E1027&lt;=6.4, "Prediabetes", E1027&gt;=6.5, "Diabetes")</f>
        <v>Diabetes</v>
      </c>
      <c r="E1027">
        <v>8.2100000000000009</v>
      </c>
      <c r="F1027" t="s">
        <v>2380</v>
      </c>
      <c r="G1027" t="s">
        <v>2380</v>
      </c>
      <c r="H1027" t="s">
        <v>2380</v>
      </c>
      <c r="J1027" t="s">
        <v>2381</v>
      </c>
      <c r="K1027" t="str">
        <f t="shared" si="47"/>
        <v>No</v>
      </c>
      <c r="L1027" t="s">
        <v>2380</v>
      </c>
    </row>
    <row r="1028" spans="1:12" x14ac:dyDescent="0.35">
      <c r="A1028" t="s">
        <v>1344</v>
      </c>
      <c r="B1028" t="str">
        <f t="shared" si="48"/>
        <v>Obesity</v>
      </c>
      <c r="C1028">
        <v>41.47</v>
      </c>
      <c r="D1028" t="str">
        <f t="shared" si="49"/>
        <v>Diabetes</v>
      </c>
      <c r="E1028">
        <v>10.34</v>
      </c>
      <c r="F1028" t="s">
        <v>2380</v>
      </c>
      <c r="G1028" t="s">
        <v>2380</v>
      </c>
      <c r="H1028" t="s">
        <v>2380</v>
      </c>
      <c r="J1028">
        <v>2</v>
      </c>
      <c r="K1028" t="str">
        <f t="shared" ref="K1028:K1091" si="50">IF(OR(L1028="?", ISBLANK(L1028)), "No", L1028)</f>
        <v>No</v>
      </c>
      <c r="L1028" t="s">
        <v>2380</v>
      </c>
    </row>
    <row r="1029" spans="1:12" x14ac:dyDescent="0.35">
      <c r="A1029" t="s">
        <v>1343</v>
      </c>
      <c r="B1029" t="str">
        <f t="shared" si="48"/>
        <v>Obesity</v>
      </c>
      <c r="C1029">
        <v>33.725000000000001</v>
      </c>
      <c r="D1029" t="str">
        <f t="shared" si="49"/>
        <v>Normal</v>
      </c>
      <c r="E1029">
        <v>5.51</v>
      </c>
      <c r="F1029" t="s">
        <v>2382</v>
      </c>
      <c r="G1029" t="s">
        <v>2380</v>
      </c>
      <c r="H1029" t="s">
        <v>2380</v>
      </c>
      <c r="J1029">
        <v>2</v>
      </c>
      <c r="K1029" t="str">
        <f t="shared" si="50"/>
        <v>No</v>
      </c>
      <c r="L1029" t="s">
        <v>2380</v>
      </c>
    </row>
    <row r="1030" spans="1:12" x14ac:dyDescent="0.35">
      <c r="A1030" t="s">
        <v>1342</v>
      </c>
      <c r="B1030" t="str">
        <f t="shared" si="48"/>
        <v>Overweight</v>
      </c>
      <c r="C1030">
        <v>28.1</v>
      </c>
      <c r="D1030" t="str">
        <f t="shared" si="49"/>
        <v>Diabetes</v>
      </c>
      <c r="E1030">
        <v>11.2</v>
      </c>
      <c r="F1030" t="s">
        <v>2380</v>
      </c>
      <c r="G1030" t="s">
        <v>2380</v>
      </c>
      <c r="H1030" t="s">
        <v>2380</v>
      </c>
      <c r="J1030" t="s">
        <v>2381</v>
      </c>
      <c r="K1030" t="str">
        <f t="shared" si="50"/>
        <v>No</v>
      </c>
      <c r="L1030" t="s">
        <v>2380</v>
      </c>
    </row>
    <row r="1031" spans="1:12" x14ac:dyDescent="0.35">
      <c r="A1031" t="s">
        <v>1341</v>
      </c>
      <c r="B1031" t="str">
        <f t="shared" si="48"/>
        <v>Obesity</v>
      </c>
      <c r="C1031">
        <v>37.43</v>
      </c>
      <c r="D1031" t="str">
        <f t="shared" si="49"/>
        <v>Normal</v>
      </c>
      <c r="E1031">
        <v>4.3499999999999996</v>
      </c>
      <c r="F1031" t="s">
        <v>2382</v>
      </c>
      <c r="G1031" t="s">
        <v>2380</v>
      </c>
      <c r="H1031" t="s">
        <v>2383</v>
      </c>
      <c r="J1031">
        <v>1</v>
      </c>
      <c r="K1031" t="str">
        <f t="shared" si="50"/>
        <v>No</v>
      </c>
      <c r="L1031" t="s">
        <v>2380</v>
      </c>
    </row>
    <row r="1032" spans="1:12" x14ac:dyDescent="0.35">
      <c r="A1032" t="s">
        <v>1340</v>
      </c>
      <c r="B1032" t="str">
        <f t="shared" si="48"/>
        <v>Normal Weight</v>
      </c>
      <c r="C1032">
        <v>23.7</v>
      </c>
      <c r="D1032" t="str">
        <f t="shared" si="49"/>
        <v>Diabetes</v>
      </c>
      <c r="E1032">
        <v>10.45</v>
      </c>
      <c r="F1032" t="s">
        <v>2380</v>
      </c>
      <c r="G1032" t="s">
        <v>2380</v>
      </c>
      <c r="H1032" t="s">
        <v>2380</v>
      </c>
      <c r="J1032" t="s">
        <v>2381</v>
      </c>
      <c r="K1032" t="str">
        <f t="shared" si="50"/>
        <v>No</v>
      </c>
      <c r="L1032" t="s">
        <v>2380</v>
      </c>
    </row>
    <row r="1033" spans="1:12" x14ac:dyDescent="0.35">
      <c r="A1033" t="s">
        <v>1339</v>
      </c>
      <c r="B1033" t="str">
        <f t="shared" si="48"/>
        <v>Normal Weight</v>
      </c>
      <c r="C1033">
        <v>24.795000000000002</v>
      </c>
      <c r="D1033" t="str">
        <f t="shared" si="49"/>
        <v>Normal</v>
      </c>
      <c r="E1033">
        <v>4.07</v>
      </c>
      <c r="F1033" t="s">
        <v>2382</v>
      </c>
      <c r="G1033" t="s">
        <v>2380</v>
      </c>
      <c r="H1033" t="s">
        <v>2383</v>
      </c>
      <c r="J1033">
        <v>1</v>
      </c>
      <c r="K1033" t="str">
        <f t="shared" si="50"/>
        <v>No</v>
      </c>
      <c r="L1033" t="s">
        <v>2380</v>
      </c>
    </row>
    <row r="1034" spans="1:12" x14ac:dyDescent="0.35">
      <c r="A1034" t="s">
        <v>1338</v>
      </c>
      <c r="B1034" t="str">
        <f t="shared" si="48"/>
        <v>Obesity</v>
      </c>
      <c r="C1034">
        <v>31.9</v>
      </c>
      <c r="D1034" t="str">
        <f t="shared" si="49"/>
        <v>Diabetes</v>
      </c>
      <c r="E1034">
        <v>8.34</v>
      </c>
      <c r="F1034" t="s">
        <v>2380</v>
      </c>
      <c r="G1034" t="s">
        <v>2380</v>
      </c>
      <c r="H1034" t="s">
        <v>2380</v>
      </c>
      <c r="J1034" t="s">
        <v>2381</v>
      </c>
      <c r="K1034" t="str">
        <f t="shared" si="50"/>
        <v>No</v>
      </c>
      <c r="L1034" t="s">
        <v>2380</v>
      </c>
    </row>
    <row r="1035" spans="1:12" x14ac:dyDescent="0.35">
      <c r="A1035" t="s">
        <v>1337</v>
      </c>
      <c r="B1035" t="str">
        <f t="shared" si="48"/>
        <v>Obesity</v>
      </c>
      <c r="C1035">
        <v>32.68</v>
      </c>
      <c r="D1035" t="str">
        <f t="shared" si="49"/>
        <v>Diabetes</v>
      </c>
      <c r="E1035">
        <v>7.41</v>
      </c>
      <c r="F1035" t="s">
        <v>2380</v>
      </c>
      <c r="G1035" t="s">
        <v>2380</v>
      </c>
      <c r="H1035" t="s">
        <v>2380</v>
      </c>
      <c r="J1035" t="s">
        <v>2381</v>
      </c>
      <c r="K1035" t="str">
        <f t="shared" si="50"/>
        <v>No</v>
      </c>
      <c r="L1035" t="s">
        <v>2380</v>
      </c>
    </row>
    <row r="1036" spans="1:12" x14ac:dyDescent="0.35">
      <c r="A1036" t="s">
        <v>1336</v>
      </c>
      <c r="B1036" t="str">
        <f t="shared" si="48"/>
        <v>Obesity</v>
      </c>
      <c r="C1036">
        <v>47.13</v>
      </c>
      <c r="D1036" t="str">
        <f t="shared" si="49"/>
        <v>Normal</v>
      </c>
      <c r="E1036">
        <v>4.3099999999999996</v>
      </c>
      <c r="F1036" t="s">
        <v>2380</v>
      </c>
      <c r="G1036" t="s">
        <v>2380</v>
      </c>
      <c r="H1036" t="s">
        <v>2380</v>
      </c>
      <c r="J1036" t="s">
        <v>2381</v>
      </c>
      <c r="K1036" t="str">
        <f t="shared" si="50"/>
        <v>No</v>
      </c>
      <c r="L1036" t="s">
        <v>2380</v>
      </c>
    </row>
    <row r="1037" spans="1:12" x14ac:dyDescent="0.35">
      <c r="A1037" t="s">
        <v>1335</v>
      </c>
      <c r="B1037" t="str">
        <f t="shared" si="48"/>
        <v>Obesity</v>
      </c>
      <c r="C1037">
        <v>36.67</v>
      </c>
      <c r="D1037" t="str">
        <f t="shared" si="49"/>
        <v>Diabetes</v>
      </c>
      <c r="E1037">
        <v>10.83</v>
      </c>
      <c r="F1037" t="s">
        <v>2380</v>
      </c>
      <c r="G1037" t="s">
        <v>2380</v>
      </c>
      <c r="H1037" t="s">
        <v>2380</v>
      </c>
      <c r="J1037" t="s">
        <v>2381</v>
      </c>
      <c r="K1037" t="str">
        <f t="shared" si="50"/>
        <v>No</v>
      </c>
      <c r="L1037" t="s">
        <v>2380</v>
      </c>
    </row>
    <row r="1038" spans="1:12" x14ac:dyDescent="0.35">
      <c r="A1038" t="s">
        <v>1334</v>
      </c>
      <c r="B1038" t="str">
        <f t="shared" si="48"/>
        <v>Obesity</v>
      </c>
      <c r="C1038">
        <v>33.630000000000003</v>
      </c>
      <c r="D1038" t="str">
        <f t="shared" si="49"/>
        <v>Diabetes</v>
      </c>
      <c r="E1038">
        <v>11.31</v>
      </c>
      <c r="F1038" t="s">
        <v>2380</v>
      </c>
      <c r="G1038" t="s">
        <v>2380</v>
      </c>
      <c r="H1038" t="s">
        <v>2380</v>
      </c>
      <c r="J1038" t="s">
        <v>2381</v>
      </c>
      <c r="K1038" t="str">
        <f t="shared" si="50"/>
        <v>No</v>
      </c>
      <c r="L1038" t="s">
        <v>2380</v>
      </c>
    </row>
    <row r="1039" spans="1:12" x14ac:dyDescent="0.35">
      <c r="A1039" t="s">
        <v>1333</v>
      </c>
      <c r="B1039" t="str">
        <f t="shared" si="48"/>
        <v>Obesity</v>
      </c>
      <c r="C1039">
        <v>32.67</v>
      </c>
      <c r="D1039" t="str">
        <f t="shared" si="49"/>
        <v>Diabetes</v>
      </c>
      <c r="E1039">
        <v>11.81</v>
      </c>
      <c r="F1039" t="s">
        <v>2382</v>
      </c>
      <c r="G1039" t="s">
        <v>2380</v>
      </c>
      <c r="H1039" t="s">
        <v>2380</v>
      </c>
      <c r="J1039" t="s">
        <v>2381</v>
      </c>
      <c r="K1039" t="str">
        <f t="shared" si="50"/>
        <v>No</v>
      </c>
      <c r="L1039" t="s">
        <v>2380</v>
      </c>
    </row>
    <row r="1040" spans="1:12" x14ac:dyDescent="0.35">
      <c r="A1040" t="s">
        <v>1332</v>
      </c>
      <c r="B1040" t="str">
        <f t="shared" si="48"/>
        <v>Obesity</v>
      </c>
      <c r="C1040">
        <v>33.299999999999997</v>
      </c>
      <c r="D1040" t="str">
        <f t="shared" si="49"/>
        <v>Diabetes</v>
      </c>
      <c r="E1040">
        <v>8.26</v>
      </c>
      <c r="F1040" t="s">
        <v>2382</v>
      </c>
      <c r="G1040" t="s">
        <v>2380</v>
      </c>
      <c r="H1040" t="s">
        <v>2380</v>
      </c>
      <c r="J1040">
        <v>2</v>
      </c>
      <c r="K1040" t="str">
        <f t="shared" si="50"/>
        <v>No</v>
      </c>
      <c r="L1040" t="s">
        <v>2380</v>
      </c>
    </row>
    <row r="1041" spans="1:12" x14ac:dyDescent="0.35">
      <c r="A1041" t="s">
        <v>1331</v>
      </c>
      <c r="B1041" t="str">
        <f t="shared" si="48"/>
        <v>Obesity</v>
      </c>
      <c r="C1041">
        <v>30.78</v>
      </c>
      <c r="D1041" t="str">
        <f t="shared" si="49"/>
        <v>Diabetes</v>
      </c>
      <c r="E1041">
        <v>10.74</v>
      </c>
      <c r="F1041" t="s">
        <v>2382</v>
      </c>
      <c r="G1041" t="s">
        <v>2380</v>
      </c>
      <c r="H1041" t="s">
        <v>2380</v>
      </c>
      <c r="J1041">
        <v>2</v>
      </c>
      <c r="K1041" t="str">
        <f t="shared" si="50"/>
        <v>No</v>
      </c>
      <c r="L1041" t="s">
        <v>2380</v>
      </c>
    </row>
    <row r="1042" spans="1:12" x14ac:dyDescent="0.35">
      <c r="A1042" t="s">
        <v>1330</v>
      </c>
      <c r="B1042" t="str">
        <f t="shared" si="48"/>
        <v>Overweight</v>
      </c>
      <c r="C1042">
        <v>28.975000000000001</v>
      </c>
      <c r="D1042" t="str">
        <f t="shared" si="49"/>
        <v>Diabetes</v>
      </c>
      <c r="E1042">
        <v>7.69</v>
      </c>
      <c r="F1042" t="s">
        <v>2382</v>
      </c>
      <c r="G1042" t="s">
        <v>2380</v>
      </c>
      <c r="H1042" t="s">
        <v>2380</v>
      </c>
      <c r="J1042" t="s">
        <v>2381</v>
      </c>
      <c r="K1042" t="str">
        <f t="shared" si="50"/>
        <v>No</v>
      </c>
      <c r="L1042" t="s">
        <v>2380</v>
      </c>
    </row>
    <row r="1043" spans="1:12" x14ac:dyDescent="0.35">
      <c r="A1043" t="s">
        <v>1329</v>
      </c>
      <c r="B1043" t="str">
        <f t="shared" si="48"/>
        <v>Obesity</v>
      </c>
      <c r="C1043">
        <v>33.4</v>
      </c>
      <c r="D1043" t="str">
        <f t="shared" si="49"/>
        <v>Normal</v>
      </c>
      <c r="E1043">
        <v>4.84</v>
      </c>
      <c r="F1043" t="s">
        <v>2380</v>
      </c>
      <c r="G1043" t="s">
        <v>2380</v>
      </c>
      <c r="H1043" t="s">
        <v>2380</v>
      </c>
      <c r="J1043" t="s">
        <v>2381</v>
      </c>
      <c r="K1043" t="str">
        <f t="shared" si="50"/>
        <v>No</v>
      </c>
      <c r="L1043" t="s">
        <v>2380</v>
      </c>
    </row>
    <row r="1044" spans="1:12" x14ac:dyDescent="0.35">
      <c r="A1044" t="s">
        <v>1328</v>
      </c>
      <c r="B1044" t="str">
        <f t="shared" si="48"/>
        <v>Normal Weight</v>
      </c>
      <c r="C1044">
        <v>21.5</v>
      </c>
      <c r="D1044" t="str">
        <f t="shared" si="49"/>
        <v>Diabetes</v>
      </c>
      <c r="E1044">
        <v>9.77</v>
      </c>
      <c r="F1044" t="s">
        <v>2382</v>
      </c>
      <c r="G1044" t="s">
        <v>2380</v>
      </c>
      <c r="H1044" t="s">
        <v>2380</v>
      </c>
      <c r="J1044" t="s">
        <v>2381</v>
      </c>
      <c r="K1044" t="str">
        <f t="shared" si="50"/>
        <v>No</v>
      </c>
      <c r="L1044" t="s">
        <v>2380</v>
      </c>
    </row>
    <row r="1045" spans="1:12" x14ac:dyDescent="0.35">
      <c r="A1045" t="s">
        <v>1327</v>
      </c>
      <c r="B1045" t="str">
        <f t="shared" si="48"/>
        <v>Obesity</v>
      </c>
      <c r="C1045">
        <v>38.14</v>
      </c>
      <c r="D1045" t="str">
        <f t="shared" si="49"/>
        <v>Prediabetes</v>
      </c>
      <c r="E1045">
        <v>5.84</v>
      </c>
      <c r="F1045" t="s">
        <v>2380</v>
      </c>
      <c r="G1045" t="s">
        <v>2380</v>
      </c>
      <c r="H1045" t="s">
        <v>2380</v>
      </c>
      <c r="J1045" t="s">
        <v>2381</v>
      </c>
      <c r="K1045" t="str">
        <f t="shared" si="50"/>
        <v>No</v>
      </c>
      <c r="L1045" t="s">
        <v>2380</v>
      </c>
    </row>
    <row r="1046" spans="1:12" x14ac:dyDescent="0.35">
      <c r="A1046" t="s">
        <v>1326</v>
      </c>
      <c r="B1046" t="str">
        <f t="shared" si="48"/>
        <v>Obesity</v>
      </c>
      <c r="C1046">
        <v>35.42</v>
      </c>
      <c r="D1046" t="str">
        <f t="shared" si="49"/>
        <v>Diabetes</v>
      </c>
      <c r="E1046">
        <v>8.6999999999999993</v>
      </c>
      <c r="F1046" t="s">
        <v>2382</v>
      </c>
      <c r="G1046" t="s">
        <v>2380</v>
      </c>
      <c r="H1046" t="s">
        <v>2380</v>
      </c>
      <c r="J1046">
        <v>1</v>
      </c>
      <c r="K1046" t="str">
        <f t="shared" si="50"/>
        <v>No</v>
      </c>
      <c r="L1046" t="s">
        <v>2380</v>
      </c>
    </row>
    <row r="1047" spans="1:12" x14ac:dyDescent="0.35">
      <c r="A1047" t="s">
        <v>1325</v>
      </c>
      <c r="B1047" t="str">
        <f t="shared" si="48"/>
        <v>Obesity</v>
      </c>
      <c r="C1047">
        <v>35.625</v>
      </c>
      <c r="D1047" t="str">
        <f t="shared" si="49"/>
        <v>Diabetes</v>
      </c>
      <c r="E1047">
        <v>10.79</v>
      </c>
      <c r="F1047" t="s">
        <v>2380</v>
      </c>
      <c r="G1047" t="s">
        <v>2380</v>
      </c>
      <c r="H1047" t="s">
        <v>2380</v>
      </c>
      <c r="J1047" t="s">
        <v>2381</v>
      </c>
      <c r="K1047" t="str">
        <f t="shared" si="50"/>
        <v>No</v>
      </c>
      <c r="L1047" t="s">
        <v>2380</v>
      </c>
    </row>
    <row r="1048" spans="1:12" x14ac:dyDescent="0.35">
      <c r="A1048" t="s">
        <v>1324</v>
      </c>
      <c r="B1048" t="str">
        <f t="shared" si="48"/>
        <v>Obesity</v>
      </c>
      <c r="C1048">
        <v>45.51</v>
      </c>
      <c r="D1048" t="str">
        <f t="shared" si="49"/>
        <v>Normal</v>
      </c>
      <c r="E1048">
        <v>4.32</v>
      </c>
      <c r="F1048" t="s">
        <v>2380</v>
      </c>
      <c r="G1048" t="s">
        <v>2380</v>
      </c>
      <c r="H1048" t="s">
        <v>2380</v>
      </c>
      <c r="J1048">
        <v>1</v>
      </c>
      <c r="K1048" t="str">
        <f t="shared" si="50"/>
        <v>No</v>
      </c>
      <c r="L1048" t="s">
        <v>2380</v>
      </c>
    </row>
    <row r="1049" spans="1:12" x14ac:dyDescent="0.35">
      <c r="A1049" t="s">
        <v>1323</v>
      </c>
      <c r="B1049" t="str">
        <f t="shared" si="48"/>
        <v>Obesity</v>
      </c>
      <c r="C1049">
        <v>37.1</v>
      </c>
      <c r="D1049" t="str">
        <f t="shared" si="49"/>
        <v>Diabetes</v>
      </c>
      <c r="E1049">
        <v>7.19</v>
      </c>
      <c r="F1049" t="s">
        <v>2382</v>
      </c>
      <c r="G1049" t="s">
        <v>2380</v>
      </c>
      <c r="H1049" t="s">
        <v>2380</v>
      </c>
      <c r="J1049" t="s">
        <v>2381</v>
      </c>
      <c r="K1049" t="str">
        <f t="shared" si="50"/>
        <v>No</v>
      </c>
      <c r="L1049" t="s">
        <v>2380</v>
      </c>
    </row>
    <row r="1050" spans="1:12" x14ac:dyDescent="0.35">
      <c r="A1050" t="s">
        <v>1322</v>
      </c>
      <c r="B1050" t="str">
        <f t="shared" si="48"/>
        <v>Obesity</v>
      </c>
      <c r="C1050">
        <v>30.5</v>
      </c>
      <c r="D1050" t="str">
        <f t="shared" si="49"/>
        <v>Diabetes</v>
      </c>
      <c r="E1050">
        <v>11.94</v>
      </c>
      <c r="F1050" t="s">
        <v>2382</v>
      </c>
      <c r="G1050" t="s">
        <v>2380</v>
      </c>
      <c r="H1050" t="s">
        <v>2380</v>
      </c>
      <c r="J1050" t="s">
        <v>2381</v>
      </c>
      <c r="K1050" t="str">
        <f t="shared" si="50"/>
        <v>No</v>
      </c>
      <c r="L1050" t="s">
        <v>2380</v>
      </c>
    </row>
    <row r="1051" spans="1:12" x14ac:dyDescent="0.35">
      <c r="A1051" t="s">
        <v>1321</v>
      </c>
      <c r="B1051" t="str">
        <f t="shared" si="48"/>
        <v>Overweight</v>
      </c>
      <c r="C1051">
        <v>28.16</v>
      </c>
      <c r="D1051" t="str">
        <f t="shared" si="49"/>
        <v>Normal</v>
      </c>
      <c r="E1051">
        <v>5.56</v>
      </c>
      <c r="F1051" t="s">
        <v>2380</v>
      </c>
      <c r="G1051" t="s">
        <v>2380</v>
      </c>
      <c r="H1051" t="s">
        <v>2380</v>
      </c>
      <c r="J1051">
        <v>2</v>
      </c>
      <c r="K1051" t="str">
        <f t="shared" si="50"/>
        <v>No</v>
      </c>
      <c r="L1051" t="s">
        <v>2380</v>
      </c>
    </row>
    <row r="1052" spans="1:12" x14ac:dyDescent="0.35">
      <c r="A1052" t="s">
        <v>1320</v>
      </c>
      <c r="B1052" t="str">
        <f t="shared" si="48"/>
        <v>Overweight</v>
      </c>
      <c r="C1052">
        <v>29.1</v>
      </c>
      <c r="D1052" t="str">
        <f t="shared" si="49"/>
        <v>Normal</v>
      </c>
      <c r="E1052">
        <v>5.64</v>
      </c>
      <c r="F1052" t="s">
        <v>2382</v>
      </c>
      <c r="G1052" t="s">
        <v>2380</v>
      </c>
      <c r="H1052" t="s">
        <v>2380</v>
      </c>
      <c r="J1052" t="s">
        <v>2381</v>
      </c>
      <c r="K1052" t="str">
        <f t="shared" si="50"/>
        <v>No</v>
      </c>
      <c r="L1052" t="s">
        <v>2380</v>
      </c>
    </row>
    <row r="1053" spans="1:12" x14ac:dyDescent="0.35">
      <c r="A1053" t="s">
        <v>1319</v>
      </c>
      <c r="B1053" t="str">
        <f t="shared" si="48"/>
        <v>Obesity</v>
      </c>
      <c r="C1053">
        <v>30.22</v>
      </c>
      <c r="D1053" t="str">
        <f t="shared" si="49"/>
        <v>Normal</v>
      </c>
      <c r="E1053">
        <v>4.6500000000000004</v>
      </c>
      <c r="F1053" t="s">
        <v>2380</v>
      </c>
      <c r="G1053" t="s">
        <v>2380</v>
      </c>
      <c r="H1053" t="s">
        <v>2380</v>
      </c>
      <c r="J1053" t="s">
        <v>2381</v>
      </c>
      <c r="K1053" t="str">
        <f t="shared" si="50"/>
        <v>No</v>
      </c>
      <c r="L1053" t="s">
        <v>2380</v>
      </c>
    </row>
    <row r="1054" spans="1:12" x14ac:dyDescent="0.35">
      <c r="A1054" t="s">
        <v>1318</v>
      </c>
      <c r="B1054" t="str">
        <f t="shared" si="48"/>
        <v>Normal Weight</v>
      </c>
      <c r="C1054">
        <v>24.29</v>
      </c>
      <c r="D1054" t="str">
        <f t="shared" si="49"/>
        <v>Diabetes</v>
      </c>
      <c r="E1054">
        <v>9.0500000000000007</v>
      </c>
      <c r="F1054" t="s">
        <v>2380</v>
      </c>
      <c r="G1054" t="s">
        <v>2380</v>
      </c>
      <c r="H1054" t="s">
        <v>2380</v>
      </c>
      <c r="J1054" t="s">
        <v>2381</v>
      </c>
      <c r="K1054" t="str">
        <f t="shared" si="50"/>
        <v>No</v>
      </c>
      <c r="L1054" t="s">
        <v>2380</v>
      </c>
    </row>
    <row r="1055" spans="1:12" x14ac:dyDescent="0.35">
      <c r="A1055" t="s">
        <v>1317</v>
      </c>
      <c r="B1055" t="str">
        <f t="shared" si="48"/>
        <v>Overweight</v>
      </c>
      <c r="C1055">
        <v>29.39</v>
      </c>
      <c r="D1055" t="str">
        <f t="shared" si="49"/>
        <v>Normal</v>
      </c>
      <c r="E1055">
        <v>4.5199999999999996</v>
      </c>
      <c r="F1055" t="s">
        <v>2382</v>
      </c>
      <c r="G1055" t="s">
        <v>2380</v>
      </c>
      <c r="H1055" t="s">
        <v>2380</v>
      </c>
      <c r="J1055" t="s">
        <v>2381</v>
      </c>
      <c r="K1055" t="str">
        <f t="shared" si="50"/>
        <v>No</v>
      </c>
      <c r="L1055" t="s">
        <v>2380</v>
      </c>
    </row>
    <row r="1056" spans="1:12" x14ac:dyDescent="0.35">
      <c r="A1056" t="s">
        <v>1316</v>
      </c>
      <c r="B1056" t="str">
        <f t="shared" si="48"/>
        <v>Overweight</v>
      </c>
      <c r="C1056">
        <v>25.66</v>
      </c>
      <c r="D1056" t="str">
        <f t="shared" si="49"/>
        <v>Normal</v>
      </c>
      <c r="E1056">
        <v>4.62</v>
      </c>
      <c r="F1056" t="s">
        <v>2382</v>
      </c>
      <c r="G1056" t="s">
        <v>2380</v>
      </c>
      <c r="H1056" t="s">
        <v>2380</v>
      </c>
      <c r="J1056">
        <v>1</v>
      </c>
      <c r="K1056" t="str">
        <f t="shared" si="50"/>
        <v>No</v>
      </c>
      <c r="L1056" t="s">
        <v>2380</v>
      </c>
    </row>
    <row r="1057" spans="1:12" x14ac:dyDescent="0.35">
      <c r="A1057" t="s">
        <v>1315</v>
      </c>
      <c r="B1057" t="str">
        <f t="shared" si="48"/>
        <v>Obesity</v>
      </c>
      <c r="C1057">
        <v>39.11</v>
      </c>
      <c r="D1057" t="str">
        <f t="shared" si="49"/>
        <v>Prediabetes</v>
      </c>
      <c r="E1057">
        <v>5.87</v>
      </c>
      <c r="F1057" t="s">
        <v>2380</v>
      </c>
      <c r="G1057" t="s">
        <v>2380</v>
      </c>
      <c r="H1057" t="s">
        <v>2380</v>
      </c>
      <c r="J1057" t="s">
        <v>2381</v>
      </c>
      <c r="K1057" t="str">
        <f t="shared" si="50"/>
        <v>No</v>
      </c>
      <c r="L1057" t="s">
        <v>2380</v>
      </c>
    </row>
    <row r="1058" spans="1:12" x14ac:dyDescent="0.35">
      <c r="A1058" t="s">
        <v>1314</v>
      </c>
      <c r="B1058" t="str">
        <f t="shared" si="48"/>
        <v>Obesity</v>
      </c>
      <c r="C1058">
        <v>43.78</v>
      </c>
      <c r="D1058" t="str">
        <f t="shared" si="49"/>
        <v>Prediabetes</v>
      </c>
      <c r="E1058">
        <v>5.71</v>
      </c>
      <c r="F1058" t="s">
        <v>2380</v>
      </c>
      <c r="G1058" t="s">
        <v>2380</v>
      </c>
      <c r="H1058" t="s">
        <v>2380</v>
      </c>
      <c r="J1058">
        <v>1</v>
      </c>
      <c r="K1058" t="str">
        <f t="shared" si="50"/>
        <v>No</v>
      </c>
      <c r="L1058" t="s">
        <v>2380</v>
      </c>
    </row>
    <row r="1059" spans="1:12" x14ac:dyDescent="0.35">
      <c r="A1059" t="s">
        <v>1313</v>
      </c>
      <c r="B1059" t="str">
        <f t="shared" si="48"/>
        <v>Normal Weight</v>
      </c>
      <c r="C1059">
        <v>24.35</v>
      </c>
      <c r="D1059" t="str">
        <f t="shared" si="49"/>
        <v>Diabetes</v>
      </c>
      <c r="E1059">
        <v>9.08</v>
      </c>
      <c r="F1059" t="s">
        <v>2380</v>
      </c>
      <c r="G1059" t="s">
        <v>2380</v>
      </c>
      <c r="H1059" t="s">
        <v>2380</v>
      </c>
      <c r="J1059" t="s">
        <v>2381</v>
      </c>
      <c r="K1059" t="str">
        <f t="shared" si="50"/>
        <v>No</v>
      </c>
      <c r="L1059" t="s">
        <v>2380</v>
      </c>
    </row>
    <row r="1060" spans="1:12" x14ac:dyDescent="0.35">
      <c r="A1060" t="s">
        <v>1312</v>
      </c>
      <c r="B1060" t="str">
        <f t="shared" si="48"/>
        <v>Obesity</v>
      </c>
      <c r="C1060">
        <v>40.299999999999997</v>
      </c>
      <c r="D1060" t="str">
        <f t="shared" si="49"/>
        <v>Normal</v>
      </c>
      <c r="E1060">
        <v>5.3</v>
      </c>
      <c r="F1060" t="s">
        <v>2382</v>
      </c>
      <c r="G1060" t="s">
        <v>2380</v>
      </c>
      <c r="H1060" t="s">
        <v>2380</v>
      </c>
      <c r="J1060">
        <v>2</v>
      </c>
      <c r="K1060" t="str">
        <f t="shared" si="50"/>
        <v>No</v>
      </c>
      <c r="L1060" t="s">
        <v>2380</v>
      </c>
    </row>
    <row r="1061" spans="1:12" x14ac:dyDescent="0.35">
      <c r="A1061" t="s">
        <v>1311</v>
      </c>
      <c r="B1061" t="str">
        <f t="shared" si="48"/>
        <v>Obesity</v>
      </c>
      <c r="C1061">
        <v>32.774999999999999</v>
      </c>
      <c r="D1061" t="str">
        <f t="shared" si="49"/>
        <v>Diabetes</v>
      </c>
      <c r="E1061">
        <v>11.76</v>
      </c>
      <c r="F1061" t="s">
        <v>2382</v>
      </c>
      <c r="G1061" t="s">
        <v>2380</v>
      </c>
      <c r="H1061" t="s">
        <v>2380</v>
      </c>
      <c r="J1061" t="s">
        <v>2381</v>
      </c>
      <c r="K1061" t="str">
        <f t="shared" si="50"/>
        <v>No</v>
      </c>
      <c r="L1061" t="s">
        <v>2380</v>
      </c>
    </row>
    <row r="1062" spans="1:12" x14ac:dyDescent="0.35">
      <c r="A1062" t="s">
        <v>1310</v>
      </c>
      <c r="B1062" t="str">
        <f t="shared" si="48"/>
        <v>Obesity</v>
      </c>
      <c r="C1062">
        <v>39.6</v>
      </c>
      <c r="D1062" t="str">
        <f t="shared" si="49"/>
        <v>Normal</v>
      </c>
      <c r="E1062">
        <v>5.1100000000000003</v>
      </c>
      <c r="F1062" t="s">
        <v>2382</v>
      </c>
      <c r="G1062" t="s">
        <v>2380</v>
      </c>
      <c r="H1062" t="s">
        <v>2380</v>
      </c>
      <c r="J1062">
        <v>2</v>
      </c>
      <c r="K1062" t="str">
        <f t="shared" si="50"/>
        <v>No</v>
      </c>
      <c r="L1062" t="s">
        <v>2380</v>
      </c>
    </row>
    <row r="1063" spans="1:12" x14ac:dyDescent="0.35">
      <c r="A1063" t="s">
        <v>1309</v>
      </c>
      <c r="B1063" t="str">
        <f t="shared" si="48"/>
        <v>Obesity</v>
      </c>
      <c r="C1063">
        <v>30.97</v>
      </c>
      <c r="D1063" t="str">
        <f t="shared" si="49"/>
        <v>Normal</v>
      </c>
      <c r="E1063">
        <v>5.54</v>
      </c>
      <c r="F1063" t="s">
        <v>2380</v>
      </c>
      <c r="G1063" t="s">
        <v>2380</v>
      </c>
      <c r="H1063" t="s">
        <v>2380</v>
      </c>
      <c r="J1063">
        <v>2</v>
      </c>
      <c r="K1063" t="str">
        <f t="shared" si="50"/>
        <v>No</v>
      </c>
      <c r="L1063" t="s">
        <v>2380</v>
      </c>
    </row>
    <row r="1064" spans="1:12" x14ac:dyDescent="0.35">
      <c r="A1064" t="s">
        <v>1308</v>
      </c>
      <c r="B1064" t="str">
        <f t="shared" si="48"/>
        <v>Overweight</v>
      </c>
      <c r="C1064">
        <v>27.645</v>
      </c>
      <c r="D1064" t="str">
        <f t="shared" si="49"/>
        <v>Diabetes</v>
      </c>
      <c r="E1064">
        <v>8.8699999999999992</v>
      </c>
      <c r="F1064" t="s">
        <v>2382</v>
      </c>
      <c r="G1064" t="s">
        <v>2380</v>
      </c>
      <c r="H1064" t="s">
        <v>2380</v>
      </c>
      <c r="J1064" t="s">
        <v>2381</v>
      </c>
      <c r="K1064" t="str">
        <f t="shared" si="50"/>
        <v>No</v>
      </c>
      <c r="L1064" t="s">
        <v>2380</v>
      </c>
    </row>
    <row r="1065" spans="1:12" x14ac:dyDescent="0.35">
      <c r="A1065" t="s">
        <v>1307</v>
      </c>
      <c r="B1065" t="str">
        <f t="shared" si="48"/>
        <v>Obesity</v>
      </c>
      <c r="C1065">
        <v>34.43</v>
      </c>
      <c r="D1065" t="str">
        <f t="shared" si="49"/>
        <v>Prediabetes</v>
      </c>
      <c r="E1065">
        <v>5.96</v>
      </c>
      <c r="F1065" t="s">
        <v>2382</v>
      </c>
      <c r="G1065" t="s">
        <v>2380</v>
      </c>
      <c r="H1065" t="s">
        <v>2380</v>
      </c>
      <c r="J1065">
        <v>2</v>
      </c>
      <c r="K1065" t="str">
        <f t="shared" si="50"/>
        <v>No</v>
      </c>
      <c r="L1065" t="s">
        <v>2380</v>
      </c>
    </row>
    <row r="1066" spans="1:12" x14ac:dyDescent="0.35">
      <c r="A1066" t="s">
        <v>1306</v>
      </c>
      <c r="B1066" t="str">
        <f t="shared" si="48"/>
        <v>Obesity</v>
      </c>
      <c r="C1066">
        <v>39.6</v>
      </c>
      <c r="D1066" t="str">
        <f t="shared" si="49"/>
        <v>Normal</v>
      </c>
      <c r="E1066">
        <v>4.4400000000000004</v>
      </c>
      <c r="F1066" t="s">
        <v>2382</v>
      </c>
      <c r="G1066" t="s">
        <v>2380</v>
      </c>
      <c r="H1066" t="s">
        <v>2383</v>
      </c>
      <c r="J1066">
        <v>1</v>
      </c>
      <c r="K1066" t="str">
        <f t="shared" si="50"/>
        <v>No</v>
      </c>
      <c r="L1066" t="s">
        <v>2380</v>
      </c>
    </row>
    <row r="1067" spans="1:12" x14ac:dyDescent="0.35">
      <c r="A1067" t="s">
        <v>1305</v>
      </c>
      <c r="B1067" t="str">
        <f t="shared" si="48"/>
        <v>Normal Weight</v>
      </c>
      <c r="C1067">
        <v>22.1</v>
      </c>
      <c r="D1067" t="str">
        <f t="shared" si="49"/>
        <v>Normal</v>
      </c>
      <c r="E1067">
        <v>4.6500000000000004</v>
      </c>
      <c r="F1067" t="s">
        <v>2382</v>
      </c>
      <c r="G1067" t="s">
        <v>2380</v>
      </c>
      <c r="H1067" t="s">
        <v>2380</v>
      </c>
      <c r="J1067">
        <v>2</v>
      </c>
      <c r="K1067" t="str">
        <f t="shared" si="50"/>
        <v>No</v>
      </c>
      <c r="L1067" t="s">
        <v>2380</v>
      </c>
    </row>
    <row r="1068" spans="1:12" x14ac:dyDescent="0.35">
      <c r="A1068" t="s">
        <v>1304</v>
      </c>
      <c r="B1068" t="str">
        <f t="shared" si="48"/>
        <v>Obesity</v>
      </c>
      <c r="C1068">
        <v>33.25</v>
      </c>
      <c r="D1068" t="str">
        <f t="shared" si="49"/>
        <v>Normal</v>
      </c>
      <c r="E1068">
        <v>5.64</v>
      </c>
      <c r="F1068" t="s">
        <v>2382</v>
      </c>
      <c r="G1068" t="s">
        <v>2380</v>
      </c>
      <c r="H1068" t="s">
        <v>2383</v>
      </c>
      <c r="J1068">
        <v>1</v>
      </c>
      <c r="K1068" t="str">
        <f t="shared" si="50"/>
        <v>No</v>
      </c>
      <c r="L1068" t="s">
        <v>2380</v>
      </c>
    </row>
    <row r="1069" spans="1:12" x14ac:dyDescent="0.35">
      <c r="A1069" t="s">
        <v>1303</v>
      </c>
      <c r="B1069" t="str">
        <f t="shared" si="48"/>
        <v>Obesity</v>
      </c>
      <c r="C1069">
        <v>33.33</v>
      </c>
      <c r="D1069" t="str">
        <f t="shared" si="49"/>
        <v>Diabetes</v>
      </c>
      <c r="E1069">
        <v>10.19</v>
      </c>
      <c r="F1069" t="s">
        <v>2380</v>
      </c>
      <c r="G1069" t="s">
        <v>2380</v>
      </c>
      <c r="H1069" t="s">
        <v>2380</v>
      </c>
      <c r="J1069" t="s">
        <v>2381</v>
      </c>
      <c r="K1069" t="str">
        <f t="shared" si="50"/>
        <v>No</v>
      </c>
      <c r="L1069" t="s">
        <v>2380</v>
      </c>
    </row>
    <row r="1070" spans="1:12" x14ac:dyDescent="0.35">
      <c r="A1070" t="s">
        <v>1302</v>
      </c>
      <c r="B1070" t="str">
        <f t="shared" si="48"/>
        <v>Obesity</v>
      </c>
      <c r="C1070">
        <v>30.5</v>
      </c>
      <c r="D1070" t="str">
        <f t="shared" si="49"/>
        <v>Diabetes</v>
      </c>
      <c r="E1070">
        <v>10.79</v>
      </c>
      <c r="F1070" t="s">
        <v>2380</v>
      </c>
      <c r="G1070" t="s">
        <v>2380</v>
      </c>
      <c r="H1070" t="s">
        <v>2380</v>
      </c>
      <c r="J1070" t="s">
        <v>2381</v>
      </c>
      <c r="K1070" t="str">
        <f t="shared" si="50"/>
        <v>No</v>
      </c>
      <c r="L1070" t="s">
        <v>2380</v>
      </c>
    </row>
    <row r="1071" spans="1:12" x14ac:dyDescent="0.35">
      <c r="A1071" t="s">
        <v>1301</v>
      </c>
      <c r="B1071" t="str">
        <f t="shared" si="48"/>
        <v>Obesity</v>
      </c>
      <c r="C1071">
        <v>30.3</v>
      </c>
      <c r="D1071" t="str">
        <f t="shared" si="49"/>
        <v>Normal</v>
      </c>
      <c r="E1071">
        <v>4.24</v>
      </c>
      <c r="F1071" t="s">
        <v>2380</v>
      </c>
      <c r="G1071" t="s">
        <v>2380</v>
      </c>
      <c r="H1071" t="s">
        <v>2380</v>
      </c>
      <c r="J1071" t="s">
        <v>2381</v>
      </c>
      <c r="K1071" t="str">
        <f t="shared" si="50"/>
        <v>No</v>
      </c>
      <c r="L1071" t="s">
        <v>2380</v>
      </c>
    </row>
    <row r="1072" spans="1:12" x14ac:dyDescent="0.35">
      <c r="A1072" t="s">
        <v>1300</v>
      </c>
      <c r="B1072" t="str">
        <f t="shared" si="48"/>
        <v>Overweight</v>
      </c>
      <c r="C1072">
        <v>26.22</v>
      </c>
      <c r="D1072" t="str">
        <f t="shared" si="49"/>
        <v>Prediabetes</v>
      </c>
      <c r="E1072">
        <v>5.83</v>
      </c>
      <c r="F1072" t="s">
        <v>2380</v>
      </c>
      <c r="G1072" t="s">
        <v>2380</v>
      </c>
      <c r="H1072" t="s">
        <v>2380</v>
      </c>
      <c r="J1072">
        <v>2</v>
      </c>
      <c r="K1072" t="str">
        <f t="shared" si="50"/>
        <v>No</v>
      </c>
      <c r="L1072" t="s">
        <v>2380</v>
      </c>
    </row>
    <row r="1073" spans="1:12" x14ac:dyDescent="0.35">
      <c r="A1073" t="s">
        <v>1299</v>
      </c>
      <c r="B1073" t="e">
        <f t="shared" si="48"/>
        <v>#N/A</v>
      </c>
      <c r="C1073">
        <v>29.99</v>
      </c>
      <c r="D1073" t="str">
        <f t="shared" si="49"/>
        <v>Diabetes</v>
      </c>
      <c r="E1073">
        <v>11.85</v>
      </c>
      <c r="F1073" t="s">
        <v>2380</v>
      </c>
      <c r="G1073" t="s">
        <v>2380</v>
      </c>
      <c r="H1073" t="s">
        <v>2380</v>
      </c>
      <c r="J1073" t="s">
        <v>2381</v>
      </c>
      <c r="K1073" t="str">
        <f t="shared" si="50"/>
        <v>No</v>
      </c>
      <c r="L1073" t="s">
        <v>2380</v>
      </c>
    </row>
    <row r="1074" spans="1:12" x14ac:dyDescent="0.35">
      <c r="A1074" t="s">
        <v>1298</v>
      </c>
      <c r="B1074" t="str">
        <f t="shared" si="48"/>
        <v>Obesity</v>
      </c>
      <c r="C1074">
        <v>36.380000000000003</v>
      </c>
      <c r="D1074" t="str">
        <f t="shared" si="49"/>
        <v>Prediabetes</v>
      </c>
      <c r="E1074">
        <v>5.98</v>
      </c>
      <c r="F1074" t="s">
        <v>2380</v>
      </c>
      <c r="G1074" t="s">
        <v>2380</v>
      </c>
      <c r="H1074" t="s">
        <v>2380</v>
      </c>
      <c r="J1074">
        <v>1</v>
      </c>
      <c r="K1074" t="str">
        <f t="shared" si="50"/>
        <v>No</v>
      </c>
      <c r="L1074" t="s">
        <v>2380</v>
      </c>
    </row>
    <row r="1075" spans="1:12" x14ac:dyDescent="0.35">
      <c r="A1075" t="s">
        <v>1297</v>
      </c>
      <c r="B1075" t="str">
        <f t="shared" si="48"/>
        <v>Obesity</v>
      </c>
      <c r="C1075">
        <v>31.16</v>
      </c>
      <c r="D1075" t="str">
        <f t="shared" si="49"/>
        <v>Normal</v>
      </c>
      <c r="E1075">
        <v>4.26</v>
      </c>
      <c r="F1075" t="s">
        <v>2382</v>
      </c>
      <c r="G1075" t="s">
        <v>2380</v>
      </c>
      <c r="H1075" t="s">
        <v>2383</v>
      </c>
      <c r="J1075">
        <v>1</v>
      </c>
      <c r="K1075" t="str">
        <f t="shared" si="50"/>
        <v>No</v>
      </c>
      <c r="L1075" t="s">
        <v>2380</v>
      </c>
    </row>
    <row r="1076" spans="1:12" x14ac:dyDescent="0.35">
      <c r="A1076" t="s">
        <v>1296</v>
      </c>
      <c r="B1076" t="str">
        <f t="shared" si="48"/>
        <v>Overweight</v>
      </c>
      <c r="C1076">
        <v>25.55</v>
      </c>
      <c r="D1076" t="str">
        <f t="shared" si="49"/>
        <v>Normal</v>
      </c>
      <c r="E1076">
        <v>4.96</v>
      </c>
      <c r="F1076" t="s">
        <v>2382</v>
      </c>
      <c r="G1076" t="s">
        <v>2380</v>
      </c>
      <c r="H1076" t="s">
        <v>2380</v>
      </c>
      <c r="J1076">
        <v>1</v>
      </c>
      <c r="K1076" t="str">
        <f t="shared" si="50"/>
        <v>No</v>
      </c>
      <c r="L1076" t="s">
        <v>2380</v>
      </c>
    </row>
    <row r="1077" spans="1:12" x14ac:dyDescent="0.35">
      <c r="A1077" t="s">
        <v>1295</v>
      </c>
      <c r="B1077" t="str">
        <f t="shared" si="48"/>
        <v>Overweight</v>
      </c>
      <c r="C1077">
        <v>28.77</v>
      </c>
      <c r="D1077" t="str">
        <f t="shared" si="49"/>
        <v>Normal</v>
      </c>
      <c r="E1077">
        <v>4</v>
      </c>
      <c r="F1077" t="s">
        <v>2382</v>
      </c>
      <c r="G1077" t="s">
        <v>2380</v>
      </c>
      <c r="H1077" t="s">
        <v>2380</v>
      </c>
      <c r="J1077" t="s">
        <v>2381</v>
      </c>
      <c r="K1077" t="str">
        <f t="shared" si="50"/>
        <v>No</v>
      </c>
      <c r="L1077" t="s">
        <v>2380</v>
      </c>
    </row>
    <row r="1078" spans="1:12" x14ac:dyDescent="0.35">
      <c r="A1078" t="s">
        <v>1294</v>
      </c>
      <c r="B1078" t="str">
        <f t="shared" si="48"/>
        <v>Normal Weight</v>
      </c>
      <c r="C1078">
        <v>23.14</v>
      </c>
      <c r="D1078" t="str">
        <f t="shared" si="49"/>
        <v>Normal</v>
      </c>
      <c r="E1078">
        <v>4.1500000000000004</v>
      </c>
      <c r="F1078" t="s">
        <v>2382</v>
      </c>
      <c r="G1078" t="s">
        <v>2380</v>
      </c>
      <c r="H1078" t="s">
        <v>2380</v>
      </c>
      <c r="J1078">
        <v>1</v>
      </c>
      <c r="K1078" t="str">
        <f t="shared" si="50"/>
        <v>No</v>
      </c>
      <c r="L1078" t="s">
        <v>2380</v>
      </c>
    </row>
    <row r="1079" spans="1:12" x14ac:dyDescent="0.35">
      <c r="A1079" t="s">
        <v>1293</v>
      </c>
      <c r="B1079" t="str">
        <f t="shared" si="48"/>
        <v>Obesity</v>
      </c>
      <c r="C1079">
        <v>39.6</v>
      </c>
      <c r="D1079" t="str">
        <f t="shared" si="49"/>
        <v>Diabetes</v>
      </c>
      <c r="E1079">
        <v>11.36</v>
      </c>
      <c r="F1079" t="s">
        <v>2380</v>
      </c>
      <c r="G1079" t="s">
        <v>2380</v>
      </c>
      <c r="H1079" t="s">
        <v>2380</v>
      </c>
      <c r="J1079" t="s">
        <v>2381</v>
      </c>
      <c r="K1079" t="str">
        <f t="shared" si="50"/>
        <v>No</v>
      </c>
      <c r="L1079" t="s">
        <v>2380</v>
      </c>
    </row>
    <row r="1080" spans="1:12" x14ac:dyDescent="0.35">
      <c r="A1080" t="s">
        <v>1292</v>
      </c>
      <c r="B1080" t="str">
        <f t="shared" si="48"/>
        <v>Overweight</v>
      </c>
      <c r="C1080">
        <v>29.2</v>
      </c>
      <c r="D1080" t="str">
        <f t="shared" si="49"/>
        <v>Diabetes</v>
      </c>
      <c r="E1080">
        <v>7.53</v>
      </c>
      <c r="F1080" t="s">
        <v>2380</v>
      </c>
      <c r="G1080" t="s">
        <v>2380</v>
      </c>
      <c r="H1080" t="s">
        <v>2380</v>
      </c>
      <c r="J1080" t="s">
        <v>2381</v>
      </c>
      <c r="K1080" t="str">
        <f t="shared" si="50"/>
        <v>No</v>
      </c>
      <c r="L1080" t="s">
        <v>2380</v>
      </c>
    </row>
    <row r="1081" spans="1:12" x14ac:dyDescent="0.35">
      <c r="A1081" t="s">
        <v>1291</v>
      </c>
      <c r="B1081" t="str">
        <f t="shared" si="48"/>
        <v>Obesity</v>
      </c>
      <c r="C1081">
        <v>32.774999999999999</v>
      </c>
      <c r="D1081" t="str">
        <f t="shared" si="49"/>
        <v>Diabetes</v>
      </c>
      <c r="E1081">
        <v>7.95</v>
      </c>
      <c r="F1081" t="s">
        <v>2380</v>
      </c>
      <c r="G1081" t="s">
        <v>2380</v>
      </c>
      <c r="H1081" t="s">
        <v>2380</v>
      </c>
      <c r="J1081" t="s">
        <v>2381</v>
      </c>
      <c r="K1081" t="str">
        <f t="shared" si="50"/>
        <v>No</v>
      </c>
      <c r="L1081" t="s">
        <v>2380</v>
      </c>
    </row>
    <row r="1082" spans="1:12" x14ac:dyDescent="0.35">
      <c r="A1082" t="s">
        <v>1290</v>
      </c>
      <c r="B1082" t="str">
        <f t="shared" si="48"/>
        <v>Normal Weight</v>
      </c>
      <c r="C1082">
        <v>24.035</v>
      </c>
      <c r="D1082" t="str">
        <f t="shared" si="49"/>
        <v>Diabetes</v>
      </c>
      <c r="E1082">
        <v>8.5</v>
      </c>
      <c r="F1082" t="s">
        <v>2380</v>
      </c>
      <c r="G1082" t="s">
        <v>2380</v>
      </c>
      <c r="H1082" t="s">
        <v>2380</v>
      </c>
      <c r="J1082" t="s">
        <v>2381</v>
      </c>
      <c r="K1082" t="str">
        <f t="shared" si="50"/>
        <v>No</v>
      </c>
      <c r="L1082" t="s">
        <v>2380</v>
      </c>
    </row>
    <row r="1083" spans="1:12" x14ac:dyDescent="0.35">
      <c r="A1083" t="s">
        <v>1289</v>
      </c>
      <c r="B1083" t="str">
        <f t="shared" si="48"/>
        <v>Obesity</v>
      </c>
      <c r="C1083">
        <v>30.55</v>
      </c>
      <c r="D1083" t="str">
        <f t="shared" si="49"/>
        <v>Prediabetes</v>
      </c>
      <c r="E1083">
        <v>5.89</v>
      </c>
      <c r="F1083" t="s">
        <v>2380</v>
      </c>
      <c r="G1083" t="s">
        <v>2380</v>
      </c>
      <c r="H1083" t="s">
        <v>2383</v>
      </c>
      <c r="J1083">
        <v>1</v>
      </c>
      <c r="K1083" t="str">
        <f t="shared" si="50"/>
        <v>No</v>
      </c>
      <c r="L1083" t="s">
        <v>2380</v>
      </c>
    </row>
    <row r="1084" spans="1:12" x14ac:dyDescent="0.35">
      <c r="A1084" t="s">
        <v>1288</v>
      </c>
      <c r="B1084" t="str">
        <f t="shared" si="48"/>
        <v>Overweight</v>
      </c>
      <c r="C1084">
        <v>28.81</v>
      </c>
      <c r="D1084" t="str">
        <f t="shared" si="49"/>
        <v>Diabetes</v>
      </c>
      <c r="E1084">
        <v>8.76</v>
      </c>
      <c r="F1084" t="s">
        <v>2380</v>
      </c>
      <c r="G1084" t="s">
        <v>2380</v>
      </c>
      <c r="H1084" t="s">
        <v>2380</v>
      </c>
      <c r="J1084">
        <v>2</v>
      </c>
      <c r="K1084" t="str">
        <f t="shared" si="50"/>
        <v>No</v>
      </c>
      <c r="L1084" t="s">
        <v>2380</v>
      </c>
    </row>
    <row r="1085" spans="1:12" x14ac:dyDescent="0.35">
      <c r="A1085" t="s">
        <v>1287</v>
      </c>
      <c r="B1085" t="str">
        <f t="shared" si="48"/>
        <v>Obesity</v>
      </c>
      <c r="C1085">
        <v>31.66</v>
      </c>
      <c r="D1085" t="str">
        <f t="shared" si="49"/>
        <v>Normal</v>
      </c>
      <c r="E1085">
        <v>4.1100000000000003</v>
      </c>
      <c r="F1085" t="s">
        <v>2380</v>
      </c>
      <c r="G1085" t="s">
        <v>2380</v>
      </c>
      <c r="H1085" t="s">
        <v>2380</v>
      </c>
      <c r="J1085" t="s">
        <v>2381</v>
      </c>
      <c r="K1085" t="str">
        <f t="shared" si="50"/>
        <v>No</v>
      </c>
      <c r="L1085" t="s">
        <v>2380</v>
      </c>
    </row>
    <row r="1086" spans="1:12" x14ac:dyDescent="0.35">
      <c r="A1086" t="s">
        <v>1286</v>
      </c>
      <c r="B1086" t="str">
        <f t="shared" si="48"/>
        <v>Overweight</v>
      </c>
      <c r="C1086">
        <v>28.215</v>
      </c>
      <c r="D1086" t="str">
        <f t="shared" si="49"/>
        <v>Diabetes</v>
      </c>
      <c r="E1086">
        <v>7.56</v>
      </c>
      <c r="F1086" t="s">
        <v>2382</v>
      </c>
      <c r="G1086" t="s">
        <v>2380</v>
      </c>
      <c r="H1086" t="s">
        <v>2380</v>
      </c>
      <c r="J1086">
        <v>1</v>
      </c>
      <c r="K1086" t="str">
        <f t="shared" si="50"/>
        <v>No</v>
      </c>
      <c r="L1086" t="s">
        <v>2380</v>
      </c>
    </row>
    <row r="1087" spans="1:12" x14ac:dyDescent="0.35">
      <c r="A1087" t="s">
        <v>1285</v>
      </c>
      <c r="B1087" t="str">
        <f t="shared" si="48"/>
        <v>Overweight</v>
      </c>
      <c r="C1087">
        <v>26.12</v>
      </c>
      <c r="D1087" t="str">
        <f t="shared" si="49"/>
        <v>Normal</v>
      </c>
      <c r="E1087">
        <v>4.17</v>
      </c>
      <c r="F1087" t="s">
        <v>2382</v>
      </c>
      <c r="G1087" t="s">
        <v>2380</v>
      </c>
      <c r="H1087" t="s">
        <v>2383</v>
      </c>
      <c r="J1087">
        <v>1</v>
      </c>
      <c r="K1087" t="str">
        <f t="shared" si="50"/>
        <v>No</v>
      </c>
      <c r="L1087" t="s">
        <v>2380</v>
      </c>
    </row>
    <row r="1088" spans="1:12" x14ac:dyDescent="0.35">
      <c r="A1088" t="s">
        <v>1284</v>
      </c>
      <c r="B1088" t="str">
        <f t="shared" si="48"/>
        <v>Obesity</v>
      </c>
      <c r="C1088">
        <v>36.630000000000003</v>
      </c>
      <c r="D1088" t="str">
        <f t="shared" si="49"/>
        <v>Diabetes</v>
      </c>
      <c r="E1088">
        <v>11.42</v>
      </c>
      <c r="F1088" t="s">
        <v>2380</v>
      </c>
      <c r="G1088" t="s">
        <v>2380</v>
      </c>
      <c r="H1088" t="s">
        <v>2380</v>
      </c>
      <c r="J1088">
        <v>2</v>
      </c>
      <c r="K1088" t="str">
        <f t="shared" si="50"/>
        <v>No</v>
      </c>
      <c r="L1088" t="s">
        <v>2380</v>
      </c>
    </row>
    <row r="1089" spans="1:12" x14ac:dyDescent="0.35">
      <c r="A1089" t="s">
        <v>1283</v>
      </c>
      <c r="B1089" t="str">
        <f t="shared" si="48"/>
        <v>Obesity</v>
      </c>
      <c r="C1089">
        <v>33.344999999999999</v>
      </c>
      <c r="D1089" t="str">
        <f t="shared" si="49"/>
        <v>Diabetes</v>
      </c>
      <c r="E1089">
        <v>7.33</v>
      </c>
      <c r="F1089" t="s">
        <v>2380</v>
      </c>
      <c r="G1089" t="s">
        <v>2380</v>
      </c>
      <c r="H1089" t="s">
        <v>2380</v>
      </c>
      <c r="J1089">
        <v>2</v>
      </c>
      <c r="K1089" t="str">
        <f t="shared" si="50"/>
        <v>No</v>
      </c>
      <c r="L1089" t="s">
        <v>2380</v>
      </c>
    </row>
    <row r="1090" spans="1:12" x14ac:dyDescent="0.35">
      <c r="A1090" t="s">
        <v>1282</v>
      </c>
      <c r="B1090" t="str">
        <f t="shared" si="48"/>
        <v>Overweight</v>
      </c>
      <c r="C1090">
        <v>27.11</v>
      </c>
      <c r="D1090" t="str">
        <f t="shared" si="49"/>
        <v>Diabetes</v>
      </c>
      <c r="E1090">
        <v>6.7</v>
      </c>
      <c r="F1090" t="s">
        <v>2380</v>
      </c>
      <c r="G1090" t="s">
        <v>2380</v>
      </c>
      <c r="H1090" t="s">
        <v>2380</v>
      </c>
      <c r="J1090" t="s">
        <v>2381</v>
      </c>
      <c r="K1090" t="str">
        <f t="shared" si="50"/>
        <v>No</v>
      </c>
      <c r="L1090" t="s">
        <v>2380</v>
      </c>
    </row>
    <row r="1091" spans="1:12" x14ac:dyDescent="0.35">
      <c r="A1091" t="s">
        <v>1281</v>
      </c>
      <c r="B1091" t="str">
        <f t="shared" ref="B1091:B1154" si="51">_xlfn.IFS(C1091&lt;18.5, "Underweight", C1091&lt;=24.9, "Normal Weight", C1091&lt;=29.9, "Overweight", C1091&gt;=30, "Obesity")</f>
        <v>Overweight</v>
      </c>
      <c r="C1091">
        <v>26.6</v>
      </c>
      <c r="D1091" t="str">
        <f t="shared" ref="D1091:D1154" si="52">_xlfn.IFS(E1091&lt;5.7, "Normal", E1091&lt;=6.4, "Prediabetes", E1091&gt;=6.5, "Diabetes")</f>
        <v>Normal</v>
      </c>
      <c r="E1091">
        <v>5.27</v>
      </c>
      <c r="F1091" t="s">
        <v>2382</v>
      </c>
      <c r="G1091" t="s">
        <v>2380</v>
      </c>
      <c r="H1091" t="s">
        <v>2383</v>
      </c>
      <c r="J1091">
        <v>1</v>
      </c>
      <c r="K1091" t="str">
        <f t="shared" si="50"/>
        <v>No</v>
      </c>
      <c r="L1091" t="s">
        <v>2380</v>
      </c>
    </row>
    <row r="1092" spans="1:12" x14ac:dyDescent="0.35">
      <c r="A1092" t="s">
        <v>1280</v>
      </c>
      <c r="B1092" t="str">
        <f t="shared" si="51"/>
        <v>Obesity</v>
      </c>
      <c r="C1092">
        <v>30.41</v>
      </c>
      <c r="D1092" t="str">
        <f t="shared" si="52"/>
        <v>Diabetes</v>
      </c>
      <c r="E1092">
        <v>7.72</v>
      </c>
      <c r="F1092" t="s">
        <v>2380</v>
      </c>
      <c r="G1092" t="s">
        <v>2380</v>
      </c>
      <c r="H1092" t="s">
        <v>2380</v>
      </c>
      <c r="J1092" t="s">
        <v>2381</v>
      </c>
      <c r="K1092" t="str">
        <f t="shared" ref="K1092:K1155" si="53">IF(OR(L1092="?", ISBLANK(L1092)), "No", L1092)</f>
        <v>No</v>
      </c>
      <c r="L1092" t="s">
        <v>2380</v>
      </c>
    </row>
    <row r="1093" spans="1:12" x14ac:dyDescent="0.35">
      <c r="A1093" t="s">
        <v>1279</v>
      </c>
      <c r="B1093" t="str">
        <f t="shared" si="51"/>
        <v>Overweight</v>
      </c>
      <c r="C1093">
        <v>28.98</v>
      </c>
      <c r="D1093" t="str">
        <f t="shared" si="52"/>
        <v>Diabetes</v>
      </c>
      <c r="E1093">
        <v>8.68</v>
      </c>
      <c r="F1093" t="s">
        <v>2380</v>
      </c>
      <c r="G1093" t="s">
        <v>2380</v>
      </c>
      <c r="H1093" t="s">
        <v>2380</v>
      </c>
      <c r="J1093">
        <v>2</v>
      </c>
      <c r="K1093" t="str">
        <f t="shared" si="53"/>
        <v>No</v>
      </c>
      <c r="L1093" t="s">
        <v>2380</v>
      </c>
    </row>
    <row r="1094" spans="1:12" x14ac:dyDescent="0.35">
      <c r="A1094" t="s">
        <v>1278</v>
      </c>
      <c r="B1094" t="str">
        <f t="shared" si="51"/>
        <v>Obesity</v>
      </c>
      <c r="C1094">
        <v>31.24</v>
      </c>
      <c r="D1094" t="str">
        <f t="shared" si="52"/>
        <v>Diabetes</v>
      </c>
      <c r="E1094">
        <v>9.8000000000000007</v>
      </c>
      <c r="F1094" t="s">
        <v>2380</v>
      </c>
      <c r="G1094" t="s">
        <v>2380</v>
      </c>
      <c r="H1094" t="s">
        <v>2380</v>
      </c>
      <c r="J1094" t="s">
        <v>2381</v>
      </c>
      <c r="K1094" t="str">
        <f t="shared" si="53"/>
        <v>No</v>
      </c>
      <c r="L1094" t="s">
        <v>2380</v>
      </c>
    </row>
    <row r="1095" spans="1:12" x14ac:dyDescent="0.35">
      <c r="A1095" t="s">
        <v>1277</v>
      </c>
      <c r="B1095" t="str">
        <f t="shared" si="51"/>
        <v>Obesity</v>
      </c>
      <c r="C1095">
        <v>31.54</v>
      </c>
      <c r="D1095" t="str">
        <f t="shared" si="52"/>
        <v>Normal</v>
      </c>
      <c r="E1095">
        <v>4.4400000000000004</v>
      </c>
      <c r="F1095" t="s">
        <v>2380</v>
      </c>
      <c r="G1095" t="s">
        <v>2380</v>
      </c>
      <c r="H1095" t="s">
        <v>2380</v>
      </c>
      <c r="J1095" t="s">
        <v>2381</v>
      </c>
      <c r="K1095" t="str">
        <f t="shared" si="53"/>
        <v>No</v>
      </c>
      <c r="L1095" t="s">
        <v>2380</v>
      </c>
    </row>
    <row r="1096" spans="1:12" x14ac:dyDescent="0.35">
      <c r="A1096" t="s">
        <v>1276</v>
      </c>
      <c r="B1096" t="str">
        <f t="shared" si="51"/>
        <v>Obesity</v>
      </c>
      <c r="C1096">
        <v>38.6</v>
      </c>
      <c r="D1096" t="str">
        <f t="shared" si="52"/>
        <v>Diabetes</v>
      </c>
      <c r="E1096">
        <v>7.19</v>
      </c>
      <c r="F1096" t="s">
        <v>2382</v>
      </c>
      <c r="G1096" t="s">
        <v>2380</v>
      </c>
      <c r="H1096" t="s">
        <v>2380</v>
      </c>
      <c r="J1096">
        <v>2</v>
      </c>
      <c r="K1096" t="str">
        <f t="shared" si="53"/>
        <v>No</v>
      </c>
      <c r="L1096" t="s">
        <v>2380</v>
      </c>
    </row>
    <row r="1097" spans="1:12" x14ac:dyDescent="0.35">
      <c r="A1097" t="s">
        <v>1275</v>
      </c>
      <c r="B1097" t="str">
        <f t="shared" si="51"/>
        <v>Obesity</v>
      </c>
      <c r="C1097">
        <v>37.950000000000003</v>
      </c>
      <c r="D1097" t="str">
        <f t="shared" si="52"/>
        <v>Prediabetes</v>
      </c>
      <c r="E1097">
        <v>6.06</v>
      </c>
      <c r="F1097" t="s">
        <v>2380</v>
      </c>
      <c r="G1097" t="s">
        <v>2380</v>
      </c>
      <c r="H1097" t="s">
        <v>2380</v>
      </c>
      <c r="J1097" t="s">
        <v>2381</v>
      </c>
      <c r="K1097" t="str">
        <f t="shared" si="53"/>
        <v>No</v>
      </c>
      <c r="L1097" t="s">
        <v>2380</v>
      </c>
    </row>
    <row r="1098" spans="1:12" x14ac:dyDescent="0.35">
      <c r="A1098" t="s">
        <v>1274</v>
      </c>
      <c r="B1098" t="str">
        <f t="shared" si="51"/>
        <v>Obesity</v>
      </c>
      <c r="C1098">
        <v>38.97</v>
      </c>
      <c r="D1098" t="str">
        <f t="shared" si="52"/>
        <v>Normal</v>
      </c>
      <c r="E1098">
        <v>5.12</v>
      </c>
      <c r="F1098" t="s">
        <v>2380</v>
      </c>
      <c r="G1098" t="s">
        <v>2380</v>
      </c>
      <c r="H1098" t="s">
        <v>2380</v>
      </c>
      <c r="J1098" t="s">
        <v>2381</v>
      </c>
      <c r="K1098" t="str">
        <f t="shared" si="53"/>
        <v>No</v>
      </c>
      <c r="L1098" t="s">
        <v>2380</v>
      </c>
    </row>
    <row r="1099" spans="1:12" x14ac:dyDescent="0.35">
      <c r="A1099" t="s">
        <v>1273</v>
      </c>
      <c r="B1099" t="str">
        <f t="shared" si="51"/>
        <v>Normal Weight</v>
      </c>
      <c r="C1099">
        <v>21.2</v>
      </c>
      <c r="D1099" t="str">
        <f t="shared" si="52"/>
        <v>Diabetes</v>
      </c>
      <c r="E1099">
        <v>10.72</v>
      </c>
      <c r="F1099" t="s">
        <v>2380</v>
      </c>
      <c r="G1099" t="s">
        <v>2380</v>
      </c>
      <c r="H1099" t="s">
        <v>2380</v>
      </c>
      <c r="J1099" t="s">
        <v>2381</v>
      </c>
      <c r="K1099" t="str">
        <f t="shared" si="53"/>
        <v>No</v>
      </c>
      <c r="L1099" t="s">
        <v>2380</v>
      </c>
    </row>
    <row r="1100" spans="1:12" x14ac:dyDescent="0.35">
      <c r="A1100" t="s">
        <v>1272</v>
      </c>
      <c r="B1100" t="str">
        <f t="shared" si="51"/>
        <v>Normal Weight</v>
      </c>
      <c r="C1100">
        <v>23.96</v>
      </c>
      <c r="D1100" t="str">
        <f t="shared" si="52"/>
        <v>Diabetes</v>
      </c>
      <c r="E1100">
        <v>9.58</v>
      </c>
      <c r="F1100" t="s">
        <v>2382</v>
      </c>
      <c r="G1100" t="s">
        <v>2380</v>
      </c>
      <c r="H1100" t="s">
        <v>2383</v>
      </c>
      <c r="J1100">
        <v>1</v>
      </c>
      <c r="K1100" t="str">
        <f t="shared" si="53"/>
        <v>No</v>
      </c>
      <c r="L1100" t="s">
        <v>2380</v>
      </c>
    </row>
    <row r="1101" spans="1:12" x14ac:dyDescent="0.35">
      <c r="A1101" t="s">
        <v>1271</v>
      </c>
      <c r="B1101" t="str">
        <f t="shared" si="51"/>
        <v>Obesity</v>
      </c>
      <c r="C1101">
        <v>35.93</v>
      </c>
      <c r="D1101" t="str">
        <f t="shared" si="52"/>
        <v>Prediabetes</v>
      </c>
      <c r="E1101">
        <v>6.4</v>
      </c>
      <c r="F1101" t="s">
        <v>2382</v>
      </c>
      <c r="G1101" t="s">
        <v>2380</v>
      </c>
      <c r="H1101" t="s">
        <v>2380</v>
      </c>
      <c r="J1101">
        <v>1</v>
      </c>
      <c r="K1101" t="str">
        <f t="shared" si="53"/>
        <v>No</v>
      </c>
      <c r="L1101" t="s">
        <v>2380</v>
      </c>
    </row>
    <row r="1102" spans="1:12" x14ac:dyDescent="0.35">
      <c r="A1102" t="s">
        <v>1270</v>
      </c>
      <c r="B1102" t="str">
        <f t="shared" si="51"/>
        <v>Overweight</v>
      </c>
      <c r="C1102">
        <v>26.11</v>
      </c>
      <c r="D1102" t="str">
        <f t="shared" si="52"/>
        <v>Diabetes</v>
      </c>
      <c r="E1102">
        <v>6.8</v>
      </c>
      <c r="F1102" t="s">
        <v>2382</v>
      </c>
      <c r="G1102" t="s">
        <v>2380</v>
      </c>
      <c r="H1102" t="s">
        <v>2380</v>
      </c>
      <c r="J1102">
        <v>2</v>
      </c>
      <c r="K1102" t="str">
        <f t="shared" si="53"/>
        <v>No</v>
      </c>
      <c r="L1102" t="s">
        <v>2380</v>
      </c>
    </row>
    <row r="1103" spans="1:12" x14ac:dyDescent="0.35">
      <c r="A1103" t="s">
        <v>1269</v>
      </c>
      <c r="B1103" t="str">
        <f t="shared" si="51"/>
        <v>Obesity</v>
      </c>
      <c r="C1103">
        <v>32.299999999999997</v>
      </c>
      <c r="D1103" t="str">
        <f t="shared" si="52"/>
        <v>Diabetes</v>
      </c>
      <c r="E1103">
        <v>9.48</v>
      </c>
      <c r="F1103" t="s">
        <v>2380</v>
      </c>
      <c r="G1103" t="s">
        <v>2380</v>
      </c>
      <c r="H1103" t="s">
        <v>2380</v>
      </c>
      <c r="J1103">
        <v>2</v>
      </c>
      <c r="K1103" t="str">
        <f t="shared" si="53"/>
        <v>No</v>
      </c>
      <c r="L1103" t="s">
        <v>2380</v>
      </c>
    </row>
    <row r="1104" spans="1:12" x14ac:dyDescent="0.35">
      <c r="A1104" t="s">
        <v>1268</v>
      </c>
      <c r="B1104" t="str">
        <f t="shared" si="51"/>
        <v>Overweight</v>
      </c>
      <c r="C1104">
        <v>28.69</v>
      </c>
      <c r="D1104" t="str">
        <f t="shared" si="52"/>
        <v>Diabetes</v>
      </c>
      <c r="E1104">
        <v>7.45</v>
      </c>
      <c r="F1104" t="s">
        <v>2380</v>
      </c>
      <c r="G1104" t="s">
        <v>2380</v>
      </c>
      <c r="H1104" t="s">
        <v>2380</v>
      </c>
      <c r="J1104">
        <v>2</v>
      </c>
      <c r="K1104" t="str">
        <f t="shared" si="53"/>
        <v>No</v>
      </c>
      <c r="L1104" t="s">
        <v>2380</v>
      </c>
    </row>
    <row r="1105" spans="1:12" x14ac:dyDescent="0.35">
      <c r="A1105" t="s">
        <v>1267</v>
      </c>
      <c r="B1105" t="str">
        <f t="shared" si="51"/>
        <v>Obesity</v>
      </c>
      <c r="C1105">
        <v>31.28</v>
      </c>
      <c r="D1105" t="str">
        <f t="shared" si="52"/>
        <v>Diabetes</v>
      </c>
      <c r="E1105">
        <v>6.94</v>
      </c>
      <c r="F1105" t="s">
        <v>2382</v>
      </c>
      <c r="G1105" t="s">
        <v>2380</v>
      </c>
      <c r="H1105" t="s">
        <v>2380</v>
      </c>
      <c r="J1105">
        <v>1</v>
      </c>
      <c r="K1105" t="str">
        <f t="shared" si="53"/>
        <v>No</v>
      </c>
      <c r="L1105" t="s">
        <v>2380</v>
      </c>
    </row>
    <row r="1106" spans="1:12" x14ac:dyDescent="0.35">
      <c r="A1106" t="s">
        <v>1266</v>
      </c>
      <c r="B1106" t="str">
        <f t="shared" si="51"/>
        <v>Obesity</v>
      </c>
      <c r="C1106">
        <v>30.21</v>
      </c>
      <c r="D1106" t="str">
        <f t="shared" si="52"/>
        <v>Diabetes</v>
      </c>
      <c r="E1106">
        <v>7.83</v>
      </c>
      <c r="F1106" t="s">
        <v>2380</v>
      </c>
      <c r="G1106" t="s">
        <v>2380</v>
      </c>
      <c r="H1106" t="s">
        <v>2380</v>
      </c>
      <c r="J1106" t="s">
        <v>2381</v>
      </c>
      <c r="K1106" t="str">
        <f t="shared" si="53"/>
        <v>No</v>
      </c>
      <c r="L1106" t="s">
        <v>2380</v>
      </c>
    </row>
    <row r="1107" spans="1:12" x14ac:dyDescent="0.35">
      <c r="A1107" t="s">
        <v>1265</v>
      </c>
      <c r="B1107" t="str">
        <f t="shared" si="51"/>
        <v>Obesity</v>
      </c>
      <c r="C1107">
        <v>38.28</v>
      </c>
      <c r="D1107" t="str">
        <f t="shared" si="52"/>
        <v>Diabetes</v>
      </c>
      <c r="E1107">
        <v>10.17</v>
      </c>
      <c r="F1107" t="s">
        <v>2382</v>
      </c>
      <c r="G1107" t="s">
        <v>2380</v>
      </c>
      <c r="H1107" t="s">
        <v>2380</v>
      </c>
      <c r="J1107" t="s">
        <v>2381</v>
      </c>
      <c r="K1107" t="str">
        <f t="shared" si="53"/>
        <v>No</v>
      </c>
      <c r="L1107" t="s">
        <v>2380</v>
      </c>
    </row>
    <row r="1108" spans="1:12" x14ac:dyDescent="0.35">
      <c r="A1108" t="s">
        <v>1264</v>
      </c>
      <c r="B1108" t="str">
        <f t="shared" si="51"/>
        <v>Overweight</v>
      </c>
      <c r="C1108">
        <v>29.9</v>
      </c>
      <c r="D1108" t="str">
        <f t="shared" si="52"/>
        <v>Diabetes</v>
      </c>
      <c r="E1108">
        <v>8.9600000000000009</v>
      </c>
      <c r="F1108" t="s">
        <v>2382</v>
      </c>
      <c r="G1108" t="s">
        <v>2380</v>
      </c>
      <c r="H1108" t="s">
        <v>2380</v>
      </c>
      <c r="J1108" t="s">
        <v>2381</v>
      </c>
      <c r="K1108" t="str">
        <f t="shared" si="53"/>
        <v>No</v>
      </c>
      <c r="L1108" t="s">
        <v>2380</v>
      </c>
    </row>
    <row r="1109" spans="1:12" x14ac:dyDescent="0.35">
      <c r="A1109" t="s">
        <v>1263</v>
      </c>
      <c r="B1109" t="str">
        <f t="shared" si="51"/>
        <v>Normal Weight</v>
      </c>
      <c r="C1109">
        <v>23.18</v>
      </c>
      <c r="D1109" t="str">
        <f t="shared" si="52"/>
        <v>Diabetes</v>
      </c>
      <c r="E1109">
        <v>6.96</v>
      </c>
      <c r="F1109" t="s">
        <v>2382</v>
      </c>
      <c r="G1109" t="s">
        <v>2380</v>
      </c>
      <c r="H1109" t="s">
        <v>2380</v>
      </c>
      <c r="J1109">
        <v>2</v>
      </c>
      <c r="K1109" t="str">
        <f t="shared" si="53"/>
        <v>No</v>
      </c>
      <c r="L1109" t="s">
        <v>2380</v>
      </c>
    </row>
    <row r="1110" spans="1:12" x14ac:dyDescent="0.35">
      <c r="A1110" t="s">
        <v>1262</v>
      </c>
      <c r="B1110" t="str">
        <f t="shared" si="51"/>
        <v>Obesity</v>
      </c>
      <c r="C1110">
        <v>33.020000000000003</v>
      </c>
      <c r="D1110" t="str">
        <f t="shared" si="52"/>
        <v>Normal</v>
      </c>
      <c r="E1110">
        <v>5.07</v>
      </c>
      <c r="F1110" t="s">
        <v>2382</v>
      </c>
      <c r="G1110" t="s">
        <v>2380</v>
      </c>
      <c r="H1110" t="s">
        <v>2380</v>
      </c>
      <c r="J1110" t="s">
        <v>2381</v>
      </c>
      <c r="K1110" t="str">
        <f t="shared" si="53"/>
        <v>No</v>
      </c>
      <c r="L1110" t="s">
        <v>2380</v>
      </c>
    </row>
    <row r="1111" spans="1:12" x14ac:dyDescent="0.35">
      <c r="A1111" t="s">
        <v>1261</v>
      </c>
      <c r="B1111" t="str">
        <f t="shared" si="51"/>
        <v>Overweight</v>
      </c>
      <c r="C1111">
        <v>27.29</v>
      </c>
      <c r="D1111" t="str">
        <f t="shared" si="52"/>
        <v>Prediabetes</v>
      </c>
      <c r="E1111">
        <v>5.85</v>
      </c>
      <c r="F1111" t="s">
        <v>2380</v>
      </c>
      <c r="G1111" t="s">
        <v>2380</v>
      </c>
      <c r="H1111" t="s">
        <v>2380</v>
      </c>
      <c r="J1111">
        <v>2</v>
      </c>
      <c r="K1111" t="str">
        <f t="shared" si="53"/>
        <v>No</v>
      </c>
      <c r="L1111" t="s">
        <v>2380</v>
      </c>
    </row>
    <row r="1112" spans="1:12" x14ac:dyDescent="0.35">
      <c r="A1112" t="s">
        <v>1260</v>
      </c>
      <c r="B1112" t="str">
        <f t="shared" si="51"/>
        <v>Normal Weight</v>
      </c>
      <c r="C1112">
        <v>23.18</v>
      </c>
      <c r="D1112" t="str">
        <f t="shared" si="52"/>
        <v>Diabetes</v>
      </c>
      <c r="E1112">
        <v>10.56</v>
      </c>
      <c r="F1112" t="s">
        <v>2380</v>
      </c>
      <c r="G1112" t="s">
        <v>2380</v>
      </c>
      <c r="H1112" t="s">
        <v>2380</v>
      </c>
      <c r="J1112">
        <v>2</v>
      </c>
      <c r="K1112" t="str">
        <f t="shared" si="53"/>
        <v>No</v>
      </c>
      <c r="L1112" t="s">
        <v>2380</v>
      </c>
    </row>
    <row r="1113" spans="1:12" x14ac:dyDescent="0.35">
      <c r="A1113" t="s">
        <v>1259</v>
      </c>
      <c r="B1113" t="str">
        <f t="shared" si="51"/>
        <v>Obesity</v>
      </c>
      <c r="C1113">
        <v>32.659999999999997</v>
      </c>
      <c r="D1113" t="str">
        <f t="shared" si="52"/>
        <v>Diabetes</v>
      </c>
      <c r="E1113">
        <v>8.92</v>
      </c>
      <c r="F1113" t="s">
        <v>2382</v>
      </c>
      <c r="G1113" t="s">
        <v>2380</v>
      </c>
      <c r="H1113" t="s">
        <v>2380</v>
      </c>
      <c r="J1113" t="s">
        <v>2381</v>
      </c>
      <c r="K1113" t="str">
        <f t="shared" si="53"/>
        <v>No</v>
      </c>
      <c r="L1113" t="s">
        <v>2380</v>
      </c>
    </row>
    <row r="1114" spans="1:12" x14ac:dyDescent="0.35">
      <c r="A1114" t="s">
        <v>1258</v>
      </c>
      <c r="B1114" t="str">
        <f t="shared" si="51"/>
        <v>Obesity</v>
      </c>
      <c r="C1114">
        <v>30.78</v>
      </c>
      <c r="D1114" t="str">
        <f t="shared" si="52"/>
        <v>Diabetes</v>
      </c>
      <c r="E1114">
        <v>8.6300000000000008</v>
      </c>
      <c r="F1114" t="s">
        <v>2380</v>
      </c>
      <c r="G1114" t="s">
        <v>2380</v>
      </c>
      <c r="H1114" t="s">
        <v>2380</v>
      </c>
      <c r="J1114" t="s">
        <v>2381</v>
      </c>
      <c r="K1114" t="str">
        <f t="shared" si="53"/>
        <v>No</v>
      </c>
      <c r="L1114" t="s">
        <v>2380</v>
      </c>
    </row>
    <row r="1115" spans="1:12" x14ac:dyDescent="0.35">
      <c r="A1115" t="s">
        <v>1257</v>
      </c>
      <c r="B1115" t="str">
        <f t="shared" si="51"/>
        <v>Obesity</v>
      </c>
      <c r="C1115">
        <v>47.2</v>
      </c>
      <c r="D1115" t="str">
        <f t="shared" si="52"/>
        <v>Prediabetes</v>
      </c>
      <c r="E1115">
        <v>6.29</v>
      </c>
      <c r="F1115" t="s">
        <v>2382</v>
      </c>
      <c r="G1115" t="s">
        <v>2380</v>
      </c>
      <c r="H1115" t="s">
        <v>2383</v>
      </c>
      <c r="J1115">
        <v>1</v>
      </c>
      <c r="K1115" t="str">
        <f t="shared" si="53"/>
        <v>No</v>
      </c>
      <c r="L1115" t="s">
        <v>2380</v>
      </c>
    </row>
    <row r="1116" spans="1:12" x14ac:dyDescent="0.35">
      <c r="A1116" t="s">
        <v>1256</v>
      </c>
      <c r="B1116" t="str">
        <f t="shared" si="51"/>
        <v>Obesity</v>
      </c>
      <c r="C1116">
        <v>31.6</v>
      </c>
      <c r="D1116" t="str">
        <f t="shared" si="52"/>
        <v>Prediabetes</v>
      </c>
      <c r="E1116">
        <v>5.75</v>
      </c>
      <c r="F1116" t="s">
        <v>2380</v>
      </c>
      <c r="G1116" t="s">
        <v>2380</v>
      </c>
      <c r="H1116" t="s">
        <v>2380</v>
      </c>
      <c r="J1116">
        <v>2</v>
      </c>
      <c r="K1116" t="str">
        <f t="shared" si="53"/>
        <v>No</v>
      </c>
      <c r="L1116" t="s">
        <v>2380</v>
      </c>
    </row>
    <row r="1117" spans="1:12" x14ac:dyDescent="0.35">
      <c r="A1117" t="s">
        <v>1255</v>
      </c>
      <c r="B1117" t="str">
        <f t="shared" si="51"/>
        <v>Obesity</v>
      </c>
      <c r="C1117">
        <v>33.914999999999999</v>
      </c>
      <c r="D1117" t="str">
        <f t="shared" si="52"/>
        <v>Diabetes</v>
      </c>
      <c r="E1117">
        <v>6.66</v>
      </c>
      <c r="F1117" t="s">
        <v>2382</v>
      </c>
      <c r="G1117" t="s">
        <v>2380</v>
      </c>
      <c r="H1117" t="s">
        <v>2380</v>
      </c>
      <c r="J1117">
        <v>1</v>
      </c>
      <c r="K1117" t="str">
        <f t="shared" si="53"/>
        <v>No</v>
      </c>
      <c r="L1117" t="s">
        <v>2380</v>
      </c>
    </row>
    <row r="1118" spans="1:12" x14ac:dyDescent="0.35">
      <c r="A1118" t="s">
        <v>1254</v>
      </c>
      <c r="B1118" t="str">
        <f t="shared" si="51"/>
        <v>Normal Weight</v>
      </c>
      <c r="C1118">
        <v>23.54</v>
      </c>
      <c r="D1118" t="str">
        <f t="shared" si="52"/>
        <v>Normal</v>
      </c>
      <c r="E1118">
        <v>5.0999999999999996</v>
      </c>
      <c r="F1118" t="s">
        <v>2380</v>
      </c>
      <c r="G1118" t="s">
        <v>2380</v>
      </c>
      <c r="H1118" t="s">
        <v>2380</v>
      </c>
      <c r="J1118">
        <v>2</v>
      </c>
      <c r="K1118" t="str">
        <f t="shared" si="53"/>
        <v>No</v>
      </c>
      <c r="L1118" t="s">
        <v>2380</v>
      </c>
    </row>
    <row r="1119" spans="1:12" x14ac:dyDescent="0.35">
      <c r="A1119" t="s">
        <v>1253</v>
      </c>
      <c r="B1119" t="str">
        <f t="shared" si="51"/>
        <v>Overweight</v>
      </c>
      <c r="C1119">
        <v>27.074999999999999</v>
      </c>
      <c r="D1119" t="str">
        <f t="shared" si="52"/>
        <v>Normal</v>
      </c>
      <c r="E1119">
        <v>4.41</v>
      </c>
      <c r="F1119" t="s">
        <v>2380</v>
      </c>
      <c r="G1119" t="s">
        <v>2380</v>
      </c>
      <c r="H1119" t="s">
        <v>2380</v>
      </c>
      <c r="J1119">
        <v>2</v>
      </c>
      <c r="K1119" t="str">
        <f t="shared" si="53"/>
        <v>No</v>
      </c>
      <c r="L1119" t="s">
        <v>2380</v>
      </c>
    </row>
    <row r="1120" spans="1:12" x14ac:dyDescent="0.35">
      <c r="A1120" t="s">
        <v>1252</v>
      </c>
      <c r="B1120" t="str">
        <f t="shared" si="51"/>
        <v>Overweight</v>
      </c>
      <c r="C1120">
        <v>25.8</v>
      </c>
      <c r="D1120" t="str">
        <f t="shared" si="52"/>
        <v>Normal</v>
      </c>
      <c r="E1120">
        <v>5.52</v>
      </c>
      <c r="F1120" t="s">
        <v>2382</v>
      </c>
      <c r="G1120" t="s">
        <v>2380</v>
      </c>
      <c r="H1120" t="s">
        <v>2380</v>
      </c>
      <c r="J1120" t="s">
        <v>2381</v>
      </c>
      <c r="K1120" t="str">
        <f t="shared" si="53"/>
        <v>No</v>
      </c>
      <c r="L1120" t="s">
        <v>2380</v>
      </c>
    </row>
    <row r="1121" spans="1:12" x14ac:dyDescent="0.35">
      <c r="A1121" t="s">
        <v>1251</v>
      </c>
      <c r="B1121" t="str">
        <f t="shared" si="51"/>
        <v>Obesity</v>
      </c>
      <c r="C1121">
        <v>36.1</v>
      </c>
      <c r="D1121" t="str">
        <f t="shared" si="52"/>
        <v>Normal</v>
      </c>
      <c r="E1121">
        <v>4.62</v>
      </c>
      <c r="F1121" t="s">
        <v>2382</v>
      </c>
      <c r="G1121" t="s">
        <v>2380</v>
      </c>
      <c r="H1121" t="s">
        <v>2383</v>
      </c>
      <c r="J1121">
        <v>1</v>
      </c>
      <c r="K1121" t="str">
        <f t="shared" si="53"/>
        <v>No</v>
      </c>
      <c r="L1121" t="s">
        <v>2380</v>
      </c>
    </row>
    <row r="1122" spans="1:12" x14ac:dyDescent="0.35">
      <c r="A1122" t="s">
        <v>1250</v>
      </c>
      <c r="B1122" t="str">
        <f t="shared" si="51"/>
        <v>Obesity</v>
      </c>
      <c r="C1122">
        <v>30.495000000000001</v>
      </c>
      <c r="D1122" t="str">
        <f t="shared" si="52"/>
        <v>Prediabetes</v>
      </c>
      <c r="E1122">
        <v>5.74</v>
      </c>
      <c r="F1122" t="s">
        <v>2382</v>
      </c>
      <c r="G1122" t="s">
        <v>2380</v>
      </c>
      <c r="H1122" t="s">
        <v>2383</v>
      </c>
      <c r="J1122">
        <v>1</v>
      </c>
      <c r="K1122" t="str">
        <f t="shared" si="53"/>
        <v>No</v>
      </c>
      <c r="L1122" t="s">
        <v>2380</v>
      </c>
    </row>
    <row r="1123" spans="1:12" x14ac:dyDescent="0.35">
      <c r="A1123" t="s">
        <v>1249</v>
      </c>
      <c r="B1123" t="str">
        <f t="shared" si="51"/>
        <v>Normal Weight</v>
      </c>
      <c r="C1123">
        <v>21.4</v>
      </c>
      <c r="D1123" t="str">
        <f t="shared" si="52"/>
        <v>Prediabetes</v>
      </c>
      <c r="E1123">
        <v>6.3</v>
      </c>
      <c r="F1123" t="s">
        <v>2382</v>
      </c>
      <c r="G1123" t="s">
        <v>2380</v>
      </c>
      <c r="H1123" t="s">
        <v>2383</v>
      </c>
      <c r="J1123">
        <v>1</v>
      </c>
      <c r="K1123" t="str">
        <f t="shared" si="53"/>
        <v>No</v>
      </c>
      <c r="L1123" t="s">
        <v>2380</v>
      </c>
    </row>
    <row r="1124" spans="1:12" x14ac:dyDescent="0.35">
      <c r="A1124" t="s">
        <v>1248</v>
      </c>
      <c r="B1124" t="str">
        <f t="shared" si="51"/>
        <v>Obesity</v>
      </c>
      <c r="C1124">
        <v>32.299999999999997</v>
      </c>
      <c r="D1124" t="str">
        <f t="shared" si="52"/>
        <v>Diabetes</v>
      </c>
      <c r="E1124">
        <v>10.27</v>
      </c>
      <c r="F1124" t="s">
        <v>2380</v>
      </c>
      <c r="G1124" t="s">
        <v>2380</v>
      </c>
      <c r="H1124" t="s">
        <v>2380</v>
      </c>
      <c r="J1124" t="s">
        <v>2381</v>
      </c>
      <c r="K1124" t="str">
        <f t="shared" si="53"/>
        <v>No</v>
      </c>
      <c r="L1124" t="s">
        <v>2380</v>
      </c>
    </row>
    <row r="1125" spans="1:12" x14ac:dyDescent="0.35">
      <c r="A1125" t="s">
        <v>1247</v>
      </c>
      <c r="B1125" t="str">
        <f t="shared" si="51"/>
        <v>Overweight</v>
      </c>
      <c r="C1125">
        <v>29.78</v>
      </c>
      <c r="D1125" t="str">
        <f t="shared" si="52"/>
        <v>Prediabetes</v>
      </c>
      <c r="E1125">
        <v>5.85</v>
      </c>
      <c r="F1125" t="s">
        <v>2380</v>
      </c>
      <c r="G1125" t="s">
        <v>2380</v>
      </c>
      <c r="H1125" t="s">
        <v>2383</v>
      </c>
      <c r="J1125">
        <v>1</v>
      </c>
      <c r="K1125" t="str">
        <f t="shared" si="53"/>
        <v>No</v>
      </c>
      <c r="L1125" t="s">
        <v>2380</v>
      </c>
    </row>
    <row r="1126" spans="1:12" x14ac:dyDescent="0.35">
      <c r="A1126" t="s">
        <v>1246</v>
      </c>
      <c r="B1126" t="str">
        <f t="shared" si="51"/>
        <v>Obesity</v>
      </c>
      <c r="C1126">
        <v>34.76</v>
      </c>
      <c r="D1126" t="str">
        <f t="shared" si="52"/>
        <v>Prediabetes</v>
      </c>
      <c r="E1126">
        <v>5.92</v>
      </c>
      <c r="F1126" t="s">
        <v>2382</v>
      </c>
      <c r="G1126" t="s">
        <v>2380</v>
      </c>
      <c r="H1126" t="s">
        <v>2380</v>
      </c>
      <c r="J1126">
        <v>1</v>
      </c>
      <c r="K1126" t="str">
        <f t="shared" si="53"/>
        <v>No</v>
      </c>
      <c r="L1126" t="s">
        <v>2380</v>
      </c>
    </row>
    <row r="1127" spans="1:12" x14ac:dyDescent="0.35">
      <c r="A1127" t="s">
        <v>1245</v>
      </c>
      <c r="B1127" t="str">
        <f t="shared" si="51"/>
        <v>Underweight</v>
      </c>
      <c r="C1127">
        <v>18.335000000000001</v>
      </c>
      <c r="D1127" t="str">
        <f t="shared" si="52"/>
        <v>Diabetes</v>
      </c>
      <c r="E1127">
        <v>10.01</v>
      </c>
      <c r="F1127" t="s">
        <v>2382</v>
      </c>
      <c r="G1127" t="s">
        <v>2380</v>
      </c>
      <c r="H1127" t="s">
        <v>2380</v>
      </c>
      <c r="J1127">
        <v>2</v>
      </c>
      <c r="K1127" t="str">
        <f t="shared" si="53"/>
        <v>No</v>
      </c>
      <c r="L1127" t="s">
        <v>2380</v>
      </c>
    </row>
    <row r="1128" spans="1:12" x14ac:dyDescent="0.35">
      <c r="A1128" t="s">
        <v>1244</v>
      </c>
      <c r="B1128" t="str">
        <f t="shared" si="51"/>
        <v>Obesity</v>
      </c>
      <c r="C1128">
        <v>32.299999999999997</v>
      </c>
      <c r="D1128" t="str">
        <f t="shared" si="52"/>
        <v>Diabetes</v>
      </c>
      <c r="E1128">
        <v>9.59</v>
      </c>
      <c r="F1128" t="s">
        <v>2380</v>
      </c>
      <c r="G1128" t="s">
        <v>2380</v>
      </c>
      <c r="H1128" t="s">
        <v>2380</v>
      </c>
      <c r="J1128" t="s">
        <v>2381</v>
      </c>
      <c r="K1128" t="str">
        <f t="shared" si="53"/>
        <v>No</v>
      </c>
      <c r="L1128" t="s">
        <v>2380</v>
      </c>
    </row>
    <row r="1129" spans="1:12" x14ac:dyDescent="0.35">
      <c r="A1129" t="s">
        <v>1243</v>
      </c>
      <c r="B1129" t="str">
        <f t="shared" si="51"/>
        <v>Overweight</v>
      </c>
      <c r="C1129">
        <v>27.74</v>
      </c>
      <c r="D1129" t="str">
        <f t="shared" si="52"/>
        <v>Diabetes</v>
      </c>
      <c r="E1129">
        <v>10.37</v>
      </c>
      <c r="F1129" t="s">
        <v>2380</v>
      </c>
      <c r="G1129" t="s">
        <v>2380</v>
      </c>
      <c r="H1129" t="s">
        <v>2380</v>
      </c>
      <c r="J1129" t="s">
        <v>2381</v>
      </c>
      <c r="K1129" t="str">
        <f t="shared" si="53"/>
        <v>No</v>
      </c>
      <c r="L1129" t="s">
        <v>2380</v>
      </c>
    </row>
    <row r="1130" spans="1:12" x14ac:dyDescent="0.35">
      <c r="A1130" t="s">
        <v>1242</v>
      </c>
      <c r="B1130" t="str">
        <f t="shared" si="51"/>
        <v>Normal Weight</v>
      </c>
      <c r="C1130">
        <v>24</v>
      </c>
      <c r="D1130" t="str">
        <f t="shared" si="52"/>
        <v>Normal</v>
      </c>
      <c r="E1130">
        <v>4.01</v>
      </c>
      <c r="F1130" t="s">
        <v>2382</v>
      </c>
      <c r="G1130" t="s">
        <v>2380</v>
      </c>
      <c r="H1130" t="s">
        <v>2380</v>
      </c>
      <c r="J1130">
        <v>1</v>
      </c>
      <c r="K1130" t="str">
        <f t="shared" si="53"/>
        <v>No</v>
      </c>
      <c r="L1130" t="s">
        <v>2380</v>
      </c>
    </row>
    <row r="1131" spans="1:12" x14ac:dyDescent="0.35">
      <c r="A1131" t="s">
        <v>1241</v>
      </c>
      <c r="B1131" t="str">
        <f t="shared" si="51"/>
        <v>Obesity</v>
      </c>
      <c r="C1131">
        <v>31.78</v>
      </c>
      <c r="D1131" t="str">
        <f t="shared" si="52"/>
        <v>Normal</v>
      </c>
      <c r="E1131">
        <v>4.24</v>
      </c>
      <c r="F1131" t="s">
        <v>2382</v>
      </c>
      <c r="G1131" t="s">
        <v>2380</v>
      </c>
      <c r="H1131" t="s">
        <v>2383</v>
      </c>
      <c r="J1131">
        <v>1</v>
      </c>
      <c r="K1131" t="str">
        <f t="shared" si="53"/>
        <v>No</v>
      </c>
      <c r="L1131" t="s">
        <v>2380</v>
      </c>
    </row>
    <row r="1132" spans="1:12" x14ac:dyDescent="0.35">
      <c r="A1132" t="s">
        <v>1240</v>
      </c>
      <c r="B1132" t="str">
        <f t="shared" si="51"/>
        <v>Obesity</v>
      </c>
      <c r="C1132">
        <v>32.25</v>
      </c>
      <c r="D1132" t="str">
        <f t="shared" si="52"/>
        <v>Normal</v>
      </c>
      <c r="E1132">
        <v>5.36</v>
      </c>
      <c r="F1132" t="s">
        <v>2382</v>
      </c>
      <c r="G1132" t="s">
        <v>2380</v>
      </c>
      <c r="H1132" t="s">
        <v>2380</v>
      </c>
      <c r="J1132" t="s">
        <v>2381</v>
      </c>
      <c r="K1132" t="str">
        <f t="shared" si="53"/>
        <v>No</v>
      </c>
      <c r="L1132" t="s">
        <v>2380</v>
      </c>
    </row>
    <row r="1133" spans="1:12" x14ac:dyDescent="0.35">
      <c r="A1133" t="s">
        <v>1239</v>
      </c>
      <c r="B1133" t="str">
        <f t="shared" si="51"/>
        <v>Obesity</v>
      </c>
      <c r="C1133">
        <v>30.114999999999998</v>
      </c>
      <c r="D1133" t="str">
        <f t="shared" si="52"/>
        <v>Normal</v>
      </c>
      <c r="E1133">
        <v>4.99</v>
      </c>
      <c r="F1133" t="s">
        <v>2380</v>
      </c>
      <c r="G1133" t="s">
        <v>2380</v>
      </c>
      <c r="H1133" t="s">
        <v>2380</v>
      </c>
      <c r="J1133">
        <v>2</v>
      </c>
      <c r="K1133" t="str">
        <f t="shared" si="53"/>
        <v>No</v>
      </c>
      <c r="L1133" t="s">
        <v>2380</v>
      </c>
    </row>
    <row r="1134" spans="1:12" x14ac:dyDescent="0.35">
      <c r="A1134" t="s">
        <v>1238</v>
      </c>
      <c r="B1134" t="str">
        <f t="shared" si="51"/>
        <v>Normal Weight</v>
      </c>
      <c r="C1134">
        <v>22.41</v>
      </c>
      <c r="D1134" t="str">
        <f t="shared" si="52"/>
        <v>Diabetes</v>
      </c>
      <c r="E1134">
        <v>8.68</v>
      </c>
      <c r="F1134" t="s">
        <v>2380</v>
      </c>
      <c r="G1134" t="s">
        <v>2380</v>
      </c>
      <c r="H1134" t="s">
        <v>2380</v>
      </c>
      <c r="J1134" t="s">
        <v>2381</v>
      </c>
      <c r="K1134" t="str">
        <f t="shared" si="53"/>
        <v>No</v>
      </c>
      <c r="L1134" t="s">
        <v>2380</v>
      </c>
    </row>
    <row r="1135" spans="1:12" x14ac:dyDescent="0.35">
      <c r="A1135" t="s">
        <v>1237</v>
      </c>
      <c r="B1135" t="str">
        <f t="shared" si="51"/>
        <v>Obesity</v>
      </c>
      <c r="C1135">
        <v>45.72</v>
      </c>
      <c r="D1135" t="str">
        <f t="shared" si="52"/>
        <v>Normal</v>
      </c>
      <c r="E1135">
        <v>4.2300000000000004</v>
      </c>
      <c r="F1135" t="s">
        <v>2382</v>
      </c>
      <c r="G1135" t="s">
        <v>2380</v>
      </c>
      <c r="H1135" t="s">
        <v>2380</v>
      </c>
      <c r="J1135" t="s">
        <v>2381</v>
      </c>
      <c r="K1135" t="str">
        <f t="shared" si="53"/>
        <v>No</v>
      </c>
      <c r="L1135" t="s">
        <v>2380</v>
      </c>
    </row>
    <row r="1136" spans="1:12" x14ac:dyDescent="0.35">
      <c r="A1136" t="s">
        <v>1236</v>
      </c>
      <c r="B1136" t="str">
        <f t="shared" si="51"/>
        <v>Overweight</v>
      </c>
      <c r="C1136">
        <v>25</v>
      </c>
      <c r="D1136" t="str">
        <f t="shared" si="52"/>
        <v>Normal</v>
      </c>
      <c r="E1136">
        <v>5.32</v>
      </c>
      <c r="F1136" t="s">
        <v>2382</v>
      </c>
      <c r="G1136" t="s">
        <v>2380</v>
      </c>
      <c r="H1136" t="s">
        <v>2380</v>
      </c>
      <c r="J1136">
        <v>2</v>
      </c>
      <c r="K1136" t="str">
        <f t="shared" si="53"/>
        <v>No</v>
      </c>
      <c r="L1136" t="s">
        <v>2380</v>
      </c>
    </row>
    <row r="1137" spans="1:12" x14ac:dyDescent="0.35">
      <c r="A1137" t="s">
        <v>1235</v>
      </c>
      <c r="B1137" t="str">
        <f t="shared" si="51"/>
        <v>Obesity</v>
      </c>
      <c r="C1137">
        <v>39.5</v>
      </c>
      <c r="D1137" t="str">
        <f t="shared" si="52"/>
        <v>Diabetes</v>
      </c>
      <c r="E1137">
        <v>6.66</v>
      </c>
      <c r="F1137" t="s">
        <v>2380</v>
      </c>
      <c r="G1137" t="s">
        <v>2380</v>
      </c>
      <c r="H1137" t="s">
        <v>2380</v>
      </c>
      <c r="J1137" t="s">
        <v>2381</v>
      </c>
      <c r="K1137" t="str">
        <f t="shared" si="53"/>
        <v>No</v>
      </c>
      <c r="L1137" t="s">
        <v>2380</v>
      </c>
    </row>
    <row r="1138" spans="1:12" x14ac:dyDescent="0.35">
      <c r="A1138" t="s">
        <v>1234</v>
      </c>
      <c r="B1138" t="str">
        <f t="shared" si="51"/>
        <v>Obesity</v>
      </c>
      <c r="C1138">
        <v>37.729999999999997</v>
      </c>
      <c r="D1138" t="str">
        <f t="shared" si="52"/>
        <v>Diabetes</v>
      </c>
      <c r="E1138">
        <v>7.4</v>
      </c>
      <c r="F1138" t="s">
        <v>2380</v>
      </c>
      <c r="G1138" t="s">
        <v>2380</v>
      </c>
      <c r="H1138" t="s">
        <v>2380</v>
      </c>
      <c r="J1138" t="s">
        <v>2381</v>
      </c>
      <c r="K1138" t="str">
        <f t="shared" si="53"/>
        <v>No</v>
      </c>
      <c r="L1138" t="s">
        <v>2380</v>
      </c>
    </row>
    <row r="1139" spans="1:12" x14ac:dyDescent="0.35">
      <c r="A1139" t="s">
        <v>1233</v>
      </c>
      <c r="B1139" t="str">
        <f t="shared" si="51"/>
        <v>Obesity</v>
      </c>
      <c r="C1139">
        <v>40.659999999999997</v>
      </c>
      <c r="D1139" t="str">
        <f t="shared" si="52"/>
        <v>Diabetes</v>
      </c>
      <c r="E1139">
        <v>10.08</v>
      </c>
      <c r="F1139" t="s">
        <v>2380</v>
      </c>
      <c r="G1139" t="s">
        <v>2380</v>
      </c>
      <c r="H1139" t="s">
        <v>2380</v>
      </c>
      <c r="J1139" t="s">
        <v>2381</v>
      </c>
      <c r="K1139" t="str">
        <f t="shared" si="53"/>
        <v>No</v>
      </c>
      <c r="L1139" t="s">
        <v>2380</v>
      </c>
    </row>
    <row r="1140" spans="1:12" x14ac:dyDescent="0.35">
      <c r="A1140" t="s">
        <v>1232</v>
      </c>
      <c r="B1140" t="str">
        <f t="shared" si="51"/>
        <v>Obesity</v>
      </c>
      <c r="C1140">
        <v>34.200000000000003</v>
      </c>
      <c r="D1140" t="str">
        <f t="shared" si="52"/>
        <v>Diabetes</v>
      </c>
      <c r="E1140">
        <v>8.58</v>
      </c>
      <c r="F1140" t="s">
        <v>2380</v>
      </c>
      <c r="G1140" t="s">
        <v>2380</v>
      </c>
      <c r="H1140" t="s">
        <v>2380</v>
      </c>
      <c r="J1140" t="s">
        <v>2381</v>
      </c>
      <c r="K1140" t="str">
        <f t="shared" si="53"/>
        <v>No</v>
      </c>
      <c r="L1140" t="s">
        <v>2380</v>
      </c>
    </row>
    <row r="1141" spans="1:12" x14ac:dyDescent="0.35">
      <c r="A1141" t="s">
        <v>1231</v>
      </c>
      <c r="B1141" t="str">
        <f t="shared" si="51"/>
        <v>Obesity</v>
      </c>
      <c r="C1141">
        <v>46.51</v>
      </c>
      <c r="D1141" t="str">
        <f t="shared" si="52"/>
        <v>Prediabetes</v>
      </c>
      <c r="E1141">
        <v>5.84</v>
      </c>
      <c r="F1141" t="s">
        <v>2380</v>
      </c>
      <c r="G1141" t="s">
        <v>2380</v>
      </c>
      <c r="H1141" t="s">
        <v>2380</v>
      </c>
      <c r="J1141">
        <v>1</v>
      </c>
      <c r="K1141" t="str">
        <f t="shared" si="53"/>
        <v>No</v>
      </c>
      <c r="L1141" t="s">
        <v>2380</v>
      </c>
    </row>
    <row r="1142" spans="1:12" x14ac:dyDescent="0.35">
      <c r="A1142" t="s">
        <v>1230</v>
      </c>
      <c r="B1142" t="str">
        <f t="shared" si="51"/>
        <v>Overweight</v>
      </c>
      <c r="C1142">
        <v>28.88</v>
      </c>
      <c r="D1142" t="str">
        <f t="shared" si="52"/>
        <v>Normal</v>
      </c>
      <c r="E1142">
        <v>4.8600000000000003</v>
      </c>
      <c r="F1142" t="s">
        <v>2382</v>
      </c>
      <c r="G1142" t="s">
        <v>2380</v>
      </c>
      <c r="H1142" t="s">
        <v>2383</v>
      </c>
      <c r="J1142">
        <v>1</v>
      </c>
      <c r="K1142" t="str">
        <f t="shared" si="53"/>
        <v>No</v>
      </c>
      <c r="L1142" t="s">
        <v>2380</v>
      </c>
    </row>
    <row r="1143" spans="1:12" x14ac:dyDescent="0.35">
      <c r="A1143" t="s">
        <v>1229</v>
      </c>
      <c r="B1143" t="str">
        <f t="shared" si="51"/>
        <v>Obesity</v>
      </c>
      <c r="C1143">
        <v>33.914999999999999</v>
      </c>
      <c r="D1143" t="str">
        <f t="shared" si="52"/>
        <v>Diabetes</v>
      </c>
      <c r="E1143">
        <v>11.52</v>
      </c>
      <c r="F1143" t="s">
        <v>2380</v>
      </c>
      <c r="G1143" t="s">
        <v>2380</v>
      </c>
      <c r="H1143" t="s">
        <v>2380</v>
      </c>
      <c r="J1143" t="s">
        <v>2381</v>
      </c>
      <c r="K1143" t="str">
        <f t="shared" si="53"/>
        <v>No</v>
      </c>
      <c r="L1143" t="s">
        <v>2380</v>
      </c>
    </row>
    <row r="1144" spans="1:12" x14ac:dyDescent="0.35">
      <c r="A1144" t="s">
        <v>1228</v>
      </c>
      <c r="B1144" t="str">
        <f t="shared" si="51"/>
        <v>Normal Weight</v>
      </c>
      <c r="C1144">
        <v>24.32</v>
      </c>
      <c r="D1144" t="str">
        <f t="shared" si="52"/>
        <v>Prediabetes</v>
      </c>
      <c r="E1144">
        <v>6.15</v>
      </c>
      <c r="F1144" t="s">
        <v>2382</v>
      </c>
      <c r="G1144" t="s">
        <v>2380</v>
      </c>
      <c r="H1144" t="s">
        <v>2383</v>
      </c>
      <c r="J1144">
        <v>1</v>
      </c>
      <c r="K1144" t="str">
        <f t="shared" si="53"/>
        <v>No</v>
      </c>
      <c r="L1144" t="s">
        <v>2380</v>
      </c>
    </row>
    <row r="1145" spans="1:12" x14ac:dyDescent="0.35">
      <c r="A1145" t="s">
        <v>1227</v>
      </c>
      <c r="B1145" t="str">
        <f t="shared" si="51"/>
        <v>Overweight</v>
      </c>
      <c r="C1145">
        <v>25.8</v>
      </c>
      <c r="D1145" t="str">
        <f t="shared" si="52"/>
        <v>Diabetes</v>
      </c>
      <c r="E1145">
        <v>9.94</v>
      </c>
      <c r="F1145" t="s">
        <v>2380</v>
      </c>
      <c r="G1145" t="s">
        <v>2380</v>
      </c>
      <c r="H1145" t="s">
        <v>2380</v>
      </c>
      <c r="J1145" t="s">
        <v>2381</v>
      </c>
      <c r="K1145" t="str">
        <f t="shared" si="53"/>
        <v>No</v>
      </c>
      <c r="L1145" t="s">
        <v>2380</v>
      </c>
    </row>
    <row r="1146" spans="1:12" x14ac:dyDescent="0.35">
      <c r="A1146" t="s">
        <v>1226</v>
      </c>
      <c r="B1146" t="str">
        <f t="shared" si="51"/>
        <v>Normal Weight</v>
      </c>
      <c r="C1146">
        <v>21.56</v>
      </c>
      <c r="D1146" t="str">
        <f t="shared" si="52"/>
        <v>Diabetes</v>
      </c>
      <c r="E1146">
        <v>10.56</v>
      </c>
      <c r="F1146" t="s">
        <v>2380</v>
      </c>
      <c r="G1146" t="s">
        <v>2380</v>
      </c>
      <c r="H1146" t="s">
        <v>2380</v>
      </c>
      <c r="J1146" t="s">
        <v>2381</v>
      </c>
      <c r="K1146" t="str">
        <f t="shared" si="53"/>
        <v>No</v>
      </c>
      <c r="L1146" t="s">
        <v>2380</v>
      </c>
    </row>
    <row r="1147" spans="1:12" x14ac:dyDescent="0.35">
      <c r="A1147" t="s">
        <v>1225</v>
      </c>
      <c r="B1147" t="str">
        <f t="shared" si="51"/>
        <v>Obesity</v>
      </c>
      <c r="C1147">
        <v>31.6</v>
      </c>
      <c r="D1147" t="str">
        <f t="shared" si="52"/>
        <v>Diabetes</v>
      </c>
      <c r="E1147">
        <v>6.79</v>
      </c>
      <c r="F1147" t="s">
        <v>2380</v>
      </c>
      <c r="G1147" t="s">
        <v>2380</v>
      </c>
      <c r="H1147" t="s">
        <v>2380</v>
      </c>
      <c r="J1147" t="s">
        <v>2381</v>
      </c>
      <c r="K1147" t="str">
        <f t="shared" si="53"/>
        <v>No</v>
      </c>
      <c r="L1147" t="s">
        <v>2380</v>
      </c>
    </row>
    <row r="1148" spans="1:12" x14ac:dyDescent="0.35">
      <c r="A1148" t="s">
        <v>1224</v>
      </c>
      <c r="B1148" t="str">
        <f t="shared" si="51"/>
        <v>Obesity</v>
      </c>
      <c r="C1148">
        <v>42.93</v>
      </c>
      <c r="D1148" t="str">
        <f t="shared" si="52"/>
        <v>Normal</v>
      </c>
      <c r="E1148">
        <v>4.8</v>
      </c>
      <c r="F1148" t="s">
        <v>2380</v>
      </c>
      <c r="G1148" t="s">
        <v>2380</v>
      </c>
      <c r="H1148" t="s">
        <v>2380</v>
      </c>
      <c r="J1148">
        <v>1</v>
      </c>
      <c r="K1148" t="str">
        <f t="shared" si="53"/>
        <v>No</v>
      </c>
      <c r="L1148" t="s">
        <v>2380</v>
      </c>
    </row>
    <row r="1149" spans="1:12" x14ac:dyDescent="0.35">
      <c r="A1149" t="s">
        <v>1223</v>
      </c>
      <c r="B1149" t="str">
        <f t="shared" si="51"/>
        <v>Overweight</v>
      </c>
      <c r="C1149">
        <v>26.72</v>
      </c>
      <c r="D1149" t="str">
        <f t="shared" si="52"/>
        <v>Prediabetes</v>
      </c>
      <c r="E1149">
        <v>5.75</v>
      </c>
      <c r="F1149" t="s">
        <v>2380</v>
      </c>
      <c r="G1149" t="s">
        <v>2380</v>
      </c>
      <c r="H1149" t="s">
        <v>2380</v>
      </c>
      <c r="J1149">
        <v>2</v>
      </c>
      <c r="K1149" t="str">
        <f t="shared" si="53"/>
        <v>No</v>
      </c>
      <c r="L1149" t="s">
        <v>2380</v>
      </c>
    </row>
    <row r="1150" spans="1:12" x14ac:dyDescent="0.35">
      <c r="A1150" t="s">
        <v>1222</v>
      </c>
      <c r="B1150" t="str">
        <f t="shared" si="51"/>
        <v>Overweight</v>
      </c>
      <c r="C1150">
        <v>26.67</v>
      </c>
      <c r="D1150" t="str">
        <f t="shared" si="52"/>
        <v>Prediabetes</v>
      </c>
      <c r="E1150">
        <v>5.81</v>
      </c>
      <c r="F1150" t="s">
        <v>2380</v>
      </c>
      <c r="G1150" t="s">
        <v>2380</v>
      </c>
      <c r="H1150" t="s">
        <v>2380</v>
      </c>
      <c r="J1150">
        <v>2</v>
      </c>
      <c r="K1150" t="str">
        <f t="shared" si="53"/>
        <v>No</v>
      </c>
      <c r="L1150" t="s">
        <v>2380</v>
      </c>
    </row>
    <row r="1151" spans="1:12" x14ac:dyDescent="0.35">
      <c r="A1151" t="s">
        <v>1221</v>
      </c>
      <c r="B1151" t="str">
        <f t="shared" si="51"/>
        <v>Obesity</v>
      </c>
      <c r="C1151">
        <v>42.68</v>
      </c>
      <c r="D1151" t="str">
        <f t="shared" si="52"/>
        <v>Diabetes</v>
      </c>
      <c r="E1151">
        <v>9.2799999999999994</v>
      </c>
      <c r="F1151" t="s">
        <v>2380</v>
      </c>
      <c r="G1151" t="s">
        <v>2380</v>
      </c>
      <c r="H1151" t="s">
        <v>2380</v>
      </c>
      <c r="J1151">
        <v>2</v>
      </c>
      <c r="K1151" t="str">
        <f t="shared" si="53"/>
        <v>No</v>
      </c>
      <c r="L1151" t="s">
        <v>2380</v>
      </c>
    </row>
    <row r="1152" spans="1:12" x14ac:dyDescent="0.35">
      <c r="A1152" t="s">
        <v>1220</v>
      </c>
      <c r="B1152" t="str">
        <f t="shared" si="51"/>
        <v>Normal Weight</v>
      </c>
      <c r="C1152">
        <v>24.31</v>
      </c>
      <c r="D1152" t="str">
        <f t="shared" si="52"/>
        <v>Prediabetes</v>
      </c>
      <c r="E1152">
        <v>6.37</v>
      </c>
      <c r="F1152" t="s">
        <v>2380</v>
      </c>
      <c r="G1152" t="s">
        <v>2380</v>
      </c>
      <c r="H1152" t="s">
        <v>2380</v>
      </c>
      <c r="J1152" t="s">
        <v>2381</v>
      </c>
      <c r="K1152" t="str">
        <f t="shared" si="53"/>
        <v>No</v>
      </c>
      <c r="L1152" t="s">
        <v>2380</v>
      </c>
    </row>
    <row r="1153" spans="1:12" x14ac:dyDescent="0.35">
      <c r="A1153" t="s">
        <v>1219</v>
      </c>
      <c r="B1153" t="str">
        <f t="shared" si="51"/>
        <v>Obesity</v>
      </c>
      <c r="C1153">
        <v>44.75</v>
      </c>
      <c r="D1153" t="str">
        <f t="shared" si="52"/>
        <v>Normal</v>
      </c>
      <c r="E1153">
        <v>5.09</v>
      </c>
      <c r="F1153" t="s">
        <v>2382</v>
      </c>
      <c r="G1153" t="s">
        <v>2380</v>
      </c>
      <c r="H1153" t="s">
        <v>2380</v>
      </c>
      <c r="J1153" t="s">
        <v>2381</v>
      </c>
      <c r="K1153" t="str">
        <f t="shared" si="53"/>
        <v>No</v>
      </c>
      <c r="L1153" t="s">
        <v>2380</v>
      </c>
    </row>
    <row r="1154" spans="1:12" x14ac:dyDescent="0.35">
      <c r="A1154" t="s">
        <v>1218</v>
      </c>
      <c r="B1154" t="str">
        <f t="shared" si="51"/>
        <v>Obesity</v>
      </c>
      <c r="C1154">
        <v>30.78</v>
      </c>
      <c r="D1154" t="str">
        <f t="shared" si="52"/>
        <v>Diabetes</v>
      </c>
      <c r="E1154">
        <v>7.94</v>
      </c>
      <c r="F1154" t="s">
        <v>2380</v>
      </c>
      <c r="G1154" t="s">
        <v>2380</v>
      </c>
      <c r="H1154" t="s">
        <v>2380</v>
      </c>
      <c r="J1154">
        <v>2</v>
      </c>
      <c r="K1154" t="str">
        <f t="shared" si="53"/>
        <v>No</v>
      </c>
      <c r="L1154" t="s">
        <v>2380</v>
      </c>
    </row>
    <row r="1155" spans="1:12" x14ac:dyDescent="0.35">
      <c r="A1155" t="s">
        <v>1217</v>
      </c>
      <c r="B1155" t="str">
        <f t="shared" ref="B1155:B1218" si="54">_xlfn.IFS(C1155&lt;18.5, "Underweight", C1155&lt;=24.9, "Normal Weight", C1155&lt;=29.9, "Overweight", C1155&gt;=30, "Obesity")</f>
        <v>Normal Weight</v>
      </c>
      <c r="C1155">
        <v>21.86</v>
      </c>
      <c r="D1155" t="str">
        <f t="shared" ref="D1155:D1218" si="55">_xlfn.IFS(E1155&lt;5.7, "Normal", E1155&lt;=6.4, "Prediabetes", E1155&gt;=6.5, "Diabetes")</f>
        <v>Diabetes</v>
      </c>
      <c r="E1155">
        <v>10.95</v>
      </c>
      <c r="F1155" t="s">
        <v>2380</v>
      </c>
      <c r="G1155" t="s">
        <v>2380</v>
      </c>
      <c r="H1155" t="s">
        <v>2380</v>
      </c>
      <c r="J1155" t="s">
        <v>2381</v>
      </c>
      <c r="K1155" t="str">
        <f t="shared" si="53"/>
        <v>No</v>
      </c>
      <c r="L1155" t="s">
        <v>2380</v>
      </c>
    </row>
    <row r="1156" spans="1:12" x14ac:dyDescent="0.35">
      <c r="A1156" t="s">
        <v>1216</v>
      </c>
      <c r="B1156" t="str">
        <f t="shared" si="54"/>
        <v>Obesity</v>
      </c>
      <c r="C1156">
        <v>49.09</v>
      </c>
      <c r="D1156" t="str">
        <f t="shared" si="55"/>
        <v>Prediabetes</v>
      </c>
      <c r="E1156">
        <v>6.3</v>
      </c>
      <c r="F1156" t="s">
        <v>2382</v>
      </c>
      <c r="G1156" t="s">
        <v>2380</v>
      </c>
      <c r="H1156" t="s">
        <v>2380</v>
      </c>
      <c r="J1156" t="s">
        <v>2381</v>
      </c>
      <c r="K1156" t="str">
        <f t="shared" ref="K1156:K1219" si="56">IF(OR(L1156="?", ISBLANK(L1156)), "No", L1156)</f>
        <v>No</v>
      </c>
      <c r="L1156" t="s">
        <v>2380</v>
      </c>
    </row>
    <row r="1157" spans="1:12" x14ac:dyDescent="0.35">
      <c r="A1157" t="s">
        <v>1215</v>
      </c>
      <c r="B1157" t="str">
        <f t="shared" si="54"/>
        <v>Obesity</v>
      </c>
      <c r="C1157">
        <v>47.74</v>
      </c>
      <c r="D1157" t="str">
        <f t="shared" si="55"/>
        <v>Diabetes</v>
      </c>
      <c r="E1157">
        <v>8.0500000000000007</v>
      </c>
      <c r="F1157" t="s">
        <v>2382</v>
      </c>
      <c r="G1157" t="s">
        <v>2380</v>
      </c>
      <c r="H1157" t="s">
        <v>2380</v>
      </c>
      <c r="J1157">
        <v>2</v>
      </c>
      <c r="K1157" t="str">
        <f t="shared" si="56"/>
        <v>No</v>
      </c>
      <c r="L1157" t="s">
        <v>2380</v>
      </c>
    </row>
    <row r="1158" spans="1:12" x14ac:dyDescent="0.35">
      <c r="A1158" t="s">
        <v>1214</v>
      </c>
      <c r="B1158" t="str">
        <f t="shared" si="54"/>
        <v>Obesity</v>
      </c>
      <c r="C1158">
        <v>30.2</v>
      </c>
      <c r="D1158" t="str">
        <f t="shared" si="55"/>
        <v>Diabetes</v>
      </c>
      <c r="E1158">
        <v>9.8800000000000008</v>
      </c>
      <c r="F1158" t="s">
        <v>2382</v>
      </c>
      <c r="G1158" t="s">
        <v>2380</v>
      </c>
      <c r="H1158" t="s">
        <v>2380</v>
      </c>
      <c r="J1158">
        <v>2</v>
      </c>
      <c r="K1158" t="str">
        <f t="shared" si="56"/>
        <v>No</v>
      </c>
      <c r="L1158" t="s">
        <v>2380</v>
      </c>
    </row>
    <row r="1159" spans="1:12" x14ac:dyDescent="0.35">
      <c r="A1159" t="s">
        <v>1213</v>
      </c>
      <c r="B1159" t="str">
        <f t="shared" si="54"/>
        <v>Obesity</v>
      </c>
      <c r="C1159">
        <v>33.25</v>
      </c>
      <c r="D1159" t="str">
        <f t="shared" si="55"/>
        <v>Diabetes</v>
      </c>
      <c r="E1159">
        <v>7.42</v>
      </c>
      <c r="F1159" t="s">
        <v>2382</v>
      </c>
      <c r="G1159" t="s">
        <v>2380</v>
      </c>
      <c r="H1159" t="s">
        <v>2380</v>
      </c>
      <c r="J1159">
        <v>2</v>
      </c>
      <c r="K1159" t="str">
        <f t="shared" si="56"/>
        <v>No</v>
      </c>
      <c r="L1159" t="s">
        <v>2380</v>
      </c>
    </row>
    <row r="1160" spans="1:12" x14ac:dyDescent="0.35">
      <c r="A1160" t="s">
        <v>1212</v>
      </c>
      <c r="B1160" t="str">
        <f t="shared" si="54"/>
        <v>Overweight</v>
      </c>
      <c r="C1160">
        <v>26.6</v>
      </c>
      <c r="D1160" t="str">
        <f t="shared" si="55"/>
        <v>Diabetes</v>
      </c>
      <c r="E1160">
        <v>8.4499999999999993</v>
      </c>
      <c r="F1160" t="s">
        <v>2382</v>
      </c>
      <c r="G1160" t="s">
        <v>2380</v>
      </c>
      <c r="H1160" t="s">
        <v>2380</v>
      </c>
      <c r="J1160">
        <v>1</v>
      </c>
      <c r="K1160" t="str">
        <f t="shared" si="56"/>
        <v>No</v>
      </c>
      <c r="L1160" t="s">
        <v>2380</v>
      </c>
    </row>
    <row r="1161" spans="1:12" x14ac:dyDescent="0.35">
      <c r="A1161" t="s">
        <v>1211</v>
      </c>
      <c r="B1161" t="str">
        <f t="shared" si="54"/>
        <v>Overweight</v>
      </c>
      <c r="C1161">
        <v>26.35</v>
      </c>
      <c r="D1161" t="str">
        <f t="shared" si="55"/>
        <v>Prediabetes</v>
      </c>
      <c r="E1161">
        <v>6.21</v>
      </c>
      <c r="F1161" t="s">
        <v>2380</v>
      </c>
      <c r="G1161" t="s">
        <v>2380</v>
      </c>
      <c r="H1161" t="s">
        <v>2380</v>
      </c>
      <c r="J1161">
        <v>2</v>
      </c>
      <c r="K1161" t="str">
        <f t="shared" si="56"/>
        <v>No</v>
      </c>
      <c r="L1161" t="s">
        <v>2380</v>
      </c>
    </row>
    <row r="1162" spans="1:12" x14ac:dyDescent="0.35">
      <c r="A1162" t="s">
        <v>1210</v>
      </c>
      <c r="B1162" t="str">
        <f t="shared" si="54"/>
        <v>Obesity</v>
      </c>
      <c r="C1162">
        <v>39.994999999999997</v>
      </c>
      <c r="D1162" t="str">
        <f t="shared" si="55"/>
        <v>Normal</v>
      </c>
      <c r="E1162">
        <v>4.6500000000000004</v>
      </c>
      <c r="F1162" t="s">
        <v>2380</v>
      </c>
      <c r="G1162" t="s">
        <v>2380</v>
      </c>
      <c r="H1162" t="s">
        <v>2380</v>
      </c>
      <c r="J1162" t="s">
        <v>2381</v>
      </c>
      <c r="K1162" t="str">
        <f t="shared" si="56"/>
        <v>No</v>
      </c>
      <c r="L1162" t="s">
        <v>2380</v>
      </c>
    </row>
    <row r="1163" spans="1:12" x14ac:dyDescent="0.35">
      <c r="A1163" t="s">
        <v>1209</v>
      </c>
      <c r="B1163" t="str">
        <f t="shared" si="54"/>
        <v>Normal Weight</v>
      </c>
      <c r="C1163">
        <v>22.92</v>
      </c>
      <c r="D1163" t="str">
        <f t="shared" si="55"/>
        <v>Prediabetes</v>
      </c>
      <c r="E1163">
        <v>5.87</v>
      </c>
      <c r="F1163" t="s">
        <v>2382</v>
      </c>
      <c r="G1163" t="s">
        <v>2380</v>
      </c>
      <c r="H1163" t="s">
        <v>2380</v>
      </c>
      <c r="J1163">
        <v>1</v>
      </c>
      <c r="K1163" t="str">
        <f t="shared" si="56"/>
        <v>No</v>
      </c>
      <c r="L1163" t="s">
        <v>2380</v>
      </c>
    </row>
    <row r="1164" spans="1:12" x14ac:dyDescent="0.35">
      <c r="A1164" t="s">
        <v>1208</v>
      </c>
      <c r="B1164" t="str">
        <f t="shared" si="54"/>
        <v>Normal Weight</v>
      </c>
      <c r="C1164">
        <v>24.78</v>
      </c>
      <c r="D1164" t="str">
        <f t="shared" si="55"/>
        <v>Normal</v>
      </c>
      <c r="E1164">
        <v>4.24</v>
      </c>
      <c r="F1164" t="s">
        <v>2382</v>
      </c>
      <c r="G1164" t="s">
        <v>2380</v>
      </c>
      <c r="H1164" t="s">
        <v>2380</v>
      </c>
      <c r="J1164">
        <v>2</v>
      </c>
      <c r="K1164" t="str">
        <f t="shared" si="56"/>
        <v>No</v>
      </c>
      <c r="L1164" t="s">
        <v>2380</v>
      </c>
    </row>
    <row r="1165" spans="1:12" x14ac:dyDescent="0.35">
      <c r="A1165" t="s">
        <v>1207</v>
      </c>
      <c r="B1165" t="str">
        <f t="shared" si="54"/>
        <v>Obesity</v>
      </c>
      <c r="C1165">
        <v>34.07</v>
      </c>
      <c r="D1165" t="str">
        <f t="shared" si="55"/>
        <v>Diabetes</v>
      </c>
      <c r="E1165">
        <v>7.81</v>
      </c>
      <c r="F1165" t="s">
        <v>2382</v>
      </c>
      <c r="G1165" t="s">
        <v>2380</v>
      </c>
      <c r="H1165" t="s">
        <v>2380</v>
      </c>
      <c r="J1165" t="s">
        <v>2381</v>
      </c>
      <c r="K1165" t="str">
        <f t="shared" si="56"/>
        <v>No</v>
      </c>
      <c r="L1165" t="s">
        <v>2380</v>
      </c>
    </row>
    <row r="1166" spans="1:12" x14ac:dyDescent="0.35">
      <c r="A1166" t="s">
        <v>1206</v>
      </c>
      <c r="B1166" t="str">
        <f t="shared" si="54"/>
        <v>Obesity</v>
      </c>
      <c r="C1166">
        <v>30.14</v>
      </c>
      <c r="D1166" t="str">
        <f t="shared" si="55"/>
        <v>Diabetes</v>
      </c>
      <c r="E1166">
        <v>9.85</v>
      </c>
      <c r="F1166" t="s">
        <v>2380</v>
      </c>
      <c r="G1166" t="s">
        <v>2380</v>
      </c>
      <c r="H1166" t="s">
        <v>2380</v>
      </c>
      <c r="J1166" t="s">
        <v>2381</v>
      </c>
      <c r="K1166" t="str">
        <f t="shared" si="56"/>
        <v>No</v>
      </c>
      <c r="L1166" t="s">
        <v>2380</v>
      </c>
    </row>
    <row r="1167" spans="1:12" x14ac:dyDescent="0.35">
      <c r="A1167" t="s">
        <v>1205</v>
      </c>
      <c r="B1167" t="str">
        <f t="shared" si="54"/>
        <v>Underweight</v>
      </c>
      <c r="C1167">
        <v>18.05</v>
      </c>
      <c r="D1167" t="str">
        <f t="shared" si="55"/>
        <v>Diabetes</v>
      </c>
      <c r="E1167">
        <v>6.94</v>
      </c>
      <c r="F1167" t="s">
        <v>2380</v>
      </c>
      <c r="G1167" t="s">
        <v>2380</v>
      </c>
      <c r="H1167" t="s">
        <v>2380</v>
      </c>
      <c r="J1167" t="s">
        <v>2381</v>
      </c>
      <c r="K1167" t="str">
        <f t="shared" si="56"/>
        <v>No</v>
      </c>
      <c r="L1167" t="s">
        <v>2380</v>
      </c>
    </row>
    <row r="1168" spans="1:12" x14ac:dyDescent="0.35">
      <c r="A1168" t="s">
        <v>1204</v>
      </c>
      <c r="B1168" t="str">
        <f t="shared" si="54"/>
        <v>Obesity</v>
      </c>
      <c r="C1168">
        <v>37.4</v>
      </c>
      <c r="D1168" t="str">
        <f t="shared" si="55"/>
        <v>Diabetes</v>
      </c>
      <c r="E1168">
        <v>11.3</v>
      </c>
      <c r="F1168" t="s">
        <v>2382</v>
      </c>
      <c r="G1168" t="s">
        <v>2380</v>
      </c>
      <c r="H1168" t="s">
        <v>2380</v>
      </c>
      <c r="J1168">
        <v>2</v>
      </c>
      <c r="K1168" t="str">
        <f t="shared" si="56"/>
        <v>No</v>
      </c>
      <c r="L1168" t="s">
        <v>2380</v>
      </c>
    </row>
    <row r="1169" spans="1:12" x14ac:dyDescent="0.35">
      <c r="A1169" t="s">
        <v>1203</v>
      </c>
      <c r="B1169" t="str">
        <f t="shared" si="54"/>
        <v>Overweight</v>
      </c>
      <c r="C1169">
        <v>25.75</v>
      </c>
      <c r="D1169" t="str">
        <f t="shared" si="55"/>
        <v>Diabetes</v>
      </c>
      <c r="E1169">
        <v>9.23</v>
      </c>
      <c r="F1169" t="s">
        <v>2380</v>
      </c>
      <c r="G1169" t="s">
        <v>2380</v>
      </c>
      <c r="H1169" t="s">
        <v>2380</v>
      </c>
      <c r="J1169" t="s">
        <v>2381</v>
      </c>
      <c r="K1169" t="str">
        <f t="shared" si="56"/>
        <v>No</v>
      </c>
      <c r="L1169" t="s">
        <v>2380</v>
      </c>
    </row>
    <row r="1170" spans="1:12" x14ac:dyDescent="0.35">
      <c r="A1170" t="s">
        <v>1202</v>
      </c>
      <c r="B1170" t="str">
        <f t="shared" si="54"/>
        <v>Obesity</v>
      </c>
      <c r="C1170">
        <v>32.299999999999997</v>
      </c>
      <c r="D1170" t="str">
        <f t="shared" si="55"/>
        <v>Normal</v>
      </c>
      <c r="E1170">
        <v>4.37</v>
      </c>
      <c r="F1170" t="s">
        <v>2380</v>
      </c>
      <c r="G1170" t="s">
        <v>2380</v>
      </c>
      <c r="H1170" t="s">
        <v>2380</v>
      </c>
      <c r="J1170">
        <v>2</v>
      </c>
      <c r="K1170" t="str">
        <f t="shared" si="56"/>
        <v>No</v>
      </c>
      <c r="L1170" t="s">
        <v>2380</v>
      </c>
    </row>
    <row r="1171" spans="1:12" x14ac:dyDescent="0.35">
      <c r="A1171" t="s">
        <v>1201</v>
      </c>
      <c r="B1171" t="str">
        <f t="shared" si="54"/>
        <v>Overweight</v>
      </c>
      <c r="C1171">
        <v>28.61</v>
      </c>
      <c r="D1171" t="str">
        <f t="shared" si="55"/>
        <v>Prediabetes</v>
      </c>
      <c r="E1171">
        <v>5.76</v>
      </c>
      <c r="F1171" t="s">
        <v>2380</v>
      </c>
      <c r="G1171" t="s">
        <v>2380</v>
      </c>
      <c r="H1171" t="s">
        <v>2383</v>
      </c>
      <c r="J1171">
        <v>1</v>
      </c>
      <c r="K1171" t="str">
        <f t="shared" si="56"/>
        <v>No</v>
      </c>
      <c r="L1171" t="s">
        <v>2380</v>
      </c>
    </row>
    <row r="1172" spans="1:12" x14ac:dyDescent="0.35">
      <c r="A1172" t="s">
        <v>1200</v>
      </c>
      <c r="B1172" t="str">
        <f t="shared" si="54"/>
        <v>Obesity</v>
      </c>
      <c r="C1172">
        <v>45.41</v>
      </c>
      <c r="D1172" t="str">
        <f t="shared" si="55"/>
        <v>Normal</v>
      </c>
      <c r="E1172">
        <v>4.96</v>
      </c>
      <c r="F1172" t="s">
        <v>2380</v>
      </c>
      <c r="G1172" t="s">
        <v>2380</v>
      </c>
      <c r="H1172" t="s">
        <v>2380</v>
      </c>
      <c r="J1172">
        <v>1</v>
      </c>
      <c r="K1172" t="str">
        <f t="shared" si="56"/>
        <v>No</v>
      </c>
      <c r="L1172" t="s">
        <v>2380</v>
      </c>
    </row>
    <row r="1173" spans="1:12" x14ac:dyDescent="0.35">
      <c r="A1173" t="s">
        <v>1199</v>
      </c>
      <c r="B1173" t="str">
        <f t="shared" si="54"/>
        <v>Obesity</v>
      </c>
      <c r="C1173">
        <v>31.2</v>
      </c>
      <c r="D1173" t="str">
        <f t="shared" si="55"/>
        <v>Diabetes</v>
      </c>
      <c r="E1173">
        <v>11.04</v>
      </c>
      <c r="F1173" t="s">
        <v>2382</v>
      </c>
      <c r="G1173" t="s">
        <v>2380</v>
      </c>
      <c r="H1173" t="s">
        <v>2380</v>
      </c>
      <c r="J1173">
        <v>2</v>
      </c>
      <c r="K1173" t="str">
        <f t="shared" si="56"/>
        <v>No</v>
      </c>
      <c r="L1173" t="s">
        <v>2380</v>
      </c>
    </row>
    <row r="1174" spans="1:12" x14ac:dyDescent="0.35">
      <c r="A1174" t="s">
        <v>1198</v>
      </c>
      <c r="B1174" t="str">
        <f t="shared" si="54"/>
        <v>Overweight</v>
      </c>
      <c r="C1174">
        <v>29.83</v>
      </c>
      <c r="D1174" t="str">
        <f t="shared" si="55"/>
        <v>Diabetes</v>
      </c>
      <c r="E1174">
        <v>7.81</v>
      </c>
      <c r="F1174" t="s">
        <v>2382</v>
      </c>
      <c r="G1174" t="s">
        <v>2380</v>
      </c>
      <c r="H1174" t="s">
        <v>2380</v>
      </c>
      <c r="J1174">
        <v>1</v>
      </c>
      <c r="K1174" t="str">
        <f t="shared" si="56"/>
        <v>No</v>
      </c>
      <c r="L1174" t="s">
        <v>2380</v>
      </c>
    </row>
    <row r="1175" spans="1:12" x14ac:dyDescent="0.35">
      <c r="A1175" t="s">
        <v>1197</v>
      </c>
      <c r="B1175" t="str">
        <f t="shared" si="54"/>
        <v>Overweight</v>
      </c>
      <c r="C1175">
        <v>29.06</v>
      </c>
      <c r="D1175" t="str">
        <f t="shared" si="55"/>
        <v>Normal</v>
      </c>
      <c r="E1175">
        <v>4.55</v>
      </c>
      <c r="F1175" t="s">
        <v>2380</v>
      </c>
      <c r="G1175" t="s">
        <v>2380</v>
      </c>
      <c r="H1175" t="s">
        <v>2380</v>
      </c>
      <c r="J1175" t="s">
        <v>2381</v>
      </c>
      <c r="K1175" t="str">
        <f t="shared" si="56"/>
        <v>No</v>
      </c>
      <c r="L1175" t="s">
        <v>2380</v>
      </c>
    </row>
    <row r="1176" spans="1:12" x14ac:dyDescent="0.35">
      <c r="A1176" t="s">
        <v>1196</v>
      </c>
      <c r="B1176" t="str">
        <f t="shared" si="54"/>
        <v>Overweight</v>
      </c>
      <c r="C1176">
        <v>27.454999999999998</v>
      </c>
      <c r="D1176" t="str">
        <f t="shared" si="55"/>
        <v>Prediabetes</v>
      </c>
      <c r="E1176">
        <v>6.13</v>
      </c>
      <c r="F1176" t="s">
        <v>2380</v>
      </c>
      <c r="G1176" t="s">
        <v>2380</v>
      </c>
      <c r="H1176" t="s">
        <v>2380</v>
      </c>
      <c r="J1176">
        <v>2</v>
      </c>
      <c r="K1176" t="str">
        <f t="shared" si="56"/>
        <v>No</v>
      </c>
      <c r="L1176" t="s">
        <v>2380</v>
      </c>
    </row>
    <row r="1177" spans="1:12" x14ac:dyDescent="0.35">
      <c r="A1177" t="s">
        <v>1195</v>
      </c>
      <c r="B1177" t="str">
        <f t="shared" si="54"/>
        <v>Normal Weight</v>
      </c>
      <c r="C1177">
        <v>23.01</v>
      </c>
      <c r="D1177" t="str">
        <f t="shared" si="55"/>
        <v>Prediabetes</v>
      </c>
      <c r="E1177">
        <v>6.04</v>
      </c>
      <c r="F1177" t="s">
        <v>2382</v>
      </c>
      <c r="G1177" t="s">
        <v>2380</v>
      </c>
      <c r="H1177" t="s">
        <v>2380</v>
      </c>
      <c r="J1177">
        <v>1</v>
      </c>
      <c r="K1177" t="str">
        <f t="shared" si="56"/>
        <v>No</v>
      </c>
      <c r="L1177" t="s">
        <v>2380</v>
      </c>
    </row>
    <row r="1178" spans="1:12" x14ac:dyDescent="0.35">
      <c r="A1178" t="s">
        <v>1194</v>
      </c>
      <c r="B1178" t="str">
        <f t="shared" si="54"/>
        <v>Obesity</v>
      </c>
      <c r="C1178">
        <v>31.39</v>
      </c>
      <c r="D1178" t="str">
        <f t="shared" si="55"/>
        <v>Diabetes</v>
      </c>
      <c r="E1178">
        <v>8.85</v>
      </c>
      <c r="F1178" t="s">
        <v>2382</v>
      </c>
      <c r="G1178" t="s">
        <v>2380</v>
      </c>
      <c r="H1178" t="s">
        <v>2380</v>
      </c>
      <c r="J1178" t="s">
        <v>2381</v>
      </c>
      <c r="K1178" t="str">
        <f t="shared" si="56"/>
        <v>No</v>
      </c>
      <c r="L1178" t="s">
        <v>2380</v>
      </c>
    </row>
    <row r="1179" spans="1:12" x14ac:dyDescent="0.35">
      <c r="A1179" t="s">
        <v>1193</v>
      </c>
      <c r="B1179" t="str">
        <f t="shared" si="54"/>
        <v>Obesity</v>
      </c>
      <c r="C1179">
        <v>34.770000000000003</v>
      </c>
      <c r="D1179" t="str">
        <f t="shared" si="55"/>
        <v>Diabetes</v>
      </c>
      <c r="E1179">
        <v>10.54</v>
      </c>
      <c r="F1179" t="s">
        <v>2380</v>
      </c>
      <c r="G1179" t="s">
        <v>2380</v>
      </c>
      <c r="H1179" t="s">
        <v>2380</v>
      </c>
      <c r="J1179">
        <v>2</v>
      </c>
      <c r="K1179" t="str">
        <f t="shared" si="56"/>
        <v>No</v>
      </c>
      <c r="L1179" t="s">
        <v>2380</v>
      </c>
    </row>
    <row r="1180" spans="1:12" x14ac:dyDescent="0.35">
      <c r="A1180" t="s">
        <v>1192</v>
      </c>
      <c r="B1180" t="str">
        <f t="shared" si="54"/>
        <v>Normal Weight</v>
      </c>
      <c r="C1180">
        <v>24.48</v>
      </c>
      <c r="D1180" t="str">
        <f t="shared" si="55"/>
        <v>Normal</v>
      </c>
      <c r="E1180">
        <v>4.37</v>
      </c>
      <c r="F1180" t="s">
        <v>2382</v>
      </c>
      <c r="G1180" t="s">
        <v>2380</v>
      </c>
      <c r="H1180" t="s">
        <v>2380</v>
      </c>
      <c r="J1180">
        <v>2</v>
      </c>
      <c r="K1180" t="str">
        <f t="shared" si="56"/>
        <v>No</v>
      </c>
      <c r="L1180" t="s">
        <v>2380</v>
      </c>
    </row>
    <row r="1181" spans="1:12" x14ac:dyDescent="0.35">
      <c r="A1181" t="s">
        <v>1191</v>
      </c>
      <c r="B1181" t="str">
        <f t="shared" si="54"/>
        <v>Normal Weight</v>
      </c>
      <c r="C1181">
        <v>22.61</v>
      </c>
      <c r="D1181" t="str">
        <f t="shared" si="55"/>
        <v>Diabetes</v>
      </c>
      <c r="E1181">
        <v>9.6300000000000008</v>
      </c>
      <c r="F1181" t="s">
        <v>2380</v>
      </c>
      <c r="G1181" t="s">
        <v>2380</v>
      </c>
      <c r="H1181" t="s">
        <v>2380</v>
      </c>
      <c r="J1181">
        <v>2</v>
      </c>
      <c r="K1181" t="str">
        <f t="shared" si="56"/>
        <v>No</v>
      </c>
      <c r="L1181" t="s">
        <v>2380</v>
      </c>
    </row>
    <row r="1182" spans="1:12" x14ac:dyDescent="0.35">
      <c r="A1182" t="s">
        <v>1190</v>
      </c>
      <c r="B1182" t="str">
        <f t="shared" si="54"/>
        <v>Obesity</v>
      </c>
      <c r="C1182">
        <v>34.299999999999997</v>
      </c>
      <c r="D1182" t="str">
        <f t="shared" si="55"/>
        <v>Diabetes</v>
      </c>
      <c r="E1182">
        <v>10.37</v>
      </c>
      <c r="F1182" t="s">
        <v>2380</v>
      </c>
      <c r="G1182" t="s">
        <v>2380</v>
      </c>
      <c r="H1182" t="s">
        <v>2380</v>
      </c>
      <c r="J1182" t="s">
        <v>2381</v>
      </c>
      <c r="K1182" t="str">
        <f t="shared" si="56"/>
        <v>No</v>
      </c>
      <c r="L1182" t="s">
        <v>2380</v>
      </c>
    </row>
    <row r="1183" spans="1:12" x14ac:dyDescent="0.35">
      <c r="A1183" t="s">
        <v>1189</v>
      </c>
      <c r="B1183" t="str">
        <f t="shared" si="54"/>
        <v>Obesity</v>
      </c>
      <c r="C1183">
        <v>46.09</v>
      </c>
      <c r="D1183" t="str">
        <f t="shared" si="55"/>
        <v>Normal</v>
      </c>
      <c r="E1183">
        <v>5.44</v>
      </c>
      <c r="F1183" t="s">
        <v>2380</v>
      </c>
      <c r="G1183" t="s">
        <v>2380</v>
      </c>
      <c r="H1183" t="s">
        <v>2380</v>
      </c>
      <c r="J1183">
        <v>2</v>
      </c>
      <c r="K1183" t="str">
        <f t="shared" si="56"/>
        <v>No</v>
      </c>
      <c r="L1183" t="s">
        <v>2380</v>
      </c>
    </row>
    <row r="1184" spans="1:12" x14ac:dyDescent="0.35">
      <c r="A1184" t="s">
        <v>1188</v>
      </c>
      <c r="B1184" t="str">
        <f t="shared" si="54"/>
        <v>Obesity</v>
      </c>
      <c r="C1184">
        <v>44.744999999999997</v>
      </c>
      <c r="D1184" t="str">
        <f t="shared" si="55"/>
        <v>Normal</v>
      </c>
      <c r="E1184">
        <v>5.19</v>
      </c>
      <c r="F1184" t="s">
        <v>2380</v>
      </c>
      <c r="G1184" t="s">
        <v>2380</v>
      </c>
      <c r="H1184" t="s">
        <v>2380</v>
      </c>
      <c r="J1184">
        <v>2</v>
      </c>
      <c r="K1184" t="str">
        <f t="shared" si="56"/>
        <v>No</v>
      </c>
      <c r="L1184" t="s">
        <v>2380</v>
      </c>
    </row>
    <row r="1185" spans="1:12" x14ac:dyDescent="0.35">
      <c r="A1185" t="s">
        <v>1187</v>
      </c>
      <c r="B1185" t="str">
        <f t="shared" si="54"/>
        <v>Overweight</v>
      </c>
      <c r="C1185">
        <v>26.33</v>
      </c>
      <c r="D1185" t="str">
        <f t="shared" si="55"/>
        <v>Diabetes</v>
      </c>
      <c r="E1185">
        <v>11.8</v>
      </c>
      <c r="F1185" t="s">
        <v>2382</v>
      </c>
      <c r="G1185" t="s">
        <v>2380</v>
      </c>
      <c r="H1185" t="s">
        <v>2380</v>
      </c>
      <c r="J1185">
        <v>1</v>
      </c>
      <c r="K1185" t="str">
        <f t="shared" si="56"/>
        <v>No</v>
      </c>
      <c r="L1185" t="s">
        <v>2380</v>
      </c>
    </row>
    <row r="1186" spans="1:12" x14ac:dyDescent="0.35">
      <c r="A1186" t="s">
        <v>1186</v>
      </c>
      <c r="B1186" t="str">
        <f t="shared" si="54"/>
        <v>Overweight</v>
      </c>
      <c r="C1186">
        <v>26.6</v>
      </c>
      <c r="D1186" t="str">
        <f t="shared" si="55"/>
        <v>Diabetes</v>
      </c>
      <c r="E1186">
        <v>8.3800000000000008</v>
      </c>
      <c r="F1186" t="s">
        <v>2380</v>
      </c>
      <c r="G1186" t="s">
        <v>2380</v>
      </c>
      <c r="H1186" t="s">
        <v>2380</v>
      </c>
      <c r="J1186">
        <v>2</v>
      </c>
      <c r="K1186" t="str">
        <f t="shared" si="56"/>
        <v>No</v>
      </c>
      <c r="L1186" t="s">
        <v>2380</v>
      </c>
    </row>
    <row r="1187" spans="1:12" x14ac:dyDescent="0.35">
      <c r="A1187" t="s">
        <v>1185</v>
      </c>
      <c r="B1187" t="str">
        <f t="shared" si="54"/>
        <v>Overweight</v>
      </c>
      <c r="C1187">
        <v>27.5</v>
      </c>
      <c r="D1187" t="str">
        <f t="shared" si="55"/>
        <v>Diabetes</v>
      </c>
      <c r="E1187">
        <v>7.58</v>
      </c>
      <c r="F1187" t="s">
        <v>2380</v>
      </c>
      <c r="G1187" t="s">
        <v>2380</v>
      </c>
      <c r="H1187" t="s">
        <v>2380</v>
      </c>
      <c r="J1187" t="s">
        <v>2381</v>
      </c>
      <c r="K1187" t="str">
        <f t="shared" si="56"/>
        <v>No</v>
      </c>
      <c r="L1187" t="s">
        <v>2380</v>
      </c>
    </row>
    <row r="1188" spans="1:12" x14ac:dyDescent="0.35">
      <c r="A1188" t="s">
        <v>1184</v>
      </c>
      <c r="B1188" t="str">
        <f t="shared" si="54"/>
        <v>Obesity</v>
      </c>
      <c r="C1188">
        <v>41.55</v>
      </c>
      <c r="D1188" t="str">
        <f t="shared" si="55"/>
        <v>Normal</v>
      </c>
      <c r="E1188">
        <v>4.6100000000000003</v>
      </c>
      <c r="F1188" t="s">
        <v>2380</v>
      </c>
      <c r="G1188" t="s">
        <v>2380</v>
      </c>
      <c r="H1188" t="s">
        <v>2380</v>
      </c>
      <c r="J1188">
        <v>1</v>
      </c>
      <c r="K1188" t="str">
        <f t="shared" si="56"/>
        <v>No</v>
      </c>
      <c r="L1188" t="s">
        <v>2380</v>
      </c>
    </row>
    <row r="1189" spans="1:12" x14ac:dyDescent="0.35">
      <c r="A1189" t="s">
        <v>1183</v>
      </c>
      <c r="B1189" t="str">
        <f t="shared" si="54"/>
        <v>Obesity</v>
      </c>
      <c r="C1189">
        <v>41.47</v>
      </c>
      <c r="D1189" t="str">
        <f t="shared" si="55"/>
        <v>Normal</v>
      </c>
      <c r="E1189">
        <v>4.7</v>
      </c>
      <c r="F1189" t="s">
        <v>2382</v>
      </c>
      <c r="G1189" t="s">
        <v>2380</v>
      </c>
      <c r="H1189" t="s">
        <v>2383</v>
      </c>
      <c r="J1189">
        <v>1</v>
      </c>
      <c r="K1189" t="str">
        <f t="shared" si="56"/>
        <v>No</v>
      </c>
      <c r="L1189" t="s">
        <v>2380</v>
      </c>
    </row>
    <row r="1190" spans="1:12" x14ac:dyDescent="0.35">
      <c r="A1190" t="s">
        <v>1182</v>
      </c>
      <c r="B1190" t="str">
        <f t="shared" si="54"/>
        <v>Normal Weight</v>
      </c>
      <c r="C1190">
        <v>24.795000000000002</v>
      </c>
      <c r="D1190" t="str">
        <f t="shared" si="55"/>
        <v>Prediabetes</v>
      </c>
      <c r="E1190">
        <v>6.05</v>
      </c>
      <c r="F1190" t="s">
        <v>2382</v>
      </c>
      <c r="G1190" t="s">
        <v>2380</v>
      </c>
      <c r="H1190" t="s">
        <v>2380</v>
      </c>
      <c r="J1190" t="s">
        <v>2381</v>
      </c>
      <c r="K1190" t="str">
        <f t="shared" si="56"/>
        <v>No</v>
      </c>
      <c r="L1190" t="s">
        <v>2380</v>
      </c>
    </row>
    <row r="1191" spans="1:12" x14ac:dyDescent="0.35">
      <c r="A1191" t="s">
        <v>1181</v>
      </c>
      <c r="B1191" t="str">
        <f t="shared" si="54"/>
        <v>Overweight</v>
      </c>
      <c r="C1191">
        <v>29.48</v>
      </c>
      <c r="D1191" t="str">
        <f t="shared" si="55"/>
        <v>Normal</v>
      </c>
      <c r="E1191">
        <v>5.63</v>
      </c>
      <c r="F1191" t="s">
        <v>2382</v>
      </c>
      <c r="G1191" t="s">
        <v>2380</v>
      </c>
      <c r="H1191" t="s">
        <v>2383</v>
      </c>
      <c r="J1191">
        <v>1</v>
      </c>
      <c r="K1191" t="str">
        <f t="shared" si="56"/>
        <v>No</v>
      </c>
      <c r="L1191" t="s">
        <v>2380</v>
      </c>
    </row>
    <row r="1192" spans="1:12" x14ac:dyDescent="0.35">
      <c r="A1192" t="s">
        <v>1180</v>
      </c>
      <c r="B1192" t="str">
        <f t="shared" si="54"/>
        <v>Overweight</v>
      </c>
      <c r="C1192">
        <v>28.09</v>
      </c>
      <c r="D1192" t="str">
        <f t="shared" si="55"/>
        <v>Prediabetes</v>
      </c>
      <c r="E1192">
        <v>6.06</v>
      </c>
      <c r="F1192" t="s">
        <v>2380</v>
      </c>
      <c r="G1192" t="s">
        <v>2380</v>
      </c>
      <c r="H1192" t="s">
        <v>2383</v>
      </c>
      <c r="J1192">
        <v>1</v>
      </c>
      <c r="K1192" t="str">
        <f t="shared" si="56"/>
        <v>No</v>
      </c>
      <c r="L1192" t="s">
        <v>2380</v>
      </c>
    </row>
    <row r="1193" spans="1:12" x14ac:dyDescent="0.35">
      <c r="A1193" t="s">
        <v>1179</v>
      </c>
      <c r="B1193" t="str">
        <f t="shared" si="54"/>
        <v>Obesity</v>
      </c>
      <c r="C1193">
        <v>32.729999999999997</v>
      </c>
      <c r="D1193" t="str">
        <f t="shared" si="55"/>
        <v>Normal</v>
      </c>
      <c r="E1193">
        <v>5.19</v>
      </c>
      <c r="F1193" t="s">
        <v>2380</v>
      </c>
      <c r="G1193" t="s">
        <v>2380</v>
      </c>
      <c r="H1193" t="s">
        <v>2380</v>
      </c>
      <c r="J1193">
        <v>1</v>
      </c>
      <c r="K1193" t="str">
        <f t="shared" si="56"/>
        <v>No</v>
      </c>
      <c r="L1193" t="s">
        <v>2380</v>
      </c>
    </row>
    <row r="1194" spans="1:12" x14ac:dyDescent="0.35">
      <c r="A1194" t="s">
        <v>1178</v>
      </c>
      <c r="B1194" t="str">
        <f t="shared" si="54"/>
        <v>Overweight</v>
      </c>
      <c r="C1194">
        <v>27.36</v>
      </c>
      <c r="D1194" t="str">
        <f t="shared" si="55"/>
        <v>Diabetes</v>
      </c>
      <c r="E1194">
        <v>8.9600000000000009</v>
      </c>
      <c r="F1194" t="s">
        <v>2380</v>
      </c>
      <c r="G1194" t="s">
        <v>2380</v>
      </c>
      <c r="H1194" t="s">
        <v>2380</v>
      </c>
      <c r="J1194" t="s">
        <v>2381</v>
      </c>
      <c r="K1194" t="str">
        <f t="shared" si="56"/>
        <v>No</v>
      </c>
      <c r="L1194" t="s">
        <v>2380</v>
      </c>
    </row>
    <row r="1195" spans="1:12" x14ac:dyDescent="0.35">
      <c r="A1195" t="s">
        <v>1177</v>
      </c>
      <c r="B1195" t="str">
        <f t="shared" si="54"/>
        <v>Overweight</v>
      </c>
      <c r="C1195">
        <v>27.265000000000001</v>
      </c>
      <c r="D1195" t="str">
        <f t="shared" si="55"/>
        <v>Diabetes</v>
      </c>
      <c r="E1195">
        <v>11.39</v>
      </c>
      <c r="F1195" t="s">
        <v>2380</v>
      </c>
      <c r="G1195" t="s">
        <v>2380</v>
      </c>
      <c r="H1195" t="s">
        <v>2380</v>
      </c>
      <c r="J1195" t="s">
        <v>2381</v>
      </c>
      <c r="K1195" t="str">
        <f t="shared" si="56"/>
        <v>No</v>
      </c>
      <c r="L1195" t="s">
        <v>2380</v>
      </c>
    </row>
    <row r="1196" spans="1:12" x14ac:dyDescent="0.35">
      <c r="A1196" t="s">
        <v>1176</v>
      </c>
      <c r="B1196" t="str">
        <f t="shared" si="54"/>
        <v>Obesity</v>
      </c>
      <c r="C1196">
        <v>48.07</v>
      </c>
      <c r="D1196" t="str">
        <f t="shared" si="55"/>
        <v>Normal</v>
      </c>
      <c r="E1196">
        <v>4.0599999999999996</v>
      </c>
      <c r="F1196" t="s">
        <v>2382</v>
      </c>
      <c r="G1196" t="s">
        <v>2380</v>
      </c>
      <c r="H1196" t="s">
        <v>2380</v>
      </c>
      <c r="J1196" t="s">
        <v>2381</v>
      </c>
      <c r="K1196" t="str">
        <f t="shared" si="56"/>
        <v>No</v>
      </c>
      <c r="L1196" t="s">
        <v>2380</v>
      </c>
    </row>
    <row r="1197" spans="1:12" x14ac:dyDescent="0.35">
      <c r="A1197" t="s">
        <v>1175</v>
      </c>
      <c r="B1197" t="str">
        <f t="shared" si="54"/>
        <v>Obesity</v>
      </c>
      <c r="C1197">
        <v>30.8</v>
      </c>
      <c r="D1197" t="str">
        <f t="shared" si="55"/>
        <v>Normal</v>
      </c>
      <c r="E1197">
        <v>5.23</v>
      </c>
      <c r="F1197" t="s">
        <v>2382</v>
      </c>
      <c r="G1197" t="s">
        <v>2380</v>
      </c>
      <c r="H1197" t="s">
        <v>2380</v>
      </c>
      <c r="J1197" t="s">
        <v>2381</v>
      </c>
      <c r="K1197" t="str">
        <f t="shared" si="56"/>
        <v>No</v>
      </c>
      <c r="L1197" t="s">
        <v>2380</v>
      </c>
    </row>
    <row r="1198" spans="1:12" x14ac:dyDescent="0.35">
      <c r="A1198" t="s">
        <v>1174</v>
      </c>
      <c r="B1198" t="str">
        <f t="shared" si="54"/>
        <v>Obesity</v>
      </c>
      <c r="C1198">
        <v>32.299999999999997</v>
      </c>
      <c r="D1198" t="str">
        <f t="shared" si="55"/>
        <v>Normal</v>
      </c>
      <c r="E1198">
        <v>5.05</v>
      </c>
      <c r="F1198" t="s">
        <v>2382</v>
      </c>
      <c r="G1198" t="s">
        <v>2380</v>
      </c>
      <c r="H1198" t="s">
        <v>2380</v>
      </c>
      <c r="J1198" t="s">
        <v>2381</v>
      </c>
      <c r="K1198" t="str">
        <f t="shared" si="56"/>
        <v>No</v>
      </c>
      <c r="L1198" t="s">
        <v>2380</v>
      </c>
    </row>
    <row r="1199" spans="1:12" x14ac:dyDescent="0.35">
      <c r="A1199" t="s">
        <v>1173</v>
      </c>
      <c r="B1199" t="str">
        <f t="shared" si="54"/>
        <v>Obesity</v>
      </c>
      <c r="C1199">
        <v>39.700000000000003</v>
      </c>
      <c r="D1199" t="str">
        <f t="shared" si="55"/>
        <v>Diabetes</v>
      </c>
      <c r="E1199">
        <v>7.34</v>
      </c>
      <c r="F1199" t="s">
        <v>2380</v>
      </c>
      <c r="G1199" t="s">
        <v>2380</v>
      </c>
      <c r="H1199" t="s">
        <v>2380</v>
      </c>
      <c r="J1199" t="s">
        <v>2381</v>
      </c>
      <c r="K1199" t="str">
        <f t="shared" si="56"/>
        <v>No</v>
      </c>
      <c r="L1199" t="s">
        <v>2380</v>
      </c>
    </row>
    <row r="1200" spans="1:12" x14ac:dyDescent="0.35">
      <c r="A1200" t="s">
        <v>1172</v>
      </c>
      <c r="B1200" t="str">
        <f t="shared" si="54"/>
        <v>Obesity</v>
      </c>
      <c r="C1200">
        <v>35.97</v>
      </c>
      <c r="D1200" t="str">
        <f t="shared" si="55"/>
        <v>Diabetes</v>
      </c>
      <c r="E1200">
        <v>8.1300000000000008</v>
      </c>
      <c r="F1200" t="s">
        <v>2380</v>
      </c>
      <c r="G1200" t="s">
        <v>2380</v>
      </c>
      <c r="H1200" t="s">
        <v>2380</v>
      </c>
      <c r="J1200" t="s">
        <v>2381</v>
      </c>
      <c r="K1200" t="str">
        <f t="shared" si="56"/>
        <v>No</v>
      </c>
      <c r="L1200" t="s">
        <v>2380</v>
      </c>
    </row>
    <row r="1201" spans="1:12" x14ac:dyDescent="0.35">
      <c r="A1201" t="s">
        <v>1171</v>
      </c>
      <c r="B1201" t="str">
        <f t="shared" si="54"/>
        <v>Overweight</v>
      </c>
      <c r="C1201">
        <v>25.86</v>
      </c>
      <c r="D1201" t="str">
        <f t="shared" si="55"/>
        <v>Diabetes</v>
      </c>
      <c r="E1201">
        <v>6.68</v>
      </c>
      <c r="F1201" t="s">
        <v>2382</v>
      </c>
      <c r="G1201" t="s">
        <v>2380</v>
      </c>
      <c r="H1201" t="s">
        <v>2380</v>
      </c>
      <c r="J1201">
        <v>1</v>
      </c>
      <c r="K1201" t="str">
        <f t="shared" si="56"/>
        <v>No</v>
      </c>
      <c r="L1201" t="s">
        <v>2380</v>
      </c>
    </row>
    <row r="1202" spans="1:12" x14ac:dyDescent="0.35">
      <c r="A1202" t="s">
        <v>1170</v>
      </c>
      <c r="B1202" t="str">
        <f t="shared" si="54"/>
        <v>Obesity</v>
      </c>
      <c r="C1202">
        <v>30.03</v>
      </c>
      <c r="D1202" t="str">
        <f t="shared" si="55"/>
        <v>Diabetes</v>
      </c>
      <c r="E1202">
        <v>11.51</v>
      </c>
      <c r="F1202" t="s">
        <v>2380</v>
      </c>
      <c r="G1202" t="s">
        <v>2380</v>
      </c>
      <c r="H1202" t="s">
        <v>2380</v>
      </c>
      <c r="J1202" t="s">
        <v>2381</v>
      </c>
      <c r="K1202" t="str">
        <f t="shared" si="56"/>
        <v>No</v>
      </c>
      <c r="L1202" t="s">
        <v>2380</v>
      </c>
    </row>
    <row r="1203" spans="1:12" x14ac:dyDescent="0.35">
      <c r="A1203" t="s">
        <v>1169</v>
      </c>
      <c r="B1203" t="str">
        <f t="shared" si="54"/>
        <v>Overweight</v>
      </c>
      <c r="C1203">
        <v>25.76</v>
      </c>
      <c r="D1203" t="str">
        <f t="shared" si="55"/>
        <v>Prediabetes</v>
      </c>
      <c r="E1203">
        <v>6.02</v>
      </c>
      <c r="F1203" t="s">
        <v>2382</v>
      </c>
      <c r="G1203" t="s">
        <v>2380</v>
      </c>
      <c r="H1203" t="s">
        <v>2383</v>
      </c>
      <c r="J1203">
        <v>1</v>
      </c>
      <c r="K1203" t="str">
        <f t="shared" si="56"/>
        <v>No</v>
      </c>
      <c r="L1203" t="s">
        <v>2380</v>
      </c>
    </row>
    <row r="1204" spans="1:12" x14ac:dyDescent="0.35">
      <c r="A1204" t="s">
        <v>1168</v>
      </c>
      <c r="B1204" t="str">
        <f t="shared" si="54"/>
        <v>Normal Weight</v>
      </c>
      <c r="C1204">
        <v>22.42</v>
      </c>
      <c r="D1204" t="str">
        <f t="shared" si="55"/>
        <v>Diabetes</v>
      </c>
      <c r="E1204">
        <v>7.96</v>
      </c>
      <c r="F1204" t="s">
        <v>2380</v>
      </c>
      <c r="G1204" t="s">
        <v>2380</v>
      </c>
      <c r="H1204" t="s">
        <v>2380</v>
      </c>
      <c r="J1204" t="s">
        <v>2381</v>
      </c>
      <c r="K1204" t="str">
        <f t="shared" si="56"/>
        <v>No</v>
      </c>
      <c r="L1204" t="s">
        <v>2380</v>
      </c>
    </row>
    <row r="1205" spans="1:12" x14ac:dyDescent="0.35">
      <c r="A1205" t="s">
        <v>1167</v>
      </c>
      <c r="B1205" t="str">
        <f t="shared" si="54"/>
        <v>Obesity</v>
      </c>
      <c r="C1205">
        <v>33.18</v>
      </c>
      <c r="D1205" t="str">
        <f t="shared" si="55"/>
        <v>Prediabetes</v>
      </c>
      <c r="E1205">
        <v>6.01</v>
      </c>
      <c r="F1205" t="s">
        <v>2382</v>
      </c>
      <c r="G1205" t="s">
        <v>2380</v>
      </c>
      <c r="H1205" t="s">
        <v>2380</v>
      </c>
      <c r="J1205">
        <v>1</v>
      </c>
      <c r="K1205" t="str">
        <f t="shared" si="56"/>
        <v>No</v>
      </c>
      <c r="L1205" t="s">
        <v>2380</v>
      </c>
    </row>
    <row r="1206" spans="1:12" x14ac:dyDescent="0.35">
      <c r="A1206" t="s">
        <v>1166</v>
      </c>
      <c r="B1206" t="str">
        <f t="shared" si="54"/>
        <v>Obesity</v>
      </c>
      <c r="C1206">
        <v>43.04</v>
      </c>
      <c r="D1206" t="str">
        <f t="shared" si="55"/>
        <v>Prediabetes</v>
      </c>
      <c r="E1206">
        <v>5.9</v>
      </c>
      <c r="F1206" t="s">
        <v>2382</v>
      </c>
      <c r="G1206" t="s">
        <v>2380</v>
      </c>
      <c r="H1206" t="s">
        <v>2380</v>
      </c>
      <c r="J1206" t="s">
        <v>2381</v>
      </c>
      <c r="K1206" t="str">
        <f t="shared" si="56"/>
        <v>No</v>
      </c>
      <c r="L1206" t="s">
        <v>2380</v>
      </c>
    </row>
    <row r="1207" spans="1:12" x14ac:dyDescent="0.35">
      <c r="A1207" t="s">
        <v>1165</v>
      </c>
      <c r="B1207" t="str">
        <f t="shared" si="54"/>
        <v>Obesity</v>
      </c>
      <c r="C1207">
        <v>34.15</v>
      </c>
      <c r="D1207" t="str">
        <f t="shared" si="55"/>
        <v>Normal</v>
      </c>
      <c r="E1207">
        <v>4.49</v>
      </c>
      <c r="F1207" t="s">
        <v>2382</v>
      </c>
      <c r="G1207" t="s">
        <v>2380</v>
      </c>
      <c r="H1207" t="s">
        <v>2380</v>
      </c>
      <c r="J1207">
        <v>1</v>
      </c>
      <c r="K1207" t="str">
        <f t="shared" si="56"/>
        <v>No</v>
      </c>
      <c r="L1207" t="s">
        <v>2380</v>
      </c>
    </row>
    <row r="1208" spans="1:12" x14ac:dyDescent="0.35">
      <c r="A1208" t="s">
        <v>1164</v>
      </c>
      <c r="B1208" t="str">
        <f t="shared" si="54"/>
        <v>Overweight</v>
      </c>
      <c r="C1208">
        <v>25.78</v>
      </c>
      <c r="D1208" t="str">
        <f t="shared" si="55"/>
        <v>Prediabetes</v>
      </c>
      <c r="E1208">
        <v>6.25</v>
      </c>
      <c r="F1208" t="s">
        <v>2380</v>
      </c>
      <c r="G1208" t="s">
        <v>2380</v>
      </c>
      <c r="H1208" t="s">
        <v>2380</v>
      </c>
      <c r="J1208" t="s">
        <v>2381</v>
      </c>
      <c r="K1208" t="str">
        <f t="shared" si="56"/>
        <v>No</v>
      </c>
      <c r="L1208" t="s">
        <v>2380</v>
      </c>
    </row>
    <row r="1209" spans="1:12" x14ac:dyDescent="0.35">
      <c r="A1209" t="s">
        <v>1163</v>
      </c>
      <c r="B1209" t="str">
        <f t="shared" si="54"/>
        <v>Normal Weight</v>
      </c>
      <c r="C1209">
        <v>21.02</v>
      </c>
      <c r="D1209" t="str">
        <f t="shared" si="55"/>
        <v>Diabetes</v>
      </c>
      <c r="E1209">
        <v>9.6199999999999992</v>
      </c>
      <c r="F1209" t="s">
        <v>2382</v>
      </c>
      <c r="G1209" t="s">
        <v>2380</v>
      </c>
      <c r="H1209" t="s">
        <v>2383</v>
      </c>
      <c r="J1209">
        <v>1</v>
      </c>
      <c r="K1209" t="str">
        <f t="shared" si="56"/>
        <v>No</v>
      </c>
      <c r="L1209" t="s">
        <v>2380</v>
      </c>
    </row>
    <row r="1210" spans="1:12" x14ac:dyDescent="0.35">
      <c r="A1210" t="s">
        <v>1162</v>
      </c>
      <c r="B1210" t="str">
        <f t="shared" si="54"/>
        <v>Obesity</v>
      </c>
      <c r="C1210">
        <v>37.51</v>
      </c>
      <c r="D1210" t="str">
        <f t="shared" si="55"/>
        <v>Diabetes</v>
      </c>
      <c r="E1210">
        <v>11.06</v>
      </c>
      <c r="F1210" t="s">
        <v>2380</v>
      </c>
      <c r="G1210" t="s">
        <v>2380</v>
      </c>
      <c r="H1210" t="s">
        <v>2380</v>
      </c>
      <c r="J1210">
        <v>2</v>
      </c>
      <c r="K1210" t="str">
        <f t="shared" si="56"/>
        <v>No</v>
      </c>
      <c r="L1210" t="s">
        <v>2380</v>
      </c>
    </row>
    <row r="1211" spans="1:12" x14ac:dyDescent="0.35">
      <c r="A1211" t="s">
        <v>1161</v>
      </c>
      <c r="B1211" t="str">
        <f t="shared" si="54"/>
        <v>Overweight</v>
      </c>
      <c r="C1211">
        <v>25.745000000000001</v>
      </c>
      <c r="D1211" t="str">
        <f t="shared" si="55"/>
        <v>Prediabetes</v>
      </c>
      <c r="E1211">
        <v>6.11</v>
      </c>
      <c r="F1211" t="s">
        <v>2382</v>
      </c>
      <c r="G1211" t="s">
        <v>2380</v>
      </c>
      <c r="H1211" t="s">
        <v>2380</v>
      </c>
      <c r="J1211" t="s">
        <v>2381</v>
      </c>
      <c r="K1211" t="str">
        <f t="shared" si="56"/>
        <v>No</v>
      </c>
      <c r="L1211" t="s">
        <v>2380</v>
      </c>
    </row>
    <row r="1212" spans="1:12" x14ac:dyDescent="0.35">
      <c r="A1212" t="s">
        <v>1160</v>
      </c>
      <c r="B1212" t="str">
        <f t="shared" si="54"/>
        <v>Obesity</v>
      </c>
      <c r="C1212">
        <v>31.35</v>
      </c>
      <c r="D1212" t="str">
        <f t="shared" si="55"/>
        <v>Diabetes</v>
      </c>
      <c r="E1212">
        <v>11.49</v>
      </c>
      <c r="F1212" t="s">
        <v>2380</v>
      </c>
      <c r="G1212" t="s">
        <v>2380</v>
      </c>
      <c r="H1212" t="s">
        <v>2380</v>
      </c>
      <c r="J1212">
        <v>2</v>
      </c>
      <c r="K1212" t="str">
        <f t="shared" si="56"/>
        <v>No</v>
      </c>
      <c r="L1212" t="s">
        <v>2380</v>
      </c>
    </row>
    <row r="1213" spans="1:12" x14ac:dyDescent="0.35">
      <c r="A1213" t="s">
        <v>1159</v>
      </c>
      <c r="B1213" t="str">
        <f t="shared" si="54"/>
        <v>Overweight</v>
      </c>
      <c r="C1213">
        <v>29.83</v>
      </c>
      <c r="D1213" t="str">
        <f t="shared" si="55"/>
        <v>Diabetes</v>
      </c>
      <c r="E1213">
        <v>8.68</v>
      </c>
      <c r="F1213" t="s">
        <v>2380</v>
      </c>
      <c r="G1213" t="s">
        <v>2380</v>
      </c>
      <c r="H1213" t="s">
        <v>2380</v>
      </c>
      <c r="J1213">
        <v>2</v>
      </c>
      <c r="K1213" t="str">
        <f t="shared" si="56"/>
        <v>No</v>
      </c>
      <c r="L1213" t="s">
        <v>2380</v>
      </c>
    </row>
    <row r="1214" spans="1:12" x14ac:dyDescent="0.35">
      <c r="A1214" t="s">
        <v>1158</v>
      </c>
      <c r="B1214" t="str">
        <f t="shared" si="54"/>
        <v>Overweight</v>
      </c>
      <c r="C1214">
        <v>25.49</v>
      </c>
      <c r="D1214" t="str">
        <f t="shared" si="55"/>
        <v>Normal</v>
      </c>
      <c r="E1214">
        <v>5.68</v>
      </c>
      <c r="F1214" t="s">
        <v>2382</v>
      </c>
      <c r="G1214" t="s">
        <v>2380</v>
      </c>
      <c r="H1214" t="s">
        <v>2383</v>
      </c>
      <c r="J1214">
        <v>1</v>
      </c>
      <c r="K1214" t="str">
        <f t="shared" si="56"/>
        <v>No</v>
      </c>
      <c r="L1214" t="s">
        <v>2380</v>
      </c>
    </row>
    <row r="1215" spans="1:12" x14ac:dyDescent="0.35">
      <c r="A1215" t="s">
        <v>1157</v>
      </c>
      <c r="B1215" t="str">
        <f t="shared" si="54"/>
        <v>Obesity</v>
      </c>
      <c r="C1215">
        <v>34.1</v>
      </c>
      <c r="D1215" t="str">
        <f t="shared" si="55"/>
        <v>Diabetes</v>
      </c>
      <c r="E1215">
        <v>8.4499999999999993</v>
      </c>
      <c r="F1215" t="s">
        <v>2380</v>
      </c>
      <c r="G1215" t="s">
        <v>2380</v>
      </c>
      <c r="H1215" t="s">
        <v>2380</v>
      </c>
      <c r="J1215" t="s">
        <v>2381</v>
      </c>
      <c r="K1215" t="str">
        <f t="shared" si="56"/>
        <v>No</v>
      </c>
      <c r="L1215" t="s">
        <v>2380</v>
      </c>
    </row>
    <row r="1216" spans="1:12" x14ac:dyDescent="0.35">
      <c r="A1216" t="s">
        <v>1156</v>
      </c>
      <c r="B1216" t="str">
        <f t="shared" si="54"/>
        <v>Overweight</v>
      </c>
      <c r="C1216">
        <v>25.84</v>
      </c>
      <c r="D1216" t="str">
        <f t="shared" si="55"/>
        <v>Diabetes</v>
      </c>
      <c r="E1216">
        <v>8.51</v>
      </c>
      <c r="F1216" t="s">
        <v>2380</v>
      </c>
      <c r="G1216" t="s">
        <v>2380</v>
      </c>
      <c r="H1216" t="s">
        <v>2380</v>
      </c>
      <c r="J1216">
        <v>2</v>
      </c>
      <c r="K1216" t="str">
        <f t="shared" si="56"/>
        <v>No</v>
      </c>
      <c r="L1216" t="s">
        <v>2380</v>
      </c>
    </row>
    <row r="1217" spans="1:12" x14ac:dyDescent="0.35">
      <c r="A1217" t="s">
        <v>1155</v>
      </c>
      <c r="B1217" t="str">
        <f t="shared" si="54"/>
        <v>Normal Weight</v>
      </c>
      <c r="C1217">
        <v>20.6</v>
      </c>
      <c r="D1217" t="str">
        <f t="shared" si="55"/>
        <v>Diabetes</v>
      </c>
      <c r="E1217">
        <v>7.62</v>
      </c>
      <c r="F1217" t="s">
        <v>2380</v>
      </c>
      <c r="G1217" t="s">
        <v>2380</v>
      </c>
      <c r="H1217" t="s">
        <v>2380</v>
      </c>
      <c r="J1217" t="s">
        <v>2381</v>
      </c>
      <c r="K1217" t="str">
        <f t="shared" si="56"/>
        <v>No</v>
      </c>
      <c r="L1217" t="s">
        <v>2380</v>
      </c>
    </row>
    <row r="1218" spans="1:12" x14ac:dyDescent="0.35">
      <c r="A1218" t="s">
        <v>1154</v>
      </c>
      <c r="B1218" t="str">
        <f t="shared" si="54"/>
        <v>Overweight</v>
      </c>
      <c r="C1218">
        <v>28.88</v>
      </c>
      <c r="D1218" t="str">
        <f t="shared" si="55"/>
        <v>Diabetes</v>
      </c>
      <c r="E1218">
        <v>10.18</v>
      </c>
      <c r="F1218" t="s">
        <v>2380</v>
      </c>
      <c r="G1218" t="s">
        <v>2380</v>
      </c>
      <c r="H1218" t="s">
        <v>2380</v>
      </c>
      <c r="J1218" t="s">
        <v>2381</v>
      </c>
      <c r="K1218" t="str">
        <f t="shared" si="56"/>
        <v>No</v>
      </c>
      <c r="L1218" t="s">
        <v>2380</v>
      </c>
    </row>
    <row r="1219" spans="1:12" x14ac:dyDescent="0.35">
      <c r="A1219" t="s">
        <v>1153</v>
      </c>
      <c r="B1219" t="str">
        <f t="shared" ref="B1219:B1282" si="57">_xlfn.IFS(C1219&lt;18.5, "Underweight", C1219&lt;=24.9, "Normal Weight", C1219&lt;=29.9, "Overweight", C1219&gt;=30, "Obesity")</f>
        <v>Overweight</v>
      </c>
      <c r="C1219">
        <v>28.24</v>
      </c>
      <c r="D1219" t="str">
        <f t="shared" ref="D1219:D1282" si="58">_xlfn.IFS(E1219&lt;5.7, "Normal", E1219&lt;=6.4, "Prediabetes", E1219&gt;=6.5, "Diabetes")</f>
        <v>Normal</v>
      </c>
      <c r="E1219">
        <v>5.36</v>
      </c>
      <c r="F1219" t="s">
        <v>2380</v>
      </c>
      <c r="G1219" t="s">
        <v>2380</v>
      </c>
      <c r="H1219" t="s">
        <v>2380</v>
      </c>
      <c r="J1219" t="s">
        <v>2381</v>
      </c>
      <c r="K1219" t="str">
        <f t="shared" si="56"/>
        <v>No</v>
      </c>
      <c r="L1219" t="s">
        <v>2380</v>
      </c>
    </row>
    <row r="1220" spans="1:12" x14ac:dyDescent="0.35">
      <c r="A1220" t="s">
        <v>1152</v>
      </c>
      <c r="B1220" t="str">
        <f t="shared" si="57"/>
        <v>Overweight</v>
      </c>
      <c r="C1220">
        <v>25.46</v>
      </c>
      <c r="D1220" t="str">
        <f t="shared" si="58"/>
        <v>Diabetes</v>
      </c>
      <c r="E1220">
        <v>11.78</v>
      </c>
      <c r="F1220" t="s">
        <v>2382</v>
      </c>
      <c r="G1220" t="s">
        <v>2380</v>
      </c>
      <c r="H1220" t="s">
        <v>2380</v>
      </c>
      <c r="J1220">
        <v>1</v>
      </c>
      <c r="K1220" t="str">
        <f t="shared" ref="K1220:K1283" si="59">IF(OR(L1220="?", ISBLANK(L1220)), "No", L1220)</f>
        <v>No</v>
      </c>
      <c r="L1220" t="s">
        <v>2380</v>
      </c>
    </row>
    <row r="1221" spans="1:12" x14ac:dyDescent="0.35">
      <c r="A1221" t="s">
        <v>1151</v>
      </c>
      <c r="B1221" t="str">
        <f t="shared" si="57"/>
        <v>Overweight</v>
      </c>
      <c r="C1221">
        <v>29.64</v>
      </c>
      <c r="D1221" t="str">
        <f t="shared" si="58"/>
        <v>Diabetes</v>
      </c>
      <c r="E1221">
        <v>10.82</v>
      </c>
      <c r="F1221" t="s">
        <v>2382</v>
      </c>
      <c r="G1221" t="s">
        <v>2380</v>
      </c>
      <c r="H1221" t="s">
        <v>2380</v>
      </c>
      <c r="J1221" t="s">
        <v>2381</v>
      </c>
      <c r="K1221" t="str">
        <f t="shared" si="59"/>
        <v>No</v>
      </c>
      <c r="L1221" t="s">
        <v>2380</v>
      </c>
    </row>
    <row r="1222" spans="1:12" x14ac:dyDescent="0.35">
      <c r="A1222" t="s">
        <v>1150</v>
      </c>
      <c r="B1222" t="str">
        <f t="shared" si="57"/>
        <v>Obesity</v>
      </c>
      <c r="C1222">
        <v>31.27</v>
      </c>
      <c r="D1222" t="str">
        <f t="shared" si="58"/>
        <v>Diabetes</v>
      </c>
      <c r="E1222">
        <v>7.73</v>
      </c>
      <c r="F1222" t="s">
        <v>2382</v>
      </c>
      <c r="G1222" t="s">
        <v>2380</v>
      </c>
      <c r="H1222" t="s">
        <v>2380</v>
      </c>
      <c r="J1222">
        <v>1</v>
      </c>
      <c r="K1222" t="str">
        <f t="shared" si="59"/>
        <v>No</v>
      </c>
      <c r="L1222" t="s">
        <v>2380</v>
      </c>
    </row>
    <row r="1223" spans="1:12" x14ac:dyDescent="0.35">
      <c r="A1223" t="s">
        <v>1149</v>
      </c>
      <c r="B1223" t="str">
        <f t="shared" si="57"/>
        <v>Normal Weight</v>
      </c>
      <c r="C1223">
        <v>19.95</v>
      </c>
      <c r="D1223" t="str">
        <f t="shared" si="58"/>
        <v>Prediabetes</v>
      </c>
      <c r="E1223">
        <v>6.24</v>
      </c>
      <c r="F1223" t="s">
        <v>2382</v>
      </c>
      <c r="G1223" t="s">
        <v>2380</v>
      </c>
      <c r="H1223" t="s">
        <v>2380</v>
      </c>
      <c r="J1223" t="s">
        <v>2381</v>
      </c>
      <c r="K1223" t="str">
        <f t="shared" si="59"/>
        <v>No</v>
      </c>
      <c r="L1223" t="s">
        <v>2380</v>
      </c>
    </row>
    <row r="1224" spans="1:12" x14ac:dyDescent="0.35">
      <c r="A1224" t="s">
        <v>1148</v>
      </c>
      <c r="B1224" t="str">
        <f t="shared" si="57"/>
        <v>Normal Weight</v>
      </c>
      <c r="C1224">
        <v>21.3</v>
      </c>
      <c r="D1224" t="str">
        <f t="shared" si="58"/>
        <v>Diabetes</v>
      </c>
      <c r="E1224">
        <v>10.42</v>
      </c>
      <c r="F1224" t="s">
        <v>2380</v>
      </c>
      <c r="G1224" t="s">
        <v>2380</v>
      </c>
      <c r="H1224" t="s">
        <v>2380</v>
      </c>
      <c r="J1224">
        <v>2</v>
      </c>
      <c r="K1224" t="str">
        <f t="shared" si="59"/>
        <v>No</v>
      </c>
      <c r="L1224" t="s">
        <v>2380</v>
      </c>
    </row>
    <row r="1225" spans="1:12" x14ac:dyDescent="0.35">
      <c r="A1225" t="s">
        <v>1147</v>
      </c>
      <c r="B1225" t="str">
        <f t="shared" si="57"/>
        <v>Obesity</v>
      </c>
      <c r="C1225">
        <v>31.635000000000002</v>
      </c>
      <c r="D1225" t="str">
        <f t="shared" si="58"/>
        <v>Diabetes</v>
      </c>
      <c r="E1225">
        <v>11.11</v>
      </c>
      <c r="F1225" t="s">
        <v>2380</v>
      </c>
      <c r="G1225" t="s">
        <v>2380</v>
      </c>
      <c r="H1225" t="s">
        <v>2380</v>
      </c>
      <c r="J1225" t="s">
        <v>2381</v>
      </c>
      <c r="K1225" t="str">
        <f t="shared" si="59"/>
        <v>No</v>
      </c>
      <c r="L1225" t="s">
        <v>2380</v>
      </c>
    </row>
    <row r="1226" spans="1:12" x14ac:dyDescent="0.35">
      <c r="A1226" t="s">
        <v>1146</v>
      </c>
      <c r="B1226" t="str">
        <f t="shared" si="57"/>
        <v>Normal Weight</v>
      </c>
      <c r="C1226">
        <v>23.9</v>
      </c>
      <c r="D1226" t="str">
        <f t="shared" si="58"/>
        <v>Diabetes</v>
      </c>
      <c r="E1226">
        <v>7.67</v>
      </c>
      <c r="F1226" t="s">
        <v>2382</v>
      </c>
      <c r="G1226" t="s">
        <v>2380</v>
      </c>
      <c r="H1226" t="s">
        <v>2380</v>
      </c>
      <c r="J1226">
        <v>2</v>
      </c>
      <c r="K1226" t="str">
        <f t="shared" si="59"/>
        <v>No</v>
      </c>
      <c r="L1226" t="s">
        <v>2380</v>
      </c>
    </row>
    <row r="1227" spans="1:12" x14ac:dyDescent="0.35">
      <c r="A1227" t="s">
        <v>1145</v>
      </c>
      <c r="B1227" t="str">
        <f t="shared" si="57"/>
        <v>Obesity</v>
      </c>
      <c r="C1227">
        <v>34.15</v>
      </c>
      <c r="D1227" t="str">
        <f t="shared" si="58"/>
        <v>Prediabetes</v>
      </c>
      <c r="E1227">
        <v>6.15</v>
      </c>
      <c r="F1227" t="s">
        <v>2380</v>
      </c>
      <c r="G1227" t="s">
        <v>2380</v>
      </c>
      <c r="H1227" t="s">
        <v>2380</v>
      </c>
      <c r="J1227" t="s">
        <v>2381</v>
      </c>
      <c r="K1227" t="str">
        <f t="shared" si="59"/>
        <v>No</v>
      </c>
      <c r="L1227" t="s">
        <v>2380</v>
      </c>
    </row>
    <row r="1228" spans="1:12" x14ac:dyDescent="0.35">
      <c r="A1228" t="s">
        <v>1144</v>
      </c>
      <c r="B1228" t="str">
        <f t="shared" si="57"/>
        <v>Overweight</v>
      </c>
      <c r="C1228">
        <v>28.71</v>
      </c>
      <c r="D1228" t="str">
        <f t="shared" si="58"/>
        <v>Prediabetes</v>
      </c>
      <c r="E1228">
        <v>5.71</v>
      </c>
      <c r="F1228" t="s">
        <v>2380</v>
      </c>
      <c r="G1228" t="s">
        <v>2380</v>
      </c>
      <c r="H1228" t="s">
        <v>2380</v>
      </c>
      <c r="J1228" t="s">
        <v>2381</v>
      </c>
      <c r="K1228" t="str">
        <f t="shared" si="59"/>
        <v>No</v>
      </c>
      <c r="L1228" t="s">
        <v>2380</v>
      </c>
    </row>
    <row r="1229" spans="1:12" x14ac:dyDescent="0.35">
      <c r="A1229" t="s">
        <v>1143</v>
      </c>
      <c r="B1229" t="str">
        <f t="shared" si="57"/>
        <v>Obesity</v>
      </c>
      <c r="C1229">
        <v>36.700000000000003</v>
      </c>
      <c r="D1229" t="str">
        <f t="shared" si="58"/>
        <v>Diabetes</v>
      </c>
      <c r="E1229">
        <v>8.6999999999999993</v>
      </c>
      <c r="F1229" t="s">
        <v>2382</v>
      </c>
      <c r="G1229" t="s">
        <v>2380</v>
      </c>
      <c r="H1229" t="s">
        <v>2380</v>
      </c>
      <c r="J1229">
        <v>2</v>
      </c>
      <c r="K1229" t="str">
        <f t="shared" si="59"/>
        <v>No</v>
      </c>
      <c r="L1229" t="s">
        <v>2380</v>
      </c>
    </row>
    <row r="1230" spans="1:12" x14ac:dyDescent="0.35">
      <c r="A1230" t="s">
        <v>1142</v>
      </c>
      <c r="B1230" t="str">
        <f t="shared" si="57"/>
        <v>Obesity</v>
      </c>
      <c r="C1230">
        <v>34.1</v>
      </c>
      <c r="D1230" t="str">
        <f t="shared" si="58"/>
        <v>Diabetes</v>
      </c>
      <c r="E1230">
        <v>9.0399999999999991</v>
      </c>
      <c r="F1230" t="s">
        <v>2382</v>
      </c>
      <c r="G1230" t="s">
        <v>2380</v>
      </c>
      <c r="H1230" t="s">
        <v>2380</v>
      </c>
      <c r="J1230">
        <v>2</v>
      </c>
      <c r="K1230" t="str">
        <f t="shared" si="59"/>
        <v>No</v>
      </c>
      <c r="L1230" t="s">
        <v>2380</v>
      </c>
    </row>
    <row r="1231" spans="1:12" x14ac:dyDescent="0.35">
      <c r="A1231" t="s">
        <v>1141</v>
      </c>
      <c r="B1231" t="str">
        <f t="shared" si="57"/>
        <v>Overweight</v>
      </c>
      <c r="C1231">
        <v>25.7</v>
      </c>
      <c r="D1231" t="str">
        <f t="shared" si="58"/>
        <v>Normal</v>
      </c>
      <c r="E1231">
        <v>5.61</v>
      </c>
      <c r="F1231" t="s">
        <v>2380</v>
      </c>
      <c r="G1231" t="s">
        <v>2380</v>
      </c>
      <c r="H1231" t="s">
        <v>2380</v>
      </c>
      <c r="J1231" t="s">
        <v>2381</v>
      </c>
      <c r="K1231" t="str">
        <f t="shared" si="59"/>
        <v>No</v>
      </c>
      <c r="L1231" t="s">
        <v>2380</v>
      </c>
    </row>
    <row r="1232" spans="1:12" x14ac:dyDescent="0.35">
      <c r="A1232" t="s">
        <v>1140</v>
      </c>
      <c r="B1232" t="str">
        <f t="shared" si="57"/>
        <v>Normal Weight</v>
      </c>
      <c r="C1232">
        <v>21.68</v>
      </c>
      <c r="D1232" t="str">
        <f t="shared" si="58"/>
        <v>Diabetes</v>
      </c>
      <c r="E1232">
        <v>8.1199999999999992</v>
      </c>
      <c r="F1232" t="s">
        <v>2380</v>
      </c>
      <c r="G1232" t="s">
        <v>2380</v>
      </c>
      <c r="H1232" t="s">
        <v>2380</v>
      </c>
      <c r="J1232" t="s">
        <v>2381</v>
      </c>
      <c r="K1232" t="str">
        <f t="shared" si="59"/>
        <v>No</v>
      </c>
      <c r="L1232" t="s">
        <v>2380</v>
      </c>
    </row>
    <row r="1233" spans="1:12" x14ac:dyDescent="0.35">
      <c r="A1233" t="s">
        <v>1139</v>
      </c>
      <c r="B1233" t="str">
        <f t="shared" si="57"/>
        <v>Overweight</v>
      </c>
      <c r="C1233">
        <v>25.175000000000001</v>
      </c>
      <c r="D1233" t="str">
        <f t="shared" si="58"/>
        <v>Normal</v>
      </c>
      <c r="E1233">
        <v>4.74</v>
      </c>
      <c r="F1233" t="s">
        <v>2380</v>
      </c>
      <c r="G1233" t="s">
        <v>2380</v>
      </c>
      <c r="H1233" t="s">
        <v>2380</v>
      </c>
      <c r="J1233" t="s">
        <v>2381</v>
      </c>
      <c r="K1233" t="str">
        <f t="shared" si="59"/>
        <v>No</v>
      </c>
      <c r="L1233" t="s">
        <v>2380</v>
      </c>
    </row>
    <row r="1234" spans="1:12" x14ac:dyDescent="0.35">
      <c r="A1234" t="s">
        <v>1138</v>
      </c>
      <c r="B1234" t="str">
        <f t="shared" si="57"/>
        <v>Obesity</v>
      </c>
      <c r="C1234">
        <v>44.77</v>
      </c>
      <c r="D1234" t="str">
        <f t="shared" si="58"/>
        <v>Normal</v>
      </c>
      <c r="E1234">
        <v>4.0599999999999996</v>
      </c>
      <c r="F1234" t="s">
        <v>2380</v>
      </c>
      <c r="G1234" t="s">
        <v>2380</v>
      </c>
      <c r="H1234" t="s">
        <v>2380</v>
      </c>
      <c r="J1234">
        <v>2</v>
      </c>
      <c r="K1234" t="str">
        <f t="shared" si="59"/>
        <v>No</v>
      </c>
      <c r="L1234" t="s">
        <v>2380</v>
      </c>
    </row>
    <row r="1235" spans="1:12" x14ac:dyDescent="0.35">
      <c r="A1235" t="s">
        <v>1137</v>
      </c>
      <c r="B1235" t="str">
        <f t="shared" si="57"/>
        <v>Obesity</v>
      </c>
      <c r="C1235">
        <v>37.07</v>
      </c>
      <c r="D1235" t="str">
        <f t="shared" si="58"/>
        <v>Normal</v>
      </c>
      <c r="E1235">
        <v>5.69</v>
      </c>
      <c r="F1235" t="s">
        <v>2380</v>
      </c>
      <c r="G1235" t="s">
        <v>2380</v>
      </c>
      <c r="H1235" t="s">
        <v>2380</v>
      </c>
      <c r="J1235">
        <v>2</v>
      </c>
      <c r="K1235" t="str">
        <f t="shared" si="59"/>
        <v>No</v>
      </c>
      <c r="L1235" t="s">
        <v>2380</v>
      </c>
    </row>
    <row r="1236" spans="1:12" x14ac:dyDescent="0.35">
      <c r="A1236" t="s">
        <v>1136</v>
      </c>
      <c r="B1236" t="str">
        <f t="shared" si="57"/>
        <v>Obesity</v>
      </c>
      <c r="C1236">
        <v>39.799999999999997</v>
      </c>
      <c r="D1236" t="str">
        <f t="shared" si="58"/>
        <v>Normal</v>
      </c>
      <c r="E1236">
        <v>5.66</v>
      </c>
      <c r="F1236" t="s">
        <v>2380</v>
      </c>
      <c r="G1236" t="s">
        <v>2380</v>
      </c>
      <c r="H1236" t="s">
        <v>2383</v>
      </c>
      <c r="J1236">
        <v>1</v>
      </c>
      <c r="K1236" t="str">
        <f t="shared" si="59"/>
        <v>No</v>
      </c>
      <c r="L1236" t="s">
        <v>2380</v>
      </c>
    </row>
    <row r="1237" spans="1:12" x14ac:dyDescent="0.35">
      <c r="A1237" t="s">
        <v>1135</v>
      </c>
      <c r="B1237" t="str">
        <f t="shared" si="57"/>
        <v>Overweight</v>
      </c>
      <c r="C1237">
        <v>26.36</v>
      </c>
      <c r="D1237" t="str">
        <f t="shared" si="58"/>
        <v>Normal</v>
      </c>
      <c r="E1237">
        <v>4.32</v>
      </c>
      <c r="F1237" t="s">
        <v>2380</v>
      </c>
      <c r="G1237" t="s">
        <v>2380</v>
      </c>
      <c r="H1237" t="s">
        <v>2383</v>
      </c>
      <c r="J1237">
        <v>1</v>
      </c>
      <c r="K1237" t="str">
        <f t="shared" si="59"/>
        <v>No</v>
      </c>
      <c r="L1237" t="s">
        <v>2380</v>
      </c>
    </row>
    <row r="1238" spans="1:12" x14ac:dyDescent="0.35">
      <c r="A1238" t="s">
        <v>1134</v>
      </c>
      <c r="B1238" t="e">
        <f t="shared" si="57"/>
        <v>#N/A</v>
      </c>
      <c r="C1238">
        <v>29.925000000000001</v>
      </c>
      <c r="D1238" t="str">
        <f t="shared" si="58"/>
        <v>Diabetes</v>
      </c>
      <c r="E1238">
        <v>8.2899999999999991</v>
      </c>
      <c r="F1238" t="s">
        <v>2380</v>
      </c>
      <c r="G1238" t="s">
        <v>2380</v>
      </c>
      <c r="H1238" t="s">
        <v>2380</v>
      </c>
      <c r="J1238">
        <v>2</v>
      </c>
      <c r="K1238" t="str">
        <f t="shared" si="59"/>
        <v>No</v>
      </c>
      <c r="L1238" t="s">
        <v>2380</v>
      </c>
    </row>
    <row r="1239" spans="1:12" x14ac:dyDescent="0.35">
      <c r="A1239" t="s">
        <v>1133</v>
      </c>
      <c r="B1239" t="str">
        <f t="shared" si="57"/>
        <v>Obesity</v>
      </c>
      <c r="C1239">
        <v>37.29</v>
      </c>
      <c r="D1239" t="str">
        <f t="shared" si="58"/>
        <v>Diabetes</v>
      </c>
      <c r="E1239">
        <v>10.46</v>
      </c>
      <c r="F1239" t="s">
        <v>2380</v>
      </c>
      <c r="G1239" t="s">
        <v>2380</v>
      </c>
      <c r="H1239" t="s">
        <v>2380</v>
      </c>
      <c r="J1239" t="s">
        <v>2381</v>
      </c>
      <c r="K1239" t="str">
        <f t="shared" si="59"/>
        <v>No</v>
      </c>
      <c r="L1239" t="s">
        <v>2380</v>
      </c>
    </row>
    <row r="1240" spans="1:12" x14ac:dyDescent="0.35">
      <c r="A1240" t="s">
        <v>1132</v>
      </c>
      <c r="B1240" t="str">
        <f t="shared" si="57"/>
        <v>Obesity</v>
      </c>
      <c r="C1240">
        <v>30.2</v>
      </c>
      <c r="D1240" t="str">
        <f t="shared" si="58"/>
        <v>Diabetes</v>
      </c>
      <c r="E1240">
        <v>11.96</v>
      </c>
      <c r="F1240" t="s">
        <v>2380</v>
      </c>
      <c r="G1240" t="s">
        <v>2380</v>
      </c>
      <c r="H1240" t="s">
        <v>2380</v>
      </c>
      <c r="J1240" t="s">
        <v>2381</v>
      </c>
      <c r="K1240" t="str">
        <f t="shared" si="59"/>
        <v>No</v>
      </c>
      <c r="L1240" t="s">
        <v>2380</v>
      </c>
    </row>
    <row r="1241" spans="1:12" x14ac:dyDescent="0.35">
      <c r="A1241" t="s">
        <v>1131</v>
      </c>
      <c r="B1241" t="str">
        <f t="shared" si="57"/>
        <v>Normal Weight</v>
      </c>
      <c r="C1241">
        <v>24.225000000000001</v>
      </c>
      <c r="D1241" t="str">
        <f t="shared" si="58"/>
        <v>Normal</v>
      </c>
      <c r="E1241">
        <v>4.25</v>
      </c>
      <c r="F1241" t="s">
        <v>2382</v>
      </c>
      <c r="G1241" t="s">
        <v>2380</v>
      </c>
      <c r="H1241" t="s">
        <v>2383</v>
      </c>
      <c r="J1241">
        <v>1</v>
      </c>
      <c r="K1241" t="str">
        <f t="shared" si="59"/>
        <v>No</v>
      </c>
      <c r="L1241" t="s">
        <v>2380</v>
      </c>
    </row>
    <row r="1242" spans="1:12" x14ac:dyDescent="0.35">
      <c r="A1242" t="s">
        <v>1130</v>
      </c>
      <c r="B1242" t="str">
        <f t="shared" si="57"/>
        <v>Obesity</v>
      </c>
      <c r="C1242">
        <v>31.445</v>
      </c>
      <c r="D1242" t="str">
        <f t="shared" si="58"/>
        <v>Diabetes</v>
      </c>
      <c r="E1242">
        <v>8.33</v>
      </c>
      <c r="F1242" t="s">
        <v>2380</v>
      </c>
      <c r="G1242" t="s">
        <v>2380</v>
      </c>
      <c r="H1242" t="s">
        <v>2380</v>
      </c>
      <c r="J1242" t="s">
        <v>2381</v>
      </c>
      <c r="K1242" t="str">
        <f t="shared" si="59"/>
        <v>No</v>
      </c>
      <c r="L1242" t="s">
        <v>2380</v>
      </c>
    </row>
    <row r="1243" spans="1:12" x14ac:dyDescent="0.35">
      <c r="A1243" t="s">
        <v>1129</v>
      </c>
      <c r="B1243" t="str">
        <f t="shared" si="57"/>
        <v>Obesity</v>
      </c>
      <c r="C1243">
        <v>38.880000000000003</v>
      </c>
      <c r="D1243" t="str">
        <f t="shared" si="58"/>
        <v>Normal</v>
      </c>
      <c r="E1243">
        <v>4.29</v>
      </c>
      <c r="F1243" t="s">
        <v>2380</v>
      </c>
      <c r="G1243" t="s">
        <v>2380</v>
      </c>
      <c r="H1243" t="s">
        <v>2380</v>
      </c>
      <c r="J1243">
        <v>1</v>
      </c>
      <c r="K1243" t="str">
        <f t="shared" si="59"/>
        <v>No</v>
      </c>
      <c r="L1243" t="s">
        <v>2380</v>
      </c>
    </row>
    <row r="1244" spans="1:12" x14ac:dyDescent="0.35">
      <c r="A1244" t="s">
        <v>1128</v>
      </c>
      <c r="B1244" t="str">
        <f t="shared" si="57"/>
        <v>Obesity</v>
      </c>
      <c r="C1244">
        <v>43.89</v>
      </c>
      <c r="D1244" t="str">
        <f t="shared" si="58"/>
        <v>Prediabetes</v>
      </c>
      <c r="E1244">
        <v>6.32</v>
      </c>
      <c r="F1244" t="s">
        <v>2382</v>
      </c>
      <c r="G1244" t="s">
        <v>2380</v>
      </c>
      <c r="H1244" t="s">
        <v>2380</v>
      </c>
      <c r="J1244" t="s">
        <v>2381</v>
      </c>
      <c r="K1244" t="str">
        <f t="shared" si="59"/>
        <v>No</v>
      </c>
      <c r="L1244" t="s">
        <v>2380</v>
      </c>
    </row>
    <row r="1245" spans="1:12" x14ac:dyDescent="0.35">
      <c r="A1245" t="s">
        <v>1127</v>
      </c>
      <c r="B1245" t="str">
        <f t="shared" si="57"/>
        <v>Overweight</v>
      </c>
      <c r="C1245">
        <v>25.6</v>
      </c>
      <c r="D1245" t="str">
        <f t="shared" si="58"/>
        <v>Normal</v>
      </c>
      <c r="E1245">
        <v>5.65</v>
      </c>
      <c r="F1245" t="s">
        <v>2380</v>
      </c>
      <c r="G1245" t="s">
        <v>2380</v>
      </c>
      <c r="H1245" t="s">
        <v>2380</v>
      </c>
      <c r="J1245">
        <v>2</v>
      </c>
      <c r="K1245" t="str">
        <f t="shared" si="59"/>
        <v>No</v>
      </c>
      <c r="L1245" t="s">
        <v>2380</v>
      </c>
    </row>
    <row r="1246" spans="1:12" x14ac:dyDescent="0.35">
      <c r="A1246" t="s">
        <v>1126</v>
      </c>
      <c r="B1246" t="str">
        <f t="shared" si="57"/>
        <v>Overweight</v>
      </c>
      <c r="C1246">
        <v>29.545000000000002</v>
      </c>
      <c r="D1246" t="str">
        <f t="shared" si="58"/>
        <v>Diabetes</v>
      </c>
      <c r="E1246">
        <v>8.41</v>
      </c>
      <c r="F1246" t="s">
        <v>2382</v>
      </c>
      <c r="G1246" t="s">
        <v>2380</v>
      </c>
      <c r="H1246" t="s">
        <v>2380</v>
      </c>
      <c r="J1246">
        <v>1</v>
      </c>
      <c r="K1246" t="str">
        <f t="shared" si="59"/>
        <v>No</v>
      </c>
      <c r="L1246" t="s">
        <v>2380</v>
      </c>
    </row>
    <row r="1247" spans="1:12" x14ac:dyDescent="0.35">
      <c r="A1247" t="s">
        <v>1125</v>
      </c>
      <c r="B1247" t="str">
        <f t="shared" si="57"/>
        <v>Normal Weight</v>
      </c>
      <c r="C1247">
        <v>23.25</v>
      </c>
      <c r="D1247" t="str">
        <f t="shared" si="58"/>
        <v>Diabetes</v>
      </c>
      <c r="E1247">
        <v>11.96</v>
      </c>
      <c r="F1247" t="s">
        <v>2382</v>
      </c>
      <c r="G1247" t="s">
        <v>2380</v>
      </c>
      <c r="H1247" t="s">
        <v>2380</v>
      </c>
      <c r="J1247" t="s">
        <v>2381</v>
      </c>
      <c r="K1247" t="str">
        <f t="shared" si="59"/>
        <v>No</v>
      </c>
      <c r="L1247" t="s">
        <v>2380</v>
      </c>
    </row>
    <row r="1248" spans="1:12" x14ac:dyDescent="0.35">
      <c r="A1248" t="s">
        <v>1124</v>
      </c>
      <c r="B1248" t="str">
        <f t="shared" si="57"/>
        <v>Obesity</v>
      </c>
      <c r="C1248">
        <v>43.95</v>
      </c>
      <c r="D1248" t="str">
        <f t="shared" si="58"/>
        <v>Normal</v>
      </c>
      <c r="E1248">
        <v>5.17</v>
      </c>
      <c r="F1248" t="s">
        <v>2382</v>
      </c>
      <c r="G1248" t="s">
        <v>2380</v>
      </c>
      <c r="H1248" t="s">
        <v>2383</v>
      </c>
      <c r="J1248">
        <v>1</v>
      </c>
      <c r="K1248" t="str">
        <f t="shared" si="59"/>
        <v>No</v>
      </c>
      <c r="L1248" t="s">
        <v>2380</v>
      </c>
    </row>
    <row r="1249" spans="1:12" x14ac:dyDescent="0.35">
      <c r="A1249" t="s">
        <v>1123</v>
      </c>
      <c r="B1249" t="str">
        <f t="shared" si="57"/>
        <v>Normal Weight</v>
      </c>
      <c r="C1249">
        <v>21.85</v>
      </c>
      <c r="D1249" t="str">
        <f t="shared" si="58"/>
        <v>Diabetes</v>
      </c>
      <c r="E1249">
        <v>8.76</v>
      </c>
      <c r="F1249" t="s">
        <v>2380</v>
      </c>
      <c r="G1249" t="s">
        <v>2380</v>
      </c>
      <c r="H1249" t="s">
        <v>2380</v>
      </c>
      <c r="J1249" t="s">
        <v>2381</v>
      </c>
      <c r="K1249" t="str">
        <f t="shared" si="59"/>
        <v>No</v>
      </c>
      <c r="L1249" t="s">
        <v>2380</v>
      </c>
    </row>
    <row r="1250" spans="1:12" x14ac:dyDescent="0.35">
      <c r="A1250" t="s">
        <v>1122</v>
      </c>
      <c r="B1250" t="str">
        <f t="shared" si="57"/>
        <v>Overweight</v>
      </c>
      <c r="C1250">
        <v>25.73</v>
      </c>
      <c r="D1250" t="str">
        <f t="shared" si="58"/>
        <v>Diabetes</v>
      </c>
      <c r="E1250">
        <v>7.99</v>
      </c>
      <c r="F1250" t="s">
        <v>2380</v>
      </c>
      <c r="G1250" t="s">
        <v>2380</v>
      </c>
      <c r="H1250" t="s">
        <v>2380</v>
      </c>
      <c r="J1250">
        <v>2</v>
      </c>
      <c r="K1250" t="str">
        <f t="shared" si="59"/>
        <v>No</v>
      </c>
      <c r="L1250" t="s">
        <v>2380</v>
      </c>
    </row>
    <row r="1251" spans="1:12" x14ac:dyDescent="0.35">
      <c r="A1251" t="s">
        <v>1121</v>
      </c>
      <c r="B1251" t="str">
        <f t="shared" si="57"/>
        <v>Obesity</v>
      </c>
      <c r="C1251">
        <v>32.229999999999997</v>
      </c>
      <c r="D1251" t="str">
        <f t="shared" si="58"/>
        <v>Diabetes</v>
      </c>
      <c r="E1251">
        <v>8.59</v>
      </c>
      <c r="F1251" t="s">
        <v>2380</v>
      </c>
      <c r="G1251" t="s">
        <v>2380</v>
      </c>
      <c r="H1251" t="s">
        <v>2380</v>
      </c>
      <c r="J1251" t="s">
        <v>2381</v>
      </c>
      <c r="K1251" t="str">
        <f t="shared" si="59"/>
        <v>No</v>
      </c>
      <c r="L1251" t="s">
        <v>2380</v>
      </c>
    </row>
    <row r="1252" spans="1:12" x14ac:dyDescent="0.35">
      <c r="A1252" t="s">
        <v>1120</v>
      </c>
      <c r="B1252" t="str">
        <f t="shared" si="57"/>
        <v>Obesity</v>
      </c>
      <c r="C1252">
        <v>32.204999999999998</v>
      </c>
      <c r="D1252" t="str">
        <f t="shared" si="58"/>
        <v>Prediabetes</v>
      </c>
      <c r="E1252">
        <v>6.14</v>
      </c>
      <c r="F1252" t="s">
        <v>2380</v>
      </c>
      <c r="G1252" t="s">
        <v>2380</v>
      </c>
      <c r="H1252" t="s">
        <v>2380</v>
      </c>
      <c r="J1252">
        <v>2</v>
      </c>
      <c r="K1252" t="str">
        <f t="shared" si="59"/>
        <v>No</v>
      </c>
      <c r="L1252" t="s">
        <v>2380</v>
      </c>
    </row>
    <row r="1253" spans="1:12" x14ac:dyDescent="0.35">
      <c r="A1253" t="s">
        <v>1119</v>
      </c>
      <c r="B1253" t="str">
        <f t="shared" si="57"/>
        <v>Overweight</v>
      </c>
      <c r="C1253">
        <v>26.41</v>
      </c>
      <c r="D1253" t="str">
        <f t="shared" si="58"/>
        <v>Normal</v>
      </c>
      <c r="E1253">
        <v>4.08</v>
      </c>
      <c r="F1253" t="s">
        <v>2380</v>
      </c>
      <c r="G1253" t="s">
        <v>2380</v>
      </c>
      <c r="H1253" t="s">
        <v>2380</v>
      </c>
      <c r="J1253">
        <v>2</v>
      </c>
      <c r="K1253" t="str">
        <f t="shared" si="59"/>
        <v>No</v>
      </c>
      <c r="L1253" t="s">
        <v>2380</v>
      </c>
    </row>
    <row r="1254" spans="1:12" x14ac:dyDescent="0.35">
      <c r="A1254" t="s">
        <v>1118</v>
      </c>
      <c r="B1254" t="str">
        <f t="shared" si="57"/>
        <v>Obesity</v>
      </c>
      <c r="C1254">
        <v>30.2</v>
      </c>
      <c r="D1254" t="str">
        <f t="shared" si="58"/>
        <v>Prediabetes</v>
      </c>
      <c r="E1254">
        <v>6.25</v>
      </c>
      <c r="F1254" t="s">
        <v>2382</v>
      </c>
      <c r="G1254" t="s">
        <v>2380</v>
      </c>
      <c r="H1254" t="s">
        <v>2380</v>
      </c>
      <c r="J1254" t="s">
        <v>2381</v>
      </c>
      <c r="K1254" t="str">
        <f t="shared" si="59"/>
        <v>No</v>
      </c>
      <c r="L1254" t="s">
        <v>2380</v>
      </c>
    </row>
    <row r="1255" spans="1:12" x14ac:dyDescent="0.35">
      <c r="A1255" t="s">
        <v>1117</v>
      </c>
      <c r="B1255" t="str">
        <f t="shared" si="57"/>
        <v>Obesity</v>
      </c>
      <c r="C1255">
        <v>31.26</v>
      </c>
      <c r="D1255" t="str">
        <f t="shared" si="58"/>
        <v>Prediabetes</v>
      </c>
      <c r="E1255">
        <v>5.94</v>
      </c>
      <c r="F1255" t="s">
        <v>2382</v>
      </c>
      <c r="G1255" t="s">
        <v>2380</v>
      </c>
      <c r="H1255" t="s">
        <v>2380</v>
      </c>
      <c r="J1255">
        <v>1</v>
      </c>
      <c r="K1255" t="str">
        <f t="shared" si="59"/>
        <v>No</v>
      </c>
      <c r="L1255" t="s">
        <v>2380</v>
      </c>
    </row>
    <row r="1256" spans="1:12" x14ac:dyDescent="0.35">
      <c r="A1256" t="s">
        <v>1116</v>
      </c>
      <c r="B1256" t="str">
        <f t="shared" si="57"/>
        <v>Obesity</v>
      </c>
      <c r="C1256">
        <v>33.725000000000001</v>
      </c>
      <c r="D1256" t="e">
        <f t="shared" si="58"/>
        <v>#N/A</v>
      </c>
      <c r="E1256">
        <v>6.45</v>
      </c>
      <c r="F1256" t="s">
        <v>2382</v>
      </c>
      <c r="G1256" t="s">
        <v>2380</v>
      </c>
      <c r="H1256" t="s">
        <v>2380</v>
      </c>
      <c r="J1256" t="s">
        <v>2381</v>
      </c>
      <c r="K1256" t="str">
        <f t="shared" si="59"/>
        <v>No</v>
      </c>
      <c r="L1256" t="s">
        <v>2380</v>
      </c>
    </row>
    <row r="1257" spans="1:12" x14ac:dyDescent="0.35">
      <c r="A1257" t="s">
        <v>1115</v>
      </c>
      <c r="B1257" t="str">
        <f t="shared" si="57"/>
        <v>Overweight</v>
      </c>
      <c r="C1257">
        <v>28.9</v>
      </c>
      <c r="D1257" t="str">
        <f t="shared" si="58"/>
        <v>Prediabetes</v>
      </c>
      <c r="E1257">
        <v>5.74</v>
      </c>
      <c r="F1257" t="s">
        <v>2382</v>
      </c>
      <c r="G1257" t="s">
        <v>2380</v>
      </c>
      <c r="H1257" t="s">
        <v>2380</v>
      </c>
      <c r="J1257" t="s">
        <v>2381</v>
      </c>
      <c r="K1257" t="str">
        <f t="shared" si="59"/>
        <v>No</v>
      </c>
      <c r="L1257" t="s">
        <v>2380</v>
      </c>
    </row>
    <row r="1258" spans="1:12" x14ac:dyDescent="0.35">
      <c r="A1258" t="s">
        <v>1114</v>
      </c>
      <c r="B1258" t="str">
        <f t="shared" si="57"/>
        <v>Obesity</v>
      </c>
      <c r="C1258">
        <v>45.69</v>
      </c>
      <c r="D1258" t="str">
        <f t="shared" si="58"/>
        <v>Normal</v>
      </c>
      <c r="E1258">
        <v>4.43</v>
      </c>
      <c r="F1258" t="s">
        <v>2382</v>
      </c>
      <c r="G1258" t="s">
        <v>2380</v>
      </c>
      <c r="H1258" t="s">
        <v>2380</v>
      </c>
      <c r="J1258" t="s">
        <v>2381</v>
      </c>
      <c r="K1258" t="str">
        <f t="shared" si="59"/>
        <v>No</v>
      </c>
      <c r="L1258" t="s">
        <v>2380</v>
      </c>
    </row>
    <row r="1259" spans="1:12" x14ac:dyDescent="0.35">
      <c r="A1259" t="s">
        <v>1113</v>
      </c>
      <c r="B1259" t="str">
        <f t="shared" si="57"/>
        <v>Normal Weight</v>
      </c>
      <c r="C1259">
        <v>21.03</v>
      </c>
      <c r="D1259" t="str">
        <f t="shared" si="58"/>
        <v>Diabetes</v>
      </c>
      <c r="E1259">
        <v>6.5</v>
      </c>
      <c r="F1259" t="s">
        <v>2380</v>
      </c>
      <c r="G1259" t="s">
        <v>2380</v>
      </c>
      <c r="H1259" t="s">
        <v>2380</v>
      </c>
      <c r="J1259" t="s">
        <v>2381</v>
      </c>
      <c r="K1259" t="str">
        <f t="shared" si="59"/>
        <v>No</v>
      </c>
      <c r="L1259" t="s">
        <v>2380</v>
      </c>
    </row>
    <row r="1260" spans="1:12" x14ac:dyDescent="0.35">
      <c r="A1260" t="s">
        <v>1112</v>
      </c>
      <c r="B1260" t="str">
        <f t="shared" si="57"/>
        <v>Obesity</v>
      </c>
      <c r="C1260">
        <v>37</v>
      </c>
      <c r="D1260" t="str">
        <f t="shared" si="58"/>
        <v>Diabetes</v>
      </c>
      <c r="E1260">
        <v>8.75</v>
      </c>
      <c r="F1260" t="s">
        <v>2380</v>
      </c>
      <c r="G1260" t="s">
        <v>2380</v>
      </c>
      <c r="H1260" t="s">
        <v>2380</v>
      </c>
      <c r="J1260" t="s">
        <v>2381</v>
      </c>
      <c r="K1260" t="str">
        <f t="shared" si="59"/>
        <v>No</v>
      </c>
      <c r="L1260" t="s">
        <v>2380</v>
      </c>
    </row>
    <row r="1261" spans="1:12" x14ac:dyDescent="0.35">
      <c r="A1261" t="s">
        <v>1111</v>
      </c>
      <c r="B1261" t="str">
        <f t="shared" si="57"/>
        <v>Overweight</v>
      </c>
      <c r="C1261">
        <v>25.4</v>
      </c>
      <c r="D1261" t="str">
        <f t="shared" si="58"/>
        <v>Diabetes</v>
      </c>
      <c r="E1261">
        <v>11.96</v>
      </c>
      <c r="F1261" t="s">
        <v>2380</v>
      </c>
      <c r="G1261" t="s">
        <v>2380</v>
      </c>
      <c r="H1261" t="s">
        <v>2380</v>
      </c>
      <c r="J1261" t="s">
        <v>2381</v>
      </c>
      <c r="K1261" t="str">
        <f t="shared" si="59"/>
        <v>No</v>
      </c>
      <c r="L1261" t="s">
        <v>2380</v>
      </c>
    </row>
    <row r="1262" spans="1:12" x14ac:dyDescent="0.35">
      <c r="A1262" t="s">
        <v>1110</v>
      </c>
      <c r="B1262" t="str">
        <f t="shared" si="57"/>
        <v>Obesity</v>
      </c>
      <c r="C1262">
        <v>32.299999999999997</v>
      </c>
      <c r="D1262" t="str">
        <f t="shared" si="58"/>
        <v>Diabetes</v>
      </c>
      <c r="E1262">
        <v>10.54</v>
      </c>
      <c r="F1262" t="s">
        <v>2380</v>
      </c>
      <c r="G1262" t="s">
        <v>2380</v>
      </c>
      <c r="H1262" t="s">
        <v>2380</v>
      </c>
      <c r="J1262" t="s">
        <v>2381</v>
      </c>
      <c r="K1262" t="str">
        <f t="shared" si="59"/>
        <v>No</v>
      </c>
      <c r="L1262" t="s">
        <v>2380</v>
      </c>
    </row>
    <row r="1263" spans="1:12" x14ac:dyDescent="0.35">
      <c r="A1263" t="s">
        <v>1109</v>
      </c>
      <c r="B1263" t="str">
        <f t="shared" si="57"/>
        <v>Normal Weight</v>
      </c>
      <c r="C1263">
        <v>23.94</v>
      </c>
      <c r="D1263" t="str">
        <f t="shared" si="58"/>
        <v>Normal</v>
      </c>
      <c r="E1263">
        <v>4.54</v>
      </c>
      <c r="F1263" t="s">
        <v>2382</v>
      </c>
      <c r="G1263" t="s">
        <v>2380</v>
      </c>
      <c r="H1263" t="s">
        <v>2383</v>
      </c>
      <c r="J1263">
        <v>1</v>
      </c>
      <c r="K1263" t="str">
        <f t="shared" si="59"/>
        <v>No</v>
      </c>
      <c r="L1263" t="s">
        <v>2380</v>
      </c>
    </row>
    <row r="1264" spans="1:12" x14ac:dyDescent="0.35">
      <c r="A1264" t="s">
        <v>1108</v>
      </c>
      <c r="B1264" t="str">
        <f t="shared" si="57"/>
        <v>Obesity</v>
      </c>
      <c r="C1264">
        <v>46.4</v>
      </c>
      <c r="D1264" t="str">
        <f t="shared" si="58"/>
        <v>Prediabetes</v>
      </c>
      <c r="E1264">
        <v>5.71</v>
      </c>
      <c r="F1264" t="s">
        <v>2380</v>
      </c>
      <c r="G1264" t="s">
        <v>2380</v>
      </c>
      <c r="H1264" t="s">
        <v>2380</v>
      </c>
      <c r="J1264" t="s">
        <v>2381</v>
      </c>
      <c r="K1264" t="str">
        <f t="shared" si="59"/>
        <v>No</v>
      </c>
      <c r="L1264" t="s">
        <v>2380</v>
      </c>
    </row>
    <row r="1265" spans="1:12" x14ac:dyDescent="0.35">
      <c r="A1265" t="s">
        <v>1107</v>
      </c>
      <c r="B1265" t="str">
        <f t="shared" si="57"/>
        <v>Obesity</v>
      </c>
      <c r="C1265">
        <v>40.375</v>
      </c>
      <c r="D1265" t="str">
        <f t="shared" si="58"/>
        <v>Prediabetes</v>
      </c>
      <c r="E1265">
        <v>6.25</v>
      </c>
      <c r="F1265" t="s">
        <v>2382</v>
      </c>
      <c r="G1265" t="s">
        <v>2380</v>
      </c>
      <c r="H1265" t="s">
        <v>2380</v>
      </c>
      <c r="J1265" t="s">
        <v>2381</v>
      </c>
      <c r="K1265" t="str">
        <f t="shared" si="59"/>
        <v>No</v>
      </c>
      <c r="L1265" t="s">
        <v>2380</v>
      </c>
    </row>
    <row r="1266" spans="1:12" x14ac:dyDescent="0.35">
      <c r="A1266" t="s">
        <v>1106</v>
      </c>
      <c r="B1266" t="str">
        <f t="shared" si="57"/>
        <v>Overweight</v>
      </c>
      <c r="C1266">
        <v>28.7</v>
      </c>
      <c r="D1266" t="str">
        <f t="shared" si="58"/>
        <v>Diabetes</v>
      </c>
      <c r="E1266">
        <v>9.4700000000000006</v>
      </c>
      <c r="F1266" t="s">
        <v>2380</v>
      </c>
      <c r="G1266" t="s">
        <v>2380</v>
      </c>
      <c r="H1266" t="s">
        <v>2380</v>
      </c>
      <c r="J1266">
        <v>2</v>
      </c>
      <c r="K1266" t="str">
        <f t="shared" si="59"/>
        <v>No</v>
      </c>
      <c r="L1266" t="s">
        <v>2380</v>
      </c>
    </row>
    <row r="1267" spans="1:12" x14ac:dyDescent="0.35">
      <c r="A1267" t="s">
        <v>1105</v>
      </c>
      <c r="B1267" t="str">
        <f t="shared" si="57"/>
        <v>Overweight</v>
      </c>
      <c r="C1267">
        <v>26.63</v>
      </c>
      <c r="D1267" t="str">
        <f t="shared" si="58"/>
        <v>Prediabetes</v>
      </c>
      <c r="E1267">
        <v>5.7</v>
      </c>
      <c r="F1267" t="s">
        <v>2380</v>
      </c>
      <c r="G1267" t="s">
        <v>2380</v>
      </c>
      <c r="H1267" t="s">
        <v>2380</v>
      </c>
      <c r="J1267" t="s">
        <v>2381</v>
      </c>
      <c r="K1267" t="str">
        <f t="shared" si="59"/>
        <v>No</v>
      </c>
      <c r="L1267" t="s">
        <v>2380</v>
      </c>
    </row>
    <row r="1268" spans="1:12" x14ac:dyDescent="0.35">
      <c r="A1268" t="s">
        <v>1104</v>
      </c>
      <c r="B1268" t="str">
        <f t="shared" si="57"/>
        <v>Normal Weight</v>
      </c>
      <c r="C1268">
        <v>22.515000000000001</v>
      </c>
      <c r="D1268" t="str">
        <f t="shared" si="58"/>
        <v>Diabetes</v>
      </c>
      <c r="E1268">
        <v>11.18</v>
      </c>
      <c r="F1268" t="s">
        <v>2380</v>
      </c>
      <c r="G1268" t="s">
        <v>2380</v>
      </c>
      <c r="H1268" t="s">
        <v>2380</v>
      </c>
      <c r="J1268">
        <v>2</v>
      </c>
      <c r="K1268" t="str">
        <f t="shared" si="59"/>
        <v>No</v>
      </c>
      <c r="L1268" t="s">
        <v>2380</v>
      </c>
    </row>
    <row r="1269" spans="1:12" x14ac:dyDescent="0.35">
      <c r="A1269" t="s">
        <v>1103</v>
      </c>
      <c r="B1269" t="str">
        <f t="shared" si="57"/>
        <v>Obesity</v>
      </c>
      <c r="C1269">
        <v>36.575000000000003</v>
      </c>
      <c r="D1269" t="str">
        <f t="shared" si="58"/>
        <v>Diabetes</v>
      </c>
      <c r="E1269">
        <v>10.98</v>
      </c>
      <c r="F1269" t="s">
        <v>2380</v>
      </c>
      <c r="G1269" t="s">
        <v>2380</v>
      </c>
      <c r="H1269" t="s">
        <v>2380</v>
      </c>
      <c r="J1269" t="s">
        <v>2381</v>
      </c>
      <c r="K1269" t="str">
        <f t="shared" si="59"/>
        <v>No</v>
      </c>
      <c r="L1269" t="s">
        <v>2380</v>
      </c>
    </row>
    <row r="1270" spans="1:12" x14ac:dyDescent="0.35">
      <c r="A1270" t="s">
        <v>1102</v>
      </c>
      <c r="B1270" t="str">
        <f t="shared" si="57"/>
        <v>Normal Weight</v>
      </c>
      <c r="C1270">
        <v>23.66</v>
      </c>
      <c r="D1270" t="str">
        <f t="shared" si="58"/>
        <v>Normal</v>
      </c>
      <c r="E1270">
        <v>5.1100000000000003</v>
      </c>
      <c r="F1270" t="s">
        <v>2382</v>
      </c>
      <c r="G1270" t="s">
        <v>2380</v>
      </c>
      <c r="H1270" t="s">
        <v>2383</v>
      </c>
      <c r="J1270">
        <v>1</v>
      </c>
      <c r="K1270" t="str">
        <f t="shared" si="59"/>
        <v>No</v>
      </c>
      <c r="L1270" t="s">
        <v>2380</v>
      </c>
    </row>
    <row r="1271" spans="1:12" x14ac:dyDescent="0.35">
      <c r="A1271" t="s">
        <v>1101</v>
      </c>
      <c r="B1271" t="str">
        <f t="shared" si="57"/>
        <v>Normal Weight</v>
      </c>
      <c r="C1271">
        <v>18.62</v>
      </c>
      <c r="D1271" t="str">
        <f t="shared" si="58"/>
        <v>Diabetes</v>
      </c>
      <c r="E1271">
        <v>10.24</v>
      </c>
      <c r="F1271" t="s">
        <v>2380</v>
      </c>
      <c r="G1271" t="s">
        <v>2380</v>
      </c>
      <c r="H1271" t="s">
        <v>2380</v>
      </c>
      <c r="J1271" t="s">
        <v>2381</v>
      </c>
      <c r="K1271" t="str">
        <f t="shared" si="59"/>
        <v>No</v>
      </c>
      <c r="L1271" t="s">
        <v>2380</v>
      </c>
    </row>
    <row r="1272" spans="1:12" x14ac:dyDescent="0.35">
      <c r="A1272" t="s">
        <v>1100</v>
      </c>
      <c r="B1272" t="str">
        <f t="shared" si="57"/>
        <v>Normal Weight</v>
      </c>
      <c r="C1272">
        <v>19.190000000000001</v>
      </c>
      <c r="D1272" t="str">
        <f t="shared" si="58"/>
        <v>Diabetes</v>
      </c>
      <c r="E1272">
        <v>7.71</v>
      </c>
      <c r="F1272" t="s">
        <v>2382</v>
      </c>
      <c r="G1272" t="s">
        <v>2380</v>
      </c>
      <c r="H1272" t="s">
        <v>2380</v>
      </c>
      <c r="J1272">
        <v>1</v>
      </c>
      <c r="K1272" t="str">
        <f t="shared" si="59"/>
        <v>No</v>
      </c>
      <c r="L1272" t="s">
        <v>2380</v>
      </c>
    </row>
    <row r="1273" spans="1:12" x14ac:dyDescent="0.35">
      <c r="A1273" t="s">
        <v>1099</v>
      </c>
      <c r="B1273" t="str">
        <f t="shared" si="57"/>
        <v>Overweight</v>
      </c>
      <c r="C1273">
        <v>27.5</v>
      </c>
      <c r="D1273" t="str">
        <f t="shared" si="58"/>
        <v>Prediabetes</v>
      </c>
      <c r="E1273">
        <v>6.03</v>
      </c>
      <c r="F1273" t="s">
        <v>2380</v>
      </c>
      <c r="G1273" t="s">
        <v>2380</v>
      </c>
      <c r="H1273" t="s">
        <v>2380</v>
      </c>
      <c r="J1273" t="s">
        <v>2381</v>
      </c>
      <c r="K1273" t="str">
        <f t="shared" si="59"/>
        <v>No</v>
      </c>
      <c r="L1273" t="s">
        <v>2380</v>
      </c>
    </row>
    <row r="1274" spans="1:12" x14ac:dyDescent="0.35">
      <c r="A1274" t="s">
        <v>1098</v>
      </c>
      <c r="B1274" t="str">
        <f t="shared" si="57"/>
        <v>Overweight</v>
      </c>
      <c r="C1274">
        <v>27.36</v>
      </c>
      <c r="D1274" t="str">
        <f t="shared" si="58"/>
        <v>Prediabetes</v>
      </c>
      <c r="E1274">
        <v>5.96</v>
      </c>
      <c r="F1274" t="s">
        <v>2380</v>
      </c>
      <c r="G1274" t="s">
        <v>2380</v>
      </c>
      <c r="H1274" t="s">
        <v>2383</v>
      </c>
      <c r="J1274">
        <v>1</v>
      </c>
      <c r="K1274" t="str">
        <f t="shared" si="59"/>
        <v>No</v>
      </c>
      <c r="L1274" t="s">
        <v>2380</v>
      </c>
    </row>
    <row r="1275" spans="1:12" x14ac:dyDescent="0.35">
      <c r="A1275" t="s">
        <v>1097</v>
      </c>
      <c r="B1275" t="str">
        <f t="shared" si="57"/>
        <v>Normal Weight</v>
      </c>
      <c r="C1275">
        <v>20.350000000000001</v>
      </c>
      <c r="D1275" t="str">
        <f t="shared" si="58"/>
        <v>Normal</v>
      </c>
      <c r="E1275">
        <v>4.16</v>
      </c>
      <c r="F1275" t="s">
        <v>2380</v>
      </c>
      <c r="G1275" t="s">
        <v>2380</v>
      </c>
      <c r="H1275" t="s">
        <v>2380</v>
      </c>
      <c r="J1275" t="s">
        <v>2381</v>
      </c>
      <c r="K1275" t="str">
        <f t="shared" si="59"/>
        <v>No</v>
      </c>
      <c r="L1275" t="s">
        <v>2380</v>
      </c>
    </row>
    <row r="1276" spans="1:12" x14ac:dyDescent="0.35">
      <c r="A1276" t="s">
        <v>1096</v>
      </c>
      <c r="B1276" t="str">
        <f t="shared" si="57"/>
        <v>Normal Weight</v>
      </c>
      <c r="C1276">
        <v>24.035</v>
      </c>
      <c r="D1276" t="str">
        <f t="shared" si="58"/>
        <v>Prediabetes</v>
      </c>
      <c r="E1276">
        <v>6.11</v>
      </c>
      <c r="F1276" t="s">
        <v>2380</v>
      </c>
      <c r="G1276" t="s">
        <v>2380</v>
      </c>
      <c r="H1276" t="s">
        <v>2380</v>
      </c>
      <c r="J1276" t="s">
        <v>2381</v>
      </c>
      <c r="K1276" t="str">
        <f t="shared" si="59"/>
        <v>No</v>
      </c>
      <c r="L1276" t="s">
        <v>2380</v>
      </c>
    </row>
    <row r="1277" spans="1:12" x14ac:dyDescent="0.35">
      <c r="A1277" t="s">
        <v>1095</v>
      </c>
      <c r="B1277" t="str">
        <f t="shared" si="57"/>
        <v>Normal Weight</v>
      </c>
      <c r="C1277">
        <v>23.56</v>
      </c>
      <c r="D1277" t="str">
        <f t="shared" si="58"/>
        <v>Prediabetes</v>
      </c>
      <c r="E1277">
        <v>5.97</v>
      </c>
      <c r="F1277" t="s">
        <v>2380</v>
      </c>
      <c r="G1277" t="s">
        <v>2380</v>
      </c>
      <c r="H1277" t="s">
        <v>2380</v>
      </c>
      <c r="J1277" t="s">
        <v>2381</v>
      </c>
      <c r="K1277" t="str">
        <f t="shared" si="59"/>
        <v>No</v>
      </c>
      <c r="L1277" t="s">
        <v>2380</v>
      </c>
    </row>
    <row r="1278" spans="1:12" x14ac:dyDescent="0.35">
      <c r="A1278" t="s">
        <v>1094</v>
      </c>
      <c r="B1278" t="str">
        <f t="shared" si="57"/>
        <v>Overweight</v>
      </c>
      <c r="C1278">
        <v>27.17</v>
      </c>
      <c r="D1278" t="str">
        <f t="shared" si="58"/>
        <v>Diabetes</v>
      </c>
      <c r="E1278">
        <v>10.81</v>
      </c>
      <c r="F1278" t="s">
        <v>2380</v>
      </c>
      <c r="G1278" t="s">
        <v>2380</v>
      </c>
      <c r="H1278" t="s">
        <v>2380</v>
      </c>
      <c r="J1278">
        <v>2</v>
      </c>
      <c r="K1278" t="str">
        <f t="shared" si="59"/>
        <v>No</v>
      </c>
      <c r="L1278" t="s">
        <v>2380</v>
      </c>
    </row>
    <row r="1279" spans="1:12" x14ac:dyDescent="0.35">
      <c r="A1279" t="s">
        <v>1093</v>
      </c>
      <c r="B1279" t="str">
        <f t="shared" si="57"/>
        <v>Obesity</v>
      </c>
      <c r="C1279">
        <v>34.32</v>
      </c>
      <c r="D1279" t="str">
        <f t="shared" si="58"/>
        <v>Prediabetes</v>
      </c>
      <c r="E1279">
        <v>5.7</v>
      </c>
      <c r="F1279" t="s">
        <v>2382</v>
      </c>
      <c r="G1279" t="s">
        <v>2380</v>
      </c>
      <c r="H1279" t="s">
        <v>2383</v>
      </c>
      <c r="J1279">
        <v>1</v>
      </c>
      <c r="K1279" t="str">
        <f t="shared" si="59"/>
        <v>No</v>
      </c>
      <c r="L1279" t="s">
        <v>2380</v>
      </c>
    </row>
    <row r="1280" spans="1:12" x14ac:dyDescent="0.35">
      <c r="A1280" t="s">
        <v>1092</v>
      </c>
      <c r="B1280" t="str">
        <f t="shared" si="57"/>
        <v>Normal Weight</v>
      </c>
      <c r="C1280">
        <v>23.87</v>
      </c>
      <c r="D1280" t="str">
        <f t="shared" si="58"/>
        <v>Normal</v>
      </c>
      <c r="E1280">
        <v>4.7699999999999996</v>
      </c>
      <c r="F1280" t="s">
        <v>2382</v>
      </c>
      <c r="G1280" t="s">
        <v>2380</v>
      </c>
      <c r="H1280" t="s">
        <v>2383</v>
      </c>
      <c r="J1280">
        <v>1</v>
      </c>
      <c r="K1280" t="str">
        <f t="shared" si="59"/>
        <v>No</v>
      </c>
      <c r="L1280" t="s">
        <v>2380</v>
      </c>
    </row>
    <row r="1281" spans="1:12" x14ac:dyDescent="0.35">
      <c r="A1281" t="s">
        <v>1091</v>
      </c>
      <c r="B1281" t="str">
        <f t="shared" si="57"/>
        <v>Obesity</v>
      </c>
      <c r="C1281">
        <v>30.15</v>
      </c>
      <c r="D1281" t="str">
        <f t="shared" si="58"/>
        <v>Normal</v>
      </c>
      <c r="E1281">
        <v>4.25</v>
      </c>
      <c r="F1281" t="s">
        <v>2380</v>
      </c>
      <c r="G1281" t="s">
        <v>2380</v>
      </c>
      <c r="H1281" t="s">
        <v>2380</v>
      </c>
      <c r="J1281">
        <v>1</v>
      </c>
      <c r="K1281" t="str">
        <f t="shared" si="59"/>
        <v>No</v>
      </c>
      <c r="L1281" t="s">
        <v>2380</v>
      </c>
    </row>
    <row r="1282" spans="1:12" x14ac:dyDescent="0.35">
      <c r="A1282" t="s">
        <v>1090</v>
      </c>
      <c r="B1282" t="str">
        <f t="shared" si="57"/>
        <v>Overweight</v>
      </c>
      <c r="C1282">
        <v>26.36</v>
      </c>
      <c r="D1282" t="str">
        <f t="shared" si="58"/>
        <v>Normal</v>
      </c>
      <c r="E1282">
        <v>5.52</v>
      </c>
      <c r="F1282" t="s">
        <v>2380</v>
      </c>
      <c r="G1282" t="s">
        <v>2380</v>
      </c>
      <c r="H1282" t="s">
        <v>2380</v>
      </c>
      <c r="J1282" t="s">
        <v>2381</v>
      </c>
      <c r="K1282" t="str">
        <f t="shared" si="59"/>
        <v>No</v>
      </c>
      <c r="L1282" t="s">
        <v>2380</v>
      </c>
    </row>
    <row r="1283" spans="1:12" x14ac:dyDescent="0.35">
      <c r="A1283" t="s">
        <v>1089</v>
      </c>
      <c r="B1283" t="str">
        <f t="shared" ref="B1283:B1346" si="60">_xlfn.IFS(C1283&lt;18.5, "Underweight", C1283&lt;=24.9, "Normal Weight", C1283&lt;=29.9, "Overweight", C1283&gt;=30, "Obesity")</f>
        <v>Obesity</v>
      </c>
      <c r="C1283">
        <v>45.32</v>
      </c>
      <c r="D1283" t="str">
        <f t="shared" ref="D1283:D1346" si="61">_xlfn.IFS(E1283&lt;5.7, "Normal", E1283&lt;=6.4, "Prediabetes", E1283&gt;=6.5, "Diabetes")</f>
        <v>Diabetes</v>
      </c>
      <c r="E1283">
        <v>6.53</v>
      </c>
      <c r="F1283" t="s">
        <v>2382</v>
      </c>
      <c r="G1283" t="s">
        <v>2380</v>
      </c>
      <c r="H1283" t="s">
        <v>2380</v>
      </c>
      <c r="J1283">
        <v>1</v>
      </c>
      <c r="K1283" t="str">
        <f t="shared" si="59"/>
        <v>No</v>
      </c>
      <c r="L1283" t="s">
        <v>2380</v>
      </c>
    </row>
    <row r="1284" spans="1:12" x14ac:dyDescent="0.35">
      <c r="A1284" t="s">
        <v>1088</v>
      </c>
      <c r="B1284" t="str">
        <f t="shared" si="60"/>
        <v>Obesity</v>
      </c>
      <c r="C1284">
        <v>31.93</v>
      </c>
      <c r="D1284" t="str">
        <f t="shared" si="61"/>
        <v>Normal</v>
      </c>
      <c r="E1284">
        <v>4.82</v>
      </c>
      <c r="F1284" t="s">
        <v>2382</v>
      </c>
      <c r="G1284" t="s">
        <v>2380</v>
      </c>
      <c r="H1284" t="s">
        <v>2380</v>
      </c>
      <c r="J1284">
        <v>1</v>
      </c>
      <c r="K1284" t="str">
        <f t="shared" ref="K1284:K1347" si="62">IF(OR(L1284="?", ISBLANK(L1284)), "No", L1284)</f>
        <v>No</v>
      </c>
      <c r="L1284" t="s">
        <v>2380</v>
      </c>
    </row>
    <row r="1285" spans="1:12" x14ac:dyDescent="0.35">
      <c r="A1285" t="s">
        <v>1087</v>
      </c>
      <c r="B1285" t="str">
        <f t="shared" si="60"/>
        <v>Obesity</v>
      </c>
      <c r="C1285">
        <v>36</v>
      </c>
      <c r="D1285" t="str">
        <f t="shared" si="61"/>
        <v>Diabetes</v>
      </c>
      <c r="E1285">
        <v>11.94</v>
      </c>
      <c r="F1285" t="s">
        <v>2382</v>
      </c>
      <c r="G1285" t="s">
        <v>2380</v>
      </c>
      <c r="H1285" t="s">
        <v>2380</v>
      </c>
      <c r="J1285">
        <v>1</v>
      </c>
      <c r="K1285" t="str">
        <f t="shared" si="62"/>
        <v>No</v>
      </c>
      <c r="L1285" t="s">
        <v>2380</v>
      </c>
    </row>
    <row r="1286" spans="1:12" x14ac:dyDescent="0.35">
      <c r="A1286" t="s">
        <v>1086</v>
      </c>
      <c r="B1286" t="str">
        <f t="shared" si="60"/>
        <v>Obesity</v>
      </c>
      <c r="C1286">
        <v>32</v>
      </c>
      <c r="D1286" t="str">
        <f t="shared" si="61"/>
        <v>Diabetes</v>
      </c>
      <c r="E1286">
        <v>7.85</v>
      </c>
      <c r="F1286" t="s">
        <v>2382</v>
      </c>
      <c r="G1286" t="s">
        <v>2380</v>
      </c>
      <c r="H1286" t="s">
        <v>2380</v>
      </c>
      <c r="J1286">
        <v>1</v>
      </c>
      <c r="K1286" t="str">
        <f t="shared" si="62"/>
        <v>No</v>
      </c>
      <c r="L1286" t="s">
        <v>2380</v>
      </c>
    </row>
    <row r="1287" spans="1:12" x14ac:dyDescent="0.35">
      <c r="A1287" t="s">
        <v>1085</v>
      </c>
      <c r="B1287" t="str">
        <f t="shared" si="60"/>
        <v>Overweight</v>
      </c>
      <c r="C1287">
        <v>29.37</v>
      </c>
      <c r="D1287" t="str">
        <f t="shared" si="61"/>
        <v>Diabetes</v>
      </c>
      <c r="E1287">
        <v>8.01</v>
      </c>
      <c r="F1287" t="s">
        <v>2382</v>
      </c>
      <c r="G1287" t="s">
        <v>2380</v>
      </c>
      <c r="H1287" t="s">
        <v>2380</v>
      </c>
      <c r="J1287">
        <v>1</v>
      </c>
      <c r="K1287" t="str">
        <f t="shared" si="62"/>
        <v>No</v>
      </c>
      <c r="L1287" t="s">
        <v>2380</v>
      </c>
    </row>
    <row r="1288" spans="1:12" x14ac:dyDescent="0.35">
      <c r="A1288" t="s">
        <v>1084</v>
      </c>
      <c r="B1288" t="str">
        <f t="shared" si="60"/>
        <v>Normal Weight</v>
      </c>
      <c r="C1288">
        <v>23.6</v>
      </c>
      <c r="D1288" t="str">
        <f t="shared" si="61"/>
        <v>Diabetes</v>
      </c>
      <c r="E1288">
        <v>7.4</v>
      </c>
      <c r="F1288" t="s">
        <v>2382</v>
      </c>
      <c r="G1288" t="s">
        <v>2380</v>
      </c>
      <c r="H1288" t="s">
        <v>2380</v>
      </c>
      <c r="J1288">
        <v>1</v>
      </c>
      <c r="K1288" t="str">
        <f t="shared" si="62"/>
        <v>No</v>
      </c>
      <c r="L1288" t="s">
        <v>2380</v>
      </c>
    </row>
    <row r="1289" spans="1:12" x14ac:dyDescent="0.35">
      <c r="A1289" t="s">
        <v>1083</v>
      </c>
      <c r="B1289" t="str">
        <f t="shared" si="60"/>
        <v>Obesity</v>
      </c>
      <c r="C1289">
        <v>33.155000000000001</v>
      </c>
      <c r="D1289" t="str">
        <f t="shared" si="61"/>
        <v>Diabetes</v>
      </c>
      <c r="E1289">
        <v>8.3800000000000008</v>
      </c>
      <c r="F1289" t="s">
        <v>2382</v>
      </c>
      <c r="G1289" t="s">
        <v>2380</v>
      </c>
      <c r="H1289" t="s">
        <v>2380</v>
      </c>
      <c r="J1289" t="s">
        <v>2381</v>
      </c>
      <c r="K1289" t="str">
        <f t="shared" si="62"/>
        <v>No</v>
      </c>
      <c r="L1289" t="s">
        <v>2380</v>
      </c>
    </row>
    <row r="1290" spans="1:12" x14ac:dyDescent="0.35">
      <c r="A1290" t="s">
        <v>1082</v>
      </c>
      <c r="B1290" t="str">
        <f t="shared" si="60"/>
        <v>Normal Weight</v>
      </c>
      <c r="C1290">
        <v>24.32</v>
      </c>
      <c r="D1290" t="str">
        <f t="shared" si="61"/>
        <v>Diabetes</v>
      </c>
      <c r="E1290">
        <v>11.56</v>
      </c>
      <c r="F1290" t="s">
        <v>2382</v>
      </c>
      <c r="G1290" t="s">
        <v>2380</v>
      </c>
      <c r="H1290" t="s">
        <v>2380</v>
      </c>
      <c r="J1290">
        <v>1</v>
      </c>
      <c r="K1290" t="str">
        <f t="shared" si="62"/>
        <v>No</v>
      </c>
      <c r="L1290" t="s">
        <v>2380</v>
      </c>
    </row>
    <row r="1291" spans="1:12" x14ac:dyDescent="0.35">
      <c r="A1291" t="s">
        <v>1081</v>
      </c>
      <c r="B1291" t="str">
        <f t="shared" si="60"/>
        <v>Obesity</v>
      </c>
      <c r="C1291">
        <v>36.299999999999997</v>
      </c>
      <c r="D1291" t="str">
        <f t="shared" si="61"/>
        <v>Normal</v>
      </c>
      <c r="E1291">
        <v>4.6100000000000003</v>
      </c>
      <c r="F1291" t="s">
        <v>2380</v>
      </c>
      <c r="G1291" t="s">
        <v>2380</v>
      </c>
      <c r="H1291" t="s">
        <v>2380</v>
      </c>
      <c r="J1291" t="s">
        <v>2381</v>
      </c>
      <c r="K1291" t="str">
        <f t="shared" si="62"/>
        <v>No</v>
      </c>
      <c r="L1291" t="s">
        <v>2380</v>
      </c>
    </row>
    <row r="1292" spans="1:12" x14ac:dyDescent="0.35">
      <c r="A1292" t="s">
        <v>1080</v>
      </c>
      <c r="B1292" t="str">
        <f t="shared" si="60"/>
        <v>Obesity</v>
      </c>
      <c r="C1292">
        <v>34.4</v>
      </c>
      <c r="D1292" t="str">
        <f t="shared" si="61"/>
        <v>Normal</v>
      </c>
      <c r="E1292">
        <v>4.95</v>
      </c>
      <c r="F1292" t="s">
        <v>2380</v>
      </c>
      <c r="G1292" t="s">
        <v>2380</v>
      </c>
      <c r="H1292" t="s">
        <v>2383</v>
      </c>
      <c r="J1292">
        <v>1</v>
      </c>
      <c r="K1292" t="str">
        <f t="shared" si="62"/>
        <v>No</v>
      </c>
      <c r="L1292" t="s">
        <v>2380</v>
      </c>
    </row>
    <row r="1293" spans="1:12" x14ac:dyDescent="0.35">
      <c r="A1293" t="s">
        <v>1079</v>
      </c>
      <c r="B1293" t="str">
        <f t="shared" si="60"/>
        <v>Obesity</v>
      </c>
      <c r="C1293">
        <v>30.9</v>
      </c>
      <c r="D1293" t="str">
        <f t="shared" si="61"/>
        <v>Normal</v>
      </c>
      <c r="E1293">
        <v>5.04</v>
      </c>
      <c r="F1293" t="s">
        <v>2380</v>
      </c>
      <c r="G1293" t="s">
        <v>2380</v>
      </c>
      <c r="H1293" t="s">
        <v>2380</v>
      </c>
      <c r="J1293" t="s">
        <v>2381</v>
      </c>
      <c r="K1293" t="str">
        <f t="shared" si="62"/>
        <v>No</v>
      </c>
      <c r="L1293" t="s">
        <v>2380</v>
      </c>
    </row>
    <row r="1294" spans="1:12" x14ac:dyDescent="0.35">
      <c r="A1294" t="s">
        <v>1078</v>
      </c>
      <c r="B1294" t="str">
        <f t="shared" si="60"/>
        <v>Overweight</v>
      </c>
      <c r="C1294">
        <v>28.6</v>
      </c>
      <c r="D1294" t="str">
        <f t="shared" si="61"/>
        <v>Normal</v>
      </c>
      <c r="E1294">
        <v>5.42</v>
      </c>
      <c r="F1294" t="s">
        <v>2380</v>
      </c>
      <c r="G1294" t="s">
        <v>2380</v>
      </c>
      <c r="H1294" t="s">
        <v>2380</v>
      </c>
      <c r="J1294" t="s">
        <v>2381</v>
      </c>
      <c r="K1294" t="str">
        <f t="shared" si="62"/>
        <v>No</v>
      </c>
      <c r="L1294" t="s">
        <v>2380</v>
      </c>
    </row>
    <row r="1295" spans="1:12" x14ac:dyDescent="0.35">
      <c r="A1295" t="s">
        <v>1077</v>
      </c>
      <c r="B1295" t="str">
        <f t="shared" si="60"/>
        <v>Overweight</v>
      </c>
      <c r="C1295">
        <v>27.83</v>
      </c>
      <c r="D1295" t="str">
        <f t="shared" si="61"/>
        <v>Normal</v>
      </c>
      <c r="E1295">
        <v>5.39</v>
      </c>
      <c r="F1295" t="s">
        <v>2380</v>
      </c>
      <c r="G1295" t="s">
        <v>2380</v>
      </c>
      <c r="H1295" t="s">
        <v>2380</v>
      </c>
      <c r="J1295" t="s">
        <v>2381</v>
      </c>
      <c r="K1295" t="str">
        <f t="shared" si="62"/>
        <v>No</v>
      </c>
      <c r="L1295" t="s">
        <v>2380</v>
      </c>
    </row>
    <row r="1296" spans="1:12" x14ac:dyDescent="0.35">
      <c r="A1296" t="s">
        <v>1076</v>
      </c>
      <c r="B1296" t="str">
        <f t="shared" si="60"/>
        <v>Obesity</v>
      </c>
      <c r="C1296">
        <v>39.64</v>
      </c>
      <c r="D1296" t="str">
        <f t="shared" si="61"/>
        <v>Prediabetes</v>
      </c>
      <c r="E1296">
        <v>6</v>
      </c>
      <c r="F1296" t="s">
        <v>2380</v>
      </c>
      <c r="G1296" t="s">
        <v>2380</v>
      </c>
      <c r="H1296" t="s">
        <v>2383</v>
      </c>
      <c r="J1296">
        <v>1</v>
      </c>
      <c r="K1296" t="str">
        <f t="shared" si="62"/>
        <v>No</v>
      </c>
      <c r="L1296" t="s">
        <v>2380</v>
      </c>
    </row>
    <row r="1297" spans="1:12" x14ac:dyDescent="0.35">
      <c r="A1297" t="s">
        <v>1075</v>
      </c>
      <c r="B1297" t="str">
        <f t="shared" si="60"/>
        <v>Obesity</v>
      </c>
      <c r="C1297">
        <v>38.479999999999997</v>
      </c>
      <c r="D1297" t="str">
        <f t="shared" si="61"/>
        <v>Prediabetes</v>
      </c>
      <c r="E1297">
        <v>6.02</v>
      </c>
      <c r="F1297" t="s">
        <v>2380</v>
      </c>
      <c r="G1297" t="s">
        <v>2380</v>
      </c>
      <c r="H1297" t="s">
        <v>2380</v>
      </c>
      <c r="J1297">
        <v>1</v>
      </c>
      <c r="K1297" t="str">
        <f t="shared" si="62"/>
        <v>No</v>
      </c>
      <c r="L1297" t="s">
        <v>2380</v>
      </c>
    </row>
    <row r="1298" spans="1:12" x14ac:dyDescent="0.35">
      <c r="A1298" t="s">
        <v>1074</v>
      </c>
      <c r="B1298" t="str">
        <f t="shared" si="60"/>
        <v>Obesity</v>
      </c>
      <c r="C1298">
        <v>36.200000000000003</v>
      </c>
      <c r="D1298" t="str">
        <f t="shared" si="61"/>
        <v>Normal</v>
      </c>
      <c r="E1298">
        <v>4.62</v>
      </c>
      <c r="F1298" t="s">
        <v>2380</v>
      </c>
      <c r="G1298" t="s">
        <v>2380</v>
      </c>
      <c r="H1298" t="s">
        <v>2380</v>
      </c>
      <c r="J1298">
        <v>2</v>
      </c>
      <c r="K1298" t="str">
        <f t="shared" si="62"/>
        <v>No</v>
      </c>
      <c r="L1298" t="s">
        <v>2380</v>
      </c>
    </row>
    <row r="1299" spans="1:12" x14ac:dyDescent="0.35">
      <c r="A1299" t="s">
        <v>1073</v>
      </c>
      <c r="B1299" t="str">
        <f t="shared" si="60"/>
        <v>Overweight</v>
      </c>
      <c r="C1299">
        <v>27.13</v>
      </c>
      <c r="D1299" t="str">
        <f t="shared" si="61"/>
        <v>Normal</v>
      </c>
      <c r="E1299">
        <v>5.59</v>
      </c>
      <c r="F1299" t="s">
        <v>2380</v>
      </c>
      <c r="G1299" t="s">
        <v>2380</v>
      </c>
      <c r="H1299" t="s">
        <v>2380</v>
      </c>
      <c r="J1299">
        <v>1</v>
      </c>
      <c r="K1299" t="str">
        <f t="shared" si="62"/>
        <v>No</v>
      </c>
      <c r="L1299" t="s">
        <v>2380</v>
      </c>
    </row>
    <row r="1300" spans="1:12" x14ac:dyDescent="0.35">
      <c r="A1300" t="s">
        <v>1072</v>
      </c>
      <c r="B1300" t="str">
        <f t="shared" si="60"/>
        <v>Normal Weight</v>
      </c>
      <c r="C1300">
        <v>20.75</v>
      </c>
      <c r="D1300" t="str">
        <f t="shared" si="61"/>
        <v>Normal</v>
      </c>
      <c r="E1300">
        <v>5.18</v>
      </c>
      <c r="F1300" t="s">
        <v>2382</v>
      </c>
      <c r="G1300" t="s">
        <v>2380</v>
      </c>
      <c r="H1300" t="s">
        <v>2380</v>
      </c>
      <c r="J1300">
        <v>2</v>
      </c>
      <c r="K1300" t="str">
        <f t="shared" si="62"/>
        <v>No</v>
      </c>
      <c r="L1300" t="s">
        <v>2380</v>
      </c>
    </row>
    <row r="1301" spans="1:12" x14ac:dyDescent="0.35">
      <c r="A1301" t="s">
        <v>1071</v>
      </c>
      <c r="B1301" t="str">
        <f t="shared" si="60"/>
        <v>Overweight</v>
      </c>
      <c r="C1301">
        <v>26.6</v>
      </c>
      <c r="D1301" t="str">
        <f t="shared" si="61"/>
        <v>Prediabetes</v>
      </c>
      <c r="E1301">
        <v>6.29</v>
      </c>
      <c r="F1301" t="s">
        <v>2380</v>
      </c>
      <c r="G1301" t="s">
        <v>2380</v>
      </c>
      <c r="H1301" t="s">
        <v>2380</v>
      </c>
      <c r="J1301">
        <v>2</v>
      </c>
      <c r="K1301" t="str">
        <f t="shared" si="62"/>
        <v>No</v>
      </c>
      <c r="L1301" t="s">
        <v>2380</v>
      </c>
    </row>
    <row r="1302" spans="1:12" x14ac:dyDescent="0.35">
      <c r="A1302" t="s">
        <v>1070</v>
      </c>
      <c r="B1302" t="str">
        <f t="shared" si="60"/>
        <v>Overweight</v>
      </c>
      <c r="C1302">
        <v>25.3</v>
      </c>
      <c r="D1302" t="str">
        <f t="shared" si="61"/>
        <v>Normal</v>
      </c>
      <c r="E1302">
        <v>4.49</v>
      </c>
      <c r="F1302" t="s">
        <v>2380</v>
      </c>
      <c r="G1302" t="s">
        <v>2380</v>
      </c>
      <c r="H1302" t="s">
        <v>2380</v>
      </c>
      <c r="J1302">
        <v>2</v>
      </c>
      <c r="K1302" t="str">
        <f t="shared" si="62"/>
        <v>No</v>
      </c>
      <c r="L1302" t="s">
        <v>2380</v>
      </c>
    </row>
    <row r="1303" spans="1:12" x14ac:dyDescent="0.35">
      <c r="A1303" t="s">
        <v>1069</v>
      </c>
      <c r="B1303" t="str">
        <f t="shared" si="60"/>
        <v>Normal Weight</v>
      </c>
      <c r="C1303">
        <v>18.84</v>
      </c>
      <c r="D1303" t="str">
        <f t="shared" si="61"/>
        <v>Diabetes</v>
      </c>
      <c r="E1303">
        <v>11.82</v>
      </c>
      <c r="F1303" t="s">
        <v>2382</v>
      </c>
      <c r="G1303" t="s">
        <v>2380</v>
      </c>
      <c r="H1303" t="s">
        <v>2383</v>
      </c>
      <c r="J1303">
        <v>1</v>
      </c>
      <c r="K1303" t="str">
        <f t="shared" si="62"/>
        <v>No</v>
      </c>
      <c r="L1303" t="s">
        <v>2380</v>
      </c>
    </row>
    <row r="1304" spans="1:12" x14ac:dyDescent="0.35">
      <c r="A1304" t="s">
        <v>1068</v>
      </c>
      <c r="B1304" t="str">
        <f t="shared" si="60"/>
        <v>Normal Weight</v>
      </c>
      <c r="C1304">
        <v>19.57</v>
      </c>
      <c r="D1304" t="str">
        <f t="shared" si="61"/>
        <v>Diabetes</v>
      </c>
      <c r="E1304">
        <v>7.41</v>
      </c>
      <c r="F1304" t="s">
        <v>2382</v>
      </c>
      <c r="G1304" t="s">
        <v>2380</v>
      </c>
      <c r="H1304" t="s">
        <v>2380</v>
      </c>
      <c r="J1304">
        <v>1</v>
      </c>
      <c r="K1304" t="str">
        <f t="shared" si="62"/>
        <v>No</v>
      </c>
      <c r="L1304" t="s">
        <v>2380</v>
      </c>
    </row>
    <row r="1305" spans="1:12" x14ac:dyDescent="0.35">
      <c r="A1305" t="s">
        <v>1067</v>
      </c>
      <c r="B1305" t="str">
        <f t="shared" si="60"/>
        <v>Obesity</v>
      </c>
      <c r="C1305">
        <v>30.495000000000001</v>
      </c>
      <c r="D1305" t="str">
        <f t="shared" si="61"/>
        <v>Prediabetes</v>
      </c>
      <c r="E1305">
        <v>5.97</v>
      </c>
      <c r="F1305" t="s">
        <v>2380</v>
      </c>
      <c r="G1305" t="s">
        <v>2380</v>
      </c>
      <c r="H1305" t="s">
        <v>2380</v>
      </c>
      <c r="J1305" t="s">
        <v>2381</v>
      </c>
      <c r="K1305" t="str">
        <f t="shared" si="62"/>
        <v>No</v>
      </c>
      <c r="L1305" t="s">
        <v>2380</v>
      </c>
    </row>
    <row r="1306" spans="1:12" x14ac:dyDescent="0.35">
      <c r="A1306" t="s">
        <v>1066</v>
      </c>
      <c r="B1306" t="str">
        <f t="shared" si="60"/>
        <v>Obesity</v>
      </c>
      <c r="C1306">
        <v>30.114999999999998</v>
      </c>
      <c r="D1306" t="str">
        <f t="shared" si="61"/>
        <v>Prediabetes</v>
      </c>
      <c r="E1306">
        <v>5.74</v>
      </c>
      <c r="F1306" t="s">
        <v>2380</v>
      </c>
      <c r="G1306" t="s">
        <v>2380</v>
      </c>
      <c r="H1306" t="s">
        <v>2383</v>
      </c>
      <c r="J1306">
        <v>1</v>
      </c>
      <c r="K1306" t="str">
        <f t="shared" si="62"/>
        <v>No</v>
      </c>
      <c r="L1306" t="s">
        <v>2380</v>
      </c>
    </row>
    <row r="1307" spans="1:12" x14ac:dyDescent="0.35">
      <c r="A1307" t="s">
        <v>1065</v>
      </c>
      <c r="B1307" t="str">
        <f t="shared" si="60"/>
        <v>Normal Weight</v>
      </c>
      <c r="C1307">
        <v>24.78</v>
      </c>
      <c r="D1307" t="str">
        <f t="shared" si="61"/>
        <v>Diabetes</v>
      </c>
      <c r="E1307">
        <v>9.85</v>
      </c>
      <c r="F1307" t="s">
        <v>2380</v>
      </c>
      <c r="G1307" t="s">
        <v>2380</v>
      </c>
      <c r="H1307" t="s">
        <v>2380</v>
      </c>
      <c r="J1307" t="s">
        <v>2381</v>
      </c>
      <c r="K1307" t="str">
        <f t="shared" si="62"/>
        <v>No</v>
      </c>
      <c r="L1307" t="s">
        <v>2380</v>
      </c>
    </row>
    <row r="1308" spans="1:12" x14ac:dyDescent="0.35">
      <c r="A1308" t="s">
        <v>1064</v>
      </c>
      <c r="B1308" t="str">
        <f t="shared" si="60"/>
        <v>Normal Weight</v>
      </c>
      <c r="C1308">
        <v>24.77</v>
      </c>
      <c r="D1308" t="str">
        <f t="shared" si="61"/>
        <v>Diabetes</v>
      </c>
      <c r="E1308">
        <v>7.59</v>
      </c>
      <c r="F1308" t="s">
        <v>2380</v>
      </c>
      <c r="G1308" t="s">
        <v>2380</v>
      </c>
      <c r="H1308" t="s">
        <v>2380</v>
      </c>
      <c r="J1308" t="s">
        <v>2381</v>
      </c>
      <c r="K1308" t="str">
        <f t="shared" si="62"/>
        <v>No</v>
      </c>
      <c r="L1308" t="s">
        <v>2380</v>
      </c>
    </row>
    <row r="1309" spans="1:12" x14ac:dyDescent="0.35">
      <c r="A1309" t="s">
        <v>1063</v>
      </c>
      <c r="B1309" t="str">
        <f t="shared" si="60"/>
        <v>Underweight</v>
      </c>
      <c r="C1309">
        <v>16.579999999999998</v>
      </c>
      <c r="D1309" t="str">
        <f t="shared" si="61"/>
        <v>Diabetes</v>
      </c>
      <c r="E1309">
        <v>6.98</v>
      </c>
      <c r="F1309" t="s">
        <v>2382</v>
      </c>
      <c r="G1309" t="s">
        <v>2380</v>
      </c>
      <c r="H1309" t="s">
        <v>2383</v>
      </c>
      <c r="J1309">
        <v>1</v>
      </c>
      <c r="K1309" t="str">
        <f t="shared" si="62"/>
        <v>No</v>
      </c>
      <c r="L1309" t="s">
        <v>2380</v>
      </c>
    </row>
    <row r="1310" spans="1:12" x14ac:dyDescent="0.35">
      <c r="A1310" t="s">
        <v>1062</v>
      </c>
      <c r="B1310" t="str">
        <f t="shared" si="60"/>
        <v>Obesity</v>
      </c>
      <c r="C1310">
        <v>38.17</v>
      </c>
      <c r="D1310" t="str">
        <f t="shared" si="61"/>
        <v>Normal</v>
      </c>
      <c r="E1310">
        <v>4.7300000000000004</v>
      </c>
      <c r="F1310" t="s">
        <v>2382</v>
      </c>
      <c r="G1310" t="s">
        <v>2380</v>
      </c>
      <c r="H1310" t="s">
        <v>2380</v>
      </c>
      <c r="J1310" t="s">
        <v>2381</v>
      </c>
      <c r="K1310" t="str">
        <f t="shared" si="62"/>
        <v>No</v>
      </c>
      <c r="L1310" t="s">
        <v>2380</v>
      </c>
    </row>
    <row r="1311" spans="1:12" x14ac:dyDescent="0.35">
      <c r="A1311" t="s">
        <v>1061</v>
      </c>
      <c r="B1311" t="str">
        <f t="shared" si="60"/>
        <v>Obesity</v>
      </c>
      <c r="C1311">
        <v>39.424999999999997</v>
      </c>
      <c r="D1311" t="str">
        <f t="shared" si="61"/>
        <v>Normal</v>
      </c>
      <c r="E1311">
        <v>4.76</v>
      </c>
      <c r="F1311" t="s">
        <v>2382</v>
      </c>
      <c r="G1311" t="s">
        <v>2380</v>
      </c>
      <c r="H1311" t="s">
        <v>2380</v>
      </c>
      <c r="J1311" t="s">
        <v>2381</v>
      </c>
      <c r="K1311" t="str">
        <f t="shared" si="62"/>
        <v>No</v>
      </c>
      <c r="L1311" t="s">
        <v>2380</v>
      </c>
    </row>
    <row r="1312" spans="1:12" x14ac:dyDescent="0.35">
      <c r="A1312" t="s">
        <v>1060</v>
      </c>
      <c r="B1312" t="str">
        <f t="shared" si="60"/>
        <v>Obesity</v>
      </c>
      <c r="C1312">
        <v>33.44</v>
      </c>
      <c r="D1312" t="str">
        <f t="shared" si="61"/>
        <v>Prediabetes</v>
      </c>
      <c r="E1312">
        <v>6.24</v>
      </c>
      <c r="F1312" t="s">
        <v>2382</v>
      </c>
      <c r="G1312" t="s">
        <v>2380</v>
      </c>
      <c r="H1312" t="s">
        <v>2380</v>
      </c>
      <c r="J1312" t="s">
        <v>2381</v>
      </c>
      <c r="K1312" t="str">
        <f t="shared" si="62"/>
        <v>No</v>
      </c>
      <c r="L1312" t="s">
        <v>2380</v>
      </c>
    </row>
    <row r="1313" spans="1:12" x14ac:dyDescent="0.35">
      <c r="A1313" t="s">
        <v>1059</v>
      </c>
      <c r="B1313" t="str">
        <f t="shared" si="60"/>
        <v>Obesity</v>
      </c>
      <c r="C1313">
        <v>33.344999999999999</v>
      </c>
      <c r="D1313" t="str">
        <f t="shared" si="61"/>
        <v>Normal</v>
      </c>
      <c r="E1313">
        <v>5.44</v>
      </c>
      <c r="F1313" t="s">
        <v>2382</v>
      </c>
      <c r="G1313" t="s">
        <v>2380</v>
      </c>
      <c r="H1313" t="s">
        <v>2380</v>
      </c>
      <c r="J1313" t="s">
        <v>2381</v>
      </c>
      <c r="K1313" t="str">
        <f t="shared" si="62"/>
        <v>No</v>
      </c>
      <c r="L1313" t="s">
        <v>2380</v>
      </c>
    </row>
    <row r="1314" spans="1:12" x14ac:dyDescent="0.35">
      <c r="A1314" t="s">
        <v>1058</v>
      </c>
      <c r="B1314" t="str">
        <f t="shared" si="60"/>
        <v>Obesity</v>
      </c>
      <c r="C1314">
        <v>38.79</v>
      </c>
      <c r="D1314" t="str">
        <f t="shared" si="61"/>
        <v>Normal</v>
      </c>
      <c r="E1314">
        <v>5.08</v>
      </c>
      <c r="F1314" t="s">
        <v>2380</v>
      </c>
      <c r="G1314" t="s">
        <v>2380</v>
      </c>
      <c r="H1314" t="s">
        <v>2383</v>
      </c>
      <c r="J1314">
        <v>1</v>
      </c>
      <c r="K1314" t="str">
        <f t="shared" si="62"/>
        <v>No</v>
      </c>
      <c r="L1314" t="s">
        <v>2380</v>
      </c>
    </row>
    <row r="1315" spans="1:12" x14ac:dyDescent="0.35">
      <c r="A1315" t="s">
        <v>1057</v>
      </c>
      <c r="B1315" t="str">
        <f t="shared" si="60"/>
        <v>Obesity</v>
      </c>
      <c r="C1315">
        <v>30.684999999999999</v>
      </c>
      <c r="D1315" t="str">
        <f t="shared" si="61"/>
        <v>Normal</v>
      </c>
      <c r="E1315">
        <v>4.87</v>
      </c>
      <c r="F1315" t="s">
        <v>2380</v>
      </c>
      <c r="G1315" t="s">
        <v>2380</v>
      </c>
      <c r="H1315" t="s">
        <v>2383</v>
      </c>
      <c r="J1315">
        <v>1</v>
      </c>
      <c r="K1315" t="str">
        <f t="shared" si="62"/>
        <v>No</v>
      </c>
      <c r="L1315" t="s">
        <v>2380</v>
      </c>
    </row>
    <row r="1316" spans="1:12" x14ac:dyDescent="0.35">
      <c r="A1316" t="s">
        <v>1056</v>
      </c>
      <c r="B1316" t="str">
        <f t="shared" si="60"/>
        <v>Normal Weight</v>
      </c>
      <c r="C1316">
        <v>22.135000000000002</v>
      </c>
      <c r="D1316" t="str">
        <f t="shared" si="61"/>
        <v>Diabetes</v>
      </c>
      <c r="E1316">
        <v>8.17</v>
      </c>
      <c r="F1316" t="s">
        <v>2380</v>
      </c>
      <c r="G1316" t="s">
        <v>2380</v>
      </c>
      <c r="H1316" t="s">
        <v>2380</v>
      </c>
      <c r="J1316" t="s">
        <v>2381</v>
      </c>
      <c r="K1316" t="str">
        <f t="shared" si="62"/>
        <v>No</v>
      </c>
      <c r="L1316" t="s">
        <v>2380</v>
      </c>
    </row>
    <row r="1317" spans="1:12" x14ac:dyDescent="0.35">
      <c r="A1317" t="s">
        <v>1055</v>
      </c>
      <c r="B1317" t="str">
        <f t="shared" si="60"/>
        <v>Obesity</v>
      </c>
      <c r="C1317">
        <v>33.33</v>
      </c>
      <c r="D1317" t="str">
        <f t="shared" si="61"/>
        <v>Diabetes</v>
      </c>
      <c r="E1317">
        <v>7.61</v>
      </c>
      <c r="F1317" t="s">
        <v>2380</v>
      </c>
      <c r="G1317" t="s">
        <v>2380</v>
      </c>
      <c r="H1317" t="s">
        <v>2380</v>
      </c>
      <c r="J1317" t="s">
        <v>2381</v>
      </c>
      <c r="K1317" t="str">
        <f t="shared" si="62"/>
        <v>No</v>
      </c>
      <c r="L1317" t="s">
        <v>2380</v>
      </c>
    </row>
    <row r="1318" spans="1:12" x14ac:dyDescent="0.35">
      <c r="A1318" t="s">
        <v>1054</v>
      </c>
      <c r="B1318" t="str">
        <f t="shared" si="60"/>
        <v>Obesity</v>
      </c>
      <c r="C1318">
        <v>31.13</v>
      </c>
      <c r="D1318" t="str">
        <f t="shared" si="61"/>
        <v>Diabetes</v>
      </c>
      <c r="E1318">
        <v>10.1</v>
      </c>
      <c r="F1318" t="s">
        <v>2380</v>
      </c>
      <c r="G1318" t="s">
        <v>2380</v>
      </c>
      <c r="H1318" t="s">
        <v>2380</v>
      </c>
      <c r="J1318" t="s">
        <v>2381</v>
      </c>
      <c r="K1318" t="str">
        <f t="shared" si="62"/>
        <v>No</v>
      </c>
      <c r="L1318" t="s">
        <v>2380</v>
      </c>
    </row>
    <row r="1319" spans="1:12" x14ac:dyDescent="0.35">
      <c r="A1319" t="s">
        <v>1053</v>
      </c>
      <c r="B1319" t="str">
        <f t="shared" si="60"/>
        <v>Overweight</v>
      </c>
      <c r="C1319">
        <v>28.9</v>
      </c>
      <c r="D1319" t="str">
        <f t="shared" si="61"/>
        <v>Diabetes</v>
      </c>
      <c r="E1319">
        <v>11.24</v>
      </c>
      <c r="F1319" t="s">
        <v>2380</v>
      </c>
      <c r="G1319" t="s">
        <v>2380</v>
      </c>
      <c r="H1319" t="s">
        <v>2380</v>
      </c>
      <c r="J1319" t="s">
        <v>2381</v>
      </c>
      <c r="K1319" t="str">
        <f t="shared" si="62"/>
        <v>No</v>
      </c>
      <c r="L1319" t="s">
        <v>2380</v>
      </c>
    </row>
    <row r="1320" spans="1:12" x14ac:dyDescent="0.35">
      <c r="A1320" t="s">
        <v>1052</v>
      </c>
      <c r="B1320" t="str">
        <f t="shared" si="60"/>
        <v>Obesity</v>
      </c>
      <c r="C1320">
        <v>43.31</v>
      </c>
      <c r="D1320" t="str">
        <f t="shared" si="61"/>
        <v>Prediabetes</v>
      </c>
      <c r="E1320">
        <v>6.1</v>
      </c>
      <c r="F1320" t="s">
        <v>2382</v>
      </c>
      <c r="G1320" t="s">
        <v>2382</v>
      </c>
      <c r="H1320" t="s">
        <v>2380</v>
      </c>
      <c r="J1320">
        <v>1</v>
      </c>
      <c r="K1320" t="str">
        <f t="shared" si="62"/>
        <v>No</v>
      </c>
      <c r="L1320" t="s">
        <v>2380</v>
      </c>
    </row>
    <row r="1321" spans="1:12" x14ac:dyDescent="0.35">
      <c r="A1321" t="s">
        <v>1051</v>
      </c>
      <c r="B1321" t="str">
        <f t="shared" si="60"/>
        <v>Normal Weight</v>
      </c>
      <c r="C1321">
        <v>22.8</v>
      </c>
      <c r="D1321" t="str">
        <f t="shared" si="61"/>
        <v>Diabetes</v>
      </c>
      <c r="E1321">
        <v>6.98</v>
      </c>
      <c r="F1321" t="s">
        <v>2380</v>
      </c>
      <c r="G1321" t="s">
        <v>2380</v>
      </c>
      <c r="H1321" t="s">
        <v>2380</v>
      </c>
      <c r="J1321" t="s">
        <v>2381</v>
      </c>
      <c r="K1321" t="str">
        <f t="shared" si="62"/>
        <v>No</v>
      </c>
      <c r="L1321" t="s">
        <v>2380</v>
      </c>
    </row>
    <row r="1322" spans="1:12" x14ac:dyDescent="0.35">
      <c r="A1322" t="s">
        <v>1050</v>
      </c>
      <c r="B1322" t="str">
        <f t="shared" si="60"/>
        <v>Normal Weight</v>
      </c>
      <c r="C1322">
        <v>19.09</v>
      </c>
      <c r="D1322" t="str">
        <f t="shared" si="61"/>
        <v>Normal</v>
      </c>
      <c r="E1322">
        <v>4</v>
      </c>
      <c r="F1322" t="s">
        <v>2382</v>
      </c>
      <c r="G1322" t="s">
        <v>2380</v>
      </c>
      <c r="H1322" t="s">
        <v>2380</v>
      </c>
      <c r="J1322">
        <v>1</v>
      </c>
      <c r="K1322" t="str">
        <f t="shared" si="62"/>
        <v>No</v>
      </c>
      <c r="L1322" t="s">
        <v>2380</v>
      </c>
    </row>
    <row r="1323" spans="1:12" x14ac:dyDescent="0.35">
      <c r="A1323" t="s">
        <v>1049</v>
      </c>
      <c r="B1323" t="str">
        <f t="shared" si="60"/>
        <v>Normal Weight</v>
      </c>
      <c r="C1323">
        <v>23.37</v>
      </c>
      <c r="D1323" t="str">
        <f t="shared" si="61"/>
        <v>Normal</v>
      </c>
      <c r="E1323">
        <v>4.2300000000000004</v>
      </c>
      <c r="F1323" t="s">
        <v>2380</v>
      </c>
      <c r="G1323" t="s">
        <v>2380</v>
      </c>
      <c r="H1323" t="s">
        <v>2380</v>
      </c>
      <c r="J1323" t="s">
        <v>2381</v>
      </c>
      <c r="K1323" t="str">
        <f t="shared" si="62"/>
        <v>No</v>
      </c>
      <c r="L1323" t="s">
        <v>2380</v>
      </c>
    </row>
    <row r="1324" spans="1:12" x14ac:dyDescent="0.35">
      <c r="A1324" t="s">
        <v>1048</v>
      </c>
      <c r="B1324" t="str">
        <f t="shared" si="60"/>
        <v>Obesity</v>
      </c>
      <c r="C1324">
        <v>33.44</v>
      </c>
      <c r="D1324" t="str">
        <f t="shared" si="61"/>
        <v>Normal</v>
      </c>
      <c r="E1324">
        <v>4.72</v>
      </c>
      <c r="F1324" t="s">
        <v>2382</v>
      </c>
      <c r="G1324" t="s">
        <v>2380</v>
      </c>
      <c r="H1324" t="s">
        <v>2380</v>
      </c>
      <c r="J1324" t="s">
        <v>2381</v>
      </c>
      <c r="K1324" t="str">
        <f t="shared" si="62"/>
        <v>No</v>
      </c>
      <c r="L1324" t="s">
        <v>2380</v>
      </c>
    </row>
    <row r="1325" spans="1:12" x14ac:dyDescent="0.35">
      <c r="A1325" t="s">
        <v>1047</v>
      </c>
      <c r="B1325" t="str">
        <f t="shared" si="60"/>
        <v>Overweight</v>
      </c>
      <c r="C1325">
        <v>28.05</v>
      </c>
      <c r="D1325" t="str">
        <f t="shared" si="61"/>
        <v>Normal</v>
      </c>
      <c r="E1325">
        <v>5.63</v>
      </c>
      <c r="F1325" t="s">
        <v>2382</v>
      </c>
      <c r="G1325" t="s">
        <v>2380</v>
      </c>
      <c r="H1325" t="s">
        <v>2380</v>
      </c>
      <c r="J1325" t="s">
        <v>2381</v>
      </c>
      <c r="K1325" t="str">
        <f t="shared" si="62"/>
        <v>No</v>
      </c>
      <c r="L1325" t="s">
        <v>2380</v>
      </c>
    </row>
    <row r="1326" spans="1:12" x14ac:dyDescent="0.35">
      <c r="A1326" t="s">
        <v>1046</v>
      </c>
      <c r="B1326" t="str">
        <f t="shared" si="60"/>
        <v>Overweight</v>
      </c>
      <c r="C1326">
        <v>27.72</v>
      </c>
      <c r="D1326" t="str">
        <f t="shared" si="61"/>
        <v>Prediabetes</v>
      </c>
      <c r="E1326">
        <v>5.83</v>
      </c>
      <c r="F1326" t="s">
        <v>2382</v>
      </c>
      <c r="G1326" t="s">
        <v>2380</v>
      </c>
      <c r="H1326" t="s">
        <v>2380</v>
      </c>
      <c r="J1326" t="s">
        <v>2381</v>
      </c>
      <c r="K1326" t="str">
        <f t="shared" si="62"/>
        <v>No</v>
      </c>
      <c r="L1326" t="s">
        <v>2380</v>
      </c>
    </row>
    <row r="1327" spans="1:12" x14ac:dyDescent="0.35">
      <c r="A1327" t="s">
        <v>1045</v>
      </c>
      <c r="B1327" t="str">
        <f t="shared" si="60"/>
        <v>Overweight</v>
      </c>
      <c r="C1327">
        <v>29.81</v>
      </c>
      <c r="D1327" t="str">
        <f t="shared" si="61"/>
        <v>Diabetes</v>
      </c>
      <c r="E1327">
        <v>9.23</v>
      </c>
      <c r="F1327" t="s">
        <v>2380</v>
      </c>
      <c r="G1327" t="s">
        <v>2380</v>
      </c>
      <c r="H1327" t="s">
        <v>2380</v>
      </c>
      <c r="J1327" t="s">
        <v>2381</v>
      </c>
      <c r="K1327" t="str">
        <f t="shared" si="62"/>
        <v>No</v>
      </c>
      <c r="L1327" t="s">
        <v>2380</v>
      </c>
    </row>
    <row r="1328" spans="1:12" x14ac:dyDescent="0.35">
      <c r="A1328" t="s">
        <v>1044</v>
      </c>
      <c r="B1328" t="str">
        <f t="shared" si="60"/>
        <v>Normal Weight</v>
      </c>
      <c r="C1328">
        <v>23.98</v>
      </c>
      <c r="D1328" t="str">
        <f t="shared" si="61"/>
        <v>Diabetes</v>
      </c>
      <c r="E1328">
        <v>9.89</v>
      </c>
      <c r="F1328" t="s">
        <v>2380</v>
      </c>
      <c r="G1328" t="s">
        <v>2380</v>
      </c>
      <c r="H1328" t="s">
        <v>2380</v>
      </c>
      <c r="J1328" t="s">
        <v>2381</v>
      </c>
      <c r="K1328" t="str">
        <f t="shared" si="62"/>
        <v>No</v>
      </c>
      <c r="L1328" t="s">
        <v>2380</v>
      </c>
    </row>
    <row r="1329" spans="1:12" x14ac:dyDescent="0.35">
      <c r="A1329" t="s">
        <v>1043</v>
      </c>
      <c r="B1329" t="str">
        <f t="shared" si="60"/>
        <v>Underweight</v>
      </c>
      <c r="C1329">
        <v>17.34</v>
      </c>
      <c r="D1329" t="str">
        <f t="shared" si="61"/>
        <v>Diabetes</v>
      </c>
      <c r="E1329">
        <v>12</v>
      </c>
      <c r="F1329" t="s">
        <v>2380</v>
      </c>
      <c r="G1329" t="s">
        <v>2380</v>
      </c>
      <c r="H1329" t="s">
        <v>2380</v>
      </c>
      <c r="J1329" t="s">
        <v>2381</v>
      </c>
      <c r="K1329" t="str">
        <f t="shared" si="62"/>
        <v>No</v>
      </c>
      <c r="L1329" t="s">
        <v>2380</v>
      </c>
    </row>
    <row r="1330" spans="1:12" x14ac:dyDescent="0.35">
      <c r="A1330" t="s">
        <v>1042</v>
      </c>
      <c r="B1330" t="str">
        <f t="shared" si="60"/>
        <v>Obesity</v>
      </c>
      <c r="C1330">
        <v>40.39</v>
      </c>
      <c r="D1330" t="str">
        <f t="shared" si="61"/>
        <v>Normal</v>
      </c>
      <c r="E1330">
        <v>4.24</v>
      </c>
      <c r="F1330" t="s">
        <v>2382</v>
      </c>
      <c r="G1330" t="s">
        <v>2380</v>
      </c>
      <c r="H1330" t="s">
        <v>2383</v>
      </c>
      <c r="J1330">
        <v>1</v>
      </c>
      <c r="K1330" t="str">
        <f t="shared" si="62"/>
        <v>No</v>
      </c>
      <c r="L1330" t="s">
        <v>2380</v>
      </c>
    </row>
    <row r="1331" spans="1:12" x14ac:dyDescent="0.35">
      <c r="A1331" t="s">
        <v>1041</v>
      </c>
      <c r="B1331" t="str">
        <f t="shared" si="60"/>
        <v>Overweight</v>
      </c>
      <c r="C1331">
        <v>25.96</v>
      </c>
      <c r="D1331" t="str">
        <f t="shared" si="61"/>
        <v>Normal</v>
      </c>
      <c r="E1331">
        <v>4.68</v>
      </c>
      <c r="F1331" t="s">
        <v>2382</v>
      </c>
      <c r="G1331" t="s">
        <v>2380</v>
      </c>
      <c r="H1331" t="s">
        <v>2383</v>
      </c>
      <c r="J1331">
        <v>1</v>
      </c>
      <c r="K1331" t="str">
        <f t="shared" si="62"/>
        <v>No</v>
      </c>
      <c r="L1331" t="s">
        <v>2380</v>
      </c>
    </row>
    <row r="1332" spans="1:12" x14ac:dyDescent="0.35">
      <c r="A1332" t="s">
        <v>1040</v>
      </c>
      <c r="B1332" t="str">
        <f t="shared" si="60"/>
        <v>Underweight</v>
      </c>
      <c r="C1332">
        <v>17.68</v>
      </c>
      <c r="D1332" t="str">
        <f t="shared" si="61"/>
        <v>Diabetes</v>
      </c>
      <c r="E1332">
        <v>8.57</v>
      </c>
      <c r="F1332" t="s">
        <v>2382</v>
      </c>
      <c r="G1332" t="s">
        <v>2380</v>
      </c>
      <c r="H1332" t="s">
        <v>2383</v>
      </c>
      <c r="J1332">
        <v>1</v>
      </c>
      <c r="K1332" t="str">
        <f t="shared" si="62"/>
        <v>No</v>
      </c>
      <c r="L1332" t="s">
        <v>2380</v>
      </c>
    </row>
    <row r="1333" spans="1:12" x14ac:dyDescent="0.35">
      <c r="A1333" t="s">
        <v>1039</v>
      </c>
      <c r="B1333" t="str">
        <f t="shared" si="60"/>
        <v>Obesity</v>
      </c>
      <c r="C1333">
        <v>30.875</v>
      </c>
      <c r="D1333" t="str">
        <f t="shared" si="61"/>
        <v>Normal</v>
      </c>
      <c r="E1333">
        <v>4.0999999999999996</v>
      </c>
      <c r="F1333" t="s">
        <v>2380</v>
      </c>
      <c r="G1333" t="s">
        <v>2380</v>
      </c>
      <c r="H1333" t="s">
        <v>2380</v>
      </c>
      <c r="J1333" t="s">
        <v>2381</v>
      </c>
      <c r="K1333" t="str">
        <f t="shared" si="62"/>
        <v>No</v>
      </c>
      <c r="L1333" t="s">
        <v>2380</v>
      </c>
    </row>
    <row r="1334" spans="1:12" x14ac:dyDescent="0.35">
      <c r="A1334" t="s">
        <v>1038</v>
      </c>
      <c r="B1334" t="str">
        <f t="shared" si="60"/>
        <v>Obesity</v>
      </c>
      <c r="C1334">
        <v>30.81</v>
      </c>
      <c r="D1334" t="str">
        <f t="shared" si="61"/>
        <v>Normal</v>
      </c>
      <c r="E1334">
        <v>4.49</v>
      </c>
      <c r="F1334" t="s">
        <v>2380</v>
      </c>
      <c r="G1334" t="s">
        <v>2380</v>
      </c>
      <c r="H1334" t="s">
        <v>2380</v>
      </c>
      <c r="J1334" t="s">
        <v>2381</v>
      </c>
      <c r="K1334" t="str">
        <f t="shared" si="62"/>
        <v>No</v>
      </c>
      <c r="L1334" t="s">
        <v>2380</v>
      </c>
    </row>
    <row r="1335" spans="1:12" x14ac:dyDescent="0.35">
      <c r="A1335" t="s">
        <v>1037</v>
      </c>
      <c r="B1335" t="str">
        <f t="shared" si="60"/>
        <v>Obesity</v>
      </c>
      <c r="C1335">
        <v>36.85</v>
      </c>
      <c r="D1335" t="str">
        <f t="shared" si="61"/>
        <v>Diabetes</v>
      </c>
      <c r="E1335">
        <v>8.8000000000000007</v>
      </c>
      <c r="F1335" t="s">
        <v>2380</v>
      </c>
      <c r="G1335" t="s">
        <v>2380</v>
      </c>
      <c r="H1335" t="s">
        <v>2380</v>
      </c>
      <c r="J1335">
        <v>2</v>
      </c>
      <c r="K1335" t="str">
        <f t="shared" si="62"/>
        <v>No</v>
      </c>
      <c r="L1335" t="s">
        <v>2380</v>
      </c>
    </row>
    <row r="1336" spans="1:12" x14ac:dyDescent="0.35">
      <c r="A1336" t="s">
        <v>1036</v>
      </c>
      <c r="B1336" t="str">
        <f t="shared" si="60"/>
        <v>Obesity</v>
      </c>
      <c r="C1336">
        <v>35.86</v>
      </c>
      <c r="D1336" t="str">
        <f t="shared" si="61"/>
        <v>Diabetes</v>
      </c>
      <c r="E1336">
        <v>7.93</v>
      </c>
      <c r="F1336" t="s">
        <v>2380</v>
      </c>
      <c r="G1336" t="s">
        <v>2380</v>
      </c>
      <c r="H1336" t="s">
        <v>2380</v>
      </c>
      <c r="J1336">
        <v>2</v>
      </c>
      <c r="K1336" t="str">
        <f t="shared" si="62"/>
        <v>No</v>
      </c>
      <c r="L1336" t="s">
        <v>2380</v>
      </c>
    </row>
    <row r="1337" spans="1:12" x14ac:dyDescent="0.35">
      <c r="A1337" t="s">
        <v>1035</v>
      </c>
      <c r="B1337" t="str">
        <f t="shared" si="60"/>
        <v>Obesity</v>
      </c>
      <c r="C1337">
        <v>30.3</v>
      </c>
      <c r="D1337" t="str">
        <f t="shared" si="61"/>
        <v>Diabetes</v>
      </c>
      <c r="E1337">
        <v>9.4499999999999993</v>
      </c>
      <c r="F1337" t="s">
        <v>2380</v>
      </c>
      <c r="G1337" t="s">
        <v>2380</v>
      </c>
      <c r="H1337" t="s">
        <v>2380</v>
      </c>
      <c r="J1337">
        <v>2</v>
      </c>
      <c r="K1337" t="str">
        <f t="shared" si="62"/>
        <v>No</v>
      </c>
      <c r="L1337" t="s">
        <v>2380</v>
      </c>
    </row>
    <row r="1338" spans="1:12" x14ac:dyDescent="0.35">
      <c r="A1338" t="s">
        <v>1034</v>
      </c>
      <c r="B1338" t="str">
        <f t="shared" si="60"/>
        <v>Obesity</v>
      </c>
      <c r="C1338">
        <v>32.015000000000001</v>
      </c>
      <c r="D1338" t="str">
        <f t="shared" si="61"/>
        <v>Diabetes</v>
      </c>
      <c r="E1338">
        <v>7.67</v>
      </c>
      <c r="F1338" t="s">
        <v>2380</v>
      </c>
      <c r="G1338" t="s">
        <v>2380</v>
      </c>
      <c r="H1338" t="s">
        <v>2380</v>
      </c>
      <c r="J1338" t="s">
        <v>2381</v>
      </c>
      <c r="K1338" t="str">
        <f t="shared" si="62"/>
        <v>No</v>
      </c>
      <c r="L1338" t="s">
        <v>2380</v>
      </c>
    </row>
    <row r="1339" spans="1:12" x14ac:dyDescent="0.35">
      <c r="A1339" t="s">
        <v>1033</v>
      </c>
      <c r="B1339" t="str">
        <f t="shared" si="60"/>
        <v>Overweight</v>
      </c>
      <c r="C1339">
        <v>25.06</v>
      </c>
      <c r="D1339" t="str">
        <f t="shared" si="61"/>
        <v>Diabetes</v>
      </c>
      <c r="E1339">
        <v>10.53</v>
      </c>
      <c r="F1339" t="s">
        <v>2380</v>
      </c>
      <c r="G1339" t="s">
        <v>2380</v>
      </c>
      <c r="H1339" t="s">
        <v>2380</v>
      </c>
      <c r="J1339">
        <v>2</v>
      </c>
      <c r="K1339" t="str">
        <f t="shared" si="62"/>
        <v>No</v>
      </c>
      <c r="L1339" t="s">
        <v>2380</v>
      </c>
    </row>
    <row r="1340" spans="1:12" x14ac:dyDescent="0.35">
      <c r="A1340" t="s">
        <v>1032</v>
      </c>
      <c r="B1340" t="str">
        <f t="shared" si="60"/>
        <v>Normal Weight</v>
      </c>
      <c r="C1340">
        <v>18.829999999999998</v>
      </c>
      <c r="D1340" t="str">
        <f t="shared" si="61"/>
        <v>Diabetes</v>
      </c>
      <c r="E1340">
        <v>10.08</v>
      </c>
      <c r="F1340" t="s">
        <v>2382</v>
      </c>
      <c r="G1340" t="s">
        <v>2380</v>
      </c>
      <c r="H1340" t="s">
        <v>2380</v>
      </c>
      <c r="J1340" t="s">
        <v>2381</v>
      </c>
      <c r="K1340" t="str">
        <f t="shared" si="62"/>
        <v>No</v>
      </c>
      <c r="L1340" t="s">
        <v>2380</v>
      </c>
    </row>
    <row r="1341" spans="1:12" x14ac:dyDescent="0.35">
      <c r="A1341" t="s">
        <v>1031</v>
      </c>
      <c r="B1341" t="str">
        <f t="shared" si="60"/>
        <v>Obesity</v>
      </c>
      <c r="C1341">
        <v>47.52</v>
      </c>
      <c r="D1341" t="str">
        <f t="shared" si="61"/>
        <v>Diabetes</v>
      </c>
      <c r="E1341">
        <v>11.39</v>
      </c>
      <c r="F1341" t="s">
        <v>2382</v>
      </c>
      <c r="G1341" t="s">
        <v>2380</v>
      </c>
      <c r="H1341" t="s">
        <v>2380</v>
      </c>
      <c r="J1341">
        <v>1</v>
      </c>
      <c r="K1341" t="str">
        <f t="shared" si="62"/>
        <v>No</v>
      </c>
      <c r="L1341" t="s">
        <v>2380</v>
      </c>
    </row>
    <row r="1342" spans="1:12" x14ac:dyDescent="0.35">
      <c r="A1342" t="s">
        <v>1030</v>
      </c>
      <c r="B1342" t="str">
        <f t="shared" si="60"/>
        <v>Obesity</v>
      </c>
      <c r="C1342">
        <v>37.82</v>
      </c>
      <c r="D1342" t="str">
        <f t="shared" si="61"/>
        <v>Prediabetes</v>
      </c>
      <c r="E1342">
        <v>6.36</v>
      </c>
      <c r="F1342" t="s">
        <v>2380</v>
      </c>
      <c r="G1342" t="s">
        <v>2380</v>
      </c>
      <c r="H1342" t="s">
        <v>2380</v>
      </c>
      <c r="J1342" t="s">
        <v>2381</v>
      </c>
      <c r="K1342" t="str">
        <f t="shared" si="62"/>
        <v>No</v>
      </c>
      <c r="L1342" t="s">
        <v>2380</v>
      </c>
    </row>
    <row r="1343" spans="1:12" x14ac:dyDescent="0.35">
      <c r="A1343" t="s">
        <v>1029</v>
      </c>
      <c r="B1343" t="str">
        <f t="shared" si="60"/>
        <v>Obesity</v>
      </c>
      <c r="C1343">
        <v>44.16</v>
      </c>
      <c r="D1343" t="str">
        <f t="shared" si="61"/>
        <v>Normal</v>
      </c>
      <c r="E1343">
        <v>5.31</v>
      </c>
      <c r="F1343" t="s">
        <v>2382</v>
      </c>
      <c r="G1343" t="s">
        <v>2380</v>
      </c>
      <c r="H1343" t="s">
        <v>2380</v>
      </c>
      <c r="J1343" t="s">
        <v>2381</v>
      </c>
      <c r="K1343" t="str">
        <f t="shared" si="62"/>
        <v>No</v>
      </c>
      <c r="L1343" t="s">
        <v>2380</v>
      </c>
    </row>
    <row r="1344" spans="1:12" x14ac:dyDescent="0.35">
      <c r="A1344" t="s">
        <v>1028</v>
      </c>
      <c r="B1344" t="str">
        <f t="shared" si="60"/>
        <v>Obesity</v>
      </c>
      <c r="C1344">
        <v>37.049999999999997</v>
      </c>
      <c r="D1344" t="str">
        <f t="shared" si="61"/>
        <v>Normal</v>
      </c>
      <c r="E1344">
        <v>4.74</v>
      </c>
      <c r="F1344" t="s">
        <v>2380</v>
      </c>
      <c r="G1344" t="s">
        <v>2380</v>
      </c>
      <c r="H1344" t="s">
        <v>2383</v>
      </c>
      <c r="J1344">
        <v>1</v>
      </c>
      <c r="K1344" t="str">
        <f t="shared" si="62"/>
        <v>No</v>
      </c>
      <c r="L1344" t="s">
        <v>2380</v>
      </c>
    </row>
    <row r="1345" spans="1:12" x14ac:dyDescent="0.35">
      <c r="A1345" t="s">
        <v>1027</v>
      </c>
      <c r="B1345" t="str">
        <f t="shared" si="60"/>
        <v>Normal Weight</v>
      </c>
      <c r="C1345">
        <v>18.66</v>
      </c>
      <c r="D1345" t="str">
        <f t="shared" si="61"/>
        <v>Diabetes</v>
      </c>
      <c r="E1345">
        <v>11.35</v>
      </c>
      <c r="F1345" t="s">
        <v>2380</v>
      </c>
      <c r="G1345" t="s">
        <v>2380</v>
      </c>
      <c r="H1345" t="s">
        <v>2380</v>
      </c>
      <c r="J1345" t="s">
        <v>2381</v>
      </c>
      <c r="K1345" t="str">
        <f t="shared" si="62"/>
        <v>No</v>
      </c>
      <c r="L1345" t="s">
        <v>2380</v>
      </c>
    </row>
    <row r="1346" spans="1:12" x14ac:dyDescent="0.35">
      <c r="A1346" t="s">
        <v>1026</v>
      </c>
      <c r="B1346" t="str">
        <f t="shared" si="60"/>
        <v>Obesity</v>
      </c>
      <c r="C1346">
        <v>36.200000000000003</v>
      </c>
      <c r="D1346" t="str">
        <f t="shared" si="61"/>
        <v>Diabetes</v>
      </c>
      <c r="E1346">
        <v>6.81</v>
      </c>
      <c r="F1346" t="s">
        <v>2382</v>
      </c>
      <c r="G1346" t="s">
        <v>2380</v>
      </c>
      <c r="H1346" t="s">
        <v>2380</v>
      </c>
      <c r="J1346">
        <v>1</v>
      </c>
      <c r="K1346" t="str">
        <f t="shared" si="62"/>
        <v>No</v>
      </c>
      <c r="L1346" t="s">
        <v>2380</v>
      </c>
    </row>
    <row r="1347" spans="1:12" x14ac:dyDescent="0.35">
      <c r="A1347" t="s">
        <v>1025</v>
      </c>
      <c r="B1347" t="str">
        <f t="shared" ref="B1347:B1410" si="63">_xlfn.IFS(C1347&lt;18.5, "Underweight", C1347&lt;=24.9, "Normal Weight", C1347&lt;=29.9, "Overweight", C1347&gt;=30, "Obesity")</f>
        <v>Normal Weight</v>
      </c>
      <c r="C1347">
        <v>18.87</v>
      </c>
      <c r="D1347" t="str">
        <f t="shared" ref="D1347:D1410" si="64">_xlfn.IFS(E1347&lt;5.7, "Normal", E1347&lt;=6.4, "Prediabetes", E1347&gt;=6.5, "Diabetes")</f>
        <v>Diabetes</v>
      </c>
      <c r="E1347">
        <v>8.06</v>
      </c>
      <c r="F1347" t="s">
        <v>2380</v>
      </c>
      <c r="G1347" t="s">
        <v>2380</v>
      </c>
      <c r="H1347" t="s">
        <v>2380</v>
      </c>
      <c r="J1347" t="s">
        <v>2381</v>
      </c>
      <c r="K1347" t="str">
        <f t="shared" si="62"/>
        <v>No</v>
      </c>
      <c r="L1347" t="s">
        <v>2380</v>
      </c>
    </row>
    <row r="1348" spans="1:12" x14ac:dyDescent="0.35">
      <c r="A1348" t="s">
        <v>1024</v>
      </c>
      <c r="B1348" t="str">
        <f t="shared" si="63"/>
        <v>Obesity</v>
      </c>
      <c r="C1348">
        <v>32.299999999999997</v>
      </c>
      <c r="D1348" t="str">
        <f t="shared" si="64"/>
        <v>Diabetes</v>
      </c>
      <c r="E1348">
        <v>6.74</v>
      </c>
      <c r="F1348" t="s">
        <v>2382</v>
      </c>
      <c r="G1348" t="s">
        <v>2380</v>
      </c>
      <c r="H1348" t="s">
        <v>2380</v>
      </c>
      <c r="J1348">
        <v>1</v>
      </c>
      <c r="K1348" t="str">
        <f t="shared" ref="K1348:K1411" si="65">IF(OR(L1348="?", ISBLANK(L1348)), "No", L1348)</f>
        <v>No</v>
      </c>
      <c r="L1348" t="s">
        <v>2380</v>
      </c>
    </row>
    <row r="1349" spans="1:12" x14ac:dyDescent="0.35">
      <c r="A1349" t="s">
        <v>1023</v>
      </c>
      <c r="B1349" t="str">
        <f t="shared" si="63"/>
        <v>Normal Weight</v>
      </c>
      <c r="C1349">
        <v>22.64</v>
      </c>
      <c r="D1349" t="str">
        <f t="shared" si="64"/>
        <v>Diabetes</v>
      </c>
      <c r="E1349">
        <v>6.54</v>
      </c>
      <c r="F1349" t="s">
        <v>2382</v>
      </c>
      <c r="G1349" t="s">
        <v>2380</v>
      </c>
      <c r="H1349" t="s">
        <v>2380</v>
      </c>
      <c r="J1349">
        <v>2</v>
      </c>
      <c r="K1349" t="str">
        <f t="shared" si="65"/>
        <v>No</v>
      </c>
      <c r="L1349" t="s">
        <v>2380</v>
      </c>
    </row>
    <row r="1350" spans="1:12" x14ac:dyDescent="0.35">
      <c r="A1350" t="s">
        <v>1022</v>
      </c>
      <c r="B1350" t="str">
        <f t="shared" si="63"/>
        <v>Overweight</v>
      </c>
      <c r="C1350">
        <v>28.69</v>
      </c>
      <c r="D1350" t="str">
        <f t="shared" si="64"/>
        <v>Normal</v>
      </c>
      <c r="E1350">
        <v>5.4</v>
      </c>
      <c r="F1350" t="s">
        <v>2380</v>
      </c>
      <c r="G1350" t="s">
        <v>2380</v>
      </c>
      <c r="H1350" t="s">
        <v>2380</v>
      </c>
      <c r="J1350" t="s">
        <v>2381</v>
      </c>
      <c r="K1350" t="str">
        <f t="shared" si="65"/>
        <v>No</v>
      </c>
      <c r="L1350" t="s">
        <v>2380</v>
      </c>
    </row>
    <row r="1351" spans="1:12" x14ac:dyDescent="0.35">
      <c r="A1351" t="s">
        <v>1021</v>
      </c>
      <c r="B1351" t="str">
        <f t="shared" si="63"/>
        <v>Overweight</v>
      </c>
      <c r="C1351">
        <v>28.16</v>
      </c>
      <c r="D1351" t="str">
        <f t="shared" si="64"/>
        <v>Normal</v>
      </c>
      <c r="E1351">
        <v>5.58</v>
      </c>
      <c r="F1351" t="s">
        <v>2382</v>
      </c>
      <c r="G1351" t="s">
        <v>2380</v>
      </c>
      <c r="H1351" t="s">
        <v>2380</v>
      </c>
      <c r="J1351" t="s">
        <v>2381</v>
      </c>
      <c r="K1351" t="str">
        <f t="shared" si="65"/>
        <v>No</v>
      </c>
      <c r="L1351" t="s">
        <v>2380</v>
      </c>
    </row>
    <row r="1352" spans="1:12" x14ac:dyDescent="0.35">
      <c r="A1352" t="s">
        <v>1020</v>
      </c>
      <c r="B1352" t="str">
        <f t="shared" si="63"/>
        <v>Obesity</v>
      </c>
      <c r="C1352">
        <v>45.54</v>
      </c>
      <c r="D1352" t="str">
        <f t="shared" si="64"/>
        <v>Prediabetes</v>
      </c>
      <c r="E1352">
        <v>5.84</v>
      </c>
      <c r="F1352" t="s">
        <v>2380</v>
      </c>
      <c r="G1352" t="s">
        <v>2380</v>
      </c>
      <c r="H1352" t="s">
        <v>2383</v>
      </c>
      <c r="J1352">
        <v>1</v>
      </c>
      <c r="K1352" t="str">
        <f t="shared" si="65"/>
        <v>No</v>
      </c>
      <c r="L1352" t="s">
        <v>2380</v>
      </c>
    </row>
    <row r="1353" spans="1:12" x14ac:dyDescent="0.35">
      <c r="A1353" t="s">
        <v>1019</v>
      </c>
      <c r="B1353" t="str">
        <f t="shared" si="63"/>
        <v>Overweight</v>
      </c>
      <c r="C1353">
        <v>28.7</v>
      </c>
      <c r="D1353" t="str">
        <f t="shared" si="64"/>
        <v>Normal</v>
      </c>
      <c r="E1353">
        <v>4.2</v>
      </c>
      <c r="F1353" t="s">
        <v>2380</v>
      </c>
      <c r="G1353" t="s">
        <v>2380</v>
      </c>
      <c r="H1353" t="s">
        <v>2380</v>
      </c>
      <c r="J1353" t="s">
        <v>2381</v>
      </c>
      <c r="K1353" t="str">
        <f t="shared" si="65"/>
        <v>No</v>
      </c>
      <c r="L1353" t="s">
        <v>2380</v>
      </c>
    </row>
    <row r="1354" spans="1:12" x14ac:dyDescent="0.35">
      <c r="A1354" t="s">
        <v>1018</v>
      </c>
      <c r="B1354" t="str">
        <f t="shared" si="63"/>
        <v>Overweight</v>
      </c>
      <c r="C1354">
        <v>27.74</v>
      </c>
      <c r="D1354" t="str">
        <f t="shared" si="64"/>
        <v>Prediabetes</v>
      </c>
      <c r="E1354">
        <v>6.06</v>
      </c>
      <c r="F1354" t="s">
        <v>2382</v>
      </c>
      <c r="G1354" t="s">
        <v>2380</v>
      </c>
      <c r="H1354" t="s">
        <v>2380</v>
      </c>
      <c r="J1354" t="s">
        <v>2381</v>
      </c>
      <c r="K1354" t="str">
        <f t="shared" si="65"/>
        <v>No</v>
      </c>
      <c r="L1354" t="s">
        <v>2380</v>
      </c>
    </row>
    <row r="1355" spans="1:12" x14ac:dyDescent="0.35">
      <c r="A1355" t="s">
        <v>1017</v>
      </c>
      <c r="B1355" t="str">
        <f t="shared" si="63"/>
        <v>Obesity</v>
      </c>
      <c r="C1355">
        <v>36.954999999999998</v>
      </c>
      <c r="D1355" t="str">
        <f t="shared" si="64"/>
        <v>Diabetes</v>
      </c>
      <c r="E1355">
        <v>7.57</v>
      </c>
      <c r="F1355" t="s">
        <v>2380</v>
      </c>
      <c r="G1355" t="s">
        <v>2380</v>
      </c>
      <c r="H1355" t="s">
        <v>2380</v>
      </c>
      <c r="J1355" t="s">
        <v>2381</v>
      </c>
      <c r="K1355" t="str">
        <f t="shared" si="65"/>
        <v>No</v>
      </c>
      <c r="L1355" t="s">
        <v>2380</v>
      </c>
    </row>
    <row r="1356" spans="1:12" x14ac:dyDescent="0.35">
      <c r="A1356" t="s">
        <v>1016</v>
      </c>
      <c r="B1356" t="str">
        <f t="shared" si="63"/>
        <v>Obesity</v>
      </c>
      <c r="C1356">
        <v>30.69</v>
      </c>
      <c r="D1356" t="str">
        <f t="shared" si="64"/>
        <v>Prediabetes</v>
      </c>
      <c r="E1356">
        <v>6.15</v>
      </c>
      <c r="F1356" t="s">
        <v>2380</v>
      </c>
      <c r="G1356" t="s">
        <v>2380</v>
      </c>
      <c r="H1356" t="s">
        <v>2380</v>
      </c>
      <c r="J1356" t="s">
        <v>2381</v>
      </c>
      <c r="K1356" t="str">
        <f t="shared" si="65"/>
        <v>No</v>
      </c>
      <c r="L1356" t="s">
        <v>2380</v>
      </c>
    </row>
    <row r="1357" spans="1:12" x14ac:dyDescent="0.35">
      <c r="A1357" t="s">
        <v>1015</v>
      </c>
      <c r="B1357" t="str">
        <f t="shared" si="63"/>
        <v>Overweight</v>
      </c>
      <c r="C1357">
        <v>24.984999999999999</v>
      </c>
      <c r="D1357" t="str">
        <f t="shared" si="64"/>
        <v>Normal</v>
      </c>
      <c r="E1357">
        <v>4.5599999999999996</v>
      </c>
      <c r="F1357" t="s">
        <v>2380</v>
      </c>
      <c r="G1357" t="s">
        <v>2380</v>
      </c>
      <c r="H1357" t="s">
        <v>2380</v>
      </c>
      <c r="J1357" t="s">
        <v>2381</v>
      </c>
      <c r="K1357" t="str">
        <f t="shared" si="65"/>
        <v>No</v>
      </c>
      <c r="L1357" t="s">
        <v>2380</v>
      </c>
    </row>
    <row r="1358" spans="1:12" x14ac:dyDescent="0.35">
      <c r="A1358" t="s">
        <v>1014</v>
      </c>
      <c r="B1358" t="str">
        <f t="shared" si="63"/>
        <v>Obesity</v>
      </c>
      <c r="C1358">
        <v>39.42</v>
      </c>
      <c r="D1358" t="str">
        <f t="shared" si="64"/>
        <v>Normal</v>
      </c>
      <c r="E1358">
        <v>4.72</v>
      </c>
      <c r="F1358" t="s">
        <v>2382</v>
      </c>
      <c r="G1358" t="s">
        <v>2380</v>
      </c>
      <c r="H1358" t="s">
        <v>2380</v>
      </c>
      <c r="J1358">
        <v>1</v>
      </c>
      <c r="K1358" t="str">
        <f t="shared" si="65"/>
        <v>No</v>
      </c>
      <c r="L1358" t="s">
        <v>2380</v>
      </c>
    </row>
    <row r="1359" spans="1:12" x14ac:dyDescent="0.35">
      <c r="A1359" t="s">
        <v>1013</v>
      </c>
      <c r="B1359" t="str">
        <f t="shared" si="63"/>
        <v>Underweight</v>
      </c>
      <c r="C1359">
        <v>16.8</v>
      </c>
      <c r="D1359" t="str">
        <f t="shared" si="64"/>
        <v>Diabetes</v>
      </c>
      <c r="E1359">
        <v>7.98</v>
      </c>
      <c r="F1359" t="s">
        <v>2380</v>
      </c>
      <c r="G1359" t="s">
        <v>2380</v>
      </c>
      <c r="H1359" t="s">
        <v>2380</v>
      </c>
      <c r="J1359" t="s">
        <v>2381</v>
      </c>
      <c r="K1359" t="str">
        <f t="shared" si="65"/>
        <v>No</v>
      </c>
      <c r="L1359" t="s">
        <v>2380</v>
      </c>
    </row>
    <row r="1360" spans="1:12" x14ac:dyDescent="0.35">
      <c r="A1360" t="s">
        <v>1012</v>
      </c>
      <c r="B1360" t="str">
        <f t="shared" si="63"/>
        <v>Normal Weight</v>
      </c>
      <c r="C1360">
        <v>23.274999999999999</v>
      </c>
      <c r="D1360" t="str">
        <f t="shared" si="64"/>
        <v>Prediabetes</v>
      </c>
      <c r="E1360">
        <v>6.26</v>
      </c>
      <c r="F1360" t="s">
        <v>2382</v>
      </c>
      <c r="G1360" t="s">
        <v>2380</v>
      </c>
      <c r="H1360" t="s">
        <v>2383</v>
      </c>
      <c r="J1360">
        <v>1</v>
      </c>
      <c r="K1360" t="str">
        <f t="shared" si="65"/>
        <v>No</v>
      </c>
      <c r="L1360" t="s">
        <v>2380</v>
      </c>
    </row>
    <row r="1361" spans="1:12" x14ac:dyDescent="0.35">
      <c r="A1361" t="s">
        <v>1011</v>
      </c>
      <c r="B1361" t="str">
        <f t="shared" si="63"/>
        <v>Normal Weight</v>
      </c>
      <c r="C1361">
        <v>22.8</v>
      </c>
      <c r="D1361" t="str">
        <f t="shared" si="64"/>
        <v>Normal</v>
      </c>
      <c r="E1361">
        <v>4.29</v>
      </c>
      <c r="F1361" t="s">
        <v>2382</v>
      </c>
      <c r="G1361" t="s">
        <v>2380</v>
      </c>
      <c r="H1361" t="s">
        <v>2383</v>
      </c>
      <c r="J1361">
        <v>1</v>
      </c>
      <c r="K1361" t="str">
        <f t="shared" si="65"/>
        <v>No</v>
      </c>
      <c r="L1361" t="s">
        <v>2380</v>
      </c>
    </row>
    <row r="1362" spans="1:12" x14ac:dyDescent="0.35">
      <c r="A1362" t="s">
        <v>1010</v>
      </c>
      <c r="B1362" t="str">
        <f t="shared" si="63"/>
        <v>Normal Weight</v>
      </c>
      <c r="C1362">
        <v>24.3</v>
      </c>
      <c r="D1362" t="str">
        <f t="shared" si="64"/>
        <v>Normal</v>
      </c>
      <c r="E1362">
        <v>5.43</v>
      </c>
      <c r="F1362" t="s">
        <v>2380</v>
      </c>
      <c r="G1362" t="s">
        <v>2380</v>
      </c>
      <c r="H1362" t="s">
        <v>2380</v>
      </c>
      <c r="J1362">
        <v>2</v>
      </c>
      <c r="K1362" t="str">
        <f t="shared" si="65"/>
        <v>No</v>
      </c>
      <c r="L1362" t="s">
        <v>2380</v>
      </c>
    </row>
    <row r="1363" spans="1:12" x14ac:dyDescent="0.35">
      <c r="A1363" t="s">
        <v>1009</v>
      </c>
      <c r="B1363" t="str">
        <f t="shared" si="63"/>
        <v>Overweight</v>
      </c>
      <c r="C1363">
        <v>25.13</v>
      </c>
      <c r="D1363" t="str">
        <f t="shared" si="64"/>
        <v>Diabetes</v>
      </c>
      <c r="E1363">
        <v>8</v>
      </c>
      <c r="F1363" t="s">
        <v>2382</v>
      </c>
      <c r="G1363" t="s">
        <v>2380</v>
      </c>
      <c r="H1363" t="s">
        <v>2380</v>
      </c>
      <c r="J1363">
        <v>1</v>
      </c>
      <c r="K1363" t="str">
        <f t="shared" si="65"/>
        <v>No</v>
      </c>
      <c r="L1363" t="s">
        <v>2380</v>
      </c>
    </row>
    <row r="1364" spans="1:12" x14ac:dyDescent="0.35">
      <c r="A1364" t="s">
        <v>1008</v>
      </c>
      <c r="B1364" t="str">
        <f t="shared" si="63"/>
        <v>Normal Weight</v>
      </c>
      <c r="C1364">
        <v>22.72</v>
      </c>
      <c r="D1364" t="str">
        <f t="shared" si="64"/>
        <v>Diabetes</v>
      </c>
      <c r="E1364">
        <v>9.9600000000000009</v>
      </c>
      <c r="F1364" t="s">
        <v>2382</v>
      </c>
      <c r="G1364" t="s">
        <v>2380</v>
      </c>
      <c r="H1364" t="s">
        <v>2380</v>
      </c>
      <c r="J1364">
        <v>2</v>
      </c>
      <c r="K1364" t="str">
        <f t="shared" si="65"/>
        <v>No</v>
      </c>
      <c r="L1364" t="s">
        <v>2380</v>
      </c>
    </row>
    <row r="1365" spans="1:12" x14ac:dyDescent="0.35">
      <c r="A1365" t="s">
        <v>1007</v>
      </c>
      <c r="B1365" t="str">
        <f t="shared" si="63"/>
        <v>Obesity</v>
      </c>
      <c r="C1365">
        <v>32.6</v>
      </c>
      <c r="D1365" t="str">
        <f t="shared" si="64"/>
        <v>Diabetes</v>
      </c>
      <c r="E1365">
        <v>6.8</v>
      </c>
      <c r="F1365" t="s">
        <v>2382</v>
      </c>
      <c r="G1365" t="s">
        <v>2380</v>
      </c>
      <c r="H1365" t="s">
        <v>2380</v>
      </c>
      <c r="J1365" t="s">
        <v>2381</v>
      </c>
      <c r="K1365" t="str">
        <f t="shared" si="65"/>
        <v>No</v>
      </c>
      <c r="L1365" t="s">
        <v>2380</v>
      </c>
    </row>
    <row r="1366" spans="1:12" x14ac:dyDescent="0.35">
      <c r="A1366" t="s">
        <v>1006</v>
      </c>
      <c r="B1366" t="str">
        <f t="shared" si="63"/>
        <v>Underweight</v>
      </c>
      <c r="C1366">
        <v>17.28</v>
      </c>
      <c r="D1366" t="str">
        <f t="shared" si="64"/>
        <v>Prediabetes</v>
      </c>
      <c r="E1366">
        <v>6.22</v>
      </c>
      <c r="F1366" t="s">
        <v>2382</v>
      </c>
      <c r="G1366" t="s">
        <v>2380</v>
      </c>
      <c r="H1366" t="s">
        <v>2380</v>
      </c>
      <c r="J1366">
        <v>2</v>
      </c>
      <c r="K1366" t="str">
        <f t="shared" si="65"/>
        <v>No</v>
      </c>
      <c r="L1366" t="s">
        <v>2380</v>
      </c>
    </row>
    <row r="1367" spans="1:12" x14ac:dyDescent="0.35">
      <c r="A1367" t="s">
        <v>1005</v>
      </c>
      <c r="B1367" t="str">
        <f t="shared" si="63"/>
        <v>Overweight</v>
      </c>
      <c r="C1367">
        <v>27.92</v>
      </c>
      <c r="D1367" t="str">
        <f t="shared" si="64"/>
        <v>Prediabetes</v>
      </c>
      <c r="E1367">
        <v>5.79</v>
      </c>
      <c r="F1367" t="s">
        <v>2380</v>
      </c>
      <c r="G1367" t="s">
        <v>2380</v>
      </c>
      <c r="H1367" t="s">
        <v>2380</v>
      </c>
      <c r="J1367">
        <v>1</v>
      </c>
      <c r="K1367" t="str">
        <f t="shared" si="65"/>
        <v>No</v>
      </c>
      <c r="L1367" t="s">
        <v>2380</v>
      </c>
    </row>
    <row r="1368" spans="1:12" x14ac:dyDescent="0.35">
      <c r="A1368" t="s">
        <v>1004</v>
      </c>
      <c r="B1368" t="str">
        <f t="shared" si="63"/>
        <v>Obesity</v>
      </c>
      <c r="C1368">
        <v>38.284999999999997</v>
      </c>
      <c r="D1368" t="str">
        <f t="shared" si="64"/>
        <v>Normal</v>
      </c>
      <c r="E1368">
        <v>5.41</v>
      </c>
      <c r="F1368" t="s">
        <v>2380</v>
      </c>
      <c r="G1368" t="s">
        <v>2380</v>
      </c>
      <c r="H1368" t="s">
        <v>2380</v>
      </c>
      <c r="J1368" t="s">
        <v>2381</v>
      </c>
      <c r="K1368" t="str">
        <f t="shared" si="65"/>
        <v>No</v>
      </c>
      <c r="L1368" t="s">
        <v>2380</v>
      </c>
    </row>
    <row r="1369" spans="1:12" x14ac:dyDescent="0.35">
      <c r="A1369" t="s">
        <v>1003</v>
      </c>
      <c r="B1369" t="str">
        <f t="shared" si="63"/>
        <v>Underweight</v>
      </c>
      <c r="C1369">
        <v>16.48</v>
      </c>
      <c r="D1369" t="str">
        <f t="shared" si="64"/>
        <v>Diabetes</v>
      </c>
      <c r="E1369">
        <v>11.05</v>
      </c>
      <c r="F1369" t="s">
        <v>2380</v>
      </c>
      <c r="G1369" t="s">
        <v>2380</v>
      </c>
      <c r="H1369" t="s">
        <v>2380</v>
      </c>
      <c r="J1369" t="s">
        <v>2381</v>
      </c>
      <c r="K1369" t="str">
        <f t="shared" si="65"/>
        <v>No</v>
      </c>
      <c r="L1369" t="s">
        <v>2380</v>
      </c>
    </row>
    <row r="1370" spans="1:12" x14ac:dyDescent="0.35">
      <c r="A1370" t="s">
        <v>1002</v>
      </c>
      <c r="B1370" t="str">
        <f t="shared" si="63"/>
        <v>Obesity</v>
      </c>
      <c r="C1370">
        <v>38.57</v>
      </c>
      <c r="D1370" t="str">
        <f t="shared" si="64"/>
        <v>Prediabetes</v>
      </c>
      <c r="E1370">
        <v>6.27</v>
      </c>
      <c r="F1370" t="s">
        <v>2380</v>
      </c>
      <c r="G1370" t="s">
        <v>2380</v>
      </c>
      <c r="H1370" t="s">
        <v>2380</v>
      </c>
      <c r="J1370" t="s">
        <v>2381</v>
      </c>
      <c r="K1370" t="str">
        <f t="shared" si="65"/>
        <v>No</v>
      </c>
      <c r="L1370" t="s">
        <v>2380</v>
      </c>
    </row>
    <row r="1371" spans="1:12" x14ac:dyDescent="0.35">
      <c r="A1371" t="s">
        <v>1001</v>
      </c>
      <c r="B1371" t="str">
        <f t="shared" si="63"/>
        <v>Obesity</v>
      </c>
      <c r="C1371">
        <v>43.85</v>
      </c>
      <c r="D1371" t="str">
        <f t="shared" si="64"/>
        <v>Normal</v>
      </c>
      <c r="E1371">
        <v>4.7699999999999996</v>
      </c>
      <c r="F1371" t="s">
        <v>2382</v>
      </c>
      <c r="G1371" t="s">
        <v>2380</v>
      </c>
      <c r="H1371" t="s">
        <v>2380</v>
      </c>
      <c r="J1371" t="s">
        <v>2381</v>
      </c>
      <c r="K1371" t="str">
        <f t="shared" si="65"/>
        <v>No</v>
      </c>
      <c r="L1371" t="s">
        <v>2380</v>
      </c>
    </row>
    <row r="1372" spans="1:12" x14ac:dyDescent="0.35">
      <c r="A1372" t="s">
        <v>1000</v>
      </c>
      <c r="B1372" t="str">
        <f t="shared" si="63"/>
        <v>Obesity</v>
      </c>
      <c r="C1372">
        <v>30.11</v>
      </c>
      <c r="D1372" t="str">
        <f t="shared" si="64"/>
        <v>Normal</v>
      </c>
      <c r="E1372">
        <v>4.08</v>
      </c>
      <c r="F1372" t="s">
        <v>2380</v>
      </c>
      <c r="G1372" t="s">
        <v>2380</v>
      </c>
      <c r="H1372" t="s">
        <v>2380</v>
      </c>
      <c r="J1372" t="s">
        <v>2381</v>
      </c>
      <c r="K1372" t="str">
        <f t="shared" si="65"/>
        <v>No</v>
      </c>
      <c r="L1372" t="s">
        <v>2380</v>
      </c>
    </row>
    <row r="1373" spans="1:12" x14ac:dyDescent="0.35">
      <c r="A1373" t="s">
        <v>999</v>
      </c>
      <c r="B1373" t="str">
        <f t="shared" si="63"/>
        <v>Obesity</v>
      </c>
      <c r="C1373">
        <v>31.59</v>
      </c>
      <c r="D1373" t="str">
        <f t="shared" si="64"/>
        <v>Prediabetes</v>
      </c>
      <c r="E1373">
        <v>6.01</v>
      </c>
      <c r="F1373" t="s">
        <v>2380</v>
      </c>
      <c r="G1373" t="s">
        <v>2380</v>
      </c>
      <c r="H1373" t="s">
        <v>2380</v>
      </c>
      <c r="J1373" t="s">
        <v>2381</v>
      </c>
      <c r="K1373" t="str">
        <f t="shared" si="65"/>
        <v>No</v>
      </c>
      <c r="L1373" t="s">
        <v>2380</v>
      </c>
    </row>
    <row r="1374" spans="1:12" x14ac:dyDescent="0.35">
      <c r="A1374" t="s">
        <v>998</v>
      </c>
      <c r="B1374" t="str">
        <f t="shared" si="63"/>
        <v>Obesity</v>
      </c>
      <c r="C1374">
        <v>40.15</v>
      </c>
      <c r="D1374" t="str">
        <f t="shared" si="64"/>
        <v>Diabetes</v>
      </c>
      <c r="E1374">
        <v>11.84</v>
      </c>
      <c r="F1374" t="s">
        <v>2380</v>
      </c>
      <c r="G1374" t="s">
        <v>2380</v>
      </c>
      <c r="H1374" t="s">
        <v>2380</v>
      </c>
      <c r="J1374" t="s">
        <v>2381</v>
      </c>
      <c r="K1374" t="str">
        <f t="shared" si="65"/>
        <v>No</v>
      </c>
      <c r="L1374" t="s">
        <v>2380</v>
      </c>
    </row>
    <row r="1375" spans="1:12" x14ac:dyDescent="0.35">
      <c r="A1375" t="s">
        <v>997</v>
      </c>
      <c r="B1375" t="str">
        <f t="shared" si="63"/>
        <v>Obesity</v>
      </c>
      <c r="C1375">
        <v>40.700000000000003</v>
      </c>
      <c r="D1375" t="str">
        <f t="shared" si="64"/>
        <v>Prediabetes</v>
      </c>
      <c r="E1375">
        <v>6.27</v>
      </c>
      <c r="F1375" t="s">
        <v>2382</v>
      </c>
      <c r="G1375" t="s">
        <v>2380</v>
      </c>
      <c r="H1375" t="s">
        <v>2383</v>
      </c>
      <c r="J1375">
        <v>1</v>
      </c>
      <c r="K1375" t="str">
        <f t="shared" si="65"/>
        <v>No</v>
      </c>
      <c r="L1375" t="s">
        <v>2380</v>
      </c>
    </row>
    <row r="1376" spans="1:12" x14ac:dyDescent="0.35">
      <c r="A1376" t="s">
        <v>996</v>
      </c>
      <c r="B1376" t="str">
        <f t="shared" si="63"/>
        <v>Obesity</v>
      </c>
      <c r="C1376">
        <v>40.76</v>
      </c>
      <c r="D1376" t="str">
        <f t="shared" si="64"/>
        <v>Normal</v>
      </c>
      <c r="E1376">
        <v>5.28</v>
      </c>
      <c r="F1376" t="s">
        <v>2380</v>
      </c>
      <c r="G1376" t="s">
        <v>2380</v>
      </c>
      <c r="H1376" t="s">
        <v>2380</v>
      </c>
      <c r="J1376" t="s">
        <v>2381</v>
      </c>
      <c r="K1376" t="str">
        <f t="shared" si="65"/>
        <v>No</v>
      </c>
      <c r="L1376" t="s">
        <v>2380</v>
      </c>
    </row>
    <row r="1377" spans="1:12" x14ac:dyDescent="0.35">
      <c r="A1377" t="s">
        <v>995</v>
      </c>
      <c r="B1377" t="str">
        <f t="shared" si="63"/>
        <v>Overweight</v>
      </c>
      <c r="C1377">
        <v>29.7</v>
      </c>
      <c r="D1377" t="str">
        <f t="shared" si="64"/>
        <v>Diabetes</v>
      </c>
      <c r="E1377">
        <v>7.03</v>
      </c>
      <c r="F1377" t="s">
        <v>2380</v>
      </c>
      <c r="G1377" t="s">
        <v>2380</v>
      </c>
      <c r="H1377" t="s">
        <v>2380</v>
      </c>
      <c r="J1377" t="s">
        <v>2381</v>
      </c>
      <c r="K1377" t="str">
        <f t="shared" si="65"/>
        <v>No</v>
      </c>
      <c r="L1377" t="s">
        <v>2380</v>
      </c>
    </row>
    <row r="1378" spans="1:12" x14ac:dyDescent="0.35">
      <c r="A1378" t="s">
        <v>994</v>
      </c>
      <c r="B1378" t="str">
        <f t="shared" si="63"/>
        <v>Obesity</v>
      </c>
      <c r="C1378">
        <v>40.58</v>
      </c>
      <c r="D1378" t="str">
        <f t="shared" si="64"/>
        <v>Normal</v>
      </c>
      <c r="E1378">
        <v>5.32</v>
      </c>
      <c r="F1378" t="s">
        <v>2382</v>
      </c>
      <c r="G1378" t="s">
        <v>2380</v>
      </c>
      <c r="H1378" t="s">
        <v>2383</v>
      </c>
      <c r="J1378">
        <v>1</v>
      </c>
      <c r="K1378" t="str">
        <f t="shared" si="65"/>
        <v>No</v>
      </c>
      <c r="L1378" t="s">
        <v>2380</v>
      </c>
    </row>
    <row r="1379" spans="1:12" x14ac:dyDescent="0.35">
      <c r="A1379" t="s">
        <v>993</v>
      </c>
      <c r="B1379" t="str">
        <f t="shared" si="63"/>
        <v>Obesity</v>
      </c>
      <c r="C1379">
        <v>33.06</v>
      </c>
      <c r="D1379" t="str">
        <f t="shared" si="64"/>
        <v>Diabetes</v>
      </c>
      <c r="E1379">
        <v>9.59</v>
      </c>
      <c r="F1379" t="s">
        <v>2382</v>
      </c>
      <c r="G1379" t="s">
        <v>2380</v>
      </c>
      <c r="H1379" t="s">
        <v>2380</v>
      </c>
      <c r="J1379" t="s">
        <v>2381</v>
      </c>
      <c r="K1379" t="str">
        <f t="shared" si="65"/>
        <v>No</v>
      </c>
      <c r="L1379" t="s">
        <v>2380</v>
      </c>
    </row>
    <row r="1380" spans="1:12" x14ac:dyDescent="0.35">
      <c r="A1380" t="s">
        <v>992</v>
      </c>
      <c r="B1380" t="str">
        <f t="shared" si="63"/>
        <v>Overweight</v>
      </c>
      <c r="C1380">
        <v>26.62</v>
      </c>
      <c r="D1380" t="str">
        <f t="shared" si="64"/>
        <v>Prediabetes</v>
      </c>
      <c r="E1380">
        <v>6.15</v>
      </c>
      <c r="F1380" t="s">
        <v>2382</v>
      </c>
      <c r="G1380" t="s">
        <v>2380</v>
      </c>
      <c r="H1380" t="s">
        <v>2380</v>
      </c>
      <c r="J1380" t="s">
        <v>2381</v>
      </c>
      <c r="K1380" t="str">
        <f t="shared" si="65"/>
        <v>No</v>
      </c>
      <c r="L1380" t="s">
        <v>2380</v>
      </c>
    </row>
    <row r="1381" spans="1:12" x14ac:dyDescent="0.35">
      <c r="A1381" t="s">
        <v>991</v>
      </c>
      <c r="B1381" t="str">
        <f t="shared" si="63"/>
        <v>Obesity</v>
      </c>
      <c r="C1381">
        <v>37.1</v>
      </c>
      <c r="D1381" t="str">
        <f t="shared" si="64"/>
        <v>Diabetes</v>
      </c>
      <c r="E1381">
        <v>11.08</v>
      </c>
      <c r="F1381" t="s">
        <v>2380</v>
      </c>
      <c r="G1381" t="s">
        <v>2380</v>
      </c>
      <c r="H1381" t="s">
        <v>2380</v>
      </c>
      <c r="J1381" t="s">
        <v>2381</v>
      </c>
      <c r="K1381" t="str">
        <f t="shared" si="65"/>
        <v>No</v>
      </c>
      <c r="L1381" t="s">
        <v>2380</v>
      </c>
    </row>
    <row r="1382" spans="1:12" x14ac:dyDescent="0.35">
      <c r="A1382" t="s">
        <v>990</v>
      </c>
      <c r="B1382" t="str">
        <f t="shared" si="63"/>
        <v>Underweight</v>
      </c>
      <c r="C1382">
        <v>18.28</v>
      </c>
      <c r="D1382" t="str">
        <f t="shared" si="64"/>
        <v>Diabetes</v>
      </c>
      <c r="E1382">
        <v>7.95</v>
      </c>
      <c r="F1382" t="s">
        <v>2380</v>
      </c>
      <c r="G1382" t="s">
        <v>2380</v>
      </c>
      <c r="H1382" t="s">
        <v>2380</v>
      </c>
      <c r="J1382" t="s">
        <v>2381</v>
      </c>
      <c r="K1382" t="str">
        <f t="shared" si="65"/>
        <v>No</v>
      </c>
      <c r="L1382" t="s">
        <v>2380</v>
      </c>
    </row>
    <row r="1383" spans="1:12" x14ac:dyDescent="0.35">
      <c r="A1383" t="s">
        <v>989</v>
      </c>
      <c r="B1383" t="str">
        <f t="shared" si="63"/>
        <v>Obesity</v>
      </c>
      <c r="C1383">
        <v>35.814999999999998</v>
      </c>
      <c r="D1383" t="str">
        <f t="shared" si="64"/>
        <v>Prediabetes</v>
      </c>
      <c r="E1383">
        <v>6.23</v>
      </c>
      <c r="F1383" t="s">
        <v>2380</v>
      </c>
      <c r="G1383" t="s">
        <v>2380</v>
      </c>
      <c r="H1383" t="s">
        <v>2380</v>
      </c>
      <c r="J1383" t="s">
        <v>2381</v>
      </c>
      <c r="K1383" t="str">
        <f t="shared" si="65"/>
        <v>No</v>
      </c>
      <c r="L1383" t="s">
        <v>2380</v>
      </c>
    </row>
    <row r="1384" spans="1:12" x14ac:dyDescent="0.35">
      <c r="A1384" t="s">
        <v>988</v>
      </c>
      <c r="B1384" t="str">
        <f t="shared" si="63"/>
        <v>Obesity</v>
      </c>
      <c r="C1384">
        <v>30.69</v>
      </c>
      <c r="D1384" t="str">
        <f t="shared" si="64"/>
        <v>Diabetes</v>
      </c>
      <c r="E1384">
        <v>6.5</v>
      </c>
      <c r="F1384" t="s">
        <v>2380</v>
      </c>
      <c r="G1384" t="s">
        <v>2380</v>
      </c>
      <c r="H1384" t="s">
        <v>2380</v>
      </c>
      <c r="J1384" t="s">
        <v>2381</v>
      </c>
      <c r="K1384" t="str">
        <f t="shared" si="65"/>
        <v>No</v>
      </c>
      <c r="L1384" t="s">
        <v>2380</v>
      </c>
    </row>
    <row r="1385" spans="1:12" x14ac:dyDescent="0.35">
      <c r="A1385" t="s">
        <v>987</v>
      </c>
      <c r="B1385" t="str">
        <f t="shared" si="63"/>
        <v>Overweight</v>
      </c>
      <c r="C1385">
        <v>26.125</v>
      </c>
      <c r="D1385" t="str">
        <f t="shared" si="64"/>
        <v>Normal</v>
      </c>
      <c r="E1385">
        <v>5.22</v>
      </c>
      <c r="F1385" t="s">
        <v>2380</v>
      </c>
      <c r="G1385" t="s">
        <v>2380</v>
      </c>
      <c r="H1385" t="s">
        <v>2380</v>
      </c>
      <c r="J1385" t="s">
        <v>2381</v>
      </c>
      <c r="K1385" t="str">
        <f t="shared" si="65"/>
        <v>No</v>
      </c>
      <c r="L1385" t="s">
        <v>2380</v>
      </c>
    </row>
    <row r="1386" spans="1:12" x14ac:dyDescent="0.35">
      <c r="A1386" t="s">
        <v>986</v>
      </c>
      <c r="B1386" t="str">
        <f t="shared" si="63"/>
        <v>Obesity</v>
      </c>
      <c r="C1386">
        <v>34.58</v>
      </c>
      <c r="D1386" t="str">
        <f t="shared" si="64"/>
        <v>Prediabetes</v>
      </c>
      <c r="E1386">
        <v>6.3</v>
      </c>
      <c r="F1386" t="s">
        <v>2380</v>
      </c>
      <c r="G1386" t="s">
        <v>2380</v>
      </c>
      <c r="H1386" t="s">
        <v>2383</v>
      </c>
      <c r="J1386">
        <v>1</v>
      </c>
      <c r="K1386" t="str">
        <f t="shared" si="65"/>
        <v>No</v>
      </c>
      <c r="L1386" t="s">
        <v>2380</v>
      </c>
    </row>
    <row r="1387" spans="1:12" x14ac:dyDescent="0.35">
      <c r="A1387" t="s">
        <v>985</v>
      </c>
      <c r="B1387" t="str">
        <f t="shared" si="63"/>
        <v>Overweight</v>
      </c>
      <c r="C1387">
        <v>27.4</v>
      </c>
      <c r="D1387" t="str">
        <f t="shared" si="64"/>
        <v>Diabetes</v>
      </c>
      <c r="E1387">
        <v>8.84</v>
      </c>
      <c r="F1387" t="s">
        <v>2380</v>
      </c>
      <c r="G1387" t="s">
        <v>2380</v>
      </c>
      <c r="H1387" t="s">
        <v>2380</v>
      </c>
      <c r="J1387" t="s">
        <v>2381</v>
      </c>
      <c r="K1387" t="str">
        <f t="shared" si="65"/>
        <v>No</v>
      </c>
      <c r="L1387" t="s">
        <v>2380</v>
      </c>
    </row>
    <row r="1388" spans="1:12" x14ac:dyDescent="0.35">
      <c r="A1388" t="s">
        <v>984</v>
      </c>
      <c r="B1388" t="str">
        <f t="shared" si="63"/>
        <v>Overweight</v>
      </c>
      <c r="C1388">
        <v>27.53</v>
      </c>
      <c r="D1388" t="str">
        <f t="shared" si="64"/>
        <v>Normal</v>
      </c>
      <c r="E1388">
        <v>4.1100000000000003</v>
      </c>
      <c r="F1388" t="s">
        <v>2380</v>
      </c>
      <c r="G1388" t="s">
        <v>2380</v>
      </c>
      <c r="H1388" t="s">
        <v>2380</v>
      </c>
      <c r="J1388">
        <v>1</v>
      </c>
      <c r="K1388" t="str">
        <f t="shared" si="65"/>
        <v>No</v>
      </c>
      <c r="L1388" t="s">
        <v>2380</v>
      </c>
    </row>
    <row r="1389" spans="1:12" x14ac:dyDescent="0.35">
      <c r="A1389" t="s">
        <v>983</v>
      </c>
      <c r="B1389" t="str">
        <f t="shared" si="63"/>
        <v>Obesity</v>
      </c>
      <c r="C1389">
        <v>33</v>
      </c>
      <c r="D1389" t="str">
        <f t="shared" si="64"/>
        <v>Normal</v>
      </c>
      <c r="E1389">
        <v>4.57</v>
      </c>
      <c r="F1389" t="s">
        <v>2380</v>
      </c>
      <c r="G1389" t="s">
        <v>2380</v>
      </c>
      <c r="H1389" t="s">
        <v>2380</v>
      </c>
      <c r="J1389" t="s">
        <v>2381</v>
      </c>
      <c r="K1389" t="str">
        <f t="shared" si="65"/>
        <v>No</v>
      </c>
      <c r="L1389" t="s">
        <v>2380</v>
      </c>
    </row>
    <row r="1390" spans="1:12" x14ac:dyDescent="0.35">
      <c r="A1390" t="s">
        <v>982</v>
      </c>
      <c r="B1390" t="str">
        <f t="shared" si="63"/>
        <v>Overweight</v>
      </c>
      <c r="C1390">
        <v>25.78</v>
      </c>
      <c r="D1390" t="str">
        <f t="shared" si="64"/>
        <v>Diabetes</v>
      </c>
      <c r="E1390">
        <v>11.06</v>
      </c>
      <c r="F1390" t="s">
        <v>2382</v>
      </c>
      <c r="G1390" t="s">
        <v>2380</v>
      </c>
      <c r="H1390" t="s">
        <v>2380</v>
      </c>
      <c r="J1390" t="s">
        <v>2381</v>
      </c>
      <c r="K1390" t="str">
        <f t="shared" si="65"/>
        <v>No</v>
      </c>
      <c r="L1390" t="s">
        <v>2380</v>
      </c>
    </row>
    <row r="1391" spans="1:12" x14ac:dyDescent="0.35">
      <c r="A1391" t="s">
        <v>981</v>
      </c>
      <c r="B1391" t="str">
        <f t="shared" si="63"/>
        <v>Normal Weight</v>
      </c>
      <c r="C1391">
        <v>22.66</v>
      </c>
      <c r="D1391" t="str">
        <f t="shared" si="64"/>
        <v>Diabetes</v>
      </c>
      <c r="E1391">
        <v>10.68</v>
      </c>
      <c r="F1391" t="s">
        <v>2380</v>
      </c>
      <c r="G1391" t="s">
        <v>2380</v>
      </c>
      <c r="H1391" t="s">
        <v>2380</v>
      </c>
      <c r="J1391" t="s">
        <v>2381</v>
      </c>
      <c r="K1391" t="str">
        <f t="shared" si="65"/>
        <v>No</v>
      </c>
      <c r="L1391" t="s">
        <v>2380</v>
      </c>
    </row>
    <row r="1392" spans="1:12" x14ac:dyDescent="0.35">
      <c r="A1392" t="s">
        <v>980</v>
      </c>
      <c r="B1392" t="str">
        <f t="shared" si="63"/>
        <v>Obesity</v>
      </c>
      <c r="C1392">
        <v>38.81</v>
      </c>
      <c r="D1392" t="str">
        <f t="shared" si="64"/>
        <v>Prediabetes</v>
      </c>
      <c r="E1392">
        <v>6.14</v>
      </c>
      <c r="F1392" t="s">
        <v>2382</v>
      </c>
      <c r="G1392" t="s">
        <v>2380</v>
      </c>
      <c r="H1392" t="s">
        <v>2380</v>
      </c>
      <c r="J1392">
        <v>1</v>
      </c>
      <c r="K1392" t="str">
        <f t="shared" si="65"/>
        <v>No</v>
      </c>
      <c r="L1392" t="s">
        <v>2380</v>
      </c>
    </row>
    <row r="1393" spans="1:12" x14ac:dyDescent="0.35">
      <c r="A1393" t="s">
        <v>979</v>
      </c>
      <c r="B1393" t="str">
        <f t="shared" si="63"/>
        <v>Obesity</v>
      </c>
      <c r="C1393">
        <v>38.51</v>
      </c>
      <c r="D1393" t="str">
        <f t="shared" si="64"/>
        <v>Normal</v>
      </c>
      <c r="E1393">
        <v>5.45</v>
      </c>
      <c r="F1393" t="s">
        <v>2382</v>
      </c>
      <c r="G1393" t="s">
        <v>2380</v>
      </c>
      <c r="H1393" t="s">
        <v>2380</v>
      </c>
      <c r="J1393" t="s">
        <v>2381</v>
      </c>
      <c r="K1393" t="str">
        <f t="shared" si="65"/>
        <v>No</v>
      </c>
      <c r="L1393" t="s">
        <v>2380</v>
      </c>
    </row>
    <row r="1394" spans="1:12" x14ac:dyDescent="0.35">
      <c r="A1394" t="s">
        <v>978</v>
      </c>
      <c r="B1394" t="str">
        <f t="shared" si="63"/>
        <v>Normal Weight</v>
      </c>
      <c r="C1394">
        <v>22.98</v>
      </c>
      <c r="D1394" t="str">
        <f t="shared" si="64"/>
        <v>Prediabetes</v>
      </c>
      <c r="E1394">
        <v>6.14</v>
      </c>
      <c r="F1394" t="s">
        <v>2382</v>
      </c>
      <c r="G1394" t="s">
        <v>2380</v>
      </c>
      <c r="H1394" t="s">
        <v>2380</v>
      </c>
      <c r="J1394" t="s">
        <v>2381</v>
      </c>
      <c r="K1394" t="str">
        <f t="shared" si="65"/>
        <v>No</v>
      </c>
      <c r="L1394" t="s">
        <v>2380</v>
      </c>
    </row>
    <row r="1395" spans="1:12" x14ac:dyDescent="0.35">
      <c r="A1395" t="s">
        <v>977</v>
      </c>
      <c r="B1395" t="str">
        <f t="shared" si="63"/>
        <v>Underweight</v>
      </c>
      <c r="C1395">
        <v>15.65</v>
      </c>
      <c r="D1395" t="str">
        <f t="shared" si="64"/>
        <v>Diabetes</v>
      </c>
      <c r="E1395">
        <v>7.85</v>
      </c>
      <c r="F1395" t="s">
        <v>2380</v>
      </c>
      <c r="G1395" t="s">
        <v>2380</v>
      </c>
      <c r="H1395" t="s">
        <v>2380</v>
      </c>
      <c r="J1395" t="s">
        <v>2381</v>
      </c>
      <c r="K1395" t="str">
        <f t="shared" si="65"/>
        <v>No</v>
      </c>
      <c r="L1395" t="s">
        <v>2380</v>
      </c>
    </row>
    <row r="1396" spans="1:12" x14ac:dyDescent="0.35">
      <c r="A1396" t="s">
        <v>976</v>
      </c>
      <c r="B1396" t="str">
        <f t="shared" si="63"/>
        <v>Obesity</v>
      </c>
      <c r="C1396">
        <v>39.97</v>
      </c>
      <c r="D1396" t="str">
        <f t="shared" si="64"/>
        <v>Normal</v>
      </c>
      <c r="E1396">
        <v>4.09</v>
      </c>
      <c r="F1396" t="s">
        <v>2380</v>
      </c>
      <c r="G1396" t="s">
        <v>2380</v>
      </c>
      <c r="H1396" t="s">
        <v>2380</v>
      </c>
      <c r="J1396">
        <v>1</v>
      </c>
      <c r="K1396" t="str">
        <f t="shared" si="65"/>
        <v>No</v>
      </c>
      <c r="L1396" t="s">
        <v>2380</v>
      </c>
    </row>
    <row r="1397" spans="1:12" x14ac:dyDescent="0.35">
      <c r="A1397" t="s">
        <v>975</v>
      </c>
      <c r="B1397" t="str">
        <f t="shared" si="63"/>
        <v>Obesity</v>
      </c>
      <c r="C1397">
        <v>37.22</v>
      </c>
      <c r="D1397" t="str">
        <f t="shared" si="64"/>
        <v>Normal</v>
      </c>
      <c r="E1397">
        <v>4.62</v>
      </c>
      <c r="F1397" t="s">
        <v>2380</v>
      </c>
      <c r="G1397" t="s">
        <v>2380</v>
      </c>
      <c r="H1397" t="s">
        <v>2383</v>
      </c>
      <c r="J1397">
        <v>1</v>
      </c>
      <c r="K1397" t="str">
        <f t="shared" si="65"/>
        <v>No</v>
      </c>
      <c r="L1397" t="s">
        <v>2380</v>
      </c>
    </row>
    <row r="1398" spans="1:12" x14ac:dyDescent="0.35">
      <c r="A1398" t="s">
        <v>974</v>
      </c>
      <c r="B1398" t="str">
        <f t="shared" si="63"/>
        <v>Obesity</v>
      </c>
      <c r="C1398">
        <v>41.325000000000003</v>
      </c>
      <c r="D1398" t="str">
        <f t="shared" si="64"/>
        <v>Prediabetes</v>
      </c>
      <c r="E1398">
        <v>5.77</v>
      </c>
      <c r="F1398" t="s">
        <v>2380</v>
      </c>
      <c r="G1398" t="s">
        <v>2380</v>
      </c>
      <c r="H1398" t="s">
        <v>2380</v>
      </c>
      <c r="J1398" t="s">
        <v>2381</v>
      </c>
      <c r="K1398" t="str">
        <f t="shared" si="65"/>
        <v>No</v>
      </c>
      <c r="L1398" t="s">
        <v>2380</v>
      </c>
    </row>
    <row r="1399" spans="1:12" x14ac:dyDescent="0.35">
      <c r="A1399" t="s">
        <v>973</v>
      </c>
      <c r="B1399" t="str">
        <f t="shared" si="63"/>
        <v>Obesity</v>
      </c>
      <c r="C1399">
        <v>40.31</v>
      </c>
      <c r="D1399" t="str">
        <f t="shared" si="64"/>
        <v>Prediabetes</v>
      </c>
      <c r="E1399">
        <v>5.84</v>
      </c>
      <c r="F1399" t="s">
        <v>2380</v>
      </c>
      <c r="G1399" t="s">
        <v>2380</v>
      </c>
      <c r="H1399" t="s">
        <v>2380</v>
      </c>
      <c r="J1399" t="s">
        <v>2381</v>
      </c>
      <c r="K1399" t="str">
        <f t="shared" si="65"/>
        <v>No</v>
      </c>
      <c r="L1399" t="s">
        <v>2380</v>
      </c>
    </row>
    <row r="1400" spans="1:12" x14ac:dyDescent="0.35">
      <c r="A1400" t="s">
        <v>972</v>
      </c>
      <c r="B1400" t="str">
        <f t="shared" si="63"/>
        <v>Overweight</v>
      </c>
      <c r="C1400">
        <v>29.48</v>
      </c>
      <c r="D1400" t="str">
        <f t="shared" si="64"/>
        <v>Normal</v>
      </c>
      <c r="E1400">
        <v>4.91</v>
      </c>
      <c r="F1400" t="s">
        <v>2380</v>
      </c>
      <c r="G1400" t="s">
        <v>2380</v>
      </c>
      <c r="H1400" t="s">
        <v>2380</v>
      </c>
      <c r="J1400" t="s">
        <v>2381</v>
      </c>
      <c r="K1400" t="str">
        <f t="shared" si="65"/>
        <v>No</v>
      </c>
      <c r="L1400" t="s">
        <v>2380</v>
      </c>
    </row>
    <row r="1401" spans="1:12" x14ac:dyDescent="0.35">
      <c r="A1401" t="s">
        <v>971</v>
      </c>
      <c r="B1401" t="str">
        <f t="shared" si="63"/>
        <v>Obesity</v>
      </c>
      <c r="C1401">
        <v>33.155000000000001</v>
      </c>
      <c r="D1401" t="str">
        <f t="shared" si="64"/>
        <v>Normal</v>
      </c>
      <c r="E1401">
        <v>5.07</v>
      </c>
      <c r="F1401" t="s">
        <v>2380</v>
      </c>
      <c r="G1401" t="s">
        <v>2380</v>
      </c>
      <c r="H1401" t="s">
        <v>2380</v>
      </c>
      <c r="J1401" t="s">
        <v>2381</v>
      </c>
      <c r="K1401" t="str">
        <f t="shared" si="65"/>
        <v>No</v>
      </c>
      <c r="L1401" t="s">
        <v>2380</v>
      </c>
    </row>
    <row r="1402" spans="1:12" x14ac:dyDescent="0.35">
      <c r="A1402" t="s">
        <v>970</v>
      </c>
      <c r="B1402" t="str">
        <f t="shared" si="63"/>
        <v>Obesity</v>
      </c>
      <c r="C1402">
        <v>42.85</v>
      </c>
      <c r="D1402" t="str">
        <f t="shared" si="64"/>
        <v>Prediabetes</v>
      </c>
      <c r="E1402">
        <v>5.81</v>
      </c>
      <c r="F1402" t="s">
        <v>2382</v>
      </c>
      <c r="G1402" t="s">
        <v>2380</v>
      </c>
      <c r="H1402" t="s">
        <v>2380</v>
      </c>
      <c r="J1402" t="s">
        <v>2381</v>
      </c>
      <c r="K1402" t="str">
        <f t="shared" si="65"/>
        <v>No</v>
      </c>
      <c r="L1402" t="s">
        <v>2380</v>
      </c>
    </row>
    <row r="1403" spans="1:12" x14ac:dyDescent="0.35">
      <c r="A1403" t="s">
        <v>969</v>
      </c>
      <c r="B1403" t="str">
        <f t="shared" si="63"/>
        <v>Obesity</v>
      </c>
      <c r="C1403">
        <v>32.340000000000003</v>
      </c>
      <c r="D1403" t="str">
        <f t="shared" si="64"/>
        <v>Diabetes</v>
      </c>
      <c r="E1403">
        <v>11.2</v>
      </c>
      <c r="F1403" t="s">
        <v>2380</v>
      </c>
      <c r="G1403" t="s">
        <v>2380</v>
      </c>
      <c r="H1403" t="s">
        <v>2380</v>
      </c>
      <c r="J1403" t="s">
        <v>2381</v>
      </c>
      <c r="K1403" t="str">
        <f t="shared" si="65"/>
        <v>No</v>
      </c>
      <c r="L1403" t="s">
        <v>2380</v>
      </c>
    </row>
    <row r="1404" spans="1:12" x14ac:dyDescent="0.35">
      <c r="A1404" t="s">
        <v>968</v>
      </c>
      <c r="B1404" t="str">
        <f t="shared" si="63"/>
        <v>Overweight</v>
      </c>
      <c r="C1404">
        <v>27.5</v>
      </c>
      <c r="D1404" t="str">
        <f t="shared" si="64"/>
        <v>Diabetes</v>
      </c>
      <c r="E1404">
        <v>10.75</v>
      </c>
      <c r="F1404" t="s">
        <v>2380</v>
      </c>
      <c r="G1404" t="s">
        <v>2380</v>
      </c>
      <c r="H1404" t="s">
        <v>2380</v>
      </c>
      <c r="J1404" t="s">
        <v>2381</v>
      </c>
      <c r="K1404" t="str">
        <f t="shared" si="65"/>
        <v>No</v>
      </c>
      <c r="L1404" t="s">
        <v>2380</v>
      </c>
    </row>
    <row r="1405" spans="1:12" x14ac:dyDescent="0.35">
      <c r="A1405" t="s">
        <v>967</v>
      </c>
      <c r="B1405" t="str">
        <f t="shared" si="63"/>
        <v>Overweight</v>
      </c>
      <c r="C1405">
        <v>25.8</v>
      </c>
      <c r="D1405" t="str">
        <f t="shared" si="64"/>
        <v>Diabetes</v>
      </c>
      <c r="E1405">
        <v>7.8</v>
      </c>
      <c r="F1405" t="s">
        <v>2380</v>
      </c>
      <c r="G1405" t="s">
        <v>2380</v>
      </c>
      <c r="H1405" t="s">
        <v>2380</v>
      </c>
      <c r="J1405" t="s">
        <v>2381</v>
      </c>
      <c r="K1405" t="str">
        <f t="shared" si="65"/>
        <v>No</v>
      </c>
      <c r="L1405" t="s">
        <v>2380</v>
      </c>
    </row>
    <row r="1406" spans="1:12" x14ac:dyDescent="0.35">
      <c r="A1406" t="s">
        <v>966</v>
      </c>
      <c r="B1406" t="str">
        <f t="shared" si="63"/>
        <v>Overweight</v>
      </c>
      <c r="C1406">
        <v>25</v>
      </c>
      <c r="D1406" t="str">
        <f t="shared" si="64"/>
        <v>Diabetes</v>
      </c>
      <c r="E1406">
        <v>7.04</v>
      </c>
      <c r="F1406" t="s">
        <v>2380</v>
      </c>
      <c r="G1406" t="s">
        <v>2380</v>
      </c>
      <c r="H1406" t="s">
        <v>2380</v>
      </c>
      <c r="J1406" t="s">
        <v>2381</v>
      </c>
      <c r="K1406" t="str">
        <f t="shared" si="65"/>
        <v>No</v>
      </c>
      <c r="L1406" t="s">
        <v>2380</v>
      </c>
    </row>
    <row r="1407" spans="1:12" x14ac:dyDescent="0.35">
      <c r="A1407" t="s">
        <v>965</v>
      </c>
      <c r="B1407" t="str">
        <f t="shared" si="63"/>
        <v>Obesity</v>
      </c>
      <c r="C1407">
        <v>41.2</v>
      </c>
      <c r="D1407" t="str">
        <f t="shared" si="64"/>
        <v>Normal</v>
      </c>
      <c r="E1407">
        <v>4.18</v>
      </c>
      <c r="F1407" t="s">
        <v>2382</v>
      </c>
      <c r="G1407" t="s">
        <v>2380</v>
      </c>
      <c r="H1407" t="s">
        <v>2380</v>
      </c>
      <c r="J1407" t="s">
        <v>2381</v>
      </c>
      <c r="K1407" t="str">
        <f t="shared" si="65"/>
        <v>No</v>
      </c>
      <c r="L1407" t="s">
        <v>2380</v>
      </c>
    </row>
    <row r="1408" spans="1:12" x14ac:dyDescent="0.35">
      <c r="A1408" t="s">
        <v>964</v>
      </c>
      <c r="B1408" t="str">
        <f t="shared" si="63"/>
        <v>Underweight</v>
      </c>
      <c r="C1408">
        <v>17.78</v>
      </c>
      <c r="D1408" t="str">
        <f t="shared" si="64"/>
        <v>Diabetes</v>
      </c>
      <c r="E1408">
        <v>8.19</v>
      </c>
      <c r="F1408" t="s">
        <v>2380</v>
      </c>
      <c r="G1408" t="s">
        <v>2380</v>
      </c>
      <c r="H1408" t="s">
        <v>2380</v>
      </c>
      <c r="J1408" t="s">
        <v>2381</v>
      </c>
      <c r="K1408" t="str">
        <f t="shared" si="65"/>
        <v>No</v>
      </c>
      <c r="L1408" t="s">
        <v>2380</v>
      </c>
    </row>
    <row r="1409" spans="1:12" x14ac:dyDescent="0.35">
      <c r="A1409" t="s">
        <v>963</v>
      </c>
      <c r="B1409" t="str">
        <f t="shared" si="63"/>
        <v>Obesity</v>
      </c>
      <c r="C1409">
        <v>40.119999999999997</v>
      </c>
      <c r="D1409" t="str">
        <f t="shared" si="64"/>
        <v>Prediabetes</v>
      </c>
      <c r="E1409">
        <v>6.22</v>
      </c>
      <c r="F1409" t="s">
        <v>2382</v>
      </c>
      <c r="G1409" t="s">
        <v>2380</v>
      </c>
      <c r="H1409" t="s">
        <v>2383</v>
      </c>
      <c r="J1409">
        <v>1</v>
      </c>
      <c r="K1409" t="str">
        <f t="shared" si="65"/>
        <v>No</v>
      </c>
      <c r="L1409" t="s">
        <v>2380</v>
      </c>
    </row>
    <row r="1410" spans="1:12" x14ac:dyDescent="0.35">
      <c r="A1410" t="s">
        <v>962</v>
      </c>
      <c r="B1410" t="str">
        <f t="shared" si="63"/>
        <v>Normal Weight</v>
      </c>
      <c r="C1410">
        <v>19.350000000000001</v>
      </c>
      <c r="D1410" t="str">
        <f t="shared" si="64"/>
        <v>Diabetes</v>
      </c>
      <c r="E1410">
        <v>8.2200000000000006</v>
      </c>
      <c r="F1410" t="s">
        <v>2382</v>
      </c>
      <c r="G1410" t="s">
        <v>2380</v>
      </c>
      <c r="H1410" t="s">
        <v>2380</v>
      </c>
      <c r="J1410" t="s">
        <v>2381</v>
      </c>
      <c r="K1410" t="str">
        <f t="shared" si="65"/>
        <v>No</v>
      </c>
      <c r="L1410" t="s">
        <v>2380</v>
      </c>
    </row>
    <row r="1411" spans="1:12" x14ac:dyDescent="0.35">
      <c r="A1411" t="s">
        <v>961</v>
      </c>
      <c r="B1411" t="str">
        <f t="shared" ref="B1411:B1474" si="66">_xlfn.IFS(C1411&lt;18.5, "Underweight", C1411&lt;=24.9, "Normal Weight", C1411&lt;=29.9, "Overweight", C1411&gt;=30, "Obesity")</f>
        <v>Obesity</v>
      </c>
      <c r="C1411">
        <v>36.69</v>
      </c>
      <c r="D1411" t="str">
        <f t="shared" ref="D1411:D1474" si="67">_xlfn.IFS(E1411&lt;5.7, "Normal", E1411&lt;=6.4, "Prediabetes", E1411&gt;=6.5, "Diabetes")</f>
        <v>Prediabetes</v>
      </c>
      <c r="E1411">
        <v>6.15</v>
      </c>
      <c r="F1411" t="s">
        <v>2380</v>
      </c>
      <c r="G1411" t="s">
        <v>2380</v>
      </c>
      <c r="H1411" t="s">
        <v>2380</v>
      </c>
      <c r="J1411" t="s">
        <v>2381</v>
      </c>
      <c r="K1411" t="str">
        <f t="shared" si="65"/>
        <v>No</v>
      </c>
      <c r="L1411" t="s">
        <v>2380</v>
      </c>
    </row>
    <row r="1412" spans="1:12" x14ac:dyDescent="0.35">
      <c r="A1412" t="s">
        <v>960</v>
      </c>
      <c r="B1412" t="str">
        <f t="shared" si="66"/>
        <v>Overweight</v>
      </c>
      <c r="C1412">
        <v>28.51</v>
      </c>
      <c r="D1412" t="str">
        <f t="shared" si="67"/>
        <v>Normal</v>
      </c>
      <c r="E1412">
        <v>5.65</v>
      </c>
      <c r="F1412" t="s">
        <v>2382</v>
      </c>
      <c r="G1412" t="s">
        <v>2380</v>
      </c>
      <c r="H1412" t="s">
        <v>2380</v>
      </c>
      <c r="J1412">
        <v>1</v>
      </c>
      <c r="K1412" t="str">
        <f t="shared" ref="K1412:K1475" si="68">IF(OR(L1412="?", ISBLANK(L1412)), "No", L1412)</f>
        <v>No</v>
      </c>
      <c r="L1412" t="s">
        <v>2380</v>
      </c>
    </row>
    <row r="1413" spans="1:12" x14ac:dyDescent="0.35">
      <c r="A1413" t="s">
        <v>959</v>
      </c>
      <c r="B1413" t="str">
        <f t="shared" si="66"/>
        <v>Obesity</v>
      </c>
      <c r="C1413">
        <v>30.21</v>
      </c>
      <c r="D1413" t="str">
        <f t="shared" si="67"/>
        <v>Normal</v>
      </c>
      <c r="E1413">
        <v>5.5</v>
      </c>
      <c r="F1413" t="s">
        <v>2380</v>
      </c>
      <c r="G1413" t="s">
        <v>2380</v>
      </c>
      <c r="H1413" t="s">
        <v>2380</v>
      </c>
      <c r="J1413">
        <v>1</v>
      </c>
      <c r="K1413" t="str">
        <f t="shared" si="68"/>
        <v>No</v>
      </c>
      <c r="L1413" t="s">
        <v>2380</v>
      </c>
    </row>
    <row r="1414" spans="1:12" x14ac:dyDescent="0.35">
      <c r="A1414" t="s">
        <v>958</v>
      </c>
      <c r="B1414" t="str">
        <f t="shared" si="66"/>
        <v>Normal Weight</v>
      </c>
      <c r="C1414">
        <v>24.33</v>
      </c>
      <c r="D1414" t="str">
        <f t="shared" si="67"/>
        <v>Diabetes</v>
      </c>
      <c r="E1414">
        <v>8</v>
      </c>
      <c r="F1414" t="s">
        <v>2380</v>
      </c>
      <c r="G1414" t="s">
        <v>2380</v>
      </c>
      <c r="H1414" t="s">
        <v>2380</v>
      </c>
      <c r="J1414" t="s">
        <v>2381</v>
      </c>
      <c r="K1414" t="str">
        <f t="shared" si="68"/>
        <v>No</v>
      </c>
      <c r="L1414" t="s">
        <v>2380</v>
      </c>
    </row>
    <row r="1415" spans="1:12" x14ac:dyDescent="0.35">
      <c r="A1415" t="s">
        <v>957</v>
      </c>
      <c r="B1415" t="str">
        <f t="shared" si="66"/>
        <v>Normal Weight</v>
      </c>
      <c r="C1415">
        <v>19.855</v>
      </c>
      <c r="D1415" t="str">
        <f t="shared" si="67"/>
        <v>Prediabetes</v>
      </c>
      <c r="E1415">
        <v>5.71</v>
      </c>
      <c r="F1415" t="s">
        <v>2382</v>
      </c>
      <c r="G1415" t="s">
        <v>2380</v>
      </c>
      <c r="H1415" t="s">
        <v>2380</v>
      </c>
      <c r="J1415" t="s">
        <v>2381</v>
      </c>
      <c r="K1415" t="str">
        <f t="shared" si="68"/>
        <v>No</v>
      </c>
      <c r="L1415" t="s">
        <v>2380</v>
      </c>
    </row>
    <row r="1416" spans="1:12" x14ac:dyDescent="0.35">
      <c r="A1416" t="s">
        <v>956</v>
      </c>
      <c r="B1416" t="str">
        <f t="shared" si="66"/>
        <v>Overweight</v>
      </c>
      <c r="C1416">
        <v>25.364999999999998</v>
      </c>
      <c r="D1416" t="str">
        <f t="shared" si="67"/>
        <v>Diabetes</v>
      </c>
      <c r="E1416">
        <v>11.71</v>
      </c>
      <c r="F1416" t="s">
        <v>2380</v>
      </c>
      <c r="G1416" t="s">
        <v>2380</v>
      </c>
      <c r="H1416" t="s">
        <v>2380</v>
      </c>
      <c r="J1416" t="s">
        <v>2381</v>
      </c>
      <c r="K1416" t="str">
        <f t="shared" si="68"/>
        <v>No</v>
      </c>
      <c r="L1416" t="s">
        <v>2380</v>
      </c>
    </row>
    <row r="1417" spans="1:12" x14ac:dyDescent="0.35">
      <c r="A1417" t="s">
        <v>955</v>
      </c>
      <c r="B1417" t="str">
        <f t="shared" si="66"/>
        <v>Overweight</v>
      </c>
      <c r="C1417">
        <v>29.6</v>
      </c>
      <c r="D1417" t="str">
        <f t="shared" si="67"/>
        <v>Prediabetes</v>
      </c>
      <c r="E1417">
        <v>6.17</v>
      </c>
      <c r="F1417" t="s">
        <v>2382</v>
      </c>
      <c r="G1417" t="s">
        <v>2380</v>
      </c>
      <c r="H1417" t="s">
        <v>2383</v>
      </c>
      <c r="J1417">
        <v>1</v>
      </c>
      <c r="K1417" t="str">
        <f t="shared" si="68"/>
        <v>No</v>
      </c>
      <c r="L1417" t="s">
        <v>2380</v>
      </c>
    </row>
    <row r="1418" spans="1:12" x14ac:dyDescent="0.35">
      <c r="A1418" t="s">
        <v>954</v>
      </c>
      <c r="B1418" t="str">
        <f t="shared" si="66"/>
        <v>Obesity</v>
      </c>
      <c r="C1418">
        <v>39.43</v>
      </c>
      <c r="D1418" t="str">
        <f t="shared" si="67"/>
        <v>Prediabetes</v>
      </c>
      <c r="E1418">
        <v>6.1</v>
      </c>
      <c r="F1418" t="s">
        <v>2382</v>
      </c>
      <c r="G1418" t="s">
        <v>2380</v>
      </c>
      <c r="H1418" t="s">
        <v>2383</v>
      </c>
      <c r="J1418">
        <v>1</v>
      </c>
      <c r="K1418" t="str">
        <f t="shared" si="68"/>
        <v>No</v>
      </c>
      <c r="L1418" t="s">
        <v>2380</v>
      </c>
    </row>
    <row r="1419" spans="1:12" x14ac:dyDescent="0.35">
      <c r="A1419" t="s">
        <v>953</v>
      </c>
      <c r="B1419" t="str">
        <f t="shared" si="66"/>
        <v>Overweight</v>
      </c>
      <c r="C1419">
        <v>27.34</v>
      </c>
      <c r="D1419" t="str">
        <f t="shared" si="67"/>
        <v>Normal</v>
      </c>
      <c r="E1419">
        <v>5.19</v>
      </c>
      <c r="F1419" t="s">
        <v>2382</v>
      </c>
      <c r="G1419" t="s">
        <v>2380</v>
      </c>
      <c r="H1419" t="s">
        <v>2380</v>
      </c>
      <c r="J1419">
        <v>1</v>
      </c>
      <c r="K1419" t="str">
        <f t="shared" si="68"/>
        <v>No</v>
      </c>
      <c r="L1419" t="s">
        <v>2380</v>
      </c>
    </row>
    <row r="1420" spans="1:12" x14ac:dyDescent="0.35">
      <c r="A1420" t="s">
        <v>952</v>
      </c>
      <c r="B1420" t="str">
        <f t="shared" si="66"/>
        <v>Obesity</v>
      </c>
      <c r="C1420">
        <v>39.01</v>
      </c>
      <c r="D1420" t="str">
        <f t="shared" si="67"/>
        <v>Normal</v>
      </c>
      <c r="E1420">
        <v>5.37</v>
      </c>
      <c r="F1420" t="s">
        <v>2382</v>
      </c>
      <c r="G1420" t="s">
        <v>2380</v>
      </c>
      <c r="H1420" t="s">
        <v>2380</v>
      </c>
      <c r="J1420" t="s">
        <v>2381</v>
      </c>
      <c r="K1420" t="str">
        <f t="shared" si="68"/>
        <v>No</v>
      </c>
      <c r="L1420" t="s">
        <v>2380</v>
      </c>
    </row>
    <row r="1421" spans="1:12" x14ac:dyDescent="0.35">
      <c r="A1421" t="s">
        <v>951</v>
      </c>
      <c r="B1421" t="str">
        <f t="shared" si="66"/>
        <v>Normal Weight</v>
      </c>
      <c r="C1421">
        <v>18.989999999999998</v>
      </c>
      <c r="D1421" t="str">
        <f t="shared" si="67"/>
        <v>Diabetes</v>
      </c>
      <c r="E1421">
        <v>10.82</v>
      </c>
      <c r="F1421" t="s">
        <v>2382</v>
      </c>
      <c r="G1421" t="s">
        <v>2380</v>
      </c>
      <c r="H1421" t="s">
        <v>2380</v>
      </c>
      <c r="J1421" t="s">
        <v>2381</v>
      </c>
      <c r="K1421" t="str">
        <f t="shared" si="68"/>
        <v>No</v>
      </c>
      <c r="L1421" t="s">
        <v>2380</v>
      </c>
    </row>
    <row r="1422" spans="1:12" x14ac:dyDescent="0.35">
      <c r="A1422" t="s">
        <v>950</v>
      </c>
      <c r="B1422" t="str">
        <f t="shared" si="66"/>
        <v>Obesity</v>
      </c>
      <c r="C1422">
        <v>42.3</v>
      </c>
      <c r="D1422" t="str">
        <f t="shared" si="67"/>
        <v>Prediabetes</v>
      </c>
      <c r="E1422">
        <v>6.06</v>
      </c>
      <c r="F1422" t="s">
        <v>2382</v>
      </c>
      <c r="G1422" t="s">
        <v>2380</v>
      </c>
      <c r="H1422" t="s">
        <v>2380</v>
      </c>
      <c r="J1422" t="s">
        <v>2381</v>
      </c>
      <c r="K1422" t="str">
        <f t="shared" si="68"/>
        <v>No</v>
      </c>
      <c r="L1422" t="s">
        <v>2380</v>
      </c>
    </row>
    <row r="1423" spans="1:12" x14ac:dyDescent="0.35">
      <c r="A1423" t="s">
        <v>949</v>
      </c>
      <c r="B1423" t="str">
        <f t="shared" si="66"/>
        <v>Obesity</v>
      </c>
      <c r="C1423">
        <v>39.805</v>
      </c>
      <c r="D1423" t="str">
        <f t="shared" si="67"/>
        <v>Prediabetes</v>
      </c>
      <c r="E1423">
        <v>5.91</v>
      </c>
      <c r="F1423" t="s">
        <v>2380</v>
      </c>
      <c r="G1423" t="s">
        <v>2380</v>
      </c>
      <c r="H1423" t="s">
        <v>2380</v>
      </c>
      <c r="J1423" t="s">
        <v>2381</v>
      </c>
      <c r="K1423" t="str">
        <f t="shared" si="68"/>
        <v>No</v>
      </c>
      <c r="L1423" t="s">
        <v>2380</v>
      </c>
    </row>
    <row r="1424" spans="1:12" x14ac:dyDescent="0.35">
      <c r="A1424" t="s">
        <v>948</v>
      </c>
      <c r="B1424" t="str">
        <f t="shared" si="66"/>
        <v>Obesity</v>
      </c>
      <c r="C1424">
        <v>33.700000000000003</v>
      </c>
      <c r="D1424" t="str">
        <f t="shared" si="67"/>
        <v>Prediabetes</v>
      </c>
      <c r="E1424">
        <v>5.87</v>
      </c>
      <c r="F1424" t="s">
        <v>2380</v>
      </c>
      <c r="G1424" t="s">
        <v>2380</v>
      </c>
      <c r="H1424" t="s">
        <v>2380</v>
      </c>
      <c r="J1424" t="s">
        <v>2381</v>
      </c>
      <c r="K1424" t="str">
        <f t="shared" si="68"/>
        <v>No</v>
      </c>
      <c r="L1424" t="s">
        <v>2380</v>
      </c>
    </row>
    <row r="1425" spans="1:12" x14ac:dyDescent="0.35">
      <c r="A1425" t="s">
        <v>947</v>
      </c>
      <c r="B1425" t="str">
        <f t="shared" si="66"/>
        <v>Obesity</v>
      </c>
      <c r="C1425">
        <v>36.195</v>
      </c>
      <c r="D1425" t="str">
        <f t="shared" si="67"/>
        <v>Prediabetes</v>
      </c>
      <c r="E1425">
        <v>6.22</v>
      </c>
      <c r="F1425" t="s">
        <v>2380</v>
      </c>
      <c r="G1425" t="s">
        <v>2380</v>
      </c>
      <c r="H1425" t="s">
        <v>2380</v>
      </c>
      <c r="J1425" t="s">
        <v>2381</v>
      </c>
      <c r="K1425" t="str">
        <f t="shared" si="68"/>
        <v>No</v>
      </c>
      <c r="L1425" t="s">
        <v>2380</v>
      </c>
    </row>
    <row r="1426" spans="1:12" x14ac:dyDescent="0.35">
      <c r="A1426" t="s">
        <v>946</v>
      </c>
      <c r="B1426" t="str">
        <f t="shared" si="66"/>
        <v>Obesity</v>
      </c>
      <c r="C1426">
        <v>32.6</v>
      </c>
      <c r="D1426" t="str">
        <f t="shared" si="67"/>
        <v>Prediabetes</v>
      </c>
      <c r="E1426">
        <v>5.73</v>
      </c>
      <c r="F1426" t="s">
        <v>2380</v>
      </c>
      <c r="G1426" t="s">
        <v>2380</v>
      </c>
      <c r="H1426" t="s">
        <v>2383</v>
      </c>
      <c r="J1426">
        <v>1</v>
      </c>
      <c r="K1426" t="str">
        <f t="shared" si="68"/>
        <v>No</v>
      </c>
      <c r="L1426" t="s">
        <v>2380</v>
      </c>
    </row>
    <row r="1427" spans="1:12" x14ac:dyDescent="0.35">
      <c r="A1427" t="s">
        <v>945</v>
      </c>
      <c r="B1427" t="str">
        <f t="shared" si="66"/>
        <v>Obesity</v>
      </c>
      <c r="C1427">
        <v>30.2</v>
      </c>
      <c r="D1427" t="str">
        <f t="shared" si="67"/>
        <v>Prediabetes</v>
      </c>
      <c r="E1427">
        <v>5.7</v>
      </c>
      <c r="F1427" t="s">
        <v>2380</v>
      </c>
      <c r="G1427" t="s">
        <v>2380</v>
      </c>
      <c r="H1427" t="s">
        <v>2380</v>
      </c>
      <c r="J1427" t="s">
        <v>2381</v>
      </c>
      <c r="K1427" t="str">
        <f t="shared" si="68"/>
        <v>No</v>
      </c>
      <c r="L1427" t="s">
        <v>2380</v>
      </c>
    </row>
    <row r="1428" spans="1:12" x14ac:dyDescent="0.35">
      <c r="A1428" t="s">
        <v>944</v>
      </c>
      <c r="B1428" t="str">
        <f t="shared" si="66"/>
        <v>Overweight</v>
      </c>
      <c r="C1428">
        <v>27.645</v>
      </c>
      <c r="D1428" t="str">
        <f t="shared" si="67"/>
        <v>Diabetes</v>
      </c>
      <c r="E1428">
        <v>9.91</v>
      </c>
      <c r="F1428" t="s">
        <v>2380</v>
      </c>
      <c r="G1428" t="s">
        <v>2380</v>
      </c>
      <c r="H1428" t="s">
        <v>2380</v>
      </c>
      <c r="J1428" t="s">
        <v>2381</v>
      </c>
      <c r="K1428" t="str">
        <f t="shared" si="68"/>
        <v>No</v>
      </c>
      <c r="L1428" t="s">
        <v>2380</v>
      </c>
    </row>
    <row r="1429" spans="1:12" x14ac:dyDescent="0.35">
      <c r="A1429" t="s">
        <v>943</v>
      </c>
      <c r="B1429" t="str">
        <f t="shared" si="66"/>
        <v>Overweight</v>
      </c>
      <c r="C1429">
        <v>26.41</v>
      </c>
      <c r="D1429" t="str">
        <f t="shared" si="67"/>
        <v>Diabetes</v>
      </c>
      <c r="E1429">
        <v>11.4</v>
      </c>
      <c r="F1429" t="s">
        <v>2380</v>
      </c>
      <c r="G1429" t="s">
        <v>2380</v>
      </c>
      <c r="H1429" t="s">
        <v>2380</v>
      </c>
      <c r="J1429" t="s">
        <v>2381</v>
      </c>
      <c r="K1429" t="str">
        <f t="shared" si="68"/>
        <v>No</v>
      </c>
      <c r="L1429" t="s">
        <v>2380</v>
      </c>
    </row>
    <row r="1430" spans="1:12" x14ac:dyDescent="0.35">
      <c r="A1430" t="s">
        <v>942</v>
      </c>
      <c r="B1430" t="str">
        <f t="shared" si="66"/>
        <v>Obesity</v>
      </c>
      <c r="C1430">
        <v>34.1</v>
      </c>
      <c r="D1430" t="str">
        <f t="shared" si="67"/>
        <v>Prediabetes</v>
      </c>
      <c r="E1430">
        <v>6.29</v>
      </c>
      <c r="F1430" t="s">
        <v>2382</v>
      </c>
      <c r="G1430" t="s">
        <v>2380</v>
      </c>
      <c r="H1430" t="s">
        <v>2383</v>
      </c>
      <c r="J1430">
        <v>1</v>
      </c>
      <c r="K1430" t="str">
        <f t="shared" si="68"/>
        <v>No</v>
      </c>
      <c r="L1430" t="s">
        <v>2380</v>
      </c>
    </row>
    <row r="1431" spans="1:12" x14ac:dyDescent="0.35">
      <c r="A1431" t="s">
        <v>941</v>
      </c>
      <c r="B1431" t="str">
        <f t="shared" si="66"/>
        <v>Underweight</v>
      </c>
      <c r="C1431">
        <v>17.3</v>
      </c>
      <c r="D1431" t="str">
        <f t="shared" si="67"/>
        <v>Diabetes</v>
      </c>
      <c r="E1431">
        <v>9.2799999999999994</v>
      </c>
      <c r="F1431" t="s">
        <v>2380</v>
      </c>
      <c r="G1431" t="s">
        <v>2380</v>
      </c>
      <c r="H1431" t="s">
        <v>2380</v>
      </c>
      <c r="J1431" t="s">
        <v>2381</v>
      </c>
      <c r="K1431" t="str">
        <f t="shared" si="68"/>
        <v>No</v>
      </c>
      <c r="L1431" t="s">
        <v>2380</v>
      </c>
    </row>
    <row r="1432" spans="1:12" x14ac:dyDescent="0.35">
      <c r="A1432" t="s">
        <v>940</v>
      </c>
      <c r="B1432" t="str">
        <f t="shared" si="66"/>
        <v>Obesity</v>
      </c>
      <c r="C1432">
        <v>35.020000000000003</v>
      </c>
      <c r="D1432" t="str">
        <f t="shared" si="67"/>
        <v>Normal</v>
      </c>
      <c r="E1432">
        <v>4.78</v>
      </c>
      <c r="F1432" t="s">
        <v>2380</v>
      </c>
      <c r="G1432" t="s">
        <v>2380</v>
      </c>
      <c r="H1432" t="s">
        <v>2383</v>
      </c>
      <c r="J1432">
        <v>1</v>
      </c>
      <c r="K1432" t="str">
        <f t="shared" si="68"/>
        <v>No</v>
      </c>
      <c r="L1432" t="s">
        <v>2380</v>
      </c>
    </row>
    <row r="1433" spans="1:12" x14ac:dyDescent="0.35">
      <c r="A1433" t="s">
        <v>939</v>
      </c>
      <c r="B1433" t="str">
        <f t="shared" si="66"/>
        <v>Obesity</v>
      </c>
      <c r="C1433">
        <v>37.1</v>
      </c>
      <c r="D1433" t="str">
        <f t="shared" si="67"/>
        <v>Diabetes</v>
      </c>
      <c r="E1433">
        <v>8.8699999999999992</v>
      </c>
      <c r="F1433" t="s">
        <v>2382</v>
      </c>
      <c r="G1433" t="s">
        <v>2380</v>
      </c>
      <c r="H1433" t="s">
        <v>2380</v>
      </c>
      <c r="J1433" t="s">
        <v>2381</v>
      </c>
      <c r="K1433" t="str">
        <f t="shared" si="68"/>
        <v>No</v>
      </c>
      <c r="L1433" t="s">
        <v>2380</v>
      </c>
    </row>
    <row r="1434" spans="1:12" x14ac:dyDescent="0.35">
      <c r="A1434" t="s">
        <v>938</v>
      </c>
      <c r="B1434" t="str">
        <f t="shared" si="66"/>
        <v>Underweight</v>
      </c>
      <c r="C1434">
        <v>16.79</v>
      </c>
      <c r="D1434" t="str">
        <f t="shared" si="67"/>
        <v>Diabetes</v>
      </c>
      <c r="E1434">
        <v>11.4</v>
      </c>
      <c r="F1434" t="s">
        <v>2380</v>
      </c>
      <c r="G1434" t="s">
        <v>2380</v>
      </c>
      <c r="H1434" t="s">
        <v>2380</v>
      </c>
      <c r="J1434" t="s">
        <v>2381</v>
      </c>
      <c r="K1434" t="str">
        <f t="shared" si="68"/>
        <v>No</v>
      </c>
      <c r="L1434" t="s">
        <v>2380</v>
      </c>
    </row>
    <row r="1435" spans="1:12" x14ac:dyDescent="0.35">
      <c r="A1435" t="s">
        <v>937</v>
      </c>
      <c r="B1435" t="str">
        <f t="shared" si="66"/>
        <v>Obesity</v>
      </c>
      <c r="C1435">
        <v>31.635000000000002</v>
      </c>
      <c r="D1435" t="str">
        <f t="shared" si="67"/>
        <v>Diabetes</v>
      </c>
      <c r="E1435">
        <v>9.1300000000000008</v>
      </c>
      <c r="F1435" t="s">
        <v>2382</v>
      </c>
      <c r="G1435" t="s">
        <v>2380</v>
      </c>
      <c r="H1435" t="s">
        <v>2380</v>
      </c>
      <c r="J1435" t="s">
        <v>2381</v>
      </c>
      <c r="K1435" t="str">
        <f t="shared" si="68"/>
        <v>No</v>
      </c>
      <c r="L1435" t="s">
        <v>2380</v>
      </c>
    </row>
    <row r="1436" spans="1:12" x14ac:dyDescent="0.35">
      <c r="A1436" t="s">
        <v>936</v>
      </c>
      <c r="B1436" t="str">
        <f t="shared" si="66"/>
        <v>Normal Weight</v>
      </c>
      <c r="C1436">
        <v>24.19</v>
      </c>
      <c r="D1436" t="str">
        <f t="shared" si="67"/>
        <v>Prediabetes</v>
      </c>
      <c r="E1436">
        <v>6.22</v>
      </c>
      <c r="F1436" t="s">
        <v>2382</v>
      </c>
      <c r="G1436" t="s">
        <v>2380</v>
      </c>
      <c r="H1436" t="s">
        <v>2383</v>
      </c>
      <c r="J1436">
        <v>1</v>
      </c>
      <c r="K1436" t="str">
        <f t="shared" si="68"/>
        <v>No</v>
      </c>
      <c r="L1436" t="s">
        <v>2380</v>
      </c>
    </row>
    <row r="1437" spans="1:12" x14ac:dyDescent="0.35">
      <c r="A1437" t="s">
        <v>935</v>
      </c>
      <c r="B1437" t="str">
        <f t="shared" si="66"/>
        <v>Obesity</v>
      </c>
      <c r="C1437">
        <v>35.29</v>
      </c>
      <c r="D1437" t="str">
        <f t="shared" si="67"/>
        <v>Prediabetes</v>
      </c>
      <c r="E1437">
        <v>5.9</v>
      </c>
      <c r="F1437" t="s">
        <v>2380</v>
      </c>
      <c r="G1437" t="s">
        <v>2380</v>
      </c>
      <c r="H1437" t="s">
        <v>2383</v>
      </c>
      <c r="J1437">
        <v>1</v>
      </c>
      <c r="K1437" t="str">
        <f t="shared" si="68"/>
        <v>No</v>
      </c>
      <c r="L1437" t="s">
        <v>2380</v>
      </c>
    </row>
    <row r="1438" spans="1:12" x14ac:dyDescent="0.35">
      <c r="A1438" t="s">
        <v>934</v>
      </c>
      <c r="B1438" t="str">
        <f t="shared" si="66"/>
        <v>Obesity</v>
      </c>
      <c r="C1438">
        <v>35.299999999999997</v>
      </c>
      <c r="D1438" t="str">
        <f t="shared" si="67"/>
        <v>Normal</v>
      </c>
      <c r="E1438">
        <v>4.45</v>
      </c>
      <c r="F1438" t="s">
        <v>2380</v>
      </c>
      <c r="G1438" t="s">
        <v>2380</v>
      </c>
      <c r="H1438" t="s">
        <v>2380</v>
      </c>
      <c r="J1438" t="s">
        <v>2381</v>
      </c>
      <c r="K1438" t="str">
        <f t="shared" si="68"/>
        <v>No</v>
      </c>
      <c r="L1438" t="s">
        <v>2380</v>
      </c>
    </row>
    <row r="1439" spans="1:12" x14ac:dyDescent="0.35">
      <c r="A1439" t="s">
        <v>933</v>
      </c>
      <c r="B1439" t="str">
        <f t="shared" si="66"/>
        <v>Obesity</v>
      </c>
      <c r="C1439">
        <v>35.64</v>
      </c>
      <c r="D1439" t="str">
        <f t="shared" si="67"/>
        <v>Prediabetes</v>
      </c>
      <c r="E1439">
        <v>6.17</v>
      </c>
      <c r="F1439" t="s">
        <v>2380</v>
      </c>
      <c r="G1439" t="s">
        <v>2380</v>
      </c>
      <c r="H1439" t="s">
        <v>2383</v>
      </c>
      <c r="J1439">
        <v>1</v>
      </c>
      <c r="K1439" t="str">
        <f t="shared" si="68"/>
        <v>No</v>
      </c>
      <c r="L1439" t="s">
        <v>2380</v>
      </c>
    </row>
    <row r="1440" spans="1:12" x14ac:dyDescent="0.35">
      <c r="A1440" t="s">
        <v>932</v>
      </c>
      <c r="B1440" t="str">
        <f t="shared" si="66"/>
        <v>Obesity</v>
      </c>
      <c r="C1440">
        <v>33.1</v>
      </c>
      <c r="D1440" t="str">
        <f t="shared" si="67"/>
        <v>Normal</v>
      </c>
      <c r="E1440">
        <v>4.93</v>
      </c>
      <c r="F1440" t="s">
        <v>2380</v>
      </c>
      <c r="G1440" t="s">
        <v>2380</v>
      </c>
      <c r="H1440" t="s">
        <v>2380</v>
      </c>
      <c r="J1440" t="s">
        <v>2381</v>
      </c>
      <c r="K1440" t="str">
        <f t="shared" si="68"/>
        <v>No</v>
      </c>
      <c r="L1440" t="s">
        <v>2380</v>
      </c>
    </row>
    <row r="1441" spans="1:12" x14ac:dyDescent="0.35">
      <c r="A1441" t="s">
        <v>931</v>
      </c>
      <c r="B1441" t="str">
        <f t="shared" si="66"/>
        <v>Overweight</v>
      </c>
      <c r="C1441">
        <v>26.41</v>
      </c>
      <c r="D1441" t="str">
        <f t="shared" si="67"/>
        <v>Diabetes</v>
      </c>
      <c r="E1441">
        <v>7.32</v>
      </c>
      <c r="F1441" t="s">
        <v>2382</v>
      </c>
      <c r="G1441" t="s">
        <v>2380</v>
      </c>
      <c r="H1441" t="s">
        <v>2380</v>
      </c>
      <c r="J1441">
        <v>1</v>
      </c>
      <c r="K1441" t="str">
        <f t="shared" si="68"/>
        <v>No</v>
      </c>
      <c r="L1441" t="s">
        <v>2380</v>
      </c>
    </row>
    <row r="1442" spans="1:12" x14ac:dyDescent="0.35">
      <c r="A1442" t="s">
        <v>930</v>
      </c>
      <c r="B1442" t="str">
        <f t="shared" si="66"/>
        <v>Overweight</v>
      </c>
      <c r="C1442">
        <v>29.9</v>
      </c>
      <c r="D1442" t="str">
        <f t="shared" si="67"/>
        <v>Normal</v>
      </c>
      <c r="E1442">
        <v>5.27</v>
      </c>
      <c r="F1442" t="s">
        <v>2380</v>
      </c>
      <c r="G1442" t="s">
        <v>2380</v>
      </c>
      <c r="H1442" t="s">
        <v>2383</v>
      </c>
      <c r="J1442">
        <v>1</v>
      </c>
      <c r="K1442" t="str">
        <f t="shared" si="68"/>
        <v>No</v>
      </c>
      <c r="L1442" t="s">
        <v>2380</v>
      </c>
    </row>
    <row r="1443" spans="1:12" x14ac:dyDescent="0.35">
      <c r="A1443" t="s">
        <v>929</v>
      </c>
      <c r="B1443" t="str">
        <f t="shared" si="66"/>
        <v>Overweight</v>
      </c>
      <c r="C1443">
        <v>25.24</v>
      </c>
      <c r="D1443" t="str">
        <f t="shared" si="67"/>
        <v>Prediabetes</v>
      </c>
      <c r="E1443">
        <v>5.82</v>
      </c>
      <c r="F1443" t="s">
        <v>2380</v>
      </c>
      <c r="G1443" t="s">
        <v>2380</v>
      </c>
      <c r="H1443" t="s">
        <v>2380</v>
      </c>
      <c r="J1443">
        <v>1</v>
      </c>
      <c r="K1443" t="str">
        <f t="shared" si="68"/>
        <v>No</v>
      </c>
      <c r="L1443" t="s">
        <v>2380</v>
      </c>
    </row>
    <row r="1444" spans="1:12" x14ac:dyDescent="0.35">
      <c r="A1444" t="s">
        <v>928</v>
      </c>
      <c r="B1444" t="str">
        <f t="shared" si="66"/>
        <v>Overweight</v>
      </c>
      <c r="C1444">
        <v>25.08</v>
      </c>
      <c r="D1444" t="str">
        <f t="shared" si="67"/>
        <v>Prediabetes</v>
      </c>
      <c r="E1444">
        <v>5.8</v>
      </c>
      <c r="F1444" t="s">
        <v>2380</v>
      </c>
      <c r="G1444" t="s">
        <v>2380</v>
      </c>
      <c r="H1444" t="s">
        <v>2383</v>
      </c>
      <c r="J1444">
        <v>1</v>
      </c>
      <c r="K1444" t="str">
        <f t="shared" si="68"/>
        <v>No</v>
      </c>
      <c r="L1444" t="s">
        <v>2380</v>
      </c>
    </row>
    <row r="1445" spans="1:12" x14ac:dyDescent="0.35">
      <c r="A1445" t="s">
        <v>927</v>
      </c>
      <c r="B1445" t="str">
        <f t="shared" si="66"/>
        <v>Overweight</v>
      </c>
      <c r="C1445">
        <v>29.164999999999999</v>
      </c>
      <c r="D1445" t="str">
        <f t="shared" si="67"/>
        <v>Normal</v>
      </c>
      <c r="E1445">
        <v>4.87</v>
      </c>
      <c r="F1445" t="s">
        <v>2380</v>
      </c>
      <c r="G1445" t="s">
        <v>2382</v>
      </c>
      <c r="H1445" t="s">
        <v>2380</v>
      </c>
      <c r="J1445">
        <v>1</v>
      </c>
      <c r="K1445" t="str">
        <f t="shared" si="68"/>
        <v>No</v>
      </c>
      <c r="L1445" t="s">
        <v>2380</v>
      </c>
    </row>
    <row r="1446" spans="1:12" x14ac:dyDescent="0.35">
      <c r="A1446" t="s">
        <v>926</v>
      </c>
      <c r="B1446" t="str">
        <f t="shared" si="66"/>
        <v>Underweight</v>
      </c>
      <c r="C1446">
        <v>15.05</v>
      </c>
      <c r="D1446" t="str">
        <f t="shared" si="67"/>
        <v>Diabetes</v>
      </c>
      <c r="E1446">
        <v>8.1199999999999992</v>
      </c>
      <c r="F1446" t="s">
        <v>2380</v>
      </c>
      <c r="G1446" t="s">
        <v>2380</v>
      </c>
      <c r="H1446" t="s">
        <v>2380</v>
      </c>
      <c r="J1446" t="s">
        <v>2381</v>
      </c>
      <c r="K1446" t="str">
        <f t="shared" si="68"/>
        <v>No</v>
      </c>
      <c r="L1446" t="s">
        <v>2380</v>
      </c>
    </row>
    <row r="1447" spans="1:12" x14ac:dyDescent="0.35">
      <c r="A1447" t="s">
        <v>925</v>
      </c>
      <c r="B1447" t="str">
        <f t="shared" si="66"/>
        <v>Normal Weight</v>
      </c>
      <c r="C1447">
        <v>19.95</v>
      </c>
      <c r="D1447" t="str">
        <f t="shared" si="67"/>
        <v>Normal</v>
      </c>
      <c r="E1447">
        <v>4.3600000000000003</v>
      </c>
      <c r="F1447" t="s">
        <v>2380</v>
      </c>
      <c r="G1447" t="s">
        <v>2380</v>
      </c>
      <c r="H1447" t="s">
        <v>2380</v>
      </c>
      <c r="J1447">
        <v>2</v>
      </c>
      <c r="K1447" t="str">
        <f t="shared" si="68"/>
        <v>No</v>
      </c>
      <c r="L1447" t="s">
        <v>2380</v>
      </c>
    </row>
    <row r="1448" spans="1:12" x14ac:dyDescent="0.35">
      <c r="A1448" t="s">
        <v>924</v>
      </c>
      <c r="B1448" t="str">
        <f t="shared" si="66"/>
        <v>Underweight</v>
      </c>
      <c r="C1448">
        <v>16.66</v>
      </c>
      <c r="D1448" t="str">
        <f t="shared" si="67"/>
        <v>Diabetes</v>
      </c>
      <c r="E1448">
        <v>9.16</v>
      </c>
      <c r="F1448" t="s">
        <v>2380</v>
      </c>
      <c r="G1448" t="s">
        <v>2380</v>
      </c>
      <c r="H1448" t="s">
        <v>2380</v>
      </c>
      <c r="J1448" t="s">
        <v>2381</v>
      </c>
      <c r="K1448" t="str">
        <f t="shared" si="68"/>
        <v>No</v>
      </c>
      <c r="L1448" t="s">
        <v>2380</v>
      </c>
    </row>
    <row r="1449" spans="1:12" x14ac:dyDescent="0.35">
      <c r="A1449" t="s">
        <v>923</v>
      </c>
      <c r="B1449" t="str">
        <f t="shared" si="66"/>
        <v>Underweight</v>
      </c>
      <c r="C1449">
        <v>16.62</v>
      </c>
      <c r="D1449" t="str">
        <f t="shared" si="67"/>
        <v>Diabetes</v>
      </c>
      <c r="E1449">
        <v>9.14</v>
      </c>
      <c r="F1449" t="s">
        <v>2380</v>
      </c>
      <c r="G1449" t="s">
        <v>2380</v>
      </c>
      <c r="H1449" t="s">
        <v>2380</v>
      </c>
      <c r="J1449" t="s">
        <v>2381</v>
      </c>
      <c r="K1449" t="str">
        <f t="shared" si="68"/>
        <v>No</v>
      </c>
      <c r="L1449" t="s">
        <v>2380</v>
      </c>
    </row>
    <row r="1450" spans="1:12" x14ac:dyDescent="0.35">
      <c r="A1450" t="s">
        <v>922</v>
      </c>
      <c r="B1450" t="str">
        <f t="shared" si="66"/>
        <v>Underweight</v>
      </c>
      <c r="C1450">
        <v>15.36</v>
      </c>
      <c r="D1450" t="str">
        <f t="shared" si="67"/>
        <v>Normal</v>
      </c>
      <c r="E1450">
        <v>5.49</v>
      </c>
      <c r="F1450" t="s">
        <v>2382</v>
      </c>
      <c r="G1450" t="s">
        <v>2380</v>
      </c>
      <c r="H1450" t="s">
        <v>2380</v>
      </c>
      <c r="J1450">
        <v>2</v>
      </c>
      <c r="K1450" t="str">
        <f t="shared" si="68"/>
        <v>No</v>
      </c>
      <c r="L1450" t="s">
        <v>2380</v>
      </c>
    </row>
    <row r="1451" spans="1:12" x14ac:dyDescent="0.35">
      <c r="A1451" t="s">
        <v>921</v>
      </c>
      <c r="B1451" t="str">
        <f t="shared" si="66"/>
        <v>Overweight</v>
      </c>
      <c r="C1451">
        <v>27.74</v>
      </c>
      <c r="D1451" t="str">
        <f t="shared" si="67"/>
        <v>Prediabetes</v>
      </c>
      <c r="E1451">
        <v>5.96</v>
      </c>
      <c r="F1451" t="s">
        <v>2382</v>
      </c>
      <c r="G1451" t="s">
        <v>2380</v>
      </c>
      <c r="H1451" t="s">
        <v>2380</v>
      </c>
      <c r="J1451" t="s">
        <v>2381</v>
      </c>
      <c r="K1451" t="str">
        <f t="shared" si="68"/>
        <v>No</v>
      </c>
      <c r="L1451" t="s">
        <v>2380</v>
      </c>
    </row>
    <row r="1452" spans="1:12" x14ac:dyDescent="0.35">
      <c r="A1452" t="s">
        <v>920</v>
      </c>
      <c r="B1452" t="str">
        <f t="shared" si="66"/>
        <v>Normal Weight</v>
      </c>
      <c r="C1452">
        <v>22.44</v>
      </c>
      <c r="D1452" t="str">
        <f t="shared" si="67"/>
        <v>Normal</v>
      </c>
      <c r="E1452">
        <v>4.62</v>
      </c>
      <c r="F1452" t="s">
        <v>2382</v>
      </c>
      <c r="G1452" t="s">
        <v>2380</v>
      </c>
      <c r="H1452" t="s">
        <v>2380</v>
      </c>
      <c r="J1452" t="s">
        <v>2381</v>
      </c>
      <c r="K1452" t="str">
        <f t="shared" si="68"/>
        <v>No</v>
      </c>
      <c r="L1452" t="s">
        <v>2380</v>
      </c>
    </row>
    <row r="1453" spans="1:12" x14ac:dyDescent="0.35">
      <c r="A1453" t="s">
        <v>919</v>
      </c>
      <c r="B1453" t="str">
        <f t="shared" si="66"/>
        <v>Obesity</v>
      </c>
      <c r="C1453">
        <v>37.049999999999997</v>
      </c>
      <c r="D1453" t="str">
        <f t="shared" si="67"/>
        <v>Diabetes</v>
      </c>
      <c r="E1453">
        <v>9.9600000000000009</v>
      </c>
      <c r="F1453" t="s">
        <v>2382</v>
      </c>
      <c r="G1453" t="s">
        <v>2380</v>
      </c>
      <c r="H1453" t="s">
        <v>2380</v>
      </c>
      <c r="J1453" t="s">
        <v>2381</v>
      </c>
      <c r="K1453" t="str">
        <f t="shared" si="68"/>
        <v>No</v>
      </c>
      <c r="L1453" t="s">
        <v>2380</v>
      </c>
    </row>
    <row r="1454" spans="1:12" x14ac:dyDescent="0.35">
      <c r="A1454" t="s">
        <v>918</v>
      </c>
      <c r="B1454" t="str">
        <f t="shared" si="66"/>
        <v>Normal Weight</v>
      </c>
      <c r="C1454">
        <v>22.95</v>
      </c>
      <c r="D1454" t="str">
        <f t="shared" si="67"/>
        <v>Diabetes</v>
      </c>
      <c r="E1454">
        <v>10.53</v>
      </c>
      <c r="F1454" t="s">
        <v>2380</v>
      </c>
      <c r="G1454" t="s">
        <v>2380</v>
      </c>
      <c r="H1454" t="s">
        <v>2380</v>
      </c>
      <c r="J1454">
        <v>2</v>
      </c>
      <c r="K1454" t="str">
        <f t="shared" si="68"/>
        <v>No</v>
      </c>
      <c r="L1454" t="s">
        <v>2380</v>
      </c>
    </row>
    <row r="1455" spans="1:12" x14ac:dyDescent="0.35">
      <c r="A1455" t="s">
        <v>917</v>
      </c>
      <c r="B1455" t="str">
        <f t="shared" si="66"/>
        <v>Obesity</v>
      </c>
      <c r="C1455">
        <v>34.200000000000003</v>
      </c>
      <c r="D1455" t="str">
        <f t="shared" si="67"/>
        <v>Diabetes</v>
      </c>
      <c r="E1455">
        <v>6.69</v>
      </c>
      <c r="F1455" t="s">
        <v>2382</v>
      </c>
      <c r="G1455" t="s">
        <v>2380</v>
      </c>
      <c r="H1455" t="s">
        <v>2380</v>
      </c>
      <c r="J1455" t="s">
        <v>2381</v>
      </c>
      <c r="K1455" t="str">
        <f t="shared" si="68"/>
        <v>No</v>
      </c>
      <c r="L1455" t="s">
        <v>2380</v>
      </c>
    </row>
    <row r="1456" spans="1:12" x14ac:dyDescent="0.35">
      <c r="A1456" t="s">
        <v>916</v>
      </c>
      <c r="B1456" t="str">
        <f t="shared" si="66"/>
        <v>Obesity</v>
      </c>
      <c r="C1456">
        <v>30.59</v>
      </c>
      <c r="D1456" t="str">
        <f t="shared" si="67"/>
        <v>Diabetes</v>
      </c>
      <c r="E1456">
        <v>9.5500000000000007</v>
      </c>
      <c r="F1456" t="s">
        <v>2382</v>
      </c>
      <c r="G1456" t="s">
        <v>2380</v>
      </c>
      <c r="H1456" t="s">
        <v>2380</v>
      </c>
      <c r="J1456" t="s">
        <v>2381</v>
      </c>
      <c r="K1456" t="str">
        <f t="shared" si="68"/>
        <v>No</v>
      </c>
      <c r="L1456" t="s">
        <v>2380</v>
      </c>
    </row>
    <row r="1457" spans="1:12" x14ac:dyDescent="0.35">
      <c r="A1457" t="s">
        <v>915</v>
      </c>
      <c r="B1457" t="str">
        <f t="shared" si="66"/>
        <v>Overweight</v>
      </c>
      <c r="C1457">
        <v>25.51</v>
      </c>
      <c r="D1457" t="str">
        <f t="shared" si="67"/>
        <v>Prediabetes</v>
      </c>
      <c r="E1457">
        <v>6.05</v>
      </c>
      <c r="F1457" t="s">
        <v>2380</v>
      </c>
      <c r="G1457" t="s">
        <v>2380</v>
      </c>
      <c r="H1457" t="s">
        <v>2380</v>
      </c>
      <c r="J1457" t="s">
        <v>2381</v>
      </c>
      <c r="K1457" t="str">
        <f t="shared" si="68"/>
        <v>No</v>
      </c>
      <c r="L1457" t="s">
        <v>2380</v>
      </c>
    </row>
    <row r="1458" spans="1:12" x14ac:dyDescent="0.35">
      <c r="A1458" t="s">
        <v>914</v>
      </c>
      <c r="B1458" t="str">
        <f t="shared" si="66"/>
        <v>Overweight</v>
      </c>
      <c r="C1458">
        <v>29.04</v>
      </c>
      <c r="D1458" t="str">
        <f t="shared" si="67"/>
        <v>Diabetes</v>
      </c>
      <c r="E1458">
        <v>10.56</v>
      </c>
      <c r="F1458" t="s">
        <v>2382</v>
      </c>
      <c r="G1458" t="s">
        <v>2380</v>
      </c>
      <c r="H1458" t="s">
        <v>2380</v>
      </c>
      <c r="J1458">
        <v>1</v>
      </c>
      <c r="K1458" t="str">
        <f t="shared" si="68"/>
        <v>No</v>
      </c>
      <c r="L1458" t="s">
        <v>2380</v>
      </c>
    </row>
    <row r="1459" spans="1:12" x14ac:dyDescent="0.35">
      <c r="A1459" t="s">
        <v>913</v>
      </c>
      <c r="B1459" t="str">
        <f t="shared" si="66"/>
        <v>Normal Weight</v>
      </c>
      <c r="C1459">
        <v>22.135000000000002</v>
      </c>
      <c r="D1459" t="str">
        <f t="shared" si="67"/>
        <v>Diabetes</v>
      </c>
      <c r="E1459">
        <v>10.81</v>
      </c>
      <c r="F1459" t="s">
        <v>2382</v>
      </c>
      <c r="G1459" t="s">
        <v>2380</v>
      </c>
      <c r="H1459" t="s">
        <v>2380</v>
      </c>
      <c r="J1459">
        <v>1</v>
      </c>
      <c r="K1459" t="str">
        <f t="shared" si="68"/>
        <v>No</v>
      </c>
      <c r="L1459" t="s">
        <v>2380</v>
      </c>
    </row>
    <row r="1460" spans="1:12" x14ac:dyDescent="0.35">
      <c r="A1460" t="s">
        <v>912</v>
      </c>
      <c r="B1460" t="str">
        <f t="shared" si="66"/>
        <v>Normal Weight</v>
      </c>
      <c r="C1460">
        <v>21.375</v>
      </c>
      <c r="D1460" t="str">
        <f t="shared" si="67"/>
        <v>Normal</v>
      </c>
      <c r="E1460">
        <v>4.32</v>
      </c>
      <c r="F1460" t="s">
        <v>2380</v>
      </c>
      <c r="G1460" t="s">
        <v>2380</v>
      </c>
      <c r="H1460" t="s">
        <v>2380</v>
      </c>
      <c r="J1460" t="s">
        <v>2381</v>
      </c>
      <c r="K1460" t="str">
        <f t="shared" si="68"/>
        <v>No</v>
      </c>
      <c r="L1460" t="s">
        <v>2380</v>
      </c>
    </row>
    <row r="1461" spans="1:12" x14ac:dyDescent="0.35">
      <c r="A1461" t="s">
        <v>911</v>
      </c>
      <c r="B1461" t="str">
        <f t="shared" si="66"/>
        <v>Overweight</v>
      </c>
      <c r="C1461">
        <v>29.19</v>
      </c>
      <c r="D1461" t="str">
        <f t="shared" si="67"/>
        <v>Normal</v>
      </c>
      <c r="E1461">
        <v>4.37</v>
      </c>
      <c r="F1461" t="s">
        <v>2380</v>
      </c>
      <c r="G1461" t="s">
        <v>2380</v>
      </c>
      <c r="H1461" t="s">
        <v>2380</v>
      </c>
      <c r="J1461" t="s">
        <v>2381</v>
      </c>
      <c r="K1461" t="str">
        <f t="shared" si="68"/>
        <v>No</v>
      </c>
      <c r="L1461" t="s">
        <v>2380</v>
      </c>
    </row>
    <row r="1462" spans="1:12" x14ac:dyDescent="0.35">
      <c r="A1462" t="s">
        <v>910</v>
      </c>
      <c r="B1462" t="str">
        <f t="shared" si="66"/>
        <v>Obesity</v>
      </c>
      <c r="C1462">
        <v>31.92</v>
      </c>
      <c r="D1462" t="str">
        <f t="shared" si="67"/>
        <v>Normal</v>
      </c>
      <c r="E1462">
        <v>4.8099999999999996</v>
      </c>
      <c r="F1462" t="s">
        <v>2382</v>
      </c>
      <c r="G1462" t="s">
        <v>2380</v>
      </c>
      <c r="H1462" t="s">
        <v>2383</v>
      </c>
      <c r="J1462">
        <v>1</v>
      </c>
      <c r="K1462" t="str">
        <f t="shared" si="68"/>
        <v>No</v>
      </c>
      <c r="L1462" t="s">
        <v>2380</v>
      </c>
    </row>
    <row r="1463" spans="1:12" x14ac:dyDescent="0.35">
      <c r="A1463" t="s">
        <v>909</v>
      </c>
      <c r="B1463" t="str">
        <f t="shared" si="66"/>
        <v>Overweight</v>
      </c>
      <c r="C1463">
        <v>26.315000000000001</v>
      </c>
      <c r="D1463" t="str">
        <f t="shared" si="67"/>
        <v>Normal</v>
      </c>
      <c r="E1463">
        <v>4.5599999999999996</v>
      </c>
      <c r="F1463" t="s">
        <v>2382</v>
      </c>
      <c r="G1463" t="s">
        <v>2380</v>
      </c>
      <c r="H1463" t="s">
        <v>2383</v>
      </c>
      <c r="J1463">
        <v>1</v>
      </c>
      <c r="K1463" t="str">
        <f t="shared" si="68"/>
        <v>No</v>
      </c>
      <c r="L1463" t="s">
        <v>2380</v>
      </c>
    </row>
    <row r="1464" spans="1:12" x14ac:dyDescent="0.35">
      <c r="A1464" t="s">
        <v>908</v>
      </c>
      <c r="B1464" t="str">
        <f t="shared" si="66"/>
        <v>Obesity</v>
      </c>
      <c r="C1464">
        <v>35.299999999999997</v>
      </c>
      <c r="D1464" t="str">
        <f t="shared" si="67"/>
        <v>Normal</v>
      </c>
      <c r="E1464">
        <v>4.3899999999999997</v>
      </c>
      <c r="F1464" t="s">
        <v>2380</v>
      </c>
      <c r="G1464" t="s">
        <v>2380</v>
      </c>
      <c r="H1464" t="s">
        <v>2380</v>
      </c>
      <c r="J1464" t="s">
        <v>2381</v>
      </c>
      <c r="K1464" t="str">
        <f t="shared" si="68"/>
        <v>No</v>
      </c>
      <c r="L1464" t="s">
        <v>2380</v>
      </c>
    </row>
    <row r="1465" spans="1:12" x14ac:dyDescent="0.35">
      <c r="A1465" t="s">
        <v>907</v>
      </c>
      <c r="B1465" t="str">
        <f t="shared" si="66"/>
        <v>Normal Weight</v>
      </c>
      <c r="C1465">
        <v>18.91</v>
      </c>
      <c r="D1465" t="str">
        <f t="shared" si="67"/>
        <v>Diabetes</v>
      </c>
      <c r="E1465">
        <v>11.44</v>
      </c>
      <c r="F1465" t="s">
        <v>2380</v>
      </c>
      <c r="G1465" t="s">
        <v>2380</v>
      </c>
      <c r="H1465" t="s">
        <v>2380</v>
      </c>
      <c r="J1465" t="s">
        <v>2381</v>
      </c>
      <c r="K1465" t="str">
        <f t="shared" si="68"/>
        <v>No</v>
      </c>
      <c r="L1465" t="s">
        <v>2380</v>
      </c>
    </row>
    <row r="1466" spans="1:12" x14ac:dyDescent="0.35">
      <c r="A1466" t="s">
        <v>906</v>
      </c>
      <c r="B1466" t="str">
        <f t="shared" si="66"/>
        <v>Normal Weight</v>
      </c>
      <c r="C1466">
        <v>22.41</v>
      </c>
      <c r="D1466" t="str">
        <f t="shared" si="67"/>
        <v>Diabetes</v>
      </c>
      <c r="E1466">
        <v>11.37</v>
      </c>
      <c r="F1466" t="s">
        <v>2382</v>
      </c>
      <c r="G1466" t="s">
        <v>2380</v>
      </c>
      <c r="H1466" t="s">
        <v>2380</v>
      </c>
      <c r="J1466">
        <v>1</v>
      </c>
      <c r="K1466" t="str">
        <f t="shared" si="68"/>
        <v>No</v>
      </c>
      <c r="L1466" t="s">
        <v>2380</v>
      </c>
    </row>
    <row r="1467" spans="1:12" x14ac:dyDescent="0.35">
      <c r="A1467" t="s">
        <v>905</v>
      </c>
      <c r="B1467" t="str">
        <f t="shared" si="66"/>
        <v>Normal Weight</v>
      </c>
      <c r="C1467">
        <v>22.704999999999998</v>
      </c>
      <c r="D1467" t="str">
        <f t="shared" si="67"/>
        <v>Prediabetes</v>
      </c>
      <c r="E1467">
        <v>6.14</v>
      </c>
      <c r="F1467" t="s">
        <v>2380</v>
      </c>
      <c r="G1467" t="s">
        <v>2380</v>
      </c>
      <c r="H1467" t="s">
        <v>2380</v>
      </c>
      <c r="J1467" t="s">
        <v>2381</v>
      </c>
      <c r="K1467" t="str">
        <f t="shared" si="68"/>
        <v>No</v>
      </c>
      <c r="L1467" t="s">
        <v>2380</v>
      </c>
    </row>
    <row r="1468" spans="1:12" x14ac:dyDescent="0.35">
      <c r="A1468" t="s">
        <v>904</v>
      </c>
      <c r="B1468" t="str">
        <f t="shared" si="66"/>
        <v>Obesity</v>
      </c>
      <c r="C1468">
        <v>37.18</v>
      </c>
      <c r="D1468" t="str">
        <f t="shared" si="67"/>
        <v>Normal</v>
      </c>
      <c r="E1468">
        <v>4.8899999999999997</v>
      </c>
      <c r="F1468" t="s">
        <v>2380</v>
      </c>
      <c r="G1468" t="s">
        <v>2380</v>
      </c>
      <c r="H1468" t="s">
        <v>2380</v>
      </c>
      <c r="J1468" t="s">
        <v>2381</v>
      </c>
      <c r="K1468" t="str">
        <f t="shared" si="68"/>
        <v>No</v>
      </c>
      <c r="L1468" t="s">
        <v>2380</v>
      </c>
    </row>
    <row r="1469" spans="1:12" x14ac:dyDescent="0.35">
      <c r="A1469" t="s">
        <v>903</v>
      </c>
      <c r="B1469" t="str">
        <f t="shared" si="66"/>
        <v>Obesity</v>
      </c>
      <c r="C1469">
        <v>35.97</v>
      </c>
      <c r="D1469" t="str">
        <f t="shared" si="67"/>
        <v>Normal</v>
      </c>
      <c r="E1469">
        <v>4.5999999999999996</v>
      </c>
      <c r="F1469" t="s">
        <v>2380</v>
      </c>
      <c r="G1469" t="s">
        <v>2380</v>
      </c>
      <c r="H1469" t="s">
        <v>2380</v>
      </c>
      <c r="J1469" t="s">
        <v>2381</v>
      </c>
      <c r="K1469" t="str">
        <f t="shared" si="68"/>
        <v>No</v>
      </c>
      <c r="L1469" t="s">
        <v>2380</v>
      </c>
    </row>
    <row r="1470" spans="1:12" x14ac:dyDescent="0.35">
      <c r="A1470" t="s">
        <v>902</v>
      </c>
      <c r="B1470" t="str">
        <f t="shared" si="66"/>
        <v>Obesity</v>
      </c>
      <c r="C1470">
        <v>35.799999999999997</v>
      </c>
      <c r="D1470" t="str">
        <f t="shared" si="67"/>
        <v>Normal</v>
      </c>
      <c r="E1470">
        <v>4.42</v>
      </c>
      <c r="F1470" t="s">
        <v>2380</v>
      </c>
      <c r="G1470" t="s">
        <v>2380</v>
      </c>
      <c r="H1470" t="s">
        <v>2380</v>
      </c>
      <c r="J1470" t="s">
        <v>2381</v>
      </c>
      <c r="K1470" t="str">
        <f t="shared" si="68"/>
        <v>No</v>
      </c>
      <c r="L1470" t="s">
        <v>2380</v>
      </c>
    </row>
    <row r="1471" spans="1:12" x14ac:dyDescent="0.35">
      <c r="A1471" t="s">
        <v>901</v>
      </c>
      <c r="B1471" t="str">
        <f t="shared" si="66"/>
        <v>Overweight</v>
      </c>
      <c r="C1471">
        <v>28.31</v>
      </c>
      <c r="D1471" t="str">
        <f t="shared" si="67"/>
        <v>Diabetes</v>
      </c>
      <c r="E1471">
        <v>7.48</v>
      </c>
      <c r="F1471" t="s">
        <v>2382</v>
      </c>
      <c r="G1471" t="s">
        <v>2380</v>
      </c>
      <c r="H1471" t="s">
        <v>2380</v>
      </c>
      <c r="J1471" t="s">
        <v>2381</v>
      </c>
      <c r="K1471" t="str">
        <f t="shared" si="68"/>
        <v>No</v>
      </c>
      <c r="L1471" t="s">
        <v>2380</v>
      </c>
    </row>
    <row r="1472" spans="1:12" x14ac:dyDescent="0.35">
      <c r="A1472" t="s">
        <v>900</v>
      </c>
      <c r="B1472" t="str">
        <f t="shared" si="66"/>
        <v>Obesity</v>
      </c>
      <c r="C1472">
        <v>38.06</v>
      </c>
      <c r="D1472" t="str">
        <f t="shared" si="67"/>
        <v>Diabetes</v>
      </c>
      <c r="E1472">
        <v>10.74</v>
      </c>
      <c r="F1472" t="s">
        <v>2380</v>
      </c>
      <c r="G1472" t="s">
        <v>2380</v>
      </c>
      <c r="H1472" t="s">
        <v>2380</v>
      </c>
      <c r="J1472" t="s">
        <v>2381</v>
      </c>
      <c r="K1472" t="str">
        <f t="shared" si="68"/>
        <v>No</v>
      </c>
      <c r="L1472" t="s">
        <v>2380</v>
      </c>
    </row>
    <row r="1473" spans="1:12" x14ac:dyDescent="0.35">
      <c r="A1473" t="s">
        <v>899</v>
      </c>
      <c r="B1473" t="str">
        <f t="shared" si="66"/>
        <v>Overweight</v>
      </c>
      <c r="C1473">
        <v>28</v>
      </c>
      <c r="D1473" t="str">
        <f t="shared" si="67"/>
        <v>Normal</v>
      </c>
      <c r="E1473">
        <v>5.19</v>
      </c>
      <c r="F1473" t="s">
        <v>2380</v>
      </c>
      <c r="G1473" t="s">
        <v>2380</v>
      </c>
      <c r="H1473" t="s">
        <v>2380</v>
      </c>
      <c r="J1473">
        <v>1</v>
      </c>
      <c r="K1473" t="str">
        <f t="shared" si="68"/>
        <v>No</v>
      </c>
      <c r="L1473" t="s">
        <v>2380</v>
      </c>
    </row>
    <row r="1474" spans="1:12" x14ac:dyDescent="0.35">
      <c r="A1474" t="s">
        <v>898</v>
      </c>
      <c r="B1474" t="str">
        <f t="shared" si="66"/>
        <v>Obesity</v>
      </c>
      <c r="C1474">
        <v>34.32</v>
      </c>
      <c r="D1474" t="str">
        <f t="shared" si="67"/>
        <v>Diabetes</v>
      </c>
      <c r="E1474">
        <v>9.17</v>
      </c>
      <c r="F1474" t="s">
        <v>2380</v>
      </c>
      <c r="G1474" t="s">
        <v>2380</v>
      </c>
      <c r="H1474" t="s">
        <v>2380</v>
      </c>
      <c r="J1474" t="s">
        <v>2381</v>
      </c>
      <c r="K1474" t="str">
        <f t="shared" si="68"/>
        <v>No</v>
      </c>
      <c r="L1474" t="s">
        <v>2380</v>
      </c>
    </row>
    <row r="1475" spans="1:12" x14ac:dyDescent="0.35">
      <c r="A1475" t="s">
        <v>897</v>
      </c>
      <c r="B1475" t="str">
        <f t="shared" ref="B1475:B1538" si="69">_xlfn.IFS(C1475&lt;18.5, "Underweight", C1475&lt;=24.9, "Normal Weight", C1475&lt;=29.9, "Overweight", C1475&gt;=30, "Obesity")</f>
        <v>Normal Weight</v>
      </c>
      <c r="C1475">
        <v>22.3</v>
      </c>
      <c r="D1475" t="str">
        <f t="shared" ref="D1475:D1538" si="70">_xlfn.IFS(E1475&lt;5.7, "Normal", E1475&lt;=6.4, "Prediabetes", E1475&gt;=6.5, "Diabetes")</f>
        <v>Normal</v>
      </c>
      <c r="E1475">
        <v>4.95</v>
      </c>
      <c r="F1475" t="s">
        <v>2382</v>
      </c>
      <c r="G1475" t="s">
        <v>2380</v>
      </c>
      <c r="H1475" t="s">
        <v>2380</v>
      </c>
      <c r="J1475" t="s">
        <v>2381</v>
      </c>
      <c r="K1475" t="str">
        <f t="shared" si="68"/>
        <v>No</v>
      </c>
      <c r="L1475" t="s">
        <v>2380</v>
      </c>
    </row>
    <row r="1476" spans="1:12" x14ac:dyDescent="0.35">
      <c r="A1476" t="s">
        <v>896</v>
      </c>
      <c r="B1476" t="str">
        <f t="shared" si="69"/>
        <v>Overweight</v>
      </c>
      <c r="C1476">
        <v>27.835000000000001</v>
      </c>
      <c r="D1476" t="str">
        <f t="shared" si="70"/>
        <v>Prediabetes</v>
      </c>
      <c r="E1476">
        <v>6.03</v>
      </c>
      <c r="F1476" t="s">
        <v>2380</v>
      </c>
      <c r="G1476" t="s">
        <v>2380</v>
      </c>
      <c r="H1476" t="s">
        <v>2380</v>
      </c>
      <c r="J1476">
        <v>1</v>
      </c>
      <c r="K1476" t="str">
        <f t="shared" ref="K1476:K1539" si="71">IF(OR(L1476="?", ISBLANK(L1476)), "No", L1476)</f>
        <v>No</v>
      </c>
      <c r="L1476" t="s">
        <v>2380</v>
      </c>
    </row>
    <row r="1477" spans="1:12" x14ac:dyDescent="0.35">
      <c r="A1477" t="s">
        <v>895</v>
      </c>
      <c r="B1477" t="str">
        <f t="shared" si="69"/>
        <v>Obesity</v>
      </c>
      <c r="C1477">
        <v>39.229999999999997</v>
      </c>
      <c r="D1477" t="str">
        <f t="shared" si="70"/>
        <v>Normal</v>
      </c>
      <c r="E1477">
        <v>5.36</v>
      </c>
      <c r="F1477" t="s">
        <v>2380</v>
      </c>
      <c r="G1477" t="s">
        <v>2380</v>
      </c>
      <c r="H1477" t="s">
        <v>2380</v>
      </c>
      <c r="J1477" t="s">
        <v>2381</v>
      </c>
      <c r="K1477" t="str">
        <f t="shared" si="71"/>
        <v>No</v>
      </c>
      <c r="L1477" t="s">
        <v>2380</v>
      </c>
    </row>
    <row r="1478" spans="1:12" x14ac:dyDescent="0.35">
      <c r="A1478" t="s">
        <v>894</v>
      </c>
      <c r="B1478" t="str">
        <f t="shared" si="69"/>
        <v>Normal Weight</v>
      </c>
      <c r="C1478">
        <v>19.95</v>
      </c>
      <c r="D1478" t="str">
        <f t="shared" si="70"/>
        <v>Prediabetes</v>
      </c>
      <c r="E1478">
        <v>6.11</v>
      </c>
      <c r="F1478" t="s">
        <v>2380</v>
      </c>
      <c r="G1478" t="s">
        <v>2380</v>
      </c>
      <c r="H1478" t="s">
        <v>2380</v>
      </c>
      <c r="J1478">
        <v>1</v>
      </c>
      <c r="K1478" t="str">
        <f t="shared" si="71"/>
        <v>No</v>
      </c>
      <c r="L1478" t="s">
        <v>2380</v>
      </c>
    </row>
    <row r="1479" spans="1:12" x14ac:dyDescent="0.35">
      <c r="A1479" t="s">
        <v>893</v>
      </c>
      <c r="B1479" t="str">
        <f t="shared" si="69"/>
        <v>Obesity</v>
      </c>
      <c r="C1479">
        <v>34.64</v>
      </c>
      <c r="D1479" t="str">
        <f t="shared" si="70"/>
        <v>Normal</v>
      </c>
      <c r="E1479">
        <v>4.88</v>
      </c>
      <c r="F1479" t="s">
        <v>2380</v>
      </c>
      <c r="G1479" t="s">
        <v>2380</v>
      </c>
      <c r="H1479" t="s">
        <v>2383</v>
      </c>
      <c r="J1479">
        <v>1</v>
      </c>
      <c r="K1479" t="str">
        <f t="shared" si="71"/>
        <v>No</v>
      </c>
      <c r="L1479" t="s">
        <v>2380</v>
      </c>
    </row>
    <row r="1480" spans="1:12" x14ac:dyDescent="0.35">
      <c r="A1480" t="s">
        <v>892</v>
      </c>
      <c r="B1480" t="str">
        <f t="shared" si="69"/>
        <v>Normal Weight</v>
      </c>
      <c r="C1480">
        <v>18.75</v>
      </c>
      <c r="D1480" t="str">
        <f t="shared" si="70"/>
        <v>Diabetes</v>
      </c>
      <c r="E1480">
        <v>6.72</v>
      </c>
      <c r="F1480" t="s">
        <v>2380</v>
      </c>
      <c r="G1480" t="s">
        <v>2380</v>
      </c>
      <c r="H1480" t="s">
        <v>2380</v>
      </c>
      <c r="J1480" t="s">
        <v>2381</v>
      </c>
      <c r="K1480" t="str">
        <f t="shared" si="71"/>
        <v>No</v>
      </c>
      <c r="L1480" t="s">
        <v>2380</v>
      </c>
    </row>
    <row r="1481" spans="1:12" x14ac:dyDescent="0.35">
      <c r="A1481" t="s">
        <v>891</v>
      </c>
      <c r="B1481" t="str">
        <f t="shared" si="69"/>
        <v>Overweight</v>
      </c>
      <c r="C1481">
        <v>26.48</v>
      </c>
      <c r="D1481" t="str">
        <f t="shared" si="70"/>
        <v>Normal</v>
      </c>
      <c r="E1481">
        <v>4.2</v>
      </c>
      <c r="F1481" t="s">
        <v>2380</v>
      </c>
      <c r="G1481" t="s">
        <v>2380</v>
      </c>
      <c r="H1481" t="s">
        <v>2380</v>
      </c>
      <c r="J1481">
        <v>1</v>
      </c>
      <c r="K1481" t="str">
        <f t="shared" si="71"/>
        <v>No</v>
      </c>
      <c r="L1481" t="s">
        <v>2380</v>
      </c>
    </row>
    <row r="1482" spans="1:12" x14ac:dyDescent="0.35">
      <c r="A1482" t="s">
        <v>890</v>
      </c>
      <c r="B1482" t="str">
        <f t="shared" si="69"/>
        <v>Obesity</v>
      </c>
      <c r="C1482">
        <v>34.83</v>
      </c>
      <c r="D1482" t="str">
        <f t="shared" si="70"/>
        <v>Prediabetes</v>
      </c>
      <c r="E1482">
        <v>5.79</v>
      </c>
      <c r="F1482" t="s">
        <v>2380</v>
      </c>
      <c r="G1482" t="s">
        <v>2380</v>
      </c>
      <c r="H1482" t="s">
        <v>2380</v>
      </c>
      <c r="J1482">
        <v>1</v>
      </c>
      <c r="K1482" t="str">
        <f t="shared" si="71"/>
        <v>No</v>
      </c>
      <c r="L1482" t="s">
        <v>2380</v>
      </c>
    </row>
    <row r="1483" spans="1:12" x14ac:dyDescent="0.35">
      <c r="A1483" t="s">
        <v>889</v>
      </c>
      <c r="B1483" t="str">
        <f t="shared" si="69"/>
        <v>Overweight</v>
      </c>
      <c r="C1483">
        <v>25.46</v>
      </c>
      <c r="D1483" t="str">
        <f t="shared" si="70"/>
        <v>Normal</v>
      </c>
      <c r="E1483">
        <v>4.29</v>
      </c>
      <c r="F1483" t="s">
        <v>2380</v>
      </c>
      <c r="G1483" t="s">
        <v>2380</v>
      </c>
      <c r="H1483" t="s">
        <v>2380</v>
      </c>
      <c r="J1483" t="s">
        <v>2381</v>
      </c>
      <c r="K1483" t="str">
        <f t="shared" si="71"/>
        <v>No</v>
      </c>
      <c r="L1483" t="s">
        <v>2380</v>
      </c>
    </row>
    <row r="1484" spans="1:12" x14ac:dyDescent="0.35">
      <c r="A1484" t="s">
        <v>888</v>
      </c>
      <c r="B1484" t="str">
        <f t="shared" si="69"/>
        <v>Normal Weight</v>
      </c>
      <c r="C1484">
        <v>23.31</v>
      </c>
      <c r="D1484" t="str">
        <f t="shared" si="70"/>
        <v>Diabetes</v>
      </c>
      <c r="E1484">
        <v>8.27</v>
      </c>
      <c r="F1484" t="s">
        <v>2380</v>
      </c>
      <c r="G1484" t="s">
        <v>2380</v>
      </c>
      <c r="H1484" t="s">
        <v>2380</v>
      </c>
      <c r="J1484" t="s">
        <v>2381</v>
      </c>
      <c r="K1484" t="str">
        <f t="shared" si="71"/>
        <v>No</v>
      </c>
      <c r="L1484" t="s">
        <v>2380</v>
      </c>
    </row>
    <row r="1485" spans="1:12" x14ac:dyDescent="0.35">
      <c r="A1485" t="s">
        <v>887</v>
      </c>
      <c r="B1485" t="str">
        <f t="shared" si="69"/>
        <v>Overweight</v>
      </c>
      <c r="C1485">
        <v>29</v>
      </c>
      <c r="D1485" t="str">
        <f t="shared" si="70"/>
        <v>Normal</v>
      </c>
      <c r="E1485">
        <v>4.5599999999999996</v>
      </c>
      <c r="F1485" t="s">
        <v>2380</v>
      </c>
      <c r="G1485" t="s">
        <v>2380</v>
      </c>
      <c r="H1485" t="s">
        <v>2380</v>
      </c>
      <c r="J1485" t="s">
        <v>2381</v>
      </c>
      <c r="K1485" t="str">
        <f t="shared" si="71"/>
        <v>No</v>
      </c>
      <c r="L1485" t="s">
        <v>2380</v>
      </c>
    </row>
    <row r="1486" spans="1:12" x14ac:dyDescent="0.35">
      <c r="A1486" t="s">
        <v>886</v>
      </c>
      <c r="B1486" t="str">
        <f t="shared" si="69"/>
        <v>Obesity</v>
      </c>
      <c r="C1486">
        <v>32.869999999999997</v>
      </c>
      <c r="D1486" t="str">
        <f t="shared" si="70"/>
        <v>Normal</v>
      </c>
      <c r="E1486">
        <v>5.33</v>
      </c>
      <c r="F1486" t="s">
        <v>2380</v>
      </c>
      <c r="G1486" t="s">
        <v>2380</v>
      </c>
      <c r="H1486" t="s">
        <v>2380</v>
      </c>
      <c r="J1486" t="s">
        <v>2381</v>
      </c>
      <c r="K1486" t="str">
        <f t="shared" si="71"/>
        <v>No</v>
      </c>
      <c r="L1486" t="s">
        <v>2380</v>
      </c>
    </row>
    <row r="1487" spans="1:12" x14ac:dyDescent="0.35">
      <c r="A1487" t="s">
        <v>885</v>
      </c>
      <c r="B1487" t="str">
        <f t="shared" si="69"/>
        <v>Overweight</v>
      </c>
      <c r="C1487">
        <v>26.18</v>
      </c>
      <c r="D1487" t="str">
        <f t="shared" si="70"/>
        <v>Normal</v>
      </c>
      <c r="E1487">
        <v>5.63</v>
      </c>
      <c r="F1487" t="s">
        <v>2380</v>
      </c>
      <c r="G1487" t="s">
        <v>2380</v>
      </c>
      <c r="H1487" t="s">
        <v>2380</v>
      </c>
      <c r="J1487" t="s">
        <v>2381</v>
      </c>
      <c r="K1487" t="str">
        <f t="shared" si="71"/>
        <v>No</v>
      </c>
      <c r="L1487" t="s">
        <v>2380</v>
      </c>
    </row>
    <row r="1488" spans="1:12" x14ac:dyDescent="0.35">
      <c r="A1488" t="s">
        <v>884</v>
      </c>
      <c r="B1488" t="str">
        <f t="shared" si="69"/>
        <v>Overweight</v>
      </c>
      <c r="C1488">
        <v>25.3</v>
      </c>
      <c r="D1488" t="str">
        <f t="shared" si="70"/>
        <v>Normal</v>
      </c>
      <c r="E1488">
        <v>5.12</v>
      </c>
      <c r="F1488" t="s">
        <v>2380</v>
      </c>
      <c r="G1488" t="s">
        <v>2380</v>
      </c>
      <c r="H1488" t="s">
        <v>2380</v>
      </c>
      <c r="J1488" t="s">
        <v>2381</v>
      </c>
      <c r="K1488" t="str">
        <f t="shared" si="71"/>
        <v>No</v>
      </c>
      <c r="L1488" t="s">
        <v>2380</v>
      </c>
    </row>
    <row r="1489" spans="1:12" x14ac:dyDescent="0.35">
      <c r="A1489" t="s">
        <v>883</v>
      </c>
      <c r="B1489" t="str">
        <f t="shared" si="69"/>
        <v>Obesity</v>
      </c>
      <c r="C1489">
        <v>36.94</v>
      </c>
      <c r="D1489" t="str">
        <f t="shared" si="70"/>
        <v>Normal</v>
      </c>
      <c r="E1489">
        <v>5.15</v>
      </c>
      <c r="F1489" t="s">
        <v>2382</v>
      </c>
      <c r="G1489" t="s">
        <v>2380</v>
      </c>
      <c r="H1489" t="s">
        <v>2380</v>
      </c>
      <c r="J1489">
        <v>1</v>
      </c>
      <c r="K1489" t="str">
        <f t="shared" si="71"/>
        <v>No</v>
      </c>
      <c r="L1489" t="s">
        <v>2380</v>
      </c>
    </row>
    <row r="1490" spans="1:12" x14ac:dyDescent="0.35">
      <c r="A1490" t="s">
        <v>882</v>
      </c>
      <c r="B1490" t="str">
        <f t="shared" si="69"/>
        <v>Normal Weight</v>
      </c>
      <c r="C1490">
        <v>22.86</v>
      </c>
      <c r="D1490" t="str">
        <f t="shared" si="70"/>
        <v>Diabetes</v>
      </c>
      <c r="E1490">
        <v>7.5</v>
      </c>
      <c r="F1490" t="s">
        <v>2380</v>
      </c>
      <c r="G1490" t="s">
        <v>2380</v>
      </c>
      <c r="H1490" t="s">
        <v>2380</v>
      </c>
      <c r="J1490" t="s">
        <v>2381</v>
      </c>
      <c r="K1490" t="str">
        <f t="shared" si="71"/>
        <v>No</v>
      </c>
      <c r="L1490" t="s">
        <v>2380</v>
      </c>
    </row>
    <row r="1491" spans="1:12" x14ac:dyDescent="0.35">
      <c r="A1491" t="s">
        <v>881</v>
      </c>
      <c r="B1491" t="str">
        <f t="shared" si="69"/>
        <v>Normal Weight</v>
      </c>
      <c r="C1491">
        <v>18.760000000000002</v>
      </c>
      <c r="D1491" t="str">
        <f t="shared" si="70"/>
        <v>Normal</v>
      </c>
      <c r="E1491">
        <v>4.88</v>
      </c>
      <c r="F1491" t="s">
        <v>2382</v>
      </c>
      <c r="G1491" t="s">
        <v>2380</v>
      </c>
      <c r="H1491" t="s">
        <v>2383</v>
      </c>
      <c r="J1491">
        <v>1</v>
      </c>
      <c r="K1491" t="str">
        <f t="shared" si="71"/>
        <v>No</v>
      </c>
      <c r="L1491" t="s">
        <v>2380</v>
      </c>
    </row>
    <row r="1492" spans="1:12" x14ac:dyDescent="0.35">
      <c r="A1492" t="s">
        <v>880</v>
      </c>
      <c r="B1492" t="str">
        <f t="shared" si="69"/>
        <v>Normal Weight</v>
      </c>
      <c r="C1492">
        <v>24.36</v>
      </c>
      <c r="D1492" t="str">
        <f t="shared" si="70"/>
        <v>Normal</v>
      </c>
      <c r="E1492">
        <v>5.57</v>
      </c>
      <c r="F1492" t="s">
        <v>2380</v>
      </c>
      <c r="G1492" t="s">
        <v>2380</v>
      </c>
      <c r="H1492" t="s">
        <v>2380</v>
      </c>
      <c r="J1492" t="s">
        <v>2381</v>
      </c>
      <c r="K1492" t="str">
        <f t="shared" si="71"/>
        <v>No</v>
      </c>
      <c r="L1492" t="s">
        <v>2380</v>
      </c>
    </row>
    <row r="1493" spans="1:12" x14ac:dyDescent="0.35">
      <c r="A1493" t="s">
        <v>879</v>
      </c>
      <c r="B1493" t="str">
        <f t="shared" si="69"/>
        <v>Obesity</v>
      </c>
      <c r="C1493">
        <v>32.299999999999997</v>
      </c>
      <c r="D1493" t="str">
        <f t="shared" si="70"/>
        <v>Normal</v>
      </c>
      <c r="E1493">
        <v>5.31</v>
      </c>
      <c r="F1493" t="s">
        <v>2380</v>
      </c>
      <c r="G1493" t="s">
        <v>2380</v>
      </c>
      <c r="H1493" t="s">
        <v>2380</v>
      </c>
      <c r="J1493" t="s">
        <v>2381</v>
      </c>
      <c r="K1493" t="str">
        <f t="shared" si="71"/>
        <v>No</v>
      </c>
      <c r="L1493" t="s">
        <v>2380</v>
      </c>
    </row>
    <row r="1494" spans="1:12" x14ac:dyDescent="0.35">
      <c r="A1494" t="s">
        <v>878</v>
      </c>
      <c r="B1494" t="str">
        <f t="shared" si="69"/>
        <v>Normal Weight</v>
      </c>
      <c r="C1494">
        <v>22.704999999999998</v>
      </c>
      <c r="D1494" t="str">
        <f t="shared" si="70"/>
        <v>Normal</v>
      </c>
      <c r="E1494">
        <v>4.57</v>
      </c>
      <c r="F1494" t="s">
        <v>2382</v>
      </c>
      <c r="G1494" t="s">
        <v>2380</v>
      </c>
      <c r="H1494" t="s">
        <v>2380</v>
      </c>
      <c r="J1494" t="s">
        <v>2381</v>
      </c>
      <c r="K1494" t="str">
        <f t="shared" si="71"/>
        <v>No</v>
      </c>
      <c r="L1494" t="s">
        <v>2380</v>
      </c>
    </row>
    <row r="1495" spans="1:12" x14ac:dyDescent="0.35">
      <c r="A1495" t="s">
        <v>877</v>
      </c>
      <c r="B1495" t="str">
        <f t="shared" si="69"/>
        <v>Normal Weight</v>
      </c>
      <c r="C1495">
        <v>21.79</v>
      </c>
      <c r="D1495" t="str">
        <f t="shared" si="70"/>
        <v>Diabetes</v>
      </c>
      <c r="E1495">
        <v>8.6999999999999993</v>
      </c>
      <c r="F1495" t="s">
        <v>2382</v>
      </c>
      <c r="G1495" t="s">
        <v>2380</v>
      </c>
      <c r="H1495" t="s">
        <v>2380</v>
      </c>
      <c r="J1495">
        <v>1</v>
      </c>
      <c r="K1495" t="str">
        <f t="shared" si="71"/>
        <v>No</v>
      </c>
      <c r="L1495" t="s">
        <v>2380</v>
      </c>
    </row>
    <row r="1496" spans="1:12" x14ac:dyDescent="0.35">
      <c r="A1496" t="s">
        <v>876</v>
      </c>
      <c r="B1496" t="str">
        <f t="shared" si="69"/>
        <v>Normal Weight</v>
      </c>
      <c r="C1496">
        <v>24.52</v>
      </c>
      <c r="D1496" t="str">
        <f t="shared" si="70"/>
        <v>Normal</v>
      </c>
      <c r="E1496">
        <v>4.76</v>
      </c>
      <c r="F1496" t="s">
        <v>2380</v>
      </c>
      <c r="G1496" t="s">
        <v>2380</v>
      </c>
      <c r="H1496" t="s">
        <v>2380</v>
      </c>
      <c r="J1496" t="s">
        <v>2381</v>
      </c>
      <c r="K1496" t="str">
        <f t="shared" si="71"/>
        <v>No</v>
      </c>
      <c r="L1496" t="s">
        <v>2380</v>
      </c>
    </row>
    <row r="1497" spans="1:12" x14ac:dyDescent="0.35">
      <c r="A1497" t="s">
        <v>875</v>
      </c>
      <c r="B1497" t="str">
        <f t="shared" si="69"/>
        <v>Obesity</v>
      </c>
      <c r="C1497">
        <v>39.520000000000003</v>
      </c>
      <c r="D1497" t="str">
        <f t="shared" si="70"/>
        <v>Diabetes</v>
      </c>
      <c r="E1497">
        <v>11.81</v>
      </c>
      <c r="F1497" t="s">
        <v>2380</v>
      </c>
      <c r="G1497" t="s">
        <v>2380</v>
      </c>
      <c r="H1497" t="s">
        <v>2380</v>
      </c>
      <c r="J1497" t="s">
        <v>2381</v>
      </c>
      <c r="K1497" t="str">
        <f t="shared" si="71"/>
        <v>No</v>
      </c>
      <c r="L1497" t="s">
        <v>2380</v>
      </c>
    </row>
    <row r="1498" spans="1:12" x14ac:dyDescent="0.35">
      <c r="A1498" t="s">
        <v>874</v>
      </c>
      <c r="B1498" t="str">
        <f t="shared" si="69"/>
        <v>Normal Weight</v>
      </c>
      <c r="C1498">
        <v>24.49</v>
      </c>
      <c r="D1498" t="str">
        <f t="shared" si="70"/>
        <v>Normal</v>
      </c>
      <c r="E1498">
        <v>4.67</v>
      </c>
      <c r="F1498" t="s">
        <v>2380</v>
      </c>
      <c r="G1498" t="s">
        <v>2380</v>
      </c>
      <c r="H1498" t="s">
        <v>2380</v>
      </c>
      <c r="J1498" t="s">
        <v>2381</v>
      </c>
      <c r="K1498" t="str">
        <f t="shared" si="71"/>
        <v>No</v>
      </c>
      <c r="L1498" t="s">
        <v>2380</v>
      </c>
    </row>
    <row r="1499" spans="1:12" x14ac:dyDescent="0.35">
      <c r="A1499" t="s">
        <v>873</v>
      </c>
      <c r="B1499" t="str">
        <f t="shared" si="69"/>
        <v>Overweight</v>
      </c>
      <c r="C1499">
        <v>26.315000000000001</v>
      </c>
      <c r="D1499" t="str">
        <f t="shared" si="70"/>
        <v>Prediabetes</v>
      </c>
      <c r="E1499">
        <v>6.02</v>
      </c>
      <c r="F1499" t="s">
        <v>2380</v>
      </c>
      <c r="G1499" t="s">
        <v>2380</v>
      </c>
      <c r="H1499" t="s">
        <v>2380</v>
      </c>
      <c r="J1499" t="s">
        <v>2381</v>
      </c>
      <c r="K1499" t="str">
        <f t="shared" si="71"/>
        <v>No</v>
      </c>
      <c r="L1499" t="s">
        <v>2380</v>
      </c>
    </row>
    <row r="1500" spans="1:12" x14ac:dyDescent="0.35">
      <c r="A1500" t="s">
        <v>872</v>
      </c>
      <c r="B1500" t="str">
        <f t="shared" si="69"/>
        <v>Normal Weight</v>
      </c>
      <c r="C1500">
        <v>22.58</v>
      </c>
      <c r="D1500" t="str">
        <f t="shared" si="70"/>
        <v>Diabetes</v>
      </c>
      <c r="E1500">
        <v>7.46</v>
      </c>
      <c r="F1500" t="s">
        <v>2380</v>
      </c>
      <c r="G1500" t="s">
        <v>2380</v>
      </c>
      <c r="H1500" t="s">
        <v>2380</v>
      </c>
      <c r="J1500" t="s">
        <v>2381</v>
      </c>
      <c r="K1500" t="str">
        <f t="shared" si="71"/>
        <v>No</v>
      </c>
      <c r="L1500" t="s">
        <v>2380</v>
      </c>
    </row>
    <row r="1501" spans="1:12" x14ac:dyDescent="0.35">
      <c r="A1501" t="s">
        <v>871</v>
      </c>
      <c r="B1501" t="str">
        <f t="shared" si="69"/>
        <v>Normal Weight</v>
      </c>
      <c r="C1501">
        <v>19.475000000000001</v>
      </c>
      <c r="D1501" t="str">
        <f t="shared" si="70"/>
        <v>Normal</v>
      </c>
      <c r="E1501">
        <v>4.74</v>
      </c>
      <c r="F1501" t="s">
        <v>2380</v>
      </c>
      <c r="G1501" t="s">
        <v>2380</v>
      </c>
      <c r="H1501" t="s">
        <v>2380</v>
      </c>
      <c r="J1501">
        <v>1</v>
      </c>
      <c r="K1501" t="str">
        <f t="shared" si="71"/>
        <v>No</v>
      </c>
      <c r="L1501" t="s">
        <v>2380</v>
      </c>
    </row>
    <row r="1502" spans="1:12" x14ac:dyDescent="0.35">
      <c r="A1502" t="s">
        <v>870</v>
      </c>
      <c r="B1502" t="str">
        <f t="shared" si="69"/>
        <v>Overweight</v>
      </c>
      <c r="C1502">
        <v>26.33</v>
      </c>
      <c r="D1502" t="str">
        <f t="shared" si="70"/>
        <v>Normal</v>
      </c>
      <c r="E1502">
        <v>4.79</v>
      </c>
      <c r="F1502" t="s">
        <v>2380</v>
      </c>
      <c r="G1502" t="s">
        <v>2380</v>
      </c>
      <c r="H1502" t="s">
        <v>2380</v>
      </c>
      <c r="J1502" t="s">
        <v>2381</v>
      </c>
      <c r="K1502" t="str">
        <f t="shared" si="71"/>
        <v>No</v>
      </c>
      <c r="L1502" t="s">
        <v>2380</v>
      </c>
    </row>
    <row r="1503" spans="1:12" x14ac:dyDescent="0.35">
      <c r="A1503" t="s">
        <v>869</v>
      </c>
      <c r="B1503" t="str">
        <f t="shared" si="69"/>
        <v>Underweight</v>
      </c>
      <c r="C1503">
        <v>17.29</v>
      </c>
      <c r="D1503" t="str">
        <f t="shared" si="70"/>
        <v>Normal</v>
      </c>
      <c r="E1503">
        <v>5.35</v>
      </c>
      <c r="F1503" t="s">
        <v>2382</v>
      </c>
      <c r="G1503" t="s">
        <v>2380</v>
      </c>
      <c r="H1503" t="s">
        <v>2380</v>
      </c>
      <c r="J1503" t="s">
        <v>2381</v>
      </c>
      <c r="K1503" t="str">
        <f t="shared" si="71"/>
        <v>No</v>
      </c>
      <c r="L1503" t="s">
        <v>2380</v>
      </c>
    </row>
    <row r="1504" spans="1:12" x14ac:dyDescent="0.35">
      <c r="A1504" t="s">
        <v>868</v>
      </c>
      <c r="B1504" t="str">
        <f t="shared" si="69"/>
        <v>Obesity</v>
      </c>
      <c r="C1504">
        <v>42.88</v>
      </c>
      <c r="D1504" t="str">
        <f t="shared" si="70"/>
        <v>Normal</v>
      </c>
      <c r="E1504">
        <v>4.87</v>
      </c>
      <c r="F1504" t="s">
        <v>2380</v>
      </c>
      <c r="G1504" t="s">
        <v>2382</v>
      </c>
      <c r="H1504" t="s">
        <v>2380</v>
      </c>
      <c r="J1504">
        <v>1</v>
      </c>
      <c r="K1504" t="str">
        <f t="shared" si="71"/>
        <v>No</v>
      </c>
      <c r="L1504" t="s">
        <v>2380</v>
      </c>
    </row>
    <row r="1505" spans="1:12" x14ac:dyDescent="0.35">
      <c r="A1505" t="s">
        <v>867</v>
      </c>
      <c r="B1505" t="str">
        <f t="shared" si="69"/>
        <v>Obesity</v>
      </c>
      <c r="C1505">
        <v>32.200000000000003</v>
      </c>
      <c r="D1505" t="str">
        <f t="shared" si="70"/>
        <v>Diabetes</v>
      </c>
      <c r="E1505">
        <v>10.09</v>
      </c>
      <c r="F1505" t="s">
        <v>2382</v>
      </c>
      <c r="G1505" t="s">
        <v>2380</v>
      </c>
      <c r="H1505" t="s">
        <v>2380</v>
      </c>
      <c r="J1505" t="s">
        <v>2381</v>
      </c>
      <c r="K1505" t="str">
        <f t="shared" si="71"/>
        <v>No</v>
      </c>
      <c r="L1505" t="s">
        <v>2380</v>
      </c>
    </row>
    <row r="1506" spans="1:12" x14ac:dyDescent="0.35">
      <c r="A1506" t="s">
        <v>866</v>
      </c>
      <c r="B1506" t="str">
        <f t="shared" si="69"/>
        <v>Normal Weight</v>
      </c>
      <c r="C1506">
        <v>18.75</v>
      </c>
      <c r="D1506" t="str">
        <f t="shared" si="70"/>
        <v>Normal</v>
      </c>
      <c r="E1506">
        <v>5.47</v>
      </c>
      <c r="F1506" t="s">
        <v>2382</v>
      </c>
      <c r="G1506" t="s">
        <v>2380</v>
      </c>
      <c r="H1506" t="s">
        <v>2383</v>
      </c>
      <c r="J1506">
        <v>1</v>
      </c>
      <c r="K1506" t="str">
        <f t="shared" si="71"/>
        <v>No</v>
      </c>
      <c r="L1506" t="s">
        <v>2380</v>
      </c>
    </row>
    <row r="1507" spans="1:12" x14ac:dyDescent="0.35">
      <c r="A1507" t="s">
        <v>865</v>
      </c>
      <c r="B1507" t="str">
        <f t="shared" si="69"/>
        <v>Normal Weight</v>
      </c>
      <c r="C1507">
        <v>22.36</v>
      </c>
      <c r="D1507" t="str">
        <f t="shared" si="70"/>
        <v>Diabetes</v>
      </c>
      <c r="E1507">
        <v>8.6</v>
      </c>
      <c r="F1507" t="s">
        <v>2380</v>
      </c>
      <c r="G1507" t="s">
        <v>2380</v>
      </c>
      <c r="H1507" t="s">
        <v>2380</v>
      </c>
      <c r="J1507" t="s">
        <v>2381</v>
      </c>
      <c r="K1507" t="str">
        <f t="shared" si="71"/>
        <v>No</v>
      </c>
      <c r="L1507" t="s">
        <v>2380</v>
      </c>
    </row>
    <row r="1508" spans="1:12" x14ac:dyDescent="0.35">
      <c r="A1508" t="s">
        <v>864</v>
      </c>
      <c r="B1508" t="str">
        <f t="shared" si="69"/>
        <v>Normal Weight</v>
      </c>
      <c r="C1508">
        <v>23.94</v>
      </c>
      <c r="D1508" t="str">
        <f t="shared" si="70"/>
        <v>Diabetes</v>
      </c>
      <c r="E1508">
        <v>10.74</v>
      </c>
      <c r="F1508" t="s">
        <v>2382</v>
      </c>
      <c r="G1508" t="s">
        <v>2380</v>
      </c>
      <c r="H1508" t="s">
        <v>2380</v>
      </c>
      <c r="J1508" t="s">
        <v>2381</v>
      </c>
      <c r="K1508" t="str">
        <f t="shared" si="71"/>
        <v>No</v>
      </c>
      <c r="L1508" t="s">
        <v>2380</v>
      </c>
    </row>
    <row r="1509" spans="1:12" x14ac:dyDescent="0.35">
      <c r="A1509" t="s">
        <v>863</v>
      </c>
      <c r="B1509" t="str">
        <f t="shared" si="69"/>
        <v>Obesity</v>
      </c>
      <c r="C1509">
        <v>30.1</v>
      </c>
      <c r="D1509" t="str">
        <f t="shared" si="70"/>
        <v>Normal</v>
      </c>
      <c r="E1509">
        <v>4.3899999999999997</v>
      </c>
      <c r="F1509" t="s">
        <v>2380</v>
      </c>
      <c r="G1509" t="s">
        <v>2380</v>
      </c>
      <c r="H1509" t="s">
        <v>2383</v>
      </c>
      <c r="J1509">
        <v>1</v>
      </c>
      <c r="K1509" t="str">
        <f t="shared" si="71"/>
        <v>No</v>
      </c>
      <c r="L1509" t="s">
        <v>2380</v>
      </c>
    </row>
    <row r="1510" spans="1:12" x14ac:dyDescent="0.35">
      <c r="A1510" t="s">
        <v>862</v>
      </c>
      <c r="B1510" t="str">
        <f t="shared" si="69"/>
        <v>Normal Weight</v>
      </c>
      <c r="C1510">
        <v>21.93</v>
      </c>
      <c r="D1510" t="str">
        <f t="shared" si="70"/>
        <v>Prediabetes</v>
      </c>
      <c r="E1510">
        <v>6.3</v>
      </c>
      <c r="F1510" t="s">
        <v>2380</v>
      </c>
      <c r="G1510" t="s">
        <v>2380</v>
      </c>
      <c r="H1510" t="s">
        <v>2380</v>
      </c>
      <c r="J1510" t="s">
        <v>2381</v>
      </c>
      <c r="K1510" t="str">
        <f t="shared" si="71"/>
        <v>No</v>
      </c>
      <c r="L1510" t="s">
        <v>2380</v>
      </c>
    </row>
    <row r="1511" spans="1:12" x14ac:dyDescent="0.35">
      <c r="A1511" t="s">
        <v>861</v>
      </c>
      <c r="B1511" t="str">
        <f t="shared" si="69"/>
        <v>Obesity</v>
      </c>
      <c r="C1511">
        <v>39.75</v>
      </c>
      <c r="D1511" t="str">
        <f t="shared" si="70"/>
        <v>Normal</v>
      </c>
      <c r="E1511">
        <v>5.41</v>
      </c>
      <c r="F1511" t="s">
        <v>2380</v>
      </c>
      <c r="G1511" t="s">
        <v>2382</v>
      </c>
      <c r="H1511" t="s">
        <v>2380</v>
      </c>
      <c r="J1511">
        <v>1</v>
      </c>
      <c r="K1511" t="str">
        <f t="shared" si="71"/>
        <v>No</v>
      </c>
      <c r="L1511" t="s">
        <v>2380</v>
      </c>
    </row>
    <row r="1512" spans="1:12" x14ac:dyDescent="0.35">
      <c r="A1512" t="s">
        <v>860</v>
      </c>
      <c r="B1512" t="str">
        <f t="shared" si="69"/>
        <v>Overweight</v>
      </c>
      <c r="C1512">
        <v>26.03</v>
      </c>
      <c r="D1512" t="str">
        <f t="shared" si="70"/>
        <v>Normal</v>
      </c>
      <c r="E1512">
        <v>4.47</v>
      </c>
      <c r="F1512" t="s">
        <v>2380</v>
      </c>
      <c r="G1512" t="s">
        <v>2380</v>
      </c>
      <c r="H1512" t="s">
        <v>2383</v>
      </c>
      <c r="J1512">
        <v>1</v>
      </c>
      <c r="K1512" t="str">
        <f t="shared" si="71"/>
        <v>No</v>
      </c>
      <c r="L1512" t="s">
        <v>2380</v>
      </c>
    </row>
    <row r="1513" spans="1:12" x14ac:dyDescent="0.35">
      <c r="A1513" t="s">
        <v>859</v>
      </c>
      <c r="B1513" t="str">
        <f t="shared" si="69"/>
        <v>Obesity</v>
      </c>
      <c r="C1513">
        <v>34.51</v>
      </c>
      <c r="D1513" t="str">
        <f t="shared" si="70"/>
        <v>Prediabetes</v>
      </c>
      <c r="E1513">
        <v>6.26</v>
      </c>
      <c r="F1513" t="s">
        <v>2380</v>
      </c>
      <c r="G1513" t="s">
        <v>2380</v>
      </c>
      <c r="H1513" t="s">
        <v>2380</v>
      </c>
      <c r="J1513" t="s">
        <v>2381</v>
      </c>
      <c r="K1513" t="str">
        <f t="shared" si="71"/>
        <v>No</v>
      </c>
      <c r="L1513" t="s">
        <v>2380</v>
      </c>
    </row>
    <row r="1514" spans="1:12" x14ac:dyDescent="0.35">
      <c r="A1514" t="s">
        <v>858</v>
      </c>
      <c r="B1514" t="str">
        <f t="shared" si="69"/>
        <v>Normal Weight</v>
      </c>
      <c r="C1514">
        <v>19.32</v>
      </c>
      <c r="D1514" t="str">
        <f t="shared" si="70"/>
        <v>Diabetes</v>
      </c>
      <c r="E1514">
        <v>11.58</v>
      </c>
      <c r="F1514" t="s">
        <v>2382</v>
      </c>
      <c r="G1514" t="s">
        <v>2380</v>
      </c>
      <c r="H1514" t="s">
        <v>2380</v>
      </c>
      <c r="J1514">
        <v>1</v>
      </c>
      <c r="K1514" t="str">
        <f t="shared" si="71"/>
        <v>No</v>
      </c>
      <c r="L1514" t="s">
        <v>2380</v>
      </c>
    </row>
    <row r="1515" spans="1:12" x14ac:dyDescent="0.35">
      <c r="A1515" t="s">
        <v>857</v>
      </c>
      <c r="B1515" t="str">
        <f t="shared" si="69"/>
        <v>Overweight</v>
      </c>
      <c r="C1515">
        <v>28.5</v>
      </c>
      <c r="D1515" t="str">
        <f t="shared" si="70"/>
        <v>Normal</v>
      </c>
      <c r="E1515">
        <v>4.3600000000000003</v>
      </c>
      <c r="F1515" t="s">
        <v>2380</v>
      </c>
      <c r="G1515" t="s">
        <v>2380</v>
      </c>
      <c r="H1515" t="s">
        <v>2380</v>
      </c>
      <c r="J1515" t="s">
        <v>2381</v>
      </c>
      <c r="K1515" t="str">
        <f t="shared" si="71"/>
        <v>No</v>
      </c>
      <c r="L1515" t="s">
        <v>2380</v>
      </c>
    </row>
    <row r="1516" spans="1:12" x14ac:dyDescent="0.35">
      <c r="A1516" t="s">
        <v>856</v>
      </c>
      <c r="B1516" t="str">
        <f t="shared" si="69"/>
        <v>Obesity</v>
      </c>
      <c r="C1516">
        <v>30.875</v>
      </c>
      <c r="D1516" t="str">
        <f t="shared" si="70"/>
        <v>Normal</v>
      </c>
      <c r="E1516">
        <v>4.1399999999999997</v>
      </c>
      <c r="F1516" t="s">
        <v>2382</v>
      </c>
      <c r="G1516" t="s">
        <v>2380</v>
      </c>
      <c r="H1516" t="s">
        <v>2380</v>
      </c>
      <c r="J1516" t="s">
        <v>2381</v>
      </c>
      <c r="K1516" t="str">
        <f t="shared" si="71"/>
        <v>No</v>
      </c>
      <c r="L1516" t="s">
        <v>2380</v>
      </c>
    </row>
    <row r="1517" spans="1:12" x14ac:dyDescent="0.35">
      <c r="A1517" t="s">
        <v>855</v>
      </c>
      <c r="B1517" t="str">
        <f t="shared" si="69"/>
        <v>Normal Weight</v>
      </c>
      <c r="C1517">
        <v>24.02</v>
      </c>
      <c r="D1517" t="str">
        <f t="shared" si="70"/>
        <v>Normal</v>
      </c>
      <c r="E1517">
        <v>4.38</v>
      </c>
      <c r="F1517" t="s">
        <v>2380</v>
      </c>
      <c r="G1517" t="s">
        <v>2380</v>
      </c>
      <c r="H1517" t="s">
        <v>2380</v>
      </c>
      <c r="J1517" t="s">
        <v>2381</v>
      </c>
      <c r="K1517" t="str">
        <f t="shared" si="71"/>
        <v>No</v>
      </c>
      <c r="L1517" t="s">
        <v>2380</v>
      </c>
    </row>
    <row r="1518" spans="1:12" x14ac:dyDescent="0.35">
      <c r="A1518" t="s">
        <v>854</v>
      </c>
      <c r="B1518" t="str">
        <f t="shared" si="69"/>
        <v>Obesity</v>
      </c>
      <c r="C1518">
        <v>36.08</v>
      </c>
      <c r="D1518" t="str">
        <f t="shared" si="70"/>
        <v>Diabetes</v>
      </c>
      <c r="E1518">
        <v>11.61</v>
      </c>
      <c r="F1518" t="s">
        <v>2382</v>
      </c>
      <c r="G1518" t="s">
        <v>2380</v>
      </c>
      <c r="H1518" t="s">
        <v>2380</v>
      </c>
      <c r="J1518" t="s">
        <v>2381</v>
      </c>
      <c r="K1518" t="str">
        <f t="shared" si="71"/>
        <v>No</v>
      </c>
      <c r="L1518" t="s">
        <v>2380</v>
      </c>
    </row>
    <row r="1519" spans="1:12" x14ac:dyDescent="0.35">
      <c r="A1519" t="s">
        <v>853</v>
      </c>
      <c r="B1519" t="str">
        <f t="shared" si="69"/>
        <v>Obesity</v>
      </c>
      <c r="C1519">
        <v>32.200000000000003</v>
      </c>
      <c r="D1519" t="str">
        <f t="shared" si="70"/>
        <v>Diabetes</v>
      </c>
      <c r="E1519">
        <v>10.59</v>
      </c>
      <c r="F1519" t="s">
        <v>2382</v>
      </c>
      <c r="G1519" t="s">
        <v>2380</v>
      </c>
      <c r="H1519" t="s">
        <v>2380</v>
      </c>
      <c r="J1519" t="s">
        <v>2381</v>
      </c>
      <c r="K1519" t="str">
        <f t="shared" si="71"/>
        <v>No</v>
      </c>
      <c r="L1519" t="s">
        <v>2380</v>
      </c>
    </row>
    <row r="1520" spans="1:12" x14ac:dyDescent="0.35">
      <c r="A1520" t="s">
        <v>852</v>
      </c>
      <c r="B1520" t="str">
        <f t="shared" si="69"/>
        <v>Overweight</v>
      </c>
      <c r="C1520">
        <v>28.05</v>
      </c>
      <c r="D1520" t="str">
        <f t="shared" si="70"/>
        <v>Diabetes</v>
      </c>
      <c r="E1520">
        <v>11.85</v>
      </c>
      <c r="F1520" t="s">
        <v>2382</v>
      </c>
      <c r="G1520" t="s">
        <v>2380</v>
      </c>
      <c r="H1520" t="s">
        <v>2380</v>
      </c>
      <c r="J1520" t="s">
        <v>2381</v>
      </c>
      <c r="K1520" t="str">
        <f t="shared" si="71"/>
        <v>No</v>
      </c>
      <c r="L1520" t="s">
        <v>2380</v>
      </c>
    </row>
    <row r="1521" spans="1:12" x14ac:dyDescent="0.35">
      <c r="A1521" t="s">
        <v>851</v>
      </c>
      <c r="B1521" t="str">
        <f t="shared" si="69"/>
        <v>Normal Weight</v>
      </c>
      <c r="C1521">
        <v>19</v>
      </c>
      <c r="D1521" t="str">
        <f t="shared" si="70"/>
        <v>Normal</v>
      </c>
      <c r="E1521">
        <v>5.46</v>
      </c>
      <c r="F1521" t="s">
        <v>2382</v>
      </c>
      <c r="G1521" t="s">
        <v>2380</v>
      </c>
      <c r="H1521" t="s">
        <v>2380</v>
      </c>
      <c r="J1521">
        <v>1</v>
      </c>
      <c r="K1521" t="str">
        <f t="shared" si="71"/>
        <v>No</v>
      </c>
      <c r="L1521" t="s">
        <v>2380</v>
      </c>
    </row>
    <row r="1522" spans="1:12" x14ac:dyDescent="0.35">
      <c r="A1522" t="s">
        <v>850</v>
      </c>
      <c r="B1522" t="str">
        <f t="shared" si="69"/>
        <v>Underweight</v>
      </c>
      <c r="C1522">
        <v>16.13</v>
      </c>
      <c r="D1522" t="str">
        <f t="shared" si="70"/>
        <v>Normal</v>
      </c>
      <c r="E1522">
        <v>4.54</v>
      </c>
      <c r="F1522" t="s">
        <v>2382</v>
      </c>
      <c r="G1522" t="s">
        <v>2380</v>
      </c>
      <c r="H1522" t="s">
        <v>2380</v>
      </c>
      <c r="J1522">
        <v>2</v>
      </c>
      <c r="K1522" t="str">
        <f t="shared" si="71"/>
        <v>No</v>
      </c>
      <c r="L1522" t="s">
        <v>2380</v>
      </c>
    </row>
    <row r="1523" spans="1:12" x14ac:dyDescent="0.35">
      <c r="A1523" t="s">
        <v>849</v>
      </c>
      <c r="B1523" t="str">
        <f t="shared" si="69"/>
        <v>Normal Weight</v>
      </c>
      <c r="C1523">
        <v>18.77</v>
      </c>
      <c r="D1523" t="str">
        <f t="shared" si="70"/>
        <v>Diabetes</v>
      </c>
      <c r="E1523">
        <v>11.98</v>
      </c>
      <c r="F1523" t="s">
        <v>2382</v>
      </c>
      <c r="G1523" t="s">
        <v>2380</v>
      </c>
      <c r="H1523" t="s">
        <v>2380</v>
      </c>
      <c r="J1523">
        <v>2</v>
      </c>
      <c r="K1523" t="str">
        <f t="shared" si="71"/>
        <v>No</v>
      </c>
      <c r="L1523" t="s">
        <v>2380</v>
      </c>
    </row>
    <row r="1524" spans="1:12" x14ac:dyDescent="0.35">
      <c r="A1524" t="s">
        <v>848</v>
      </c>
      <c r="B1524" t="str">
        <f t="shared" si="69"/>
        <v>Overweight</v>
      </c>
      <c r="C1524">
        <v>28.88</v>
      </c>
      <c r="D1524" t="str">
        <f t="shared" si="70"/>
        <v>Diabetes</v>
      </c>
      <c r="E1524">
        <v>6.59</v>
      </c>
      <c r="F1524" t="s">
        <v>2382</v>
      </c>
      <c r="G1524" t="s">
        <v>2380</v>
      </c>
      <c r="H1524" t="s">
        <v>2380</v>
      </c>
      <c r="J1524">
        <v>1</v>
      </c>
      <c r="K1524" t="str">
        <f t="shared" si="71"/>
        <v>No</v>
      </c>
      <c r="L1524" t="s">
        <v>2380</v>
      </c>
    </row>
    <row r="1525" spans="1:12" x14ac:dyDescent="0.35">
      <c r="A1525" t="s">
        <v>847</v>
      </c>
      <c r="B1525" t="str">
        <f t="shared" si="69"/>
        <v>Overweight</v>
      </c>
      <c r="C1525">
        <v>27.55</v>
      </c>
      <c r="D1525" t="str">
        <f t="shared" si="70"/>
        <v>Diabetes</v>
      </c>
      <c r="E1525">
        <v>10.83</v>
      </c>
      <c r="F1525" t="s">
        <v>2382</v>
      </c>
      <c r="G1525" t="s">
        <v>2380</v>
      </c>
      <c r="H1525" t="s">
        <v>2380</v>
      </c>
      <c r="J1525">
        <v>1</v>
      </c>
      <c r="K1525" t="str">
        <f t="shared" si="71"/>
        <v>No</v>
      </c>
      <c r="L1525" t="s">
        <v>2380</v>
      </c>
    </row>
    <row r="1526" spans="1:12" x14ac:dyDescent="0.35">
      <c r="A1526" t="s">
        <v>846</v>
      </c>
      <c r="B1526" t="str">
        <f t="shared" si="69"/>
        <v>Underweight</v>
      </c>
      <c r="C1526">
        <v>15.6</v>
      </c>
      <c r="D1526" t="str">
        <f t="shared" si="70"/>
        <v>Diabetes</v>
      </c>
      <c r="E1526">
        <v>8.6</v>
      </c>
      <c r="F1526" t="s">
        <v>2380</v>
      </c>
      <c r="G1526" t="s">
        <v>2380</v>
      </c>
      <c r="H1526" t="s">
        <v>2380</v>
      </c>
      <c r="J1526" t="s">
        <v>2381</v>
      </c>
      <c r="K1526" t="str">
        <f t="shared" si="71"/>
        <v>No</v>
      </c>
      <c r="L1526" t="s">
        <v>2380</v>
      </c>
    </row>
    <row r="1527" spans="1:12" x14ac:dyDescent="0.35">
      <c r="A1527" t="s">
        <v>845</v>
      </c>
      <c r="B1527" t="str">
        <f t="shared" si="69"/>
        <v>Normal Weight</v>
      </c>
      <c r="C1527">
        <v>21.99</v>
      </c>
      <c r="D1527" t="str">
        <f t="shared" si="70"/>
        <v>Diabetes</v>
      </c>
      <c r="E1527">
        <v>11.17</v>
      </c>
      <c r="F1527" t="s">
        <v>2380</v>
      </c>
      <c r="G1527" t="s">
        <v>2380</v>
      </c>
      <c r="H1527" t="s">
        <v>2380</v>
      </c>
      <c r="J1527" t="s">
        <v>2381</v>
      </c>
      <c r="K1527" t="str">
        <f t="shared" si="71"/>
        <v>No</v>
      </c>
      <c r="L1527" t="s">
        <v>2380</v>
      </c>
    </row>
    <row r="1528" spans="1:12" x14ac:dyDescent="0.35">
      <c r="A1528" t="s">
        <v>844</v>
      </c>
      <c r="B1528" t="str">
        <f t="shared" si="69"/>
        <v>Obesity</v>
      </c>
      <c r="C1528">
        <v>34.85</v>
      </c>
      <c r="D1528" t="str">
        <f t="shared" si="70"/>
        <v>Prediabetes</v>
      </c>
      <c r="E1528">
        <v>5.75</v>
      </c>
      <c r="F1528" t="s">
        <v>2380</v>
      </c>
      <c r="G1528" t="s">
        <v>2380</v>
      </c>
      <c r="H1528" t="s">
        <v>2380</v>
      </c>
      <c r="J1528" t="s">
        <v>2381</v>
      </c>
      <c r="K1528" t="str">
        <f t="shared" si="71"/>
        <v>No</v>
      </c>
      <c r="L1528" t="s">
        <v>2380</v>
      </c>
    </row>
    <row r="1529" spans="1:12" x14ac:dyDescent="0.35">
      <c r="A1529" t="s">
        <v>843</v>
      </c>
      <c r="B1529" t="str">
        <f t="shared" si="69"/>
        <v>Normal Weight</v>
      </c>
      <c r="C1529">
        <v>24.51</v>
      </c>
      <c r="D1529" t="str">
        <f t="shared" si="70"/>
        <v>Normal</v>
      </c>
      <c r="E1529">
        <v>4.83</v>
      </c>
      <c r="F1529" t="s">
        <v>2382</v>
      </c>
      <c r="G1529" t="s">
        <v>2380</v>
      </c>
      <c r="H1529" t="s">
        <v>2383</v>
      </c>
      <c r="J1529">
        <v>1</v>
      </c>
      <c r="K1529" t="str">
        <f t="shared" si="71"/>
        <v>No</v>
      </c>
      <c r="L1529" t="s">
        <v>2380</v>
      </c>
    </row>
    <row r="1530" spans="1:12" x14ac:dyDescent="0.35">
      <c r="A1530" t="s">
        <v>842</v>
      </c>
      <c r="B1530" t="str">
        <f t="shared" si="69"/>
        <v>Normal Weight</v>
      </c>
      <c r="C1530">
        <v>19.399999999999999</v>
      </c>
      <c r="D1530" t="str">
        <f t="shared" si="70"/>
        <v>Diabetes</v>
      </c>
      <c r="E1530">
        <v>11.93</v>
      </c>
      <c r="F1530" t="s">
        <v>2380</v>
      </c>
      <c r="G1530" t="s">
        <v>2380</v>
      </c>
      <c r="H1530" t="s">
        <v>2380</v>
      </c>
      <c r="J1530" t="s">
        <v>2381</v>
      </c>
      <c r="K1530" t="str">
        <f t="shared" si="71"/>
        <v>No</v>
      </c>
      <c r="L1530" t="s">
        <v>2380</v>
      </c>
    </row>
    <row r="1531" spans="1:12" x14ac:dyDescent="0.35">
      <c r="A1531" t="s">
        <v>841</v>
      </c>
      <c r="B1531" t="str">
        <f t="shared" si="69"/>
        <v>Underweight</v>
      </c>
      <c r="C1531">
        <v>15.1</v>
      </c>
      <c r="D1531" t="str">
        <f t="shared" si="70"/>
        <v>Diabetes</v>
      </c>
      <c r="E1531">
        <v>8.41</v>
      </c>
      <c r="F1531" t="s">
        <v>2380</v>
      </c>
      <c r="G1531" t="s">
        <v>2380</v>
      </c>
      <c r="H1531" t="s">
        <v>2380</v>
      </c>
      <c r="J1531" t="s">
        <v>2381</v>
      </c>
      <c r="K1531" t="str">
        <f t="shared" si="71"/>
        <v>No</v>
      </c>
      <c r="L1531" t="s">
        <v>2380</v>
      </c>
    </row>
    <row r="1532" spans="1:12" x14ac:dyDescent="0.35">
      <c r="A1532" t="s">
        <v>840</v>
      </c>
      <c r="B1532" t="str">
        <f t="shared" si="69"/>
        <v>Normal Weight</v>
      </c>
      <c r="C1532">
        <v>23.37</v>
      </c>
      <c r="D1532" t="str">
        <f t="shared" si="70"/>
        <v>Normal</v>
      </c>
      <c r="E1532">
        <v>5.59</v>
      </c>
      <c r="F1532" t="s">
        <v>2382</v>
      </c>
      <c r="G1532" t="s">
        <v>2380</v>
      </c>
      <c r="H1532" t="s">
        <v>2380</v>
      </c>
      <c r="J1532" t="s">
        <v>2381</v>
      </c>
      <c r="K1532" t="str">
        <f t="shared" si="71"/>
        <v>No</v>
      </c>
      <c r="L1532" t="s">
        <v>2380</v>
      </c>
    </row>
    <row r="1533" spans="1:12" x14ac:dyDescent="0.35">
      <c r="A1533" t="s">
        <v>839</v>
      </c>
      <c r="B1533" t="str">
        <f t="shared" si="69"/>
        <v>Obesity</v>
      </c>
      <c r="C1533">
        <v>42.4</v>
      </c>
      <c r="D1533" t="str">
        <f t="shared" si="70"/>
        <v>Normal</v>
      </c>
      <c r="E1533">
        <v>4.0599999999999996</v>
      </c>
      <c r="F1533" t="s">
        <v>2380</v>
      </c>
      <c r="G1533" t="s">
        <v>2380</v>
      </c>
      <c r="H1533" t="s">
        <v>2380</v>
      </c>
      <c r="J1533" t="s">
        <v>2381</v>
      </c>
      <c r="K1533" t="str">
        <f t="shared" si="71"/>
        <v>No</v>
      </c>
      <c r="L1533" t="s">
        <v>2380</v>
      </c>
    </row>
    <row r="1534" spans="1:12" x14ac:dyDescent="0.35">
      <c r="A1534" t="s">
        <v>838</v>
      </c>
      <c r="B1534" t="str">
        <f t="shared" si="69"/>
        <v>Overweight</v>
      </c>
      <c r="C1534">
        <v>28.405000000000001</v>
      </c>
      <c r="D1534" t="str">
        <f t="shared" si="70"/>
        <v>Diabetes</v>
      </c>
      <c r="E1534">
        <v>7.02</v>
      </c>
      <c r="F1534" t="s">
        <v>2382</v>
      </c>
      <c r="G1534" t="s">
        <v>2380</v>
      </c>
      <c r="H1534" t="s">
        <v>2380</v>
      </c>
      <c r="J1534" t="s">
        <v>2381</v>
      </c>
      <c r="K1534" t="str">
        <f t="shared" si="71"/>
        <v>No</v>
      </c>
      <c r="L1534" t="s">
        <v>2380</v>
      </c>
    </row>
    <row r="1535" spans="1:12" x14ac:dyDescent="0.35">
      <c r="A1535" t="s">
        <v>837</v>
      </c>
      <c r="B1535" t="str">
        <f t="shared" si="69"/>
        <v>Normal Weight</v>
      </c>
      <c r="C1535">
        <v>23.4</v>
      </c>
      <c r="D1535" t="str">
        <f t="shared" si="70"/>
        <v>Normal</v>
      </c>
      <c r="E1535">
        <v>4.47</v>
      </c>
      <c r="F1535" t="s">
        <v>2380</v>
      </c>
      <c r="G1535" t="s">
        <v>2380</v>
      </c>
      <c r="H1535" t="s">
        <v>2380</v>
      </c>
      <c r="J1535" t="s">
        <v>2381</v>
      </c>
      <c r="K1535" t="str">
        <f t="shared" si="71"/>
        <v>No</v>
      </c>
      <c r="L1535" t="s">
        <v>2380</v>
      </c>
    </row>
    <row r="1536" spans="1:12" x14ac:dyDescent="0.35">
      <c r="A1536" t="s">
        <v>836</v>
      </c>
      <c r="B1536" t="str">
        <f t="shared" si="69"/>
        <v>Obesity</v>
      </c>
      <c r="C1536">
        <v>33.44</v>
      </c>
      <c r="D1536" t="str">
        <f t="shared" si="70"/>
        <v>Normal</v>
      </c>
      <c r="E1536">
        <v>4.54</v>
      </c>
      <c r="F1536" t="s">
        <v>2380</v>
      </c>
      <c r="G1536" t="s">
        <v>2380</v>
      </c>
      <c r="H1536" t="s">
        <v>2380</v>
      </c>
      <c r="J1536" t="s">
        <v>2381</v>
      </c>
      <c r="K1536" t="str">
        <f t="shared" si="71"/>
        <v>No</v>
      </c>
      <c r="L1536" t="s">
        <v>2380</v>
      </c>
    </row>
    <row r="1537" spans="1:12" x14ac:dyDescent="0.35">
      <c r="A1537" t="s">
        <v>835</v>
      </c>
      <c r="B1537" t="str">
        <f t="shared" si="69"/>
        <v>Normal Weight</v>
      </c>
      <c r="C1537">
        <v>21.12</v>
      </c>
      <c r="D1537" t="str">
        <f t="shared" si="70"/>
        <v>Normal</v>
      </c>
      <c r="E1537">
        <v>4.99</v>
      </c>
      <c r="F1537" t="s">
        <v>2380</v>
      </c>
      <c r="G1537" t="s">
        <v>2380</v>
      </c>
      <c r="H1537" t="s">
        <v>2380</v>
      </c>
      <c r="J1537">
        <v>1</v>
      </c>
      <c r="K1537" t="str">
        <f t="shared" si="71"/>
        <v>No</v>
      </c>
      <c r="L1537" t="s">
        <v>2380</v>
      </c>
    </row>
    <row r="1538" spans="1:12" x14ac:dyDescent="0.35">
      <c r="A1538" t="s">
        <v>834</v>
      </c>
      <c r="B1538" t="str">
        <f t="shared" si="69"/>
        <v>Underweight</v>
      </c>
      <c r="C1538">
        <v>18.48</v>
      </c>
      <c r="D1538" t="str">
        <f t="shared" si="70"/>
        <v>Diabetes</v>
      </c>
      <c r="E1538">
        <v>10.84</v>
      </c>
      <c r="F1538" t="s">
        <v>2382</v>
      </c>
      <c r="G1538" t="s">
        <v>2380</v>
      </c>
      <c r="H1538" t="s">
        <v>2380</v>
      </c>
      <c r="J1538">
        <v>2</v>
      </c>
      <c r="K1538" t="str">
        <f t="shared" si="71"/>
        <v>No</v>
      </c>
      <c r="L1538" t="s">
        <v>2380</v>
      </c>
    </row>
    <row r="1539" spans="1:12" x14ac:dyDescent="0.35">
      <c r="A1539" t="s">
        <v>833</v>
      </c>
      <c r="B1539" t="str">
        <f t="shared" ref="B1539:B1602" si="72">_xlfn.IFS(C1539&lt;18.5, "Underweight", C1539&lt;=24.9, "Normal Weight", C1539&lt;=29.9, "Overweight", C1539&gt;=30, "Obesity")</f>
        <v>Underweight</v>
      </c>
      <c r="C1539">
        <v>16.815000000000001</v>
      </c>
      <c r="D1539" t="str">
        <f t="shared" ref="D1539:D1602" si="73">_xlfn.IFS(E1539&lt;5.7, "Normal", E1539&lt;=6.4, "Prediabetes", E1539&gt;=6.5, "Diabetes")</f>
        <v>Normal</v>
      </c>
      <c r="E1539">
        <v>5.63</v>
      </c>
      <c r="F1539" t="s">
        <v>2380</v>
      </c>
      <c r="G1539" t="s">
        <v>2380</v>
      </c>
      <c r="H1539" t="s">
        <v>2380</v>
      </c>
      <c r="J1539">
        <v>1</v>
      </c>
      <c r="K1539" t="str">
        <f t="shared" si="71"/>
        <v>No</v>
      </c>
      <c r="L1539" t="s">
        <v>2380</v>
      </c>
    </row>
    <row r="1540" spans="1:12" x14ac:dyDescent="0.35">
      <c r="A1540" t="s">
        <v>832</v>
      </c>
      <c r="B1540" t="str">
        <f t="shared" si="72"/>
        <v>Overweight</v>
      </c>
      <c r="C1540">
        <v>26.72</v>
      </c>
      <c r="D1540" t="str">
        <f t="shared" si="73"/>
        <v>Normal</v>
      </c>
      <c r="E1540">
        <v>4.1399999999999997</v>
      </c>
      <c r="F1540" t="s">
        <v>2380</v>
      </c>
      <c r="G1540" t="s">
        <v>2380</v>
      </c>
      <c r="H1540" t="s">
        <v>2380</v>
      </c>
      <c r="J1540" t="s">
        <v>2381</v>
      </c>
      <c r="K1540" t="str">
        <f t="shared" ref="K1540:K1603" si="74">IF(OR(L1540="?", ISBLANK(L1540)), "No", L1540)</f>
        <v>No</v>
      </c>
      <c r="L1540" t="s">
        <v>2380</v>
      </c>
    </row>
    <row r="1541" spans="1:12" x14ac:dyDescent="0.35">
      <c r="A1541" t="s">
        <v>831</v>
      </c>
      <c r="B1541" t="str">
        <f t="shared" si="72"/>
        <v>Obesity</v>
      </c>
      <c r="C1541">
        <v>41.42</v>
      </c>
      <c r="D1541" t="str">
        <f t="shared" si="73"/>
        <v>Normal</v>
      </c>
      <c r="E1541">
        <v>5.17</v>
      </c>
      <c r="F1541" t="s">
        <v>2380</v>
      </c>
      <c r="G1541" t="s">
        <v>2380</v>
      </c>
      <c r="H1541" t="s">
        <v>2383</v>
      </c>
      <c r="J1541">
        <v>1</v>
      </c>
      <c r="K1541" t="str">
        <f t="shared" si="74"/>
        <v>No</v>
      </c>
      <c r="L1541" t="s">
        <v>2380</v>
      </c>
    </row>
    <row r="1542" spans="1:12" x14ac:dyDescent="0.35">
      <c r="A1542" t="s">
        <v>830</v>
      </c>
      <c r="B1542" t="str">
        <f t="shared" si="72"/>
        <v>Normal Weight</v>
      </c>
      <c r="C1542">
        <v>20.69</v>
      </c>
      <c r="D1542" t="str">
        <f t="shared" si="73"/>
        <v>Diabetes</v>
      </c>
      <c r="E1542">
        <v>6.93</v>
      </c>
      <c r="F1542" t="s">
        <v>2380</v>
      </c>
      <c r="G1542" t="s">
        <v>2380</v>
      </c>
      <c r="H1542" t="s">
        <v>2380</v>
      </c>
      <c r="J1542">
        <v>2</v>
      </c>
      <c r="K1542" t="str">
        <f t="shared" si="74"/>
        <v>No</v>
      </c>
      <c r="L1542" t="s">
        <v>2380</v>
      </c>
    </row>
    <row r="1543" spans="1:12" x14ac:dyDescent="0.35">
      <c r="A1543" t="s">
        <v>829</v>
      </c>
      <c r="B1543" t="str">
        <f t="shared" si="72"/>
        <v>Obesity</v>
      </c>
      <c r="C1543">
        <v>41.23</v>
      </c>
      <c r="D1543" t="str">
        <f t="shared" si="73"/>
        <v>Normal</v>
      </c>
      <c r="E1543">
        <v>4.24</v>
      </c>
      <c r="F1543" t="s">
        <v>2380</v>
      </c>
      <c r="G1543" t="s">
        <v>2380</v>
      </c>
      <c r="H1543" t="s">
        <v>2380</v>
      </c>
      <c r="J1543" t="s">
        <v>2381</v>
      </c>
      <c r="K1543" t="str">
        <f t="shared" si="74"/>
        <v>No</v>
      </c>
      <c r="L1543" t="s">
        <v>2380</v>
      </c>
    </row>
    <row r="1544" spans="1:12" x14ac:dyDescent="0.35">
      <c r="A1544" t="s">
        <v>828</v>
      </c>
      <c r="B1544" t="str">
        <f t="shared" si="72"/>
        <v>Overweight</v>
      </c>
      <c r="C1544">
        <v>29.9</v>
      </c>
      <c r="D1544" t="str">
        <f t="shared" si="73"/>
        <v>Prediabetes</v>
      </c>
      <c r="E1544">
        <v>5.91</v>
      </c>
      <c r="F1544" t="s">
        <v>2380</v>
      </c>
      <c r="G1544" t="s">
        <v>2380</v>
      </c>
      <c r="H1544" t="s">
        <v>2380</v>
      </c>
      <c r="J1544" t="s">
        <v>2381</v>
      </c>
      <c r="K1544" t="str">
        <f t="shared" si="74"/>
        <v>No</v>
      </c>
      <c r="L1544" t="s">
        <v>2380</v>
      </c>
    </row>
    <row r="1545" spans="1:12" x14ac:dyDescent="0.35">
      <c r="A1545" t="s">
        <v>827</v>
      </c>
      <c r="B1545" t="str">
        <f t="shared" si="72"/>
        <v>Obesity</v>
      </c>
      <c r="C1545">
        <v>34.104999999999997</v>
      </c>
      <c r="D1545" t="str">
        <f t="shared" si="73"/>
        <v>Prediabetes</v>
      </c>
      <c r="E1545">
        <v>5.93</v>
      </c>
      <c r="F1545" t="s">
        <v>2380</v>
      </c>
      <c r="G1545" t="s">
        <v>2380</v>
      </c>
      <c r="H1545" t="s">
        <v>2380</v>
      </c>
      <c r="J1545" t="s">
        <v>2381</v>
      </c>
      <c r="K1545" t="str">
        <f t="shared" si="74"/>
        <v>No</v>
      </c>
      <c r="L1545" t="s">
        <v>2380</v>
      </c>
    </row>
    <row r="1546" spans="1:12" x14ac:dyDescent="0.35">
      <c r="A1546" t="s">
        <v>826</v>
      </c>
      <c r="B1546" t="str">
        <f t="shared" si="72"/>
        <v>Overweight</v>
      </c>
      <c r="C1546">
        <v>24.97</v>
      </c>
      <c r="D1546" t="str">
        <f t="shared" si="73"/>
        <v>Normal</v>
      </c>
      <c r="E1546">
        <v>5.66</v>
      </c>
      <c r="F1546" t="s">
        <v>2380</v>
      </c>
      <c r="G1546" t="s">
        <v>2380</v>
      </c>
      <c r="H1546" t="s">
        <v>2380</v>
      </c>
      <c r="J1546" t="s">
        <v>2381</v>
      </c>
      <c r="K1546" t="str">
        <f t="shared" si="74"/>
        <v>No</v>
      </c>
      <c r="L1546" t="s">
        <v>2380</v>
      </c>
    </row>
    <row r="1547" spans="1:12" x14ac:dyDescent="0.35">
      <c r="A1547" t="s">
        <v>825</v>
      </c>
      <c r="B1547" t="str">
        <f t="shared" si="72"/>
        <v>Obesity</v>
      </c>
      <c r="C1547">
        <v>34.799999999999997</v>
      </c>
      <c r="D1547" t="str">
        <f t="shared" si="73"/>
        <v>Normal</v>
      </c>
      <c r="E1547">
        <v>4.1900000000000004</v>
      </c>
      <c r="F1547" t="s">
        <v>2380</v>
      </c>
      <c r="G1547" t="s">
        <v>2380</v>
      </c>
      <c r="H1547" t="s">
        <v>2380</v>
      </c>
      <c r="J1547">
        <v>1</v>
      </c>
      <c r="K1547" t="str">
        <f t="shared" si="74"/>
        <v>No</v>
      </c>
      <c r="L1547" t="s">
        <v>2380</v>
      </c>
    </row>
    <row r="1548" spans="1:12" x14ac:dyDescent="0.35">
      <c r="A1548" t="s">
        <v>824</v>
      </c>
      <c r="B1548" t="str">
        <f t="shared" si="72"/>
        <v>Obesity</v>
      </c>
      <c r="C1548">
        <v>32.965000000000003</v>
      </c>
      <c r="D1548" t="str">
        <f t="shared" si="73"/>
        <v>Diabetes</v>
      </c>
      <c r="E1548">
        <v>9.2100000000000009</v>
      </c>
      <c r="F1548" t="s">
        <v>2382</v>
      </c>
      <c r="G1548" t="s">
        <v>2380</v>
      </c>
      <c r="H1548" t="s">
        <v>2380</v>
      </c>
      <c r="J1548" t="s">
        <v>2381</v>
      </c>
      <c r="K1548" t="str">
        <f t="shared" si="74"/>
        <v>No</v>
      </c>
      <c r="L1548" t="s">
        <v>2380</v>
      </c>
    </row>
    <row r="1549" spans="1:12" x14ac:dyDescent="0.35">
      <c r="A1549" t="s">
        <v>823</v>
      </c>
      <c r="B1549" t="str">
        <f t="shared" si="72"/>
        <v>Overweight</v>
      </c>
      <c r="C1549">
        <v>27.265000000000001</v>
      </c>
      <c r="D1549" t="str">
        <f t="shared" si="73"/>
        <v>Normal</v>
      </c>
      <c r="E1549">
        <v>5.51</v>
      </c>
      <c r="F1549" t="s">
        <v>2380</v>
      </c>
      <c r="G1549" t="s">
        <v>2380</v>
      </c>
      <c r="H1549" t="s">
        <v>2380</v>
      </c>
      <c r="J1549">
        <v>1</v>
      </c>
      <c r="K1549" t="str">
        <f t="shared" si="74"/>
        <v>No</v>
      </c>
      <c r="L1549" t="s">
        <v>2380</v>
      </c>
    </row>
    <row r="1550" spans="1:12" x14ac:dyDescent="0.35">
      <c r="A1550" t="s">
        <v>822</v>
      </c>
      <c r="B1550" t="str">
        <f t="shared" si="72"/>
        <v>Underweight</v>
      </c>
      <c r="C1550">
        <v>17.059999999999999</v>
      </c>
      <c r="D1550" t="str">
        <f t="shared" si="73"/>
        <v>Diabetes</v>
      </c>
      <c r="E1550">
        <v>8.5</v>
      </c>
      <c r="F1550" t="s">
        <v>2380</v>
      </c>
      <c r="G1550" t="s">
        <v>2380</v>
      </c>
      <c r="H1550" t="s">
        <v>2380</v>
      </c>
      <c r="J1550" t="s">
        <v>2381</v>
      </c>
      <c r="K1550" t="str">
        <f t="shared" si="74"/>
        <v>No</v>
      </c>
      <c r="L1550" t="s">
        <v>2380</v>
      </c>
    </row>
    <row r="1551" spans="1:12" x14ac:dyDescent="0.35">
      <c r="A1551" t="s">
        <v>821</v>
      </c>
      <c r="B1551" t="str">
        <f t="shared" si="72"/>
        <v>Obesity</v>
      </c>
      <c r="C1551">
        <v>36.29</v>
      </c>
      <c r="D1551" t="str">
        <f t="shared" si="73"/>
        <v>Prediabetes</v>
      </c>
      <c r="E1551">
        <v>6.23</v>
      </c>
      <c r="F1551" t="s">
        <v>2380</v>
      </c>
      <c r="G1551" t="s">
        <v>2380</v>
      </c>
      <c r="H1551" t="s">
        <v>2380</v>
      </c>
      <c r="J1551" t="s">
        <v>2381</v>
      </c>
      <c r="K1551" t="str">
        <f t="shared" si="74"/>
        <v>No</v>
      </c>
      <c r="L1551" t="s">
        <v>2380</v>
      </c>
    </row>
    <row r="1552" spans="1:12" x14ac:dyDescent="0.35">
      <c r="A1552" t="s">
        <v>820</v>
      </c>
      <c r="B1552" t="str">
        <f t="shared" si="72"/>
        <v>Overweight</v>
      </c>
      <c r="C1552">
        <v>28.594999999999999</v>
      </c>
      <c r="D1552" t="str">
        <f t="shared" si="73"/>
        <v>Diabetes</v>
      </c>
      <c r="E1552">
        <v>8.5299999999999994</v>
      </c>
      <c r="F1552" t="s">
        <v>2382</v>
      </c>
      <c r="G1552" t="s">
        <v>2380</v>
      </c>
      <c r="H1552" t="s">
        <v>2380</v>
      </c>
      <c r="J1552">
        <v>1</v>
      </c>
      <c r="K1552" t="str">
        <f t="shared" si="74"/>
        <v>No</v>
      </c>
      <c r="L1552" t="s">
        <v>2380</v>
      </c>
    </row>
    <row r="1553" spans="1:12" x14ac:dyDescent="0.35">
      <c r="A1553" t="s">
        <v>819</v>
      </c>
      <c r="B1553" t="str">
        <f t="shared" si="72"/>
        <v>Underweight</v>
      </c>
      <c r="C1553">
        <v>17.8</v>
      </c>
      <c r="D1553" t="str">
        <f t="shared" si="73"/>
        <v>Prediabetes</v>
      </c>
      <c r="E1553">
        <v>5.75</v>
      </c>
      <c r="F1553" t="s">
        <v>2382</v>
      </c>
      <c r="G1553" t="s">
        <v>2380</v>
      </c>
      <c r="H1553" t="s">
        <v>2383</v>
      </c>
      <c r="J1553">
        <v>1</v>
      </c>
      <c r="K1553" t="str">
        <f t="shared" si="74"/>
        <v>No</v>
      </c>
      <c r="L1553" t="s">
        <v>2380</v>
      </c>
    </row>
    <row r="1554" spans="1:12" x14ac:dyDescent="0.35">
      <c r="A1554" t="s">
        <v>818</v>
      </c>
      <c r="B1554" t="str">
        <f t="shared" si="72"/>
        <v>Normal Weight</v>
      </c>
      <c r="C1554">
        <v>21.4</v>
      </c>
      <c r="D1554" t="str">
        <f t="shared" si="73"/>
        <v>Normal</v>
      </c>
      <c r="E1554">
        <v>5.6</v>
      </c>
      <c r="F1554" t="s">
        <v>2380</v>
      </c>
      <c r="G1554" t="s">
        <v>2380</v>
      </c>
      <c r="H1554" t="s">
        <v>2380</v>
      </c>
      <c r="J1554" t="s">
        <v>2381</v>
      </c>
      <c r="K1554" t="str">
        <f t="shared" si="74"/>
        <v>No</v>
      </c>
      <c r="L1554" t="s">
        <v>2380</v>
      </c>
    </row>
    <row r="1555" spans="1:12" x14ac:dyDescent="0.35">
      <c r="A1555" t="s">
        <v>817</v>
      </c>
      <c r="B1555" t="str">
        <f t="shared" si="72"/>
        <v>Normal Weight</v>
      </c>
      <c r="C1555">
        <v>23.01</v>
      </c>
      <c r="D1555" t="str">
        <f t="shared" si="73"/>
        <v>Normal</v>
      </c>
      <c r="E1555">
        <v>4.68</v>
      </c>
      <c r="F1555" t="s">
        <v>2380</v>
      </c>
      <c r="G1555" t="s">
        <v>2380</v>
      </c>
      <c r="H1555" t="s">
        <v>2380</v>
      </c>
      <c r="J1555" t="s">
        <v>2381</v>
      </c>
      <c r="K1555" t="str">
        <f t="shared" si="74"/>
        <v>No</v>
      </c>
      <c r="L1555" t="s">
        <v>2380</v>
      </c>
    </row>
    <row r="1556" spans="1:12" x14ac:dyDescent="0.35">
      <c r="A1556" t="s">
        <v>816</v>
      </c>
      <c r="B1556" t="str">
        <f t="shared" si="72"/>
        <v>Normal Weight</v>
      </c>
      <c r="C1556">
        <v>19.86</v>
      </c>
      <c r="D1556" t="str">
        <f t="shared" si="73"/>
        <v>Normal</v>
      </c>
      <c r="E1556">
        <v>5.62</v>
      </c>
      <c r="F1556" t="s">
        <v>2382</v>
      </c>
      <c r="G1556" t="s">
        <v>2380</v>
      </c>
      <c r="H1556" t="s">
        <v>2380</v>
      </c>
      <c r="J1556" t="s">
        <v>2381</v>
      </c>
      <c r="K1556" t="str">
        <f t="shared" si="74"/>
        <v>No</v>
      </c>
      <c r="L1556" t="s">
        <v>2380</v>
      </c>
    </row>
    <row r="1557" spans="1:12" x14ac:dyDescent="0.35">
      <c r="A1557" t="s">
        <v>815</v>
      </c>
      <c r="B1557" t="str">
        <f t="shared" si="72"/>
        <v>Obesity</v>
      </c>
      <c r="C1557">
        <v>33.58</v>
      </c>
      <c r="D1557" t="str">
        <f t="shared" si="73"/>
        <v>Normal</v>
      </c>
      <c r="E1557">
        <v>5.08</v>
      </c>
      <c r="F1557" t="s">
        <v>2380</v>
      </c>
      <c r="G1557" t="s">
        <v>2380</v>
      </c>
      <c r="H1557" t="s">
        <v>2380</v>
      </c>
      <c r="J1557" t="s">
        <v>2381</v>
      </c>
      <c r="K1557" t="str">
        <f t="shared" si="74"/>
        <v>No</v>
      </c>
      <c r="L1557" t="s">
        <v>2380</v>
      </c>
    </row>
    <row r="1558" spans="1:12" x14ac:dyDescent="0.35">
      <c r="A1558" t="s">
        <v>814</v>
      </c>
      <c r="B1558" t="str">
        <f t="shared" si="72"/>
        <v>Overweight</v>
      </c>
      <c r="C1558">
        <v>29.81</v>
      </c>
      <c r="D1558" t="str">
        <f t="shared" si="73"/>
        <v>Normal</v>
      </c>
      <c r="E1558">
        <v>5.28</v>
      </c>
      <c r="F1558" t="s">
        <v>2380</v>
      </c>
      <c r="G1558" t="s">
        <v>2380</v>
      </c>
      <c r="H1558" t="s">
        <v>2380</v>
      </c>
      <c r="J1558" t="s">
        <v>2381</v>
      </c>
      <c r="K1558" t="str">
        <f t="shared" si="74"/>
        <v>No</v>
      </c>
      <c r="L1558" t="s">
        <v>2380</v>
      </c>
    </row>
    <row r="1559" spans="1:12" x14ac:dyDescent="0.35">
      <c r="A1559" t="s">
        <v>813</v>
      </c>
      <c r="B1559" t="str">
        <f t="shared" si="72"/>
        <v>Overweight</v>
      </c>
      <c r="C1559">
        <v>27.4</v>
      </c>
      <c r="D1559" t="str">
        <f t="shared" si="73"/>
        <v>Normal</v>
      </c>
      <c r="E1559">
        <v>4.6100000000000003</v>
      </c>
      <c r="F1559" t="s">
        <v>2380</v>
      </c>
      <c r="G1559" t="s">
        <v>2380</v>
      </c>
      <c r="H1559" t="s">
        <v>2380</v>
      </c>
      <c r="J1559" t="s">
        <v>2381</v>
      </c>
      <c r="K1559" t="str">
        <f t="shared" si="74"/>
        <v>No</v>
      </c>
      <c r="L1559" t="s">
        <v>2380</v>
      </c>
    </row>
    <row r="1560" spans="1:12" x14ac:dyDescent="0.35">
      <c r="A1560" t="s">
        <v>812</v>
      </c>
      <c r="B1560" t="str">
        <f t="shared" si="72"/>
        <v>Underweight</v>
      </c>
      <c r="C1560">
        <v>17.98</v>
      </c>
      <c r="D1560" t="str">
        <f t="shared" si="73"/>
        <v>Diabetes</v>
      </c>
      <c r="E1560">
        <v>6.57</v>
      </c>
      <c r="F1560" t="s">
        <v>2382</v>
      </c>
      <c r="G1560" t="s">
        <v>2380</v>
      </c>
      <c r="H1560" t="s">
        <v>2380</v>
      </c>
      <c r="J1560">
        <v>2</v>
      </c>
      <c r="K1560" t="str">
        <f t="shared" si="74"/>
        <v>No</v>
      </c>
      <c r="L1560" t="s">
        <v>2380</v>
      </c>
    </row>
    <row r="1561" spans="1:12" x14ac:dyDescent="0.35">
      <c r="A1561" t="s">
        <v>811</v>
      </c>
      <c r="B1561" t="str">
        <f t="shared" si="72"/>
        <v>Obesity</v>
      </c>
      <c r="C1561">
        <v>37.9</v>
      </c>
      <c r="D1561" t="str">
        <f t="shared" si="73"/>
        <v>Prediabetes</v>
      </c>
      <c r="E1561">
        <v>5.83</v>
      </c>
      <c r="F1561" t="s">
        <v>2380</v>
      </c>
      <c r="G1561" t="s">
        <v>2380</v>
      </c>
      <c r="H1561" t="s">
        <v>2380</v>
      </c>
      <c r="J1561" t="s">
        <v>2381</v>
      </c>
      <c r="K1561" t="str">
        <f t="shared" si="74"/>
        <v>No</v>
      </c>
      <c r="L1561" t="s">
        <v>2380</v>
      </c>
    </row>
    <row r="1562" spans="1:12" x14ac:dyDescent="0.35">
      <c r="A1562" t="s">
        <v>810</v>
      </c>
      <c r="B1562" t="str">
        <f t="shared" si="72"/>
        <v>Overweight</v>
      </c>
      <c r="C1562">
        <v>25.27</v>
      </c>
      <c r="D1562" t="str">
        <f t="shared" si="73"/>
        <v>Diabetes</v>
      </c>
      <c r="E1562">
        <v>6.98</v>
      </c>
      <c r="F1562" t="s">
        <v>2382</v>
      </c>
      <c r="G1562" t="s">
        <v>2380</v>
      </c>
      <c r="H1562" t="s">
        <v>2380</v>
      </c>
      <c r="J1562" t="s">
        <v>2381</v>
      </c>
      <c r="K1562" t="str">
        <f t="shared" si="74"/>
        <v>No</v>
      </c>
      <c r="L1562" t="s">
        <v>2380</v>
      </c>
    </row>
    <row r="1563" spans="1:12" x14ac:dyDescent="0.35">
      <c r="A1563" t="s">
        <v>809</v>
      </c>
      <c r="B1563" t="str">
        <f t="shared" si="72"/>
        <v>Overweight</v>
      </c>
      <c r="C1563">
        <v>29.26</v>
      </c>
      <c r="D1563" t="str">
        <f t="shared" si="73"/>
        <v>Normal</v>
      </c>
      <c r="E1563">
        <v>4.03</v>
      </c>
      <c r="F1563" t="s">
        <v>2380</v>
      </c>
      <c r="G1563" t="s">
        <v>2380</v>
      </c>
      <c r="H1563" t="s">
        <v>2380</v>
      </c>
      <c r="J1563">
        <v>1</v>
      </c>
      <c r="K1563" t="str">
        <f t="shared" si="74"/>
        <v>No</v>
      </c>
      <c r="L1563" t="s">
        <v>2380</v>
      </c>
    </row>
    <row r="1564" spans="1:12" x14ac:dyDescent="0.35">
      <c r="A1564" t="s">
        <v>808</v>
      </c>
      <c r="B1564" t="str">
        <f t="shared" si="72"/>
        <v>Overweight</v>
      </c>
      <c r="C1564">
        <v>27.835000000000001</v>
      </c>
      <c r="D1564" t="str">
        <f t="shared" si="73"/>
        <v>Normal</v>
      </c>
      <c r="E1564">
        <v>4.5599999999999996</v>
      </c>
      <c r="F1564" t="s">
        <v>2380</v>
      </c>
      <c r="G1564" t="s">
        <v>2380</v>
      </c>
      <c r="H1564" t="s">
        <v>2380</v>
      </c>
      <c r="J1564">
        <v>1</v>
      </c>
      <c r="K1564" t="str">
        <f t="shared" si="74"/>
        <v>No</v>
      </c>
      <c r="L1564" t="s">
        <v>2380</v>
      </c>
    </row>
    <row r="1565" spans="1:12" x14ac:dyDescent="0.35">
      <c r="A1565" t="s">
        <v>807</v>
      </c>
      <c r="B1565" t="str">
        <f t="shared" si="72"/>
        <v>Obesity</v>
      </c>
      <c r="C1565">
        <v>46.53</v>
      </c>
      <c r="D1565" t="str">
        <f t="shared" si="73"/>
        <v>Normal</v>
      </c>
      <c r="E1565">
        <v>5.38</v>
      </c>
      <c r="F1565" t="s">
        <v>2382</v>
      </c>
      <c r="G1565" t="s">
        <v>2380</v>
      </c>
      <c r="H1565" t="s">
        <v>2380</v>
      </c>
      <c r="J1565" t="s">
        <v>2381</v>
      </c>
      <c r="K1565" t="str">
        <f t="shared" si="74"/>
        <v>No</v>
      </c>
      <c r="L1565" t="s">
        <v>2380</v>
      </c>
    </row>
    <row r="1566" spans="1:12" x14ac:dyDescent="0.35">
      <c r="A1566" t="s">
        <v>806</v>
      </c>
      <c r="B1566" t="str">
        <f t="shared" si="72"/>
        <v>Normal Weight</v>
      </c>
      <c r="C1566">
        <v>20.58</v>
      </c>
      <c r="D1566" t="str">
        <f t="shared" si="73"/>
        <v>Diabetes</v>
      </c>
      <c r="E1566">
        <v>11.04</v>
      </c>
      <c r="F1566" t="s">
        <v>2382</v>
      </c>
      <c r="G1566" t="s">
        <v>2380</v>
      </c>
      <c r="H1566" t="s">
        <v>2380</v>
      </c>
      <c r="J1566">
        <v>1</v>
      </c>
      <c r="K1566" t="str">
        <f t="shared" si="74"/>
        <v>No</v>
      </c>
      <c r="L1566" t="s">
        <v>2380</v>
      </c>
    </row>
    <row r="1567" spans="1:12" x14ac:dyDescent="0.35">
      <c r="A1567" t="s">
        <v>805</v>
      </c>
      <c r="B1567" t="str">
        <f t="shared" si="72"/>
        <v>Normal Weight</v>
      </c>
      <c r="C1567">
        <v>19.53</v>
      </c>
      <c r="D1567" t="str">
        <f t="shared" si="73"/>
        <v>Prediabetes</v>
      </c>
      <c r="E1567">
        <v>6.09</v>
      </c>
      <c r="F1567" t="s">
        <v>2382</v>
      </c>
      <c r="G1567" t="s">
        <v>2380</v>
      </c>
      <c r="H1567" t="s">
        <v>2380</v>
      </c>
      <c r="J1567" t="s">
        <v>2381</v>
      </c>
      <c r="K1567" t="str">
        <f t="shared" si="74"/>
        <v>No</v>
      </c>
      <c r="L1567" t="s">
        <v>2380</v>
      </c>
    </row>
    <row r="1568" spans="1:12" x14ac:dyDescent="0.35">
      <c r="A1568" t="s">
        <v>804</v>
      </c>
      <c r="B1568" t="str">
        <f t="shared" si="72"/>
        <v>Overweight</v>
      </c>
      <c r="C1568">
        <v>27.7</v>
      </c>
      <c r="D1568" t="str">
        <f t="shared" si="73"/>
        <v>Normal</v>
      </c>
      <c r="E1568">
        <v>4.71</v>
      </c>
      <c r="F1568" t="s">
        <v>2380</v>
      </c>
      <c r="G1568" t="s">
        <v>2380</v>
      </c>
      <c r="H1568" t="s">
        <v>2380</v>
      </c>
      <c r="J1568">
        <v>1</v>
      </c>
      <c r="K1568" t="str">
        <f t="shared" si="74"/>
        <v>No</v>
      </c>
      <c r="L1568" t="s">
        <v>2380</v>
      </c>
    </row>
    <row r="1569" spans="1:12" x14ac:dyDescent="0.35">
      <c r="A1569" t="s">
        <v>803</v>
      </c>
      <c r="B1569" t="str">
        <f t="shared" si="72"/>
        <v>Normal Weight</v>
      </c>
      <c r="C1569">
        <v>18.920000000000002</v>
      </c>
      <c r="D1569" t="str">
        <f t="shared" si="73"/>
        <v>Diabetes</v>
      </c>
      <c r="E1569">
        <v>8.18</v>
      </c>
      <c r="F1569" t="s">
        <v>2380</v>
      </c>
      <c r="G1569" t="s">
        <v>2380</v>
      </c>
      <c r="H1569" t="s">
        <v>2380</v>
      </c>
      <c r="J1569" t="s">
        <v>2381</v>
      </c>
      <c r="K1569" t="str">
        <f t="shared" si="74"/>
        <v>No</v>
      </c>
      <c r="L1569" t="s">
        <v>2380</v>
      </c>
    </row>
    <row r="1570" spans="1:12" x14ac:dyDescent="0.35">
      <c r="A1570" t="s">
        <v>802</v>
      </c>
      <c r="B1570" t="str">
        <f t="shared" si="72"/>
        <v>Underweight</v>
      </c>
      <c r="C1570">
        <v>17.760000000000002</v>
      </c>
      <c r="D1570" t="str">
        <f t="shared" si="73"/>
        <v>Diabetes</v>
      </c>
      <c r="E1570">
        <v>11.18</v>
      </c>
      <c r="F1570" t="s">
        <v>2382</v>
      </c>
      <c r="G1570" t="s">
        <v>2380</v>
      </c>
      <c r="H1570" t="s">
        <v>2380</v>
      </c>
      <c r="J1570">
        <v>2</v>
      </c>
      <c r="K1570" t="str">
        <f t="shared" si="74"/>
        <v>No</v>
      </c>
      <c r="L1570" t="s">
        <v>2380</v>
      </c>
    </row>
    <row r="1571" spans="1:12" x14ac:dyDescent="0.35">
      <c r="A1571" t="s">
        <v>801</v>
      </c>
      <c r="B1571" t="str">
        <f t="shared" si="72"/>
        <v>Overweight</v>
      </c>
      <c r="C1571">
        <v>29.83</v>
      </c>
      <c r="D1571" t="str">
        <f t="shared" si="73"/>
        <v>Normal</v>
      </c>
      <c r="E1571">
        <v>5.03</v>
      </c>
      <c r="F1571" t="s">
        <v>2382</v>
      </c>
      <c r="G1571" t="s">
        <v>2380</v>
      </c>
      <c r="H1571" t="s">
        <v>2380</v>
      </c>
      <c r="J1571" t="s">
        <v>2381</v>
      </c>
      <c r="K1571" t="str">
        <f t="shared" si="74"/>
        <v>No</v>
      </c>
      <c r="L1571" t="s">
        <v>2380</v>
      </c>
    </row>
    <row r="1572" spans="1:12" x14ac:dyDescent="0.35">
      <c r="A1572" t="s">
        <v>800</v>
      </c>
      <c r="B1572" t="str">
        <f t="shared" si="72"/>
        <v>Normal Weight</v>
      </c>
      <c r="C1572">
        <v>23.465</v>
      </c>
      <c r="D1572" t="str">
        <f t="shared" si="73"/>
        <v>Normal</v>
      </c>
      <c r="E1572">
        <v>5.56</v>
      </c>
      <c r="F1572" t="s">
        <v>2380</v>
      </c>
      <c r="G1572" t="s">
        <v>2380</v>
      </c>
      <c r="H1572" t="s">
        <v>2380</v>
      </c>
      <c r="J1572">
        <v>1</v>
      </c>
      <c r="K1572" t="str">
        <f t="shared" si="74"/>
        <v>No</v>
      </c>
      <c r="L1572" t="s">
        <v>2380</v>
      </c>
    </row>
    <row r="1573" spans="1:12" x14ac:dyDescent="0.35">
      <c r="A1573" t="s">
        <v>799</v>
      </c>
      <c r="B1573" t="str">
        <f t="shared" si="72"/>
        <v>Overweight</v>
      </c>
      <c r="C1573">
        <v>29.355</v>
      </c>
      <c r="D1573" t="str">
        <f t="shared" si="73"/>
        <v>Normal</v>
      </c>
      <c r="E1573">
        <v>4.33</v>
      </c>
      <c r="F1573" t="s">
        <v>2380</v>
      </c>
      <c r="G1573" t="s">
        <v>2380</v>
      </c>
      <c r="H1573" t="s">
        <v>2380</v>
      </c>
      <c r="J1573" t="s">
        <v>2381</v>
      </c>
      <c r="K1573" t="str">
        <f t="shared" si="74"/>
        <v>No</v>
      </c>
      <c r="L1573" t="s">
        <v>2380</v>
      </c>
    </row>
    <row r="1574" spans="1:12" x14ac:dyDescent="0.35">
      <c r="A1574" t="s">
        <v>798</v>
      </c>
      <c r="B1574" t="str">
        <f t="shared" si="72"/>
        <v>Obesity</v>
      </c>
      <c r="C1574">
        <v>35.49</v>
      </c>
      <c r="D1574" t="str">
        <f t="shared" si="73"/>
        <v>Normal</v>
      </c>
      <c r="E1574">
        <v>5.21</v>
      </c>
      <c r="F1574" t="s">
        <v>2382</v>
      </c>
      <c r="G1574" t="s">
        <v>2380</v>
      </c>
      <c r="H1574" t="s">
        <v>2383</v>
      </c>
      <c r="J1574">
        <v>1</v>
      </c>
      <c r="K1574" t="str">
        <f t="shared" si="74"/>
        <v>No</v>
      </c>
      <c r="L1574" t="s">
        <v>2380</v>
      </c>
    </row>
    <row r="1575" spans="1:12" x14ac:dyDescent="0.35">
      <c r="A1575" t="s">
        <v>797</v>
      </c>
      <c r="B1575" t="str">
        <f t="shared" si="72"/>
        <v>Overweight</v>
      </c>
      <c r="C1575">
        <v>26.315000000000001</v>
      </c>
      <c r="D1575" t="str">
        <f t="shared" si="73"/>
        <v>Prediabetes</v>
      </c>
      <c r="E1575">
        <v>5.89</v>
      </c>
      <c r="F1575" t="s">
        <v>2380</v>
      </c>
      <c r="G1575" t="s">
        <v>2380</v>
      </c>
      <c r="H1575" t="s">
        <v>2380</v>
      </c>
      <c r="J1575" t="s">
        <v>2381</v>
      </c>
      <c r="K1575" t="str">
        <f t="shared" si="74"/>
        <v>No</v>
      </c>
      <c r="L1575" t="s">
        <v>2380</v>
      </c>
    </row>
    <row r="1576" spans="1:12" x14ac:dyDescent="0.35">
      <c r="A1576" t="s">
        <v>796</v>
      </c>
      <c r="B1576" t="str">
        <f t="shared" si="72"/>
        <v>Normal Weight</v>
      </c>
      <c r="C1576">
        <v>19.79</v>
      </c>
      <c r="D1576" t="str">
        <f t="shared" si="73"/>
        <v>Normal</v>
      </c>
      <c r="E1576">
        <v>4.8099999999999996</v>
      </c>
      <c r="F1576" t="s">
        <v>2382</v>
      </c>
      <c r="G1576" t="s">
        <v>2380</v>
      </c>
      <c r="H1576" t="s">
        <v>2380</v>
      </c>
      <c r="J1576" t="s">
        <v>2381</v>
      </c>
      <c r="K1576" t="str">
        <f t="shared" si="74"/>
        <v>No</v>
      </c>
      <c r="L1576" t="s">
        <v>2380</v>
      </c>
    </row>
    <row r="1577" spans="1:12" x14ac:dyDescent="0.35">
      <c r="A1577" t="s">
        <v>795</v>
      </c>
      <c r="B1577" t="str">
        <f t="shared" si="72"/>
        <v>Obesity</v>
      </c>
      <c r="C1577">
        <v>40.564999999999998</v>
      </c>
      <c r="D1577" t="str">
        <f t="shared" si="73"/>
        <v>Normal</v>
      </c>
      <c r="E1577">
        <v>5.66</v>
      </c>
      <c r="F1577" t="s">
        <v>2380</v>
      </c>
      <c r="G1577" t="s">
        <v>2380</v>
      </c>
      <c r="H1577" t="s">
        <v>2380</v>
      </c>
      <c r="J1577">
        <v>1</v>
      </c>
      <c r="K1577" t="str">
        <f t="shared" si="74"/>
        <v>No</v>
      </c>
      <c r="L1577" t="s">
        <v>2380</v>
      </c>
    </row>
    <row r="1578" spans="1:12" x14ac:dyDescent="0.35">
      <c r="A1578" t="s">
        <v>794</v>
      </c>
      <c r="B1578" t="str">
        <f t="shared" si="72"/>
        <v>Underweight</v>
      </c>
      <c r="C1578">
        <v>18.03</v>
      </c>
      <c r="D1578" t="str">
        <f t="shared" si="73"/>
        <v>Diabetes</v>
      </c>
      <c r="E1578">
        <v>10.66</v>
      </c>
      <c r="F1578" t="s">
        <v>2382</v>
      </c>
      <c r="G1578" t="s">
        <v>2380</v>
      </c>
      <c r="H1578" t="s">
        <v>2380</v>
      </c>
      <c r="J1578">
        <v>2</v>
      </c>
      <c r="K1578" t="str">
        <f t="shared" si="74"/>
        <v>No</v>
      </c>
      <c r="L1578" t="s">
        <v>2380</v>
      </c>
    </row>
    <row r="1579" spans="1:12" x14ac:dyDescent="0.35">
      <c r="A1579" t="s">
        <v>793</v>
      </c>
      <c r="B1579" t="str">
        <f t="shared" si="72"/>
        <v>Obesity</v>
      </c>
      <c r="C1579">
        <v>34.65</v>
      </c>
      <c r="D1579" t="str">
        <f t="shared" si="73"/>
        <v>Prediabetes</v>
      </c>
      <c r="E1579">
        <v>5.98</v>
      </c>
      <c r="F1579" t="s">
        <v>2382</v>
      </c>
      <c r="G1579" t="s">
        <v>2380</v>
      </c>
      <c r="H1579" t="s">
        <v>2380</v>
      </c>
      <c r="J1579" t="s">
        <v>2381</v>
      </c>
      <c r="K1579" t="str">
        <f t="shared" si="74"/>
        <v>No</v>
      </c>
      <c r="L1579" t="s">
        <v>2380</v>
      </c>
    </row>
    <row r="1580" spans="1:12" x14ac:dyDescent="0.35">
      <c r="A1580" t="s">
        <v>792</v>
      </c>
      <c r="B1580" t="str">
        <f t="shared" si="72"/>
        <v>Obesity</v>
      </c>
      <c r="C1580">
        <v>42.94</v>
      </c>
      <c r="D1580" t="str">
        <f t="shared" si="73"/>
        <v>Normal</v>
      </c>
      <c r="E1580">
        <v>4.34</v>
      </c>
      <c r="F1580" t="s">
        <v>2380</v>
      </c>
      <c r="G1580" t="s">
        <v>2380</v>
      </c>
      <c r="H1580" t="s">
        <v>2380</v>
      </c>
      <c r="J1580" t="s">
        <v>2381</v>
      </c>
      <c r="K1580" t="str">
        <f t="shared" si="74"/>
        <v>No</v>
      </c>
      <c r="L1580" t="s">
        <v>2380</v>
      </c>
    </row>
    <row r="1581" spans="1:12" x14ac:dyDescent="0.35">
      <c r="A1581" t="s">
        <v>791</v>
      </c>
      <c r="B1581" t="str">
        <f t="shared" si="72"/>
        <v>Obesity</v>
      </c>
      <c r="C1581">
        <v>31.254999999999999</v>
      </c>
      <c r="D1581" t="str">
        <f t="shared" si="73"/>
        <v>Normal</v>
      </c>
      <c r="E1581">
        <v>5.17</v>
      </c>
      <c r="F1581" t="s">
        <v>2380</v>
      </c>
      <c r="G1581" t="s">
        <v>2380</v>
      </c>
      <c r="H1581" t="s">
        <v>2380</v>
      </c>
      <c r="J1581" t="s">
        <v>2381</v>
      </c>
      <c r="K1581" t="str">
        <f t="shared" si="74"/>
        <v>No</v>
      </c>
      <c r="L1581" t="s">
        <v>2380</v>
      </c>
    </row>
    <row r="1582" spans="1:12" x14ac:dyDescent="0.35">
      <c r="A1582" t="s">
        <v>790</v>
      </c>
      <c r="B1582" t="str">
        <f t="shared" si="72"/>
        <v>Obesity</v>
      </c>
      <c r="C1582">
        <v>45.43</v>
      </c>
      <c r="D1582" t="str">
        <f t="shared" si="73"/>
        <v>Normal</v>
      </c>
      <c r="E1582">
        <v>4.2300000000000004</v>
      </c>
      <c r="F1582" t="s">
        <v>2382</v>
      </c>
      <c r="G1582" t="s">
        <v>2380</v>
      </c>
      <c r="H1582" t="s">
        <v>2383</v>
      </c>
      <c r="J1582">
        <v>1</v>
      </c>
      <c r="K1582" t="str">
        <f t="shared" si="74"/>
        <v>No</v>
      </c>
      <c r="L1582" t="s">
        <v>2380</v>
      </c>
    </row>
    <row r="1583" spans="1:12" x14ac:dyDescent="0.35">
      <c r="A1583" t="s">
        <v>789</v>
      </c>
      <c r="B1583" t="str">
        <f t="shared" si="72"/>
        <v>Obesity</v>
      </c>
      <c r="C1583">
        <v>32.340000000000003</v>
      </c>
      <c r="D1583" t="str">
        <f t="shared" si="73"/>
        <v>Normal</v>
      </c>
      <c r="E1583">
        <v>4.88</v>
      </c>
      <c r="F1583" t="s">
        <v>2382</v>
      </c>
      <c r="G1583" t="s">
        <v>2380</v>
      </c>
      <c r="H1583" t="s">
        <v>2383</v>
      </c>
      <c r="J1583">
        <v>1</v>
      </c>
      <c r="K1583" t="str">
        <f t="shared" si="74"/>
        <v>No</v>
      </c>
      <c r="L1583" t="s">
        <v>2380</v>
      </c>
    </row>
    <row r="1584" spans="1:12" x14ac:dyDescent="0.35">
      <c r="A1584" t="s">
        <v>788</v>
      </c>
      <c r="B1584" t="str">
        <f t="shared" si="72"/>
        <v>Overweight</v>
      </c>
      <c r="C1584">
        <v>25.46</v>
      </c>
      <c r="D1584" t="str">
        <f t="shared" si="73"/>
        <v>Diabetes</v>
      </c>
      <c r="E1584">
        <v>9.7100000000000009</v>
      </c>
      <c r="F1584" t="s">
        <v>2382</v>
      </c>
      <c r="G1584" t="s">
        <v>2380</v>
      </c>
      <c r="H1584" t="s">
        <v>2380</v>
      </c>
      <c r="J1584">
        <v>1</v>
      </c>
      <c r="K1584" t="str">
        <f t="shared" si="74"/>
        <v>No</v>
      </c>
      <c r="L1584" t="s">
        <v>2380</v>
      </c>
    </row>
    <row r="1585" spans="1:12" x14ac:dyDescent="0.35">
      <c r="A1585" t="s">
        <v>787</v>
      </c>
      <c r="B1585" t="str">
        <f t="shared" si="72"/>
        <v>Obesity</v>
      </c>
      <c r="C1585">
        <v>37.145000000000003</v>
      </c>
      <c r="D1585" t="str">
        <f t="shared" si="73"/>
        <v>Normal</v>
      </c>
      <c r="E1585">
        <v>5.32</v>
      </c>
      <c r="F1585" t="s">
        <v>2380</v>
      </c>
      <c r="G1585" t="s">
        <v>2380</v>
      </c>
      <c r="H1585" t="s">
        <v>2380</v>
      </c>
      <c r="J1585" t="s">
        <v>2381</v>
      </c>
      <c r="K1585" t="str">
        <f t="shared" si="74"/>
        <v>No</v>
      </c>
      <c r="L1585" t="s">
        <v>2380</v>
      </c>
    </row>
    <row r="1586" spans="1:12" x14ac:dyDescent="0.35">
      <c r="A1586" t="s">
        <v>786</v>
      </c>
      <c r="B1586" t="str">
        <f t="shared" si="72"/>
        <v>Obesity</v>
      </c>
      <c r="C1586">
        <v>30.8</v>
      </c>
      <c r="D1586" t="str">
        <f t="shared" si="73"/>
        <v>Prediabetes</v>
      </c>
      <c r="E1586">
        <v>5.83</v>
      </c>
      <c r="F1586" t="s">
        <v>2382</v>
      </c>
      <c r="G1586" t="s">
        <v>2380</v>
      </c>
      <c r="H1586" t="s">
        <v>2380</v>
      </c>
      <c r="J1586" t="s">
        <v>2381</v>
      </c>
      <c r="K1586" t="str">
        <f t="shared" si="74"/>
        <v>No</v>
      </c>
      <c r="L1586" t="s">
        <v>2380</v>
      </c>
    </row>
    <row r="1587" spans="1:12" x14ac:dyDescent="0.35">
      <c r="A1587" t="s">
        <v>785</v>
      </c>
      <c r="B1587" t="str">
        <f t="shared" si="72"/>
        <v>Overweight</v>
      </c>
      <c r="C1587">
        <v>29.5</v>
      </c>
      <c r="D1587" t="str">
        <f t="shared" si="73"/>
        <v>Normal</v>
      </c>
      <c r="E1587">
        <v>5.54</v>
      </c>
      <c r="F1587" t="s">
        <v>2382</v>
      </c>
      <c r="G1587" t="s">
        <v>2380</v>
      </c>
      <c r="H1587" t="s">
        <v>2380</v>
      </c>
      <c r="J1587" t="s">
        <v>2381</v>
      </c>
      <c r="K1587" t="str">
        <f t="shared" si="74"/>
        <v>No</v>
      </c>
      <c r="L1587" t="s">
        <v>2380</v>
      </c>
    </row>
    <row r="1588" spans="1:12" x14ac:dyDescent="0.35">
      <c r="A1588" t="s">
        <v>784</v>
      </c>
      <c r="B1588" t="str">
        <f t="shared" si="72"/>
        <v>Obesity</v>
      </c>
      <c r="C1588">
        <v>43.39</v>
      </c>
      <c r="D1588" t="str">
        <f t="shared" si="73"/>
        <v>Prediabetes</v>
      </c>
      <c r="E1588">
        <v>5.85</v>
      </c>
      <c r="F1588" t="s">
        <v>2380</v>
      </c>
      <c r="G1588" t="s">
        <v>2382</v>
      </c>
      <c r="H1588" t="s">
        <v>2380</v>
      </c>
      <c r="J1588">
        <v>1</v>
      </c>
      <c r="K1588" t="str">
        <f t="shared" si="74"/>
        <v>No</v>
      </c>
      <c r="L1588" t="s">
        <v>2380</v>
      </c>
    </row>
    <row r="1589" spans="1:12" x14ac:dyDescent="0.35">
      <c r="A1589" t="s">
        <v>783</v>
      </c>
      <c r="B1589" t="str">
        <f t="shared" si="72"/>
        <v>Underweight</v>
      </c>
      <c r="C1589">
        <v>15.08</v>
      </c>
      <c r="D1589" t="str">
        <f t="shared" si="73"/>
        <v>Normal</v>
      </c>
      <c r="E1589">
        <v>4.8499999999999996</v>
      </c>
      <c r="F1589" t="s">
        <v>2382</v>
      </c>
      <c r="G1589" t="s">
        <v>2380</v>
      </c>
      <c r="H1589" t="s">
        <v>2383</v>
      </c>
      <c r="J1589">
        <v>1</v>
      </c>
      <c r="K1589" t="str">
        <f t="shared" si="74"/>
        <v>No</v>
      </c>
      <c r="L1589" t="s">
        <v>2380</v>
      </c>
    </row>
    <row r="1590" spans="1:12" x14ac:dyDescent="0.35">
      <c r="A1590" t="s">
        <v>782</v>
      </c>
      <c r="B1590" t="str">
        <f t="shared" si="72"/>
        <v>Normal Weight</v>
      </c>
      <c r="C1590">
        <v>20.48</v>
      </c>
      <c r="D1590" t="str">
        <f t="shared" si="73"/>
        <v>Diabetes</v>
      </c>
      <c r="E1590">
        <v>11.09</v>
      </c>
      <c r="F1590" t="s">
        <v>2380</v>
      </c>
      <c r="G1590" t="s">
        <v>2380</v>
      </c>
      <c r="H1590" t="s">
        <v>2380</v>
      </c>
      <c r="J1590" t="s">
        <v>2381</v>
      </c>
      <c r="K1590" t="str">
        <f t="shared" si="74"/>
        <v>No</v>
      </c>
      <c r="L1590" t="s">
        <v>2380</v>
      </c>
    </row>
    <row r="1591" spans="1:12" x14ac:dyDescent="0.35">
      <c r="A1591" t="s">
        <v>781</v>
      </c>
      <c r="B1591" t="str">
        <f t="shared" si="72"/>
        <v>Obesity</v>
      </c>
      <c r="C1591">
        <v>34.450000000000003</v>
      </c>
      <c r="D1591" t="str">
        <f t="shared" si="73"/>
        <v>Normal</v>
      </c>
      <c r="E1591">
        <v>5.58</v>
      </c>
      <c r="F1591" t="s">
        <v>2382</v>
      </c>
      <c r="G1591" t="s">
        <v>2380</v>
      </c>
      <c r="H1591" t="s">
        <v>2380</v>
      </c>
      <c r="J1591" t="s">
        <v>2381</v>
      </c>
      <c r="K1591" t="str">
        <f t="shared" si="74"/>
        <v>No</v>
      </c>
      <c r="L1591" t="s">
        <v>2380</v>
      </c>
    </row>
    <row r="1592" spans="1:12" x14ac:dyDescent="0.35">
      <c r="A1592" t="s">
        <v>780</v>
      </c>
      <c r="B1592" t="str">
        <f t="shared" si="72"/>
        <v>Obesity</v>
      </c>
      <c r="C1592">
        <v>34.21</v>
      </c>
      <c r="D1592" t="str">
        <f t="shared" si="73"/>
        <v>Diabetes</v>
      </c>
      <c r="E1592">
        <v>9.7200000000000006</v>
      </c>
      <c r="F1592" t="s">
        <v>2382</v>
      </c>
      <c r="G1592" t="s">
        <v>2380</v>
      </c>
      <c r="H1592" t="s">
        <v>2380</v>
      </c>
      <c r="J1592" t="s">
        <v>2381</v>
      </c>
      <c r="K1592" t="str">
        <f t="shared" si="74"/>
        <v>No</v>
      </c>
      <c r="L1592" t="s">
        <v>2380</v>
      </c>
    </row>
    <row r="1593" spans="1:12" x14ac:dyDescent="0.35">
      <c r="A1593" t="s">
        <v>779</v>
      </c>
      <c r="B1593" t="str">
        <f t="shared" si="72"/>
        <v>Overweight</v>
      </c>
      <c r="C1593">
        <v>28.8</v>
      </c>
      <c r="D1593" t="str">
        <f t="shared" si="73"/>
        <v>Diabetes</v>
      </c>
      <c r="E1593">
        <v>11.41</v>
      </c>
      <c r="F1593" t="s">
        <v>2382</v>
      </c>
      <c r="G1593" t="s">
        <v>2380</v>
      </c>
      <c r="H1593" t="s">
        <v>2380</v>
      </c>
      <c r="J1593" t="s">
        <v>2381</v>
      </c>
      <c r="K1593" t="str">
        <f t="shared" si="74"/>
        <v>No</v>
      </c>
      <c r="L1593" t="s">
        <v>2380</v>
      </c>
    </row>
    <row r="1594" spans="1:12" x14ac:dyDescent="0.35">
      <c r="A1594" t="s">
        <v>778</v>
      </c>
      <c r="B1594" t="str">
        <f t="shared" si="72"/>
        <v>Obesity</v>
      </c>
      <c r="C1594">
        <v>31.74</v>
      </c>
      <c r="D1594" t="str">
        <f t="shared" si="73"/>
        <v>Normal</v>
      </c>
      <c r="E1594">
        <v>4.46</v>
      </c>
      <c r="F1594" t="s">
        <v>2380</v>
      </c>
      <c r="G1594" t="s">
        <v>2380</v>
      </c>
      <c r="H1594" t="s">
        <v>2383</v>
      </c>
      <c r="J1594">
        <v>1</v>
      </c>
      <c r="K1594" t="str">
        <f t="shared" si="74"/>
        <v>No</v>
      </c>
      <c r="L1594" t="s">
        <v>2380</v>
      </c>
    </row>
    <row r="1595" spans="1:12" x14ac:dyDescent="0.35">
      <c r="A1595" t="s">
        <v>777</v>
      </c>
      <c r="B1595" t="str">
        <f t="shared" si="72"/>
        <v>Normal Weight</v>
      </c>
      <c r="C1595">
        <v>21.78</v>
      </c>
      <c r="D1595" t="str">
        <f t="shared" si="73"/>
        <v>Diabetes</v>
      </c>
      <c r="E1595">
        <v>9.31</v>
      </c>
      <c r="F1595" t="s">
        <v>2382</v>
      </c>
      <c r="G1595" t="s">
        <v>2380</v>
      </c>
      <c r="H1595" t="s">
        <v>2380</v>
      </c>
      <c r="J1595" t="s">
        <v>2381</v>
      </c>
      <c r="K1595" t="str">
        <f t="shared" si="74"/>
        <v>No</v>
      </c>
      <c r="L1595" t="s">
        <v>2380</v>
      </c>
    </row>
    <row r="1596" spans="1:12" x14ac:dyDescent="0.35">
      <c r="A1596" t="s">
        <v>776</v>
      </c>
      <c r="B1596" t="str">
        <f t="shared" si="72"/>
        <v>Normal Weight</v>
      </c>
      <c r="C1596">
        <v>23.75</v>
      </c>
      <c r="D1596" t="str">
        <f t="shared" si="73"/>
        <v>Normal</v>
      </c>
      <c r="E1596">
        <v>5.03</v>
      </c>
      <c r="F1596" t="s">
        <v>2380</v>
      </c>
      <c r="G1596" t="s">
        <v>2380</v>
      </c>
      <c r="H1596" t="s">
        <v>2380</v>
      </c>
      <c r="J1596">
        <v>1</v>
      </c>
      <c r="K1596" t="str">
        <f t="shared" si="74"/>
        <v>No</v>
      </c>
      <c r="L1596" t="s">
        <v>2380</v>
      </c>
    </row>
    <row r="1597" spans="1:12" x14ac:dyDescent="0.35">
      <c r="A1597" t="s">
        <v>775</v>
      </c>
      <c r="B1597" t="str">
        <f t="shared" si="72"/>
        <v>Obesity</v>
      </c>
      <c r="C1597">
        <v>33.21</v>
      </c>
      <c r="D1597" t="str">
        <f t="shared" si="73"/>
        <v>Normal</v>
      </c>
      <c r="E1597">
        <v>5.07</v>
      </c>
      <c r="F1597" t="s">
        <v>2382</v>
      </c>
      <c r="G1597" t="s">
        <v>2380</v>
      </c>
      <c r="H1597" t="s">
        <v>2380</v>
      </c>
      <c r="J1597">
        <v>1</v>
      </c>
      <c r="K1597" t="str">
        <f t="shared" si="74"/>
        <v>No</v>
      </c>
      <c r="L1597" t="s">
        <v>2380</v>
      </c>
    </row>
    <row r="1598" spans="1:12" x14ac:dyDescent="0.35">
      <c r="A1598" t="s">
        <v>774</v>
      </c>
      <c r="B1598" t="str">
        <f t="shared" si="72"/>
        <v>Underweight</v>
      </c>
      <c r="C1598">
        <v>17.7</v>
      </c>
      <c r="D1598" t="str">
        <f t="shared" si="73"/>
        <v>Diabetes</v>
      </c>
      <c r="E1598">
        <v>10.42</v>
      </c>
      <c r="F1598" t="s">
        <v>2382</v>
      </c>
      <c r="G1598" t="s">
        <v>2380</v>
      </c>
      <c r="H1598" t="s">
        <v>2380</v>
      </c>
      <c r="J1598">
        <v>2</v>
      </c>
      <c r="K1598" t="str">
        <f t="shared" si="74"/>
        <v>No</v>
      </c>
      <c r="L1598" t="s">
        <v>2380</v>
      </c>
    </row>
    <row r="1599" spans="1:12" x14ac:dyDescent="0.35">
      <c r="A1599" t="s">
        <v>773</v>
      </c>
      <c r="B1599" t="str">
        <f t="shared" si="72"/>
        <v>Underweight</v>
      </c>
      <c r="C1599">
        <v>17.2</v>
      </c>
      <c r="D1599" t="e">
        <f t="shared" si="73"/>
        <v>#N/A</v>
      </c>
      <c r="E1599">
        <v>6.45</v>
      </c>
      <c r="F1599" t="s">
        <v>2380</v>
      </c>
      <c r="G1599" t="s">
        <v>2380</v>
      </c>
      <c r="H1599" t="s">
        <v>2380</v>
      </c>
      <c r="J1599">
        <v>2</v>
      </c>
      <c r="K1599" t="str">
        <f t="shared" si="74"/>
        <v>No</v>
      </c>
      <c r="L1599" t="s">
        <v>2380</v>
      </c>
    </row>
    <row r="1600" spans="1:12" x14ac:dyDescent="0.35">
      <c r="A1600" t="s">
        <v>772</v>
      </c>
      <c r="B1600" t="str">
        <f t="shared" si="72"/>
        <v>Normal Weight</v>
      </c>
      <c r="C1600">
        <v>19.21</v>
      </c>
      <c r="D1600" t="str">
        <f t="shared" si="73"/>
        <v>Normal</v>
      </c>
      <c r="E1600">
        <v>5.52</v>
      </c>
      <c r="F1600" t="s">
        <v>2380</v>
      </c>
      <c r="G1600" t="s">
        <v>2380</v>
      </c>
      <c r="H1600" t="s">
        <v>2380</v>
      </c>
      <c r="J1600">
        <v>2</v>
      </c>
      <c r="K1600" t="str">
        <f t="shared" si="74"/>
        <v>No</v>
      </c>
      <c r="L1600" t="s">
        <v>2380</v>
      </c>
    </row>
    <row r="1601" spans="1:12" x14ac:dyDescent="0.35">
      <c r="A1601" t="s">
        <v>771</v>
      </c>
      <c r="B1601" t="str">
        <f t="shared" si="72"/>
        <v>Normal Weight</v>
      </c>
      <c r="C1601">
        <v>23.2</v>
      </c>
      <c r="D1601" t="str">
        <f t="shared" si="73"/>
        <v>Normal</v>
      </c>
      <c r="E1601">
        <v>4.41</v>
      </c>
      <c r="F1601" t="s">
        <v>2380</v>
      </c>
      <c r="G1601" t="s">
        <v>2380</v>
      </c>
      <c r="H1601" t="s">
        <v>2383</v>
      </c>
      <c r="J1601">
        <v>1</v>
      </c>
      <c r="K1601" t="str">
        <f t="shared" si="74"/>
        <v>No</v>
      </c>
      <c r="L1601" t="s">
        <v>2380</v>
      </c>
    </row>
    <row r="1602" spans="1:12" x14ac:dyDescent="0.35">
      <c r="A1602" t="s">
        <v>770</v>
      </c>
      <c r="B1602" t="str">
        <f t="shared" si="72"/>
        <v>Obesity</v>
      </c>
      <c r="C1602">
        <v>32.5</v>
      </c>
      <c r="D1602" t="str">
        <f t="shared" si="73"/>
        <v>Normal</v>
      </c>
      <c r="E1602">
        <v>4.6900000000000004</v>
      </c>
      <c r="F1602" t="s">
        <v>2382</v>
      </c>
      <c r="G1602" t="s">
        <v>2380</v>
      </c>
      <c r="H1602" t="s">
        <v>2383</v>
      </c>
      <c r="J1602">
        <v>1</v>
      </c>
      <c r="K1602" t="str">
        <f t="shared" si="74"/>
        <v>No</v>
      </c>
      <c r="L1602" t="s">
        <v>2380</v>
      </c>
    </row>
    <row r="1603" spans="1:12" x14ac:dyDescent="0.35">
      <c r="A1603" t="s">
        <v>769</v>
      </c>
      <c r="B1603" t="str">
        <f t="shared" ref="B1603:B1666" si="75">_xlfn.IFS(C1603&lt;18.5, "Underweight", C1603&lt;=24.9, "Normal Weight", C1603&lt;=29.9, "Overweight", C1603&gt;=30, "Obesity")</f>
        <v>Normal Weight</v>
      </c>
      <c r="C1603">
        <v>20.9</v>
      </c>
      <c r="D1603" t="str">
        <f t="shared" ref="D1603:D1666" si="76">_xlfn.IFS(E1603&lt;5.7, "Normal", E1603&lt;=6.4, "Prediabetes", E1603&gt;=6.5, "Diabetes")</f>
        <v>Diabetes</v>
      </c>
      <c r="E1603">
        <v>6.94</v>
      </c>
      <c r="F1603" t="s">
        <v>2380</v>
      </c>
      <c r="G1603" t="s">
        <v>2380</v>
      </c>
      <c r="H1603" t="s">
        <v>2380</v>
      </c>
      <c r="J1603" t="s">
        <v>2381</v>
      </c>
      <c r="K1603" t="str">
        <f t="shared" si="74"/>
        <v>No</v>
      </c>
      <c r="L1603" t="s">
        <v>2380</v>
      </c>
    </row>
    <row r="1604" spans="1:12" x14ac:dyDescent="0.35">
      <c r="A1604" t="s">
        <v>768</v>
      </c>
      <c r="B1604" t="str">
        <f t="shared" si="75"/>
        <v>Normal Weight</v>
      </c>
      <c r="C1604">
        <v>19.11</v>
      </c>
      <c r="D1604" t="str">
        <f t="shared" si="76"/>
        <v>Normal</v>
      </c>
      <c r="E1604">
        <v>4.3499999999999996</v>
      </c>
      <c r="F1604" t="s">
        <v>2380</v>
      </c>
      <c r="G1604" t="s">
        <v>2380</v>
      </c>
      <c r="H1604" t="s">
        <v>2380</v>
      </c>
      <c r="J1604">
        <v>2</v>
      </c>
      <c r="K1604" t="str">
        <f t="shared" ref="K1604:K1667" si="77">IF(OR(L1604="?", ISBLANK(L1604)), "No", L1604)</f>
        <v>No</v>
      </c>
      <c r="L1604" t="s">
        <v>2380</v>
      </c>
    </row>
    <row r="1605" spans="1:12" x14ac:dyDescent="0.35">
      <c r="A1605" t="s">
        <v>767</v>
      </c>
      <c r="B1605" t="str">
        <f t="shared" si="75"/>
        <v>Obesity</v>
      </c>
      <c r="C1605">
        <v>31.17</v>
      </c>
      <c r="D1605" t="str">
        <f t="shared" si="76"/>
        <v>Normal</v>
      </c>
      <c r="E1605">
        <v>5.28</v>
      </c>
      <c r="F1605" t="s">
        <v>2380</v>
      </c>
      <c r="G1605" t="s">
        <v>2380</v>
      </c>
      <c r="H1605" t="s">
        <v>2380</v>
      </c>
      <c r="J1605">
        <v>1</v>
      </c>
      <c r="K1605" t="str">
        <f t="shared" si="77"/>
        <v>No</v>
      </c>
      <c r="L1605" t="s">
        <v>2380</v>
      </c>
    </row>
    <row r="1606" spans="1:12" x14ac:dyDescent="0.35">
      <c r="A1606" t="s">
        <v>766</v>
      </c>
      <c r="B1606" t="str">
        <f t="shared" si="75"/>
        <v>Obesity</v>
      </c>
      <c r="C1606">
        <v>36.08</v>
      </c>
      <c r="D1606" t="str">
        <f t="shared" si="76"/>
        <v>Normal</v>
      </c>
      <c r="E1606">
        <v>4.29</v>
      </c>
      <c r="F1606" t="s">
        <v>2380</v>
      </c>
      <c r="G1606" t="s">
        <v>2380</v>
      </c>
      <c r="H1606" t="s">
        <v>2380</v>
      </c>
      <c r="J1606" t="s">
        <v>2381</v>
      </c>
      <c r="K1606" t="str">
        <f t="shared" si="77"/>
        <v>No</v>
      </c>
      <c r="L1606" t="s">
        <v>2380</v>
      </c>
    </row>
    <row r="1607" spans="1:12" x14ac:dyDescent="0.35">
      <c r="A1607" t="s">
        <v>765</v>
      </c>
      <c r="B1607" t="str">
        <f t="shared" si="75"/>
        <v>Overweight</v>
      </c>
      <c r="C1607">
        <v>28.024999999999999</v>
      </c>
      <c r="D1607" t="str">
        <f t="shared" si="76"/>
        <v>Normal</v>
      </c>
      <c r="E1607">
        <v>5.69</v>
      </c>
      <c r="F1607" t="s">
        <v>2382</v>
      </c>
      <c r="G1607" t="s">
        <v>2380</v>
      </c>
      <c r="H1607" t="s">
        <v>2380</v>
      </c>
      <c r="J1607" t="s">
        <v>2381</v>
      </c>
      <c r="K1607" t="str">
        <f t="shared" si="77"/>
        <v>No</v>
      </c>
      <c r="L1607" t="s">
        <v>2380</v>
      </c>
    </row>
    <row r="1608" spans="1:12" x14ac:dyDescent="0.35">
      <c r="A1608" t="s">
        <v>764</v>
      </c>
      <c r="B1608" t="str">
        <f t="shared" si="75"/>
        <v>Normal Weight</v>
      </c>
      <c r="C1608">
        <v>24.32</v>
      </c>
      <c r="D1608" t="str">
        <f t="shared" si="76"/>
        <v>Normal</v>
      </c>
      <c r="E1608">
        <v>5.56</v>
      </c>
      <c r="F1608" t="s">
        <v>2382</v>
      </c>
      <c r="G1608" t="s">
        <v>2380</v>
      </c>
      <c r="H1608" t="s">
        <v>2380</v>
      </c>
      <c r="J1608" t="s">
        <v>2381</v>
      </c>
      <c r="K1608" t="str">
        <f t="shared" si="77"/>
        <v>No</v>
      </c>
      <c r="L1608" t="s">
        <v>2380</v>
      </c>
    </row>
    <row r="1609" spans="1:12" x14ac:dyDescent="0.35">
      <c r="A1609" t="s">
        <v>763</v>
      </c>
      <c r="B1609" t="str">
        <f t="shared" si="75"/>
        <v>Obesity</v>
      </c>
      <c r="C1609">
        <v>38</v>
      </c>
      <c r="D1609" t="str">
        <f t="shared" si="76"/>
        <v>Normal</v>
      </c>
      <c r="E1609">
        <v>5.41</v>
      </c>
      <c r="F1609" t="s">
        <v>2382</v>
      </c>
      <c r="G1609" t="s">
        <v>2380</v>
      </c>
      <c r="H1609" t="s">
        <v>2380</v>
      </c>
      <c r="J1609">
        <v>1</v>
      </c>
      <c r="K1609" t="str">
        <f t="shared" si="77"/>
        <v>No</v>
      </c>
      <c r="L1609" t="s">
        <v>2380</v>
      </c>
    </row>
    <row r="1610" spans="1:12" x14ac:dyDescent="0.35">
      <c r="A1610" t="s">
        <v>762</v>
      </c>
      <c r="B1610" t="str">
        <f t="shared" si="75"/>
        <v>Obesity</v>
      </c>
      <c r="C1610">
        <v>31.6</v>
      </c>
      <c r="D1610" t="str">
        <f t="shared" si="76"/>
        <v>Diabetes</v>
      </c>
      <c r="E1610">
        <v>10.85</v>
      </c>
      <c r="F1610" t="s">
        <v>2382</v>
      </c>
      <c r="G1610" t="s">
        <v>2380</v>
      </c>
      <c r="H1610" t="s">
        <v>2380</v>
      </c>
      <c r="J1610" t="s">
        <v>2381</v>
      </c>
      <c r="K1610" t="str">
        <f t="shared" si="77"/>
        <v>No</v>
      </c>
      <c r="L1610" t="s">
        <v>2380</v>
      </c>
    </row>
    <row r="1611" spans="1:12" x14ac:dyDescent="0.35">
      <c r="A1611" t="s">
        <v>761</v>
      </c>
      <c r="B1611" t="str">
        <f t="shared" si="75"/>
        <v>Obesity</v>
      </c>
      <c r="C1611">
        <v>31.02</v>
      </c>
      <c r="D1611" t="str">
        <f t="shared" si="76"/>
        <v>Diabetes</v>
      </c>
      <c r="E1611">
        <v>11.63</v>
      </c>
      <c r="F1611" t="s">
        <v>2382</v>
      </c>
      <c r="G1611" t="s">
        <v>2380</v>
      </c>
      <c r="H1611" t="s">
        <v>2380</v>
      </c>
      <c r="J1611" t="s">
        <v>2381</v>
      </c>
      <c r="K1611" t="str">
        <f t="shared" si="77"/>
        <v>No</v>
      </c>
      <c r="L1611" t="s">
        <v>2380</v>
      </c>
    </row>
    <row r="1612" spans="1:12" x14ac:dyDescent="0.35">
      <c r="A1612" t="s">
        <v>760</v>
      </c>
      <c r="B1612" t="str">
        <f t="shared" si="75"/>
        <v>Overweight</v>
      </c>
      <c r="C1612">
        <v>29.26</v>
      </c>
      <c r="D1612" t="str">
        <f t="shared" si="76"/>
        <v>Normal</v>
      </c>
      <c r="E1612">
        <v>5.68</v>
      </c>
      <c r="F1612" t="s">
        <v>2382</v>
      </c>
      <c r="G1612" t="s">
        <v>2380</v>
      </c>
      <c r="H1612" t="s">
        <v>2380</v>
      </c>
      <c r="J1612">
        <v>1</v>
      </c>
      <c r="K1612" t="str">
        <f t="shared" si="77"/>
        <v>No</v>
      </c>
      <c r="L1612" t="s">
        <v>2380</v>
      </c>
    </row>
    <row r="1613" spans="1:12" x14ac:dyDescent="0.35">
      <c r="A1613" t="s">
        <v>759</v>
      </c>
      <c r="B1613" t="str">
        <f t="shared" si="75"/>
        <v>Underweight</v>
      </c>
      <c r="C1613">
        <v>15.09</v>
      </c>
      <c r="D1613" t="str">
        <f t="shared" si="76"/>
        <v>Diabetes</v>
      </c>
      <c r="E1613">
        <v>7.59</v>
      </c>
      <c r="F1613" t="s">
        <v>2382</v>
      </c>
      <c r="G1613" t="s">
        <v>2380</v>
      </c>
      <c r="H1613" t="s">
        <v>2380</v>
      </c>
      <c r="J1613">
        <v>2</v>
      </c>
      <c r="K1613" t="str">
        <f t="shared" si="77"/>
        <v>No</v>
      </c>
      <c r="L1613" t="s">
        <v>2380</v>
      </c>
    </row>
    <row r="1614" spans="1:12" x14ac:dyDescent="0.35">
      <c r="A1614" t="s">
        <v>758</v>
      </c>
      <c r="B1614" t="str">
        <f t="shared" si="75"/>
        <v>Normal Weight</v>
      </c>
      <c r="C1614">
        <v>22.63</v>
      </c>
      <c r="D1614" t="str">
        <f t="shared" si="76"/>
        <v>Normal</v>
      </c>
      <c r="E1614">
        <v>5.09</v>
      </c>
      <c r="F1614" t="s">
        <v>2382</v>
      </c>
      <c r="G1614" t="s">
        <v>2380</v>
      </c>
      <c r="H1614" t="s">
        <v>2380</v>
      </c>
      <c r="J1614" t="s">
        <v>2381</v>
      </c>
      <c r="K1614" t="str">
        <f t="shared" si="77"/>
        <v>No</v>
      </c>
      <c r="L1614" t="s">
        <v>2380</v>
      </c>
    </row>
    <row r="1615" spans="1:12" x14ac:dyDescent="0.35">
      <c r="A1615" t="s">
        <v>757</v>
      </c>
      <c r="B1615" t="str">
        <f t="shared" si="75"/>
        <v>Normal Weight</v>
      </c>
      <c r="C1615">
        <v>23.46</v>
      </c>
      <c r="D1615" t="str">
        <f t="shared" si="76"/>
        <v>Normal</v>
      </c>
      <c r="E1615">
        <v>4.21</v>
      </c>
      <c r="F1615" t="s">
        <v>2380</v>
      </c>
      <c r="G1615" t="s">
        <v>2380</v>
      </c>
      <c r="H1615" t="s">
        <v>2380</v>
      </c>
      <c r="J1615">
        <v>1</v>
      </c>
      <c r="K1615" t="str">
        <f t="shared" si="77"/>
        <v>No</v>
      </c>
      <c r="L1615" t="s">
        <v>2380</v>
      </c>
    </row>
    <row r="1616" spans="1:12" x14ac:dyDescent="0.35">
      <c r="A1616" t="s">
        <v>756</v>
      </c>
      <c r="B1616" t="str">
        <f t="shared" si="75"/>
        <v>Normal Weight</v>
      </c>
      <c r="C1616">
        <v>22.56</v>
      </c>
      <c r="D1616" t="str">
        <f t="shared" si="76"/>
        <v>Normal</v>
      </c>
      <c r="E1616">
        <v>4.34</v>
      </c>
      <c r="F1616" t="s">
        <v>2382</v>
      </c>
      <c r="G1616" t="s">
        <v>2380</v>
      </c>
      <c r="H1616" t="s">
        <v>2380</v>
      </c>
      <c r="J1616" t="s">
        <v>2381</v>
      </c>
      <c r="K1616" t="str">
        <f t="shared" si="77"/>
        <v>No</v>
      </c>
      <c r="L1616" t="s">
        <v>2380</v>
      </c>
    </row>
    <row r="1617" spans="1:12" x14ac:dyDescent="0.35">
      <c r="A1617" t="s">
        <v>755</v>
      </c>
      <c r="B1617" t="str">
        <f t="shared" si="75"/>
        <v>Normal Weight</v>
      </c>
      <c r="C1617">
        <v>19.28</v>
      </c>
      <c r="D1617" t="str">
        <f t="shared" si="76"/>
        <v>Diabetes</v>
      </c>
      <c r="E1617">
        <v>11.85</v>
      </c>
      <c r="F1617" t="s">
        <v>2380</v>
      </c>
      <c r="G1617" t="s">
        <v>2380</v>
      </c>
      <c r="H1617" t="s">
        <v>2380</v>
      </c>
      <c r="J1617">
        <v>2</v>
      </c>
      <c r="K1617" t="str">
        <f t="shared" si="77"/>
        <v>No</v>
      </c>
      <c r="L1617" t="s">
        <v>2380</v>
      </c>
    </row>
    <row r="1618" spans="1:12" x14ac:dyDescent="0.35">
      <c r="A1618" t="s">
        <v>754</v>
      </c>
      <c r="B1618" t="str">
        <f t="shared" si="75"/>
        <v>Underweight</v>
      </c>
      <c r="C1618">
        <v>15.37</v>
      </c>
      <c r="D1618" t="str">
        <f t="shared" si="76"/>
        <v>Diabetes</v>
      </c>
      <c r="E1618">
        <v>9.61</v>
      </c>
      <c r="F1618" t="s">
        <v>2382</v>
      </c>
      <c r="G1618" t="s">
        <v>2380</v>
      </c>
      <c r="H1618" t="s">
        <v>2380</v>
      </c>
      <c r="J1618">
        <v>2</v>
      </c>
      <c r="K1618" t="str">
        <f t="shared" si="77"/>
        <v>No</v>
      </c>
      <c r="L1618" t="s">
        <v>2380</v>
      </c>
    </row>
    <row r="1619" spans="1:12" x14ac:dyDescent="0.35">
      <c r="A1619" t="s">
        <v>753</v>
      </c>
      <c r="B1619" t="str">
        <f t="shared" si="75"/>
        <v>Normal Weight</v>
      </c>
      <c r="C1619">
        <v>18.71</v>
      </c>
      <c r="D1619" t="str">
        <f t="shared" si="76"/>
        <v>Normal</v>
      </c>
      <c r="E1619">
        <v>5.29</v>
      </c>
      <c r="F1619" t="s">
        <v>2382</v>
      </c>
      <c r="G1619" t="s">
        <v>2380</v>
      </c>
      <c r="H1619" t="s">
        <v>2380</v>
      </c>
      <c r="J1619" t="s">
        <v>2381</v>
      </c>
      <c r="K1619" t="str">
        <f t="shared" si="77"/>
        <v>No</v>
      </c>
      <c r="L1619" t="s">
        <v>2380</v>
      </c>
    </row>
    <row r="1620" spans="1:12" x14ac:dyDescent="0.35">
      <c r="A1620" t="s">
        <v>752</v>
      </c>
      <c r="B1620" t="str">
        <f t="shared" si="75"/>
        <v>Normal Weight</v>
      </c>
      <c r="C1620">
        <v>20.61</v>
      </c>
      <c r="D1620" t="str">
        <f t="shared" si="76"/>
        <v>Diabetes</v>
      </c>
      <c r="E1620">
        <v>6.89</v>
      </c>
      <c r="F1620" t="s">
        <v>2380</v>
      </c>
      <c r="G1620" t="s">
        <v>2380</v>
      </c>
      <c r="H1620" t="s">
        <v>2380</v>
      </c>
      <c r="J1620" t="s">
        <v>2381</v>
      </c>
      <c r="K1620" t="str">
        <f t="shared" si="77"/>
        <v>No</v>
      </c>
      <c r="L1620" t="s">
        <v>2380</v>
      </c>
    </row>
    <row r="1621" spans="1:12" x14ac:dyDescent="0.35">
      <c r="A1621" t="s">
        <v>751</v>
      </c>
      <c r="B1621" t="str">
        <f t="shared" si="75"/>
        <v>Underweight</v>
      </c>
      <c r="C1621">
        <v>15.99</v>
      </c>
      <c r="D1621" t="str">
        <f t="shared" si="76"/>
        <v>Normal</v>
      </c>
      <c r="E1621">
        <v>4.57</v>
      </c>
      <c r="F1621" t="s">
        <v>2382</v>
      </c>
      <c r="G1621" t="s">
        <v>2380</v>
      </c>
      <c r="H1621" t="s">
        <v>2383</v>
      </c>
      <c r="J1621">
        <v>1</v>
      </c>
      <c r="K1621" t="str">
        <f t="shared" si="77"/>
        <v>No</v>
      </c>
      <c r="L1621" t="s">
        <v>2380</v>
      </c>
    </row>
    <row r="1622" spans="1:12" x14ac:dyDescent="0.35">
      <c r="A1622" t="s">
        <v>750</v>
      </c>
      <c r="B1622" t="str">
        <f t="shared" si="75"/>
        <v>Obesity</v>
      </c>
      <c r="C1622">
        <v>33.155000000000001</v>
      </c>
      <c r="D1622" t="str">
        <f t="shared" si="76"/>
        <v>Normal</v>
      </c>
      <c r="E1622">
        <v>4.32</v>
      </c>
      <c r="F1622" t="s">
        <v>2380</v>
      </c>
      <c r="G1622" t="s">
        <v>2380</v>
      </c>
      <c r="H1622" t="s">
        <v>2380</v>
      </c>
      <c r="J1622" t="s">
        <v>2381</v>
      </c>
      <c r="K1622" t="str">
        <f t="shared" si="77"/>
        <v>No</v>
      </c>
      <c r="L1622" t="s">
        <v>2380</v>
      </c>
    </row>
    <row r="1623" spans="1:12" x14ac:dyDescent="0.35">
      <c r="A1623" t="s">
        <v>749</v>
      </c>
      <c r="B1623" t="str">
        <f t="shared" si="75"/>
        <v>Overweight</v>
      </c>
      <c r="C1623">
        <v>26.22</v>
      </c>
      <c r="D1623" t="str">
        <f t="shared" si="76"/>
        <v>Normal</v>
      </c>
      <c r="E1623">
        <v>5.57</v>
      </c>
      <c r="F1623" t="s">
        <v>2382</v>
      </c>
      <c r="G1623" t="s">
        <v>2380</v>
      </c>
      <c r="H1623" t="s">
        <v>2383</v>
      </c>
      <c r="J1623">
        <v>1</v>
      </c>
      <c r="K1623" t="str">
        <f t="shared" si="77"/>
        <v>No</v>
      </c>
      <c r="L1623" t="s">
        <v>2380</v>
      </c>
    </row>
    <row r="1624" spans="1:12" x14ac:dyDescent="0.35">
      <c r="A1624" t="s">
        <v>748</v>
      </c>
      <c r="B1624" t="str">
        <f t="shared" si="75"/>
        <v>Normal Weight</v>
      </c>
      <c r="C1624">
        <v>21.85</v>
      </c>
      <c r="D1624" t="str">
        <f t="shared" si="76"/>
        <v>Normal</v>
      </c>
      <c r="E1624">
        <v>5.26</v>
      </c>
      <c r="F1624" t="s">
        <v>2382</v>
      </c>
      <c r="G1624" t="s">
        <v>2380</v>
      </c>
      <c r="H1624" t="s">
        <v>2383</v>
      </c>
      <c r="J1624">
        <v>1</v>
      </c>
      <c r="K1624" t="str">
        <f t="shared" si="77"/>
        <v>No</v>
      </c>
      <c r="L1624" t="s">
        <v>2380</v>
      </c>
    </row>
    <row r="1625" spans="1:12" x14ac:dyDescent="0.35">
      <c r="A1625" t="s">
        <v>747</v>
      </c>
      <c r="B1625" t="str">
        <f t="shared" si="75"/>
        <v>Obesity</v>
      </c>
      <c r="C1625">
        <v>30.495000000000001</v>
      </c>
      <c r="D1625" t="str">
        <f t="shared" si="76"/>
        <v>Prediabetes</v>
      </c>
      <c r="E1625">
        <v>6.25</v>
      </c>
      <c r="F1625" t="s">
        <v>2380</v>
      </c>
      <c r="G1625" t="s">
        <v>2380</v>
      </c>
      <c r="H1625" t="s">
        <v>2380</v>
      </c>
      <c r="J1625" t="s">
        <v>2381</v>
      </c>
      <c r="K1625" t="str">
        <f t="shared" si="77"/>
        <v>No</v>
      </c>
      <c r="L1625" t="s">
        <v>2380</v>
      </c>
    </row>
    <row r="1626" spans="1:12" x14ac:dyDescent="0.35">
      <c r="A1626" t="s">
        <v>746</v>
      </c>
      <c r="B1626" t="str">
        <f t="shared" si="75"/>
        <v>Obesity</v>
      </c>
      <c r="C1626">
        <v>34.104999999999997</v>
      </c>
      <c r="D1626" t="str">
        <f t="shared" si="76"/>
        <v>Normal</v>
      </c>
      <c r="E1626">
        <v>5.67</v>
      </c>
      <c r="F1626" t="s">
        <v>2382</v>
      </c>
      <c r="G1626" t="s">
        <v>2380</v>
      </c>
      <c r="H1626" t="s">
        <v>2380</v>
      </c>
      <c r="J1626" t="s">
        <v>2381</v>
      </c>
      <c r="K1626" t="str">
        <f t="shared" si="77"/>
        <v>No</v>
      </c>
      <c r="L1626" t="s">
        <v>2380</v>
      </c>
    </row>
    <row r="1627" spans="1:12" x14ac:dyDescent="0.35">
      <c r="A1627" t="s">
        <v>745</v>
      </c>
      <c r="B1627" t="str">
        <f t="shared" si="75"/>
        <v>Obesity</v>
      </c>
      <c r="C1627">
        <v>32.770000000000003</v>
      </c>
      <c r="D1627" t="str">
        <f t="shared" si="76"/>
        <v>Normal</v>
      </c>
      <c r="E1627">
        <v>4.42</v>
      </c>
      <c r="F1627" t="s">
        <v>2382</v>
      </c>
      <c r="G1627" t="s">
        <v>2380</v>
      </c>
      <c r="H1627" t="s">
        <v>2380</v>
      </c>
      <c r="J1627">
        <v>1</v>
      </c>
      <c r="K1627" t="str">
        <f t="shared" si="77"/>
        <v>No</v>
      </c>
      <c r="L1627" t="s">
        <v>2380</v>
      </c>
    </row>
    <row r="1628" spans="1:12" x14ac:dyDescent="0.35">
      <c r="A1628" t="s">
        <v>744</v>
      </c>
      <c r="B1628" t="str">
        <f t="shared" si="75"/>
        <v>Underweight</v>
      </c>
      <c r="C1628">
        <v>16.850000000000001</v>
      </c>
      <c r="D1628" t="str">
        <f t="shared" si="76"/>
        <v>Diabetes</v>
      </c>
      <c r="E1628">
        <v>11.75</v>
      </c>
      <c r="F1628" t="s">
        <v>2382</v>
      </c>
      <c r="G1628" t="s">
        <v>2380</v>
      </c>
      <c r="H1628" t="s">
        <v>2380</v>
      </c>
      <c r="J1628">
        <v>2</v>
      </c>
      <c r="K1628" t="str">
        <f t="shared" si="77"/>
        <v>No</v>
      </c>
      <c r="L1628" t="s">
        <v>2380</v>
      </c>
    </row>
    <row r="1629" spans="1:12" x14ac:dyDescent="0.35">
      <c r="A1629" t="s">
        <v>743</v>
      </c>
      <c r="B1629" t="str">
        <f t="shared" si="75"/>
        <v>Obesity</v>
      </c>
      <c r="C1629">
        <v>34.700000000000003</v>
      </c>
      <c r="D1629" t="str">
        <f t="shared" si="76"/>
        <v>Prediabetes</v>
      </c>
      <c r="E1629">
        <v>6.06</v>
      </c>
      <c r="F1629" t="s">
        <v>2380</v>
      </c>
      <c r="G1629" t="s">
        <v>2380</v>
      </c>
      <c r="H1629" t="s">
        <v>2380</v>
      </c>
      <c r="J1629">
        <v>1</v>
      </c>
      <c r="K1629" t="str">
        <f t="shared" si="77"/>
        <v>No</v>
      </c>
      <c r="L1629" t="s">
        <v>2380</v>
      </c>
    </row>
    <row r="1630" spans="1:12" x14ac:dyDescent="0.35">
      <c r="A1630" t="s">
        <v>742</v>
      </c>
      <c r="B1630" t="str">
        <f t="shared" si="75"/>
        <v>Obesity</v>
      </c>
      <c r="C1630">
        <v>37.049999999999997</v>
      </c>
      <c r="D1630" t="str">
        <f t="shared" si="76"/>
        <v>Normal</v>
      </c>
      <c r="E1630">
        <v>5.48</v>
      </c>
      <c r="F1630" t="s">
        <v>2380</v>
      </c>
      <c r="G1630" t="s">
        <v>2380</v>
      </c>
      <c r="H1630" t="s">
        <v>2380</v>
      </c>
      <c r="J1630">
        <v>1</v>
      </c>
      <c r="K1630" t="str">
        <f t="shared" si="77"/>
        <v>No</v>
      </c>
      <c r="L1630" t="s">
        <v>2380</v>
      </c>
    </row>
    <row r="1631" spans="1:12" x14ac:dyDescent="0.35">
      <c r="A1631" t="s">
        <v>741</v>
      </c>
      <c r="B1631" t="str">
        <f t="shared" si="75"/>
        <v>Normal Weight</v>
      </c>
      <c r="C1631">
        <v>18.78</v>
      </c>
      <c r="D1631" t="str">
        <f t="shared" si="76"/>
        <v>Normal</v>
      </c>
      <c r="E1631">
        <v>4.45</v>
      </c>
      <c r="F1631" t="s">
        <v>2380</v>
      </c>
      <c r="G1631" t="s">
        <v>2380</v>
      </c>
      <c r="H1631" t="s">
        <v>2383</v>
      </c>
      <c r="J1631">
        <v>1</v>
      </c>
      <c r="K1631" t="str">
        <f t="shared" si="77"/>
        <v>No</v>
      </c>
      <c r="L1631" t="s">
        <v>2380</v>
      </c>
    </row>
    <row r="1632" spans="1:12" x14ac:dyDescent="0.35">
      <c r="A1632" t="s">
        <v>740</v>
      </c>
      <c r="B1632" t="str">
        <f t="shared" si="75"/>
        <v>Overweight</v>
      </c>
      <c r="C1632">
        <v>28.024999999999999</v>
      </c>
      <c r="D1632" t="str">
        <f t="shared" si="76"/>
        <v>Normal</v>
      </c>
      <c r="E1632">
        <v>5</v>
      </c>
      <c r="F1632" t="s">
        <v>2380</v>
      </c>
      <c r="G1632" t="s">
        <v>2380</v>
      </c>
      <c r="H1632" t="s">
        <v>2380</v>
      </c>
      <c r="J1632">
        <v>1</v>
      </c>
      <c r="K1632" t="str">
        <f t="shared" si="77"/>
        <v>No</v>
      </c>
      <c r="L1632" t="s">
        <v>2380</v>
      </c>
    </row>
    <row r="1633" spans="1:12" x14ac:dyDescent="0.35">
      <c r="A1633" t="s">
        <v>739</v>
      </c>
      <c r="B1633" t="str">
        <f t="shared" si="75"/>
        <v>Obesity</v>
      </c>
      <c r="C1633">
        <v>35.090000000000003</v>
      </c>
      <c r="D1633" t="str">
        <f t="shared" si="76"/>
        <v>Prediabetes</v>
      </c>
      <c r="E1633">
        <v>5.84</v>
      </c>
      <c r="F1633" t="s">
        <v>2380</v>
      </c>
      <c r="G1633" t="s">
        <v>2380</v>
      </c>
      <c r="H1633" t="s">
        <v>2380</v>
      </c>
      <c r="J1633" t="s">
        <v>2381</v>
      </c>
      <c r="K1633" t="str">
        <f t="shared" si="77"/>
        <v>No</v>
      </c>
      <c r="L1633" t="s">
        <v>2380</v>
      </c>
    </row>
    <row r="1634" spans="1:12" x14ac:dyDescent="0.35">
      <c r="A1634" t="s">
        <v>738</v>
      </c>
      <c r="B1634" t="str">
        <f t="shared" si="75"/>
        <v>Obesity</v>
      </c>
      <c r="C1634">
        <v>34.42</v>
      </c>
      <c r="D1634" t="str">
        <f t="shared" si="76"/>
        <v>Normal</v>
      </c>
      <c r="E1634">
        <v>5.21</v>
      </c>
      <c r="F1634" t="s">
        <v>2382</v>
      </c>
      <c r="G1634" t="s">
        <v>2380</v>
      </c>
      <c r="H1634" t="s">
        <v>2380</v>
      </c>
      <c r="J1634" t="s">
        <v>2381</v>
      </c>
      <c r="K1634" t="str">
        <f t="shared" si="77"/>
        <v>No</v>
      </c>
      <c r="L1634" t="s">
        <v>2380</v>
      </c>
    </row>
    <row r="1635" spans="1:12" x14ac:dyDescent="0.35">
      <c r="A1635" t="s">
        <v>737</v>
      </c>
      <c r="B1635" t="str">
        <f t="shared" si="75"/>
        <v>Overweight</v>
      </c>
      <c r="C1635">
        <v>29.4</v>
      </c>
      <c r="D1635" t="str">
        <f t="shared" si="76"/>
        <v>Normal</v>
      </c>
      <c r="E1635">
        <v>4.26</v>
      </c>
      <c r="F1635" t="s">
        <v>2380</v>
      </c>
      <c r="G1635" t="s">
        <v>2380</v>
      </c>
      <c r="H1635" t="s">
        <v>2380</v>
      </c>
      <c r="J1635" t="s">
        <v>2381</v>
      </c>
      <c r="K1635" t="str">
        <f t="shared" si="77"/>
        <v>No</v>
      </c>
      <c r="L1635" t="s">
        <v>2380</v>
      </c>
    </row>
    <row r="1636" spans="1:12" x14ac:dyDescent="0.35">
      <c r="A1636" t="s">
        <v>736</v>
      </c>
      <c r="B1636" t="str">
        <f t="shared" si="75"/>
        <v>Normal Weight</v>
      </c>
      <c r="C1636">
        <v>21.31</v>
      </c>
      <c r="D1636" t="str">
        <f t="shared" si="76"/>
        <v>Normal</v>
      </c>
      <c r="E1636">
        <v>4.17</v>
      </c>
      <c r="F1636" t="s">
        <v>2380</v>
      </c>
      <c r="G1636" t="s">
        <v>2380</v>
      </c>
      <c r="H1636" t="s">
        <v>2380</v>
      </c>
      <c r="J1636" t="s">
        <v>2381</v>
      </c>
      <c r="K1636" t="str">
        <f t="shared" si="77"/>
        <v>No</v>
      </c>
      <c r="L1636" t="s">
        <v>2380</v>
      </c>
    </row>
    <row r="1637" spans="1:12" x14ac:dyDescent="0.35">
      <c r="A1637" t="s">
        <v>735</v>
      </c>
      <c r="B1637" t="str">
        <f t="shared" si="75"/>
        <v>Normal Weight</v>
      </c>
      <c r="C1637">
        <v>19.559999999999999</v>
      </c>
      <c r="D1637" t="str">
        <f t="shared" si="76"/>
        <v>Diabetes</v>
      </c>
      <c r="E1637">
        <v>11.96</v>
      </c>
      <c r="F1637" t="s">
        <v>2380</v>
      </c>
      <c r="G1637" t="s">
        <v>2380</v>
      </c>
      <c r="H1637" t="s">
        <v>2380</v>
      </c>
      <c r="J1637" t="s">
        <v>2381</v>
      </c>
      <c r="K1637" t="str">
        <f t="shared" si="77"/>
        <v>No</v>
      </c>
      <c r="L1637" t="s">
        <v>2380</v>
      </c>
    </row>
    <row r="1638" spans="1:12" x14ac:dyDescent="0.35">
      <c r="A1638" t="s">
        <v>734</v>
      </c>
      <c r="B1638" t="str">
        <f t="shared" si="75"/>
        <v>Obesity</v>
      </c>
      <c r="C1638">
        <v>37.335000000000001</v>
      </c>
      <c r="D1638" t="str">
        <f t="shared" si="76"/>
        <v>Prediabetes</v>
      </c>
      <c r="E1638">
        <v>6.26</v>
      </c>
      <c r="F1638" t="s">
        <v>2382</v>
      </c>
      <c r="G1638" t="s">
        <v>2380</v>
      </c>
      <c r="H1638" t="s">
        <v>2380</v>
      </c>
      <c r="J1638">
        <v>1</v>
      </c>
      <c r="K1638" t="str">
        <f t="shared" si="77"/>
        <v>No</v>
      </c>
      <c r="L1638" t="s">
        <v>2380</v>
      </c>
    </row>
    <row r="1639" spans="1:12" x14ac:dyDescent="0.35">
      <c r="A1639" t="s">
        <v>733</v>
      </c>
      <c r="B1639" t="str">
        <f t="shared" si="75"/>
        <v>Normal Weight</v>
      </c>
      <c r="C1639">
        <v>19.53</v>
      </c>
      <c r="D1639" t="str">
        <f t="shared" si="76"/>
        <v>Diabetes</v>
      </c>
      <c r="E1639">
        <v>11.68</v>
      </c>
      <c r="F1639" t="s">
        <v>2380</v>
      </c>
      <c r="G1639" t="s">
        <v>2380</v>
      </c>
      <c r="H1639" t="s">
        <v>2380</v>
      </c>
      <c r="J1639" t="s">
        <v>2381</v>
      </c>
      <c r="K1639" t="str">
        <f t="shared" si="77"/>
        <v>No</v>
      </c>
      <c r="L1639" t="s">
        <v>2380</v>
      </c>
    </row>
    <row r="1640" spans="1:12" x14ac:dyDescent="0.35">
      <c r="A1640" t="s">
        <v>732</v>
      </c>
      <c r="B1640" t="str">
        <f t="shared" si="75"/>
        <v>Obesity</v>
      </c>
      <c r="C1640">
        <v>34.1</v>
      </c>
      <c r="D1640" t="str">
        <f t="shared" si="76"/>
        <v>Normal</v>
      </c>
      <c r="E1640">
        <v>5.16</v>
      </c>
      <c r="F1640" t="s">
        <v>2380</v>
      </c>
      <c r="G1640" t="s">
        <v>2380</v>
      </c>
      <c r="H1640" t="s">
        <v>2380</v>
      </c>
      <c r="J1640" t="s">
        <v>2381</v>
      </c>
      <c r="K1640" t="str">
        <f t="shared" si="77"/>
        <v>No</v>
      </c>
      <c r="L1640" t="s">
        <v>2380</v>
      </c>
    </row>
    <row r="1641" spans="1:12" x14ac:dyDescent="0.35">
      <c r="A1641" t="s">
        <v>731</v>
      </c>
      <c r="B1641" t="str">
        <f t="shared" si="75"/>
        <v>Underweight</v>
      </c>
      <c r="C1641">
        <v>16.5</v>
      </c>
      <c r="D1641" t="str">
        <f t="shared" si="76"/>
        <v>Diabetes</v>
      </c>
      <c r="E1641">
        <v>6.9</v>
      </c>
      <c r="F1641" t="s">
        <v>2382</v>
      </c>
      <c r="G1641" t="s">
        <v>2380</v>
      </c>
      <c r="H1641" t="s">
        <v>2380</v>
      </c>
      <c r="J1641">
        <v>2</v>
      </c>
      <c r="K1641" t="str">
        <f t="shared" si="77"/>
        <v>No</v>
      </c>
      <c r="L1641" t="s">
        <v>2380</v>
      </c>
    </row>
    <row r="1642" spans="1:12" x14ac:dyDescent="0.35">
      <c r="A1642" t="s">
        <v>730</v>
      </c>
      <c r="B1642" t="str">
        <f t="shared" si="75"/>
        <v>Obesity</v>
      </c>
      <c r="C1642">
        <v>30.69</v>
      </c>
      <c r="D1642" t="str">
        <f t="shared" si="76"/>
        <v>Normal</v>
      </c>
      <c r="E1642">
        <v>4.83</v>
      </c>
      <c r="F1642" t="s">
        <v>2380</v>
      </c>
      <c r="G1642" t="s">
        <v>2380</v>
      </c>
      <c r="H1642" t="s">
        <v>2380</v>
      </c>
      <c r="J1642">
        <v>1</v>
      </c>
      <c r="K1642" t="str">
        <f t="shared" si="77"/>
        <v>No</v>
      </c>
      <c r="L1642" t="s">
        <v>2380</v>
      </c>
    </row>
    <row r="1643" spans="1:12" x14ac:dyDescent="0.35">
      <c r="A1643" t="s">
        <v>729</v>
      </c>
      <c r="B1643" t="str">
        <f t="shared" si="75"/>
        <v>Overweight</v>
      </c>
      <c r="C1643">
        <v>28.93</v>
      </c>
      <c r="D1643" t="str">
        <f t="shared" si="76"/>
        <v>Normal</v>
      </c>
      <c r="E1643">
        <v>4.87</v>
      </c>
      <c r="F1643" t="s">
        <v>2380</v>
      </c>
      <c r="G1643" t="s">
        <v>2380</v>
      </c>
      <c r="H1643" t="s">
        <v>2380</v>
      </c>
      <c r="J1643">
        <v>1</v>
      </c>
      <c r="K1643" t="str">
        <f t="shared" si="77"/>
        <v>No</v>
      </c>
      <c r="L1643" t="s">
        <v>2380</v>
      </c>
    </row>
    <row r="1644" spans="1:12" x14ac:dyDescent="0.35">
      <c r="A1644" t="s">
        <v>728</v>
      </c>
      <c r="B1644" t="str">
        <f t="shared" si="75"/>
        <v>Obesity</v>
      </c>
      <c r="C1644">
        <v>38.9</v>
      </c>
      <c r="D1644" t="str">
        <f t="shared" si="76"/>
        <v>Normal</v>
      </c>
      <c r="E1644">
        <v>4.28</v>
      </c>
      <c r="F1644" t="s">
        <v>2380</v>
      </c>
      <c r="G1644" t="s">
        <v>2380</v>
      </c>
      <c r="H1644" t="s">
        <v>2380</v>
      </c>
      <c r="J1644" t="s">
        <v>2381</v>
      </c>
      <c r="K1644" t="str">
        <f t="shared" si="77"/>
        <v>No</v>
      </c>
      <c r="L1644" t="s">
        <v>2380</v>
      </c>
    </row>
    <row r="1645" spans="1:12" x14ac:dyDescent="0.35">
      <c r="A1645" t="s">
        <v>727</v>
      </c>
      <c r="B1645" t="str">
        <f t="shared" si="75"/>
        <v>Overweight</v>
      </c>
      <c r="C1645">
        <v>26.9</v>
      </c>
      <c r="D1645" t="str">
        <f t="shared" si="76"/>
        <v>Normal</v>
      </c>
      <c r="E1645">
        <v>4.07</v>
      </c>
      <c r="F1645" t="s">
        <v>2380</v>
      </c>
      <c r="G1645" t="s">
        <v>2380</v>
      </c>
      <c r="H1645" t="s">
        <v>2380</v>
      </c>
      <c r="J1645" t="s">
        <v>2381</v>
      </c>
      <c r="K1645" t="str">
        <f t="shared" si="77"/>
        <v>No</v>
      </c>
      <c r="L1645" t="s">
        <v>2380</v>
      </c>
    </row>
    <row r="1646" spans="1:12" x14ac:dyDescent="0.35">
      <c r="A1646" t="s">
        <v>726</v>
      </c>
      <c r="B1646" t="str">
        <f t="shared" si="75"/>
        <v>Normal Weight</v>
      </c>
      <c r="C1646">
        <v>24.86</v>
      </c>
      <c r="D1646" t="str">
        <f t="shared" si="76"/>
        <v>Prediabetes</v>
      </c>
      <c r="E1646">
        <v>6.23</v>
      </c>
      <c r="F1646" t="s">
        <v>2380</v>
      </c>
      <c r="G1646" t="s">
        <v>2380</v>
      </c>
      <c r="H1646" t="s">
        <v>2380</v>
      </c>
      <c r="J1646" t="s">
        <v>2381</v>
      </c>
      <c r="K1646" t="str">
        <f t="shared" si="77"/>
        <v>No</v>
      </c>
      <c r="L1646" t="s">
        <v>2380</v>
      </c>
    </row>
    <row r="1647" spans="1:12" x14ac:dyDescent="0.35">
      <c r="A1647" t="s">
        <v>725</v>
      </c>
      <c r="B1647" t="str">
        <f t="shared" si="75"/>
        <v>Obesity</v>
      </c>
      <c r="C1647">
        <v>39.14</v>
      </c>
      <c r="D1647" t="str">
        <f t="shared" si="76"/>
        <v>Prediabetes</v>
      </c>
      <c r="E1647">
        <v>6.24</v>
      </c>
      <c r="F1647" t="s">
        <v>2380</v>
      </c>
      <c r="G1647" t="s">
        <v>2382</v>
      </c>
      <c r="H1647" t="s">
        <v>2380</v>
      </c>
      <c r="J1647">
        <v>1</v>
      </c>
      <c r="K1647" t="str">
        <f t="shared" si="77"/>
        <v>No</v>
      </c>
      <c r="L1647" t="s">
        <v>2380</v>
      </c>
    </row>
    <row r="1648" spans="1:12" x14ac:dyDescent="0.35">
      <c r="A1648" t="s">
        <v>724</v>
      </c>
      <c r="B1648" t="str">
        <f t="shared" si="75"/>
        <v>Obesity</v>
      </c>
      <c r="C1648">
        <v>39.799999999999997</v>
      </c>
      <c r="D1648" t="str">
        <f t="shared" si="76"/>
        <v>Prediabetes</v>
      </c>
      <c r="E1648">
        <v>6.17</v>
      </c>
      <c r="F1648" t="s">
        <v>2380</v>
      </c>
      <c r="G1648" t="s">
        <v>2380</v>
      </c>
      <c r="H1648" t="s">
        <v>2383</v>
      </c>
      <c r="J1648">
        <v>1</v>
      </c>
      <c r="K1648" t="str">
        <f t="shared" si="77"/>
        <v>No</v>
      </c>
      <c r="L1648" t="s">
        <v>2380</v>
      </c>
    </row>
    <row r="1649" spans="1:12" x14ac:dyDescent="0.35">
      <c r="A1649" t="s">
        <v>723</v>
      </c>
      <c r="B1649" t="str">
        <f t="shared" si="75"/>
        <v>Obesity</v>
      </c>
      <c r="C1649">
        <v>34.32</v>
      </c>
      <c r="D1649" t="str">
        <f t="shared" si="76"/>
        <v>Normal</v>
      </c>
      <c r="E1649">
        <v>5.16</v>
      </c>
      <c r="F1649" t="s">
        <v>2380</v>
      </c>
      <c r="G1649" t="s">
        <v>2380</v>
      </c>
      <c r="H1649" t="s">
        <v>2380</v>
      </c>
      <c r="J1649">
        <v>1</v>
      </c>
      <c r="K1649" t="str">
        <f t="shared" si="77"/>
        <v>No</v>
      </c>
      <c r="L1649" t="s">
        <v>2380</v>
      </c>
    </row>
    <row r="1650" spans="1:12" x14ac:dyDescent="0.35">
      <c r="A1650" t="s">
        <v>722</v>
      </c>
      <c r="B1650" t="str">
        <f t="shared" si="75"/>
        <v>Obesity</v>
      </c>
      <c r="C1650">
        <v>32.51</v>
      </c>
      <c r="D1650" t="str">
        <f t="shared" si="76"/>
        <v>Normal</v>
      </c>
      <c r="E1650">
        <v>4.3</v>
      </c>
      <c r="F1650" t="s">
        <v>2380</v>
      </c>
      <c r="G1650" t="s">
        <v>2380</v>
      </c>
      <c r="H1650" t="s">
        <v>2380</v>
      </c>
      <c r="J1650" t="s">
        <v>2381</v>
      </c>
      <c r="K1650" t="str">
        <f t="shared" si="77"/>
        <v>No</v>
      </c>
      <c r="L1650" t="s">
        <v>2380</v>
      </c>
    </row>
    <row r="1651" spans="1:12" x14ac:dyDescent="0.35">
      <c r="A1651" t="s">
        <v>721</v>
      </c>
      <c r="B1651" t="str">
        <f t="shared" si="75"/>
        <v>Obesity</v>
      </c>
      <c r="C1651">
        <v>30.71</v>
      </c>
      <c r="D1651" t="str">
        <f t="shared" si="76"/>
        <v>Prediabetes</v>
      </c>
      <c r="E1651">
        <v>6.14</v>
      </c>
      <c r="F1651" t="s">
        <v>2380</v>
      </c>
      <c r="G1651" t="s">
        <v>2380</v>
      </c>
      <c r="H1651" t="s">
        <v>2383</v>
      </c>
      <c r="J1651">
        <v>1</v>
      </c>
      <c r="K1651" t="str">
        <f t="shared" si="77"/>
        <v>No</v>
      </c>
      <c r="L1651" t="s">
        <v>2380</v>
      </c>
    </row>
    <row r="1652" spans="1:12" x14ac:dyDescent="0.35">
      <c r="A1652" t="s">
        <v>720</v>
      </c>
      <c r="B1652" t="str">
        <f t="shared" si="75"/>
        <v>Overweight</v>
      </c>
      <c r="C1652">
        <v>28.9</v>
      </c>
      <c r="D1652" t="str">
        <f t="shared" si="76"/>
        <v>Normal</v>
      </c>
      <c r="E1652">
        <v>5.36</v>
      </c>
      <c r="F1652" t="s">
        <v>2380</v>
      </c>
      <c r="G1652" t="s">
        <v>2380</v>
      </c>
      <c r="H1652" t="s">
        <v>2380</v>
      </c>
      <c r="J1652">
        <v>1</v>
      </c>
      <c r="K1652" t="str">
        <f t="shared" si="77"/>
        <v>No</v>
      </c>
      <c r="L1652" t="s">
        <v>2380</v>
      </c>
    </row>
    <row r="1653" spans="1:12" x14ac:dyDescent="0.35">
      <c r="A1653" t="s">
        <v>719</v>
      </c>
      <c r="B1653" t="str">
        <f t="shared" si="75"/>
        <v>Obesity</v>
      </c>
      <c r="C1653">
        <v>36.19</v>
      </c>
      <c r="D1653" t="str">
        <f t="shared" si="76"/>
        <v>Normal</v>
      </c>
      <c r="E1653">
        <v>4.3</v>
      </c>
      <c r="F1653" t="s">
        <v>2380</v>
      </c>
      <c r="G1653" t="s">
        <v>2380</v>
      </c>
      <c r="H1653" t="s">
        <v>2380</v>
      </c>
      <c r="J1653" t="s">
        <v>2381</v>
      </c>
      <c r="K1653" t="str">
        <f t="shared" si="77"/>
        <v>No</v>
      </c>
      <c r="L1653" t="s">
        <v>2380</v>
      </c>
    </row>
    <row r="1654" spans="1:12" x14ac:dyDescent="0.35">
      <c r="A1654" t="s">
        <v>718</v>
      </c>
      <c r="B1654" t="str">
        <f t="shared" si="75"/>
        <v>Overweight</v>
      </c>
      <c r="C1654">
        <v>29.6</v>
      </c>
      <c r="D1654" t="str">
        <f t="shared" si="76"/>
        <v>Normal</v>
      </c>
      <c r="E1654">
        <v>4.09</v>
      </c>
      <c r="F1654" t="s">
        <v>2380</v>
      </c>
      <c r="G1654" t="s">
        <v>2380</v>
      </c>
      <c r="H1654" t="s">
        <v>2380</v>
      </c>
      <c r="J1654" t="s">
        <v>2381</v>
      </c>
      <c r="K1654" t="str">
        <f t="shared" si="77"/>
        <v>No</v>
      </c>
      <c r="L1654" t="s">
        <v>2380</v>
      </c>
    </row>
    <row r="1655" spans="1:12" x14ac:dyDescent="0.35">
      <c r="A1655" t="s">
        <v>717</v>
      </c>
      <c r="B1655" t="str">
        <f t="shared" si="75"/>
        <v>Obesity</v>
      </c>
      <c r="C1655">
        <v>30.95</v>
      </c>
      <c r="D1655" t="str">
        <f t="shared" si="76"/>
        <v>Prediabetes</v>
      </c>
      <c r="E1655">
        <v>6.27</v>
      </c>
      <c r="F1655" t="s">
        <v>2380</v>
      </c>
      <c r="G1655" t="s">
        <v>2380</v>
      </c>
      <c r="H1655" t="s">
        <v>2383</v>
      </c>
      <c r="J1655">
        <v>1</v>
      </c>
      <c r="K1655" t="str">
        <f t="shared" si="77"/>
        <v>No</v>
      </c>
      <c r="L1655" t="s">
        <v>2380</v>
      </c>
    </row>
    <row r="1656" spans="1:12" x14ac:dyDescent="0.35">
      <c r="A1656" t="s">
        <v>716</v>
      </c>
      <c r="B1656" t="str">
        <f t="shared" si="75"/>
        <v>Normal Weight</v>
      </c>
      <c r="C1656">
        <v>19.95</v>
      </c>
      <c r="D1656" t="str">
        <f t="shared" si="76"/>
        <v>Normal</v>
      </c>
      <c r="E1656">
        <v>5.39</v>
      </c>
      <c r="F1656" t="s">
        <v>2380</v>
      </c>
      <c r="G1656" t="s">
        <v>2380</v>
      </c>
      <c r="H1656" t="s">
        <v>2380</v>
      </c>
      <c r="J1656">
        <v>1</v>
      </c>
      <c r="K1656" t="str">
        <f t="shared" si="77"/>
        <v>No</v>
      </c>
      <c r="L1656" t="s">
        <v>2380</v>
      </c>
    </row>
    <row r="1657" spans="1:12" x14ac:dyDescent="0.35">
      <c r="A1657" t="s">
        <v>715</v>
      </c>
      <c r="B1657" t="str">
        <f t="shared" si="75"/>
        <v>Normal Weight</v>
      </c>
      <c r="C1657">
        <v>23.65</v>
      </c>
      <c r="D1657" t="str">
        <f t="shared" si="76"/>
        <v>Prediabetes</v>
      </c>
      <c r="E1657">
        <v>5.75</v>
      </c>
      <c r="F1657" t="s">
        <v>2382</v>
      </c>
      <c r="G1657" t="s">
        <v>2380</v>
      </c>
      <c r="H1657" t="s">
        <v>2380</v>
      </c>
      <c r="J1657" t="s">
        <v>2381</v>
      </c>
      <c r="K1657" t="str">
        <f t="shared" si="77"/>
        <v>No</v>
      </c>
      <c r="L1657" t="s">
        <v>2380</v>
      </c>
    </row>
    <row r="1658" spans="1:12" x14ac:dyDescent="0.35">
      <c r="A1658" t="s">
        <v>714</v>
      </c>
      <c r="B1658" t="str">
        <f t="shared" si="75"/>
        <v>Obesity</v>
      </c>
      <c r="C1658">
        <v>43.34</v>
      </c>
      <c r="D1658" t="str">
        <f t="shared" si="76"/>
        <v>Normal</v>
      </c>
      <c r="E1658">
        <v>4.91</v>
      </c>
      <c r="F1658" t="s">
        <v>2380</v>
      </c>
      <c r="G1658" t="s">
        <v>2380</v>
      </c>
      <c r="H1658" t="s">
        <v>2380</v>
      </c>
      <c r="J1658">
        <v>1</v>
      </c>
      <c r="K1658" t="str">
        <f t="shared" si="77"/>
        <v>No</v>
      </c>
      <c r="L1658" t="s">
        <v>2380</v>
      </c>
    </row>
    <row r="1659" spans="1:12" x14ac:dyDescent="0.35">
      <c r="A1659" t="s">
        <v>713</v>
      </c>
      <c r="B1659" t="str">
        <f t="shared" si="75"/>
        <v>Obesity</v>
      </c>
      <c r="C1659">
        <v>31.98</v>
      </c>
      <c r="D1659" t="str">
        <f t="shared" si="76"/>
        <v>Normal</v>
      </c>
      <c r="E1659">
        <v>4.46</v>
      </c>
      <c r="F1659" t="s">
        <v>2382</v>
      </c>
      <c r="G1659" t="s">
        <v>2380</v>
      </c>
      <c r="H1659" t="s">
        <v>2380</v>
      </c>
      <c r="J1659">
        <v>1</v>
      </c>
      <c r="K1659" t="str">
        <f t="shared" si="77"/>
        <v>No</v>
      </c>
      <c r="L1659" t="s">
        <v>2380</v>
      </c>
    </row>
    <row r="1660" spans="1:12" x14ac:dyDescent="0.35">
      <c r="A1660" t="s">
        <v>712</v>
      </c>
      <c r="B1660" t="str">
        <f t="shared" si="75"/>
        <v>Obesity</v>
      </c>
      <c r="C1660">
        <v>35.86</v>
      </c>
      <c r="D1660" t="str">
        <f t="shared" si="76"/>
        <v>Prediabetes</v>
      </c>
      <c r="E1660">
        <v>6.22</v>
      </c>
      <c r="F1660" t="s">
        <v>2380</v>
      </c>
      <c r="G1660" t="s">
        <v>2380</v>
      </c>
      <c r="H1660" t="s">
        <v>2380</v>
      </c>
      <c r="J1660">
        <v>1</v>
      </c>
      <c r="K1660" t="str">
        <f t="shared" si="77"/>
        <v>No</v>
      </c>
      <c r="L1660" t="s">
        <v>2380</v>
      </c>
    </row>
    <row r="1661" spans="1:12" x14ac:dyDescent="0.35">
      <c r="A1661" t="s">
        <v>711</v>
      </c>
      <c r="B1661" t="str">
        <f t="shared" si="75"/>
        <v>Underweight</v>
      </c>
      <c r="C1661">
        <v>15.2</v>
      </c>
      <c r="D1661" t="str">
        <f t="shared" si="76"/>
        <v>Diabetes</v>
      </c>
      <c r="E1661">
        <v>8.82</v>
      </c>
      <c r="F1661" t="s">
        <v>2380</v>
      </c>
      <c r="G1661" t="s">
        <v>2380</v>
      </c>
      <c r="H1661" t="s">
        <v>2380</v>
      </c>
      <c r="J1661" t="s">
        <v>2381</v>
      </c>
      <c r="K1661" t="str">
        <f t="shared" si="77"/>
        <v>No</v>
      </c>
      <c r="L1661" t="s">
        <v>2380</v>
      </c>
    </row>
    <row r="1662" spans="1:12" x14ac:dyDescent="0.35">
      <c r="A1662" t="s">
        <v>710</v>
      </c>
      <c r="B1662" t="str">
        <f t="shared" si="75"/>
        <v>Obesity</v>
      </c>
      <c r="C1662">
        <v>37.200000000000003</v>
      </c>
      <c r="D1662" t="str">
        <f t="shared" si="76"/>
        <v>Diabetes</v>
      </c>
      <c r="E1662">
        <v>10.14</v>
      </c>
      <c r="F1662" t="s">
        <v>2380</v>
      </c>
      <c r="G1662" t="s">
        <v>2380</v>
      </c>
      <c r="H1662" t="s">
        <v>2380</v>
      </c>
      <c r="J1662" t="s">
        <v>2381</v>
      </c>
      <c r="K1662" t="str">
        <f t="shared" si="77"/>
        <v>No</v>
      </c>
      <c r="L1662" t="s">
        <v>2380</v>
      </c>
    </row>
    <row r="1663" spans="1:12" x14ac:dyDescent="0.35">
      <c r="A1663" t="s">
        <v>709</v>
      </c>
      <c r="B1663" t="str">
        <f t="shared" si="75"/>
        <v>Underweight</v>
      </c>
      <c r="C1663">
        <v>17.91</v>
      </c>
      <c r="D1663" t="str">
        <f t="shared" si="76"/>
        <v>Normal</v>
      </c>
      <c r="E1663">
        <v>4.66</v>
      </c>
      <c r="F1663" t="s">
        <v>2380</v>
      </c>
      <c r="G1663" t="s">
        <v>2380</v>
      </c>
      <c r="H1663" t="s">
        <v>2380</v>
      </c>
      <c r="J1663">
        <v>2</v>
      </c>
      <c r="K1663" t="str">
        <f t="shared" si="77"/>
        <v>No</v>
      </c>
      <c r="L1663" t="s">
        <v>2380</v>
      </c>
    </row>
    <row r="1664" spans="1:12" x14ac:dyDescent="0.35">
      <c r="A1664" t="s">
        <v>708</v>
      </c>
      <c r="B1664" t="str">
        <f t="shared" si="75"/>
        <v>Normal Weight</v>
      </c>
      <c r="C1664">
        <v>20.76</v>
      </c>
      <c r="D1664" t="str">
        <f t="shared" si="76"/>
        <v>Prediabetes</v>
      </c>
      <c r="E1664">
        <v>6.26</v>
      </c>
      <c r="F1664" t="s">
        <v>2380</v>
      </c>
      <c r="G1664" t="s">
        <v>2380</v>
      </c>
      <c r="H1664" t="s">
        <v>2380</v>
      </c>
      <c r="J1664" t="s">
        <v>2381</v>
      </c>
      <c r="K1664" t="str">
        <f t="shared" si="77"/>
        <v>No</v>
      </c>
      <c r="L1664" t="s">
        <v>2380</v>
      </c>
    </row>
    <row r="1665" spans="1:12" x14ac:dyDescent="0.35">
      <c r="A1665" t="s">
        <v>707</v>
      </c>
      <c r="B1665" t="str">
        <f t="shared" si="75"/>
        <v>Obesity</v>
      </c>
      <c r="C1665">
        <v>38.99</v>
      </c>
      <c r="D1665" t="str">
        <f t="shared" si="76"/>
        <v>Normal</v>
      </c>
      <c r="E1665">
        <v>5.21</v>
      </c>
      <c r="F1665" t="s">
        <v>2380</v>
      </c>
      <c r="G1665" t="s">
        <v>2382</v>
      </c>
      <c r="H1665" t="s">
        <v>2380</v>
      </c>
      <c r="J1665">
        <v>1</v>
      </c>
      <c r="K1665" t="str">
        <f t="shared" si="77"/>
        <v>No</v>
      </c>
      <c r="L1665" t="s">
        <v>2380</v>
      </c>
    </row>
    <row r="1666" spans="1:12" x14ac:dyDescent="0.35">
      <c r="A1666" t="s">
        <v>706</v>
      </c>
      <c r="B1666" t="str">
        <f t="shared" si="75"/>
        <v>Obesity</v>
      </c>
      <c r="C1666">
        <v>42.655000000000001</v>
      </c>
      <c r="D1666" t="str">
        <f t="shared" si="76"/>
        <v>Prediabetes</v>
      </c>
      <c r="E1666">
        <v>5.94</v>
      </c>
      <c r="F1666" t="s">
        <v>2382</v>
      </c>
      <c r="G1666" t="s">
        <v>2380</v>
      </c>
      <c r="H1666" t="s">
        <v>2383</v>
      </c>
      <c r="J1666">
        <v>1</v>
      </c>
      <c r="K1666" t="str">
        <f t="shared" si="77"/>
        <v>No</v>
      </c>
      <c r="L1666" t="s">
        <v>2380</v>
      </c>
    </row>
    <row r="1667" spans="1:12" x14ac:dyDescent="0.35">
      <c r="A1667" t="s">
        <v>705</v>
      </c>
      <c r="B1667" t="str">
        <f t="shared" ref="B1667:B1730" si="78">_xlfn.IFS(C1667&lt;18.5, "Underweight", C1667&lt;=24.9, "Normal Weight", C1667&lt;=29.9, "Overweight", C1667&gt;=30, "Obesity")</f>
        <v>Obesity</v>
      </c>
      <c r="C1667">
        <v>30.57</v>
      </c>
      <c r="D1667" t="str">
        <f t="shared" ref="D1667:D1730" si="79">_xlfn.IFS(E1667&lt;5.7, "Normal", E1667&lt;=6.4, "Prediabetes", E1667&gt;=6.5, "Diabetes")</f>
        <v>Normal</v>
      </c>
      <c r="E1667">
        <v>5.34</v>
      </c>
      <c r="F1667" t="s">
        <v>2380</v>
      </c>
      <c r="G1667" t="s">
        <v>2380</v>
      </c>
      <c r="H1667" t="s">
        <v>2383</v>
      </c>
      <c r="J1667">
        <v>1</v>
      </c>
      <c r="K1667" t="str">
        <f t="shared" si="77"/>
        <v>No</v>
      </c>
      <c r="L1667" t="s">
        <v>2380</v>
      </c>
    </row>
    <row r="1668" spans="1:12" x14ac:dyDescent="0.35">
      <c r="A1668" t="s">
        <v>704</v>
      </c>
      <c r="B1668" t="str">
        <f t="shared" si="78"/>
        <v>Underweight</v>
      </c>
      <c r="C1668">
        <v>17.7</v>
      </c>
      <c r="D1668" t="str">
        <f t="shared" si="79"/>
        <v>Prediabetes</v>
      </c>
      <c r="E1668">
        <v>6.38</v>
      </c>
      <c r="F1668" t="s">
        <v>2380</v>
      </c>
      <c r="G1668" t="s">
        <v>2380</v>
      </c>
      <c r="H1668" t="s">
        <v>2380</v>
      </c>
      <c r="J1668">
        <v>2</v>
      </c>
      <c r="K1668" t="str">
        <f t="shared" ref="K1668:K1731" si="80">IF(OR(L1668="?", ISBLANK(L1668)), "No", L1668)</f>
        <v>No</v>
      </c>
      <c r="L1668" t="s">
        <v>2380</v>
      </c>
    </row>
    <row r="1669" spans="1:12" x14ac:dyDescent="0.35">
      <c r="A1669" t="s">
        <v>703</v>
      </c>
      <c r="B1669" t="str">
        <f t="shared" si="78"/>
        <v>Obesity</v>
      </c>
      <c r="C1669">
        <v>34.770000000000003</v>
      </c>
      <c r="D1669" t="str">
        <f t="shared" si="79"/>
        <v>Normal</v>
      </c>
      <c r="E1669">
        <v>4.47</v>
      </c>
      <c r="F1669" t="s">
        <v>2380</v>
      </c>
      <c r="G1669" t="s">
        <v>2380</v>
      </c>
      <c r="H1669" t="s">
        <v>2380</v>
      </c>
      <c r="J1669">
        <v>1</v>
      </c>
      <c r="K1669" t="str">
        <f t="shared" si="80"/>
        <v>No</v>
      </c>
      <c r="L1669" t="s">
        <v>2380</v>
      </c>
    </row>
    <row r="1670" spans="1:12" x14ac:dyDescent="0.35">
      <c r="A1670" t="s">
        <v>702</v>
      </c>
      <c r="B1670" t="str">
        <f t="shared" si="78"/>
        <v>Underweight</v>
      </c>
      <c r="C1670">
        <v>16.88</v>
      </c>
      <c r="D1670" t="str">
        <f t="shared" si="79"/>
        <v>Diabetes</v>
      </c>
      <c r="E1670">
        <v>9.9600000000000009</v>
      </c>
      <c r="F1670" t="s">
        <v>2380</v>
      </c>
      <c r="G1670" t="s">
        <v>2380</v>
      </c>
      <c r="H1670" t="s">
        <v>2380</v>
      </c>
      <c r="J1670" t="s">
        <v>2381</v>
      </c>
      <c r="K1670" t="str">
        <f t="shared" si="80"/>
        <v>No</v>
      </c>
      <c r="L1670" t="s">
        <v>2380</v>
      </c>
    </row>
    <row r="1671" spans="1:12" x14ac:dyDescent="0.35">
      <c r="A1671" t="s">
        <v>701</v>
      </c>
      <c r="B1671" t="str">
        <f t="shared" si="78"/>
        <v>Obesity</v>
      </c>
      <c r="C1671">
        <v>40.26</v>
      </c>
      <c r="D1671" t="str">
        <f t="shared" si="79"/>
        <v>Diabetes</v>
      </c>
      <c r="E1671">
        <v>9.92</v>
      </c>
      <c r="F1671" t="s">
        <v>2382</v>
      </c>
      <c r="G1671" t="s">
        <v>2380</v>
      </c>
      <c r="H1671" t="s">
        <v>2380</v>
      </c>
      <c r="J1671" t="s">
        <v>2381</v>
      </c>
      <c r="K1671" t="str">
        <f t="shared" si="80"/>
        <v>No</v>
      </c>
      <c r="L1671" t="s">
        <v>2380</v>
      </c>
    </row>
    <row r="1672" spans="1:12" x14ac:dyDescent="0.35">
      <c r="A1672" t="s">
        <v>700</v>
      </c>
      <c r="B1672" t="str">
        <f t="shared" si="78"/>
        <v>Overweight</v>
      </c>
      <c r="C1672">
        <v>25.6</v>
      </c>
      <c r="D1672" t="str">
        <f t="shared" si="79"/>
        <v>Prediabetes</v>
      </c>
      <c r="E1672">
        <v>6.03</v>
      </c>
      <c r="F1672" t="s">
        <v>2380</v>
      </c>
      <c r="G1672" t="s">
        <v>2380</v>
      </c>
      <c r="H1672" t="s">
        <v>2383</v>
      </c>
      <c r="J1672">
        <v>1</v>
      </c>
      <c r="K1672" t="str">
        <f t="shared" si="80"/>
        <v>No</v>
      </c>
      <c r="L1672" t="s">
        <v>2380</v>
      </c>
    </row>
    <row r="1673" spans="1:12" x14ac:dyDescent="0.35">
      <c r="A1673" t="s">
        <v>699</v>
      </c>
      <c r="B1673" t="str">
        <f t="shared" si="78"/>
        <v>Obesity</v>
      </c>
      <c r="C1673">
        <v>33.549999999999997</v>
      </c>
      <c r="D1673" t="str">
        <f t="shared" si="79"/>
        <v>Diabetes</v>
      </c>
      <c r="E1673">
        <v>10.9</v>
      </c>
      <c r="F1673" t="s">
        <v>2382</v>
      </c>
      <c r="G1673" t="s">
        <v>2380</v>
      </c>
      <c r="H1673" t="s">
        <v>2380</v>
      </c>
      <c r="J1673" t="s">
        <v>2381</v>
      </c>
      <c r="K1673" t="str">
        <f t="shared" si="80"/>
        <v>No</v>
      </c>
      <c r="L1673" t="s">
        <v>2380</v>
      </c>
    </row>
    <row r="1674" spans="1:12" x14ac:dyDescent="0.35">
      <c r="A1674" t="s">
        <v>698</v>
      </c>
      <c r="B1674" t="str">
        <f t="shared" si="78"/>
        <v>Underweight</v>
      </c>
      <c r="C1674">
        <v>16.690000000000001</v>
      </c>
      <c r="D1674" t="str">
        <f t="shared" si="79"/>
        <v>Diabetes</v>
      </c>
      <c r="E1674">
        <v>10.66</v>
      </c>
      <c r="F1674" t="s">
        <v>2380</v>
      </c>
      <c r="G1674" t="s">
        <v>2380</v>
      </c>
      <c r="H1674" t="s">
        <v>2380</v>
      </c>
      <c r="J1674" t="s">
        <v>2381</v>
      </c>
      <c r="K1674" t="str">
        <f t="shared" si="80"/>
        <v>No</v>
      </c>
      <c r="L1674" t="s">
        <v>2380</v>
      </c>
    </row>
    <row r="1675" spans="1:12" x14ac:dyDescent="0.35">
      <c r="A1675" t="s">
        <v>697</v>
      </c>
      <c r="B1675" t="str">
        <f t="shared" si="78"/>
        <v>Normal Weight</v>
      </c>
      <c r="C1675">
        <v>19.95</v>
      </c>
      <c r="D1675" t="str">
        <f t="shared" si="79"/>
        <v>Normal</v>
      </c>
      <c r="E1675">
        <v>4.05</v>
      </c>
      <c r="F1675" t="s">
        <v>2380</v>
      </c>
      <c r="G1675" t="s">
        <v>2380</v>
      </c>
      <c r="H1675" t="s">
        <v>2380</v>
      </c>
      <c r="J1675">
        <v>1</v>
      </c>
      <c r="K1675" t="str">
        <f t="shared" si="80"/>
        <v>No</v>
      </c>
      <c r="L1675" t="s">
        <v>2380</v>
      </c>
    </row>
    <row r="1676" spans="1:12" x14ac:dyDescent="0.35">
      <c r="A1676" t="s">
        <v>696</v>
      </c>
      <c r="B1676" t="str">
        <f t="shared" si="78"/>
        <v>Underweight</v>
      </c>
      <c r="C1676">
        <v>17.55</v>
      </c>
      <c r="D1676" t="str">
        <f t="shared" si="79"/>
        <v>Normal</v>
      </c>
      <c r="E1676">
        <v>4.2300000000000004</v>
      </c>
      <c r="F1676" t="s">
        <v>2380</v>
      </c>
      <c r="G1676" t="s">
        <v>2380</v>
      </c>
      <c r="H1676" t="s">
        <v>2380</v>
      </c>
      <c r="J1676">
        <v>2</v>
      </c>
      <c r="K1676" t="str">
        <f t="shared" si="80"/>
        <v>No</v>
      </c>
      <c r="L1676" t="s">
        <v>2380</v>
      </c>
    </row>
    <row r="1677" spans="1:12" x14ac:dyDescent="0.35">
      <c r="A1677" t="s">
        <v>695</v>
      </c>
      <c r="B1677" t="str">
        <f t="shared" si="78"/>
        <v>Normal Weight</v>
      </c>
      <c r="C1677">
        <v>22.01</v>
      </c>
      <c r="D1677" t="str">
        <f t="shared" si="79"/>
        <v>Normal</v>
      </c>
      <c r="E1677">
        <v>5.01</v>
      </c>
      <c r="F1677" t="s">
        <v>2380</v>
      </c>
      <c r="G1677" t="s">
        <v>2380</v>
      </c>
      <c r="H1677" t="s">
        <v>2380</v>
      </c>
      <c r="J1677">
        <v>1</v>
      </c>
      <c r="K1677" t="str">
        <f t="shared" si="80"/>
        <v>No</v>
      </c>
      <c r="L1677" t="s">
        <v>2380</v>
      </c>
    </row>
    <row r="1678" spans="1:12" x14ac:dyDescent="0.35">
      <c r="A1678" t="s">
        <v>694</v>
      </c>
      <c r="B1678" t="str">
        <f t="shared" si="78"/>
        <v>Obesity</v>
      </c>
      <c r="C1678">
        <v>41.8</v>
      </c>
      <c r="D1678" t="str">
        <f t="shared" si="79"/>
        <v>Prediabetes</v>
      </c>
      <c r="E1678">
        <v>5.82</v>
      </c>
      <c r="F1678" t="s">
        <v>2382</v>
      </c>
      <c r="G1678" t="s">
        <v>2380</v>
      </c>
      <c r="H1678" t="s">
        <v>2383</v>
      </c>
      <c r="J1678">
        <v>1</v>
      </c>
      <c r="K1678" t="str">
        <f t="shared" si="80"/>
        <v>No</v>
      </c>
      <c r="L1678" t="s">
        <v>2380</v>
      </c>
    </row>
    <row r="1679" spans="1:12" x14ac:dyDescent="0.35">
      <c r="A1679" t="s">
        <v>693</v>
      </c>
      <c r="B1679" t="str">
        <f t="shared" si="78"/>
        <v>Normal Weight</v>
      </c>
      <c r="C1679">
        <v>19.170000000000002</v>
      </c>
      <c r="D1679" t="str">
        <f t="shared" si="79"/>
        <v>Diabetes</v>
      </c>
      <c r="E1679">
        <v>7.94</v>
      </c>
      <c r="F1679" t="s">
        <v>2380</v>
      </c>
      <c r="G1679" t="s">
        <v>2380</v>
      </c>
      <c r="H1679" t="s">
        <v>2380</v>
      </c>
      <c r="J1679" t="s">
        <v>2381</v>
      </c>
      <c r="K1679" t="str">
        <f t="shared" si="80"/>
        <v>No</v>
      </c>
      <c r="L1679" t="s">
        <v>2380</v>
      </c>
    </row>
    <row r="1680" spans="1:12" x14ac:dyDescent="0.35">
      <c r="A1680" t="s">
        <v>692</v>
      </c>
      <c r="B1680" t="str">
        <f t="shared" si="78"/>
        <v>Obesity</v>
      </c>
      <c r="C1680">
        <v>32.799999999999997</v>
      </c>
      <c r="D1680" t="str">
        <f t="shared" si="79"/>
        <v>Prediabetes</v>
      </c>
      <c r="E1680">
        <v>6.16</v>
      </c>
      <c r="F1680" t="s">
        <v>2382</v>
      </c>
      <c r="G1680" t="s">
        <v>2380</v>
      </c>
      <c r="H1680" t="s">
        <v>2383</v>
      </c>
      <c r="J1680">
        <v>1</v>
      </c>
      <c r="K1680" t="str">
        <f t="shared" si="80"/>
        <v>No</v>
      </c>
      <c r="L1680" t="s">
        <v>2380</v>
      </c>
    </row>
    <row r="1681" spans="1:12" x14ac:dyDescent="0.35">
      <c r="A1681" t="s">
        <v>691</v>
      </c>
      <c r="B1681" t="str">
        <f t="shared" si="78"/>
        <v>Obesity</v>
      </c>
      <c r="C1681">
        <v>35.814999999999998</v>
      </c>
      <c r="D1681" t="str">
        <f t="shared" si="79"/>
        <v>Normal</v>
      </c>
      <c r="E1681">
        <v>4.1500000000000004</v>
      </c>
      <c r="F1681" t="s">
        <v>2380</v>
      </c>
      <c r="G1681" t="s">
        <v>2380</v>
      </c>
      <c r="H1681" t="s">
        <v>2380</v>
      </c>
      <c r="J1681">
        <v>1</v>
      </c>
      <c r="K1681" t="str">
        <f t="shared" si="80"/>
        <v>No</v>
      </c>
      <c r="L1681" t="s">
        <v>2380</v>
      </c>
    </row>
    <row r="1682" spans="1:12" x14ac:dyDescent="0.35">
      <c r="A1682" t="s">
        <v>690</v>
      </c>
      <c r="B1682" t="str">
        <f t="shared" si="78"/>
        <v>Normal Weight</v>
      </c>
      <c r="C1682">
        <v>24.3</v>
      </c>
      <c r="D1682" t="str">
        <f t="shared" si="79"/>
        <v>Prediabetes</v>
      </c>
      <c r="E1682">
        <v>6.23</v>
      </c>
      <c r="F1682" t="s">
        <v>2380</v>
      </c>
      <c r="G1682" t="s">
        <v>2380</v>
      </c>
      <c r="H1682" t="s">
        <v>2380</v>
      </c>
      <c r="J1682" t="s">
        <v>2381</v>
      </c>
      <c r="K1682" t="str">
        <f t="shared" si="80"/>
        <v>No</v>
      </c>
      <c r="L1682" t="s">
        <v>2380</v>
      </c>
    </row>
    <row r="1683" spans="1:12" x14ac:dyDescent="0.35">
      <c r="A1683" t="s">
        <v>689</v>
      </c>
      <c r="B1683" t="str">
        <f t="shared" si="78"/>
        <v>Normal Weight</v>
      </c>
      <c r="C1683">
        <v>19.059999999999999</v>
      </c>
      <c r="D1683" t="str">
        <f t="shared" si="79"/>
        <v>Diabetes</v>
      </c>
      <c r="E1683">
        <v>7.41</v>
      </c>
      <c r="F1683" t="s">
        <v>2380</v>
      </c>
      <c r="G1683" t="s">
        <v>2380</v>
      </c>
      <c r="H1683" t="s">
        <v>2380</v>
      </c>
      <c r="J1683" t="s">
        <v>2381</v>
      </c>
      <c r="K1683" t="str">
        <f t="shared" si="80"/>
        <v>No</v>
      </c>
      <c r="L1683" t="s">
        <v>2380</v>
      </c>
    </row>
    <row r="1684" spans="1:12" x14ac:dyDescent="0.35">
      <c r="A1684" t="s">
        <v>688</v>
      </c>
      <c r="B1684" t="str">
        <f t="shared" si="78"/>
        <v>Obesity</v>
      </c>
      <c r="C1684">
        <v>33.25</v>
      </c>
      <c r="D1684" t="str">
        <f t="shared" si="79"/>
        <v>Normal</v>
      </c>
      <c r="E1684">
        <v>5.62</v>
      </c>
      <c r="F1684" t="s">
        <v>2382</v>
      </c>
      <c r="G1684" t="s">
        <v>2380</v>
      </c>
      <c r="H1684" t="s">
        <v>2380</v>
      </c>
      <c r="J1684">
        <v>1</v>
      </c>
      <c r="K1684" t="str">
        <f t="shared" si="80"/>
        <v>No</v>
      </c>
      <c r="L1684" t="s">
        <v>2380</v>
      </c>
    </row>
    <row r="1685" spans="1:12" x14ac:dyDescent="0.35">
      <c r="A1685" t="s">
        <v>687</v>
      </c>
      <c r="B1685" t="str">
        <f t="shared" si="78"/>
        <v>Normal Weight</v>
      </c>
      <c r="C1685">
        <v>21.37</v>
      </c>
      <c r="D1685" t="str">
        <f t="shared" si="79"/>
        <v>Normal</v>
      </c>
      <c r="E1685">
        <v>4.54</v>
      </c>
      <c r="F1685" t="s">
        <v>2382</v>
      </c>
      <c r="G1685" t="s">
        <v>2380</v>
      </c>
      <c r="H1685" t="s">
        <v>2383</v>
      </c>
      <c r="J1685">
        <v>1</v>
      </c>
      <c r="K1685" t="str">
        <f t="shared" si="80"/>
        <v>No</v>
      </c>
      <c r="L1685" t="s">
        <v>2380</v>
      </c>
    </row>
    <row r="1686" spans="1:12" x14ac:dyDescent="0.35">
      <c r="A1686" t="s">
        <v>686</v>
      </c>
      <c r="B1686" t="str">
        <f t="shared" si="78"/>
        <v>Obesity</v>
      </c>
      <c r="C1686">
        <v>34.43</v>
      </c>
      <c r="D1686" t="str">
        <f t="shared" si="79"/>
        <v>Diabetes</v>
      </c>
      <c r="E1686">
        <v>8.6199999999999992</v>
      </c>
      <c r="F1686" t="s">
        <v>2382</v>
      </c>
      <c r="G1686" t="s">
        <v>2380</v>
      </c>
      <c r="H1686" t="s">
        <v>2380</v>
      </c>
      <c r="J1686">
        <v>1</v>
      </c>
      <c r="K1686" t="str">
        <f t="shared" si="80"/>
        <v>No</v>
      </c>
      <c r="L1686" t="s">
        <v>2380</v>
      </c>
    </row>
    <row r="1687" spans="1:12" x14ac:dyDescent="0.35">
      <c r="A1687" t="s">
        <v>685</v>
      </c>
      <c r="B1687" t="str">
        <f t="shared" si="78"/>
        <v>Normal Weight</v>
      </c>
      <c r="C1687">
        <v>20.86</v>
      </c>
      <c r="D1687" t="str">
        <f t="shared" si="79"/>
        <v>Normal</v>
      </c>
      <c r="E1687">
        <v>4.3600000000000003</v>
      </c>
      <c r="F1687" t="s">
        <v>2382</v>
      </c>
      <c r="G1687" t="s">
        <v>2380</v>
      </c>
      <c r="H1687" t="s">
        <v>2380</v>
      </c>
      <c r="J1687" t="s">
        <v>2381</v>
      </c>
      <c r="K1687" t="str">
        <f t="shared" si="80"/>
        <v>No</v>
      </c>
      <c r="L1687" t="s">
        <v>2380</v>
      </c>
    </row>
    <row r="1688" spans="1:12" x14ac:dyDescent="0.35">
      <c r="A1688" t="s">
        <v>684</v>
      </c>
      <c r="B1688" t="str">
        <f t="shared" si="78"/>
        <v>Underweight</v>
      </c>
      <c r="C1688">
        <v>18.34</v>
      </c>
      <c r="D1688" t="str">
        <f t="shared" si="79"/>
        <v>Diabetes</v>
      </c>
      <c r="E1688">
        <v>10.01</v>
      </c>
      <c r="F1688" t="s">
        <v>2380</v>
      </c>
      <c r="G1688" t="s">
        <v>2380</v>
      </c>
      <c r="H1688" t="s">
        <v>2380</v>
      </c>
      <c r="J1688" t="s">
        <v>2381</v>
      </c>
      <c r="K1688" t="str">
        <f t="shared" si="80"/>
        <v>No</v>
      </c>
      <c r="L1688" t="s">
        <v>2380</v>
      </c>
    </row>
    <row r="1689" spans="1:12" x14ac:dyDescent="0.35">
      <c r="A1689" t="s">
        <v>683</v>
      </c>
      <c r="B1689" t="str">
        <f t="shared" si="78"/>
        <v>Obesity</v>
      </c>
      <c r="C1689">
        <v>34.15</v>
      </c>
      <c r="D1689" t="str">
        <f t="shared" si="79"/>
        <v>Normal</v>
      </c>
      <c r="E1689">
        <v>5.42</v>
      </c>
      <c r="F1689" t="s">
        <v>2380</v>
      </c>
      <c r="G1689" t="s">
        <v>2380</v>
      </c>
      <c r="H1689" t="s">
        <v>2380</v>
      </c>
      <c r="J1689" t="s">
        <v>2381</v>
      </c>
      <c r="K1689" t="str">
        <f t="shared" si="80"/>
        <v>No</v>
      </c>
      <c r="L1689" t="s">
        <v>2380</v>
      </c>
    </row>
    <row r="1690" spans="1:12" x14ac:dyDescent="0.35">
      <c r="A1690" t="s">
        <v>682</v>
      </c>
      <c r="B1690" t="str">
        <f t="shared" si="78"/>
        <v>Underweight</v>
      </c>
      <c r="C1690">
        <v>18.350000000000001</v>
      </c>
      <c r="D1690" t="str">
        <f t="shared" si="79"/>
        <v>Normal</v>
      </c>
      <c r="E1690">
        <v>5.12</v>
      </c>
      <c r="F1690" t="s">
        <v>2380</v>
      </c>
      <c r="G1690" t="s">
        <v>2380</v>
      </c>
      <c r="H1690" t="s">
        <v>2380</v>
      </c>
      <c r="J1690" t="s">
        <v>2381</v>
      </c>
      <c r="K1690" t="str">
        <f t="shared" si="80"/>
        <v>No</v>
      </c>
      <c r="L1690" t="s">
        <v>2380</v>
      </c>
    </row>
    <row r="1691" spans="1:12" x14ac:dyDescent="0.35">
      <c r="A1691" t="s">
        <v>681</v>
      </c>
      <c r="B1691" t="str">
        <f t="shared" si="78"/>
        <v>Normal Weight</v>
      </c>
      <c r="C1691">
        <v>22.13</v>
      </c>
      <c r="D1691" t="str">
        <f t="shared" si="79"/>
        <v>Diabetes</v>
      </c>
      <c r="E1691">
        <v>9.1999999999999993</v>
      </c>
      <c r="F1691" t="s">
        <v>2382</v>
      </c>
      <c r="G1691" t="s">
        <v>2380</v>
      </c>
      <c r="H1691" t="s">
        <v>2380</v>
      </c>
      <c r="J1691" t="s">
        <v>2381</v>
      </c>
      <c r="K1691" t="str">
        <f t="shared" si="80"/>
        <v>No</v>
      </c>
      <c r="L1691" t="s">
        <v>2380</v>
      </c>
    </row>
    <row r="1692" spans="1:12" x14ac:dyDescent="0.35">
      <c r="A1692" t="s">
        <v>680</v>
      </c>
      <c r="B1692" t="str">
        <f t="shared" si="78"/>
        <v>Normal Weight</v>
      </c>
      <c r="C1692">
        <v>22.51</v>
      </c>
      <c r="D1692" t="str">
        <f t="shared" si="79"/>
        <v>Prediabetes</v>
      </c>
      <c r="E1692">
        <v>6.08</v>
      </c>
      <c r="F1692" t="s">
        <v>2382</v>
      </c>
      <c r="G1692" t="s">
        <v>2380</v>
      </c>
      <c r="H1692" t="s">
        <v>2380</v>
      </c>
      <c r="J1692">
        <v>1</v>
      </c>
      <c r="K1692" t="str">
        <f t="shared" si="80"/>
        <v>No</v>
      </c>
      <c r="L1692" t="s">
        <v>2380</v>
      </c>
    </row>
    <row r="1693" spans="1:12" x14ac:dyDescent="0.35">
      <c r="A1693" t="s">
        <v>679</v>
      </c>
      <c r="B1693" t="str">
        <f t="shared" si="78"/>
        <v>Obesity</v>
      </c>
      <c r="C1693">
        <v>31</v>
      </c>
      <c r="D1693" t="str">
        <f t="shared" si="79"/>
        <v>Normal</v>
      </c>
      <c r="E1693">
        <v>4.7699999999999996</v>
      </c>
      <c r="F1693" t="s">
        <v>2380</v>
      </c>
      <c r="G1693" t="s">
        <v>2380</v>
      </c>
      <c r="H1693" t="s">
        <v>2380</v>
      </c>
      <c r="J1693">
        <v>1</v>
      </c>
      <c r="K1693" t="str">
        <f t="shared" si="80"/>
        <v>No</v>
      </c>
      <c r="L1693" t="s">
        <v>2380</v>
      </c>
    </row>
    <row r="1694" spans="1:12" x14ac:dyDescent="0.35">
      <c r="A1694" t="s">
        <v>678</v>
      </c>
      <c r="B1694" t="str">
        <f t="shared" si="78"/>
        <v>Overweight</v>
      </c>
      <c r="C1694">
        <v>28.27</v>
      </c>
      <c r="D1694" t="str">
        <f t="shared" si="79"/>
        <v>Normal</v>
      </c>
      <c r="E1694">
        <v>4.62</v>
      </c>
      <c r="F1694" t="s">
        <v>2380</v>
      </c>
      <c r="G1694" t="s">
        <v>2380</v>
      </c>
      <c r="H1694" t="s">
        <v>2380</v>
      </c>
      <c r="J1694">
        <v>1</v>
      </c>
      <c r="K1694" t="str">
        <f t="shared" si="80"/>
        <v>No</v>
      </c>
      <c r="L1694" t="s">
        <v>2380</v>
      </c>
    </row>
    <row r="1695" spans="1:12" x14ac:dyDescent="0.35">
      <c r="A1695" t="s">
        <v>677</v>
      </c>
      <c r="B1695" t="e">
        <f t="shared" si="78"/>
        <v>#N/A</v>
      </c>
      <c r="C1695">
        <v>29.92</v>
      </c>
      <c r="D1695" t="str">
        <f t="shared" si="79"/>
        <v>Diabetes</v>
      </c>
      <c r="E1695">
        <v>9.07</v>
      </c>
      <c r="F1695" t="s">
        <v>2382</v>
      </c>
      <c r="G1695" t="s">
        <v>2380</v>
      </c>
      <c r="H1695" t="s">
        <v>2380</v>
      </c>
      <c r="J1695">
        <v>1</v>
      </c>
      <c r="K1695" t="str">
        <f t="shared" si="80"/>
        <v>No</v>
      </c>
      <c r="L1695" t="s">
        <v>2380</v>
      </c>
    </row>
    <row r="1696" spans="1:12" x14ac:dyDescent="0.35">
      <c r="A1696" t="s">
        <v>676</v>
      </c>
      <c r="B1696" t="str">
        <f t="shared" si="78"/>
        <v>Overweight</v>
      </c>
      <c r="C1696">
        <v>25.9</v>
      </c>
      <c r="D1696" t="str">
        <f t="shared" si="79"/>
        <v>Diabetes</v>
      </c>
      <c r="E1696">
        <v>9.1199999999999992</v>
      </c>
      <c r="F1696" t="s">
        <v>2382</v>
      </c>
      <c r="G1696" t="s">
        <v>2380</v>
      </c>
      <c r="H1696" t="s">
        <v>2380</v>
      </c>
      <c r="J1696">
        <v>1</v>
      </c>
      <c r="K1696" t="str">
        <f t="shared" si="80"/>
        <v>No</v>
      </c>
      <c r="L1696" t="s">
        <v>2380</v>
      </c>
    </row>
    <row r="1697" spans="1:12" x14ac:dyDescent="0.35">
      <c r="A1697" t="s">
        <v>675</v>
      </c>
      <c r="B1697" t="str">
        <f t="shared" si="78"/>
        <v>Overweight</v>
      </c>
      <c r="C1697">
        <v>27.74</v>
      </c>
      <c r="D1697" t="str">
        <f t="shared" si="79"/>
        <v>Diabetes</v>
      </c>
      <c r="E1697">
        <v>7.32</v>
      </c>
      <c r="F1697" t="s">
        <v>2382</v>
      </c>
      <c r="G1697" t="s">
        <v>2380</v>
      </c>
      <c r="H1697" t="s">
        <v>2380</v>
      </c>
      <c r="J1697">
        <v>1</v>
      </c>
      <c r="K1697" t="str">
        <f t="shared" si="80"/>
        <v>No</v>
      </c>
      <c r="L1697" t="s">
        <v>2380</v>
      </c>
    </row>
    <row r="1698" spans="1:12" x14ac:dyDescent="0.35">
      <c r="A1698" t="s">
        <v>674</v>
      </c>
      <c r="B1698" t="str">
        <f t="shared" si="78"/>
        <v>Underweight</v>
      </c>
      <c r="C1698">
        <v>17.260000000000002</v>
      </c>
      <c r="D1698" t="str">
        <f t="shared" si="79"/>
        <v>Diabetes</v>
      </c>
      <c r="E1698">
        <v>11.73</v>
      </c>
      <c r="F1698" t="s">
        <v>2380</v>
      </c>
      <c r="G1698" t="s">
        <v>2380</v>
      </c>
      <c r="H1698" t="s">
        <v>2380</v>
      </c>
      <c r="J1698">
        <v>2</v>
      </c>
      <c r="K1698" t="str">
        <f t="shared" si="80"/>
        <v>No</v>
      </c>
      <c r="L1698" t="s">
        <v>2380</v>
      </c>
    </row>
    <row r="1699" spans="1:12" x14ac:dyDescent="0.35">
      <c r="A1699" t="s">
        <v>673</v>
      </c>
      <c r="B1699" t="str">
        <f t="shared" si="78"/>
        <v>Normal Weight</v>
      </c>
      <c r="C1699">
        <v>19.855</v>
      </c>
      <c r="D1699" t="str">
        <f t="shared" si="79"/>
        <v>Diabetes</v>
      </c>
      <c r="E1699">
        <v>6.64</v>
      </c>
      <c r="F1699" t="s">
        <v>2382</v>
      </c>
      <c r="G1699" t="s">
        <v>2380</v>
      </c>
      <c r="H1699" t="s">
        <v>2380</v>
      </c>
      <c r="J1699">
        <v>1</v>
      </c>
      <c r="K1699" t="str">
        <f t="shared" si="80"/>
        <v>No</v>
      </c>
      <c r="L1699" t="s">
        <v>2380</v>
      </c>
    </row>
    <row r="1700" spans="1:12" x14ac:dyDescent="0.35">
      <c r="A1700" t="s">
        <v>672</v>
      </c>
      <c r="B1700" t="str">
        <f t="shared" si="78"/>
        <v>Obesity</v>
      </c>
      <c r="C1700">
        <v>41.69</v>
      </c>
      <c r="D1700" t="str">
        <f t="shared" si="79"/>
        <v>Prediabetes</v>
      </c>
      <c r="E1700">
        <v>5.78</v>
      </c>
      <c r="F1700" t="s">
        <v>2380</v>
      </c>
      <c r="G1700" t="s">
        <v>2380</v>
      </c>
      <c r="H1700" t="s">
        <v>2380</v>
      </c>
      <c r="J1700" t="s">
        <v>2381</v>
      </c>
      <c r="K1700" t="str">
        <f t="shared" si="80"/>
        <v>No</v>
      </c>
      <c r="L1700" t="s">
        <v>2380</v>
      </c>
    </row>
    <row r="1701" spans="1:12" x14ac:dyDescent="0.35">
      <c r="A1701" t="s">
        <v>671</v>
      </c>
      <c r="B1701" t="str">
        <f t="shared" si="78"/>
        <v>Underweight</v>
      </c>
      <c r="C1701">
        <v>16.12</v>
      </c>
      <c r="D1701" t="str">
        <f t="shared" si="79"/>
        <v>Diabetes</v>
      </c>
      <c r="E1701">
        <v>10.45</v>
      </c>
      <c r="F1701" t="s">
        <v>2380</v>
      </c>
      <c r="G1701" t="s">
        <v>2380</v>
      </c>
      <c r="H1701" t="s">
        <v>2380</v>
      </c>
      <c r="J1701" t="s">
        <v>2381</v>
      </c>
      <c r="K1701" t="str">
        <f t="shared" si="80"/>
        <v>No</v>
      </c>
      <c r="L1701" t="s">
        <v>2380</v>
      </c>
    </row>
    <row r="1702" spans="1:12" x14ac:dyDescent="0.35">
      <c r="A1702" t="s">
        <v>670</v>
      </c>
      <c r="B1702" t="str">
        <f t="shared" si="78"/>
        <v>Obesity</v>
      </c>
      <c r="C1702">
        <v>37.43</v>
      </c>
      <c r="D1702" t="str">
        <f t="shared" si="79"/>
        <v>Normal</v>
      </c>
      <c r="E1702">
        <v>4.5199999999999996</v>
      </c>
      <c r="F1702" t="s">
        <v>2380</v>
      </c>
      <c r="G1702" t="s">
        <v>2380</v>
      </c>
      <c r="H1702" t="s">
        <v>2380</v>
      </c>
      <c r="J1702">
        <v>1</v>
      </c>
      <c r="K1702" t="str">
        <f t="shared" si="80"/>
        <v>No</v>
      </c>
      <c r="L1702" t="s">
        <v>2380</v>
      </c>
    </row>
    <row r="1703" spans="1:12" x14ac:dyDescent="0.35">
      <c r="A1703" t="s">
        <v>669</v>
      </c>
      <c r="B1703" t="str">
        <f t="shared" si="78"/>
        <v>Obesity</v>
      </c>
      <c r="C1703">
        <v>31.065000000000001</v>
      </c>
      <c r="D1703" t="str">
        <f t="shared" si="79"/>
        <v>Prediabetes</v>
      </c>
      <c r="E1703">
        <v>5.71</v>
      </c>
      <c r="F1703" t="s">
        <v>2380</v>
      </c>
      <c r="G1703" t="s">
        <v>2380</v>
      </c>
      <c r="H1703" t="s">
        <v>2380</v>
      </c>
      <c r="J1703" t="s">
        <v>2381</v>
      </c>
      <c r="K1703" t="str">
        <f t="shared" si="80"/>
        <v>No</v>
      </c>
      <c r="L1703" t="s">
        <v>2380</v>
      </c>
    </row>
    <row r="1704" spans="1:12" x14ac:dyDescent="0.35">
      <c r="A1704" t="s">
        <v>668</v>
      </c>
      <c r="B1704" t="str">
        <f t="shared" si="78"/>
        <v>Overweight</v>
      </c>
      <c r="C1704">
        <v>25.08</v>
      </c>
      <c r="D1704" t="str">
        <f t="shared" si="79"/>
        <v>Normal</v>
      </c>
      <c r="E1704">
        <v>4.7699999999999996</v>
      </c>
      <c r="F1704" t="s">
        <v>2380</v>
      </c>
      <c r="G1704" t="s">
        <v>2380</v>
      </c>
      <c r="H1704" t="s">
        <v>2380</v>
      </c>
      <c r="J1704" t="s">
        <v>2381</v>
      </c>
      <c r="K1704" t="str">
        <f t="shared" si="80"/>
        <v>No</v>
      </c>
      <c r="L1704" t="s">
        <v>2380</v>
      </c>
    </row>
    <row r="1705" spans="1:12" x14ac:dyDescent="0.35">
      <c r="A1705" t="s">
        <v>667</v>
      </c>
      <c r="B1705" t="str">
        <f t="shared" si="78"/>
        <v>Underweight</v>
      </c>
      <c r="C1705">
        <v>15.2</v>
      </c>
      <c r="D1705" t="str">
        <f t="shared" si="79"/>
        <v>Diabetes</v>
      </c>
      <c r="E1705">
        <v>7.81</v>
      </c>
      <c r="F1705" t="s">
        <v>2382</v>
      </c>
      <c r="G1705" t="s">
        <v>2380</v>
      </c>
      <c r="H1705" t="s">
        <v>2380</v>
      </c>
      <c r="J1705">
        <v>1</v>
      </c>
      <c r="K1705" t="str">
        <f t="shared" si="80"/>
        <v>No</v>
      </c>
      <c r="L1705" t="s">
        <v>2380</v>
      </c>
    </row>
    <row r="1706" spans="1:12" x14ac:dyDescent="0.35">
      <c r="A1706" t="s">
        <v>666</v>
      </c>
      <c r="B1706" t="str">
        <f t="shared" si="78"/>
        <v>Normal Weight</v>
      </c>
      <c r="C1706">
        <v>22.34</v>
      </c>
      <c r="D1706" t="str">
        <f t="shared" si="79"/>
        <v>Normal</v>
      </c>
      <c r="E1706">
        <v>5.19</v>
      </c>
      <c r="F1706" t="s">
        <v>2382</v>
      </c>
      <c r="G1706" t="s">
        <v>2380</v>
      </c>
      <c r="H1706" t="s">
        <v>2380</v>
      </c>
      <c r="J1706" t="s">
        <v>2381</v>
      </c>
      <c r="K1706" t="str">
        <f t="shared" si="80"/>
        <v>No</v>
      </c>
      <c r="L1706" t="s">
        <v>2380</v>
      </c>
    </row>
    <row r="1707" spans="1:12" x14ac:dyDescent="0.35">
      <c r="A1707" t="s">
        <v>665</v>
      </c>
      <c r="B1707" t="str">
        <f t="shared" si="78"/>
        <v>Obesity</v>
      </c>
      <c r="C1707">
        <v>40.15</v>
      </c>
      <c r="D1707" t="str">
        <f t="shared" si="79"/>
        <v>Prediabetes</v>
      </c>
      <c r="E1707">
        <v>5.93</v>
      </c>
      <c r="F1707" t="s">
        <v>2380</v>
      </c>
      <c r="G1707" t="s">
        <v>2380</v>
      </c>
      <c r="H1707" t="s">
        <v>2380</v>
      </c>
      <c r="J1707">
        <v>1</v>
      </c>
      <c r="K1707" t="str">
        <f t="shared" si="80"/>
        <v>No</v>
      </c>
      <c r="L1707" t="s">
        <v>2380</v>
      </c>
    </row>
    <row r="1708" spans="1:12" x14ac:dyDescent="0.35">
      <c r="A1708" t="s">
        <v>664</v>
      </c>
      <c r="B1708" t="str">
        <f t="shared" si="78"/>
        <v>Obesity</v>
      </c>
      <c r="C1708">
        <v>37.729999999999997</v>
      </c>
      <c r="D1708" t="str">
        <f t="shared" si="79"/>
        <v>Prediabetes</v>
      </c>
      <c r="E1708">
        <v>6.29</v>
      </c>
      <c r="F1708" t="s">
        <v>2380</v>
      </c>
      <c r="G1708" t="s">
        <v>2380</v>
      </c>
      <c r="H1708" t="s">
        <v>2380</v>
      </c>
      <c r="J1708">
        <v>1</v>
      </c>
      <c r="K1708" t="str">
        <f t="shared" si="80"/>
        <v>No</v>
      </c>
      <c r="L1708" t="s">
        <v>2380</v>
      </c>
    </row>
    <row r="1709" spans="1:12" x14ac:dyDescent="0.35">
      <c r="A1709" t="s">
        <v>663</v>
      </c>
      <c r="B1709" t="str">
        <f t="shared" si="78"/>
        <v>Overweight</v>
      </c>
      <c r="C1709">
        <v>25.35</v>
      </c>
      <c r="D1709" t="str">
        <f t="shared" si="79"/>
        <v>Normal</v>
      </c>
      <c r="E1709">
        <v>4.9000000000000004</v>
      </c>
      <c r="F1709" t="s">
        <v>2380</v>
      </c>
      <c r="G1709" t="s">
        <v>2380</v>
      </c>
      <c r="H1709" t="s">
        <v>2380</v>
      </c>
      <c r="J1709" t="s">
        <v>2381</v>
      </c>
      <c r="K1709" t="str">
        <f t="shared" si="80"/>
        <v>No</v>
      </c>
      <c r="L1709" t="s">
        <v>2380</v>
      </c>
    </row>
    <row r="1710" spans="1:12" x14ac:dyDescent="0.35">
      <c r="A1710" t="s">
        <v>662</v>
      </c>
      <c r="B1710" t="str">
        <f t="shared" si="78"/>
        <v>Overweight</v>
      </c>
      <c r="C1710">
        <v>26.41</v>
      </c>
      <c r="D1710" t="str">
        <f t="shared" si="79"/>
        <v>Normal</v>
      </c>
      <c r="E1710">
        <v>5.07</v>
      </c>
      <c r="F1710" t="s">
        <v>2382</v>
      </c>
      <c r="G1710" t="s">
        <v>2380</v>
      </c>
      <c r="H1710" t="s">
        <v>2380</v>
      </c>
      <c r="J1710">
        <v>1</v>
      </c>
      <c r="K1710" t="str">
        <f t="shared" si="80"/>
        <v>No</v>
      </c>
      <c r="L1710" t="s">
        <v>2380</v>
      </c>
    </row>
    <row r="1711" spans="1:12" x14ac:dyDescent="0.35">
      <c r="A1711" t="s">
        <v>661</v>
      </c>
      <c r="B1711" t="str">
        <f t="shared" si="78"/>
        <v>Overweight</v>
      </c>
      <c r="C1711">
        <v>27.6</v>
      </c>
      <c r="D1711" t="str">
        <f t="shared" si="79"/>
        <v>Normal</v>
      </c>
      <c r="E1711">
        <v>5.33</v>
      </c>
      <c r="F1711" t="s">
        <v>2380</v>
      </c>
      <c r="G1711" t="s">
        <v>2380</v>
      </c>
      <c r="H1711" t="s">
        <v>2380</v>
      </c>
      <c r="J1711">
        <v>1</v>
      </c>
      <c r="K1711" t="str">
        <f t="shared" si="80"/>
        <v>No</v>
      </c>
      <c r="L1711" t="s">
        <v>2380</v>
      </c>
    </row>
    <row r="1712" spans="1:12" x14ac:dyDescent="0.35">
      <c r="A1712" t="s">
        <v>660</v>
      </c>
      <c r="B1712" t="str">
        <f t="shared" si="78"/>
        <v>Obesity</v>
      </c>
      <c r="C1712">
        <v>33.82</v>
      </c>
      <c r="D1712" t="str">
        <f t="shared" si="79"/>
        <v>Diabetes</v>
      </c>
      <c r="E1712">
        <v>8.93</v>
      </c>
      <c r="F1712" t="s">
        <v>2382</v>
      </c>
      <c r="G1712" t="s">
        <v>2380</v>
      </c>
      <c r="H1712" t="s">
        <v>2380</v>
      </c>
      <c r="J1712">
        <v>1</v>
      </c>
      <c r="K1712" t="str">
        <f t="shared" si="80"/>
        <v>No</v>
      </c>
      <c r="L1712" t="s">
        <v>2380</v>
      </c>
    </row>
    <row r="1713" spans="1:12" x14ac:dyDescent="0.35">
      <c r="A1713" t="s">
        <v>659</v>
      </c>
      <c r="B1713" t="str">
        <f t="shared" si="78"/>
        <v>Obesity</v>
      </c>
      <c r="C1713">
        <v>32.9</v>
      </c>
      <c r="D1713" t="str">
        <f t="shared" si="79"/>
        <v>Normal</v>
      </c>
      <c r="E1713">
        <v>4.3499999999999996</v>
      </c>
      <c r="F1713" t="s">
        <v>2380</v>
      </c>
      <c r="G1713" t="s">
        <v>2380</v>
      </c>
      <c r="H1713" t="s">
        <v>2380</v>
      </c>
      <c r="J1713" t="s">
        <v>2381</v>
      </c>
      <c r="K1713" t="str">
        <f t="shared" si="80"/>
        <v>No</v>
      </c>
      <c r="L1713" t="s">
        <v>2380</v>
      </c>
    </row>
    <row r="1714" spans="1:12" x14ac:dyDescent="0.35">
      <c r="A1714" t="s">
        <v>658</v>
      </c>
      <c r="B1714" t="str">
        <f t="shared" si="78"/>
        <v>Obesity</v>
      </c>
      <c r="C1714">
        <v>30.875</v>
      </c>
      <c r="D1714" t="str">
        <f t="shared" si="79"/>
        <v>Diabetes</v>
      </c>
      <c r="E1714">
        <v>9.5399999999999991</v>
      </c>
      <c r="F1714" t="s">
        <v>2382</v>
      </c>
      <c r="G1714" t="s">
        <v>2380</v>
      </c>
      <c r="H1714" t="s">
        <v>2380</v>
      </c>
      <c r="J1714">
        <v>1</v>
      </c>
      <c r="K1714" t="str">
        <f t="shared" si="80"/>
        <v>No</v>
      </c>
      <c r="L1714" t="s">
        <v>2380</v>
      </c>
    </row>
    <row r="1715" spans="1:12" x14ac:dyDescent="0.35">
      <c r="A1715" t="s">
        <v>657</v>
      </c>
      <c r="B1715" t="str">
        <f t="shared" si="78"/>
        <v>Obesity</v>
      </c>
      <c r="C1715">
        <v>32.64</v>
      </c>
      <c r="D1715" t="str">
        <f t="shared" si="79"/>
        <v>Prediabetes</v>
      </c>
      <c r="E1715">
        <v>5.91</v>
      </c>
      <c r="F1715" t="s">
        <v>2380</v>
      </c>
      <c r="G1715" t="s">
        <v>2380</v>
      </c>
      <c r="H1715" t="s">
        <v>2380</v>
      </c>
      <c r="J1715" t="s">
        <v>2381</v>
      </c>
      <c r="K1715" t="str">
        <f t="shared" si="80"/>
        <v>No</v>
      </c>
      <c r="L1715" t="s">
        <v>2380</v>
      </c>
    </row>
    <row r="1716" spans="1:12" x14ac:dyDescent="0.35">
      <c r="A1716" t="s">
        <v>656</v>
      </c>
      <c r="B1716" t="str">
        <f t="shared" si="78"/>
        <v>Normal Weight</v>
      </c>
      <c r="C1716">
        <v>22.135000000000002</v>
      </c>
      <c r="D1716" t="str">
        <f t="shared" si="79"/>
        <v>Normal</v>
      </c>
      <c r="E1716">
        <v>5.0999999999999996</v>
      </c>
      <c r="F1716" t="s">
        <v>2380</v>
      </c>
      <c r="G1716" t="s">
        <v>2380</v>
      </c>
      <c r="H1716" t="s">
        <v>2380</v>
      </c>
      <c r="J1716" t="s">
        <v>2381</v>
      </c>
      <c r="K1716" t="str">
        <f t="shared" si="80"/>
        <v>No</v>
      </c>
      <c r="L1716" t="s">
        <v>2380</v>
      </c>
    </row>
    <row r="1717" spans="1:12" x14ac:dyDescent="0.35">
      <c r="A1717" t="s">
        <v>655</v>
      </c>
      <c r="B1717" t="str">
        <f t="shared" si="78"/>
        <v>Underweight</v>
      </c>
      <c r="C1717">
        <v>16.53</v>
      </c>
      <c r="D1717" t="str">
        <f t="shared" si="79"/>
        <v>Normal</v>
      </c>
      <c r="E1717">
        <v>5.08</v>
      </c>
      <c r="F1717" t="s">
        <v>2380</v>
      </c>
      <c r="G1717" t="s">
        <v>2380</v>
      </c>
      <c r="H1717" t="s">
        <v>2380</v>
      </c>
      <c r="J1717">
        <v>2</v>
      </c>
      <c r="K1717" t="str">
        <f t="shared" si="80"/>
        <v>No</v>
      </c>
      <c r="L1717" t="s">
        <v>2380</v>
      </c>
    </row>
    <row r="1718" spans="1:12" x14ac:dyDescent="0.35">
      <c r="A1718" t="s">
        <v>654</v>
      </c>
      <c r="B1718" t="str">
        <f t="shared" si="78"/>
        <v>Obesity</v>
      </c>
      <c r="C1718">
        <v>32.774999999999999</v>
      </c>
      <c r="D1718" t="str">
        <f t="shared" si="79"/>
        <v>Normal</v>
      </c>
      <c r="E1718">
        <v>4.75</v>
      </c>
      <c r="F1718" t="s">
        <v>2380</v>
      </c>
      <c r="G1718" t="s">
        <v>2380</v>
      </c>
      <c r="H1718" t="s">
        <v>2380</v>
      </c>
      <c r="J1718" t="s">
        <v>2381</v>
      </c>
      <c r="K1718" t="str">
        <f t="shared" si="80"/>
        <v>No</v>
      </c>
      <c r="L1718" t="s">
        <v>2380</v>
      </c>
    </row>
    <row r="1719" spans="1:12" x14ac:dyDescent="0.35">
      <c r="A1719" t="s">
        <v>653</v>
      </c>
      <c r="B1719" t="str">
        <f t="shared" si="78"/>
        <v>Obesity</v>
      </c>
      <c r="C1719">
        <v>30.9</v>
      </c>
      <c r="D1719" t="str">
        <f t="shared" si="79"/>
        <v>Prediabetes</v>
      </c>
      <c r="E1719">
        <v>6.05</v>
      </c>
      <c r="F1719" t="s">
        <v>2380</v>
      </c>
      <c r="G1719" t="s">
        <v>2380</v>
      </c>
      <c r="H1719" t="s">
        <v>2380</v>
      </c>
      <c r="J1719">
        <v>1</v>
      </c>
      <c r="K1719" t="str">
        <f t="shared" si="80"/>
        <v>No</v>
      </c>
      <c r="L1719" t="s">
        <v>2380</v>
      </c>
    </row>
    <row r="1720" spans="1:12" x14ac:dyDescent="0.35">
      <c r="A1720" t="s">
        <v>652</v>
      </c>
      <c r="B1720" t="str">
        <f t="shared" si="78"/>
        <v>Underweight</v>
      </c>
      <c r="C1720">
        <v>15.58</v>
      </c>
      <c r="D1720" t="str">
        <f t="shared" si="79"/>
        <v>Diabetes</v>
      </c>
      <c r="E1720">
        <v>11.56</v>
      </c>
      <c r="F1720" t="s">
        <v>2380</v>
      </c>
      <c r="G1720" t="s">
        <v>2380</v>
      </c>
      <c r="H1720" t="s">
        <v>2380</v>
      </c>
      <c r="J1720" t="s">
        <v>2381</v>
      </c>
      <c r="K1720" t="str">
        <f t="shared" si="80"/>
        <v>No</v>
      </c>
      <c r="L1720" t="s">
        <v>2380</v>
      </c>
    </row>
    <row r="1721" spans="1:12" x14ac:dyDescent="0.35">
      <c r="A1721" t="s">
        <v>651</v>
      </c>
      <c r="B1721" t="str">
        <f t="shared" si="78"/>
        <v>Overweight</v>
      </c>
      <c r="C1721">
        <v>26.315000000000001</v>
      </c>
      <c r="D1721" t="str">
        <f t="shared" si="79"/>
        <v>Prediabetes</v>
      </c>
      <c r="E1721">
        <v>5.76</v>
      </c>
      <c r="F1721" t="s">
        <v>2380</v>
      </c>
      <c r="G1721" t="s">
        <v>2380</v>
      </c>
      <c r="H1721" t="s">
        <v>2380</v>
      </c>
      <c r="J1721" t="s">
        <v>2381</v>
      </c>
      <c r="K1721" t="str">
        <f t="shared" si="80"/>
        <v>No</v>
      </c>
      <c r="L1721" t="s">
        <v>2380</v>
      </c>
    </row>
    <row r="1722" spans="1:12" x14ac:dyDescent="0.35">
      <c r="A1722" t="s">
        <v>650</v>
      </c>
      <c r="B1722" t="str">
        <f t="shared" si="78"/>
        <v>Obesity</v>
      </c>
      <c r="C1722">
        <v>35.61</v>
      </c>
      <c r="D1722" t="str">
        <f t="shared" si="79"/>
        <v>Normal</v>
      </c>
      <c r="E1722">
        <v>5.65</v>
      </c>
      <c r="F1722" t="s">
        <v>2380</v>
      </c>
      <c r="G1722" t="s">
        <v>2382</v>
      </c>
      <c r="H1722" t="s">
        <v>2380</v>
      </c>
      <c r="J1722">
        <v>1</v>
      </c>
      <c r="K1722" t="str">
        <f t="shared" si="80"/>
        <v>No</v>
      </c>
      <c r="L1722" t="s">
        <v>2380</v>
      </c>
    </row>
    <row r="1723" spans="1:12" x14ac:dyDescent="0.35">
      <c r="A1723" t="s">
        <v>649</v>
      </c>
      <c r="B1723" t="str">
        <f t="shared" si="78"/>
        <v>Obesity</v>
      </c>
      <c r="C1723">
        <v>37.56</v>
      </c>
      <c r="D1723" t="str">
        <f t="shared" si="79"/>
        <v>Prediabetes</v>
      </c>
      <c r="E1723">
        <v>5.88</v>
      </c>
      <c r="F1723" t="s">
        <v>2380</v>
      </c>
      <c r="G1723" t="s">
        <v>2382</v>
      </c>
      <c r="H1723" t="s">
        <v>2380</v>
      </c>
      <c r="J1723">
        <v>1</v>
      </c>
      <c r="K1723" t="str">
        <f t="shared" si="80"/>
        <v>No</v>
      </c>
      <c r="L1723" t="s">
        <v>2380</v>
      </c>
    </row>
    <row r="1724" spans="1:12" x14ac:dyDescent="0.35">
      <c r="A1724" t="s">
        <v>648</v>
      </c>
      <c r="B1724" t="str">
        <f t="shared" si="78"/>
        <v>Underweight</v>
      </c>
      <c r="C1724">
        <v>15.49</v>
      </c>
      <c r="D1724" t="str">
        <f t="shared" si="79"/>
        <v>Diabetes</v>
      </c>
      <c r="E1724">
        <v>9.6</v>
      </c>
      <c r="F1724" t="s">
        <v>2380</v>
      </c>
      <c r="G1724" t="s">
        <v>2380</v>
      </c>
      <c r="H1724" t="s">
        <v>2380</v>
      </c>
      <c r="J1724" t="s">
        <v>2381</v>
      </c>
      <c r="K1724" t="str">
        <f t="shared" si="80"/>
        <v>No</v>
      </c>
      <c r="L1724" t="s">
        <v>2380</v>
      </c>
    </row>
    <row r="1725" spans="1:12" x14ac:dyDescent="0.35">
      <c r="A1725" t="s">
        <v>647</v>
      </c>
      <c r="B1725" t="str">
        <f t="shared" si="78"/>
        <v>Normal Weight</v>
      </c>
      <c r="C1725">
        <v>23.48</v>
      </c>
      <c r="D1725" t="str">
        <f t="shared" si="79"/>
        <v>Prediabetes</v>
      </c>
      <c r="E1725">
        <v>6.24</v>
      </c>
      <c r="F1725" t="s">
        <v>2380</v>
      </c>
      <c r="G1725" t="s">
        <v>2380</v>
      </c>
      <c r="H1725" t="s">
        <v>2380</v>
      </c>
      <c r="J1725">
        <v>1</v>
      </c>
      <c r="K1725" t="str">
        <f t="shared" si="80"/>
        <v>No</v>
      </c>
      <c r="L1725" t="s">
        <v>2380</v>
      </c>
    </row>
    <row r="1726" spans="1:12" x14ac:dyDescent="0.35">
      <c r="A1726" t="s">
        <v>646</v>
      </c>
      <c r="B1726" t="str">
        <f t="shared" si="78"/>
        <v>Obesity</v>
      </c>
      <c r="C1726">
        <v>30.02</v>
      </c>
      <c r="D1726" t="str">
        <f t="shared" si="79"/>
        <v>Diabetes</v>
      </c>
      <c r="E1726">
        <v>7.63</v>
      </c>
      <c r="F1726" t="s">
        <v>2382</v>
      </c>
      <c r="G1726" t="s">
        <v>2380</v>
      </c>
      <c r="H1726" t="s">
        <v>2380</v>
      </c>
      <c r="J1726">
        <v>1</v>
      </c>
      <c r="K1726" t="str">
        <f t="shared" si="80"/>
        <v>No</v>
      </c>
      <c r="L1726" t="s">
        <v>2380</v>
      </c>
    </row>
    <row r="1727" spans="1:12" x14ac:dyDescent="0.35">
      <c r="A1727" t="s">
        <v>645</v>
      </c>
      <c r="B1727" t="str">
        <f t="shared" si="78"/>
        <v>Overweight</v>
      </c>
      <c r="C1727">
        <v>26.885000000000002</v>
      </c>
      <c r="D1727" t="str">
        <f t="shared" si="79"/>
        <v>Diabetes</v>
      </c>
      <c r="E1727">
        <v>8.66</v>
      </c>
      <c r="F1727" t="s">
        <v>2382</v>
      </c>
      <c r="G1727" t="s">
        <v>2380</v>
      </c>
      <c r="H1727" t="s">
        <v>2380</v>
      </c>
      <c r="J1727">
        <v>1</v>
      </c>
      <c r="K1727" t="str">
        <f t="shared" si="80"/>
        <v>No</v>
      </c>
      <c r="L1727" t="s">
        <v>2380</v>
      </c>
    </row>
    <row r="1728" spans="1:12" x14ac:dyDescent="0.35">
      <c r="A1728" t="s">
        <v>644</v>
      </c>
      <c r="B1728" t="str">
        <f t="shared" si="78"/>
        <v>Overweight</v>
      </c>
      <c r="C1728">
        <v>25.84</v>
      </c>
      <c r="D1728" t="str">
        <f t="shared" si="79"/>
        <v>Diabetes</v>
      </c>
      <c r="E1728">
        <v>8.5500000000000007</v>
      </c>
      <c r="F1728" t="s">
        <v>2382</v>
      </c>
      <c r="G1728" t="s">
        <v>2380</v>
      </c>
      <c r="H1728" t="s">
        <v>2380</v>
      </c>
      <c r="J1728">
        <v>1</v>
      </c>
      <c r="K1728" t="str">
        <f t="shared" si="80"/>
        <v>No</v>
      </c>
      <c r="L1728" t="s">
        <v>2380</v>
      </c>
    </row>
    <row r="1729" spans="1:12" x14ac:dyDescent="0.35">
      <c r="A1729" t="s">
        <v>643</v>
      </c>
      <c r="B1729" t="str">
        <f t="shared" si="78"/>
        <v>Overweight</v>
      </c>
      <c r="C1729">
        <v>27.454999999999998</v>
      </c>
      <c r="D1729" t="str">
        <f t="shared" si="79"/>
        <v>Normal</v>
      </c>
      <c r="E1729">
        <v>4.54</v>
      </c>
      <c r="F1729" t="s">
        <v>2380</v>
      </c>
      <c r="G1729" t="s">
        <v>2380</v>
      </c>
      <c r="H1729" t="s">
        <v>2380</v>
      </c>
      <c r="J1729" t="s">
        <v>2381</v>
      </c>
      <c r="K1729" t="str">
        <f t="shared" si="80"/>
        <v>No</v>
      </c>
      <c r="L1729" t="s">
        <v>2380</v>
      </c>
    </row>
    <row r="1730" spans="1:12" x14ac:dyDescent="0.35">
      <c r="A1730" t="s">
        <v>642</v>
      </c>
      <c r="B1730" t="str">
        <f t="shared" si="78"/>
        <v>Normal Weight</v>
      </c>
      <c r="C1730">
        <v>24.605</v>
      </c>
      <c r="D1730" t="str">
        <f t="shared" si="79"/>
        <v>Prediabetes</v>
      </c>
      <c r="E1730">
        <v>5.7</v>
      </c>
      <c r="F1730" t="s">
        <v>2380</v>
      </c>
      <c r="G1730" t="s">
        <v>2380</v>
      </c>
      <c r="H1730" t="s">
        <v>2380</v>
      </c>
      <c r="J1730" t="s">
        <v>2381</v>
      </c>
      <c r="K1730" t="str">
        <f t="shared" si="80"/>
        <v>No</v>
      </c>
      <c r="L1730" t="s">
        <v>2380</v>
      </c>
    </row>
    <row r="1731" spans="1:12" x14ac:dyDescent="0.35">
      <c r="A1731" t="s">
        <v>641</v>
      </c>
      <c r="B1731" t="str">
        <f t="shared" ref="B1731:B1794" si="81">_xlfn.IFS(C1731&lt;18.5, "Underweight", C1731&lt;=24.9, "Normal Weight", C1731&lt;=29.9, "Overweight", C1731&gt;=30, "Obesity")</f>
        <v>Obesity</v>
      </c>
      <c r="C1731">
        <v>30.8</v>
      </c>
      <c r="D1731" t="str">
        <f t="shared" ref="D1731:D1794" si="82">_xlfn.IFS(E1731&lt;5.7, "Normal", E1731&lt;=6.4, "Prediabetes", E1731&gt;=6.5, "Diabetes")</f>
        <v>Normal</v>
      </c>
      <c r="E1731">
        <v>5.07</v>
      </c>
      <c r="F1731" t="s">
        <v>2380</v>
      </c>
      <c r="G1731" t="s">
        <v>2380</v>
      </c>
      <c r="H1731" t="s">
        <v>2380</v>
      </c>
      <c r="J1731" t="s">
        <v>2381</v>
      </c>
      <c r="K1731" t="str">
        <f t="shared" si="80"/>
        <v>No</v>
      </c>
      <c r="L1731" t="s">
        <v>2380</v>
      </c>
    </row>
    <row r="1732" spans="1:12" x14ac:dyDescent="0.35">
      <c r="A1732" t="s">
        <v>640</v>
      </c>
      <c r="B1732" t="str">
        <f t="shared" si="81"/>
        <v>Obesity</v>
      </c>
      <c r="C1732">
        <v>34.799999999999997</v>
      </c>
      <c r="D1732" t="str">
        <f t="shared" si="82"/>
        <v>Normal</v>
      </c>
      <c r="E1732">
        <v>4.38</v>
      </c>
      <c r="F1732" t="s">
        <v>2380</v>
      </c>
      <c r="G1732" t="s">
        <v>2380</v>
      </c>
      <c r="H1732" t="s">
        <v>2380</v>
      </c>
      <c r="J1732">
        <v>1</v>
      </c>
      <c r="K1732" t="str">
        <f t="shared" ref="K1732:K1795" si="83">IF(OR(L1732="?", ISBLANK(L1732)), "No", L1732)</f>
        <v>No</v>
      </c>
      <c r="L1732" t="s">
        <v>2380</v>
      </c>
    </row>
    <row r="1733" spans="1:12" x14ac:dyDescent="0.35">
      <c r="A1733" t="s">
        <v>639</v>
      </c>
      <c r="B1733" t="str">
        <f t="shared" si="81"/>
        <v>Obesity</v>
      </c>
      <c r="C1733">
        <v>34.21</v>
      </c>
      <c r="D1733" t="str">
        <f t="shared" si="82"/>
        <v>Normal</v>
      </c>
      <c r="E1733">
        <v>4.54</v>
      </c>
      <c r="F1733" t="s">
        <v>2380</v>
      </c>
      <c r="G1733" t="s">
        <v>2380</v>
      </c>
      <c r="H1733" t="s">
        <v>2380</v>
      </c>
      <c r="J1733">
        <v>1</v>
      </c>
      <c r="K1733" t="str">
        <f t="shared" si="83"/>
        <v>No</v>
      </c>
      <c r="L1733" t="s">
        <v>2380</v>
      </c>
    </row>
    <row r="1734" spans="1:12" x14ac:dyDescent="0.35">
      <c r="A1734" t="s">
        <v>638</v>
      </c>
      <c r="B1734" t="str">
        <f t="shared" si="81"/>
        <v>Obesity</v>
      </c>
      <c r="C1734">
        <v>31</v>
      </c>
      <c r="D1734" t="str">
        <f t="shared" si="82"/>
        <v>Normal</v>
      </c>
      <c r="E1734">
        <v>5.38</v>
      </c>
      <c r="F1734" t="s">
        <v>2380</v>
      </c>
      <c r="G1734" t="s">
        <v>2380</v>
      </c>
      <c r="H1734" t="s">
        <v>2380</v>
      </c>
      <c r="J1734">
        <v>1</v>
      </c>
      <c r="K1734" t="str">
        <f t="shared" si="83"/>
        <v>No</v>
      </c>
      <c r="L1734" t="s">
        <v>2380</v>
      </c>
    </row>
    <row r="1735" spans="1:12" x14ac:dyDescent="0.35">
      <c r="A1735" t="s">
        <v>637</v>
      </c>
      <c r="B1735" t="str">
        <f t="shared" si="81"/>
        <v>Overweight</v>
      </c>
      <c r="C1735">
        <v>26.125</v>
      </c>
      <c r="D1735" t="str">
        <f t="shared" si="82"/>
        <v>Normal</v>
      </c>
      <c r="E1735">
        <v>5.55</v>
      </c>
      <c r="F1735" t="s">
        <v>2380</v>
      </c>
      <c r="G1735" t="s">
        <v>2380</v>
      </c>
      <c r="H1735" t="s">
        <v>2380</v>
      </c>
      <c r="J1735">
        <v>1</v>
      </c>
      <c r="K1735" t="str">
        <f t="shared" si="83"/>
        <v>No</v>
      </c>
      <c r="L1735" t="s">
        <v>2380</v>
      </c>
    </row>
    <row r="1736" spans="1:12" x14ac:dyDescent="0.35">
      <c r="A1736" t="s">
        <v>636</v>
      </c>
      <c r="B1736" t="str">
        <f t="shared" si="81"/>
        <v>Obesity</v>
      </c>
      <c r="C1736">
        <v>30.13</v>
      </c>
      <c r="D1736" t="str">
        <f t="shared" si="82"/>
        <v>Normal</v>
      </c>
      <c r="E1736">
        <v>4.03</v>
      </c>
      <c r="F1736" t="s">
        <v>2382</v>
      </c>
      <c r="G1736" t="s">
        <v>2380</v>
      </c>
      <c r="H1736" t="s">
        <v>2380</v>
      </c>
      <c r="J1736">
        <v>1</v>
      </c>
      <c r="K1736" t="str">
        <f t="shared" si="83"/>
        <v>No</v>
      </c>
      <c r="L1736" t="s">
        <v>2380</v>
      </c>
    </row>
    <row r="1737" spans="1:12" x14ac:dyDescent="0.35">
      <c r="A1737" t="s">
        <v>635</v>
      </c>
      <c r="B1737" t="str">
        <f t="shared" si="81"/>
        <v>Obesity</v>
      </c>
      <c r="C1737">
        <v>34.19</v>
      </c>
      <c r="D1737" t="str">
        <f t="shared" si="82"/>
        <v>Normal</v>
      </c>
      <c r="E1737">
        <v>4.1900000000000004</v>
      </c>
      <c r="F1737" t="s">
        <v>2380</v>
      </c>
      <c r="G1737" t="s">
        <v>2380</v>
      </c>
      <c r="H1737" t="s">
        <v>2380</v>
      </c>
      <c r="J1737" t="s">
        <v>2381</v>
      </c>
      <c r="K1737" t="str">
        <f t="shared" si="83"/>
        <v>No</v>
      </c>
      <c r="L1737" t="s">
        <v>2380</v>
      </c>
    </row>
    <row r="1738" spans="1:12" x14ac:dyDescent="0.35">
      <c r="A1738" t="s">
        <v>634</v>
      </c>
      <c r="B1738" t="str">
        <f t="shared" si="81"/>
        <v>Normal Weight</v>
      </c>
      <c r="C1738">
        <v>22.515000000000001</v>
      </c>
      <c r="D1738" t="str">
        <f t="shared" si="82"/>
        <v>Normal</v>
      </c>
      <c r="E1738">
        <v>4.37</v>
      </c>
      <c r="F1738" t="s">
        <v>2380</v>
      </c>
      <c r="G1738" t="s">
        <v>2380</v>
      </c>
      <c r="H1738" t="s">
        <v>2383</v>
      </c>
      <c r="J1738">
        <v>1</v>
      </c>
      <c r="K1738" t="str">
        <f t="shared" si="83"/>
        <v>No</v>
      </c>
      <c r="L1738" t="s">
        <v>2380</v>
      </c>
    </row>
    <row r="1739" spans="1:12" x14ac:dyDescent="0.35">
      <c r="A1739" t="s">
        <v>633</v>
      </c>
      <c r="B1739" t="str">
        <f t="shared" si="81"/>
        <v>Underweight</v>
      </c>
      <c r="C1739">
        <v>18.239999999999998</v>
      </c>
      <c r="D1739" t="str">
        <f t="shared" si="82"/>
        <v>Normal</v>
      </c>
      <c r="E1739">
        <v>5.31</v>
      </c>
      <c r="F1739" t="s">
        <v>2382</v>
      </c>
      <c r="G1739" t="s">
        <v>2380</v>
      </c>
      <c r="H1739" t="s">
        <v>2383</v>
      </c>
      <c r="J1739">
        <v>1</v>
      </c>
      <c r="K1739" t="str">
        <f t="shared" si="83"/>
        <v>No</v>
      </c>
      <c r="L1739" t="s">
        <v>2380</v>
      </c>
    </row>
    <row r="1740" spans="1:12" x14ac:dyDescent="0.35">
      <c r="A1740" t="s">
        <v>631</v>
      </c>
      <c r="B1740" t="str">
        <f t="shared" si="81"/>
        <v>Obesity</v>
      </c>
      <c r="C1740">
        <v>37.28</v>
      </c>
      <c r="D1740" t="str">
        <f t="shared" si="82"/>
        <v>Normal</v>
      </c>
      <c r="E1740">
        <v>4.66</v>
      </c>
      <c r="F1740" t="s">
        <v>2380</v>
      </c>
      <c r="G1740" t="s">
        <v>2382</v>
      </c>
      <c r="H1740" t="s">
        <v>2380</v>
      </c>
      <c r="J1740">
        <v>1</v>
      </c>
      <c r="K1740" t="str">
        <f t="shared" si="83"/>
        <v>No</v>
      </c>
      <c r="L1740" t="s">
        <v>2380</v>
      </c>
    </row>
    <row r="1741" spans="1:12" x14ac:dyDescent="0.35">
      <c r="A1741" t="s">
        <v>630</v>
      </c>
      <c r="B1741" t="str">
        <f t="shared" si="81"/>
        <v>Underweight</v>
      </c>
      <c r="C1741">
        <v>18.2</v>
      </c>
      <c r="D1741" t="str">
        <f t="shared" si="82"/>
        <v>Prediabetes</v>
      </c>
      <c r="E1741">
        <v>6.19</v>
      </c>
      <c r="F1741" t="s">
        <v>2380</v>
      </c>
      <c r="G1741" t="s">
        <v>2380</v>
      </c>
      <c r="H1741" t="s">
        <v>2383</v>
      </c>
      <c r="J1741">
        <v>1</v>
      </c>
      <c r="K1741" t="str">
        <f t="shared" si="83"/>
        <v>No</v>
      </c>
      <c r="L1741" t="s">
        <v>2380</v>
      </c>
    </row>
    <row r="1742" spans="1:12" x14ac:dyDescent="0.35">
      <c r="A1742" t="s">
        <v>629</v>
      </c>
      <c r="B1742" t="str">
        <f t="shared" si="81"/>
        <v>Normal Weight</v>
      </c>
      <c r="C1742">
        <v>20.53</v>
      </c>
      <c r="D1742" t="str">
        <f t="shared" si="82"/>
        <v>Normal</v>
      </c>
      <c r="E1742">
        <v>4.8600000000000003</v>
      </c>
      <c r="F1742" t="s">
        <v>2380</v>
      </c>
      <c r="G1742" t="s">
        <v>2380</v>
      </c>
      <c r="H1742" t="s">
        <v>2380</v>
      </c>
      <c r="J1742">
        <v>1</v>
      </c>
      <c r="K1742" t="str">
        <f t="shared" si="83"/>
        <v>No</v>
      </c>
      <c r="L1742" t="s">
        <v>2380</v>
      </c>
    </row>
    <row r="1743" spans="1:12" x14ac:dyDescent="0.35">
      <c r="A1743" t="s">
        <v>628</v>
      </c>
      <c r="B1743" t="str">
        <f t="shared" si="81"/>
        <v>Normal Weight</v>
      </c>
      <c r="C1743">
        <v>23.79</v>
      </c>
      <c r="D1743" t="str">
        <f t="shared" si="82"/>
        <v>Normal</v>
      </c>
      <c r="E1743">
        <v>4.74</v>
      </c>
      <c r="F1743" t="s">
        <v>2380</v>
      </c>
      <c r="G1743" t="s">
        <v>2380</v>
      </c>
      <c r="H1743" t="s">
        <v>2380</v>
      </c>
      <c r="J1743" t="s">
        <v>2381</v>
      </c>
      <c r="K1743" t="str">
        <f t="shared" si="83"/>
        <v>No</v>
      </c>
      <c r="L1743" t="s">
        <v>2380</v>
      </c>
    </row>
    <row r="1744" spans="1:12" x14ac:dyDescent="0.35">
      <c r="A1744" t="s">
        <v>627</v>
      </c>
      <c r="B1744" t="str">
        <f t="shared" si="81"/>
        <v>Overweight</v>
      </c>
      <c r="C1744">
        <v>29.8</v>
      </c>
      <c r="D1744" t="str">
        <f t="shared" si="82"/>
        <v>Prediabetes</v>
      </c>
      <c r="E1744">
        <v>6.03</v>
      </c>
      <c r="F1744" t="s">
        <v>2380</v>
      </c>
      <c r="G1744" t="s">
        <v>2380</v>
      </c>
      <c r="H1744" t="s">
        <v>2380</v>
      </c>
      <c r="J1744" t="s">
        <v>2381</v>
      </c>
      <c r="K1744" t="str">
        <f t="shared" si="83"/>
        <v>No</v>
      </c>
      <c r="L1744" t="s">
        <v>2380</v>
      </c>
    </row>
    <row r="1745" spans="1:12" x14ac:dyDescent="0.35">
      <c r="A1745" t="s">
        <v>626</v>
      </c>
      <c r="B1745" t="str">
        <f t="shared" si="81"/>
        <v>Obesity</v>
      </c>
      <c r="C1745">
        <v>31.54</v>
      </c>
      <c r="D1745" t="str">
        <f t="shared" si="82"/>
        <v>Normal</v>
      </c>
      <c r="E1745">
        <v>4.71</v>
      </c>
      <c r="F1745" t="s">
        <v>2380</v>
      </c>
      <c r="G1745" t="s">
        <v>2380</v>
      </c>
      <c r="H1745" t="s">
        <v>2380</v>
      </c>
      <c r="J1745" t="s">
        <v>2381</v>
      </c>
      <c r="K1745" t="str">
        <f t="shared" si="83"/>
        <v>No</v>
      </c>
      <c r="L1745" t="s">
        <v>2380</v>
      </c>
    </row>
    <row r="1746" spans="1:12" x14ac:dyDescent="0.35">
      <c r="A1746" t="s">
        <v>625</v>
      </c>
      <c r="B1746" t="str">
        <f t="shared" si="81"/>
        <v>Normal Weight</v>
      </c>
      <c r="C1746">
        <v>20.82</v>
      </c>
      <c r="D1746" t="str">
        <f t="shared" si="82"/>
        <v>Normal</v>
      </c>
      <c r="E1746">
        <v>5.55</v>
      </c>
      <c r="F1746" t="s">
        <v>2380</v>
      </c>
      <c r="G1746" t="s">
        <v>2380</v>
      </c>
      <c r="H1746" t="s">
        <v>2380</v>
      </c>
      <c r="J1746">
        <v>1</v>
      </c>
      <c r="K1746" t="str">
        <f t="shared" si="83"/>
        <v>No</v>
      </c>
      <c r="L1746" t="s">
        <v>2380</v>
      </c>
    </row>
    <row r="1747" spans="1:12" x14ac:dyDescent="0.35">
      <c r="A1747" t="s">
        <v>624</v>
      </c>
      <c r="B1747" t="str">
        <f t="shared" si="81"/>
        <v>Obesity</v>
      </c>
      <c r="C1747">
        <v>38.83</v>
      </c>
      <c r="D1747" t="str">
        <f t="shared" si="82"/>
        <v>Normal</v>
      </c>
      <c r="E1747">
        <v>4.78</v>
      </c>
      <c r="F1747" t="s">
        <v>2380</v>
      </c>
      <c r="G1747" t="s">
        <v>2380</v>
      </c>
      <c r="H1747" t="s">
        <v>2383</v>
      </c>
      <c r="J1747">
        <v>1</v>
      </c>
      <c r="K1747" t="str">
        <f t="shared" si="83"/>
        <v>No</v>
      </c>
      <c r="L1747" t="s">
        <v>2380</v>
      </c>
    </row>
    <row r="1748" spans="1:12" x14ac:dyDescent="0.35">
      <c r="A1748" t="s">
        <v>623</v>
      </c>
      <c r="B1748" t="str">
        <f t="shared" si="81"/>
        <v>Normal Weight</v>
      </c>
      <c r="C1748">
        <v>23.44</v>
      </c>
      <c r="D1748" t="str">
        <f t="shared" si="82"/>
        <v>Normal</v>
      </c>
      <c r="E1748">
        <v>4.6500000000000004</v>
      </c>
      <c r="F1748" t="s">
        <v>2382</v>
      </c>
      <c r="G1748" t="s">
        <v>2380</v>
      </c>
      <c r="H1748" t="s">
        <v>2380</v>
      </c>
      <c r="J1748">
        <v>1</v>
      </c>
      <c r="K1748" t="str">
        <f t="shared" si="83"/>
        <v>No</v>
      </c>
      <c r="L1748" t="s">
        <v>2380</v>
      </c>
    </row>
    <row r="1749" spans="1:12" x14ac:dyDescent="0.35">
      <c r="A1749" t="s">
        <v>622</v>
      </c>
      <c r="B1749" t="str">
        <f t="shared" si="81"/>
        <v>Normal Weight</v>
      </c>
      <c r="C1749">
        <v>24.13</v>
      </c>
      <c r="D1749" t="str">
        <f t="shared" si="82"/>
        <v>Normal</v>
      </c>
      <c r="E1749">
        <v>5.2</v>
      </c>
      <c r="F1749" t="s">
        <v>2380</v>
      </c>
      <c r="G1749" t="s">
        <v>2380</v>
      </c>
      <c r="H1749" t="s">
        <v>2380</v>
      </c>
      <c r="J1749">
        <v>1</v>
      </c>
      <c r="K1749" t="str">
        <f t="shared" si="83"/>
        <v>No</v>
      </c>
      <c r="L1749" t="s">
        <v>2380</v>
      </c>
    </row>
    <row r="1750" spans="1:12" x14ac:dyDescent="0.35">
      <c r="A1750" t="s">
        <v>621</v>
      </c>
      <c r="B1750" t="str">
        <f t="shared" si="81"/>
        <v>Obesity</v>
      </c>
      <c r="C1750">
        <v>42.13</v>
      </c>
      <c r="D1750" t="str">
        <f t="shared" si="82"/>
        <v>Normal</v>
      </c>
      <c r="E1750">
        <v>4.54</v>
      </c>
      <c r="F1750" t="s">
        <v>2382</v>
      </c>
      <c r="G1750" t="s">
        <v>2380</v>
      </c>
      <c r="H1750" t="s">
        <v>2380</v>
      </c>
      <c r="J1750">
        <v>1</v>
      </c>
      <c r="K1750" t="str">
        <f t="shared" si="83"/>
        <v>No</v>
      </c>
      <c r="L1750" t="s">
        <v>2380</v>
      </c>
    </row>
    <row r="1751" spans="1:12" x14ac:dyDescent="0.35">
      <c r="A1751" t="s">
        <v>620</v>
      </c>
      <c r="B1751" t="str">
        <f t="shared" si="81"/>
        <v>Underweight</v>
      </c>
      <c r="C1751">
        <v>17.86</v>
      </c>
      <c r="D1751" t="str">
        <f t="shared" si="82"/>
        <v>Normal</v>
      </c>
      <c r="E1751">
        <v>4.1100000000000003</v>
      </c>
      <c r="F1751" t="s">
        <v>2380</v>
      </c>
      <c r="G1751" t="s">
        <v>2380</v>
      </c>
      <c r="H1751" t="s">
        <v>2380</v>
      </c>
      <c r="J1751">
        <v>1</v>
      </c>
      <c r="K1751" t="str">
        <f t="shared" si="83"/>
        <v>No</v>
      </c>
      <c r="L1751" t="s">
        <v>2380</v>
      </c>
    </row>
    <row r="1752" spans="1:12" x14ac:dyDescent="0.35">
      <c r="A1752" t="s">
        <v>619</v>
      </c>
      <c r="B1752" t="str">
        <f t="shared" si="81"/>
        <v>Obesity</v>
      </c>
      <c r="C1752">
        <v>32.78</v>
      </c>
      <c r="D1752" t="str">
        <f t="shared" si="82"/>
        <v>Normal</v>
      </c>
      <c r="E1752">
        <v>4.63</v>
      </c>
      <c r="F1752" t="s">
        <v>2380</v>
      </c>
      <c r="G1752" t="s">
        <v>2380</v>
      </c>
      <c r="H1752" t="s">
        <v>2380</v>
      </c>
      <c r="J1752" t="s">
        <v>2381</v>
      </c>
      <c r="K1752" t="str">
        <f t="shared" si="83"/>
        <v>No</v>
      </c>
      <c r="L1752" t="s">
        <v>2380</v>
      </c>
    </row>
    <row r="1753" spans="1:12" x14ac:dyDescent="0.35">
      <c r="A1753" t="s">
        <v>618</v>
      </c>
      <c r="B1753" t="str">
        <f t="shared" si="81"/>
        <v>Normal Weight</v>
      </c>
      <c r="C1753">
        <v>23.9</v>
      </c>
      <c r="D1753" t="str">
        <f t="shared" si="82"/>
        <v>Prediabetes</v>
      </c>
      <c r="E1753">
        <v>6.06</v>
      </c>
      <c r="F1753" t="s">
        <v>2382</v>
      </c>
      <c r="G1753" t="s">
        <v>2380</v>
      </c>
      <c r="H1753" t="s">
        <v>2383</v>
      </c>
      <c r="J1753">
        <v>1</v>
      </c>
      <c r="K1753" t="str">
        <f t="shared" si="83"/>
        <v>No</v>
      </c>
      <c r="L1753" t="s">
        <v>2380</v>
      </c>
    </row>
    <row r="1754" spans="1:12" x14ac:dyDescent="0.35">
      <c r="A1754" t="s">
        <v>617</v>
      </c>
      <c r="B1754" t="str">
        <f t="shared" si="81"/>
        <v>Underweight</v>
      </c>
      <c r="C1754">
        <v>15.47</v>
      </c>
      <c r="D1754" t="str">
        <f t="shared" si="82"/>
        <v>Diabetes</v>
      </c>
      <c r="E1754">
        <v>8.43</v>
      </c>
      <c r="F1754" t="s">
        <v>2380</v>
      </c>
      <c r="G1754" t="s">
        <v>2380</v>
      </c>
      <c r="H1754" t="s">
        <v>2380</v>
      </c>
      <c r="J1754" t="s">
        <v>2381</v>
      </c>
      <c r="K1754" t="str">
        <f t="shared" si="83"/>
        <v>No</v>
      </c>
      <c r="L1754" t="s">
        <v>2380</v>
      </c>
    </row>
    <row r="1755" spans="1:12" x14ac:dyDescent="0.35">
      <c r="A1755" t="s">
        <v>616</v>
      </c>
      <c r="B1755" t="str">
        <f t="shared" si="81"/>
        <v>Overweight</v>
      </c>
      <c r="C1755">
        <v>28.54</v>
      </c>
      <c r="D1755" t="str">
        <f t="shared" si="82"/>
        <v>Normal</v>
      </c>
      <c r="E1755">
        <v>5.51</v>
      </c>
      <c r="F1755" t="s">
        <v>2380</v>
      </c>
      <c r="G1755" t="s">
        <v>2380</v>
      </c>
      <c r="H1755" t="s">
        <v>2383</v>
      </c>
      <c r="J1755">
        <v>1</v>
      </c>
      <c r="K1755" t="str">
        <f t="shared" si="83"/>
        <v>No</v>
      </c>
      <c r="L1755" t="s">
        <v>2380</v>
      </c>
    </row>
    <row r="1756" spans="1:12" x14ac:dyDescent="0.35">
      <c r="A1756" t="s">
        <v>615</v>
      </c>
      <c r="B1756" t="str">
        <f t="shared" si="81"/>
        <v>Normal Weight</v>
      </c>
      <c r="C1756">
        <v>18.54</v>
      </c>
      <c r="D1756" t="str">
        <f t="shared" si="82"/>
        <v>Normal</v>
      </c>
      <c r="E1756">
        <v>4.95</v>
      </c>
      <c r="F1756" t="s">
        <v>2380</v>
      </c>
      <c r="G1756" t="s">
        <v>2380</v>
      </c>
      <c r="H1756" t="s">
        <v>2380</v>
      </c>
      <c r="J1756" t="s">
        <v>2381</v>
      </c>
      <c r="K1756" t="str">
        <f t="shared" si="83"/>
        <v>No</v>
      </c>
      <c r="L1756" t="s">
        <v>2380</v>
      </c>
    </row>
    <row r="1757" spans="1:12" x14ac:dyDescent="0.35">
      <c r="A1757" t="s">
        <v>614</v>
      </c>
      <c r="B1757" t="str">
        <f t="shared" si="81"/>
        <v>Obesity</v>
      </c>
      <c r="C1757">
        <v>32.18</v>
      </c>
      <c r="D1757" t="e">
        <f t="shared" si="82"/>
        <v>#N/A</v>
      </c>
      <c r="E1757">
        <v>6.44</v>
      </c>
      <c r="F1757" t="s">
        <v>2382</v>
      </c>
      <c r="G1757" t="s">
        <v>2380</v>
      </c>
      <c r="H1757" t="s">
        <v>2383</v>
      </c>
      <c r="J1757">
        <v>1</v>
      </c>
      <c r="K1757" t="str">
        <f t="shared" si="83"/>
        <v>No</v>
      </c>
      <c r="L1757" t="s">
        <v>2380</v>
      </c>
    </row>
    <row r="1758" spans="1:12" x14ac:dyDescent="0.35">
      <c r="A1758" t="s">
        <v>613</v>
      </c>
      <c r="B1758" t="str">
        <f t="shared" si="81"/>
        <v>Obesity</v>
      </c>
      <c r="C1758">
        <v>37.380000000000003</v>
      </c>
      <c r="D1758" t="str">
        <f t="shared" si="82"/>
        <v>Prediabetes</v>
      </c>
      <c r="E1758">
        <v>6.05</v>
      </c>
      <c r="F1758" t="s">
        <v>2382</v>
      </c>
      <c r="G1758" t="s">
        <v>2380</v>
      </c>
      <c r="H1758" t="s">
        <v>2380</v>
      </c>
      <c r="J1758" t="s">
        <v>2381</v>
      </c>
      <c r="K1758" t="str">
        <f t="shared" si="83"/>
        <v>No</v>
      </c>
      <c r="L1758" t="s">
        <v>2380</v>
      </c>
    </row>
    <row r="1759" spans="1:12" x14ac:dyDescent="0.35">
      <c r="A1759" t="s">
        <v>612</v>
      </c>
      <c r="B1759" t="str">
        <f t="shared" si="81"/>
        <v>Obesity</v>
      </c>
      <c r="C1759">
        <v>31.12</v>
      </c>
      <c r="D1759" t="str">
        <f t="shared" si="82"/>
        <v>Normal</v>
      </c>
      <c r="E1759">
        <v>4.76</v>
      </c>
      <c r="F1759" t="s">
        <v>2382</v>
      </c>
      <c r="G1759" t="s">
        <v>2380</v>
      </c>
      <c r="H1759" t="s">
        <v>2383</v>
      </c>
      <c r="J1759">
        <v>1</v>
      </c>
      <c r="K1759" t="str">
        <f t="shared" si="83"/>
        <v>No</v>
      </c>
      <c r="L1759" t="s">
        <v>2380</v>
      </c>
    </row>
    <row r="1760" spans="1:12" x14ac:dyDescent="0.35">
      <c r="A1760" t="s">
        <v>611</v>
      </c>
      <c r="B1760" t="str">
        <f t="shared" si="81"/>
        <v>Normal Weight</v>
      </c>
      <c r="C1760">
        <v>22.01</v>
      </c>
      <c r="D1760" t="str">
        <f t="shared" si="82"/>
        <v>Diabetes</v>
      </c>
      <c r="E1760">
        <v>6.72</v>
      </c>
      <c r="F1760" t="s">
        <v>2382</v>
      </c>
      <c r="G1760" t="s">
        <v>2380</v>
      </c>
      <c r="H1760" t="s">
        <v>2380</v>
      </c>
      <c r="J1760">
        <v>1</v>
      </c>
      <c r="K1760" t="str">
        <f t="shared" si="83"/>
        <v>No</v>
      </c>
      <c r="L1760" t="s">
        <v>2380</v>
      </c>
    </row>
    <row r="1761" spans="1:12" x14ac:dyDescent="0.35">
      <c r="A1761" t="s">
        <v>610</v>
      </c>
      <c r="B1761" t="str">
        <f t="shared" si="81"/>
        <v>Overweight</v>
      </c>
      <c r="C1761">
        <v>27.645</v>
      </c>
      <c r="D1761" t="str">
        <f t="shared" si="82"/>
        <v>Prediabetes</v>
      </c>
      <c r="E1761">
        <v>5.7</v>
      </c>
      <c r="F1761" t="s">
        <v>2380</v>
      </c>
      <c r="G1761" t="s">
        <v>2380</v>
      </c>
      <c r="H1761" t="s">
        <v>2380</v>
      </c>
      <c r="J1761" t="s">
        <v>2381</v>
      </c>
      <c r="K1761" t="str">
        <f t="shared" si="83"/>
        <v>No</v>
      </c>
      <c r="L1761" t="s">
        <v>2380</v>
      </c>
    </row>
    <row r="1762" spans="1:12" x14ac:dyDescent="0.35">
      <c r="A1762" t="s">
        <v>609</v>
      </c>
      <c r="B1762" t="str">
        <f t="shared" si="81"/>
        <v>Overweight</v>
      </c>
      <c r="C1762">
        <v>29.64</v>
      </c>
      <c r="D1762" t="str">
        <f t="shared" si="82"/>
        <v>Normal</v>
      </c>
      <c r="E1762">
        <v>5.31</v>
      </c>
      <c r="F1762" t="s">
        <v>2382</v>
      </c>
      <c r="G1762" t="s">
        <v>2380</v>
      </c>
      <c r="H1762" t="s">
        <v>2380</v>
      </c>
      <c r="J1762" t="s">
        <v>2381</v>
      </c>
      <c r="K1762" t="str">
        <f t="shared" si="83"/>
        <v>No</v>
      </c>
      <c r="L1762" t="s">
        <v>2380</v>
      </c>
    </row>
    <row r="1763" spans="1:12" x14ac:dyDescent="0.35">
      <c r="A1763" t="s">
        <v>608</v>
      </c>
      <c r="B1763" t="str">
        <f t="shared" si="81"/>
        <v>Obesity</v>
      </c>
      <c r="C1763">
        <v>33.700000000000003</v>
      </c>
      <c r="D1763" t="str">
        <f t="shared" si="82"/>
        <v>Normal</v>
      </c>
      <c r="E1763">
        <v>4.32</v>
      </c>
      <c r="F1763" t="s">
        <v>2382</v>
      </c>
      <c r="G1763" t="s">
        <v>2380</v>
      </c>
      <c r="H1763" t="s">
        <v>2380</v>
      </c>
      <c r="J1763">
        <v>1</v>
      </c>
      <c r="K1763" t="str">
        <f t="shared" si="83"/>
        <v>No</v>
      </c>
      <c r="L1763" t="s">
        <v>2380</v>
      </c>
    </row>
    <row r="1764" spans="1:12" x14ac:dyDescent="0.35">
      <c r="A1764" t="s">
        <v>607</v>
      </c>
      <c r="B1764" t="str">
        <f t="shared" si="81"/>
        <v>Overweight</v>
      </c>
      <c r="C1764">
        <v>27.5</v>
      </c>
      <c r="D1764" t="str">
        <f t="shared" si="82"/>
        <v>Normal</v>
      </c>
      <c r="E1764">
        <v>4.2300000000000004</v>
      </c>
      <c r="F1764" t="s">
        <v>2382</v>
      </c>
      <c r="G1764" t="s">
        <v>2380</v>
      </c>
      <c r="H1764" t="s">
        <v>2380</v>
      </c>
      <c r="J1764">
        <v>1</v>
      </c>
      <c r="K1764" t="str">
        <f t="shared" si="83"/>
        <v>No</v>
      </c>
      <c r="L1764" t="s">
        <v>2380</v>
      </c>
    </row>
    <row r="1765" spans="1:12" x14ac:dyDescent="0.35">
      <c r="A1765" t="s">
        <v>606</v>
      </c>
      <c r="B1765" t="str">
        <f t="shared" si="81"/>
        <v>Underweight</v>
      </c>
      <c r="C1765">
        <v>16.12</v>
      </c>
      <c r="D1765" t="str">
        <f t="shared" si="82"/>
        <v>Prediabetes</v>
      </c>
      <c r="E1765">
        <v>6.09</v>
      </c>
      <c r="F1765" t="s">
        <v>2380</v>
      </c>
      <c r="G1765" t="s">
        <v>2380</v>
      </c>
      <c r="H1765" t="s">
        <v>2380</v>
      </c>
      <c r="J1765" t="s">
        <v>2381</v>
      </c>
      <c r="K1765" t="str">
        <f t="shared" si="83"/>
        <v>No</v>
      </c>
      <c r="L1765" t="s">
        <v>2380</v>
      </c>
    </row>
    <row r="1766" spans="1:12" x14ac:dyDescent="0.35">
      <c r="A1766" t="s">
        <v>605</v>
      </c>
      <c r="B1766" t="str">
        <f t="shared" si="81"/>
        <v>Overweight</v>
      </c>
      <c r="C1766">
        <v>26.73</v>
      </c>
      <c r="D1766" t="str">
        <f t="shared" si="82"/>
        <v>Normal</v>
      </c>
      <c r="E1766">
        <v>4.74</v>
      </c>
      <c r="F1766" t="s">
        <v>2382</v>
      </c>
      <c r="G1766" t="s">
        <v>2380</v>
      </c>
      <c r="H1766" t="s">
        <v>2380</v>
      </c>
      <c r="J1766">
        <v>1</v>
      </c>
      <c r="K1766" t="str">
        <f t="shared" si="83"/>
        <v>No</v>
      </c>
      <c r="L1766" t="s">
        <v>2380</v>
      </c>
    </row>
    <row r="1767" spans="1:12" x14ac:dyDescent="0.35">
      <c r="A1767" t="s">
        <v>604</v>
      </c>
      <c r="B1767" t="str">
        <f t="shared" si="81"/>
        <v>Obesity</v>
      </c>
      <c r="C1767">
        <v>37.25</v>
      </c>
      <c r="D1767" t="str">
        <f t="shared" si="82"/>
        <v>Prediabetes</v>
      </c>
      <c r="E1767">
        <v>6.23</v>
      </c>
      <c r="F1767" t="s">
        <v>2382</v>
      </c>
      <c r="G1767" t="s">
        <v>2380</v>
      </c>
      <c r="H1767" t="s">
        <v>2380</v>
      </c>
      <c r="J1767" t="s">
        <v>2381</v>
      </c>
      <c r="K1767" t="str">
        <f t="shared" si="83"/>
        <v>No</v>
      </c>
      <c r="L1767" t="s">
        <v>2380</v>
      </c>
    </row>
    <row r="1768" spans="1:12" x14ac:dyDescent="0.35">
      <c r="A1768" t="s">
        <v>603</v>
      </c>
      <c r="B1768" t="str">
        <f t="shared" si="81"/>
        <v>Normal Weight</v>
      </c>
      <c r="C1768">
        <v>23.56</v>
      </c>
      <c r="D1768" t="str">
        <f t="shared" si="82"/>
        <v>Normal</v>
      </c>
      <c r="E1768">
        <v>5.45</v>
      </c>
      <c r="F1768" t="s">
        <v>2382</v>
      </c>
      <c r="G1768" t="s">
        <v>2380</v>
      </c>
      <c r="H1768" t="s">
        <v>2380</v>
      </c>
      <c r="J1768">
        <v>1</v>
      </c>
      <c r="K1768" t="str">
        <f t="shared" si="83"/>
        <v>No</v>
      </c>
      <c r="L1768" t="s">
        <v>2380</v>
      </c>
    </row>
    <row r="1769" spans="1:12" x14ac:dyDescent="0.35">
      <c r="A1769" t="s">
        <v>602</v>
      </c>
      <c r="B1769" t="str">
        <f t="shared" si="81"/>
        <v>Underweight</v>
      </c>
      <c r="C1769">
        <v>15.84</v>
      </c>
      <c r="D1769" t="str">
        <f t="shared" si="82"/>
        <v>Diabetes</v>
      </c>
      <c r="E1769">
        <v>10.34</v>
      </c>
      <c r="F1769" t="s">
        <v>2380</v>
      </c>
      <c r="G1769" t="s">
        <v>2380</v>
      </c>
      <c r="H1769" t="s">
        <v>2380</v>
      </c>
      <c r="J1769">
        <v>2</v>
      </c>
      <c r="K1769" t="str">
        <f t="shared" si="83"/>
        <v>No</v>
      </c>
      <c r="L1769" t="s">
        <v>2380</v>
      </c>
    </row>
    <row r="1770" spans="1:12" x14ac:dyDescent="0.35">
      <c r="A1770" t="s">
        <v>601</v>
      </c>
      <c r="B1770" t="str">
        <f t="shared" si="81"/>
        <v>Obesity</v>
      </c>
      <c r="C1770">
        <v>36.630000000000003</v>
      </c>
      <c r="D1770" t="str">
        <f t="shared" si="82"/>
        <v>Normal</v>
      </c>
      <c r="E1770">
        <v>5.15</v>
      </c>
      <c r="F1770" t="s">
        <v>2380</v>
      </c>
      <c r="G1770" t="s">
        <v>2380</v>
      </c>
      <c r="H1770" t="s">
        <v>2380</v>
      </c>
      <c r="J1770" t="s">
        <v>2381</v>
      </c>
      <c r="K1770" t="str">
        <f t="shared" si="83"/>
        <v>No</v>
      </c>
      <c r="L1770" t="s">
        <v>2380</v>
      </c>
    </row>
    <row r="1771" spans="1:12" x14ac:dyDescent="0.35">
      <c r="A1771" t="s">
        <v>600</v>
      </c>
      <c r="B1771" t="str">
        <f t="shared" si="81"/>
        <v>Underweight</v>
      </c>
      <c r="C1771">
        <v>16.47</v>
      </c>
      <c r="D1771" t="str">
        <f t="shared" si="82"/>
        <v>Diabetes</v>
      </c>
      <c r="E1771">
        <v>11.72</v>
      </c>
      <c r="F1771" t="s">
        <v>2380</v>
      </c>
      <c r="G1771" t="s">
        <v>2380</v>
      </c>
      <c r="H1771" t="s">
        <v>2380</v>
      </c>
      <c r="J1771" t="s">
        <v>2381</v>
      </c>
      <c r="K1771" t="str">
        <f t="shared" si="83"/>
        <v>No</v>
      </c>
      <c r="L1771" t="s">
        <v>2380</v>
      </c>
    </row>
    <row r="1772" spans="1:12" x14ac:dyDescent="0.35">
      <c r="A1772" t="s">
        <v>599</v>
      </c>
      <c r="B1772" t="str">
        <f t="shared" si="81"/>
        <v>Overweight</v>
      </c>
      <c r="C1772">
        <v>25.8</v>
      </c>
      <c r="D1772" t="str">
        <f t="shared" si="82"/>
        <v>Normal</v>
      </c>
      <c r="E1772">
        <v>5.29</v>
      </c>
      <c r="F1772" t="s">
        <v>2380</v>
      </c>
      <c r="G1772" t="s">
        <v>2380</v>
      </c>
      <c r="H1772" t="s">
        <v>2380</v>
      </c>
      <c r="J1772" t="s">
        <v>2381</v>
      </c>
      <c r="K1772" t="str">
        <f t="shared" si="83"/>
        <v>No</v>
      </c>
      <c r="L1772" t="s">
        <v>2380</v>
      </c>
    </row>
    <row r="1773" spans="1:12" x14ac:dyDescent="0.35">
      <c r="A1773" t="s">
        <v>598</v>
      </c>
      <c r="B1773" t="str">
        <f t="shared" si="81"/>
        <v>Normal Weight</v>
      </c>
      <c r="C1773">
        <v>23.6</v>
      </c>
      <c r="D1773" t="str">
        <f t="shared" si="82"/>
        <v>Normal</v>
      </c>
      <c r="E1773">
        <v>4.33</v>
      </c>
      <c r="F1773" t="s">
        <v>2380</v>
      </c>
      <c r="G1773" t="s">
        <v>2380</v>
      </c>
      <c r="H1773" t="s">
        <v>2380</v>
      </c>
      <c r="J1773" t="s">
        <v>2381</v>
      </c>
      <c r="K1773" t="str">
        <f t="shared" si="83"/>
        <v>No</v>
      </c>
      <c r="L1773" t="s">
        <v>2380</v>
      </c>
    </row>
    <row r="1774" spans="1:12" x14ac:dyDescent="0.35">
      <c r="A1774" t="s">
        <v>597</v>
      </c>
      <c r="B1774" t="str">
        <f t="shared" si="81"/>
        <v>Obesity</v>
      </c>
      <c r="C1774">
        <v>32.11</v>
      </c>
      <c r="D1774" t="str">
        <f t="shared" si="82"/>
        <v>Prediabetes</v>
      </c>
      <c r="E1774">
        <v>6.24</v>
      </c>
      <c r="F1774" t="s">
        <v>2380</v>
      </c>
      <c r="G1774" t="s">
        <v>2380</v>
      </c>
      <c r="H1774" t="s">
        <v>2383</v>
      </c>
      <c r="J1774">
        <v>1</v>
      </c>
      <c r="K1774" t="str">
        <f t="shared" si="83"/>
        <v>No</v>
      </c>
      <c r="L1774" t="s">
        <v>2380</v>
      </c>
    </row>
    <row r="1775" spans="1:12" x14ac:dyDescent="0.35">
      <c r="A1775" t="s">
        <v>596</v>
      </c>
      <c r="B1775" t="str">
        <f t="shared" si="81"/>
        <v>Obesity</v>
      </c>
      <c r="C1775">
        <v>30.114999999999998</v>
      </c>
      <c r="D1775" t="str">
        <f t="shared" si="82"/>
        <v>Diabetes</v>
      </c>
      <c r="E1775">
        <v>11.61</v>
      </c>
      <c r="F1775" t="s">
        <v>2380</v>
      </c>
      <c r="G1775" t="s">
        <v>2380</v>
      </c>
      <c r="H1775" t="s">
        <v>2380</v>
      </c>
      <c r="J1775" t="s">
        <v>2381</v>
      </c>
      <c r="K1775" t="str">
        <f t="shared" si="83"/>
        <v>No</v>
      </c>
      <c r="L1775" t="s">
        <v>2380</v>
      </c>
    </row>
    <row r="1776" spans="1:12" x14ac:dyDescent="0.35">
      <c r="A1776" t="s">
        <v>595</v>
      </c>
      <c r="B1776" t="str">
        <f t="shared" si="81"/>
        <v>Normal Weight</v>
      </c>
      <c r="C1776">
        <v>20.28</v>
      </c>
      <c r="D1776" t="str">
        <f t="shared" si="82"/>
        <v>Diabetes</v>
      </c>
      <c r="E1776">
        <v>11.07</v>
      </c>
      <c r="F1776" t="s">
        <v>2382</v>
      </c>
      <c r="G1776" t="s">
        <v>2380</v>
      </c>
      <c r="H1776" t="s">
        <v>2380</v>
      </c>
      <c r="J1776" t="s">
        <v>2381</v>
      </c>
      <c r="K1776" t="str">
        <f t="shared" si="83"/>
        <v>No</v>
      </c>
      <c r="L1776" t="s">
        <v>2380</v>
      </c>
    </row>
    <row r="1777" spans="1:12" x14ac:dyDescent="0.35">
      <c r="A1777" t="s">
        <v>594</v>
      </c>
      <c r="B1777" t="str">
        <f t="shared" si="81"/>
        <v>Normal Weight</v>
      </c>
      <c r="C1777">
        <v>20.234999999999999</v>
      </c>
      <c r="D1777" t="str">
        <f t="shared" si="82"/>
        <v>Normal</v>
      </c>
      <c r="E1777">
        <v>5.19</v>
      </c>
      <c r="F1777" t="s">
        <v>2380</v>
      </c>
      <c r="G1777" t="s">
        <v>2380</v>
      </c>
      <c r="H1777" t="s">
        <v>2383</v>
      </c>
      <c r="J1777">
        <v>1</v>
      </c>
      <c r="K1777" t="str">
        <f t="shared" si="83"/>
        <v>No</v>
      </c>
      <c r="L1777" t="s">
        <v>2380</v>
      </c>
    </row>
    <row r="1778" spans="1:12" x14ac:dyDescent="0.35">
      <c r="A1778" t="s">
        <v>593</v>
      </c>
      <c r="B1778" t="str">
        <f t="shared" si="81"/>
        <v>Overweight</v>
      </c>
      <c r="C1778">
        <v>25.27</v>
      </c>
      <c r="D1778" t="str">
        <f t="shared" si="82"/>
        <v>Prediabetes</v>
      </c>
      <c r="E1778">
        <v>5.7</v>
      </c>
      <c r="F1778" t="s">
        <v>2382</v>
      </c>
      <c r="G1778" t="s">
        <v>2380</v>
      </c>
      <c r="H1778" t="s">
        <v>2380</v>
      </c>
      <c r="J1778">
        <v>1</v>
      </c>
      <c r="K1778" t="str">
        <f t="shared" si="83"/>
        <v>No</v>
      </c>
      <c r="L1778" t="s">
        <v>2380</v>
      </c>
    </row>
    <row r="1779" spans="1:12" x14ac:dyDescent="0.35">
      <c r="A1779" t="s">
        <v>592</v>
      </c>
      <c r="B1779" t="str">
        <f t="shared" si="81"/>
        <v>Normal Weight</v>
      </c>
      <c r="C1779">
        <v>24.24</v>
      </c>
      <c r="D1779" t="str">
        <f t="shared" si="82"/>
        <v>Prediabetes</v>
      </c>
      <c r="E1779">
        <v>6.15</v>
      </c>
      <c r="F1779" t="s">
        <v>2380</v>
      </c>
      <c r="G1779" t="s">
        <v>2380</v>
      </c>
      <c r="H1779" t="s">
        <v>2380</v>
      </c>
      <c r="J1779" t="s">
        <v>2381</v>
      </c>
      <c r="K1779" t="str">
        <f t="shared" si="83"/>
        <v>No</v>
      </c>
      <c r="L1779" t="s">
        <v>2380</v>
      </c>
    </row>
    <row r="1780" spans="1:12" x14ac:dyDescent="0.35">
      <c r="A1780" t="s">
        <v>591</v>
      </c>
      <c r="B1780" t="str">
        <f t="shared" si="81"/>
        <v>Obesity</v>
      </c>
      <c r="C1780">
        <v>35.75</v>
      </c>
      <c r="D1780" t="str">
        <f t="shared" si="82"/>
        <v>Normal</v>
      </c>
      <c r="E1780">
        <v>5.07</v>
      </c>
      <c r="F1780" t="s">
        <v>2380</v>
      </c>
      <c r="G1780" t="s">
        <v>2380</v>
      </c>
      <c r="H1780" t="s">
        <v>2380</v>
      </c>
      <c r="J1780" t="s">
        <v>2381</v>
      </c>
      <c r="K1780" t="str">
        <f t="shared" si="83"/>
        <v>No</v>
      </c>
      <c r="L1780" t="s">
        <v>2380</v>
      </c>
    </row>
    <row r="1781" spans="1:12" x14ac:dyDescent="0.35">
      <c r="A1781" t="s">
        <v>590</v>
      </c>
      <c r="B1781" t="e">
        <f t="shared" si="81"/>
        <v>#N/A</v>
      </c>
      <c r="C1781">
        <v>29.92</v>
      </c>
      <c r="D1781" t="str">
        <f t="shared" si="82"/>
        <v>Diabetes</v>
      </c>
      <c r="E1781">
        <v>10.97</v>
      </c>
      <c r="F1781" t="s">
        <v>2382</v>
      </c>
      <c r="G1781" t="s">
        <v>2380</v>
      </c>
      <c r="H1781" t="s">
        <v>2380</v>
      </c>
      <c r="J1781">
        <v>1</v>
      </c>
      <c r="K1781" t="str">
        <f t="shared" si="83"/>
        <v>No</v>
      </c>
      <c r="L1781" t="s">
        <v>2380</v>
      </c>
    </row>
    <row r="1782" spans="1:12" x14ac:dyDescent="0.35">
      <c r="A1782" t="s">
        <v>589</v>
      </c>
      <c r="B1782" t="str">
        <f t="shared" si="81"/>
        <v>Overweight</v>
      </c>
      <c r="C1782">
        <v>26.2</v>
      </c>
      <c r="D1782" t="str">
        <f t="shared" si="82"/>
        <v>Diabetes</v>
      </c>
      <c r="E1782">
        <v>10.93</v>
      </c>
      <c r="F1782" t="s">
        <v>2382</v>
      </c>
      <c r="G1782" t="s">
        <v>2380</v>
      </c>
      <c r="H1782" t="s">
        <v>2380</v>
      </c>
      <c r="J1782">
        <v>1</v>
      </c>
      <c r="K1782" t="str">
        <f t="shared" si="83"/>
        <v>No</v>
      </c>
      <c r="L1782" t="s">
        <v>2380</v>
      </c>
    </row>
    <row r="1783" spans="1:12" x14ac:dyDescent="0.35">
      <c r="A1783" t="s">
        <v>588</v>
      </c>
      <c r="B1783" t="str">
        <f t="shared" si="81"/>
        <v>Overweight</v>
      </c>
      <c r="C1783">
        <v>26.695</v>
      </c>
      <c r="D1783" t="str">
        <f t="shared" si="82"/>
        <v>Normal</v>
      </c>
      <c r="E1783">
        <v>4.21</v>
      </c>
      <c r="F1783" t="s">
        <v>2382</v>
      </c>
      <c r="G1783" t="s">
        <v>2380</v>
      </c>
      <c r="H1783" t="s">
        <v>2383</v>
      </c>
      <c r="J1783">
        <v>1</v>
      </c>
      <c r="K1783" t="str">
        <f t="shared" si="83"/>
        <v>No</v>
      </c>
      <c r="L1783" t="s">
        <v>2380</v>
      </c>
    </row>
    <row r="1784" spans="1:12" x14ac:dyDescent="0.35">
      <c r="A1784" t="s">
        <v>587</v>
      </c>
      <c r="B1784" t="str">
        <f t="shared" si="81"/>
        <v>Normal Weight</v>
      </c>
      <c r="C1784">
        <v>23.16</v>
      </c>
      <c r="D1784" t="str">
        <f t="shared" si="82"/>
        <v>Normal</v>
      </c>
      <c r="E1784">
        <v>5.5</v>
      </c>
      <c r="F1784" t="s">
        <v>2380</v>
      </c>
      <c r="G1784" t="s">
        <v>2380</v>
      </c>
      <c r="H1784" t="s">
        <v>2380</v>
      </c>
      <c r="J1784" t="s">
        <v>2381</v>
      </c>
      <c r="K1784" t="str">
        <f t="shared" si="83"/>
        <v>No</v>
      </c>
      <c r="L1784" t="s">
        <v>2380</v>
      </c>
    </row>
    <row r="1785" spans="1:12" x14ac:dyDescent="0.35">
      <c r="A1785" t="s">
        <v>586</v>
      </c>
      <c r="B1785" t="str">
        <f t="shared" si="81"/>
        <v>Obesity</v>
      </c>
      <c r="C1785">
        <v>32.585000000000001</v>
      </c>
      <c r="D1785" t="str">
        <f t="shared" si="82"/>
        <v>Normal</v>
      </c>
      <c r="E1785">
        <v>4.93</v>
      </c>
      <c r="F1785" t="s">
        <v>2382</v>
      </c>
      <c r="G1785" t="s">
        <v>2380</v>
      </c>
      <c r="H1785" t="s">
        <v>2380</v>
      </c>
      <c r="J1785">
        <v>1</v>
      </c>
      <c r="K1785" t="str">
        <f t="shared" si="83"/>
        <v>No</v>
      </c>
      <c r="L1785" t="s">
        <v>2380</v>
      </c>
    </row>
    <row r="1786" spans="1:12" x14ac:dyDescent="0.35">
      <c r="A1786" t="s">
        <v>585</v>
      </c>
      <c r="B1786" t="str">
        <f t="shared" si="81"/>
        <v>Obesity</v>
      </c>
      <c r="C1786">
        <v>33.97</v>
      </c>
      <c r="D1786" t="str">
        <f t="shared" si="82"/>
        <v>Normal</v>
      </c>
      <c r="E1786">
        <v>5.6</v>
      </c>
      <c r="F1786" t="s">
        <v>2382</v>
      </c>
      <c r="G1786" t="s">
        <v>2380</v>
      </c>
      <c r="H1786" t="s">
        <v>2380</v>
      </c>
      <c r="J1786" t="s">
        <v>2381</v>
      </c>
      <c r="K1786" t="str">
        <f t="shared" si="83"/>
        <v>No</v>
      </c>
      <c r="L1786" t="s">
        <v>2380</v>
      </c>
    </row>
    <row r="1787" spans="1:12" x14ac:dyDescent="0.35">
      <c r="A1787" t="s">
        <v>584</v>
      </c>
      <c r="B1787" t="str">
        <f t="shared" si="81"/>
        <v>Underweight</v>
      </c>
      <c r="C1787">
        <v>16.57</v>
      </c>
      <c r="D1787" t="str">
        <f t="shared" si="82"/>
        <v>Diabetes</v>
      </c>
      <c r="E1787">
        <v>9.99</v>
      </c>
      <c r="F1787" t="s">
        <v>2380</v>
      </c>
      <c r="G1787" t="s">
        <v>2380</v>
      </c>
      <c r="H1787" t="s">
        <v>2380</v>
      </c>
      <c r="J1787" t="s">
        <v>2381</v>
      </c>
      <c r="K1787" t="str">
        <f t="shared" si="83"/>
        <v>No</v>
      </c>
      <c r="L1787" t="s">
        <v>2380</v>
      </c>
    </row>
    <row r="1788" spans="1:12" x14ac:dyDescent="0.35">
      <c r="A1788" t="s">
        <v>583</v>
      </c>
      <c r="B1788" t="str">
        <f t="shared" si="81"/>
        <v>Underweight</v>
      </c>
      <c r="C1788">
        <v>17.55</v>
      </c>
      <c r="D1788" t="str">
        <f t="shared" si="82"/>
        <v>Prediabetes</v>
      </c>
      <c r="E1788">
        <v>5.93</v>
      </c>
      <c r="F1788" t="s">
        <v>2380</v>
      </c>
      <c r="G1788" t="s">
        <v>2380</v>
      </c>
      <c r="H1788" t="s">
        <v>2383</v>
      </c>
      <c r="J1788">
        <v>1</v>
      </c>
      <c r="K1788" t="str">
        <f t="shared" si="83"/>
        <v>No</v>
      </c>
      <c r="L1788" t="s">
        <v>2380</v>
      </c>
    </row>
    <row r="1789" spans="1:12" x14ac:dyDescent="0.35">
      <c r="A1789" t="s">
        <v>582</v>
      </c>
      <c r="B1789" t="str">
        <f t="shared" si="81"/>
        <v>Overweight</v>
      </c>
      <c r="C1789">
        <v>29.41</v>
      </c>
      <c r="D1789" t="str">
        <f t="shared" si="82"/>
        <v>Prediabetes</v>
      </c>
      <c r="E1789">
        <v>6.29</v>
      </c>
      <c r="F1789" t="s">
        <v>2382</v>
      </c>
      <c r="G1789" t="s">
        <v>2380</v>
      </c>
      <c r="H1789" t="s">
        <v>2380</v>
      </c>
      <c r="J1789">
        <v>1</v>
      </c>
      <c r="K1789" t="str">
        <f t="shared" si="83"/>
        <v>No</v>
      </c>
      <c r="L1789" t="s">
        <v>2380</v>
      </c>
    </row>
    <row r="1790" spans="1:12" x14ac:dyDescent="0.35">
      <c r="A1790" t="s">
        <v>581</v>
      </c>
      <c r="B1790" t="str">
        <f t="shared" si="81"/>
        <v>Underweight</v>
      </c>
      <c r="C1790">
        <v>17.91</v>
      </c>
      <c r="D1790" t="str">
        <f t="shared" si="82"/>
        <v>Normal</v>
      </c>
      <c r="E1790">
        <v>5.65</v>
      </c>
      <c r="F1790" t="s">
        <v>2380</v>
      </c>
      <c r="G1790" t="s">
        <v>2380</v>
      </c>
      <c r="H1790" t="s">
        <v>2380</v>
      </c>
      <c r="J1790">
        <v>1</v>
      </c>
      <c r="K1790" t="str">
        <f t="shared" si="83"/>
        <v>No</v>
      </c>
      <c r="L1790" t="s">
        <v>2380</v>
      </c>
    </row>
    <row r="1791" spans="1:12" x14ac:dyDescent="0.35">
      <c r="A1791" t="s">
        <v>580</v>
      </c>
      <c r="B1791" t="str">
        <f t="shared" si="81"/>
        <v>Obesity</v>
      </c>
      <c r="C1791">
        <v>31.57</v>
      </c>
      <c r="D1791" t="str">
        <f t="shared" si="82"/>
        <v>Prediabetes</v>
      </c>
      <c r="E1791">
        <v>6.15</v>
      </c>
      <c r="F1791" t="s">
        <v>2380</v>
      </c>
      <c r="G1791" t="s">
        <v>2380</v>
      </c>
      <c r="H1791" t="s">
        <v>2380</v>
      </c>
      <c r="J1791">
        <v>1</v>
      </c>
      <c r="K1791" t="str">
        <f t="shared" si="83"/>
        <v>No</v>
      </c>
      <c r="L1791" t="s">
        <v>2380</v>
      </c>
    </row>
    <row r="1792" spans="1:12" x14ac:dyDescent="0.35">
      <c r="A1792" t="s">
        <v>579</v>
      </c>
      <c r="B1792" t="str">
        <f t="shared" si="81"/>
        <v>Obesity</v>
      </c>
      <c r="C1792">
        <v>33.18</v>
      </c>
      <c r="D1792" t="str">
        <f t="shared" si="82"/>
        <v>Normal</v>
      </c>
      <c r="E1792">
        <v>5.22</v>
      </c>
      <c r="F1792" t="s">
        <v>2380</v>
      </c>
      <c r="G1792" t="s">
        <v>2382</v>
      </c>
      <c r="H1792" t="s">
        <v>2380</v>
      </c>
      <c r="J1792">
        <v>1</v>
      </c>
      <c r="K1792" t="str">
        <f t="shared" si="83"/>
        <v>No</v>
      </c>
      <c r="L1792" t="s">
        <v>2380</v>
      </c>
    </row>
    <row r="1793" spans="1:12" x14ac:dyDescent="0.35">
      <c r="A1793" t="s">
        <v>578</v>
      </c>
      <c r="B1793" t="str">
        <f t="shared" si="81"/>
        <v>Obesity</v>
      </c>
      <c r="C1793">
        <v>37</v>
      </c>
      <c r="D1793" t="str">
        <f t="shared" si="82"/>
        <v>Diabetes</v>
      </c>
      <c r="E1793">
        <v>11.66</v>
      </c>
      <c r="F1793" t="s">
        <v>2380</v>
      </c>
      <c r="G1793" t="s">
        <v>2380</v>
      </c>
      <c r="H1793" t="s">
        <v>2380</v>
      </c>
      <c r="J1793" t="s">
        <v>2381</v>
      </c>
      <c r="K1793" t="str">
        <f t="shared" si="83"/>
        <v>No</v>
      </c>
      <c r="L1793" t="s">
        <v>2380</v>
      </c>
    </row>
    <row r="1794" spans="1:12" x14ac:dyDescent="0.35">
      <c r="A1794" t="s">
        <v>577</v>
      </c>
      <c r="B1794" t="str">
        <f t="shared" si="81"/>
        <v>Normal Weight</v>
      </c>
      <c r="C1794">
        <v>18.905000000000001</v>
      </c>
      <c r="D1794" t="str">
        <f t="shared" si="82"/>
        <v>Normal</v>
      </c>
      <c r="E1794">
        <v>4.91</v>
      </c>
      <c r="F1794" t="s">
        <v>2382</v>
      </c>
      <c r="G1794" t="s">
        <v>2380</v>
      </c>
      <c r="H1794" t="s">
        <v>2380</v>
      </c>
      <c r="J1794">
        <v>1</v>
      </c>
      <c r="K1794" t="str">
        <f t="shared" si="83"/>
        <v>No</v>
      </c>
      <c r="L1794" t="s">
        <v>2380</v>
      </c>
    </row>
    <row r="1795" spans="1:12" x14ac:dyDescent="0.35">
      <c r="A1795" t="s">
        <v>576</v>
      </c>
      <c r="B1795" t="str">
        <f t="shared" ref="B1795:B1858" si="84">_xlfn.IFS(C1795&lt;18.5, "Underweight", C1795&lt;=24.9, "Normal Weight", C1795&lt;=29.9, "Overweight", C1795&gt;=30, "Obesity")</f>
        <v>Normal Weight</v>
      </c>
      <c r="C1795">
        <v>20.03</v>
      </c>
      <c r="D1795" t="str">
        <f t="shared" ref="D1795:D1858" si="85">_xlfn.IFS(E1795&lt;5.7, "Normal", E1795&lt;=6.4, "Prediabetes", E1795&gt;=6.5, "Diabetes")</f>
        <v>Diabetes</v>
      </c>
      <c r="E1795">
        <v>9.25</v>
      </c>
      <c r="F1795" t="s">
        <v>2382</v>
      </c>
      <c r="G1795" t="s">
        <v>2380</v>
      </c>
      <c r="H1795" t="s">
        <v>2380</v>
      </c>
      <c r="J1795" t="s">
        <v>2381</v>
      </c>
      <c r="K1795" t="str">
        <f t="shared" si="83"/>
        <v>No</v>
      </c>
      <c r="L1795" t="s">
        <v>2380</v>
      </c>
    </row>
    <row r="1796" spans="1:12" x14ac:dyDescent="0.35">
      <c r="A1796" t="s">
        <v>575</v>
      </c>
      <c r="B1796" t="str">
        <f t="shared" si="84"/>
        <v>Underweight</v>
      </c>
      <c r="C1796">
        <v>16.7</v>
      </c>
      <c r="D1796" t="str">
        <f t="shared" si="85"/>
        <v>Diabetes</v>
      </c>
      <c r="E1796">
        <v>11.48</v>
      </c>
      <c r="F1796" t="s">
        <v>2380</v>
      </c>
      <c r="G1796" t="s">
        <v>2380</v>
      </c>
      <c r="H1796" t="s">
        <v>2380</v>
      </c>
      <c r="J1796" t="s">
        <v>2381</v>
      </c>
      <c r="K1796" t="str">
        <f t="shared" ref="K1796:K1859" si="86">IF(OR(L1796="?", ISBLANK(L1796)), "No", L1796)</f>
        <v>No</v>
      </c>
      <c r="L1796" t="s">
        <v>2380</v>
      </c>
    </row>
    <row r="1797" spans="1:12" x14ac:dyDescent="0.35">
      <c r="A1797" t="s">
        <v>574</v>
      </c>
      <c r="B1797" t="str">
        <f t="shared" si="84"/>
        <v>Obesity</v>
      </c>
      <c r="C1797">
        <v>39.82</v>
      </c>
      <c r="D1797" t="str">
        <f t="shared" si="85"/>
        <v>Prediabetes</v>
      </c>
      <c r="E1797">
        <v>6.06</v>
      </c>
      <c r="F1797" t="s">
        <v>2380</v>
      </c>
      <c r="G1797" t="s">
        <v>2380</v>
      </c>
      <c r="H1797" t="s">
        <v>2380</v>
      </c>
      <c r="J1797" t="s">
        <v>2381</v>
      </c>
      <c r="K1797" t="str">
        <f t="shared" si="86"/>
        <v>No</v>
      </c>
      <c r="L1797" t="s">
        <v>2380</v>
      </c>
    </row>
    <row r="1798" spans="1:12" x14ac:dyDescent="0.35">
      <c r="A1798" t="s">
        <v>573</v>
      </c>
      <c r="B1798" t="str">
        <f t="shared" si="84"/>
        <v>Normal Weight</v>
      </c>
      <c r="C1798">
        <v>22.04</v>
      </c>
      <c r="D1798" t="str">
        <f t="shared" si="85"/>
        <v>Prediabetes</v>
      </c>
      <c r="E1798">
        <v>5.86</v>
      </c>
      <c r="F1798" t="s">
        <v>2380</v>
      </c>
      <c r="G1798" t="s">
        <v>2380</v>
      </c>
      <c r="H1798" t="s">
        <v>2380</v>
      </c>
      <c r="J1798">
        <v>1</v>
      </c>
      <c r="K1798" t="str">
        <f t="shared" si="86"/>
        <v>No</v>
      </c>
      <c r="L1798" t="s">
        <v>2380</v>
      </c>
    </row>
    <row r="1799" spans="1:12" x14ac:dyDescent="0.35">
      <c r="A1799" t="s">
        <v>572</v>
      </c>
      <c r="B1799" t="str">
        <f t="shared" si="84"/>
        <v>Overweight</v>
      </c>
      <c r="C1799">
        <v>28.27</v>
      </c>
      <c r="D1799" t="str">
        <f t="shared" si="85"/>
        <v>Normal</v>
      </c>
      <c r="E1799">
        <v>5.33</v>
      </c>
      <c r="F1799" t="s">
        <v>2380</v>
      </c>
      <c r="G1799" t="s">
        <v>2380</v>
      </c>
      <c r="H1799" t="s">
        <v>2380</v>
      </c>
      <c r="J1799" t="s">
        <v>2381</v>
      </c>
      <c r="K1799" t="str">
        <f t="shared" si="86"/>
        <v>No</v>
      </c>
      <c r="L1799" t="s">
        <v>2380</v>
      </c>
    </row>
    <row r="1800" spans="1:12" x14ac:dyDescent="0.35">
      <c r="A1800" t="s">
        <v>571</v>
      </c>
      <c r="B1800" t="str">
        <f t="shared" si="84"/>
        <v>Normal Weight</v>
      </c>
      <c r="C1800">
        <v>18.5</v>
      </c>
      <c r="D1800" t="str">
        <f t="shared" si="85"/>
        <v>Normal</v>
      </c>
      <c r="E1800">
        <v>5.33</v>
      </c>
      <c r="F1800" t="s">
        <v>2380</v>
      </c>
      <c r="G1800" t="s">
        <v>2380</v>
      </c>
      <c r="H1800" t="s">
        <v>2380</v>
      </c>
      <c r="J1800" t="s">
        <v>2381</v>
      </c>
      <c r="K1800" t="str">
        <f t="shared" si="86"/>
        <v>No</v>
      </c>
      <c r="L1800" t="s">
        <v>2380</v>
      </c>
    </row>
    <row r="1801" spans="1:12" x14ac:dyDescent="0.35">
      <c r="A1801" t="s">
        <v>570</v>
      </c>
      <c r="B1801" t="str">
        <f t="shared" si="84"/>
        <v>Obesity</v>
      </c>
      <c r="C1801">
        <v>38.6</v>
      </c>
      <c r="D1801" t="str">
        <f t="shared" si="85"/>
        <v>Prediabetes</v>
      </c>
      <c r="E1801">
        <v>6.02</v>
      </c>
      <c r="F1801" t="s">
        <v>2380</v>
      </c>
      <c r="G1801" t="s">
        <v>2380</v>
      </c>
      <c r="H1801" t="s">
        <v>2380</v>
      </c>
      <c r="J1801">
        <v>1</v>
      </c>
      <c r="K1801" t="str">
        <f t="shared" si="86"/>
        <v>No</v>
      </c>
      <c r="L1801" t="s">
        <v>2380</v>
      </c>
    </row>
    <row r="1802" spans="1:12" x14ac:dyDescent="0.35">
      <c r="A1802" t="s">
        <v>569</v>
      </c>
      <c r="B1802" t="str">
        <f t="shared" si="84"/>
        <v>Obesity</v>
      </c>
      <c r="C1802">
        <v>43.12</v>
      </c>
      <c r="D1802" t="str">
        <f t="shared" si="85"/>
        <v>Prediabetes</v>
      </c>
      <c r="E1802">
        <v>6.25</v>
      </c>
      <c r="F1802" t="s">
        <v>2380</v>
      </c>
      <c r="G1802" t="s">
        <v>2380</v>
      </c>
      <c r="H1802" t="s">
        <v>2380</v>
      </c>
      <c r="J1802">
        <v>1</v>
      </c>
      <c r="K1802" t="str">
        <f t="shared" si="86"/>
        <v>No</v>
      </c>
      <c r="L1802" t="s">
        <v>2380</v>
      </c>
    </row>
    <row r="1803" spans="1:12" x14ac:dyDescent="0.35">
      <c r="A1803" t="s">
        <v>568</v>
      </c>
      <c r="B1803" t="str">
        <f t="shared" si="84"/>
        <v>Obesity</v>
      </c>
      <c r="C1803">
        <v>30.5</v>
      </c>
      <c r="D1803" t="str">
        <f t="shared" si="85"/>
        <v>Normal</v>
      </c>
      <c r="E1803">
        <v>4.8099999999999996</v>
      </c>
      <c r="F1803" t="s">
        <v>2380</v>
      </c>
      <c r="G1803" t="s">
        <v>2380</v>
      </c>
      <c r="H1803" t="s">
        <v>2380</v>
      </c>
      <c r="J1803">
        <v>1</v>
      </c>
      <c r="K1803" t="str">
        <f t="shared" si="86"/>
        <v>No</v>
      </c>
      <c r="L1803" t="s">
        <v>2380</v>
      </c>
    </row>
    <row r="1804" spans="1:12" x14ac:dyDescent="0.35">
      <c r="A1804" t="s">
        <v>567</v>
      </c>
      <c r="B1804" t="str">
        <f t="shared" si="84"/>
        <v>Overweight</v>
      </c>
      <c r="C1804">
        <v>27.61</v>
      </c>
      <c r="D1804" t="str">
        <f t="shared" si="85"/>
        <v>Normal</v>
      </c>
      <c r="E1804">
        <v>4.5999999999999996</v>
      </c>
      <c r="F1804" t="s">
        <v>2380</v>
      </c>
      <c r="G1804" t="s">
        <v>2380</v>
      </c>
      <c r="H1804" t="s">
        <v>2380</v>
      </c>
      <c r="J1804">
        <v>1</v>
      </c>
      <c r="K1804" t="str">
        <f t="shared" si="86"/>
        <v>No</v>
      </c>
      <c r="L1804" t="s">
        <v>2380</v>
      </c>
    </row>
    <row r="1805" spans="1:12" x14ac:dyDescent="0.35">
      <c r="A1805" t="s">
        <v>566</v>
      </c>
      <c r="B1805" t="str">
        <f t="shared" si="84"/>
        <v>Overweight</v>
      </c>
      <c r="C1805">
        <v>27.1</v>
      </c>
      <c r="D1805" t="str">
        <f t="shared" si="85"/>
        <v>Normal</v>
      </c>
      <c r="E1805">
        <v>5.08</v>
      </c>
      <c r="F1805" t="s">
        <v>2380</v>
      </c>
      <c r="G1805" t="s">
        <v>2380</v>
      </c>
      <c r="H1805" t="s">
        <v>2380</v>
      </c>
      <c r="J1805">
        <v>1</v>
      </c>
      <c r="K1805" t="str">
        <f t="shared" si="86"/>
        <v>No</v>
      </c>
      <c r="L1805" t="s">
        <v>2380</v>
      </c>
    </row>
    <row r="1806" spans="1:12" x14ac:dyDescent="0.35">
      <c r="A1806" t="s">
        <v>565</v>
      </c>
      <c r="B1806" t="str">
        <f t="shared" si="84"/>
        <v>Obesity</v>
      </c>
      <c r="C1806">
        <v>35.93</v>
      </c>
      <c r="D1806" t="str">
        <f t="shared" si="85"/>
        <v>Normal</v>
      </c>
      <c r="E1806">
        <v>5.43</v>
      </c>
      <c r="F1806" t="s">
        <v>2380</v>
      </c>
      <c r="G1806" t="s">
        <v>2382</v>
      </c>
      <c r="H1806" t="s">
        <v>2380</v>
      </c>
      <c r="J1806">
        <v>1</v>
      </c>
      <c r="K1806" t="str">
        <f t="shared" si="86"/>
        <v>No</v>
      </c>
      <c r="L1806" t="s">
        <v>2380</v>
      </c>
    </row>
    <row r="1807" spans="1:12" x14ac:dyDescent="0.35">
      <c r="A1807" t="s">
        <v>564</v>
      </c>
      <c r="B1807" t="str">
        <f t="shared" si="84"/>
        <v>Obesity</v>
      </c>
      <c r="C1807">
        <v>32.68</v>
      </c>
      <c r="D1807" t="str">
        <f t="shared" si="85"/>
        <v>Normal</v>
      </c>
      <c r="E1807">
        <v>5.44</v>
      </c>
      <c r="F1807" t="s">
        <v>2380</v>
      </c>
      <c r="G1807" t="s">
        <v>2380</v>
      </c>
      <c r="H1807" t="s">
        <v>2380</v>
      </c>
      <c r="J1807" t="s">
        <v>2381</v>
      </c>
      <c r="K1807" t="str">
        <f t="shared" si="86"/>
        <v>No</v>
      </c>
      <c r="L1807" t="s">
        <v>2380</v>
      </c>
    </row>
    <row r="1808" spans="1:12" x14ac:dyDescent="0.35">
      <c r="A1808" t="s">
        <v>563</v>
      </c>
      <c r="B1808" t="str">
        <f t="shared" si="84"/>
        <v>Normal Weight</v>
      </c>
      <c r="C1808">
        <v>20.74</v>
      </c>
      <c r="D1808" t="str">
        <f t="shared" si="85"/>
        <v>Diabetes</v>
      </c>
      <c r="E1808">
        <v>11.69</v>
      </c>
      <c r="F1808" t="s">
        <v>2382</v>
      </c>
      <c r="G1808" t="s">
        <v>2380</v>
      </c>
      <c r="H1808" t="s">
        <v>2380</v>
      </c>
      <c r="J1808">
        <v>1</v>
      </c>
      <c r="K1808" t="str">
        <f t="shared" si="86"/>
        <v>No</v>
      </c>
      <c r="L1808" t="s">
        <v>2380</v>
      </c>
    </row>
    <row r="1809" spans="1:12" x14ac:dyDescent="0.35">
      <c r="A1809" t="s">
        <v>562</v>
      </c>
      <c r="B1809" t="str">
        <f t="shared" si="84"/>
        <v>Underweight</v>
      </c>
      <c r="C1809">
        <v>15.57</v>
      </c>
      <c r="D1809" t="str">
        <f t="shared" si="85"/>
        <v>Prediabetes</v>
      </c>
      <c r="E1809">
        <v>6.07</v>
      </c>
      <c r="F1809" t="s">
        <v>2380</v>
      </c>
      <c r="G1809" t="s">
        <v>2380</v>
      </c>
      <c r="H1809" t="s">
        <v>2380</v>
      </c>
      <c r="J1809" t="s">
        <v>2381</v>
      </c>
      <c r="K1809" t="str">
        <f t="shared" si="86"/>
        <v>No</v>
      </c>
      <c r="L1809" t="s">
        <v>2380</v>
      </c>
    </row>
    <row r="1810" spans="1:12" x14ac:dyDescent="0.35">
      <c r="A1810" t="s">
        <v>561</v>
      </c>
      <c r="B1810" t="str">
        <f t="shared" si="84"/>
        <v>Normal Weight</v>
      </c>
      <c r="C1810">
        <v>23.844999999999999</v>
      </c>
      <c r="D1810" t="str">
        <f t="shared" si="85"/>
        <v>Normal</v>
      </c>
      <c r="E1810">
        <v>4.3600000000000003</v>
      </c>
      <c r="F1810" t="s">
        <v>2380</v>
      </c>
      <c r="G1810" t="s">
        <v>2380</v>
      </c>
      <c r="H1810" t="s">
        <v>2380</v>
      </c>
      <c r="J1810" t="s">
        <v>2381</v>
      </c>
      <c r="K1810" t="str">
        <f t="shared" si="86"/>
        <v>No</v>
      </c>
      <c r="L1810" t="s">
        <v>2380</v>
      </c>
    </row>
    <row r="1811" spans="1:12" x14ac:dyDescent="0.35">
      <c r="A1811" t="s">
        <v>560</v>
      </c>
      <c r="B1811" t="str">
        <f t="shared" si="84"/>
        <v>Normal Weight</v>
      </c>
      <c r="C1811">
        <v>22.895</v>
      </c>
      <c r="D1811" t="str">
        <f t="shared" si="85"/>
        <v>Normal</v>
      </c>
      <c r="E1811">
        <v>5.24</v>
      </c>
      <c r="F1811" t="s">
        <v>2380</v>
      </c>
      <c r="G1811" t="s">
        <v>2380</v>
      </c>
      <c r="H1811" t="s">
        <v>2380</v>
      </c>
      <c r="J1811">
        <v>1</v>
      </c>
      <c r="K1811" t="str">
        <f t="shared" si="86"/>
        <v>No</v>
      </c>
      <c r="L1811" t="s">
        <v>2380</v>
      </c>
    </row>
    <row r="1812" spans="1:12" x14ac:dyDescent="0.35">
      <c r="A1812" t="s">
        <v>559</v>
      </c>
      <c r="B1812" t="str">
        <f t="shared" si="84"/>
        <v>Normal Weight</v>
      </c>
      <c r="C1812">
        <v>21.945</v>
      </c>
      <c r="D1812" t="str">
        <f t="shared" si="85"/>
        <v>Normal</v>
      </c>
      <c r="E1812">
        <v>5.37</v>
      </c>
      <c r="F1812" t="s">
        <v>2380</v>
      </c>
      <c r="G1812" t="s">
        <v>2380</v>
      </c>
      <c r="H1812" t="s">
        <v>2380</v>
      </c>
      <c r="J1812">
        <v>1</v>
      </c>
      <c r="K1812" t="str">
        <f t="shared" si="86"/>
        <v>No</v>
      </c>
      <c r="L1812" t="s">
        <v>2380</v>
      </c>
    </row>
    <row r="1813" spans="1:12" x14ac:dyDescent="0.35">
      <c r="A1813" t="s">
        <v>558</v>
      </c>
      <c r="B1813" t="str">
        <f t="shared" si="84"/>
        <v>Normal Weight</v>
      </c>
      <c r="C1813">
        <v>19.47</v>
      </c>
      <c r="D1813" t="str">
        <f t="shared" si="85"/>
        <v>Diabetes</v>
      </c>
      <c r="E1813">
        <v>6.6</v>
      </c>
      <c r="F1813" t="s">
        <v>2382</v>
      </c>
      <c r="G1813" t="s">
        <v>2380</v>
      </c>
      <c r="H1813" t="s">
        <v>2380</v>
      </c>
      <c r="J1813" t="s">
        <v>2381</v>
      </c>
      <c r="K1813" t="str">
        <f t="shared" si="86"/>
        <v>No</v>
      </c>
      <c r="L1813" t="s">
        <v>2380</v>
      </c>
    </row>
    <row r="1814" spans="1:12" x14ac:dyDescent="0.35">
      <c r="A1814" t="s">
        <v>557</v>
      </c>
      <c r="B1814" t="str">
        <f t="shared" si="84"/>
        <v>Underweight</v>
      </c>
      <c r="C1814">
        <v>15.61</v>
      </c>
      <c r="D1814" t="str">
        <f t="shared" si="85"/>
        <v>Prediabetes</v>
      </c>
      <c r="E1814">
        <v>5.77</v>
      </c>
      <c r="F1814" t="s">
        <v>2380</v>
      </c>
      <c r="G1814" t="s">
        <v>2380</v>
      </c>
      <c r="H1814" t="s">
        <v>2380</v>
      </c>
      <c r="J1814" t="s">
        <v>2381</v>
      </c>
      <c r="K1814" t="str">
        <f t="shared" si="86"/>
        <v>No</v>
      </c>
      <c r="L1814" t="s">
        <v>2380</v>
      </c>
    </row>
    <row r="1815" spans="1:12" x14ac:dyDescent="0.35">
      <c r="A1815" t="s">
        <v>556</v>
      </c>
      <c r="B1815" t="str">
        <f t="shared" si="84"/>
        <v>Overweight</v>
      </c>
      <c r="C1815">
        <v>28.6</v>
      </c>
      <c r="D1815" t="str">
        <f t="shared" si="85"/>
        <v>Prediabetes</v>
      </c>
      <c r="E1815">
        <v>6.08</v>
      </c>
      <c r="F1815" t="s">
        <v>2380</v>
      </c>
      <c r="G1815" t="s">
        <v>2380</v>
      </c>
      <c r="H1815" t="s">
        <v>2383</v>
      </c>
      <c r="J1815">
        <v>1</v>
      </c>
      <c r="K1815" t="str">
        <f t="shared" si="86"/>
        <v>No</v>
      </c>
      <c r="L1815" t="s">
        <v>2380</v>
      </c>
    </row>
    <row r="1816" spans="1:12" x14ac:dyDescent="0.35">
      <c r="A1816" t="s">
        <v>555</v>
      </c>
      <c r="B1816" t="str">
        <f t="shared" si="84"/>
        <v>Obesity</v>
      </c>
      <c r="C1816">
        <v>46.53</v>
      </c>
      <c r="D1816" t="str">
        <f t="shared" si="85"/>
        <v>Normal</v>
      </c>
      <c r="E1816">
        <v>4.16</v>
      </c>
      <c r="F1816" t="s">
        <v>2380</v>
      </c>
      <c r="G1816" t="s">
        <v>2380</v>
      </c>
      <c r="H1816" t="s">
        <v>2380</v>
      </c>
      <c r="J1816" t="s">
        <v>2381</v>
      </c>
      <c r="K1816" t="str">
        <f t="shared" si="86"/>
        <v>No</v>
      </c>
      <c r="L1816" t="s">
        <v>2380</v>
      </c>
    </row>
    <row r="1817" spans="1:12" x14ac:dyDescent="0.35">
      <c r="A1817" t="s">
        <v>554</v>
      </c>
      <c r="B1817" t="str">
        <f t="shared" si="84"/>
        <v>Obesity</v>
      </c>
      <c r="C1817">
        <v>34.99</v>
      </c>
      <c r="D1817" t="str">
        <f t="shared" si="85"/>
        <v>Normal</v>
      </c>
      <c r="E1817">
        <v>5.0999999999999996</v>
      </c>
      <c r="F1817" t="s">
        <v>2380</v>
      </c>
      <c r="G1817" t="s">
        <v>2380</v>
      </c>
      <c r="H1817" t="s">
        <v>2383</v>
      </c>
      <c r="J1817">
        <v>1</v>
      </c>
      <c r="K1817" t="str">
        <f t="shared" si="86"/>
        <v>No</v>
      </c>
      <c r="L1817" t="s">
        <v>2380</v>
      </c>
    </row>
    <row r="1818" spans="1:12" x14ac:dyDescent="0.35">
      <c r="A1818" t="s">
        <v>553</v>
      </c>
      <c r="B1818" t="str">
        <f t="shared" si="84"/>
        <v>Underweight</v>
      </c>
      <c r="C1818">
        <v>17.05</v>
      </c>
      <c r="D1818" t="str">
        <f t="shared" si="85"/>
        <v>Normal</v>
      </c>
      <c r="E1818">
        <v>5.3</v>
      </c>
      <c r="F1818" t="s">
        <v>2380</v>
      </c>
      <c r="G1818" t="s">
        <v>2380</v>
      </c>
      <c r="H1818" t="s">
        <v>2383</v>
      </c>
      <c r="J1818">
        <v>1</v>
      </c>
      <c r="K1818" t="str">
        <f t="shared" si="86"/>
        <v>No</v>
      </c>
      <c r="L1818" t="s">
        <v>2380</v>
      </c>
    </row>
    <row r="1819" spans="1:12" x14ac:dyDescent="0.35">
      <c r="A1819" t="s">
        <v>552</v>
      </c>
      <c r="B1819" t="str">
        <f t="shared" si="84"/>
        <v>Obesity</v>
      </c>
      <c r="C1819">
        <v>37.18</v>
      </c>
      <c r="D1819" t="str">
        <f t="shared" si="85"/>
        <v>Normal</v>
      </c>
      <c r="E1819">
        <v>4.9000000000000004</v>
      </c>
      <c r="F1819" t="s">
        <v>2380</v>
      </c>
      <c r="G1819" t="s">
        <v>2380</v>
      </c>
      <c r="H1819" t="s">
        <v>2380</v>
      </c>
      <c r="J1819" t="s">
        <v>2381</v>
      </c>
      <c r="K1819" t="str">
        <f t="shared" si="86"/>
        <v>No</v>
      </c>
      <c r="L1819" t="s">
        <v>2380</v>
      </c>
    </row>
    <row r="1820" spans="1:12" x14ac:dyDescent="0.35">
      <c r="A1820" t="s">
        <v>551</v>
      </c>
      <c r="B1820" t="str">
        <f t="shared" si="84"/>
        <v>Obesity</v>
      </c>
      <c r="C1820">
        <v>35.200000000000003</v>
      </c>
      <c r="D1820" t="str">
        <f t="shared" si="85"/>
        <v>Normal</v>
      </c>
      <c r="E1820">
        <v>5.55</v>
      </c>
      <c r="F1820" t="s">
        <v>2380</v>
      </c>
      <c r="G1820" t="s">
        <v>2380</v>
      </c>
      <c r="H1820" t="s">
        <v>2380</v>
      </c>
      <c r="J1820" t="s">
        <v>2381</v>
      </c>
      <c r="K1820" t="str">
        <f t="shared" si="86"/>
        <v>No</v>
      </c>
      <c r="L1820" t="s">
        <v>2380</v>
      </c>
    </row>
    <row r="1821" spans="1:12" x14ac:dyDescent="0.35">
      <c r="A1821" t="s">
        <v>550</v>
      </c>
      <c r="B1821" t="str">
        <f t="shared" si="84"/>
        <v>Obesity</v>
      </c>
      <c r="C1821">
        <v>37.335000000000001</v>
      </c>
      <c r="D1821" t="str">
        <f t="shared" si="85"/>
        <v>Normal</v>
      </c>
      <c r="E1821">
        <v>4.95</v>
      </c>
      <c r="F1821" t="s">
        <v>2380</v>
      </c>
      <c r="G1821" t="s">
        <v>2380</v>
      </c>
      <c r="H1821" t="s">
        <v>2380</v>
      </c>
      <c r="J1821" t="s">
        <v>2381</v>
      </c>
      <c r="K1821" t="str">
        <f t="shared" si="86"/>
        <v>No</v>
      </c>
      <c r="L1821" t="s">
        <v>2380</v>
      </c>
    </row>
    <row r="1822" spans="1:12" x14ac:dyDescent="0.35">
      <c r="A1822" t="s">
        <v>549</v>
      </c>
      <c r="B1822" t="str">
        <f t="shared" si="84"/>
        <v>Overweight</v>
      </c>
      <c r="C1822">
        <v>27.265000000000001</v>
      </c>
      <c r="D1822" t="e">
        <f t="shared" si="85"/>
        <v>#N/A</v>
      </c>
      <c r="E1822">
        <v>6.46</v>
      </c>
      <c r="F1822" t="s">
        <v>2382</v>
      </c>
      <c r="G1822" t="s">
        <v>2380</v>
      </c>
      <c r="H1822" t="s">
        <v>2380</v>
      </c>
      <c r="J1822" t="s">
        <v>2381</v>
      </c>
      <c r="K1822" t="str">
        <f t="shared" si="86"/>
        <v>No</v>
      </c>
      <c r="L1822" t="s">
        <v>2380</v>
      </c>
    </row>
    <row r="1823" spans="1:12" x14ac:dyDescent="0.35">
      <c r="A1823" t="s">
        <v>548</v>
      </c>
      <c r="B1823" t="str">
        <f t="shared" si="84"/>
        <v>Obesity</v>
      </c>
      <c r="C1823">
        <v>30.8</v>
      </c>
      <c r="D1823" t="str">
        <f t="shared" si="85"/>
        <v>Normal</v>
      </c>
      <c r="E1823">
        <v>4.9000000000000004</v>
      </c>
      <c r="F1823" t="s">
        <v>2382</v>
      </c>
      <c r="G1823" t="s">
        <v>2380</v>
      </c>
      <c r="H1823" t="s">
        <v>2380</v>
      </c>
      <c r="J1823" t="s">
        <v>2381</v>
      </c>
      <c r="K1823" t="str">
        <f t="shared" si="86"/>
        <v>No</v>
      </c>
      <c r="L1823" t="s">
        <v>2380</v>
      </c>
    </row>
    <row r="1824" spans="1:12" x14ac:dyDescent="0.35">
      <c r="A1824" t="s">
        <v>547</v>
      </c>
      <c r="B1824" t="str">
        <f t="shared" si="84"/>
        <v>Obesity</v>
      </c>
      <c r="C1824">
        <v>30.21</v>
      </c>
      <c r="D1824" t="str">
        <f t="shared" si="85"/>
        <v>Normal</v>
      </c>
      <c r="E1824">
        <v>5.21</v>
      </c>
      <c r="F1824" t="s">
        <v>2380</v>
      </c>
      <c r="G1824" t="s">
        <v>2380</v>
      </c>
      <c r="H1824" t="s">
        <v>2380</v>
      </c>
      <c r="J1824">
        <v>1</v>
      </c>
      <c r="K1824" t="str">
        <f t="shared" si="86"/>
        <v>No</v>
      </c>
      <c r="L1824" t="s">
        <v>2380</v>
      </c>
    </row>
    <row r="1825" spans="1:12" x14ac:dyDescent="0.35">
      <c r="A1825" t="s">
        <v>546</v>
      </c>
      <c r="B1825" t="str">
        <f t="shared" si="84"/>
        <v>Obesity</v>
      </c>
      <c r="C1825">
        <v>35.340000000000003</v>
      </c>
      <c r="D1825" t="str">
        <f t="shared" si="85"/>
        <v>Normal</v>
      </c>
      <c r="E1825">
        <v>4.13</v>
      </c>
      <c r="F1825" t="s">
        <v>2380</v>
      </c>
      <c r="G1825" t="s">
        <v>2382</v>
      </c>
      <c r="H1825" t="s">
        <v>2380</v>
      </c>
      <c r="J1825">
        <v>1</v>
      </c>
      <c r="K1825" t="str">
        <f t="shared" si="86"/>
        <v>No</v>
      </c>
      <c r="L1825" t="s">
        <v>2380</v>
      </c>
    </row>
    <row r="1826" spans="1:12" x14ac:dyDescent="0.35">
      <c r="A1826" t="s">
        <v>545</v>
      </c>
      <c r="B1826" t="str">
        <f t="shared" si="84"/>
        <v>Overweight</v>
      </c>
      <c r="C1826">
        <v>26.695</v>
      </c>
      <c r="D1826" t="str">
        <f t="shared" si="85"/>
        <v>Normal</v>
      </c>
      <c r="E1826">
        <v>5.28</v>
      </c>
      <c r="F1826" t="s">
        <v>2380</v>
      </c>
      <c r="G1826" t="s">
        <v>2380</v>
      </c>
      <c r="H1826" t="s">
        <v>2380</v>
      </c>
      <c r="J1826" t="s">
        <v>2381</v>
      </c>
      <c r="K1826" t="str">
        <f t="shared" si="86"/>
        <v>No</v>
      </c>
      <c r="L1826" t="s">
        <v>2380</v>
      </c>
    </row>
    <row r="1827" spans="1:12" x14ac:dyDescent="0.35">
      <c r="A1827" t="s">
        <v>544</v>
      </c>
      <c r="B1827" t="str">
        <f t="shared" si="84"/>
        <v>Overweight</v>
      </c>
      <c r="C1827">
        <v>29.355</v>
      </c>
      <c r="D1827" t="str">
        <f t="shared" si="85"/>
        <v>Normal</v>
      </c>
      <c r="E1827">
        <v>4.68</v>
      </c>
      <c r="F1827" t="s">
        <v>2382</v>
      </c>
      <c r="G1827" t="s">
        <v>2380</v>
      </c>
      <c r="H1827" t="s">
        <v>2380</v>
      </c>
      <c r="J1827" t="s">
        <v>2381</v>
      </c>
      <c r="K1827" t="str">
        <f t="shared" si="86"/>
        <v>No</v>
      </c>
      <c r="L1827" t="s">
        <v>2380</v>
      </c>
    </row>
    <row r="1828" spans="1:12" x14ac:dyDescent="0.35">
      <c r="A1828" t="s">
        <v>543</v>
      </c>
      <c r="B1828" t="str">
        <f t="shared" si="84"/>
        <v>Overweight</v>
      </c>
      <c r="C1828">
        <v>29.59</v>
      </c>
      <c r="D1828" t="str">
        <f t="shared" si="85"/>
        <v>Normal</v>
      </c>
      <c r="E1828">
        <v>4.0599999999999996</v>
      </c>
      <c r="F1828" t="s">
        <v>2380</v>
      </c>
      <c r="G1828" t="s">
        <v>2380</v>
      </c>
      <c r="H1828" t="s">
        <v>2380</v>
      </c>
      <c r="J1828" t="s">
        <v>2381</v>
      </c>
      <c r="K1828" t="str">
        <f t="shared" si="86"/>
        <v>No</v>
      </c>
      <c r="L1828" t="s">
        <v>2380</v>
      </c>
    </row>
    <row r="1829" spans="1:12" x14ac:dyDescent="0.35">
      <c r="A1829" t="s">
        <v>542</v>
      </c>
      <c r="B1829" t="str">
        <f t="shared" si="84"/>
        <v>Obesity</v>
      </c>
      <c r="C1829">
        <v>31.35</v>
      </c>
      <c r="D1829" t="str">
        <f t="shared" si="85"/>
        <v>Normal</v>
      </c>
      <c r="E1829">
        <v>4.2</v>
      </c>
      <c r="F1829" t="s">
        <v>2380</v>
      </c>
      <c r="G1829" t="s">
        <v>2382</v>
      </c>
      <c r="H1829" t="s">
        <v>2380</v>
      </c>
      <c r="J1829">
        <v>1</v>
      </c>
      <c r="K1829" t="str">
        <f t="shared" si="86"/>
        <v>No</v>
      </c>
      <c r="L1829" t="s">
        <v>2380</v>
      </c>
    </row>
    <row r="1830" spans="1:12" x14ac:dyDescent="0.35">
      <c r="A1830" t="s">
        <v>541</v>
      </c>
      <c r="B1830" t="str">
        <f t="shared" si="84"/>
        <v>Normal Weight</v>
      </c>
      <c r="C1830">
        <v>20.52</v>
      </c>
      <c r="D1830" t="str">
        <f t="shared" si="85"/>
        <v>Normal</v>
      </c>
      <c r="E1830">
        <v>4.83</v>
      </c>
      <c r="F1830" t="s">
        <v>2380</v>
      </c>
      <c r="G1830" t="s">
        <v>2380</v>
      </c>
      <c r="H1830" t="s">
        <v>2380</v>
      </c>
      <c r="J1830" t="s">
        <v>2381</v>
      </c>
      <c r="K1830" t="str">
        <f t="shared" si="86"/>
        <v>No</v>
      </c>
      <c r="L1830" t="s">
        <v>2380</v>
      </c>
    </row>
    <row r="1831" spans="1:12" x14ac:dyDescent="0.35">
      <c r="A1831" t="s">
        <v>540</v>
      </c>
      <c r="B1831" t="str">
        <f t="shared" si="84"/>
        <v>Obesity</v>
      </c>
      <c r="C1831">
        <v>42.9</v>
      </c>
      <c r="D1831" t="str">
        <f t="shared" si="85"/>
        <v>Normal</v>
      </c>
      <c r="E1831">
        <v>4.87</v>
      </c>
      <c r="F1831" t="s">
        <v>2382</v>
      </c>
      <c r="G1831" t="s">
        <v>2380</v>
      </c>
      <c r="H1831" t="s">
        <v>2380</v>
      </c>
      <c r="J1831">
        <v>1</v>
      </c>
      <c r="K1831" t="str">
        <f t="shared" si="86"/>
        <v>No</v>
      </c>
      <c r="L1831" t="s">
        <v>2380</v>
      </c>
    </row>
    <row r="1832" spans="1:12" x14ac:dyDescent="0.35">
      <c r="A1832" t="s">
        <v>539</v>
      </c>
      <c r="B1832" t="str">
        <f t="shared" si="84"/>
        <v>Normal Weight</v>
      </c>
      <c r="C1832">
        <v>24.6</v>
      </c>
      <c r="D1832" t="str">
        <f t="shared" si="85"/>
        <v>Prediabetes</v>
      </c>
      <c r="E1832">
        <v>5.86</v>
      </c>
      <c r="F1832" t="s">
        <v>2380</v>
      </c>
      <c r="G1832" t="s">
        <v>2380</v>
      </c>
      <c r="H1832" t="s">
        <v>2383</v>
      </c>
      <c r="J1832">
        <v>1</v>
      </c>
      <c r="K1832" t="str">
        <f t="shared" si="86"/>
        <v>No</v>
      </c>
      <c r="L1832" t="s">
        <v>2380</v>
      </c>
    </row>
    <row r="1833" spans="1:12" x14ac:dyDescent="0.35">
      <c r="A1833" t="s">
        <v>538</v>
      </c>
      <c r="B1833" t="str">
        <f t="shared" si="84"/>
        <v>Overweight</v>
      </c>
      <c r="C1833">
        <v>28.405000000000001</v>
      </c>
      <c r="D1833" t="str">
        <f t="shared" si="85"/>
        <v>Normal</v>
      </c>
      <c r="E1833">
        <v>4.12</v>
      </c>
      <c r="F1833" t="s">
        <v>2380</v>
      </c>
      <c r="G1833" t="s">
        <v>2380</v>
      </c>
      <c r="H1833" t="s">
        <v>2380</v>
      </c>
      <c r="J1833">
        <v>1</v>
      </c>
      <c r="K1833" t="str">
        <f t="shared" si="86"/>
        <v>No</v>
      </c>
      <c r="L1833" t="s">
        <v>2380</v>
      </c>
    </row>
    <row r="1834" spans="1:12" x14ac:dyDescent="0.35">
      <c r="A1834" t="s">
        <v>537</v>
      </c>
      <c r="B1834" t="str">
        <f t="shared" si="84"/>
        <v>Obesity</v>
      </c>
      <c r="C1834">
        <v>34.674999999999997</v>
      </c>
      <c r="D1834" t="str">
        <f t="shared" si="85"/>
        <v>Prediabetes</v>
      </c>
      <c r="E1834">
        <v>5.71</v>
      </c>
      <c r="F1834" t="s">
        <v>2382</v>
      </c>
      <c r="G1834" t="s">
        <v>2380</v>
      </c>
      <c r="H1834" t="s">
        <v>2380</v>
      </c>
      <c r="J1834">
        <v>1</v>
      </c>
      <c r="K1834" t="str">
        <f t="shared" si="86"/>
        <v>No</v>
      </c>
      <c r="L1834" t="s">
        <v>2380</v>
      </c>
    </row>
    <row r="1835" spans="1:12" x14ac:dyDescent="0.35">
      <c r="A1835" t="s">
        <v>536</v>
      </c>
      <c r="B1835" t="str">
        <f t="shared" si="84"/>
        <v>Normal Weight</v>
      </c>
      <c r="C1835">
        <v>18.850000000000001</v>
      </c>
      <c r="D1835" t="str">
        <f t="shared" si="85"/>
        <v>Prediabetes</v>
      </c>
      <c r="E1835">
        <v>6.03</v>
      </c>
      <c r="F1835" t="s">
        <v>2380</v>
      </c>
      <c r="G1835" t="s">
        <v>2380</v>
      </c>
      <c r="H1835" t="s">
        <v>2380</v>
      </c>
      <c r="J1835">
        <v>1</v>
      </c>
      <c r="K1835" t="str">
        <f t="shared" si="86"/>
        <v>No</v>
      </c>
      <c r="L1835" t="s">
        <v>2380</v>
      </c>
    </row>
    <row r="1836" spans="1:12" x14ac:dyDescent="0.35">
      <c r="A1836" t="s">
        <v>534</v>
      </c>
      <c r="B1836" t="str">
        <f t="shared" si="84"/>
        <v>Obesity</v>
      </c>
      <c r="C1836">
        <v>34.130000000000003</v>
      </c>
      <c r="D1836" t="str">
        <f t="shared" si="85"/>
        <v>Normal</v>
      </c>
      <c r="E1836">
        <v>5.65</v>
      </c>
      <c r="F1836" t="s">
        <v>2380</v>
      </c>
      <c r="G1836" t="s">
        <v>2380</v>
      </c>
      <c r="H1836" t="s">
        <v>2383</v>
      </c>
      <c r="J1836">
        <v>1</v>
      </c>
      <c r="K1836" t="str">
        <f t="shared" si="86"/>
        <v>No</v>
      </c>
      <c r="L1836" t="s">
        <v>2380</v>
      </c>
    </row>
    <row r="1837" spans="1:12" x14ac:dyDescent="0.35">
      <c r="A1837" t="s">
        <v>533</v>
      </c>
      <c r="B1837" t="str">
        <f t="shared" si="84"/>
        <v>Underweight</v>
      </c>
      <c r="C1837">
        <v>17.34</v>
      </c>
      <c r="D1837" t="str">
        <f t="shared" si="85"/>
        <v>Normal</v>
      </c>
      <c r="E1837">
        <v>5.05</v>
      </c>
      <c r="F1837" t="s">
        <v>2380</v>
      </c>
      <c r="G1837" t="s">
        <v>2380</v>
      </c>
      <c r="H1837" t="s">
        <v>2380</v>
      </c>
      <c r="J1837" t="s">
        <v>2381</v>
      </c>
      <c r="K1837" t="str">
        <f t="shared" si="86"/>
        <v>No</v>
      </c>
      <c r="L1837" t="s">
        <v>2380</v>
      </c>
    </row>
    <row r="1838" spans="1:12" x14ac:dyDescent="0.35">
      <c r="A1838" t="s">
        <v>532</v>
      </c>
      <c r="B1838" t="str">
        <f t="shared" si="84"/>
        <v>Underweight</v>
      </c>
      <c r="C1838">
        <v>17.440000000000001</v>
      </c>
      <c r="D1838" t="str">
        <f t="shared" si="85"/>
        <v>Prediabetes</v>
      </c>
      <c r="E1838">
        <v>6.26</v>
      </c>
      <c r="F1838" t="s">
        <v>2380</v>
      </c>
      <c r="G1838" t="s">
        <v>2380</v>
      </c>
      <c r="H1838" t="s">
        <v>2380</v>
      </c>
      <c r="J1838" t="s">
        <v>2381</v>
      </c>
      <c r="K1838" t="str">
        <f t="shared" si="86"/>
        <v>No</v>
      </c>
      <c r="L1838" t="s">
        <v>2380</v>
      </c>
    </row>
    <row r="1839" spans="1:12" x14ac:dyDescent="0.35">
      <c r="A1839" t="s">
        <v>531</v>
      </c>
      <c r="B1839" t="str">
        <f t="shared" si="84"/>
        <v>Obesity</v>
      </c>
      <c r="C1839">
        <v>33.659999999999997</v>
      </c>
      <c r="D1839" t="str">
        <f t="shared" si="85"/>
        <v>Normal</v>
      </c>
      <c r="E1839">
        <v>4.08</v>
      </c>
      <c r="F1839" t="s">
        <v>2382</v>
      </c>
      <c r="G1839" t="s">
        <v>2380</v>
      </c>
      <c r="H1839" t="s">
        <v>2383</v>
      </c>
      <c r="J1839">
        <v>1</v>
      </c>
      <c r="K1839" t="str">
        <f t="shared" si="86"/>
        <v>No</v>
      </c>
      <c r="L1839" t="s">
        <v>2380</v>
      </c>
    </row>
    <row r="1840" spans="1:12" x14ac:dyDescent="0.35">
      <c r="A1840" t="s">
        <v>530</v>
      </c>
      <c r="B1840" t="str">
        <f t="shared" si="84"/>
        <v>Normal Weight</v>
      </c>
      <c r="C1840">
        <v>21.375</v>
      </c>
      <c r="D1840" t="str">
        <f t="shared" si="85"/>
        <v>Prediabetes</v>
      </c>
      <c r="E1840">
        <v>6.19</v>
      </c>
      <c r="F1840" t="s">
        <v>2382</v>
      </c>
      <c r="G1840" t="s">
        <v>2380</v>
      </c>
      <c r="H1840" t="s">
        <v>2380</v>
      </c>
      <c r="J1840">
        <v>1</v>
      </c>
      <c r="K1840" t="str">
        <f t="shared" si="86"/>
        <v>No</v>
      </c>
      <c r="L1840" t="s">
        <v>2380</v>
      </c>
    </row>
    <row r="1841" spans="1:12" x14ac:dyDescent="0.35">
      <c r="A1841" t="s">
        <v>529</v>
      </c>
      <c r="B1841" t="str">
        <f t="shared" si="84"/>
        <v>Overweight</v>
      </c>
      <c r="C1841">
        <v>27.14</v>
      </c>
      <c r="D1841" t="str">
        <f t="shared" si="85"/>
        <v>Prediabetes</v>
      </c>
      <c r="E1841">
        <v>6.01</v>
      </c>
      <c r="F1841" t="s">
        <v>2380</v>
      </c>
      <c r="G1841" t="s">
        <v>2380</v>
      </c>
      <c r="H1841" t="s">
        <v>2380</v>
      </c>
      <c r="J1841">
        <v>1</v>
      </c>
      <c r="K1841" t="str">
        <f t="shared" si="86"/>
        <v>No</v>
      </c>
      <c r="L1841" t="s">
        <v>2380</v>
      </c>
    </row>
    <row r="1842" spans="1:12" x14ac:dyDescent="0.35">
      <c r="A1842" t="s">
        <v>528</v>
      </c>
      <c r="B1842" t="str">
        <f t="shared" si="84"/>
        <v>Obesity</v>
      </c>
      <c r="C1842">
        <v>35.78</v>
      </c>
      <c r="D1842" t="str">
        <f t="shared" si="85"/>
        <v>Prediabetes</v>
      </c>
      <c r="E1842">
        <v>6.07</v>
      </c>
      <c r="F1842" t="s">
        <v>2380</v>
      </c>
      <c r="G1842" t="s">
        <v>2382</v>
      </c>
      <c r="H1842" t="s">
        <v>2380</v>
      </c>
      <c r="J1842">
        <v>1</v>
      </c>
      <c r="K1842" t="str">
        <f t="shared" si="86"/>
        <v>No</v>
      </c>
      <c r="L1842" t="s">
        <v>2380</v>
      </c>
    </row>
    <row r="1843" spans="1:12" x14ac:dyDescent="0.35">
      <c r="A1843" t="s">
        <v>527</v>
      </c>
      <c r="B1843" t="str">
        <f t="shared" si="84"/>
        <v>Obesity</v>
      </c>
      <c r="C1843">
        <v>34.96</v>
      </c>
      <c r="D1843" t="str">
        <f t="shared" si="85"/>
        <v>Normal</v>
      </c>
      <c r="E1843">
        <v>5.63</v>
      </c>
      <c r="F1843" t="s">
        <v>2380</v>
      </c>
      <c r="G1843" t="s">
        <v>2380</v>
      </c>
      <c r="H1843" t="s">
        <v>2380</v>
      </c>
      <c r="J1843" t="s">
        <v>2381</v>
      </c>
      <c r="K1843" t="str">
        <f t="shared" si="86"/>
        <v>No</v>
      </c>
      <c r="L1843" t="s">
        <v>2380</v>
      </c>
    </row>
    <row r="1844" spans="1:12" x14ac:dyDescent="0.35">
      <c r="A1844" t="s">
        <v>526</v>
      </c>
      <c r="B1844" t="str">
        <f t="shared" si="84"/>
        <v>Obesity</v>
      </c>
      <c r="C1844">
        <v>38.39</v>
      </c>
      <c r="D1844" t="str">
        <f t="shared" si="85"/>
        <v>Prediabetes</v>
      </c>
      <c r="E1844">
        <v>6.05</v>
      </c>
      <c r="F1844" t="s">
        <v>2380</v>
      </c>
      <c r="G1844" t="s">
        <v>2380</v>
      </c>
      <c r="H1844" t="s">
        <v>2380</v>
      </c>
      <c r="J1844" t="s">
        <v>2381</v>
      </c>
      <c r="K1844" t="str">
        <f t="shared" si="86"/>
        <v>No</v>
      </c>
      <c r="L1844" t="s">
        <v>2380</v>
      </c>
    </row>
    <row r="1845" spans="1:12" x14ac:dyDescent="0.35">
      <c r="A1845" t="s">
        <v>525</v>
      </c>
      <c r="B1845" t="str">
        <f t="shared" si="84"/>
        <v>Obesity</v>
      </c>
      <c r="C1845">
        <v>33.82</v>
      </c>
      <c r="D1845" t="str">
        <f t="shared" si="85"/>
        <v>Normal</v>
      </c>
      <c r="E1845">
        <v>4.6500000000000004</v>
      </c>
      <c r="F1845" t="s">
        <v>2380</v>
      </c>
      <c r="G1845" t="s">
        <v>2380</v>
      </c>
      <c r="H1845" t="s">
        <v>2380</v>
      </c>
      <c r="J1845" t="s">
        <v>2381</v>
      </c>
      <c r="K1845" t="str">
        <f t="shared" si="86"/>
        <v>No</v>
      </c>
      <c r="L1845" t="s">
        <v>2380</v>
      </c>
    </row>
    <row r="1846" spans="1:12" x14ac:dyDescent="0.35">
      <c r="A1846" t="s">
        <v>524</v>
      </c>
      <c r="B1846" t="str">
        <f t="shared" si="84"/>
        <v>Overweight</v>
      </c>
      <c r="C1846">
        <v>27.835000000000001</v>
      </c>
      <c r="D1846" t="str">
        <f t="shared" si="85"/>
        <v>Normal</v>
      </c>
      <c r="E1846">
        <v>5.37</v>
      </c>
      <c r="F1846" t="s">
        <v>2380</v>
      </c>
      <c r="G1846" t="s">
        <v>2380</v>
      </c>
      <c r="H1846" t="s">
        <v>2380</v>
      </c>
      <c r="J1846" t="s">
        <v>2381</v>
      </c>
      <c r="K1846" t="str">
        <f t="shared" si="86"/>
        <v>No</v>
      </c>
      <c r="L1846" t="s">
        <v>2380</v>
      </c>
    </row>
    <row r="1847" spans="1:12" x14ac:dyDescent="0.35">
      <c r="A1847" t="s">
        <v>523</v>
      </c>
      <c r="B1847" t="str">
        <f t="shared" si="84"/>
        <v>Obesity</v>
      </c>
      <c r="C1847">
        <v>33</v>
      </c>
      <c r="D1847" t="str">
        <f t="shared" si="85"/>
        <v>Normal</v>
      </c>
      <c r="E1847">
        <v>5.39</v>
      </c>
      <c r="F1847" t="s">
        <v>2380</v>
      </c>
      <c r="G1847" t="s">
        <v>2380</v>
      </c>
      <c r="H1847" t="s">
        <v>2380</v>
      </c>
      <c r="J1847" t="s">
        <v>2381</v>
      </c>
      <c r="K1847" t="str">
        <f t="shared" si="86"/>
        <v>No</v>
      </c>
      <c r="L1847" t="s">
        <v>2380</v>
      </c>
    </row>
    <row r="1848" spans="1:12" x14ac:dyDescent="0.35">
      <c r="A1848" t="s">
        <v>522</v>
      </c>
      <c r="B1848" t="str">
        <f t="shared" si="84"/>
        <v>Overweight</v>
      </c>
      <c r="C1848">
        <v>26.885000000000002</v>
      </c>
      <c r="D1848" t="str">
        <f t="shared" si="85"/>
        <v>Prediabetes</v>
      </c>
      <c r="E1848">
        <v>5.86</v>
      </c>
      <c r="F1848" t="s">
        <v>2380</v>
      </c>
      <c r="G1848" t="s">
        <v>2380</v>
      </c>
      <c r="H1848" t="s">
        <v>2380</v>
      </c>
      <c r="J1848" t="s">
        <v>2381</v>
      </c>
      <c r="K1848" t="str">
        <f t="shared" si="86"/>
        <v>No</v>
      </c>
      <c r="L1848" t="s">
        <v>2380</v>
      </c>
    </row>
    <row r="1849" spans="1:12" x14ac:dyDescent="0.35">
      <c r="A1849" t="s">
        <v>521</v>
      </c>
      <c r="B1849" t="str">
        <f t="shared" si="84"/>
        <v>Overweight</v>
      </c>
      <c r="C1849">
        <v>29.26</v>
      </c>
      <c r="D1849" t="str">
        <f t="shared" si="85"/>
        <v>Normal</v>
      </c>
      <c r="E1849">
        <v>4.4400000000000004</v>
      </c>
      <c r="F1849" t="s">
        <v>2380</v>
      </c>
      <c r="G1849" t="s">
        <v>2380</v>
      </c>
      <c r="H1849" t="s">
        <v>2380</v>
      </c>
      <c r="J1849" t="s">
        <v>2381</v>
      </c>
      <c r="K1849" t="str">
        <f t="shared" si="86"/>
        <v>No</v>
      </c>
      <c r="L1849" t="s">
        <v>2380</v>
      </c>
    </row>
    <row r="1850" spans="1:12" x14ac:dyDescent="0.35">
      <c r="A1850" t="s">
        <v>520</v>
      </c>
      <c r="B1850" t="str">
        <f t="shared" si="84"/>
        <v>Overweight</v>
      </c>
      <c r="C1850">
        <v>26.98</v>
      </c>
      <c r="D1850" t="str">
        <f t="shared" si="85"/>
        <v>Normal</v>
      </c>
      <c r="E1850">
        <v>4.41</v>
      </c>
      <c r="F1850" t="s">
        <v>2380</v>
      </c>
      <c r="G1850" t="s">
        <v>2380</v>
      </c>
      <c r="H1850" t="s">
        <v>2380</v>
      </c>
      <c r="J1850" t="s">
        <v>2381</v>
      </c>
      <c r="K1850" t="str">
        <f t="shared" si="86"/>
        <v>No</v>
      </c>
      <c r="L1850" t="s">
        <v>2380</v>
      </c>
    </row>
    <row r="1851" spans="1:12" x14ac:dyDescent="0.35">
      <c r="A1851" t="s">
        <v>519</v>
      </c>
      <c r="B1851" t="str">
        <f t="shared" si="84"/>
        <v>Obesity</v>
      </c>
      <c r="C1851">
        <v>32.11</v>
      </c>
      <c r="D1851" t="str">
        <f t="shared" si="85"/>
        <v>Normal</v>
      </c>
      <c r="E1851">
        <v>5.19</v>
      </c>
      <c r="F1851" t="s">
        <v>2380</v>
      </c>
      <c r="G1851" t="s">
        <v>2380</v>
      </c>
      <c r="H1851" t="s">
        <v>2383</v>
      </c>
      <c r="J1851">
        <v>1</v>
      </c>
      <c r="K1851" t="str">
        <f t="shared" si="86"/>
        <v>No</v>
      </c>
      <c r="L1851" t="s">
        <v>2380</v>
      </c>
    </row>
    <row r="1852" spans="1:12" x14ac:dyDescent="0.35">
      <c r="A1852" t="s">
        <v>518</v>
      </c>
      <c r="B1852" t="str">
        <f t="shared" si="84"/>
        <v>Obesity</v>
      </c>
      <c r="C1852">
        <v>31.73</v>
      </c>
      <c r="D1852" t="str">
        <f t="shared" si="85"/>
        <v>Normal</v>
      </c>
      <c r="E1852">
        <v>5.16</v>
      </c>
      <c r="F1852" t="s">
        <v>2380</v>
      </c>
      <c r="G1852" t="s">
        <v>2380</v>
      </c>
      <c r="H1852" t="s">
        <v>2383</v>
      </c>
      <c r="J1852">
        <v>1</v>
      </c>
      <c r="K1852" t="str">
        <f t="shared" si="86"/>
        <v>No</v>
      </c>
      <c r="L1852" t="s">
        <v>2380</v>
      </c>
    </row>
    <row r="1853" spans="1:12" x14ac:dyDescent="0.35">
      <c r="A1853" t="s">
        <v>517</v>
      </c>
      <c r="B1853" t="str">
        <f t="shared" si="84"/>
        <v>Normal Weight</v>
      </c>
      <c r="C1853">
        <v>22.515000000000001</v>
      </c>
      <c r="D1853" t="str">
        <f t="shared" si="85"/>
        <v>Normal</v>
      </c>
      <c r="E1853">
        <v>4.24</v>
      </c>
      <c r="F1853" t="s">
        <v>2380</v>
      </c>
      <c r="G1853" t="s">
        <v>2380</v>
      </c>
      <c r="H1853" t="s">
        <v>2380</v>
      </c>
      <c r="J1853" t="s">
        <v>2381</v>
      </c>
      <c r="K1853" t="str">
        <f t="shared" si="86"/>
        <v>No</v>
      </c>
      <c r="L1853" t="s">
        <v>2380</v>
      </c>
    </row>
    <row r="1854" spans="1:12" x14ac:dyDescent="0.35">
      <c r="A1854" t="s">
        <v>515</v>
      </c>
      <c r="B1854" t="str">
        <f t="shared" si="84"/>
        <v>Overweight</v>
      </c>
      <c r="C1854">
        <v>25.9</v>
      </c>
      <c r="D1854" t="str">
        <f t="shared" si="85"/>
        <v>Normal</v>
      </c>
      <c r="E1854">
        <v>5.45</v>
      </c>
      <c r="F1854" t="s">
        <v>2380</v>
      </c>
      <c r="G1854" t="s">
        <v>2380</v>
      </c>
      <c r="H1854" t="s">
        <v>2380</v>
      </c>
      <c r="J1854">
        <v>1</v>
      </c>
      <c r="K1854" t="str">
        <f t="shared" si="86"/>
        <v>No</v>
      </c>
      <c r="L1854" t="s">
        <v>2380</v>
      </c>
    </row>
    <row r="1855" spans="1:12" x14ac:dyDescent="0.35">
      <c r="A1855" t="s">
        <v>514</v>
      </c>
      <c r="B1855" t="str">
        <f t="shared" si="84"/>
        <v>Overweight</v>
      </c>
      <c r="C1855">
        <v>27.72</v>
      </c>
      <c r="D1855" t="str">
        <f t="shared" si="85"/>
        <v>Normal</v>
      </c>
      <c r="E1855">
        <v>5.03</v>
      </c>
      <c r="F1855" t="s">
        <v>2382</v>
      </c>
      <c r="G1855" t="s">
        <v>2380</v>
      </c>
      <c r="H1855" t="s">
        <v>2380</v>
      </c>
      <c r="J1855">
        <v>1</v>
      </c>
      <c r="K1855" t="str">
        <f t="shared" si="86"/>
        <v>No</v>
      </c>
      <c r="L1855" t="s">
        <v>2380</v>
      </c>
    </row>
    <row r="1856" spans="1:12" x14ac:dyDescent="0.35">
      <c r="A1856" t="s">
        <v>513</v>
      </c>
      <c r="B1856" t="str">
        <f t="shared" si="84"/>
        <v>Obesity</v>
      </c>
      <c r="C1856">
        <v>31.5</v>
      </c>
      <c r="D1856" t="str">
        <f t="shared" si="85"/>
        <v>Diabetes</v>
      </c>
      <c r="E1856">
        <v>9.6199999999999992</v>
      </c>
      <c r="F1856" t="s">
        <v>2382</v>
      </c>
      <c r="G1856" t="s">
        <v>2380</v>
      </c>
      <c r="H1856" t="s">
        <v>2380</v>
      </c>
      <c r="J1856">
        <v>1</v>
      </c>
      <c r="K1856" t="str">
        <f t="shared" si="86"/>
        <v>No</v>
      </c>
      <c r="L1856" t="s">
        <v>2380</v>
      </c>
    </row>
    <row r="1857" spans="1:12" x14ac:dyDescent="0.35">
      <c r="A1857" t="s">
        <v>512</v>
      </c>
      <c r="B1857" t="str">
        <f t="shared" si="84"/>
        <v>Overweight</v>
      </c>
      <c r="C1857">
        <v>29.7</v>
      </c>
      <c r="D1857" t="str">
        <f t="shared" si="85"/>
        <v>Diabetes</v>
      </c>
      <c r="E1857">
        <v>6.77</v>
      </c>
      <c r="F1857" t="s">
        <v>2382</v>
      </c>
      <c r="G1857" t="s">
        <v>2380</v>
      </c>
      <c r="H1857" t="s">
        <v>2380</v>
      </c>
      <c r="J1857">
        <v>1</v>
      </c>
      <c r="K1857" t="str">
        <f t="shared" si="86"/>
        <v>No</v>
      </c>
      <c r="L1857" t="s">
        <v>2380</v>
      </c>
    </row>
    <row r="1858" spans="1:12" x14ac:dyDescent="0.35">
      <c r="A1858" t="s">
        <v>511</v>
      </c>
      <c r="B1858" t="str">
        <f t="shared" si="84"/>
        <v>Normal Weight</v>
      </c>
      <c r="C1858">
        <v>21.26</v>
      </c>
      <c r="D1858" t="str">
        <f t="shared" si="85"/>
        <v>Normal</v>
      </c>
      <c r="E1858">
        <v>5.36</v>
      </c>
      <c r="F1858" t="s">
        <v>2382</v>
      </c>
      <c r="G1858" t="s">
        <v>2380</v>
      </c>
      <c r="H1858" t="s">
        <v>2380</v>
      </c>
      <c r="J1858">
        <v>1</v>
      </c>
      <c r="K1858" t="str">
        <f t="shared" si="86"/>
        <v>No</v>
      </c>
      <c r="L1858" t="s">
        <v>2380</v>
      </c>
    </row>
    <row r="1859" spans="1:12" x14ac:dyDescent="0.35">
      <c r="A1859" t="s">
        <v>510</v>
      </c>
      <c r="B1859" t="str">
        <f t="shared" ref="B1859:B1922" si="87">_xlfn.IFS(C1859&lt;18.5, "Underweight", C1859&lt;=24.9, "Normal Weight", C1859&lt;=29.9, "Overweight", C1859&gt;=30, "Obesity")</f>
        <v>Underweight</v>
      </c>
      <c r="C1859">
        <v>17.09</v>
      </c>
      <c r="D1859" t="str">
        <f t="shared" ref="D1859:D1922" si="88">_xlfn.IFS(E1859&lt;5.7, "Normal", E1859&lt;=6.4, "Prediabetes", E1859&gt;=6.5, "Diabetes")</f>
        <v>Normal</v>
      </c>
      <c r="E1859">
        <v>5.69</v>
      </c>
      <c r="F1859" t="s">
        <v>2380</v>
      </c>
      <c r="G1859" t="s">
        <v>2380</v>
      </c>
      <c r="H1859" t="s">
        <v>2380</v>
      </c>
      <c r="J1859" t="s">
        <v>2381</v>
      </c>
      <c r="K1859" t="str">
        <f t="shared" si="86"/>
        <v>No</v>
      </c>
      <c r="L1859" t="s">
        <v>2380</v>
      </c>
    </row>
    <row r="1860" spans="1:12" x14ac:dyDescent="0.35">
      <c r="A1860" t="s">
        <v>509</v>
      </c>
      <c r="B1860" t="str">
        <f t="shared" si="87"/>
        <v>Normal Weight</v>
      </c>
      <c r="C1860">
        <v>24.3</v>
      </c>
      <c r="D1860" t="str">
        <f t="shared" si="88"/>
        <v>Normal</v>
      </c>
      <c r="E1860">
        <v>4.9000000000000004</v>
      </c>
      <c r="F1860" t="s">
        <v>2382</v>
      </c>
      <c r="G1860" t="s">
        <v>2380</v>
      </c>
      <c r="H1860" t="s">
        <v>2383</v>
      </c>
      <c r="J1860">
        <v>1</v>
      </c>
      <c r="K1860" t="str">
        <f t="shared" ref="K1860:K1923" si="89">IF(OR(L1860="?", ISBLANK(L1860)), "No", L1860)</f>
        <v>No</v>
      </c>
      <c r="L1860" t="s">
        <v>2380</v>
      </c>
    </row>
    <row r="1861" spans="1:12" x14ac:dyDescent="0.35">
      <c r="A1861" t="s">
        <v>508</v>
      </c>
      <c r="B1861" t="str">
        <f t="shared" si="87"/>
        <v>Overweight</v>
      </c>
      <c r="C1861">
        <v>29.734999999999999</v>
      </c>
      <c r="D1861" t="str">
        <f t="shared" si="88"/>
        <v>Prediabetes</v>
      </c>
      <c r="E1861">
        <v>5.78</v>
      </c>
      <c r="F1861" t="s">
        <v>2380</v>
      </c>
      <c r="G1861" t="s">
        <v>2380</v>
      </c>
      <c r="H1861" t="s">
        <v>2380</v>
      </c>
      <c r="J1861" t="s">
        <v>2381</v>
      </c>
      <c r="K1861" t="str">
        <f t="shared" si="89"/>
        <v>No</v>
      </c>
      <c r="L1861" t="s">
        <v>2380</v>
      </c>
    </row>
    <row r="1862" spans="1:12" x14ac:dyDescent="0.35">
      <c r="A1862" t="s">
        <v>507</v>
      </c>
      <c r="B1862" t="str">
        <f t="shared" si="87"/>
        <v>Overweight</v>
      </c>
      <c r="C1862">
        <v>29.26</v>
      </c>
      <c r="D1862" t="str">
        <f t="shared" si="88"/>
        <v>Normal</v>
      </c>
      <c r="E1862">
        <v>4.7</v>
      </c>
      <c r="F1862" t="s">
        <v>2380</v>
      </c>
      <c r="G1862" t="s">
        <v>2380</v>
      </c>
      <c r="H1862" t="s">
        <v>2380</v>
      </c>
      <c r="J1862" t="s">
        <v>2381</v>
      </c>
      <c r="K1862" t="str">
        <f t="shared" si="89"/>
        <v>No</v>
      </c>
      <c r="L1862" t="s">
        <v>2380</v>
      </c>
    </row>
    <row r="1863" spans="1:12" x14ac:dyDescent="0.35">
      <c r="A1863" t="s">
        <v>506</v>
      </c>
      <c r="B1863" t="str">
        <f t="shared" si="87"/>
        <v>Obesity</v>
      </c>
      <c r="C1863">
        <v>33</v>
      </c>
      <c r="D1863" t="str">
        <f t="shared" si="88"/>
        <v>Prediabetes</v>
      </c>
      <c r="E1863">
        <v>6.28</v>
      </c>
      <c r="F1863" t="s">
        <v>2380</v>
      </c>
      <c r="G1863" t="s">
        <v>2380</v>
      </c>
      <c r="H1863" t="s">
        <v>2380</v>
      </c>
      <c r="J1863" t="s">
        <v>2381</v>
      </c>
      <c r="K1863" t="str">
        <f t="shared" si="89"/>
        <v>No</v>
      </c>
      <c r="L1863" t="s">
        <v>2380</v>
      </c>
    </row>
    <row r="1864" spans="1:12" x14ac:dyDescent="0.35">
      <c r="A1864" t="s">
        <v>505</v>
      </c>
      <c r="B1864" t="str">
        <f t="shared" si="87"/>
        <v>Obesity</v>
      </c>
      <c r="C1864">
        <v>31.065000000000001</v>
      </c>
      <c r="D1864" t="str">
        <f t="shared" si="88"/>
        <v>Normal</v>
      </c>
      <c r="E1864">
        <v>4.2300000000000004</v>
      </c>
      <c r="F1864" t="s">
        <v>2380</v>
      </c>
      <c r="G1864" t="s">
        <v>2380</v>
      </c>
      <c r="H1864" t="s">
        <v>2380</v>
      </c>
      <c r="J1864" t="s">
        <v>2381</v>
      </c>
      <c r="K1864" t="str">
        <f t="shared" si="89"/>
        <v>No</v>
      </c>
      <c r="L1864" t="s">
        <v>2380</v>
      </c>
    </row>
    <row r="1865" spans="1:12" x14ac:dyDescent="0.35">
      <c r="A1865" t="s">
        <v>504</v>
      </c>
      <c r="B1865" t="str">
        <f t="shared" si="87"/>
        <v>Overweight</v>
      </c>
      <c r="C1865">
        <v>26.51</v>
      </c>
      <c r="D1865" t="str">
        <f t="shared" si="88"/>
        <v>Prediabetes</v>
      </c>
      <c r="E1865">
        <v>6.17</v>
      </c>
      <c r="F1865" t="s">
        <v>2380</v>
      </c>
      <c r="G1865" t="s">
        <v>2380</v>
      </c>
      <c r="H1865" t="s">
        <v>2380</v>
      </c>
      <c r="J1865" t="s">
        <v>2381</v>
      </c>
      <c r="K1865" t="str">
        <f t="shared" si="89"/>
        <v>No</v>
      </c>
      <c r="L1865" t="s">
        <v>2380</v>
      </c>
    </row>
    <row r="1866" spans="1:12" x14ac:dyDescent="0.35">
      <c r="A1866" t="s">
        <v>503</v>
      </c>
      <c r="B1866" t="str">
        <f t="shared" si="87"/>
        <v>Overweight</v>
      </c>
      <c r="C1866">
        <v>28.88</v>
      </c>
      <c r="D1866" t="str">
        <f t="shared" si="88"/>
        <v>Normal</v>
      </c>
      <c r="E1866">
        <v>4.96</v>
      </c>
      <c r="F1866" t="s">
        <v>2380</v>
      </c>
      <c r="G1866" t="s">
        <v>2380</v>
      </c>
      <c r="H1866" t="s">
        <v>2380</v>
      </c>
      <c r="J1866" t="s">
        <v>2381</v>
      </c>
      <c r="K1866" t="str">
        <f t="shared" si="89"/>
        <v>No</v>
      </c>
      <c r="L1866" t="s">
        <v>2380</v>
      </c>
    </row>
    <row r="1867" spans="1:12" x14ac:dyDescent="0.35">
      <c r="A1867" t="s">
        <v>502</v>
      </c>
      <c r="B1867" t="str">
        <f t="shared" si="87"/>
        <v>Obesity</v>
      </c>
      <c r="C1867">
        <v>35.814999999999998</v>
      </c>
      <c r="D1867" t="str">
        <f t="shared" si="88"/>
        <v>Normal</v>
      </c>
      <c r="E1867">
        <v>5.1100000000000003</v>
      </c>
      <c r="F1867" t="s">
        <v>2382</v>
      </c>
      <c r="G1867" t="s">
        <v>2380</v>
      </c>
      <c r="H1867" t="s">
        <v>2380</v>
      </c>
      <c r="J1867">
        <v>1</v>
      </c>
      <c r="K1867" t="str">
        <f t="shared" si="89"/>
        <v>No</v>
      </c>
      <c r="L1867" t="s">
        <v>2380</v>
      </c>
    </row>
    <row r="1868" spans="1:12" x14ac:dyDescent="0.35">
      <c r="A1868" t="s">
        <v>501</v>
      </c>
      <c r="B1868" t="str">
        <f t="shared" si="87"/>
        <v>Normal Weight</v>
      </c>
      <c r="C1868">
        <v>21.28</v>
      </c>
      <c r="D1868" t="str">
        <f t="shared" si="88"/>
        <v>Normal</v>
      </c>
      <c r="E1868">
        <v>4.05</v>
      </c>
      <c r="F1868" t="s">
        <v>2380</v>
      </c>
      <c r="G1868" t="s">
        <v>2382</v>
      </c>
      <c r="H1868" t="s">
        <v>2380</v>
      </c>
      <c r="J1868">
        <v>1</v>
      </c>
      <c r="K1868" t="str">
        <f t="shared" si="89"/>
        <v>No</v>
      </c>
      <c r="L1868" t="s">
        <v>2380</v>
      </c>
    </row>
    <row r="1869" spans="1:12" x14ac:dyDescent="0.35">
      <c r="A1869" t="s">
        <v>500</v>
      </c>
      <c r="B1869" t="str">
        <f t="shared" si="87"/>
        <v>Obesity</v>
      </c>
      <c r="C1869">
        <v>33.81</v>
      </c>
      <c r="D1869" t="e">
        <f t="shared" si="88"/>
        <v>#N/A</v>
      </c>
      <c r="E1869">
        <v>6.49</v>
      </c>
      <c r="F1869" t="s">
        <v>2380</v>
      </c>
      <c r="G1869" t="s">
        <v>2380</v>
      </c>
      <c r="H1869" t="s">
        <v>2383</v>
      </c>
      <c r="J1869">
        <v>1</v>
      </c>
      <c r="K1869" t="str">
        <f t="shared" si="89"/>
        <v>No</v>
      </c>
      <c r="L1869" t="s">
        <v>2380</v>
      </c>
    </row>
    <row r="1870" spans="1:12" x14ac:dyDescent="0.35">
      <c r="A1870" t="s">
        <v>499</v>
      </c>
      <c r="B1870" t="str">
        <f t="shared" si="87"/>
        <v>Obesity</v>
      </c>
      <c r="C1870">
        <v>44.22</v>
      </c>
      <c r="D1870" t="str">
        <f t="shared" si="88"/>
        <v>Normal</v>
      </c>
      <c r="E1870">
        <v>4.1900000000000004</v>
      </c>
      <c r="F1870" t="s">
        <v>2380</v>
      </c>
      <c r="G1870" t="s">
        <v>2380</v>
      </c>
      <c r="H1870" t="s">
        <v>2380</v>
      </c>
      <c r="J1870">
        <v>1</v>
      </c>
      <c r="K1870" t="str">
        <f t="shared" si="89"/>
        <v>No</v>
      </c>
      <c r="L1870" t="s">
        <v>2380</v>
      </c>
    </row>
    <row r="1871" spans="1:12" x14ac:dyDescent="0.35">
      <c r="A1871" t="s">
        <v>498</v>
      </c>
      <c r="B1871" t="str">
        <f t="shared" si="87"/>
        <v>Underweight</v>
      </c>
      <c r="C1871">
        <v>15.46</v>
      </c>
      <c r="D1871" t="str">
        <f t="shared" si="88"/>
        <v>Normal</v>
      </c>
      <c r="E1871">
        <v>4.99</v>
      </c>
      <c r="F1871" t="s">
        <v>2382</v>
      </c>
      <c r="G1871" t="s">
        <v>2380</v>
      </c>
      <c r="H1871" t="s">
        <v>2383</v>
      </c>
      <c r="J1871">
        <v>1</v>
      </c>
      <c r="K1871" t="str">
        <f t="shared" si="89"/>
        <v>No</v>
      </c>
      <c r="L1871" t="s">
        <v>2380</v>
      </c>
    </row>
    <row r="1872" spans="1:12" x14ac:dyDescent="0.35">
      <c r="A1872" t="s">
        <v>497</v>
      </c>
      <c r="B1872" t="str">
        <f t="shared" si="87"/>
        <v>Obesity</v>
      </c>
      <c r="C1872">
        <v>30.3</v>
      </c>
      <c r="D1872" t="str">
        <f t="shared" si="88"/>
        <v>Normal</v>
      </c>
      <c r="E1872">
        <v>4.7699999999999996</v>
      </c>
      <c r="F1872" t="s">
        <v>2382</v>
      </c>
      <c r="G1872" t="s">
        <v>2380</v>
      </c>
      <c r="H1872" t="s">
        <v>2380</v>
      </c>
      <c r="J1872">
        <v>1</v>
      </c>
      <c r="K1872" t="str">
        <f t="shared" si="89"/>
        <v>No</v>
      </c>
      <c r="L1872" t="s">
        <v>2380</v>
      </c>
    </row>
    <row r="1873" spans="1:12" x14ac:dyDescent="0.35">
      <c r="A1873" t="s">
        <v>496</v>
      </c>
      <c r="B1873" t="str">
        <f t="shared" si="87"/>
        <v>Underweight</v>
      </c>
      <c r="C1873">
        <v>16.670000000000002</v>
      </c>
      <c r="D1873" t="str">
        <f t="shared" si="88"/>
        <v>Normal</v>
      </c>
      <c r="E1873">
        <v>5.46</v>
      </c>
      <c r="F1873" t="s">
        <v>2380</v>
      </c>
      <c r="G1873" t="s">
        <v>2380</v>
      </c>
      <c r="H1873" t="s">
        <v>2380</v>
      </c>
      <c r="J1873" t="s">
        <v>2381</v>
      </c>
      <c r="K1873" t="str">
        <f t="shared" si="89"/>
        <v>No</v>
      </c>
      <c r="L1873" t="s">
        <v>2380</v>
      </c>
    </row>
    <row r="1874" spans="1:12" x14ac:dyDescent="0.35">
      <c r="A1874" t="s">
        <v>495</v>
      </c>
      <c r="B1874" t="str">
        <f t="shared" si="87"/>
        <v>Overweight</v>
      </c>
      <c r="C1874">
        <v>28.594999999999999</v>
      </c>
      <c r="D1874" t="str">
        <f t="shared" si="88"/>
        <v>Normal</v>
      </c>
      <c r="E1874">
        <v>5.43</v>
      </c>
      <c r="F1874" t="s">
        <v>2380</v>
      </c>
      <c r="G1874" t="s">
        <v>2380</v>
      </c>
      <c r="H1874" t="s">
        <v>2380</v>
      </c>
      <c r="J1874" t="s">
        <v>2381</v>
      </c>
      <c r="K1874" t="str">
        <f t="shared" si="89"/>
        <v>No</v>
      </c>
      <c r="L1874" t="s">
        <v>2380</v>
      </c>
    </row>
    <row r="1875" spans="1:12" x14ac:dyDescent="0.35">
      <c r="A1875" t="s">
        <v>494</v>
      </c>
      <c r="B1875" t="str">
        <f t="shared" si="87"/>
        <v>Overweight</v>
      </c>
      <c r="C1875">
        <v>25.934999999999999</v>
      </c>
      <c r="D1875" t="str">
        <f t="shared" si="88"/>
        <v>Normal</v>
      </c>
      <c r="E1875">
        <v>4.29</v>
      </c>
      <c r="F1875" t="s">
        <v>2380</v>
      </c>
      <c r="G1875" t="s">
        <v>2380</v>
      </c>
      <c r="H1875" t="s">
        <v>2380</v>
      </c>
      <c r="J1875" t="s">
        <v>2381</v>
      </c>
      <c r="K1875" t="str">
        <f t="shared" si="89"/>
        <v>No</v>
      </c>
      <c r="L1875" t="s">
        <v>2380</v>
      </c>
    </row>
    <row r="1876" spans="1:12" x14ac:dyDescent="0.35">
      <c r="A1876" t="s">
        <v>493</v>
      </c>
      <c r="B1876" t="str">
        <f t="shared" si="87"/>
        <v>Overweight</v>
      </c>
      <c r="C1876">
        <v>27.645</v>
      </c>
      <c r="D1876" t="str">
        <f t="shared" si="88"/>
        <v>Normal</v>
      </c>
      <c r="E1876">
        <v>5.25</v>
      </c>
      <c r="F1876" t="s">
        <v>2380</v>
      </c>
      <c r="G1876" t="s">
        <v>2380</v>
      </c>
      <c r="H1876" t="s">
        <v>2380</v>
      </c>
      <c r="J1876">
        <v>1</v>
      </c>
      <c r="K1876" t="str">
        <f t="shared" si="89"/>
        <v>No</v>
      </c>
      <c r="L1876" t="s">
        <v>2380</v>
      </c>
    </row>
    <row r="1877" spans="1:12" x14ac:dyDescent="0.35">
      <c r="A1877" t="s">
        <v>492</v>
      </c>
      <c r="B1877" t="str">
        <f t="shared" si="87"/>
        <v>Obesity</v>
      </c>
      <c r="C1877">
        <v>30.1</v>
      </c>
      <c r="D1877" t="str">
        <f t="shared" si="88"/>
        <v>Normal</v>
      </c>
      <c r="E1877">
        <v>4.04</v>
      </c>
      <c r="F1877" t="s">
        <v>2380</v>
      </c>
      <c r="G1877" t="s">
        <v>2380</v>
      </c>
      <c r="H1877" t="s">
        <v>2380</v>
      </c>
      <c r="J1877">
        <v>1</v>
      </c>
      <c r="K1877" t="str">
        <f t="shared" si="89"/>
        <v>No</v>
      </c>
      <c r="L1877" t="s">
        <v>2380</v>
      </c>
    </row>
    <row r="1878" spans="1:12" x14ac:dyDescent="0.35">
      <c r="A1878" t="s">
        <v>491</v>
      </c>
      <c r="B1878" t="str">
        <f t="shared" si="87"/>
        <v>Overweight</v>
      </c>
      <c r="C1878">
        <v>26.79</v>
      </c>
      <c r="D1878" t="str">
        <f t="shared" si="88"/>
        <v>Normal</v>
      </c>
      <c r="E1878">
        <v>5</v>
      </c>
      <c r="F1878" t="s">
        <v>2382</v>
      </c>
      <c r="G1878" t="s">
        <v>2380</v>
      </c>
      <c r="H1878" t="s">
        <v>2383</v>
      </c>
      <c r="J1878">
        <v>1</v>
      </c>
      <c r="K1878" t="str">
        <f t="shared" si="89"/>
        <v>No</v>
      </c>
      <c r="L1878" t="s">
        <v>2380</v>
      </c>
    </row>
    <row r="1879" spans="1:12" x14ac:dyDescent="0.35">
      <c r="A1879" t="s">
        <v>490</v>
      </c>
      <c r="B1879" t="str">
        <f t="shared" si="87"/>
        <v>Overweight</v>
      </c>
      <c r="C1879">
        <v>27.1</v>
      </c>
      <c r="D1879" t="str">
        <f t="shared" si="88"/>
        <v>Normal</v>
      </c>
      <c r="E1879">
        <v>4.01</v>
      </c>
      <c r="F1879" t="s">
        <v>2382</v>
      </c>
      <c r="G1879" t="s">
        <v>2380</v>
      </c>
      <c r="H1879" t="s">
        <v>2380</v>
      </c>
      <c r="J1879">
        <v>1</v>
      </c>
      <c r="K1879" t="str">
        <f t="shared" si="89"/>
        <v>No</v>
      </c>
      <c r="L1879" t="s">
        <v>2380</v>
      </c>
    </row>
    <row r="1880" spans="1:12" x14ac:dyDescent="0.35">
      <c r="A1880" t="s">
        <v>489</v>
      </c>
      <c r="B1880" t="str">
        <f t="shared" si="87"/>
        <v>Normal Weight</v>
      </c>
      <c r="C1880">
        <v>24.31</v>
      </c>
      <c r="D1880" t="str">
        <f t="shared" si="88"/>
        <v>Normal</v>
      </c>
      <c r="E1880">
        <v>5.4</v>
      </c>
      <c r="F1880" t="s">
        <v>2380</v>
      </c>
      <c r="G1880" t="s">
        <v>2380</v>
      </c>
      <c r="H1880" t="s">
        <v>2380</v>
      </c>
      <c r="J1880" t="s">
        <v>2381</v>
      </c>
      <c r="K1880" t="str">
        <f t="shared" si="89"/>
        <v>No</v>
      </c>
      <c r="L1880" t="s">
        <v>2380</v>
      </c>
    </row>
    <row r="1881" spans="1:12" x14ac:dyDescent="0.35">
      <c r="A1881" t="s">
        <v>488</v>
      </c>
      <c r="B1881" t="str">
        <f t="shared" si="87"/>
        <v>Underweight</v>
      </c>
      <c r="C1881">
        <v>15.53</v>
      </c>
      <c r="D1881" t="str">
        <f t="shared" si="88"/>
        <v>Prediabetes</v>
      </c>
      <c r="E1881">
        <v>5.81</v>
      </c>
      <c r="F1881" t="s">
        <v>2380</v>
      </c>
      <c r="G1881" t="s">
        <v>2380</v>
      </c>
      <c r="H1881" t="s">
        <v>2380</v>
      </c>
      <c r="J1881">
        <v>1</v>
      </c>
      <c r="K1881" t="str">
        <f t="shared" si="89"/>
        <v>No</v>
      </c>
      <c r="L1881" t="s">
        <v>2380</v>
      </c>
    </row>
    <row r="1882" spans="1:12" x14ac:dyDescent="0.35">
      <c r="A1882" t="s">
        <v>487</v>
      </c>
      <c r="B1882" t="str">
        <f t="shared" si="87"/>
        <v>Obesity</v>
      </c>
      <c r="C1882">
        <v>30.7</v>
      </c>
      <c r="D1882" t="str">
        <f t="shared" si="88"/>
        <v>Prediabetes</v>
      </c>
      <c r="E1882">
        <v>5.82</v>
      </c>
      <c r="F1882" t="s">
        <v>2380</v>
      </c>
      <c r="G1882" t="s">
        <v>2380</v>
      </c>
      <c r="H1882" t="s">
        <v>2380</v>
      </c>
      <c r="J1882">
        <v>1</v>
      </c>
      <c r="K1882" t="str">
        <f t="shared" si="89"/>
        <v>No</v>
      </c>
      <c r="L1882" t="s">
        <v>2380</v>
      </c>
    </row>
    <row r="1883" spans="1:12" x14ac:dyDescent="0.35">
      <c r="A1883" t="s">
        <v>486</v>
      </c>
      <c r="B1883" t="str">
        <f t="shared" si="87"/>
        <v>Obesity</v>
      </c>
      <c r="C1883">
        <v>33.33</v>
      </c>
      <c r="D1883" t="str">
        <f t="shared" si="88"/>
        <v>Normal</v>
      </c>
      <c r="E1883">
        <v>4.82</v>
      </c>
      <c r="F1883" t="s">
        <v>2380</v>
      </c>
      <c r="G1883" t="s">
        <v>2380</v>
      </c>
      <c r="H1883" t="s">
        <v>2380</v>
      </c>
      <c r="J1883">
        <v>1</v>
      </c>
      <c r="K1883" t="str">
        <f t="shared" si="89"/>
        <v>No</v>
      </c>
      <c r="L1883" t="s">
        <v>2380</v>
      </c>
    </row>
    <row r="1884" spans="1:12" x14ac:dyDescent="0.35">
      <c r="A1884" t="s">
        <v>485</v>
      </c>
      <c r="B1884" t="str">
        <f t="shared" si="87"/>
        <v>Obesity</v>
      </c>
      <c r="C1884">
        <v>32.4</v>
      </c>
      <c r="D1884" t="str">
        <f t="shared" si="88"/>
        <v>Normal</v>
      </c>
      <c r="E1884">
        <v>5.08</v>
      </c>
      <c r="F1884" t="s">
        <v>2380</v>
      </c>
      <c r="G1884" t="s">
        <v>2380</v>
      </c>
      <c r="H1884" t="s">
        <v>2380</v>
      </c>
      <c r="J1884">
        <v>1</v>
      </c>
      <c r="K1884" t="str">
        <f t="shared" si="89"/>
        <v>No</v>
      </c>
      <c r="L1884" t="s">
        <v>2380</v>
      </c>
    </row>
    <row r="1885" spans="1:12" x14ac:dyDescent="0.35">
      <c r="A1885" t="s">
        <v>484</v>
      </c>
      <c r="B1885" t="str">
        <f t="shared" si="87"/>
        <v>Overweight</v>
      </c>
      <c r="C1885">
        <v>27.93</v>
      </c>
      <c r="D1885" t="str">
        <f t="shared" si="88"/>
        <v>Normal</v>
      </c>
      <c r="E1885">
        <v>5.59</v>
      </c>
      <c r="F1885" t="s">
        <v>2380</v>
      </c>
      <c r="G1885" t="s">
        <v>2380</v>
      </c>
      <c r="H1885" t="s">
        <v>2380</v>
      </c>
      <c r="J1885">
        <v>1</v>
      </c>
      <c r="K1885" t="str">
        <f t="shared" si="89"/>
        <v>No</v>
      </c>
      <c r="L1885" t="s">
        <v>2380</v>
      </c>
    </row>
    <row r="1886" spans="1:12" x14ac:dyDescent="0.35">
      <c r="A1886" t="s">
        <v>483</v>
      </c>
      <c r="B1886" t="str">
        <f t="shared" si="87"/>
        <v>Normal Weight</v>
      </c>
      <c r="C1886">
        <v>21.754999999999999</v>
      </c>
      <c r="D1886" t="str">
        <f t="shared" si="88"/>
        <v>Normal</v>
      </c>
      <c r="E1886">
        <v>5.12</v>
      </c>
      <c r="F1886" t="s">
        <v>2380</v>
      </c>
      <c r="G1886" t="s">
        <v>2380</v>
      </c>
      <c r="H1886" t="s">
        <v>2380</v>
      </c>
      <c r="J1886" t="s">
        <v>2381</v>
      </c>
      <c r="K1886" t="str">
        <f t="shared" si="89"/>
        <v>No</v>
      </c>
      <c r="L1886" t="s">
        <v>2380</v>
      </c>
    </row>
    <row r="1887" spans="1:12" x14ac:dyDescent="0.35">
      <c r="A1887" t="s">
        <v>482</v>
      </c>
      <c r="B1887" t="str">
        <f t="shared" si="87"/>
        <v>Overweight</v>
      </c>
      <c r="C1887">
        <v>25.934999999999999</v>
      </c>
      <c r="D1887" t="str">
        <f t="shared" si="88"/>
        <v>Normal</v>
      </c>
      <c r="E1887">
        <v>4.95</v>
      </c>
      <c r="F1887" t="s">
        <v>2380</v>
      </c>
      <c r="G1887" t="s">
        <v>2380</v>
      </c>
      <c r="H1887" t="s">
        <v>2380</v>
      </c>
      <c r="J1887" t="s">
        <v>2381</v>
      </c>
      <c r="K1887" t="str">
        <f t="shared" si="89"/>
        <v>No</v>
      </c>
      <c r="L1887" t="s">
        <v>2380</v>
      </c>
    </row>
    <row r="1888" spans="1:12" x14ac:dyDescent="0.35">
      <c r="A1888" t="s">
        <v>481</v>
      </c>
      <c r="B1888" t="str">
        <f t="shared" si="87"/>
        <v>Obesity</v>
      </c>
      <c r="C1888">
        <v>31.5</v>
      </c>
      <c r="D1888" t="str">
        <f t="shared" si="88"/>
        <v>Prediabetes</v>
      </c>
      <c r="E1888">
        <v>6.16</v>
      </c>
      <c r="F1888" t="s">
        <v>2380</v>
      </c>
      <c r="G1888" t="s">
        <v>2380</v>
      </c>
      <c r="H1888" t="s">
        <v>2380</v>
      </c>
      <c r="J1888" t="s">
        <v>2381</v>
      </c>
      <c r="K1888" t="str">
        <f t="shared" si="89"/>
        <v>No</v>
      </c>
      <c r="L1888" t="s">
        <v>2380</v>
      </c>
    </row>
    <row r="1889" spans="1:12" x14ac:dyDescent="0.35">
      <c r="A1889" t="s">
        <v>480</v>
      </c>
      <c r="B1889" t="str">
        <f t="shared" si="87"/>
        <v>Obesity</v>
      </c>
      <c r="C1889">
        <v>30.03</v>
      </c>
      <c r="D1889" t="e">
        <f t="shared" si="88"/>
        <v>#N/A</v>
      </c>
      <c r="E1889">
        <v>6.41</v>
      </c>
      <c r="F1889" t="s">
        <v>2380</v>
      </c>
      <c r="G1889" t="s">
        <v>2380</v>
      </c>
      <c r="H1889" t="s">
        <v>2380</v>
      </c>
      <c r="J1889" t="s">
        <v>2381</v>
      </c>
      <c r="K1889" t="str">
        <f t="shared" si="89"/>
        <v>No</v>
      </c>
      <c r="L1889" t="s">
        <v>2380</v>
      </c>
    </row>
    <row r="1890" spans="1:12" x14ac:dyDescent="0.35">
      <c r="A1890" t="s">
        <v>479</v>
      </c>
      <c r="B1890" t="str">
        <f t="shared" si="87"/>
        <v>Obesity</v>
      </c>
      <c r="C1890">
        <v>33.479999999999997</v>
      </c>
      <c r="D1890" t="str">
        <f t="shared" si="88"/>
        <v>Diabetes</v>
      </c>
      <c r="E1890">
        <v>8.94</v>
      </c>
      <c r="F1890" t="s">
        <v>2380</v>
      </c>
      <c r="G1890" t="s">
        <v>2380</v>
      </c>
      <c r="H1890" t="s">
        <v>2380</v>
      </c>
      <c r="J1890" t="s">
        <v>2381</v>
      </c>
      <c r="K1890" t="str">
        <f t="shared" si="89"/>
        <v>No</v>
      </c>
      <c r="L1890" t="s">
        <v>2380</v>
      </c>
    </row>
    <row r="1891" spans="1:12" x14ac:dyDescent="0.35">
      <c r="A1891" t="s">
        <v>478</v>
      </c>
      <c r="B1891" t="str">
        <f t="shared" si="87"/>
        <v>Underweight</v>
      </c>
      <c r="C1891">
        <v>16.510000000000002</v>
      </c>
      <c r="D1891" t="str">
        <f t="shared" si="88"/>
        <v>Normal</v>
      </c>
      <c r="E1891">
        <v>4.42</v>
      </c>
      <c r="F1891" t="s">
        <v>2382</v>
      </c>
      <c r="G1891" t="s">
        <v>2380</v>
      </c>
      <c r="H1891" t="s">
        <v>2383</v>
      </c>
      <c r="J1891">
        <v>1</v>
      </c>
      <c r="K1891" t="str">
        <f t="shared" si="89"/>
        <v>No</v>
      </c>
      <c r="L1891" t="s">
        <v>2380</v>
      </c>
    </row>
    <row r="1892" spans="1:12" x14ac:dyDescent="0.35">
      <c r="A1892" t="s">
        <v>477</v>
      </c>
      <c r="B1892" t="str">
        <f t="shared" si="87"/>
        <v>Obesity</v>
      </c>
      <c r="C1892">
        <v>33.155000000000001</v>
      </c>
      <c r="D1892" t="str">
        <f t="shared" si="88"/>
        <v>Normal</v>
      </c>
      <c r="E1892">
        <v>5.3</v>
      </c>
      <c r="F1892" t="s">
        <v>2382</v>
      </c>
      <c r="G1892" t="s">
        <v>2380</v>
      </c>
      <c r="H1892" t="s">
        <v>2380</v>
      </c>
      <c r="J1892">
        <v>1</v>
      </c>
      <c r="K1892" t="str">
        <f t="shared" si="89"/>
        <v>No</v>
      </c>
      <c r="L1892" t="s">
        <v>2380</v>
      </c>
    </row>
    <row r="1893" spans="1:12" x14ac:dyDescent="0.35">
      <c r="A1893" t="s">
        <v>476</v>
      </c>
      <c r="B1893" t="str">
        <f t="shared" si="87"/>
        <v>Obesity</v>
      </c>
      <c r="C1893">
        <v>37.29</v>
      </c>
      <c r="D1893" t="str">
        <f t="shared" si="88"/>
        <v>Normal</v>
      </c>
      <c r="E1893">
        <v>4.6399999999999997</v>
      </c>
      <c r="F1893" t="s">
        <v>2380</v>
      </c>
      <c r="G1893" t="s">
        <v>2380</v>
      </c>
      <c r="H1893" t="s">
        <v>2383</v>
      </c>
      <c r="J1893">
        <v>1</v>
      </c>
      <c r="K1893" t="str">
        <f t="shared" si="89"/>
        <v>No</v>
      </c>
      <c r="L1893" t="s">
        <v>2380</v>
      </c>
    </row>
    <row r="1894" spans="1:12" x14ac:dyDescent="0.35">
      <c r="A1894" t="s">
        <v>475</v>
      </c>
      <c r="B1894" t="str">
        <f t="shared" si="87"/>
        <v>Normal Weight</v>
      </c>
      <c r="C1894">
        <v>20.23</v>
      </c>
      <c r="D1894" t="str">
        <f t="shared" si="88"/>
        <v>Prediabetes</v>
      </c>
      <c r="E1894">
        <v>6.16</v>
      </c>
      <c r="F1894" t="s">
        <v>2382</v>
      </c>
      <c r="G1894" t="s">
        <v>2380</v>
      </c>
      <c r="H1894" t="s">
        <v>2380</v>
      </c>
      <c r="J1894">
        <v>1</v>
      </c>
      <c r="K1894" t="str">
        <f t="shared" si="89"/>
        <v>No</v>
      </c>
      <c r="L1894" t="s">
        <v>2380</v>
      </c>
    </row>
    <row r="1895" spans="1:12" x14ac:dyDescent="0.35">
      <c r="A1895" t="s">
        <v>474</v>
      </c>
      <c r="B1895" t="str">
        <f t="shared" si="87"/>
        <v>Overweight</v>
      </c>
      <c r="C1895">
        <v>28.975000000000001</v>
      </c>
      <c r="D1895" t="str">
        <f t="shared" si="88"/>
        <v>Normal</v>
      </c>
      <c r="E1895">
        <v>4.12</v>
      </c>
      <c r="F1895" t="s">
        <v>2380</v>
      </c>
      <c r="G1895" t="s">
        <v>2380</v>
      </c>
      <c r="H1895" t="s">
        <v>2383</v>
      </c>
      <c r="J1895">
        <v>1</v>
      </c>
      <c r="K1895" t="str">
        <f t="shared" si="89"/>
        <v>No</v>
      </c>
      <c r="L1895" t="s">
        <v>2380</v>
      </c>
    </row>
    <row r="1896" spans="1:12" x14ac:dyDescent="0.35">
      <c r="A1896" t="s">
        <v>473</v>
      </c>
      <c r="B1896" t="str">
        <f t="shared" si="87"/>
        <v>Underweight</v>
      </c>
      <c r="C1896">
        <v>16.420000000000002</v>
      </c>
      <c r="D1896" t="str">
        <f t="shared" si="88"/>
        <v>Prediabetes</v>
      </c>
      <c r="E1896">
        <v>5.77</v>
      </c>
      <c r="F1896" t="s">
        <v>2382</v>
      </c>
      <c r="G1896" t="s">
        <v>2380</v>
      </c>
      <c r="H1896" t="s">
        <v>2383</v>
      </c>
      <c r="J1896">
        <v>1</v>
      </c>
      <c r="K1896" t="str">
        <f t="shared" si="89"/>
        <v>No</v>
      </c>
      <c r="L1896" t="s">
        <v>2380</v>
      </c>
    </row>
    <row r="1897" spans="1:12" x14ac:dyDescent="0.35">
      <c r="A1897" t="s">
        <v>472</v>
      </c>
      <c r="B1897" t="str">
        <f t="shared" si="87"/>
        <v>Underweight</v>
      </c>
      <c r="C1897">
        <v>17.559999999999999</v>
      </c>
      <c r="D1897" t="str">
        <f t="shared" si="88"/>
        <v>Prediabetes</v>
      </c>
      <c r="E1897">
        <v>6.2</v>
      </c>
      <c r="F1897" t="s">
        <v>2380</v>
      </c>
      <c r="G1897" t="s">
        <v>2380</v>
      </c>
      <c r="H1897" t="s">
        <v>2380</v>
      </c>
      <c r="J1897">
        <v>1</v>
      </c>
      <c r="K1897" t="str">
        <f t="shared" si="89"/>
        <v>No</v>
      </c>
      <c r="L1897" t="s">
        <v>2380</v>
      </c>
    </row>
    <row r="1898" spans="1:12" x14ac:dyDescent="0.35">
      <c r="A1898" t="s">
        <v>471</v>
      </c>
      <c r="B1898" t="str">
        <f t="shared" si="87"/>
        <v>Normal Weight</v>
      </c>
      <c r="C1898">
        <v>24.13</v>
      </c>
      <c r="D1898" t="str">
        <f t="shared" si="88"/>
        <v>Normal</v>
      </c>
      <c r="E1898">
        <v>4.3899999999999997</v>
      </c>
      <c r="F1898" t="s">
        <v>2380</v>
      </c>
      <c r="G1898" t="s">
        <v>2380</v>
      </c>
      <c r="H1898" t="s">
        <v>2380</v>
      </c>
      <c r="J1898">
        <v>1</v>
      </c>
      <c r="K1898" t="str">
        <f t="shared" si="89"/>
        <v>No</v>
      </c>
      <c r="L1898" t="s">
        <v>2380</v>
      </c>
    </row>
    <row r="1899" spans="1:12" x14ac:dyDescent="0.35">
      <c r="A1899" t="s">
        <v>470</v>
      </c>
      <c r="B1899" t="str">
        <f t="shared" si="87"/>
        <v>Normal Weight</v>
      </c>
      <c r="C1899">
        <v>19.95</v>
      </c>
      <c r="D1899" t="str">
        <f t="shared" si="88"/>
        <v>Normal</v>
      </c>
      <c r="E1899">
        <v>5.13</v>
      </c>
      <c r="F1899" t="s">
        <v>2380</v>
      </c>
      <c r="G1899" t="s">
        <v>2382</v>
      </c>
      <c r="H1899" t="s">
        <v>2380</v>
      </c>
      <c r="J1899">
        <v>2</v>
      </c>
      <c r="K1899" t="str">
        <f t="shared" si="89"/>
        <v>No</v>
      </c>
      <c r="L1899" t="s">
        <v>2380</v>
      </c>
    </row>
    <row r="1900" spans="1:12" x14ac:dyDescent="0.35">
      <c r="A1900" t="s">
        <v>469</v>
      </c>
      <c r="B1900" t="str">
        <f t="shared" si="87"/>
        <v>Normal Weight</v>
      </c>
      <c r="C1900">
        <v>21.24</v>
      </c>
      <c r="D1900" t="str">
        <f t="shared" si="88"/>
        <v>Normal</v>
      </c>
      <c r="E1900">
        <v>4.49</v>
      </c>
      <c r="F1900" t="s">
        <v>2380</v>
      </c>
      <c r="G1900" t="s">
        <v>2380</v>
      </c>
      <c r="H1900" t="s">
        <v>2380</v>
      </c>
      <c r="J1900" t="s">
        <v>2381</v>
      </c>
      <c r="K1900" t="str">
        <f t="shared" si="89"/>
        <v>No</v>
      </c>
      <c r="L1900" t="s">
        <v>2380</v>
      </c>
    </row>
    <row r="1901" spans="1:12" x14ac:dyDescent="0.35">
      <c r="A1901" t="s">
        <v>468</v>
      </c>
      <c r="B1901" t="str">
        <f t="shared" si="87"/>
        <v>Obesity</v>
      </c>
      <c r="C1901">
        <v>44.22</v>
      </c>
      <c r="D1901" t="str">
        <f t="shared" si="88"/>
        <v>Prediabetes</v>
      </c>
      <c r="E1901">
        <v>6.35</v>
      </c>
      <c r="F1901" t="s">
        <v>2380</v>
      </c>
      <c r="G1901" t="s">
        <v>2380</v>
      </c>
      <c r="H1901" t="s">
        <v>2380</v>
      </c>
      <c r="J1901" t="s">
        <v>2381</v>
      </c>
      <c r="K1901" t="str">
        <f t="shared" si="89"/>
        <v>No</v>
      </c>
      <c r="L1901" t="s">
        <v>2380</v>
      </c>
    </row>
    <row r="1902" spans="1:12" x14ac:dyDescent="0.35">
      <c r="A1902" t="s">
        <v>467</v>
      </c>
      <c r="B1902" t="str">
        <f t="shared" si="87"/>
        <v>Obesity</v>
      </c>
      <c r="C1902">
        <v>41.1</v>
      </c>
      <c r="D1902" t="str">
        <f t="shared" si="88"/>
        <v>Prediabetes</v>
      </c>
      <c r="E1902">
        <v>5.79</v>
      </c>
      <c r="F1902" t="s">
        <v>2380</v>
      </c>
      <c r="G1902" t="s">
        <v>2380</v>
      </c>
      <c r="H1902" t="s">
        <v>2380</v>
      </c>
      <c r="J1902" t="s">
        <v>2381</v>
      </c>
      <c r="K1902" t="str">
        <f t="shared" si="89"/>
        <v>No</v>
      </c>
      <c r="L1902" t="s">
        <v>2380</v>
      </c>
    </row>
    <row r="1903" spans="1:12" x14ac:dyDescent="0.35">
      <c r="A1903" t="s">
        <v>466</v>
      </c>
      <c r="B1903" t="str">
        <f t="shared" si="87"/>
        <v>Obesity</v>
      </c>
      <c r="C1903">
        <v>34.200000000000003</v>
      </c>
      <c r="D1903" t="str">
        <f t="shared" si="88"/>
        <v>Normal</v>
      </c>
      <c r="E1903">
        <v>4.78</v>
      </c>
      <c r="F1903" t="s">
        <v>2382</v>
      </c>
      <c r="G1903" t="s">
        <v>2380</v>
      </c>
      <c r="H1903" t="s">
        <v>2380</v>
      </c>
      <c r="J1903" t="s">
        <v>2381</v>
      </c>
      <c r="K1903" t="str">
        <f t="shared" si="89"/>
        <v>No</v>
      </c>
      <c r="L1903" t="s">
        <v>2380</v>
      </c>
    </row>
    <row r="1904" spans="1:12" x14ac:dyDescent="0.35">
      <c r="A1904" t="s">
        <v>465</v>
      </c>
      <c r="B1904" t="e">
        <f t="shared" si="87"/>
        <v>#N/A</v>
      </c>
      <c r="C1904">
        <v>29.92</v>
      </c>
      <c r="D1904" t="str">
        <f t="shared" si="88"/>
        <v>Prediabetes</v>
      </c>
      <c r="E1904">
        <v>6.02</v>
      </c>
      <c r="F1904" t="s">
        <v>2382</v>
      </c>
      <c r="G1904" t="s">
        <v>2380</v>
      </c>
      <c r="H1904" t="s">
        <v>2380</v>
      </c>
      <c r="J1904" t="s">
        <v>2381</v>
      </c>
      <c r="K1904" t="str">
        <f t="shared" si="89"/>
        <v>No</v>
      </c>
      <c r="L1904" t="s">
        <v>2380</v>
      </c>
    </row>
    <row r="1905" spans="1:12" x14ac:dyDescent="0.35">
      <c r="A1905" t="s">
        <v>464</v>
      </c>
      <c r="B1905" t="str">
        <f t="shared" si="87"/>
        <v>Overweight</v>
      </c>
      <c r="C1905">
        <v>28.93</v>
      </c>
      <c r="D1905" t="str">
        <f t="shared" si="88"/>
        <v>Normal</v>
      </c>
      <c r="E1905">
        <v>4.4400000000000004</v>
      </c>
      <c r="F1905" t="s">
        <v>2380</v>
      </c>
      <c r="G1905" t="s">
        <v>2380</v>
      </c>
      <c r="H1905" t="s">
        <v>2380</v>
      </c>
      <c r="J1905" t="s">
        <v>2381</v>
      </c>
      <c r="K1905" t="str">
        <f t="shared" si="89"/>
        <v>No</v>
      </c>
      <c r="L1905" t="s">
        <v>2380</v>
      </c>
    </row>
    <row r="1906" spans="1:12" x14ac:dyDescent="0.35">
      <c r="A1906" t="s">
        <v>463</v>
      </c>
      <c r="B1906" t="str">
        <f t="shared" si="87"/>
        <v>Obesity</v>
      </c>
      <c r="C1906">
        <v>31.254999999999999</v>
      </c>
      <c r="D1906" t="str">
        <f t="shared" si="88"/>
        <v>Prediabetes</v>
      </c>
      <c r="E1906">
        <v>5.84</v>
      </c>
      <c r="F1906" t="s">
        <v>2382</v>
      </c>
      <c r="G1906" t="s">
        <v>2380</v>
      </c>
      <c r="H1906" t="s">
        <v>2380</v>
      </c>
      <c r="J1906">
        <v>1</v>
      </c>
      <c r="K1906" t="str">
        <f t="shared" si="89"/>
        <v>No</v>
      </c>
      <c r="L1906" t="s">
        <v>2380</v>
      </c>
    </row>
    <row r="1907" spans="1:12" x14ac:dyDescent="0.35">
      <c r="A1907" t="s">
        <v>462</v>
      </c>
      <c r="B1907" t="str">
        <f t="shared" si="87"/>
        <v>Overweight</v>
      </c>
      <c r="C1907">
        <v>29.83</v>
      </c>
      <c r="D1907" t="str">
        <f t="shared" si="88"/>
        <v>Normal</v>
      </c>
      <c r="E1907">
        <v>5.39</v>
      </c>
      <c r="F1907" t="s">
        <v>2380</v>
      </c>
      <c r="G1907" t="s">
        <v>2380</v>
      </c>
      <c r="H1907" t="s">
        <v>2380</v>
      </c>
      <c r="J1907" t="s">
        <v>2381</v>
      </c>
      <c r="K1907" t="str">
        <f t="shared" si="89"/>
        <v>No</v>
      </c>
      <c r="L1907" t="s">
        <v>2380</v>
      </c>
    </row>
    <row r="1908" spans="1:12" x14ac:dyDescent="0.35">
      <c r="A1908" t="s">
        <v>461</v>
      </c>
      <c r="B1908" t="str">
        <f t="shared" si="87"/>
        <v>Overweight</v>
      </c>
      <c r="C1908">
        <v>29.59</v>
      </c>
      <c r="D1908" t="str">
        <f t="shared" si="88"/>
        <v>Prediabetes</v>
      </c>
      <c r="E1908">
        <v>6.16</v>
      </c>
      <c r="F1908" t="s">
        <v>2380</v>
      </c>
      <c r="G1908" t="s">
        <v>2380</v>
      </c>
      <c r="H1908" t="s">
        <v>2383</v>
      </c>
      <c r="J1908">
        <v>1</v>
      </c>
      <c r="K1908" t="str">
        <f t="shared" si="89"/>
        <v>No</v>
      </c>
      <c r="L1908" t="s">
        <v>2380</v>
      </c>
    </row>
    <row r="1909" spans="1:12" x14ac:dyDescent="0.35">
      <c r="A1909" t="s">
        <v>460</v>
      </c>
      <c r="B1909" t="str">
        <f t="shared" si="87"/>
        <v>Obesity</v>
      </c>
      <c r="C1909">
        <v>31.16</v>
      </c>
      <c r="D1909" t="str">
        <f t="shared" si="88"/>
        <v>Normal</v>
      </c>
      <c r="E1909">
        <v>4.49</v>
      </c>
      <c r="F1909" t="s">
        <v>2380</v>
      </c>
      <c r="G1909" t="s">
        <v>2380</v>
      </c>
      <c r="H1909" t="s">
        <v>2383</v>
      </c>
      <c r="J1909">
        <v>1</v>
      </c>
      <c r="K1909" t="str">
        <f t="shared" si="89"/>
        <v>No</v>
      </c>
      <c r="L1909" t="s">
        <v>2380</v>
      </c>
    </row>
    <row r="1910" spans="1:12" x14ac:dyDescent="0.35">
      <c r="A1910" t="s">
        <v>459</v>
      </c>
      <c r="B1910" t="str">
        <f t="shared" si="87"/>
        <v>Obesity</v>
      </c>
      <c r="C1910">
        <v>34.21</v>
      </c>
      <c r="D1910" t="str">
        <f t="shared" si="88"/>
        <v>Normal</v>
      </c>
      <c r="E1910">
        <v>4.4800000000000004</v>
      </c>
      <c r="F1910" t="s">
        <v>2382</v>
      </c>
      <c r="G1910" t="s">
        <v>2380</v>
      </c>
      <c r="H1910" t="s">
        <v>2380</v>
      </c>
      <c r="J1910">
        <v>1</v>
      </c>
      <c r="K1910" t="str">
        <f t="shared" si="89"/>
        <v>No</v>
      </c>
      <c r="L1910" t="s">
        <v>2380</v>
      </c>
    </row>
    <row r="1911" spans="1:12" x14ac:dyDescent="0.35">
      <c r="A1911" t="s">
        <v>458</v>
      </c>
      <c r="B1911" t="str">
        <f t="shared" si="87"/>
        <v>Obesity</v>
      </c>
      <c r="C1911">
        <v>34.86</v>
      </c>
      <c r="D1911" t="str">
        <f t="shared" si="88"/>
        <v>Diabetes</v>
      </c>
      <c r="E1911">
        <v>10.97</v>
      </c>
      <c r="F1911" t="s">
        <v>2380</v>
      </c>
      <c r="G1911" t="s">
        <v>2380</v>
      </c>
      <c r="H1911" t="s">
        <v>2380</v>
      </c>
      <c r="J1911" t="s">
        <v>2381</v>
      </c>
      <c r="K1911" t="str">
        <f t="shared" si="89"/>
        <v>No</v>
      </c>
      <c r="L1911" t="s">
        <v>2380</v>
      </c>
    </row>
    <row r="1912" spans="1:12" x14ac:dyDescent="0.35">
      <c r="A1912" t="s">
        <v>457</v>
      </c>
      <c r="B1912" t="str">
        <f t="shared" si="87"/>
        <v>Obesity</v>
      </c>
      <c r="C1912">
        <v>34.58</v>
      </c>
      <c r="D1912" t="str">
        <f t="shared" si="88"/>
        <v>Normal</v>
      </c>
      <c r="E1912">
        <v>5.14</v>
      </c>
      <c r="F1912" t="s">
        <v>2380</v>
      </c>
      <c r="G1912" t="s">
        <v>2382</v>
      </c>
      <c r="H1912" t="s">
        <v>2380</v>
      </c>
      <c r="J1912">
        <v>2</v>
      </c>
      <c r="K1912" t="str">
        <f t="shared" si="89"/>
        <v>No</v>
      </c>
      <c r="L1912" t="s">
        <v>2380</v>
      </c>
    </row>
    <row r="1913" spans="1:12" x14ac:dyDescent="0.35">
      <c r="A1913" t="s">
        <v>456</v>
      </c>
      <c r="B1913" t="str">
        <f t="shared" si="87"/>
        <v>Underweight</v>
      </c>
      <c r="C1913">
        <v>17.940000000000001</v>
      </c>
      <c r="D1913" t="str">
        <f t="shared" si="88"/>
        <v>Normal</v>
      </c>
      <c r="E1913">
        <v>5.17</v>
      </c>
      <c r="F1913" t="s">
        <v>2382</v>
      </c>
      <c r="G1913" t="s">
        <v>2380</v>
      </c>
      <c r="H1913" t="s">
        <v>2380</v>
      </c>
      <c r="J1913" t="s">
        <v>2381</v>
      </c>
      <c r="K1913" t="str">
        <f t="shared" si="89"/>
        <v>No</v>
      </c>
      <c r="L1913" t="s">
        <v>2380</v>
      </c>
    </row>
    <row r="1914" spans="1:12" x14ac:dyDescent="0.35">
      <c r="A1914" t="s">
        <v>455</v>
      </c>
      <c r="B1914" t="str">
        <f t="shared" si="87"/>
        <v>Overweight</v>
      </c>
      <c r="C1914">
        <v>26.8</v>
      </c>
      <c r="D1914" t="str">
        <f t="shared" si="88"/>
        <v>Prediabetes</v>
      </c>
      <c r="E1914">
        <v>6.18</v>
      </c>
      <c r="F1914" t="s">
        <v>2382</v>
      </c>
      <c r="G1914" t="s">
        <v>2380</v>
      </c>
      <c r="H1914" t="s">
        <v>2383</v>
      </c>
      <c r="J1914">
        <v>1</v>
      </c>
      <c r="K1914" t="str">
        <f t="shared" si="89"/>
        <v>No</v>
      </c>
      <c r="L1914" t="s">
        <v>2380</v>
      </c>
    </row>
    <row r="1915" spans="1:12" x14ac:dyDescent="0.35">
      <c r="A1915" t="s">
        <v>454</v>
      </c>
      <c r="B1915" t="str">
        <f t="shared" si="87"/>
        <v>Underweight</v>
      </c>
      <c r="C1915">
        <v>17.690000000000001</v>
      </c>
      <c r="D1915" t="str">
        <f t="shared" si="88"/>
        <v>Diabetes</v>
      </c>
      <c r="E1915">
        <v>9.07</v>
      </c>
      <c r="F1915" t="s">
        <v>2382</v>
      </c>
      <c r="G1915" t="s">
        <v>2380</v>
      </c>
      <c r="H1915" t="s">
        <v>2380</v>
      </c>
      <c r="J1915" t="s">
        <v>2381</v>
      </c>
      <c r="K1915" t="str">
        <f t="shared" si="89"/>
        <v>No</v>
      </c>
      <c r="L1915" t="s">
        <v>2380</v>
      </c>
    </row>
    <row r="1916" spans="1:12" x14ac:dyDescent="0.35">
      <c r="A1916" t="s">
        <v>453</v>
      </c>
      <c r="B1916" t="str">
        <f t="shared" si="87"/>
        <v>Overweight</v>
      </c>
      <c r="C1916">
        <v>25.77</v>
      </c>
      <c r="D1916" t="str">
        <f t="shared" si="88"/>
        <v>Normal</v>
      </c>
      <c r="E1916">
        <v>4.43</v>
      </c>
      <c r="F1916" t="s">
        <v>2380</v>
      </c>
      <c r="G1916" t="s">
        <v>2380</v>
      </c>
      <c r="H1916" t="s">
        <v>2383</v>
      </c>
      <c r="J1916">
        <v>1</v>
      </c>
      <c r="K1916" t="str">
        <f t="shared" si="89"/>
        <v>No</v>
      </c>
      <c r="L1916" t="s">
        <v>2380</v>
      </c>
    </row>
    <row r="1917" spans="1:12" x14ac:dyDescent="0.35">
      <c r="A1917" t="s">
        <v>452</v>
      </c>
      <c r="B1917" t="str">
        <f t="shared" si="87"/>
        <v>Obesity</v>
      </c>
      <c r="C1917">
        <v>34.46</v>
      </c>
      <c r="D1917" t="str">
        <f t="shared" si="88"/>
        <v>Normal</v>
      </c>
      <c r="E1917">
        <v>4.17</v>
      </c>
      <c r="F1917" t="s">
        <v>2380</v>
      </c>
      <c r="G1917" t="s">
        <v>2382</v>
      </c>
      <c r="H1917" t="s">
        <v>2380</v>
      </c>
      <c r="J1917">
        <v>1</v>
      </c>
      <c r="K1917" t="str">
        <f t="shared" si="89"/>
        <v>No</v>
      </c>
      <c r="L1917" t="s">
        <v>2380</v>
      </c>
    </row>
    <row r="1918" spans="1:12" x14ac:dyDescent="0.35">
      <c r="A1918" t="s">
        <v>451</v>
      </c>
      <c r="B1918" t="str">
        <f t="shared" si="87"/>
        <v>Obesity</v>
      </c>
      <c r="C1918">
        <v>30.875</v>
      </c>
      <c r="D1918" t="str">
        <f t="shared" si="88"/>
        <v>Normal</v>
      </c>
      <c r="E1918">
        <v>4.95</v>
      </c>
      <c r="F1918" t="s">
        <v>2382</v>
      </c>
      <c r="G1918" t="s">
        <v>2380</v>
      </c>
      <c r="H1918" t="s">
        <v>2380</v>
      </c>
      <c r="J1918" t="s">
        <v>2381</v>
      </c>
      <c r="K1918" t="str">
        <f t="shared" si="89"/>
        <v>No</v>
      </c>
      <c r="L1918" t="s">
        <v>2380</v>
      </c>
    </row>
    <row r="1919" spans="1:12" x14ac:dyDescent="0.35">
      <c r="A1919" t="s">
        <v>450</v>
      </c>
      <c r="B1919" t="str">
        <f t="shared" si="87"/>
        <v>Obesity</v>
      </c>
      <c r="C1919">
        <v>39.49</v>
      </c>
      <c r="D1919" t="str">
        <f t="shared" si="88"/>
        <v>Normal</v>
      </c>
      <c r="E1919">
        <v>5.13</v>
      </c>
      <c r="F1919" t="s">
        <v>2380</v>
      </c>
      <c r="G1919" t="s">
        <v>2380</v>
      </c>
      <c r="H1919" t="s">
        <v>2380</v>
      </c>
      <c r="J1919" t="s">
        <v>2381</v>
      </c>
      <c r="K1919" t="str">
        <f t="shared" si="89"/>
        <v>No</v>
      </c>
      <c r="L1919" t="s">
        <v>2380</v>
      </c>
    </row>
    <row r="1920" spans="1:12" x14ac:dyDescent="0.35">
      <c r="A1920" t="s">
        <v>449</v>
      </c>
      <c r="B1920" t="str">
        <f t="shared" si="87"/>
        <v>Overweight</v>
      </c>
      <c r="C1920">
        <v>28.88</v>
      </c>
      <c r="D1920" t="str">
        <f t="shared" si="88"/>
        <v>Normal</v>
      </c>
      <c r="E1920">
        <v>4.0999999999999996</v>
      </c>
      <c r="F1920" t="s">
        <v>2380</v>
      </c>
      <c r="G1920" t="s">
        <v>2380</v>
      </c>
      <c r="H1920" t="s">
        <v>2380</v>
      </c>
      <c r="J1920" t="s">
        <v>2381</v>
      </c>
      <c r="K1920" t="str">
        <f t="shared" si="89"/>
        <v>No</v>
      </c>
      <c r="L1920" t="s">
        <v>2380</v>
      </c>
    </row>
    <row r="1921" spans="1:12" x14ac:dyDescent="0.35">
      <c r="A1921" t="s">
        <v>448</v>
      </c>
      <c r="B1921" t="str">
        <f t="shared" si="87"/>
        <v>Normal Weight</v>
      </c>
      <c r="C1921">
        <v>20.234999999999999</v>
      </c>
      <c r="D1921" t="str">
        <f t="shared" si="88"/>
        <v>Normal</v>
      </c>
      <c r="E1921">
        <v>5.01</v>
      </c>
      <c r="F1921" t="s">
        <v>2382</v>
      </c>
      <c r="G1921" t="s">
        <v>2380</v>
      </c>
      <c r="H1921" t="s">
        <v>2380</v>
      </c>
      <c r="J1921" t="s">
        <v>2381</v>
      </c>
      <c r="K1921" t="str">
        <f t="shared" si="89"/>
        <v>No</v>
      </c>
      <c r="L1921" t="s">
        <v>2380</v>
      </c>
    </row>
    <row r="1922" spans="1:12" x14ac:dyDescent="0.35">
      <c r="A1922" t="s">
        <v>447</v>
      </c>
      <c r="B1922" t="str">
        <f t="shared" si="87"/>
        <v>Obesity</v>
      </c>
      <c r="C1922">
        <v>30.67</v>
      </c>
      <c r="D1922" t="str">
        <f t="shared" si="88"/>
        <v>Normal</v>
      </c>
      <c r="E1922">
        <v>5.09</v>
      </c>
      <c r="F1922" t="s">
        <v>2382</v>
      </c>
      <c r="G1922" t="s">
        <v>2380</v>
      </c>
      <c r="H1922" t="s">
        <v>2380</v>
      </c>
      <c r="J1922" t="s">
        <v>2381</v>
      </c>
      <c r="K1922" t="str">
        <f t="shared" si="89"/>
        <v>No</v>
      </c>
      <c r="L1922" t="s">
        <v>2380</v>
      </c>
    </row>
    <row r="1923" spans="1:12" x14ac:dyDescent="0.35">
      <c r="A1923" t="s">
        <v>446</v>
      </c>
      <c r="B1923" t="str">
        <f t="shared" ref="B1923:B1986" si="90">_xlfn.IFS(C1923&lt;18.5, "Underweight", C1923&lt;=24.9, "Normal Weight", C1923&lt;=29.9, "Overweight", C1923&gt;=30, "Obesity")</f>
        <v>Obesity</v>
      </c>
      <c r="C1923">
        <v>30.875</v>
      </c>
      <c r="D1923" t="e">
        <f t="shared" ref="D1923:D1986" si="91">_xlfn.IFS(E1923&lt;5.7, "Normal", E1923&lt;=6.4, "Prediabetes", E1923&gt;=6.5, "Diabetes")</f>
        <v>#N/A</v>
      </c>
      <c r="E1923">
        <v>6.49</v>
      </c>
      <c r="F1923" t="s">
        <v>2380</v>
      </c>
      <c r="G1923" t="s">
        <v>2380</v>
      </c>
      <c r="H1923" t="s">
        <v>2380</v>
      </c>
      <c r="J1923" t="s">
        <v>2381</v>
      </c>
      <c r="K1923" t="str">
        <f t="shared" si="89"/>
        <v>No</v>
      </c>
      <c r="L1923" t="s">
        <v>2380</v>
      </c>
    </row>
    <row r="1924" spans="1:12" x14ac:dyDescent="0.35">
      <c r="A1924" t="s">
        <v>445</v>
      </c>
      <c r="B1924" t="str">
        <f t="shared" si="90"/>
        <v>Normal Weight</v>
      </c>
      <c r="C1924">
        <v>23.8</v>
      </c>
      <c r="D1924" t="str">
        <f t="shared" si="91"/>
        <v>Normal</v>
      </c>
      <c r="E1924">
        <v>4.08</v>
      </c>
      <c r="F1924" t="s">
        <v>2380</v>
      </c>
      <c r="G1924" t="s">
        <v>2380</v>
      </c>
      <c r="H1924" t="s">
        <v>2380</v>
      </c>
      <c r="J1924" t="s">
        <v>2381</v>
      </c>
      <c r="K1924" t="str">
        <f t="shared" ref="K1924:K1987" si="92">IF(OR(L1924="?", ISBLANK(L1924)), "No", L1924)</f>
        <v>No</v>
      </c>
      <c r="L1924" t="s">
        <v>2380</v>
      </c>
    </row>
    <row r="1925" spans="1:12" x14ac:dyDescent="0.35">
      <c r="A1925" t="s">
        <v>444</v>
      </c>
      <c r="B1925" t="str">
        <f t="shared" si="90"/>
        <v>Underweight</v>
      </c>
      <c r="C1925">
        <v>15.37</v>
      </c>
      <c r="D1925" t="str">
        <f t="shared" si="91"/>
        <v>Diabetes</v>
      </c>
      <c r="E1925">
        <v>8.6300000000000008</v>
      </c>
      <c r="F1925" t="s">
        <v>2382</v>
      </c>
      <c r="G1925" t="s">
        <v>2380</v>
      </c>
      <c r="H1925" t="s">
        <v>2380</v>
      </c>
      <c r="J1925" t="s">
        <v>2381</v>
      </c>
      <c r="K1925" t="str">
        <f t="shared" si="92"/>
        <v>No</v>
      </c>
      <c r="L1925" t="s">
        <v>2380</v>
      </c>
    </row>
    <row r="1926" spans="1:12" x14ac:dyDescent="0.35">
      <c r="A1926" t="s">
        <v>443</v>
      </c>
      <c r="B1926" t="str">
        <f t="shared" si="90"/>
        <v>Obesity</v>
      </c>
      <c r="C1926">
        <v>30.4</v>
      </c>
      <c r="D1926" t="str">
        <f t="shared" si="91"/>
        <v>Normal</v>
      </c>
      <c r="E1926">
        <v>5.28</v>
      </c>
      <c r="F1926" t="s">
        <v>2380</v>
      </c>
      <c r="G1926" t="s">
        <v>2380</v>
      </c>
      <c r="H1926" t="s">
        <v>2380</v>
      </c>
      <c r="J1926" t="s">
        <v>2381</v>
      </c>
      <c r="K1926" t="str">
        <f t="shared" si="92"/>
        <v>No</v>
      </c>
      <c r="L1926" t="s">
        <v>2380</v>
      </c>
    </row>
    <row r="1927" spans="1:12" x14ac:dyDescent="0.35">
      <c r="A1927" t="s">
        <v>442</v>
      </c>
      <c r="B1927" t="str">
        <f t="shared" si="90"/>
        <v>Normal Weight</v>
      </c>
      <c r="C1927">
        <v>19.48</v>
      </c>
      <c r="D1927" t="str">
        <f t="shared" si="91"/>
        <v>Normal</v>
      </c>
      <c r="E1927">
        <v>5.63</v>
      </c>
      <c r="F1927" t="s">
        <v>2382</v>
      </c>
      <c r="G1927" t="s">
        <v>2380</v>
      </c>
      <c r="H1927" t="s">
        <v>2380</v>
      </c>
      <c r="J1927">
        <v>1</v>
      </c>
      <c r="K1927" t="str">
        <f t="shared" si="92"/>
        <v>No</v>
      </c>
      <c r="L1927" t="s">
        <v>2380</v>
      </c>
    </row>
    <row r="1928" spans="1:12" x14ac:dyDescent="0.35">
      <c r="A1928" t="s">
        <v>441</v>
      </c>
      <c r="B1928" t="str">
        <f t="shared" si="90"/>
        <v>Underweight</v>
      </c>
      <c r="C1928">
        <v>16.96</v>
      </c>
      <c r="D1928" t="str">
        <f t="shared" si="91"/>
        <v>Diabetes</v>
      </c>
      <c r="E1928">
        <v>11.47</v>
      </c>
      <c r="F1928" t="s">
        <v>2382</v>
      </c>
      <c r="G1928" t="s">
        <v>2380</v>
      </c>
      <c r="H1928" t="s">
        <v>2380</v>
      </c>
      <c r="J1928" t="s">
        <v>2381</v>
      </c>
      <c r="K1928" t="str">
        <f t="shared" si="92"/>
        <v>No</v>
      </c>
      <c r="L1928" t="s">
        <v>2380</v>
      </c>
    </row>
    <row r="1929" spans="1:12" x14ac:dyDescent="0.35">
      <c r="A1929" t="s">
        <v>440</v>
      </c>
      <c r="B1929" t="str">
        <f t="shared" si="90"/>
        <v>Normal Weight</v>
      </c>
      <c r="C1929">
        <v>19.05</v>
      </c>
      <c r="D1929" t="str">
        <f t="shared" si="91"/>
        <v>Normal</v>
      </c>
      <c r="E1929">
        <v>4.92</v>
      </c>
      <c r="F1929" t="s">
        <v>2380</v>
      </c>
      <c r="G1929" t="s">
        <v>2380</v>
      </c>
      <c r="H1929" t="s">
        <v>2380</v>
      </c>
      <c r="J1929">
        <v>1</v>
      </c>
      <c r="K1929" t="str">
        <f t="shared" si="92"/>
        <v>No</v>
      </c>
      <c r="L1929" t="s">
        <v>2380</v>
      </c>
    </row>
    <row r="1930" spans="1:12" x14ac:dyDescent="0.35">
      <c r="A1930" t="s">
        <v>439</v>
      </c>
      <c r="B1930" t="str">
        <f t="shared" si="90"/>
        <v>Obesity</v>
      </c>
      <c r="C1930">
        <v>37.619999999999997</v>
      </c>
      <c r="D1930" t="str">
        <f t="shared" si="91"/>
        <v>Normal</v>
      </c>
      <c r="E1930">
        <v>4.18</v>
      </c>
      <c r="F1930" t="s">
        <v>2380</v>
      </c>
      <c r="G1930" t="s">
        <v>2380</v>
      </c>
      <c r="H1930" t="s">
        <v>2380</v>
      </c>
      <c r="J1930" t="s">
        <v>2381</v>
      </c>
      <c r="K1930" t="str">
        <f t="shared" si="92"/>
        <v>No</v>
      </c>
      <c r="L1930" t="s">
        <v>2380</v>
      </c>
    </row>
    <row r="1931" spans="1:12" x14ac:dyDescent="0.35">
      <c r="A1931" t="s">
        <v>438</v>
      </c>
      <c r="B1931" t="str">
        <f t="shared" si="90"/>
        <v>Overweight</v>
      </c>
      <c r="C1931">
        <v>29.1</v>
      </c>
      <c r="D1931" t="str">
        <f t="shared" si="91"/>
        <v>Normal</v>
      </c>
      <c r="E1931">
        <v>4.67</v>
      </c>
      <c r="F1931" t="s">
        <v>2380</v>
      </c>
      <c r="G1931" t="s">
        <v>2380</v>
      </c>
      <c r="H1931" t="s">
        <v>2380</v>
      </c>
      <c r="J1931" t="s">
        <v>2381</v>
      </c>
      <c r="K1931" t="str">
        <f t="shared" si="92"/>
        <v>No</v>
      </c>
      <c r="L1931" t="s">
        <v>2380</v>
      </c>
    </row>
    <row r="1932" spans="1:12" x14ac:dyDescent="0.35">
      <c r="A1932" t="s">
        <v>437</v>
      </c>
      <c r="B1932" t="str">
        <f t="shared" si="90"/>
        <v>Overweight</v>
      </c>
      <c r="C1932">
        <v>26.62</v>
      </c>
      <c r="D1932" t="str">
        <f t="shared" si="91"/>
        <v>Prediabetes</v>
      </c>
      <c r="E1932">
        <v>6.24</v>
      </c>
      <c r="F1932" t="s">
        <v>2380</v>
      </c>
      <c r="G1932" t="s">
        <v>2380</v>
      </c>
      <c r="H1932" t="s">
        <v>2380</v>
      </c>
      <c r="J1932" t="s">
        <v>2381</v>
      </c>
      <c r="K1932" t="str">
        <f t="shared" si="92"/>
        <v>No</v>
      </c>
      <c r="L1932" t="s">
        <v>2380</v>
      </c>
    </row>
    <row r="1933" spans="1:12" x14ac:dyDescent="0.35">
      <c r="A1933" t="s">
        <v>436</v>
      </c>
      <c r="B1933" t="str">
        <f t="shared" si="90"/>
        <v>Overweight</v>
      </c>
      <c r="C1933">
        <v>25.74</v>
      </c>
      <c r="D1933" t="str">
        <f t="shared" si="91"/>
        <v>Prediabetes</v>
      </c>
      <c r="E1933">
        <v>5.99</v>
      </c>
      <c r="F1933" t="s">
        <v>2380</v>
      </c>
      <c r="G1933" t="s">
        <v>2380</v>
      </c>
      <c r="H1933" t="s">
        <v>2380</v>
      </c>
      <c r="J1933" t="s">
        <v>2381</v>
      </c>
      <c r="K1933" t="str">
        <f t="shared" si="92"/>
        <v>No</v>
      </c>
      <c r="L1933" t="s">
        <v>2380</v>
      </c>
    </row>
    <row r="1934" spans="1:12" x14ac:dyDescent="0.35">
      <c r="A1934" t="s">
        <v>435</v>
      </c>
      <c r="B1934" t="str">
        <f t="shared" si="90"/>
        <v>Underweight</v>
      </c>
      <c r="C1934">
        <v>18.22</v>
      </c>
      <c r="D1934" t="str">
        <f t="shared" si="91"/>
        <v>Diabetes</v>
      </c>
      <c r="E1934">
        <v>10.27</v>
      </c>
      <c r="F1934" t="s">
        <v>2382</v>
      </c>
      <c r="G1934" t="s">
        <v>2380</v>
      </c>
      <c r="H1934" t="s">
        <v>2380</v>
      </c>
      <c r="J1934">
        <v>1</v>
      </c>
      <c r="K1934" t="str">
        <f t="shared" si="92"/>
        <v>No</v>
      </c>
      <c r="L1934" t="s">
        <v>2380</v>
      </c>
    </row>
    <row r="1935" spans="1:12" x14ac:dyDescent="0.35">
      <c r="A1935" t="s">
        <v>434</v>
      </c>
      <c r="B1935" t="str">
        <f t="shared" si="90"/>
        <v>Overweight</v>
      </c>
      <c r="C1935">
        <v>26.03</v>
      </c>
      <c r="D1935" t="str">
        <f t="shared" si="91"/>
        <v>Prediabetes</v>
      </c>
      <c r="E1935">
        <v>5.97</v>
      </c>
      <c r="F1935" t="s">
        <v>2380</v>
      </c>
      <c r="G1935" t="s">
        <v>2380</v>
      </c>
      <c r="H1935" t="s">
        <v>2383</v>
      </c>
      <c r="J1935">
        <v>1</v>
      </c>
      <c r="K1935" t="str">
        <f t="shared" si="92"/>
        <v>No</v>
      </c>
      <c r="L1935" t="s">
        <v>2380</v>
      </c>
    </row>
    <row r="1936" spans="1:12" x14ac:dyDescent="0.35">
      <c r="A1936" t="s">
        <v>433</v>
      </c>
      <c r="B1936" t="str">
        <f t="shared" si="90"/>
        <v>Underweight</v>
      </c>
      <c r="C1936">
        <v>17.29</v>
      </c>
      <c r="D1936" t="str">
        <f t="shared" si="91"/>
        <v>Normal</v>
      </c>
      <c r="E1936">
        <v>4.9800000000000004</v>
      </c>
      <c r="F1936" t="s">
        <v>2380</v>
      </c>
      <c r="G1936" t="s">
        <v>2380</v>
      </c>
      <c r="H1936" t="s">
        <v>2380</v>
      </c>
      <c r="J1936" t="s">
        <v>2381</v>
      </c>
      <c r="K1936" t="str">
        <f t="shared" si="92"/>
        <v>No</v>
      </c>
      <c r="L1936" t="s">
        <v>2380</v>
      </c>
    </row>
    <row r="1937" spans="1:12" x14ac:dyDescent="0.35">
      <c r="A1937" t="s">
        <v>432</v>
      </c>
      <c r="B1937" t="str">
        <f t="shared" si="90"/>
        <v>Underweight</v>
      </c>
      <c r="C1937">
        <v>18.170000000000002</v>
      </c>
      <c r="D1937" t="str">
        <f t="shared" si="91"/>
        <v>Diabetes</v>
      </c>
      <c r="E1937">
        <v>6.91</v>
      </c>
      <c r="F1937" t="s">
        <v>2382</v>
      </c>
      <c r="G1937" t="s">
        <v>2380</v>
      </c>
      <c r="H1937" t="s">
        <v>2380</v>
      </c>
      <c r="J1937">
        <v>1</v>
      </c>
      <c r="K1937" t="str">
        <f t="shared" si="92"/>
        <v>No</v>
      </c>
      <c r="L1937" t="s">
        <v>2380</v>
      </c>
    </row>
    <row r="1938" spans="1:12" x14ac:dyDescent="0.35">
      <c r="A1938" t="s">
        <v>431</v>
      </c>
      <c r="B1938" t="str">
        <f t="shared" si="90"/>
        <v>Obesity</v>
      </c>
      <c r="C1938">
        <v>32.54</v>
      </c>
      <c r="D1938" t="str">
        <f t="shared" si="91"/>
        <v>Prediabetes</v>
      </c>
      <c r="E1938">
        <v>6.38</v>
      </c>
      <c r="F1938" t="s">
        <v>2380</v>
      </c>
      <c r="G1938" t="s">
        <v>2382</v>
      </c>
      <c r="H1938" t="s">
        <v>2380</v>
      </c>
      <c r="J1938">
        <v>1</v>
      </c>
      <c r="K1938" t="str">
        <f t="shared" si="92"/>
        <v>No</v>
      </c>
      <c r="L1938" t="s">
        <v>2380</v>
      </c>
    </row>
    <row r="1939" spans="1:12" x14ac:dyDescent="0.35">
      <c r="A1939" t="s">
        <v>430</v>
      </c>
      <c r="B1939" t="str">
        <f t="shared" si="90"/>
        <v>Obesity</v>
      </c>
      <c r="C1939">
        <v>30.25</v>
      </c>
      <c r="D1939" t="str">
        <f t="shared" si="91"/>
        <v>Normal</v>
      </c>
      <c r="E1939">
        <v>4.7699999999999996</v>
      </c>
      <c r="F1939" t="s">
        <v>2380</v>
      </c>
      <c r="G1939" t="s">
        <v>2380</v>
      </c>
      <c r="H1939" t="s">
        <v>2380</v>
      </c>
      <c r="J1939" t="s">
        <v>2381</v>
      </c>
      <c r="K1939" t="str">
        <f t="shared" si="92"/>
        <v>No</v>
      </c>
      <c r="L1939" t="s">
        <v>2380</v>
      </c>
    </row>
    <row r="1940" spans="1:12" x14ac:dyDescent="0.35">
      <c r="A1940" t="s">
        <v>429</v>
      </c>
      <c r="B1940" t="str">
        <f t="shared" si="90"/>
        <v>Normal Weight</v>
      </c>
      <c r="C1940">
        <v>19.59</v>
      </c>
      <c r="D1940" t="str">
        <f t="shared" si="91"/>
        <v>Prediabetes</v>
      </c>
      <c r="E1940">
        <v>6.04</v>
      </c>
      <c r="F1940" t="s">
        <v>2382</v>
      </c>
      <c r="G1940" t="s">
        <v>2380</v>
      </c>
      <c r="H1940" t="s">
        <v>2380</v>
      </c>
      <c r="J1940">
        <v>1</v>
      </c>
      <c r="K1940" t="str">
        <f t="shared" si="92"/>
        <v>No</v>
      </c>
      <c r="L1940" t="s">
        <v>2380</v>
      </c>
    </row>
    <row r="1941" spans="1:12" x14ac:dyDescent="0.35">
      <c r="A1941" t="s">
        <v>428</v>
      </c>
      <c r="B1941" t="str">
        <f t="shared" si="90"/>
        <v>Obesity</v>
      </c>
      <c r="C1941">
        <v>45.9</v>
      </c>
      <c r="D1941" t="str">
        <f t="shared" si="91"/>
        <v>Normal</v>
      </c>
      <c r="E1941">
        <v>4.3</v>
      </c>
      <c r="F1941" t="s">
        <v>2382</v>
      </c>
      <c r="G1941" t="s">
        <v>2380</v>
      </c>
      <c r="H1941" t="s">
        <v>2380</v>
      </c>
      <c r="J1941">
        <v>1</v>
      </c>
      <c r="K1941" t="str">
        <f t="shared" si="92"/>
        <v>No</v>
      </c>
      <c r="L1941" t="s">
        <v>2380</v>
      </c>
    </row>
    <row r="1942" spans="1:12" x14ac:dyDescent="0.35">
      <c r="A1942" t="s">
        <v>427</v>
      </c>
      <c r="B1942" t="str">
        <f t="shared" si="90"/>
        <v>Underweight</v>
      </c>
      <c r="C1942">
        <v>17.059999999999999</v>
      </c>
      <c r="D1942" t="str">
        <f t="shared" si="91"/>
        <v>Diabetes</v>
      </c>
      <c r="E1942">
        <v>8.75</v>
      </c>
      <c r="F1942" t="s">
        <v>2382</v>
      </c>
      <c r="G1942" t="s">
        <v>2380</v>
      </c>
      <c r="H1942" t="s">
        <v>2380</v>
      </c>
      <c r="J1942" t="s">
        <v>2381</v>
      </c>
      <c r="K1942" t="str">
        <f t="shared" si="92"/>
        <v>No</v>
      </c>
      <c r="L1942" t="s">
        <v>2380</v>
      </c>
    </row>
    <row r="1943" spans="1:12" x14ac:dyDescent="0.35">
      <c r="A1943" t="s">
        <v>426</v>
      </c>
      <c r="B1943" t="str">
        <f t="shared" si="90"/>
        <v>Obesity</v>
      </c>
      <c r="C1943">
        <v>32.07</v>
      </c>
      <c r="D1943" t="str">
        <f t="shared" si="91"/>
        <v>Normal</v>
      </c>
      <c r="E1943">
        <v>5.25</v>
      </c>
      <c r="F1943" t="s">
        <v>2380</v>
      </c>
      <c r="G1943" t="s">
        <v>2380</v>
      </c>
      <c r="H1943" t="s">
        <v>2383</v>
      </c>
      <c r="J1943">
        <v>1</v>
      </c>
      <c r="K1943" t="str">
        <f t="shared" si="92"/>
        <v>No</v>
      </c>
      <c r="L1943" t="s">
        <v>2380</v>
      </c>
    </row>
    <row r="1944" spans="1:12" x14ac:dyDescent="0.35">
      <c r="A1944" t="s">
        <v>425</v>
      </c>
      <c r="B1944" t="str">
        <f t="shared" si="90"/>
        <v>Underweight</v>
      </c>
      <c r="C1944">
        <v>16.5</v>
      </c>
      <c r="D1944" t="str">
        <f t="shared" si="91"/>
        <v>Normal</v>
      </c>
      <c r="E1944">
        <v>5.03</v>
      </c>
      <c r="F1944" t="s">
        <v>2380</v>
      </c>
      <c r="G1944" t="s">
        <v>2380</v>
      </c>
      <c r="H1944" t="s">
        <v>2380</v>
      </c>
      <c r="J1944">
        <v>1</v>
      </c>
      <c r="K1944" t="str">
        <f t="shared" si="92"/>
        <v>No</v>
      </c>
      <c r="L1944" t="s">
        <v>2380</v>
      </c>
    </row>
    <row r="1945" spans="1:12" x14ac:dyDescent="0.35">
      <c r="A1945" t="s">
        <v>424</v>
      </c>
      <c r="B1945" t="str">
        <f t="shared" si="90"/>
        <v>Obesity</v>
      </c>
      <c r="C1945">
        <v>31.4</v>
      </c>
      <c r="D1945" t="str">
        <f t="shared" si="91"/>
        <v>Prediabetes</v>
      </c>
      <c r="E1945">
        <v>5.88</v>
      </c>
      <c r="F1945" t="s">
        <v>2380</v>
      </c>
      <c r="G1945" t="s">
        <v>2380</v>
      </c>
      <c r="H1945" t="s">
        <v>2380</v>
      </c>
      <c r="J1945">
        <v>1</v>
      </c>
      <c r="K1945" t="str">
        <f t="shared" si="92"/>
        <v>No</v>
      </c>
      <c r="L1945" t="s">
        <v>2380</v>
      </c>
    </row>
    <row r="1946" spans="1:12" x14ac:dyDescent="0.35">
      <c r="A1946" t="s">
        <v>423</v>
      </c>
      <c r="B1946" t="str">
        <f t="shared" si="90"/>
        <v>Normal Weight</v>
      </c>
      <c r="C1946">
        <v>20.36</v>
      </c>
      <c r="D1946" t="str">
        <f t="shared" si="91"/>
        <v>Normal</v>
      </c>
      <c r="E1946">
        <v>4.49</v>
      </c>
      <c r="F1946" t="s">
        <v>2380</v>
      </c>
      <c r="G1946" t="s">
        <v>2380</v>
      </c>
      <c r="H1946" t="s">
        <v>2380</v>
      </c>
      <c r="J1946" t="s">
        <v>2381</v>
      </c>
      <c r="K1946" t="str">
        <f t="shared" si="92"/>
        <v>No</v>
      </c>
      <c r="L1946" t="s">
        <v>2380</v>
      </c>
    </row>
    <row r="1947" spans="1:12" x14ac:dyDescent="0.35">
      <c r="A1947" t="s">
        <v>422</v>
      </c>
      <c r="B1947" t="str">
        <f t="shared" si="90"/>
        <v>Overweight</v>
      </c>
      <c r="C1947">
        <v>25.46</v>
      </c>
      <c r="D1947" t="str">
        <f t="shared" si="91"/>
        <v>Normal</v>
      </c>
      <c r="E1947">
        <v>4.1399999999999997</v>
      </c>
      <c r="F1947" t="s">
        <v>2380</v>
      </c>
      <c r="G1947" t="s">
        <v>2380</v>
      </c>
      <c r="H1947" t="s">
        <v>2380</v>
      </c>
      <c r="J1947">
        <v>1</v>
      </c>
      <c r="K1947" t="str">
        <f t="shared" si="92"/>
        <v>No</v>
      </c>
      <c r="L1947" t="s">
        <v>2380</v>
      </c>
    </row>
    <row r="1948" spans="1:12" x14ac:dyDescent="0.35">
      <c r="A1948" t="s">
        <v>421</v>
      </c>
      <c r="B1948" t="str">
        <f t="shared" si="90"/>
        <v>Underweight</v>
      </c>
      <c r="C1948">
        <v>17.09</v>
      </c>
      <c r="D1948" t="str">
        <f t="shared" si="91"/>
        <v>Prediabetes</v>
      </c>
      <c r="E1948">
        <v>5.8</v>
      </c>
      <c r="F1948" t="s">
        <v>2382</v>
      </c>
      <c r="G1948" t="s">
        <v>2380</v>
      </c>
      <c r="H1948" t="s">
        <v>2380</v>
      </c>
      <c r="J1948" t="s">
        <v>2381</v>
      </c>
      <c r="K1948" t="str">
        <f t="shared" si="92"/>
        <v>No</v>
      </c>
      <c r="L1948" t="s">
        <v>2380</v>
      </c>
    </row>
    <row r="1949" spans="1:12" x14ac:dyDescent="0.35">
      <c r="A1949" t="s">
        <v>420</v>
      </c>
      <c r="B1949" t="str">
        <f t="shared" si="90"/>
        <v>Normal Weight</v>
      </c>
      <c r="C1949">
        <v>20.83</v>
      </c>
      <c r="D1949" t="str">
        <f t="shared" si="91"/>
        <v>Normal</v>
      </c>
      <c r="E1949">
        <v>5.12</v>
      </c>
      <c r="F1949" t="s">
        <v>2380</v>
      </c>
      <c r="G1949" t="s">
        <v>2380</v>
      </c>
      <c r="H1949" t="s">
        <v>2380</v>
      </c>
      <c r="J1949" t="s">
        <v>2381</v>
      </c>
      <c r="K1949" t="str">
        <f t="shared" si="92"/>
        <v>No</v>
      </c>
      <c r="L1949" t="s">
        <v>2380</v>
      </c>
    </row>
    <row r="1950" spans="1:12" x14ac:dyDescent="0.35">
      <c r="A1950" t="s">
        <v>419</v>
      </c>
      <c r="B1950" t="str">
        <f t="shared" si="90"/>
        <v>Normal Weight</v>
      </c>
      <c r="C1950">
        <v>18.920000000000002</v>
      </c>
      <c r="D1950" t="str">
        <f t="shared" si="91"/>
        <v>Prediabetes</v>
      </c>
      <c r="E1950">
        <v>5.98</v>
      </c>
      <c r="F1950" t="s">
        <v>2382</v>
      </c>
      <c r="G1950" t="s">
        <v>2380</v>
      </c>
      <c r="H1950" t="s">
        <v>2380</v>
      </c>
      <c r="J1950">
        <v>1</v>
      </c>
      <c r="K1950" t="str">
        <f t="shared" si="92"/>
        <v>No</v>
      </c>
      <c r="L1950" t="s">
        <v>2380</v>
      </c>
    </row>
    <row r="1951" spans="1:12" x14ac:dyDescent="0.35">
      <c r="A1951" t="s">
        <v>418</v>
      </c>
      <c r="B1951" t="str">
        <f t="shared" si="90"/>
        <v>Obesity</v>
      </c>
      <c r="C1951">
        <v>37.1</v>
      </c>
      <c r="D1951" t="str">
        <f t="shared" si="91"/>
        <v>Normal</v>
      </c>
      <c r="E1951">
        <v>5.46</v>
      </c>
      <c r="F1951" t="s">
        <v>2380</v>
      </c>
      <c r="G1951" t="s">
        <v>2380</v>
      </c>
      <c r="H1951" t="s">
        <v>2380</v>
      </c>
      <c r="J1951" t="s">
        <v>2381</v>
      </c>
      <c r="K1951" t="str">
        <f t="shared" si="92"/>
        <v>No</v>
      </c>
      <c r="L1951" t="s">
        <v>2380</v>
      </c>
    </row>
    <row r="1952" spans="1:12" x14ac:dyDescent="0.35">
      <c r="A1952" t="s">
        <v>417</v>
      </c>
      <c r="B1952" t="str">
        <f t="shared" si="90"/>
        <v>Normal Weight</v>
      </c>
      <c r="C1952">
        <v>22.515000000000001</v>
      </c>
      <c r="D1952" t="str">
        <f t="shared" si="91"/>
        <v>Normal</v>
      </c>
      <c r="E1952">
        <v>4.91</v>
      </c>
      <c r="F1952" t="s">
        <v>2382</v>
      </c>
      <c r="G1952" t="s">
        <v>2380</v>
      </c>
      <c r="H1952" t="s">
        <v>2383</v>
      </c>
      <c r="J1952">
        <v>1</v>
      </c>
      <c r="K1952" t="str">
        <f t="shared" si="92"/>
        <v>No</v>
      </c>
      <c r="L1952" t="s">
        <v>2380</v>
      </c>
    </row>
    <row r="1953" spans="1:12" x14ac:dyDescent="0.35">
      <c r="A1953" t="s">
        <v>416</v>
      </c>
      <c r="B1953" t="str">
        <f t="shared" si="90"/>
        <v>Obesity</v>
      </c>
      <c r="C1953">
        <v>32.700000000000003</v>
      </c>
      <c r="D1953" t="str">
        <f t="shared" si="91"/>
        <v>Normal</v>
      </c>
      <c r="E1953">
        <v>4.66</v>
      </c>
      <c r="F1953" t="s">
        <v>2380</v>
      </c>
      <c r="G1953" t="s">
        <v>2380</v>
      </c>
      <c r="H1953" t="s">
        <v>2380</v>
      </c>
      <c r="J1953" t="s">
        <v>2381</v>
      </c>
      <c r="K1953" t="str">
        <f t="shared" si="92"/>
        <v>No</v>
      </c>
      <c r="L1953" t="s">
        <v>2380</v>
      </c>
    </row>
    <row r="1954" spans="1:12" x14ac:dyDescent="0.35">
      <c r="A1954" t="s">
        <v>415</v>
      </c>
      <c r="B1954" t="str">
        <f t="shared" si="90"/>
        <v>Underweight</v>
      </c>
      <c r="C1954">
        <v>17.75</v>
      </c>
      <c r="D1954" t="str">
        <f t="shared" si="91"/>
        <v>Diabetes</v>
      </c>
      <c r="E1954">
        <v>6.8</v>
      </c>
      <c r="F1954" t="s">
        <v>2382</v>
      </c>
      <c r="G1954" t="s">
        <v>2380</v>
      </c>
      <c r="H1954" t="s">
        <v>2380</v>
      </c>
      <c r="J1954">
        <v>1</v>
      </c>
      <c r="K1954" t="str">
        <f t="shared" si="92"/>
        <v>No</v>
      </c>
      <c r="L1954" t="s">
        <v>2380</v>
      </c>
    </row>
    <row r="1955" spans="1:12" x14ac:dyDescent="0.35">
      <c r="A1955" t="s">
        <v>414</v>
      </c>
      <c r="B1955" t="str">
        <f t="shared" si="90"/>
        <v>Obesity</v>
      </c>
      <c r="C1955">
        <v>33.630000000000003</v>
      </c>
      <c r="D1955" t="str">
        <f t="shared" si="91"/>
        <v>Normal</v>
      </c>
      <c r="E1955">
        <v>4.47</v>
      </c>
      <c r="F1955" t="s">
        <v>2382</v>
      </c>
      <c r="G1955" t="s">
        <v>2380</v>
      </c>
      <c r="H1955" t="s">
        <v>2380</v>
      </c>
      <c r="J1955" t="s">
        <v>2381</v>
      </c>
      <c r="K1955" t="str">
        <f t="shared" si="92"/>
        <v>No</v>
      </c>
      <c r="L1955" t="s">
        <v>2380</v>
      </c>
    </row>
    <row r="1956" spans="1:12" x14ac:dyDescent="0.35">
      <c r="A1956" t="s">
        <v>413</v>
      </c>
      <c r="B1956" t="str">
        <f t="shared" si="90"/>
        <v>Obesity</v>
      </c>
      <c r="C1956">
        <v>34.799999999999997</v>
      </c>
      <c r="D1956" t="str">
        <f t="shared" si="91"/>
        <v>Normal</v>
      </c>
      <c r="E1956">
        <v>4.08</v>
      </c>
      <c r="F1956" t="s">
        <v>2382</v>
      </c>
      <c r="G1956" t="s">
        <v>2380</v>
      </c>
      <c r="H1956" t="s">
        <v>2380</v>
      </c>
      <c r="J1956">
        <v>1</v>
      </c>
      <c r="K1956" t="str">
        <f t="shared" si="92"/>
        <v>No</v>
      </c>
      <c r="L1956" t="s">
        <v>2380</v>
      </c>
    </row>
    <row r="1957" spans="1:12" x14ac:dyDescent="0.35">
      <c r="A1957" t="s">
        <v>412</v>
      </c>
      <c r="B1957" t="str">
        <f t="shared" si="90"/>
        <v>Underweight</v>
      </c>
      <c r="C1957">
        <v>16.809999999999999</v>
      </c>
      <c r="D1957" t="str">
        <f t="shared" si="91"/>
        <v>Normal</v>
      </c>
      <c r="E1957">
        <v>5.51</v>
      </c>
      <c r="F1957" t="s">
        <v>2382</v>
      </c>
      <c r="G1957" t="s">
        <v>2380</v>
      </c>
      <c r="H1957" t="s">
        <v>2380</v>
      </c>
      <c r="J1957">
        <v>1</v>
      </c>
      <c r="K1957" t="str">
        <f t="shared" si="92"/>
        <v>No</v>
      </c>
      <c r="L1957" t="s">
        <v>2380</v>
      </c>
    </row>
    <row r="1958" spans="1:12" x14ac:dyDescent="0.35">
      <c r="A1958" t="s">
        <v>411</v>
      </c>
      <c r="B1958" t="str">
        <f t="shared" si="90"/>
        <v>Underweight</v>
      </c>
      <c r="C1958">
        <v>16.690000000000001</v>
      </c>
      <c r="D1958" t="str">
        <f t="shared" si="91"/>
        <v>Diabetes</v>
      </c>
      <c r="E1958">
        <v>8.4</v>
      </c>
      <c r="F1958" t="s">
        <v>2382</v>
      </c>
      <c r="G1958" t="s">
        <v>2380</v>
      </c>
      <c r="H1958" t="s">
        <v>2380</v>
      </c>
      <c r="J1958" t="s">
        <v>2381</v>
      </c>
      <c r="K1958" t="str">
        <f t="shared" si="92"/>
        <v>No</v>
      </c>
      <c r="L1958" t="s">
        <v>2380</v>
      </c>
    </row>
    <row r="1959" spans="1:12" x14ac:dyDescent="0.35">
      <c r="A1959" t="s">
        <v>410</v>
      </c>
      <c r="B1959" t="str">
        <f t="shared" si="90"/>
        <v>Normal Weight</v>
      </c>
      <c r="C1959">
        <v>23.21</v>
      </c>
      <c r="D1959" t="str">
        <f t="shared" si="91"/>
        <v>Normal</v>
      </c>
      <c r="E1959">
        <v>5.14</v>
      </c>
      <c r="F1959" t="s">
        <v>2382</v>
      </c>
      <c r="G1959" t="s">
        <v>2380</v>
      </c>
      <c r="H1959" t="s">
        <v>2380</v>
      </c>
      <c r="J1959">
        <v>1</v>
      </c>
      <c r="K1959" t="str">
        <f t="shared" si="92"/>
        <v>No</v>
      </c>
      <c r="L1959" t="s">
        <v>2380</v>
      </c>
    </row>
    <row r="1960" spans="1:12" x14ac:dyDescent="0.35">
      <c r="A1960" t="s">
        <v>409</v>
      </c>
      <c r="B1960" t="str">
        <f t="shared" si="90"/>
        <v>Overweight</v>
      </c>
      <c r="C1960">
        <v>25.175000000000001</v>
      </c>
      <c r="D1960" t="str">
        <f t="shared" si="91"/>
        <v>Normal</v>
      </c>
      <c r="E1960">
        <v>5.21</v>
      </c>
      <c r="F1960" t="s">
        <v>2382</v>
      </c>
      <c r="G1960" t="s">
        <v>2380</v>
      </c>
      <c r="H1960" t="s">
        <v>2380</v>
      </c>
      <c r="J1960">
        <v>1</v>
      </c>
      <c r="K1960" t="str">
        <f t="shared" si="92"/>
        <v>No</v>
      </c>
      <c r="L1960" t="s">
        <v>2380</v>
      </c>
    </row>
    <row r="1961" spans="1:12" x14ac:dyDescent="0.35">
      <c r="A1961" t="s">
        <v>408</v>
      </c>
      <c r="B1961" t="str">
        <f t="shared" si="90"/>
        <v>Obesity</v>
      </c>
      <c r="C1961">
        <v>34.770000000000003</v>
      </c>
      <c r="D1961" t="str">
        <f t="shared" si="91"/>
        <v>Prediabetes</v>
      </c>
      <c r="E1961">
        <v>6.23</v>
      </c>
      <c r="F1961" t="s">
        <v>2380</v>
      </c>
      <c r="G1961" t="s">
        <v>2380</v>
      </c>
      <c r="H1961" t="s">
        <v>2380</v>
      </c>
      <c r="J1961" t="s">
        <v>2381</v>
      </c>
      <c r="K1961" t="str">
        <f t="shared" si="92"/>
        <v>No</v>
      </c>
      <c r="L1961" t="s">
        <v>2380</v>
      </c>
    </row>
    <row r="1962" spans="1:12" x14ac:dyDescent="0.35">
      <c r="A1962" t="s">
        <v>407</v>
      </c>
      <c r="B1962" t="str">
        <f t="shared" si="90"/>
        <v>Overweight</v>
      </c>
      <c r="C1962">
        <v>27.7</v>
      </c>
      <c r="D1962" t="str">
        <f t="shared" si="91"/>
        <v>Normal</v>
      </c>
      <c r="E1962">
        <v>5.6</v>
      </c>
      <c r="F1962" t="s">
        <v>2380</v>
      </c>
      <c r="G1962" t="s">
        <v>2380</v>
      </c>
      <c r="H1962" t="s">
        <v>2380</v>
      </c>
      <c r="J1962">
        <v>1</v>
      </c>
      <c r="K1962" t="str">
        <f t="shared" si="92"/>
        <v>No</v>
      </c>
      <c r="L1962" t="s">
        <v>2380</v>
      </c>
    </row>
    <row r="1963" spans="1:12" x14ac:dyDescent="0.35">
      <c r="A1963" t="s">
        <v>406</v>
      </c>
      <c r="B1963" t="str">
        <f t="shared" si="90"/>
        <v>Normal Weight</v>
      </c>
      <c r="C1963">
        <v>19.12</v>
      </c>
      <c r="D1963" t="str">
        <f t="shared" si="91"/>
        <v>Normal</v>
      </c>
      <c r="E1963">
        <v>4.72</v>
      </c>
      <c r="F1963" t="s">
        <v>2382</v>
      </c>
      <c r="G1963" t="s">
        <v>2380</v>
      </c>
      <c r="H1963" t="s">
        <v>2380</v>
      </c>
      <c r="J1963">
        <v>1</v>
      </c>
      <c r="K1963" t="str">
        <f t="shared" si="92"/>
        <v>No</v>
      </c>
      <c r="L1963" t="s">
        <v>2380</v>
      </c>
    </row>
    <row r="1964" spans="1:12" x14ac:dyDescent="0.35">
      <c r="A1964" t="s">
        <v>405</v>
      </c>
      <c r="B1964" t="str">
        <f t="shared" si="90"/>
        <v>Obesity</v>
      </c>
      <c r="C1964">
        <v>32.67</v>
      </c>
      <c r="D1964" t="str">
        <f t="shared" si="91"/>
        <v>Normal</v>
      </c>
      <c r="E1964">
        <v>4.67</v>
      </c>
      <c r="F1964" t="s">
        <v>2380</v>
      </c>
      <c r="G1964" t="s">
        <v>2380</v>
      </c>
      <c r="H1964" t="s">
        <v>2383</v>
      </c>
      <c r="J1964">
        <v>1</v>
      </c>
      <c r="K1964" t="str">
        <f t="shared" si="92"/>
        <v>No</v>
      </c>
      <c r="L1964" t="s">
        <v>2380</v>
      </c>
    </row>
    <row r="1965" spans="1:12" x14ac:dyDescent="0.35">
      <c r="A1965" t="s">
        <v>404</v>
      </c>
      <c r="B1965" t="str">
        <f t="shared" si="90"/>
        <v>Overweight</v>
      </c>
      <c r="C1965">
        <v>28.5</v>
      </c>
      <c r="D1965" t="str">
        <f t="shared" si="91"/>
        <v>Prediabetes</v>
      </c>
      <c r="E1965">
        <v>6.11</v>
      </c>
      <c r="F1965" t="s">
        <v>2380</v>
      </c>
      <c r="G1965" t="s">
        <v>2380</v>
      </c>
      <c r="H1965" t="s">
        <v>2380</v>
      </c>
      <c r="J1965">
        <v>1</v>
      </c>
      <c r="K1965" t="str">
        <f t="shared" si="92"/>
        <v>No</v>
      </c>
      <c r="L1965" t="s">
        <v>2380</v>
      </c>
    </row>
    <row r="1966" spans="1:12" x14ac:dyDescent="0.35">
      <c r="A1966" t="s">
        <v>403</v>
      </c>
      <c r="B1966" t="str">
        <f t="shared" si="90"/>
        <v>Obesity</v>
      </c>
      <c r="C1966">
        <v>39.270000000000003</v>
      </c>
      <c r="D1966" t="str">
        <f t="shared" si="91"/>
        <v>Prediabetes</v>
      </c>
      <c r="E1966">
        <v>6.25</v>
      </c>
      <c r="F1966" t="s">
        <v>2380</v>
      </c>
      <c r="G1966" t="s">
        <v>2380</v>
      </c>
      <c r="H1966" t="s">
        <v>2380</v>
      </c>
      <c r="J1966" t="s">
        <v>2381</v>
      </c>
      <c r="K1966" t="str">
        <f t="shared" si="92"/>
        <v>No</v>
      </c>
      <c r="L1966" t="s">
        <v>2380</v>
      </c>
    </row>
    <row r="1967" spans="1:12" x14ac:dyDescent="0.35">
      <c r="A1967" t="s">
        <v>402</v>
      </c>
      <c r="B1967" t="str">
        <f t="shared" si="90"/>
        <v>Obesity</v>
      </c>
      <c r="C1967">
        <v>32.49</v>
      </c>
      <c r="D1967" t="str">
        <f t="shared" si="91"/>
        <v>Normal</v>
      </c>
      <c r="E1967">
        <v>4</v>
      </c>
      <c r="F1967" t="s">
        <v>2382</v>
      </c>
      <c r="G1967" t="s">
        <v>2380</v>
      </c>
      <c r="H1967" t="s">
        <v>2380</v>
      </c>
      <c r="J1967" t="s">
        <v>2381</v>
      </c>
      <c r="K1967" t="str">
        <f t="shared" si="92"/>
        <v>No</v>
      </c>
      <c r="L1967" t="s">
        <v>2380</v>
      </c>
    </row>
    <row r="1968" spans="1:12" x14ac:dyDescent="0.35">
      <c r="A1968" t="s">
        <v>401</v>
      </c>
      <c r="B1968" t="str">
        <f t="shared" si="90"/>
        <v>Normal Weight</v>
      </c>
      <c r="C1968">
        <v>23.7</v>
      </c>
      <c r="D1968" t="str">
        <f t="shared" si="91"/>
        <v>Normal</v>
      </c>
      <c r="E1968">
        <v>5.55</v>
      </c>
      <c r="F1968" t="s">
        <v>2382</v>
      </c>
      <c r="G1968" t="s">
        <v>2380</v>
      </c>
      <c r="H1968" t="s">
        <v>2380</v>
      </c>
      <c r="J1968" t="s">
        <v>2381</v>
      </c>
      <c r="K1968" t="str">
        <f t="shared" si="92"/>
        <v>No</v>
      </c>
      <c r="L1968" t="s">
        <v>2380</v>
      </c>
    </row>
    <row r="1969" spans="1:12" x14ac:dyDescent="0.35">
      <c r="A1969" t="s">
        <v>400</v>
      </c>
      <c r="B1969" t="str">
        <f t="shared" si="90"/>
        <v>Obesity</v>
      </c>
      <c r="C1969">
        <v>30.4</v>
      </c>
      <c r="D1969" t="str">
        <f t="shared" si="91"/>
        <v>Prediabetes</v>
      </c>
      <c r="E1969">
        <v>5.95</v>
      </c>
      <c r="F1969" t="s">
        <v>2380</v>
      </c>
      <c r="G1969" t="s">
        <v>2382</v>
      </c>
      <c r="H1969" t="s">
        <v>2380</v>
      </c>
      <c r="J1969">
        <v>1</v>
      </c>
      <c r="K1969" t="str">
        <f t="shared" si="92"/>
        <v>No</v>
      </c>
      <c r="L1969" t="s">
        <v>2380</v>
      </c>
    </row>
    <row r="1970" spans="1:12" x14ac:dyDescent="0.35">
      <c r="A1970" t="s">
        <v>399</v>
      </c>
      <c r="B1970" t="str">
        <f t="shared" si="90"/>
        <v>Obesity</v>
      </c>
      <c r="C1970">
        <v>38.94</v>
      </c>
      <c r="D1970" t="str">
        <f t="shared" si="91"/>
        <v>Normal</v>
      </c>
      <c r="E1970">
        <v>4.3600000000000003</v>
      </c>
      <c r="F1970" t="s">
        <v>2380</v>
      </c>
      <c r="G1970" t="s">
        <v>2380</v>
      </c>
      <c r="H1970" t="s">
        <v>2383</v>
      </c>
      <c r="J1970">
        <v>1</v>
      </c>
      <c r="K1970" t="str">
        <f t="shared" si="92"/>
        <v>No</v>
      </c>
      <c r="L1970" t="s">
        <v>2380</v>
      </c>
    </row>
    <row r="1971" spans="1:12" x14ac:dyDescent="0.35">
      <c r="A1971" t="s">
        <v>398</v>
      </c>
      <c r="B1971" t="str">
        <f t="shared" si="90"/>
        <v>Obesity</v>
      </c>
      <c r="C1971">
        <v>31.02</v>
      </c>
      <c r="D1971" t="str">
        <f t="shared" si="91"/>
        <v>Normal</v>
      </c>
      <c r="E1971">
        <v>4.84</v>
      </c>
      <c r="F1971" t="s">
        <v>2380</v>
      </c>
      <c r="G1971" t="s">
        <v>2380</v>
      </c>
      <c r="H1971" t="s">
        <v>2383</v>
      </c>
      <c r="J1971">
        <v>1</v>
      </c>
      <c r="K1971" t="str">
        <f t="shared" si="92"/>
        <v>No</v>
      </c>
      <c r="L1971" t="s">
        <v>2380</v>
      </c>
    </row>
    <row r="1972" spans="1:12" x14ac:dyDescent="0.35">
      <c r="A1972" t="s">
        <v>397</v>
      </c>
      <c r="B1972" t="str">
        <f t="shared" si="90"/>
        <v>Underweight</v>
      </c>
      <c r="C1972">
        <v>17.5</v>
      </c>
      <c r="D1972" t="str">
        <f t="shared" si="91"/>
        <v>Normal</v>
      </c>
      <c r="E1972">
        <v>4.5599999999999996</v>
      </c>
      <c r="F1972" t="s">
        <v>2380</v>
      </c>
      <c r="G1972" t="s">
        <v>2380</v>
      </c>
      <c r="H1972" t="s">
        <v>2380</v>
      </c>
      <c r="J1972">
        <v>1</v>
      </c>
      <c r="K1972" t="str">
        <f t="shared" si="92"/>
        <v>No</v>
      </c>
      <c r="L1972" t="s">
        <v>2380</v>
      </c>
    </row>
    <row r="1973" spans="1:12" x14ac:dyDescent="0.35">
      <c r="A1973" t="s">
        <v>396</v>
      </c>
      <c r="B1973" t="str">
        <f t="shared" si="90"/>
        <v>Obesity</v>
      </c>
      <c r="C1973">
        <v>34.799999999999997</v>
      </c>
      <c r="D1973" t="str">
        <f t="shared" si="91"/>
        <v>Normal</v>
      </c>
      <c r="E1973">
        <v>4.42</v>
      </c>
      <c r="F1973" t="s">
        <v>2382</v>
      </c>
      <c r="G1973" t="s">
        <v>2382</v>
      </c>
      <c r="H1973" t="s">
        <v>2380</v>
      </c>
      <c r="J1973">
        <v>2</v>
      </c>
      <c r="K1973" t="str">
        <f t="shared" si="92"/>
        <v>No</v>
      </c>
      <c r="L1973" t="s">
        <v>2380</v>
      </c>
    </row>
    <row r="1974" spans="1:12" x14ac:dyDescent="0.35">
      <c r="A1974" t="s">
        <v>395</v>
      </c>
      <c r="B1974" t="str">
        <f t="shared" si="90"/>
        <v>Underweight</v>
      </c>
      <c r="C1974">
        <v>17.3</v>
      </c>
      <c r="D1974" t="str">
        <f t="shared" si="91"/>
        <v>Diabetes</v>
      </c>
      <c r="E1974">
        <v>7.66</v>
      </c>
      <c r="F1974" t="s">
        <v>2382</v>
      </c>
      <c r="G1974" t="s">
        <v>2380</v>
      </c>
      <c r="H1974" t="s">
        <v>2380</v>
      </c>
      <c r="J1974">
        <v>1</v>
      </c>
      <c r="K1974" t="str">
        <f t="shared" si="92"/>
        <v>No</v>
      </c>
      <c r="L1974" t="s">
        <v>2380</v>
      </c>
    </row>
    <row r="1975" spans="1:12" x14ac:dyDescent="0.35">
      <c r="A1975" t="s">
        <v>394</v>
      </c>
      <c r="B1975" t="str">
        <f t="shared" si="90"/>
        <v>Obesity</v>
      </c>
      <c r="C1975">
        <v>32.25</v>
      </c>
      <c r="D1975" t="str">
        <f t="shared" si="91"/>
        <v>Normal</v>
      </c>
      <c r="E1975">
        <v>5.2</v>
      </c>
      <c r="F1975" t="s">
        <v>2382</v>
      </c>
      <c r="G1975" t="s">
        <v>2380</v>
      </c>
      <c r="H1975" t="s">
        <v>2380</v>
      </c>
      <c r="J1975" t="s">
        <v>2381</v>
      </c>
      <c r="K1975" t="str">
        <f t="shared" si="92"/>
        <v>No</v>
      </c>
      <c r="L1975" t="s">
        <v>2380</v>
      </c>
    </row>
    <row r="1976" spans="1:12" x14ac:dyDescent="0.35">
      <c r="A1976" t="s">
        <v>393</v>
      </c>
      <c r="B1976" t="str">
        <f t="shared" si="90"/>
        <v>Obesity</v>
      </c>
      <c r="C1976">
        <v>42.4</v>
      </c>
      <c r="D1976" t="str">
        <f t="shared" si="91"/>
        <v>Normal</v>
      </c>
      <c r="E1976">
        <v>5.53</v>
      </c>
      <c r="F1976" t="s">
        <v>2382</v>
      </c>
      <c r="G1976" t="s">
        <v>2380</v>
      </c>
      <c r="H1976" t="s">
        <v>2380</v>
      </c>
      <c r="J1976" t="s">
        <v>2381</v>
      </c>
      <c r="K1976" t="str">
        <f t="shared" si="92"/>
        <v>No</v>
      </c>
      <c r="L1976" t="s">
        <v>2380</v>
      </c>
    </row>
    <row r="1977" spans="1:12" x14ac:dyDescent="0.35">
      <c r="A1977" t="s">
        <v>392</v>
      </c>
      <c r="B1977" t="str">
        <f t="shared" si="90"/>
        <v>Obesity</v>
      </c>
      <c r="C1977">
        <v>38.664999999999999</v>
      </c>
      <c r="D1977" t="str">
        <f t="shared" si="91"/>
        <v>Normal</v>
      </c>
      <c r="E1977">
        <v>4.8600000000000003</v>
      </c>
      <c r="F1977" t="s">
        <v>2380</v>
      </c>
      <c r="G1977" t="s">
        <v>2382</v>
      </c>
      <c r="H1977" t="s">
        <v>2380</v>
      </c>
      <c r="J1977">
        <v>1</v>
      </c>
      <c r="K1977" t="str">
        <f t="shared" si="92"/>
        <v>No</v>
      </c>
      <c r="L1977" t="s">
        <v>2380</v>
      </c>
    </row>
    <row r="1978" spans="1:12" x14ac:dyDescent="0.35">
      <c r="A1978" t="s">
        <v>391</v>
      </c>
      <c r="B1978" t="e">
        <f t="shared" si="90"/>
        <v>#N/A</v>
      </c>
      <c r="C1978">
        <v>29.92</v>
      </c>
      <c r="D1978" t="str">
        <f t="shared" si="91"/>
        <v>Normal</v>
      </c>
      <c r="E1978">
        <v>5.49</v>
      </c>
      <c r="F1978" t="s">
        <v>2382</v>
      </c>
      <c r="G1978" t="s">
        <v>2380</v>
      </c>
      <c r="H1978" t="s">
        <v>2380</v>
      </c>
      <c r="J1978" t="s">
        <v>2381</v>
      </c>
      <c r="K1978" t="str">
        <f t="shared" si="92"/>
        <v>No</v>
      </c>
      <c r="L1978" t="s">
        <v>2380</v>
      </c>
    </row>
    <row r="1979" spans="1:12" x14ac:dyDescent="0.35">
      <c r="A1979" t="s">
        <v>390</v>
      </c>
      <c r="B1979" t="str">
        <f t="shared" si="90"/>
        <v>Overweight</v>
      </c>
      <c r="C1979">
        <v>29.48</v>
      </c>
      <c r="D1979" t="str">
        <f t="shared" si="91"/>
        <v>Normal</v>
      </c>
      <c r="E1979">
        <v>4.09</v>
      </c>
      <c r="F1979" t="s">
        <v>2382</v>
      </c>
      <c r="G1979" t="s">
        <v>2380</v>
      </c>
      <c r="H1979" t="s">
        <v>2380</v>
      </c>
      <c r="J1979" t="s">
        <v>2381</v>
      </c>
      <c r="K1979" t="str">
        <f t="shared" si="92"/>
        <v>No</v>
      </c>
      <c r="L1979" t="s">
        <v>2380</v>
      </c>
    </row>
    <row r="1980" spans="1:12" x14ac:dyDescent="0.35">
      <c r="A1980" t="s">
        <v>389</v>
      </c>
      <c r="B1980" t="str">
        <f t="shared" si="90"/>
        <v>Overweight</v>
      </c>
      <c r="C1980">
        <v>28.785</v>
      </c>
      <c r="D1980" t="str">
        <f t="shared" si="91"/>
        <v>Normal</v>
      </c>
      <c r="E1980">
        <v>4.3099999999999996</v>
      </c>
      <c r="F1980" t="s">
        <v>2382</v>
      </c>
      <c r="G1980" t="s">
        <v>2380</v>
      </c>
      <c r="H1980" t="s">
        <v>2380</v>
      </c>
      <c r="J1980" t="s">
        <v>2381</v>
      </c>
      <c r="K1980" t="str">
        <f t="shared" si="92"/>
        <v>No</v>
      </c>
      <c r="L1980" t="s">
        <v>2380</v>
      </c>
    </row>
    <row r="1981" spans="1:12" x14ac:dyDescent="0.35">
      <c r="A1981" t="s">
        <v>388</v>
      </c>
      <c r="B1981" t="str">
        <f t="shared" si="90"/>
        <v>Normal Weight</v>
      </c>
      <c r="C1981">
        <v>19.8</v>
      </c>
      <c r="D1981" t="str">
        <f t="shared" si="91"/>
        <v>Normal</v>
      </c>
      <c r="E1981">
        <v>4</v>
      </c>
      <c r="F1981" t="s">
        <v>2382</v>
      </c>
      <c r="G1981" t="s">
        <v>2380</v>
      </c>
      <c r="H1981" t="s">
        <v>2380</v>
      </c>
      <c r="J1981" t="s">
        <v>2381</v>
      </c>
      <c r="K1981" t="str">
        <f t="shared" si="92"/>
        <v>No</v>
      </c>
      <c r="L1981" t="s">
        <v>2380</v>
      </c>
    </row>
    <row r="1982" spans="1:12" x14ac:dyDescent="0.35">
      <c r="A1982" t="s">
        <v>387</v>
      </c>
      <c r="B1982" t="str">
        <f t="shared" si="90"/>
        <v>Obesity</v>
      </c>
      <c r="C1982">
        <v>35.53</v>
      </c>
      <c r="D1982" t="str">
        <f t="shared" si="91"/>
        <v>Normal</v>
      </c>
      <c r="E1982">
        <v>4.68</v>
      </c>
      <c r="F1982" t="s">
        <v>2380</v>
      </c>
      <c r="G1982" t="s">
        <v>2380</v>
      </c>
      <c r="H1982" t="s">
        <v>2383</v>
      </c>
      <c r="J1982">
        <v>1</v>
      </c>
      <c r="K1982" t="str">
        <f t="shared" si="92"/>
        <v>No</v>
      </c>
      <c r="L1982" t="s">
        <v>2380</v>
      </c>
    </row>
    <row r="1983" spans="1:12" x14ac:dyDescent="0.35">
      <c r="A1983" t="s">
        <v>386</v>
      </c>
      <c r="B1983" t="str">
        <f t="shared" si="90"/>
        <v>Normal Weight</v>
      </c>
      <c r="C1983">
        <v>21.47</v>
      </c>
      <c r="D1983" t="str">
        <f t="shared" si="91"/>
        <v>Normal</v>
      </c>
      <c r="E1983">
        <v>4.0199999999999996</v>
      </c>
      <c r="F1983" t="s">
        <v>2382</v>
      </c>
      <c r="G1983" t="s">
        <v>2380</v>
      </c>
      <c r="H1983" t="s">
        <v>2380</v>
      </c>
      <c r="J1983">
        <v>1</v>
      </c>
      <c r="K1983" t="str">
        <f t="shared" si="92"/>
        <v>No</v>
      </c>
      <c r="L1983" t="s">
        <v>2380</v>
      </c>
    </row>
    <row r="1984" spans="1:12" x14ac:dyDescent="0.35">
      <c r="A1984" t="s">
        <v>385</v>
      </c>
      <c r="B1984" t="str">
        <f t="shared" si="90"/>
        <v>Overweight</v>
      </c>
      <c r="C1984">
        <v>25.9</v>
      </c>
      <c r="D1984" t="str">
        <f t="shared" si="91"/>
        <v>Normal</v>
      </c>
      <c r="E1984">
        <v>5.12</v>
      </c>
      <c r="F1984" t="s">
        <v>2380</v>
      </c>
      <c r="G1984" t="s">
        <v>2380</v>
      </c>
      <c r="H1984" t="s">
        <v>2383</v>
      </c>
      <c r="J1984">
        <v>1</v>
      </c>
      <c r="K1984" t="str">
        <f t="shared" si="92"/>
        <v>No</v>
      </c>
      <c r="L1984" t="s">
        <v>2380</v>
      </c>
    </row>
    <row r="1985" spans="1:12" x14ac:dyDescent="0.35">
      <c r="A1985" t="s">
        <v>384</v>
      </c>
      <c r="B1985" t="str">
        <f t="shared" si="90"/>
        <v>Normal Weight</v>
      </c>
      <c r="C1985">
        <v>20.81</v>
      </c>
      <c r="D1985" t="str">
        <f t="shared" si="91"/>
        <v>Normal</v>
      </c>
      <c r="E1985">
        <v>5.52</v>
      </c>
      <c r="F1985" t="s">
        <v>2380</v>
      </c>
      <c r="G1985" t="s">
        <v>2380</v>
      </c>
      <c r="H1985" t="s">
        <v>2380</v>
      </c>
      <c r="J1985" t="s">
        <v>2381</v>
      </c>
      <c r="K1985" t="str">
        <f t="shared" si="92"/>
        <v>No</v>
      </c>
      <c r="L1985" t="s">
        <v>2380</v>
      </c>
    </row>
    <row r="1986" spans="1:12" x14ac:dyDescent="0.35">
      <c r="A1986" t="s">
        <v>383</v>
      </c>
      <c r="B1986" t="str">
        <f t="shared" si="90"/>
        <v>Overweight</v>
      </c>
      <c r="C1986">
        <v>25.84</v>
      </c>
      <c r="D1986" t="str">
        <f t="shared" si="91"/>
        <v>Prediabetes</v>
      </c>
      <c r="E1986">
        <v>5.81</v>
      </c>
      <c r="F1986" t="s">
        <v>2382</v>
      </c>
      <c r="G1986" t="s">
        <v>2380</v>
      </c>
      <c r="H1986" t="s">
        <v>2383</v>
      </c>
      <c r="J1986">
        <v>1</v>
      </c>
      <c r="K1986" t="str">
        <f t="shared" si="92"/>
        <v>No</v>
      </c>
      <c r="L1986" t="s">
        <v>2380</v>
      </c>
    </row>
    <row r="1987" spans="1:12" x14ac:dyDescent="0.35">
      <c r="A1987" t="s">
        <v>382</v>
      </c>
      <c r="B1987" t="str">
        <f t="shared" ref="B1987:B2050" si="93">_xlfn.IFS(C1987&lt;18.5, "Underweight", C1987&lt;=24.9, "Normal Weight", C1987&lt;=29.9, "Overweight", C1987&gt;=30, "Obesity")</f>
        <v>Obesity</v>
      </c>
      <c r="C1987">
        <v>30.95</v>
      </c>
      <c r="D1987" t="str">
        <f t="shared" ref="D1987:D2050" si="94">_xlfn.IFS(E1987&lt;5.7, "Normal", E1987&lt;=6.4, "Prediabetes", E1987&gt;=6.5, "Diabetes")</f>
        <v>Normal</v>
      </c>
      <c r="E1987">
        <v>5.16</v>
      </c>
      <c r="F1987" t="s">
        <v>2380</v>
      </c>
      <c r="G1987" t="s">
        <v>2380</v>
      </c>
      <c r="H1987" t="s">
        <v>2383</v>
      </c>
      <c r="J1987">
        <v>1</v>
      </c>
      <c r="K1987" t="str">
        <f t="shared" si="92"/>
        <v>No</v>
      </c>
      <c r="L1987" t="s">
        <v>2380</v>
      </c>
    </row>
    <row r="1988" spans="1:12" x14ac:dyDescent="0.35">
      <c r="A1988" t="s">
        <v>381</v>
      </c>
      <c r="B1988" t="str">
        <f t="shared" si="93"/>
        <v>Obesity</v>
      </c>
      <c r="C1988">
        <v>30.54</v>
      </c>
      <c r="D1988" t="str">
        <f t="shared" si="94"/>
        <v>Normal</v>
      </c>
      <c r="E1988">
        <v>5</v>
      </c>
      <c r="F1988" t="s">
        <v>2380</v>
      </c>
      <c r="G1988" t="s">
        <v>2380</v>
      </c>
      <c r="H1988" t="s">
        <v>2383</v>
      </c>
      <c r="J1988">
        <v>1</v>
      </c>
      <c r="K1988" t="str">
        <f t="shared" ref="K1988:K2051" si="95">IF(OR(L1988="?", ISBLANK(L1988)), "No", L1988)</f>
        <v>No</v>
      </c>
      <c r="L1988" t="s">
        <v>2380</v>
      </c>
    </row>
    <row r="1989" spans="1:12" x14ac:dyDescent="0.35">
      <c r="A1989" t="s">
        <v>380</v>
      </c>
      <c r="B1989" t="str">
        <f t="shared" si="93"/>
        <v>Obesity</v>
      </c>
      <c r="C1989">
        <v>33.914999999999999</v>
      </c>
      <c r="D1989" t="str">
        <f t="shared" si="94"/>
        <v>Prediabetes</v>
      </c>
      <c r="E1989">
        <v>5.84</v>
      </c>
      <c r="F1989" t="s">
        <v>2382</v>
      </c>
      <c r="G1989" t="s">
        <v>2380</v>
      </c>
      <c r="H1989" t="s">
        <v>2380</v>
      </c>
      <c r="J1989" t="s">
        <v>2381</v>
      </c>
      <c r="K1989" t="str">
        <f t="shared" si="95"/>
        <v>No</v>
      </c>
      <c r="L1989" t="s">
        <v>2380</v>
      </c>
    </row>
    <row r="1990" spans="1:12" x14ac:dyDescent="0.35">
      <c r="A1990" t="s">
        <v>379</v>
      </c>
      <c r="B1990" t="str">
        <f t="shared" si="93"/>
        <v>Obesity</v>
      </c>
      <c r="C1990">
        <v>33.31</v>
      </c>
      <c r="D1990" t="str">
        <f t="shared" si="94"/>
        <v>Normal</v>
      </c>
      <c r="E1990">
        <v>4.1900000000000004</v>
      </c>
      <c r="F1990" t="s">
        <v>2380</v>
      </c>
      <c r="G1990" t="s">
        <v>2380</v>
      </c>
      <c r="H1990" t="s">
        <v>2383</v>
      </c>
      <c r="J1990">
        <v>1</v>
      </c>
      <c r="K1990" t="str">
        <f t="shared" si="95"/>
        <v>No</v>
      </c>
      <c r="L1990" t="s">
        <v>2380</v>
      </c>
    </row>
    <row r="1991" spans="1:12" x14ac:dyDescent="0.35">
      <c r="A1991" t="s">
        <v>378</v>
      </c>
      <c r="B1991" t="str">
        <f t="shared" si="93"/>
        <v>Overweight</v>
      </c>
      <c r="C1991">
        <v>25.745000000000001</v>
      </c>
      <c r="D1991" t="str">
        <f t="shared" si="94"/>
        <v>Normal</v>
      </c>
      <c r="E1991">
        <v>4.62</v>
      </c>
      <c r="F1991" t="s">
        <v>2382</v>
      </c>
      <c r="G1991" t="s">
        <v>2380</v>
      </c>
      <c r="H1991" t="s">
        <v>2380</v>
      </c>
      <c r="J1991" t="s">
        <v>2381</v>
      </c>
      <c r="K1991" t="str">
        <f t="shared" si="95"/>
        <v>No</v>
      </c>
      <c r="L1991" t="s">
        <v>2380</v>
      </c>
    </row>
    <row r="1992" spans="1:12" x14ac:dyDescent="0.35">
      <c r="A1992" t="s">
        <v>377</v>
      </c>
      <c r="B1992" t="str">
        <f t="shared" si="93"/>
        <v>Obesity</v>
      </c>
      <c r="C1992">
        <v>37.1</v>
      </c>
      <c r="D1992" t="str">
        <f t="shared" si="94"/>
        <v>Prediabetes</v>
      </c>
      <c r="E1992">
        <v>6.24</v>
      </c>
      <c r="F1992" t="s">
        <v>2380</v>
      </c>
      <c r="G1992" t="s">
        <v>2380</v>
      </c>
      <c r="H1992" t="s">
        <v>2380</v>
      </c>
      <c r="J1992" t="s">
        <v>2381</v>
      </c>
      <c r="K1992" t="str">
        <f t="shared" si="95"/>
        <v>No</v>
      </c>
      <c r="L1992" t="s">
        <v>2380</v>
      </c>
    </row>
    <row r="1993" spans="1:12" x14ac:dyDescent="0.35">
      <c r="A1993" t="s">
        <v>376</v>
      </c>
      <c r="B1993" t="str">
        <f t="shared" si="93"/>
        <v>Obesity</v>
      </c>
      <c r="C1993">
        <v>35.435000000000002</v>
      </c>
      <c r="D1993" t="str">
        <f t="shared" si="94"/>
        <v>Prediabetes</v>
      </c>
      <c r="E1993">
        <v>5.81</v>
      </c>
      <c r="F1993" t="s">
        <v>2380</v>
      </c>
      <c r="G1993" t="s">
        <v>2380</v>
      </c>
      <c r="H1993" t="s">
        <v>2380</v>
      </c>
      <c r="J1993" t="s">
        <v>2381</v>
      </c>
      <c r="K1993" t="str">
        <f t="shared" si="95"/>
        <v>No</v>
      </c>
      <c r="L1993" t="s">
        <v>2380</v>
      </c>
    </row>
    <row r="1994" spans="1:12" x14ac:dyDescent="0.35">
      <c r="A1994" t="s">
        <v>375</v>
      </c>
      <c r="B1994" t="str">
        <f t="shared" si="93"/>
        <v>Normal Weight</v>
      </c>
      <c r="C1994">
        <v>20.399999999999999</v>
      </c>
      <c r="D1994" t="str">
        <f t="shared" si="94"/>
        <v>Normal</v>
      </c>
      <c r="E1994">
        <v>4.83</v>
      </c>
      <c r="F1994" t="s">
        <v>2380</v>
      </c>
      <c r="G1994" t="s">
        <v>2380</v>
      </c>
      <c r="H1994" t="s">
        <v>2380</v>
      </c>
      <c r="J1994" t="s">
        <v>2381</v>
      </c>
      <c r="K1994" t="str">
        <f t="shared" si="95"/>
        <v>No</v>
      </c>
      <c r="L1994" t="s">
        <v>2380</v>
      </c>
    </row>
    <row r="1995" spans="1:12" x14ac:dyDescent="0.35">
      <c r="A1995" t="s">
        <v>374</v>
      </c>
      <c r="B1995" t="str">
        <f t="shared" si="93"/>
        <v>Obesity</v>
      </c>
      <c r="C1995">
        <v>42.13</v>
      </c>
      <c r="D1995" t="str">
        <f t="shared" si="94"/>
        <v>Prediabetes</v>
      </c>
      <c r="E1995">
        <v>5.72</v>
      </c>
      <c r="F1995" t="s">
        <v>2382</v>
      </c>
      <c r="G1995" t="s">
        <v>2380</v>
      </c>
      <c r="H1995" t="s">
        <v>2383</v>
      </c>
      <c r="J1995">
        <v>1</v>
      </c>
      <c r="K1995" t="str">
        <f t="shared" si="95"/>
        <v>No</v>
      </c>
      <c r="L1995" t="s">
        <v>2380</v>
      </c>
    </row>
    <row r="1996" spans="1:12" x14ac:dyDescent="0.35">
      <c r="A1996" t="s">
        <v>373</v>
      </c>
      <c r="B1996" t="str">
        <f t="shared" si="93"/>
        <v>Obesity</v>
      </c>
      <c r="C1996">
        <v>33.99</v>
      </c>
      <c r="D1996" t="str">
        <f t="shared" si="94"/>
        <v>Normal</v>
      </c>
      <c r="E1996">
        <v>4.83</v>
      </c>
      <c r="F1996" t="s">
        <v>2382</v>
      </c>
      <c r="G1996" t="s">
        <v>2380</v>
      </c>
      <c r="H1996" t="s">
        <v>2383</v>
      </c>
      <c r="J1996">
        <v>1</v>
      </c>
      <c r="K1996" t="str">
        <f t="shared" si="95"/>
        <v>No</v>
      </c>
      <c r="L1996" t="s">
        <v>2380</v>
      </c>
    </row>
    <row r="1997" spans="1:12" x14ac:dyDescent="0.35">
      <c r="A1997" t="s">
        <v>372</v>
      </c>
      <c r="B1997" t="str">
        <f t="shared" si="93"/>
        <v>Overweight</v>
      </c>
      <c r="C1997">
        <v>28.594999999999999</v>
      </c>
      <c r="D1997" t="str">
        <f t="shared" si="94"/>
        <v>Normal</v>
      </c>
      <c r="E1997">
        <v>4.1399999999999997</v>
      </c>
      <c r="F1997" t="s">
        <v>2382</v>
      </c>
      <c r="G1997" t="s">
        <v>2380</v>
      </c>
      <c r="H1997" t="s">
        <v>2383</v>
      </c>
      <c r="J1997">
        <v>1</v>
      </c>
      <c r="K1997" t="str">
        <f t="shared" si="95"/>
        <v>No</v>
      </c>
      <c r="L1997" t="s">
        <v>2380</v>
      </c>
    </row>
    <row r="1998" spans="1:12" x14ac:dyDescent="0.35">
      <c r="A1998" t="s">
        <v>371</v>
      </c>
      <c r="B1998" t="str">
        <f t="shared" si="93"/>
        <v>Normal Weight</v>
      </c>
      <c r="C1998">
        <v>20.8</v>
      </c>
      <c r="D1998" t="str">
        <f t="shared" si="94"/>
        <v>Normal</v>
      </c>
      <c r="E1998">
        <v>4.07</v>
      </c>
      <c r="F1998" t="s">
        <v>2382</v>
      </c>
      <c r="G1998" t="s">
        <v>2380</v>
      </c>
      <c r="H1998" t="s">
        <v>2383</v>
      </c>
      <c r="J1998">
        <v>1</v>
      </c>
      <c r="K1998" t="str">
        <f t="shared" si="95"/>
        <v>No</v>
      </c>
      <c r="L1998" t="s">
        <v>2380</v>
      </c>
    </row>
    <row r="1999" spans="1:12" x14ac:dyDescent="0.35">
      <c r="A1999" t="s">
        <v>370</v>
      </c>
      <c r="B1999" t="str">
        <f t="shared" si="93"/>
        <v>Normal Weight</v>
      </c>
      <c r="C1999">
        <v>23.465</v>
      </c>
      <c r="D1999" t="str">
        <f t="shared" si="94"/>
        <v>Prediabetes</v>
      </c>
      <c r="E1999">
        <v>6.26</v>
      </c>
      <c r="F1999" t="s">
        <v>2382</v>
      </c>
      <c r="G1999" t="s">
        <v>2380</v>
      </c>
      <c r="H1999" t="s">
        <v>2383</v>
      </c>
      <c r="J1999">
        <v>1</v>
      </c>
      <c r="K1999" t="str">
        <f t="shared" si="95"/>
        <v>No</v>
      </c>
      <c r="L1999" t="s">
        <v>2380</v>
      </c>
    </row>
    <row r="2000" spans="1:12" x14ac:dyDescent="0.35">
      <c r="A2000" t="s">
        <v>369</v>
      </c>
      <c r="B2000" t="str">
        <f t="shared" si="93"/>
        <v>Obesity</v>
      </c>
      <c r="C2000">
        <v>40.185000000000002</v>
      </c>
      <c r="D2000" t="str">
        <f t="shared" si="94"/>
        <v>Prediabetes</v>
      </c>
      <c r="E2000">
        <v>5.88</v>
      </c>
      <c r="F2000" t="s">
        <v>2382</v>
      </c>
      <c r="G2000" t="s">
        <v>2380</v>
      </c>
      <c r="H2000" t="s">
        <v>2380</v>
      </c>
      <c r="J2000" t="s">
        <v>2381</v>
      </c>
      <c r="K2000" t="str">
        <f t="shared" si="95"/>
        <v>No</v>
      </c>
      <c r="L2000" t="s">
        <v>2380</v>
      </c>
    </row>
    <row r="2001" spans="1:12" x14ac:dyDescent="0.35">
      <c r="A2001" t="s">
        <v>368</v>
      </c>
      <c r="B2001" t="str">
        <f t="shared" si="93"/>
        <v>Normal Weight</v>
      </c>
      <c r="C2001">
        <v>21.89</v>
      </c>
      <c r="D2001" t="str">
        <f t="shared" si="94"/>
        <v>Prediabetes</v>
      </c>
      <c r="E2001">
        <v>5.72</v>
      </c>
      <c r="F2001" t="s">
        <v>2382</v>
      </c>
      <c r="G2001" t="s">
        <v>2380</v>
      </c>
      <c r="H2001" t="s">
        <v>2380</v>
      </c>
      <c r="J2001" t="s">
        <v>2381</v>
      </c>
      <c r="K2001" t="str">
        <f t="shared" si="95"/>
        <v>No</v>
      </c>
      <c r="L2001" t="s">
        <v>2380</v>
      </c>
    </row>
    <row r="2002" spans="1:12" x14ac:dyDescent="0.35">
      <c r="A2002" t="s">
        <v>367</v>
      </c>
      <c r="B2002" t="str">
        <f t="shared" si="93"/>
        <v>Overweight</v>
      </c>
      <c r="C2002">
        <v>29.34</v>
      </c>
      <c r="D2002" t="str">
        <f t="shared" si="94"/>
        <v>Prediabetes</v>
      </c>
      <c r="E2002">
        <v>6.09</v>
      </c>
      <c r="F2002" t="s">
        <v>2382</v>
      </c>
      <c r="G2002" t="s">
        <v>2382</v>
      </c>
      <c r="H2002" t="s">
        <v>2380</v>
      </c>
      <c r="J2002">
        <v>2</v>
      </c>
      <c r="K2002" t="str">
        <f t="shared" si="95"/>
        <v>No</v>
      </c>
      <c r="L2002" t="s">
        <v>2380</v>
      </c>
    </row>
    <row r="2003" spans="1:12" x14ac:dyDescent="0.35">
      <c r="A2003" t="s">
        <v>366</v>
      </c>
      <c r="B2003" t="str">
        <f t="shared" si="93"/>
        <v>Normal Weight</v>
      </c>
      <c r="C2003">
        <v>22.61</v>
      </c>
      <c r="D2003" t="str">
        <f t="shared" si="94"/>
        <v>Normal</v>
      </c>
      <c r="E2003">
        <v>4.25</v>
      </c>
      <c r="F2003" t="s">
        <v>2382</v>
      </c>
      <c r="G2003" t="s">
        <v>2380</v>
      </c>
      <c r="H2003" t="s">
        <v>2380</v>
      </c>
      <c r="J2003" t="s">
        <v>2381</v>
      </c>
      <c r="K2003" t="str">
        <f t="shared" si="95"/>
        <v>No</v>
      </c>
      <c r="L2003" t="s">
        <v>2380</v>
      </c>
    </row>
    <row r="2004" spans="1:12" x14ac:dyDescent="0.35">
      <c r="A2004" t="s">
        <v>365</v>
      </c>
      <c r="B2004" t="str">
        <f t="shared" si="93"/>
        <v>Normal Weight</v>
      </c>
      <c r="C2004">
        <v>22.23</v>
      </c>
      <c r="D2004" t="str">
        <f t="shared" si="94"/>
        <v>Prediabetes</v>
      </c>
      <c r="E2004">
        <v>6.09</v>
      </c>
      <c r="F2004" t="s">
        <v>2382</v>
      </c>
      <c r="G2004" t="s">
        <v>2380</v>
      </c>
      <c r="H2004" t="s">
        <v>2380</v>
      </c>
      <c r="J2004" t="s">
        <v>2381</v>
      </c>
      <c r="K2004" t="str">
        <f t="shared" si="95"/>
        <v>No</v>
      </c>
      <c r="L2004" t="s">
        <v>2380</v>
      </c>
    </row>
    <row r="2005" spans="1:12" x14ac:dyDescent="0.35">
      <c r="A2005" t="s">
        <v>364</v>
      </c>
      <c r="B2005" t="str">
        <f t="shared" si="93"/>
        <v>Obesity</v>
      </c>
      <c r="C2005">
        <v>33.4</v>
      </c>
      <c r="D2005" t="str">
        <f t="shared" si="94"/>
        <v>Normal</v>
      </c>
      <c r="E2005">
        <v>5.51</v>
      </c>
      <c r="F2005" t="s">
        <v>2380</v>
      </c>
      <c r="G2005" t="s">
        <v>2380</v>
      </c>
      <c r="H2005" t="s">
        <v>2380</v>
      </c>
      <c r="J2005" t="s">
        <v>2381</v>
      </c>
      <c r="K2005" t="str">
        <f t="shared" si="95"/>
        <v>No</v>
      </c>
      <c r="L2005" t="s">
        <v>2380</v>
      </c>
    </row>
    <row r="2006" spans="1:12" x14ac:dyDescent="0.35">
      <c r="A2006" t="s">
        <v>363</v>
      </c>
      <c r="B2006" t="str">
        <f t="shared" si="93"/>
        <v>Obesity</v>
      </c>
      <c r="C2006">
        <v>33.11</v>
      </c>
      <c r="D2006" t="str">
        <f t="shared" si="94"/>
        <v>Normal</v>
      </c>
      <c r="E2006">
        <v>5.63</v>
      </c>
      <c r="F2006" t="s">
        <v>2380</v>
      </c>
      <c r="G2006" t="s">
        <v>2380</v>
      </c>
      <c r="H2006" t="s">
        <v>2380</v>
      </c>
      <c r="J2006" t="s">
        <v>2381</v>
      </c>
      <c r="K2006" t="str">
        <f t="shared" si="95"/>
        <v>No</v>
      </c>
      <c r="L2006" t="s">
        <v>2380</v>
      </c>
    </row>
    <row r="2007" spans="1:12" x14ac:dyDescent="0.35">
      <c r="A2007" t="s">
        <v>362</v>
      </c>
      <c r="B2007" t="str">
        <f t="shared" si="93"/>
        <v>Underweight</v>
      </c>
      <c r="C2007">
        <v>16.815000000000001</v>
      </c>
      <c r="D2007" t="str">
        <f t="shared" si="94"/>
        <v>Normal</v>
      </c>
      <c r="E2007">
        <v>5.29</v>
      </c>
      <c r="F2007" t="s">
        <v>2382</v>
      </c>
      <c r="G2007" t="s">
        <v>2380</v>
      </c>
      <c r="H2007" t="s">
        <v>2380</v>
      </c>
      <c r="J2007" t="s">
        <v>2381</v>
      </c>
      <c r="K2007" t="str">
        <f t="shared" si="95"/>
        <v>No</v>
      </c>
      <c r="L2007" t="s">
        <v>2380</v>
      </c>
    </row>
    <row r="2008" spans="1:12" x14ac:dyDescent="0.35">
      <c r="A2008" t="s">
        <v>361</v>
      </c>
      <c r="B2008" t="str">
        <f t="shared" si="93"/>
        <v>Overweight</v>
      </c>
      <c r="C2008">
        <v>25.61</v>
      </c>
      <c r="D2008" t="str">
        <f t="shared" si="94"/>
        <v>Normal</v>
      </c>
      <c r="E2008">
        <v>4</v>
      </c>
      <c r="F2008" t="s">
        <v>2380</v>
      </c>
      <c r="G2008" t="s">
        <v>2380</v>
      </c>
      <c r="H2008" t="s">
        <v>2383</v>
      </c>
      <c r="J2008">
        <v>1</v>
      </c>
      <c r="K2008" t="str">
        <f t="shared" si="95"/>
        <v>No</v>
      </c>
      <c r="L2008" t="s">
        <v>2380</v>
      </c>
    </row>
    <row r="2009" spans="1:12" x14ac:dyDescent="0.35">
      <c r="A2009" t="s">
        <v>360</v>
      </c>
      <c r="B2009" t="str">
        <f t="shared" si="93"/>
        <v>Overweight</v>
      </c>
      <c r="C2009">
        <v>25.8</v>
      </c>
      <c r="D2009" t="str">
        <f t="shared" si="94"/>
        <v>Normal</v>
      </c>
      <c r="E2009">
        <v>5.49</v>
      </c>
      <c r="F2009" t="s">
        <v>2380</v>
      </c>
      <c r="G2009" t="s">
        <v>2380</v>
      </c>
      <c r="H2009" t="s">
        <v>2380</v>
      </c>
      <c r="J2009" t="s">
        <v>2381</v>
      </c>
      <c r="K2009" t="str">
        <f t="shared" si="95"/>
        <v>No</v>
      </c>
      <c r="L2009" t="s">
        <v>2380</v>
      </c>
    </row>
    <row r="2010" spans="1:12" x14ac:dyDescent="0.35">
      <c r="A2010" t="s">
        <v>359</v>
      </c>
      <c r="B2010" t="str">
        <f t="shared" si="93"/>
        <v>Overweight</v>
      </c>
      <c r="C2010">
        <v>27.39</v>
      </c>
      <c r="D2010" t="str">
        <f t="shared" si="94"/>
        <v>Normal</v>
      </c>
      <c r="E2010">
        <v>5.34</v>
      </c>
      <c r="F2010" t="s">
        <v>2380</v>
      </c>
      <c r="G2010" t="s">
        <v>2380</v>
      </c>
      <c r="H2010" t="s">
        <v>2380</v>
      </c>
      <c r="J2010" t="s">
        <v>2381</v>
      </c>
      <c r="K2010" t="str">
        <f t="shared" si="95"/>
        <v>No</v>
      </c>
      <c r="L2010" t="s">
        <v>2380</v>
      </c>
    </row>
    <row r="2011" spans="1:12" x14ac:dyDescent="0.35">
      <c r="A2011" t="s">
        <v>358</v>
      </c>
      <c r="B2011" t="str">
        <f t="shared" si="93"/>
        <v>Underweight</v>
      </c>
      <c r="C2011">
        <v>17.03</v>
      </c>
      <c r="D2011" t="str">
        <f t="shared" si="94"/>
        <v>Normal</v>
      </c>
      <c r="E2011">
        <v>4.12</v>
      </c>
      <c r="F2011" t="s">
        <v>2380</v>
      </c>
      <c r="G2011" t="s">
        <v>2380</v>
      </c>
      <c r="H2011" t="s">
        <v>2380</v>
      </c>
      <c r="J2011">
        <v>1</v>
      </c>
      <c r="K2011" t="str">
        <f t="shared" si="95"/>
        <v>No</v>
      </c>
      <c r="L2011" t="s">
        <v>2380</v>
      </c>
    </row>
    <row r="2012" spans="1:12" x14ac:dyDescent="0.35">
      <c r="A2012" t="s">
        <v>357</v>
      </c>
      <c r="B2012" t="str">
        <f t="shared" si="93"/>
        <v>Normal Weight</v>
      </c>
      <c r="C2012">
        <v>23.75</v>
      </c>
      <c r="D2012" t="str">
        <f t="shared" si="94"/>
        <v>Normal</v>
      </c>
      <c r="E2012">
        <v>5.49</v>
      </c>
      <c r="F2012" t="s">
        <v>2382</v>
      </c>
      <c r="G2012" t="s">
        <v>2380</v>
      </c>
      <c r="H2012" t="s">
        <v>2380</v>
      </c>
      <c r="J2012" t="s">
        <v>2381</v>
      </c>
      <c r="K2012" t="str">
        <f t="shared" si="95"/>
        <v>No</v>
      </c>
      <c r="L2012" t="s">
        <v>2380</v>
      </c>
    </row>
    <row r="2013" spans="1:12" x14ac:dyDescent="0.35">
      <c r="A2013" t="s">
        <v>355</v>
      </c>
      <c r="B2013" t="str">
        <f t="shared" si="93"/>
        <v>Overweight</v>
      </c>
      <c r="C2013">
        <v>26.03</v>
      </c>
      <c r="D2013" t="str">
        <f t="shared" si="94"/>
        <v>Normal</v>
      </c>
      <c r="E2013">
        <v>5.1100000000000003</v>
      </c>
      <c r="F2013" t="s">
        <v>2382</v>
      </c>
      <c r="G2013" t="s">
        <v>2380</v>
      </c>
      <c r="H2013" t="s">
        <v>2380</v>
      </c>
      <c r="J2013">
        <v>1</v>
      </c>
      <c r="K2013" t="str">
        <f t="shared" si="95"/>
        <v>No</v>
      </c>
      <c r="L2013" t="s">
        <v>2380</v>
      </c>
    </row>
    <row r="2014" spans="1:12" x14ac:dyDescent="0.35">
      <c r="A2014" t="s">
        <v>354</v>
      </c>
      <c r="B2014" t="str">
        <f t="shared" si="93"/>
        <v>Underweight</v>
      </c>
      <c r="C2014">
        <v>16.079999999999998</v>
      </c>
      <c r="D2014" t="str">
        <f t="shared" si="94"/>
        <v>Prediabetes</v>
      </c>
      <c r="E2014">
        <v>5.94</v>
      </c>
      <c r="F2014" t="s">
        <v>2380</v>
      </c>
      <c r="G2014" t="s">
        <v>2380</v>
      </c>
      <c r="H2014" t="s">
        <v>2380</v>
      </c>
      <c r="J2014" t="s">
        <v>2381</v>
      </c>
      <c r="K2014" t="str">
        <f t="shared" si="95"/>
        <v>No</v>
      </c>
      <c r="L2014" t="s">
        <v>2380</v>
      </c>
    </row>
    <row r="2015" spans="1:12" x14ac:dyDescent="0.35">
      <c r="A2015" t="s">
        <v>353</v>
      </c>
      <c r="B2015" t="str">
        <f t="shared" si="93"/>
        <v>Obesity</v>
      </c>
      <c r="C2015">
        <v>30.875</v>
      </c>
      <c r="D2015" t="str">
        <f t="shared" si="94"/>
        <v>Normal</v>
      </c>
      <c r="E2015">
        <v>5.54</v>
      </c>
      <c r="F2015" t="s">
        <v>2380</v>
      </c>
      <c r="G2015" t="s">
        <v>2380</v>
      </c>
      <c r="H2015" t="s">
        <v>2380</v>
      </c>
      <c r="J2015" t="s">
        <v>2381</v>
      </c>
      <c r="K2015" t="str">
        <f t="shared" si="95"/>
        <v>No</v>
      </c>
      <c r="L2015" t="s">
        <v>2380</v>
      </c>
    </row>
    <row r="2016" spans="1:12" x14ac:dyDescent="0.35">
      <c r="A2016" t="s">
        <v>352</v>
      </c>
      <c r="B2016" t="str">
        <f t="shared" si="93"/>
        <v>Obesity</v>
      </c>
      <c r="C2016">
        <v>31.79</v>
      </c>
      <c r="D2016" t="str">
        <f t="shared" si="94"/>
        <v>Diabetes</v>
      </c>
      <c r="E2016">
        <v>7.09</v>
      </c>
      <c r="F2016" t="s">
        <v>2380</v>
      </c>
      <c r="G2016" t="s">
        <v>2380</v>
      </c>
      <c r="H2016" t="s">
        <v>2380</v>
      </c>
      <c r="J2016" t="s">
        <v>2381</v>
      </c>
      <c r="K2016" t="str">
        <f t="shared" si="95"/>
        <v>No</v>
      </c>
      <c r="L2016" t="s">
        <v>2380</v>
      </c>
    </row>
    <row r="2017" spans="1:12" x14ac:dyDescent="0.35">
      <c r="A2017" t="s">
        <v>351</v>
      </c>
      <c r="B2017" t="str">
        <f t="shared" si="93"/>
        <v>Overweight</v>
      </c>
      <c r="C2017">
        <v>28.48</v>
      </c>
      <c r="D2017" t="str">
        <f t="shared" si="94"/>
        <v>Prediabetes</v>
      </c>
      <c r="E2017">
        <v>6.22</v>
      </c>
      <c r="F2017" t="s">
        <v>2382</v>
      </c>
      <c r="G2017" t="s">
        <v>2380</v>
      </c>
      <c r="H2017" t="s">
        <v>2383</v>
      </c>
      <c r="J2017">
        <v>1</v>
      </c>
      <c r="K2017" t="str">
        <f t="shared" si="95"/>
        <v>No</v>
      </c>
      <c r="L2017" t="s">
        <v>2380</v>
      </c>
    </row>
    <row r="2018" spans="1:12" x14ac:dyDescent="0.35">
      <c r="A2018" t="s">
        <v>350</v>
      </c>
      <c r="B2018" t="str">
        <f t="shared" si="93"/>
        <v>Overweight</v>
      </c>
      <c r="C2018">
        <v>26.6</v>
      </c>
      <c r="D2018" t="str">
        <f t="shared" si="94"/>
        <v>Normal</v>
      </c>
      <c r="E2018">
        <v>4.33</v>
      </c>
      <c r="F2018" t="s">
        <v>2380</v>
      </c>
      <c r="G2018" t="s">
        <v>2380</v>
      </c>
      <c r="H2018" t="s">
        <v>2380</v>
      </c>
      <c r="J2018">
        <v>1</v>
      </c>
      <c r="K2018" t="str">
        <f t="shared" si="95"/>
        <v>No</v>
      </c>
      <c r="L2018" t="s">
        <v>2380</v>
      </c>
    </row>
    <row r="2019" spans="1:12" x14ac:dyDescent="0.35">
      <c r="A2019" t="s">
        <v>349</v>
      </c>
      <c r="B2019" t="str">
        <f t="shared" si="93"/>
        <v>Overweight</v>
      </c>
      <c r="C2019">
        <v>25.27</v>
      </c>
      <c r="D2019" t="str">
        <f t="shared" si="94"/>
        <v>Prediabetes</v>
      </c>
      <c r="E2019">
        <v>5.83</v>
      </c>
      <c r="F2019" t="s">
        <v>2380</v>
      </c>
      <c r="G2019" t="s">
        <v>2380</v>
      </c>
      <c r="H2019" t="s">
        <v>2380</v>
      </c>
      <c r="J2019">
        <v>1</v>
      </c>
      <c r="K2019" t="str">
        <f t="shared" si="95"/>
        <v>No</v>
      </c>
      <c r="L2019" t="s">
        <v>2380</v>
      </c>
    </row>
    <row r="2020" spans="1:12" x14ac:dyDescent="0.35">
      <c r="A2020" t="s">
        <v>348</v>
      </c>
      <c r="B2020" t="str">
        <f t="shared" si="93"/>
        <v>Obesity</v>
      </c>
      <c r="C2020">
        <v>34.484999999999999</v>
      </c>
      <c r="D2020" t="str">
        <f t="shared" si="94"/>
        <v>Normal</v>
      </c>
      <c r="E2020">
        <v>4.7</v>
      </c>
      <c r="F2020" t="s">
        <v>2382</v>
      </c>
      <c r="G2020" t="s">
        <v>2380</v>
      </c>
      <c r="H2020" t="s">
        <v>2383</v>
      </c>
      <c r="J2020">
        <v>1</v>
      </c>
      <c r="K2020" t="str">
        <f t="shared" si="95"/>
        <v>No</v>
      </c>
      <c r="L2020" t="s">
        <v>2380</v>
      </c>
    </row>
    <row r="2021" spans="1:12" x14ac:dyDescent="0.35">
      <c r="A2021" t="s">
        <v>347</v>
      </c>
      <c r="B2021" t="str">
        <f t="shared" si="93"/>
        <v>Underweight</v>
      </c>
      <c r="C2021">
        <v>15.57</v>
      </c>
      <c r="D2021" t="str">
        <f t="shared" si="94"/>
        <v>Normal</v>
      </c>
      <c r="E2021">
        <v>4.07</v>
      </c>
      <c r="F2021" t="s">
        <v>2382</v>
      </c>
      <c r="G2021" t="s">
        <v>2380</v>
      </c>
      <c r="H2021" t="s">
        <v>2380</v>
      </c>
      <c r="J2021">
        <v>1</v>
      </c>
      <c r="K2021" t="str">
        <f t="shared" si="95"/>
        <v>No</v>
      </c>
      <c r="L2021" t="s">
        <v>2380</v>
      </c>
    </row>
    <row r="2022" spans="1:12" x14ac:dyDescent="0.35">
      <c r="A2022" t="s">
        <v>346</v>
      </c>
      <c r="B2022" t="str">
        <f t="shared" si="93"/>
        <v>Obesity</v>
      </c>
      <c r="C2022">
        <v>30.36</v>
      </c>
      <c r="D2022" t="str">
        <f t="shared" si="94"/>
        <v>Diabetes</v>
      </c>
      <c r="E2022">
        <v>9.39</v>
      </c>
      <c r="F2022" t="s">
        <v>2380</v>
      </c>
      <c r="G2022" t="s">
        <v>2380</v>
      </c>
      <c r="H2022" t="s">
        <v>2380</v>
      </c>
      <c r="J2022" t="s">
        <v>2381</v>
      </c>
      <c r="K2022" t="str">
        <f t="shared" si="95"/>
        <v>No</v>
      </c>
      <c r="L2022" t="s">
        <v>2380</v>
      </c>
    </row>
    <row r="2023" spans="1:12" x14ac:dyDescent="0.35">
      <c r="A2023" t="s">
        <v>345</v>
      </c>
      <c r="B2023" t="str">
        <f t="shared" si="93"/>
        <v>Normal Weight</v>
      </c>
      <c r="C2023">
        <v>19.37</v>
      </c>
      <c r="D2023" t="str">
        <f t="shared" si="94"/>
        <v>Normal</v>
      </c>
      <c r="E2023">
        <v>4.18</v>
      </c>
      <c r="F2023" t="s">
        <v>2380</v>
      </c>
      <c r="G2023" t="s">
        <v>2380</v>
      </c>
      <c r="H2023" t="s">
        <v>2380</v>
      </c>
      <c r="J2023" t="s">
        <v>2381</v>
      </c>
      <c r="K2023" t="str">
        <f t="shared" si="95"/>
        <v>No</v>
      </c>
      <c r="L2023" t="s">
        <v>2380</v>
      </c>
    </row>
    <row r="2024" spans="1:12" x14ac:dyDescent="0.35">
      <c r="A2024" t="s">
        <v>344</v>
      </c>
      <c r="B2024" t="str">
        <f t="shared" si="93"/>
        <v>Underweight</v>
      </c>
      <c r="C2024">
        <v>16.71</v>
      </c>
      <c r="D2024" t="str">
        <f t="shared" si="94"/>
        <v>Normal</v>
      </c>
      <c r="E2024">
        <v>4.18</v>
      </c>
      <c r="F2024" t="s">
        <v>2380</v>
      </c>
      <c r="G2024" t="s">
        <v>2380</v>
      </c>
      <c r="H2024" t="s">
        <v>2380</v>
      </c>
      <c r="J2024">
        <v>1</v>
      </c>
      <c r="K2024" t="str">
        <f t="shared" si="95"/>
        <v>No</v>
      </c>
      <c r="L2024" t="s">
        <v>2380</v>
      </c>
    </row>
    <row r="2025" spans="1:12" x14ac:dyDescent="0.35">
      <c r="A2025" t="s">
        <v>343</v>
      </c>
      <c r="B2025" t="str">
        <f t="shared" si="93"/>
        <v>Normal Weight</v>
      </c>
      <c r="C2025">
        <v>24.1</v>
      </c>
      <c r="D2025" t="str">
        <f t="shared" si="94"/>
        <v>Normal</v>
      </c>
      <c r="E2025">
        <v>4.4000000000000004</v>
      </c>
      <c r="F2025" t="s">
        <v>2382</v>
      </c>
      <c r="G2025" t="s">
        <v>2380</v>
      </c>
      <c r="H2025" t="s">
        <v>2380</v>
      </c>
      <c r="J2025">
        <v>1</v>
      </c>
      <c r="K2025" t="str">
        <f t="shared" si="95"/>
        <v>No</v>
      </c>
      <c r="L2025" t="s">
        <v>2380</v>
      </c>
    </row>
    <row r="2026" spans="1:12" x14ac:dyDescent="0.35">
      <c r="A2026" t="s">
        <v>342</v>
      </c>
      <c r="B2026" t="str">
        <f t="shared" si="93"/>
        <v>Overweight</v>
      </c>
      <c r="C2026">
        <v>29.77</v>
      </c>
      <c r="D2026" t="str">
        <f t="shared" si="94"/>
        <v>Diabetes</v>
      </c>
      <c r="E2026">
        <v>9.9</v>
      </c>
      <c r="F2026" t="s">
        <v>2380</v>
      </c>
      <c r="G2026" t="s">
        <v>2380</v>
      </c>
      <c r="H2026" t="s">
        <v>2380</v>
      </c>
      <c r="J2026" t="s">
        <v>2381</v>
      </c>
      <c r="K2026" t="str">
        <f t="shared" si="95"/>
        <v>No</v>
      </c>
      <c r="L2026" t="s">
        <v>2380</v>
      </c>
    </row>
    <row r="2027" spans="1:12" x14ac:dyDescent="0.35">
      <c r="A2027" t="s">
        <v>341</v>
      </c>
      <c r="B2027" t="str">
        <f t="shared" si="93"/>
        <v>Obesity</v>
      </c>
      <c r="C2027">
        <v>46.53</v>
      </c>
      <c r="D2027" t="str">
        <f t="shared" si="94"/>
        <v>Normal</v>
      </c>
      <c r="E2027">
        <v>4.84</v>
      </c>
      <c r="F2027" t="s">
        <v>2382</v>
      </c>
      <c r="G2027" t="s">
        <v>2380</v>
      </c>
      <c r="H2027" t="s">
        <v>2380</v>
      </c>
      <c r="J2027" t="s">
        <v>2381</v>
      </c>
      <c r="K2027" t="str">
        <f t="shared" si="95"/>
        <v>No</v>
      </c>
      <c r="L2027" t="s">
        <v>2380</v>
      </c>
    </row>
    <row r="2028" spans="1:12" x14ac:dyDescent="0.35">
      <c r="A2028" t="s">
        <v>340</v>
      </c>
      <c r="B2028" t="str">
        <f t="shared" si="93"/>
        <v>Normal Weight</v>
      </c>
      <c r="C2028">
        <v>23.4</v>
      </c>
      <c r="D2028" t="str">
        <f t="shared" si="94"/>
        <v>Normal</v>
      </c>
      <c r="E2028">
        <v>5.53</v>
      </c>
      <c r="F2028" t="s">
        <v>2380</v>
      </c>
      <c r="G2028" t="s">
        <v>2380</v>
      </c>
      <c r="H2028" t="s">
        <v>2383</v>
      </c>
      <c r="J2028">
        <v>1</v>
      </c>
      <c r="K2028" t="str">
        <f t="shared" si="95"/>
        <v>No</v>
      </c>
      <c r="L2028" t="s">
        <v>2380</v>
      </c>
    </row>
    <row r="2029" spans="1:12" x14ac:dyDescent="0.35">
      <c r="A2029" t="s">
        <v>339</v>
      </c>
      <c r="B2029" t="str">
        <f t="shared" si="93"/>
        <v>Obesity</v>
      </c>
      <c r="C2029">
        <v>30</v>
      </c>
      <c r="D2029" t="str">
        <f t="shared" si="94"/>
        <v>Normal</v>
      </c>
      <c r="E2029">
        <v>4.33</v>
      </c>
      <c r="F2029" t="s">
        <v>2382</v>
      </c>
      <c r="G2029" t="s">
        <v>2380</v>
      </c>
      <c r="H2029" t="s">
        <v>2380</v>
      </c>
      <c r="J2029" t="s">
        <v>2381</v>
      </c>
      <c r="K2029" t="str">
        <f t="shared" si="95"/>
        <v>No</v>
      </c>
      <c r="L2029" t="s">
        <v>2380</v>
      </c>
    </row>
    <row r="2030" spans="1:12" x14ac:dyDescent="0.35">
      <c r="A2030" t="s">
        <v>338</v>
      </c>
      <c r="B2030" t="str">
        <f t="shared" si="93"/>
        <v>Overweight</v>
      </c>
      <c r="C2030">
        <v>29.15</v>
      </c>
      <c r="D2030" t="str">
        <f t="shared" si="94"/>
        <v>Normal</v>
      </c>
      <c r="E2030">
        <v>4.91</v>
      </c>
      <c r="F2030" t="s">
        <v>2382</v>
      </c>
      <c r="G2030" t="s">
        <v>2380</v>
      </c>
      <c r="H2030" t="s">
        <v>2380</v>
      </c>
      <c r="J2030" t="s">
        <v>2381</v>
      </c>
      <c r="K2030" t="str">
        <f t="shared" si="95"/>
        <v>No</v>
      </c>
      <c r="L2030" t="s">
        <v>2380</v>
      </c>
    </row>
    <row r="2031" spans="1:12" x14ac:dyDescent="0.35">
      <c r="A2031" t="s">
        <v>337</v>
      </c>
      <c r="B2031" t="str">
        <f t="shared" si="93"/>
        <v>Obesity</v>
      </c>
      <c r="C2031">
        <v>34.865000000000002</v>
      </c>
      <c r="D2031" t="str">
        <f t="shared" si="94"/>
        <v>Normal</v>
      </c>
      <c r="E2031">
        <v>4.8</v>
      </c>
      <c r="F2031" t="s">
        <v>2380</v>
      </c>
      <c r="G2031" t="s">
        <v>2380</v>
      </c>
      <c r="H2031" t="s">
        <v>2380</v>
      </c>
      <c r="J2031" t="s">
        <v>2381</v>
      </c>
      <c r="K2031" t="str">
        <f t="shared" si="95"/>
        <v>No</v>
      </c>
      <c r="L2031" t="s">
        <v>2380</v>
      </c>
    </row>
    <row r="2032" spans="1:12" x14ac:dyDescent="0.35">
      <c r="A2032" t="s">
        <v>336</v>
      </c>
      <c r="B2032" t="str">
        <f t="shared" si="93"/>
        <v>Overweight</v>
      </c>
      <c r="C2032">
        <v>28.12</v>
      </c>
      <c r="D2032" t="str">
        <f t="shared" si="94"/>
        <v>Normal</v>
      </c>
      <c r="E2032">
        <v>5.55</v>
      </c>
      <c r="F2032" t="s">
        <v>2382</v>
      </c>
      <c r="G2032" t="s">
        <v>2382</v>
      </c>
      <c r="H2032" t="s">
        <v>2380</v>
      </c>
      <c r="J2032">
        <v>2</v>
      </c>
      <c r="K2032" t="str">
        <f t="shared" si="95"/>
        <v>No</v>
      </c>
      <c r="L2032" t="s">
        <v>2380</v>
      </c>
    </row>
    <row r="2033" spans="1:12" x14ac:dyDescent="0.35">
      <c r="A2033" t="s">
        <v>335</v>
      </c>
      <c r="B2033" t="str">
        <f t="shared" si="93"/>
        <v>Overweight</v>
      </c>
      <c r="C2033">
        <v>29.45</v>
      </c>
      <c r="D2033" t="str">
        <f t="shared" si="94"/>
        <v>Normal</v>
      </c>
      <c r="E2033">
        <v>5.24</v>
      </c>
      <c r="F2033" t="s">
        <v>2382</v>
      </c>
      <c r="G2033" t="s">
        <v>2380</v>
      </c>
      <c r="H2033" t="s">
        <v>2380</v>
      </c>
      <c r="J2033" t="s">
        <v>2381</v>
      </c>
      <c r="K2033" t="str">
        <f t="shared" si="95"/>
        <v>No</v>
      </c>
      <c r="L2033" t="s">
        <v>2380</v>
      </c>
    </row>
    <row r="2034" spans="1:12" x14ac:dyDescent="0.35">
      <c r="A2034" t="s">
        <v>334</v>
      </c>
      <c r="B2034" t="str">
        <f t="shared" si="93"/>
        <v>Overweight</v>
      </c>
      <c r="C2034">
        <v>27.94</v>
      </c>
      <c r="D2034" t="str">
        <f t="shared" si="94"/>
        <v>Prediabetes</v>
      </c>
      <c r="E2034">
        <v>6.08</v>
      </c>
      <c r="F2034" t="s">
        <v>2380</v>
      </c>
      <c r="G2034" t="s">
        <v>2380</v>
      </c>
      <c r="H2034" t="s">
        <v>2383</v>
      </c>
      <c r="J2034">
        <v>1</v>
      </c>
      <c r="K2034" t="str">
        <f t="shared" si="95"/>
        <v>No</v>
      </c>
      <c r="L2034" t="s">
        <v>2380</v>
      </c>
    </row>
    <row r="2035" spans="1:12" x14ac:dyDescent="0.35">
      <c r="A2035" t="s">
        <v>333</v>
      </c>
      <c r="B2035" t="str">
        <f t="shared" si="93"/>
        <v>Overweight</v>
      </c>
      <c r="C2035">
        <v>27.2</v>
      </c>
      <c r="D2035" t="str">
        <f t="shared" si="94"/>
        <v>Prediabetes</v>
      </c>
      <c r="E2035">
        <v>5.83</v>
      </c>
      <c r="F2035" t="s">
        <v>2380</v>
      </c>
      <c r="G2035" t="s">
        <v>2380</v>
      </c>
      <c r="H2035" t="s">
        <v>2383</v>
      </c>
      <c r="J2035">
        <v>1</v>
      </c>
      <c r="K2035" t="str">
        <f t="shared" si="95"/>
        <v>No</v>
      </c>
      <c r="L2035" t="s">
        <v>2380</v>
      </c>
    </row>
    <row r="2036" spans="1:12" x14ac:dyDescent="0.35">
      <c r="A2036" t="s">
        <v>332</v>
      </c>
      <c r="B2036" t="str">
        <f t="shared" si="93"/>
        <v>Obesity</v>
      </c>
      <c r="C2036">
        <v>33.344999999999999</v>
      </c>
      <c r="D2036" t="str">
        <f t="shared" si="94"/>
        <v>Normal</v>
      </c>
      <c r="E2036">
        <v>4.29</v>
      </c>
      <c r="F2036" t="s">
        <v>2380</v>
      </c>
      <c r="G2036" t="s">
        <v>2380</v>
      </c>
      <c r="H2036" t="s">
        <v>2380</v>
      </c>
      <c r="J2036">
        <v>1</v>
      </c>
      <c r="K2036" t="str">
        <f t="shared" si="95"/>
        <v>No</v>
      </c>
      <c r="L2036" t="s">
        <v>2380</v>
      </c>
    </row>
    <row r="2037" spans="1:12" x14ac:dyDescent="0.35">
      <c r="A2037" t="s">
        <v>331</v>
      </c>
      <c r="B2037" t="e">
        <f t="shared" si="93"/>
        <v>#N/A</v>
      </c>
      <c r="C2037">
        <v>29.925000000000001</v>
      </c>
      <c r="D2037" t="str">
        <f t="shared" si="94"/>
        <v>Normal</v>
      </c>
      <c r="E2037">
        <v>5.3</v>
      </c>
      <c r="F2037" t="s">
        <v>2380</v>
      </c>
      <c r="G2037" t="s">
        <v>2380</v>
      </c>
      <c r="H2037" t="s">
        <v>2380</v>
      </c>
      <c r="J2037">
        <v>1</v>
      </c>
      <c r="K2037" t="str">
        <f t="shared" si="95"/>
        <v>No</v>
      </c>
      <c r="L2037" t="s">
        <v>2380</v>
      </c>
    </row>
    <row r="2038" spans="1:12" x14ac:dyDescent="0.35">
      <c r="A2038" t="s">
        <v>330</v>
      </c>
      <c r="B2038" t="str">
        <f t="shared" si="93"/>
        <v>Normal Weight</v>
      </c>
      <c r="C2038">
        <v>24.225000000000001</v>
      </c>
      <c r="D2038" t="str">
        <f t="shared" si="94"/>
        <v>Normal</v>
      </c>
      <c r="E2038">
        <v>4.42</v>
      </c>
      <c r="F2038" t="s">
        <v>2380</v>
      </c>
      <c r="G2038" t="s">
        <v>2380</v>
      </c>
      <c r="H2038" t="s">
        <v>2380</v>
      </c>
      <c r="J2038">
        <v>1</v>
      </c>
      <c r="K2038" t="str">
        <f t="shared" si="95"/>
        <v>No</v>
      </c>
      <c r="L2038" t="s">
        <v>2380</v>
      </c>
    </row>
    <row r="2039" spans="1:12" x14ac:dyDescent="0.35">
      <c r="A2039" t="s">
        <v>329</v>
      </c>
      <c r="B2039" t="str">
        <f t="shared" si="93"/>
        <v>Overweight</v>
      </c>
      <c r="C2039">
        <v>29.68</v>
      </c>
      <c r="D2039" t="str">
        <f t="shared" si="94"/>
        <v>Normal</v>
      </c>
      <c r="E2039">
        <v>5.68</v>
      </c>
      <c r="F2039" t="s">
        <v>2380</v>
      </c>
      <c r="G2039" t="s">
        <v>2382</v>
      </c>
      <c r="H2039" t="s">
        <v>2380</v>
      </c>
      <c r="J2039">
        <v>1</v>
      </c>
      <c r="K2039" t="str">
        <f t="shared" si="95"/>
        <v>No</v>
      </c>
      <c r="L2039" t="s">
        <v>2380</v>
      </c>
    </row>
    <row r="2040" spans="1:12" x14ac:dyDescent="0.35">
      <c r="A2040" t="s">
        <v>328</v>
      </c>
      <c r="B2040" t="str">
        <f t="shared" si="93"/>
        <v>Normal Weight</v>
      </c>
      <c r="C2040">
        <v>20.614999999999998</v>
      </c>
      <c r="D2040" t="str">
        <f t="shared" si="94"/>
        <v>Prediabetes</v>
      </c>
      <c r="E2040">
        <v>6.05</v>
      </c>
      <c r="F2040" t="s">
        <v>2380</v>
      </c>
      <c r="G2040" t="s">
        <v>2380</v>
      </c>
      <c r="H2040" t="s">
        <v>2383</v>
      </c>
      <c r="J2040">
        <v>1</v>
      </c>
      <c r="K2040" t="str">
        <f t="shared" si="95"/>
        <v>No</v>
      </c>
      <c r="L2040" t="s">
        <v>2380</v>
      </c>
    </row>
    <row r="2041" spans="1:12" x14ac:dyDescent="0.35">
      <c r="A2041" t="s">
        <v>327</v>
      </c>
      <c r="B2041" t="str">
        <f t="shared" si="93"/>
        <v>Obesity</v>
      </c>
      <c r="C2041">
        <v>32.119999999999997</v>
      </c>
      <c r="D2041" t="str">
        <f t="shared" si="94"/>
        <v>Normal</v>
      </c>
      <c r="E2041">
        <v>5.33</v>
      </c>
      <c r="F2041" t="s">
        <v>2380</v>
      </c>
      <c r="G2041" t="s">
        <v>2382</v>
      </c>
      <c r="H2041" t="s">
        <v>2380</v>
      </c>
      <c r="J2041">
        <v>1</v>
      </c>
      <c r="K2041" t="str">
        <f t="shared" si="95"/>
        <v>No</v>
      </c>
      <c r="L2041" t="s">
        <v>2380</v>
      </c>
    </row>
    <row r="2042" spans="1:12" x14ac:dyDescent="0.35">
      <c r="A2042" t="s">
        <v>326</v>
      </c>
      <c r="B2042" t="str">
        <f t="shared" si="93"/>
        <v>Overweight</v>
      </c>
      <c r="C2042">
        <v>27.36</v>
      </c>
      <c r="D2042" t="str">
        <f t="shared" si="94"/>
        <v>Prediabetes</v>
      </c>
      <c r="E2042">
        <v>6.22</v>
      </c>
      <c r="F2042" t="s">
        <v>2380</v>
      </c>
      <c r="G2042" t="s">
        <v>2380</v>
      </c>
      <c r="H2042" t="s">
        <v>2380</v>
      </c>
      <c r="J2042" t="s">
        <v>2381</v>
      </c>
      <c r="K2042" t="str">
        <f t="shared" si="95"/>
        <v>No</v>
      </c>
      <c r="L2042" t="s">
        <v>2380</v>
      </c>
    </row>
    <row r="2043" spans="1:12" x14ac:dyDescent="0.35">
      <c r="A2043" t="s">
        <v>325</v>
      </c>
      <c r="B2043" t="str">
        <f t="shared" si="93"/>
        <v>Underweight</v>
      </c>
      <c r="C2043">
        <v>17.385000000000002</v>
      </c>
      <c r="D2043" t="str">
        <f t="shared" si="94"/>
        <v>Prediabetes</v>
      </c>
      <c r="E2043">
        <v>5.84</v>
      </c>
      <c r="F2043" t="s">
        <v>2380</v>
      </c>
      <c r="G2043" t="s">
        <v>2380</v>
      </c>
      <c r="H2043" t="s">
        <v>2380</v>
      </c>
      <c r="J2043" t="s">
        <v>2381</v>
      </c>
      <c r="K2043" t="str">
        <f t="shared" si="95"/>
        <v>No</v>
      </c>
      <c r="L2043" t="s">
        <v>2380</v>
      </c>
    </row>
    <row r="2044" spans="1:12" x14ac:dyDescent="0.35">
      <c r="A2044" t="s">
        <v>324</v>
      </c>
      <c r="B2044" t="str">
        <f t="shared" si="93"/>
        <v>Obesity</v>
      </c>
      <c r="C2044">
        <v>30.13</v>
      </c>
      <c r="D2044" t="str">
        <f t="shared" si="94"/>
        <v>Prediabetes</v>
      </c>
      <c r="E2044">
        <v>5.71</v>
      </c>
      <c r="F2044" t="s">
        <v>2380</v>
      </c>
      <c r="G2044" t="s">
        <v>2382</v>
      </c>
      <c r="H2044" t="s">
        <v>2380</v>
      </c>
      <c r="J2044">
        <v>1</v>
      </c>
      <c r="K2044" t="str">
        <f t="shared" si="95"/>
        <v>No</v>
      </c>
      <c r="L2044" t="s">
        <v>2380</v>
      </c>
    </row>
    <row r="2045" spans="1:12" x14ac:dyDescent="0.35">
      <c r="A2045" t="s">
        <v>323</v>
      </c>
      <c r="B2045" t="str">
        <f t="shared" si="93"/>
        <v>Overweight</v>
      </c>
      <c r="C2045">
        <v>25.44</v>
      </c>
      <c r="D2045" t="str">
        <f t="shared" si="94"/>
        <v>Prediabetes</v>
      </c>
      <c r="E2045">
        <v>6.04</v>
      </c>
      <c r="F2045" t="s">
        <v>2382</v>
      </c>
      <c r="G2045" t="s">
        <v>2380</v>
      </c>
      <c r="H2045" t="s">
        <v>2383</v>
      </c>
      <c r="J2045">
        <v>1</v>
      </c>
      <c r="K2045" t="str">
        <f t="shared" si="95"/>
        <v>No</v>
      </c>
      <c r="L2045" t="s">
        <v>2380</v>
      </c>
    </row>
    <row r="2046" spans="1:12" x14ac:dyDescent="0.35">
      <c r="A2046" t="s">
        <v>322</v>
      </c>
      <c r="B2046" t="str">
        <f t="shared" si="93"/>
        <v>Obesity</v>
      </c>
      <c r="C2046">
        <v>39.805</v>
      </c>
      <c r="D2046" t="str">
        <f t="shared" si="94"/>
        <v>Normal</v>
      </c>
      <c r="E2046">
        <v>4.38</v>
      </c>
      <c r="F2046" t="s">
        <v>2380</v>
      </c>
      <c r="G2046" t="s">
        <v>2382</v>
      </c>
      <c r="H2046" t="s">
        <v>2380</v>
      </c>
      <c r="J2046">
        <v>1</v>
      </c>
      <c r="K2046" t="str">
        <f t="shared" si="95"/>
        <v>No</v>
      </c>
      <c r="L2046" t="s">
        <v>2380</v>
      </c>
    </row>
    <row r="2047" spans="1:12" x14ac:dyDescent="0.35">
      <c r="A2047" t="s">
        <v>321</v>
      </c>
      <c r="B2047" t="str">
        <f t="shared" si="93"/>
        <v>Obesity</v>
      </c>
      <c r="C2047">
        <v>30.4</v>
      </c>
      <c r="D2047" t="str">
        <f t="shared" si="94"/>
        <v>Normal</v>
      </c>
      <c r="E2047">
        <v>5.56</v>
      </c>
      <c r="F2047" t="s">
        <v>2382</v>
      </c>
      <c r="G2047" t="s">
        <v>2382</v>
      </c>
      <c r="H2047" t="s">
        <v>2380</v>
      </c>
      <c r="J2047">
        <v>1</v>
      </c>
      <c r="K2047" t="str">
        <f t="shared" si="95"/>
        <v>No</v>
      </c>
      <c r="L2047" t="s">
        <v>2380</v>
      </c>
    </row>
    <row r="2048" spans="1:12" x14ac:dyDescent="0.35">
      <c r="A2048" t="s">
        <v>320</v>
      </c>
      <c r="B2048" t="str">
        <f t="shared" si="93"/>
        <v>Normal Weight</v>
      </c>
      <c r="C2048">
        <v>23.18</v>
      </c>
      <c r="D2048" t="str">
        <f t="shared" si="94"/>
        <v>Normal</v>
      </c>
      <c r="E2048">
        <v>4.24</v>
      </c>
      <c r="F2048" t="s">
        <v>2380</v>
      </c>
      <c r="G2048" t="s">
        <v>2382</v>
      </c>
      <c r="H2048" t="s">
        <v>2380</v>
      </c>
      <c r="J2048">
        <v>1</v>
      </c>
      <c r="K2048" t="str">
        <f t="shared" si="95"/>
        <v>No</v>
      </c>
      <c r="L2048" t="s">
        <v>2380</v>
      </c>
    </row>
    <row r="2049" spans="1:12" x14ac:dyDescent="0.35">
      <c r="A2049" t="s">
        <v>319</v>
      </c>
      <c r="B2049" t="str">
        <f t="shared" si="93"/>
        <v>Obesity</v>
      </c>
      <c r="C2049">
        <v>39.615000000000002</v>
      </c>
      <c r="D2049" t="str">
        <f t="shared" si="94"/>
        <v>Prediabetes</v>
      </c>
      <c r="E2049">
        <v>6.32</v>
      </c>
      <c r="F2049" t="s">
        <v>2380</v>
      </c>
      <c r="G2049" t="s">
        <v>2380</v>
      </c>
      <c r="H2049" t="s">
        <v>2383</v>
      </c>
      <c r="J2049">
        <v>1</v>
      </c>
      <c r="K2049" t="str">
        <f t="shared" si="95"/>
        <v>No</v>
      </c>
      <c r="L2049" t="s">
        <v>2380</v>
      </c>
    </row>
    <row r="2050" spans="1:12" x14ac:dyDescent="0.35">
      <c r="A2050" t="s">
        <v>318</v>
      </c>
      <c r="B2050" t="str">
        <f t="shared" si="93"/>
        <v>Obesity</v>
      </c>
      <c r="C2050">
        <v>30.59</v>
      </c>
      <c r="D2050" t="str">
        <f t="shared" si="94"/>
        <v>Prediabetes</v>
      </c>
      <c r="E2050">
        <v>6.3</v>
      </c>
      <c r="F2050" t="s">
        <v>2382</v>
      </c>
      <c r="G2050" t="s">
        <v>2380</v>
      </c>
      <c r="H2050" t="s">
        <v>2383</v>
      </c>
      <c r="J2050">
        <v>1</v>
      </c>
      <c r="K2050" t="str">
        <f t="shared" si="95"/>
        <v>No</v>
      </c>
      <c r="L2050" t="s">
        <v>2380</v>
      </c>
    </row>
    <row r="2051" spans="1:12" x14ac:dyDescent="0.35">
      <c r="A2051" t="s">
        <v>317</v>
      </c>
      <c r="B2051" t="str">
        <f t="shared" ref="B2051:B2114" si="96">_xlfn.IFS(C2051&lt;18.5, "Underweight", C2051&lt;=24.9, "Normal Weight", C2051&lt;=29.9, "Overweight", C2051&gt;=30, "Obesity")</f>
        <v>Underweight</v>
      </c>
      <c r="C2051">
        <v>16.72</v>
      </c>
      <c r="D2051" t="str">
        <f t="shared" ref="D2051:D2114" si="97">_xlfn.IFS(E2051&lt;5.7, "Normal", E2051&lt;=6.4, "Prediabetes", E2051&gt;=6.5, "Diabetes")</f>
        <v>Normal</v>
      </c>
      <c r="E2051">
        <v>4.38</v>
      </c>
      <c r="F2051" t="s">
        <v>2382</v>
      </c>
      <c r="G2051" t="s">
        <v>2380</v>
      </c>
      <c r="H2051" t="s">
        <v>2380</v>
      </c>
      <c r="J2051">
        <v>1</v>
      </c>
      <c r="K2051" t="str">
        <f t="shared" si="95"/>
        <v>No</v>
      </c>
      <c r="L2051" t="s">
        <v>2380</v>
      </c>
    </row>
    <row r="2052" spans="1:12" x14ac:dyDescent="0.35">
      <c r="A2052" t="s">
        <v>316</v>
      </c>
      <c r="B2052" t="str">
        <f t="shared" si="96"/>
        <v>Overweight</v>
      </c>
      <c r="C2052">
        <v>26.22</v>
      </c>
      <c r="D2052" t="str">
        <f t="shared" si="97"/>
        <v>Normal</v>
      </c>
      <c r="E2052">
        <v>4.6500000000000004</v>
      </c>
      <c r="F2052" t="s">
        <v>2382</v>
      </c>
      <c r="G2052" t="s">
        <v>2380</v>
      </c>
      <c r="H2052" t="s">
        <v>2383</v>
      </c>
      <c r="J2052">
        <v>1</v>
      </c>
      <c r="K2052" t="str">
        <f t="shared" ref="K2052:K2115" si="98">IF(OR(L2052="?", ISBLANK(L2052)), "No", L2052)</f>
        <v>No</v>
      </c>
      <c r="L2052" t="s">
        <v>2380</v>
      </c>
    </row>
    <row r="2053" spans="1:12" x14ac:dyDescent="0.35">
      <c r="A2053" t="s">
        <v>315</v>
      </c>
      <c r="B2053" t="str">
        <f t="shared" si="96"/>
        <v>Obesity</v>
      </c>
      <c r="C2053">
        <v>31.824999999999999</v>
      </c>
      <c r="D2053" t="str">
        <f t="shared" si="97"/>
        <v>Normal</v>
      </c>
      <c r="E2053">
        <v>4.7</v>
      </c>
      <c r="F2053" t="s">
        <v>2380</v>
      </c>
      <c r="G2053" t="s">
        <v>2380</v>
      </c>
      <c r="H2053" t="s">
        <v>2383</v>
      </c>
      <c r="J2053">
        <v>1</v>
      </c>
      <c r="K2053" t="str">
        <f t="shared" si="98"/>
        <v>No</v>
      </c>
      <c r="L2053" t="s">
        <v>2380</v>
      </c>
    </row>
    <row r="2054" spans="1:12" x14ac:dyDescent="0.35">
      <c r="A2054" t="s">
        <v>314</v>
      </c>
      <c r="B2054" t="str">
        <f t="shared" si="96"/>
        <v>Overweight</v>
      </c>
      <c r="C2054">
        <v>25.745000000000001</v>
      </c>
      <c r="D2054" t="str">
        <f t="shared" si="97"/>
        <v>Normal</v>
      </c>
      <c r="E2054">
        <v>4.34</v>
      </c>
      <c r="F2054" t="s">
        <v>2380</v>
      </c>
      <c r="G2054" t="s">
        <v>2380</v>
      </c>
      <c r="H2054" t="s">
        <v>2383</v>
      </c>
      <c r="J2054">
        <v>1</v>
      </c>
      <c r="K2054" t="str">
        <f t="shared" si="98"/>
        <v>No</v>
      </c>
      <c r="L2054" t="s">
        <v>2380</v>
      </c>
    </row>
    <row r="2055" spans="1:12" x14ac:dyDescent="0.35">
      <c r="A2055" t="s">
        <v>313</v>
      </c>
      <c r="B2055" t="str">
        <f t="shared" si="96"/>
        <v>Normal Weight</v>
      </c>
      <c r="C2055">
        <v>24.605</v>
      </c>
      <c r="D2055" t="str">
        <f t="shared" si="97"/>
        <v>Normal</v>
      </c>
      <c r="E2055">
        <v>5.62</v>
      </c>
      <c r="F2055" t="s">
        <v>2380</v>
      </c>
      <c r="G2055" t="s">
        <v>2380</v>
      </c>
      <c r="H2055" t="s">
        <v>2383</v>
      </c>
      <c r="J2055">
        <v>1</v>
      </c>
      <c r="K2055" t="str">
        <f t="shared" si="98"/>
        <v>No</v>
      </c>
      <c r="L2055" t="s">
        <v>2380</v>
      </c>
    </row>
    <row r="2056" spans="1:12" x14ac:dyDescent="0.35">
      <c r="A2056" t="s">
        <v>312</v>
      </c>
      <c r="B2056" t="str">
        <f t="shared" si="96"/>
        <v>Normal Weight</v>
      </c>
      <c r="C2056">
        <v>24.51</v>
      </c>
      <c r="D2056" t="str">
        <f t="shared" si="97"/>
        <v>Normal</v>
      </c>
      <c r="E2056">
        <v>4.24</v>
      </c>
      <c r="F2056" t="s">
        <v>2380</v>
      </c>
      <c r="G2056" t="s">
        <v>2380</v>
      </c>
      <c r="H2056" t="s">
        <v>2383</v>
      </c>
      <c r="J2056">
        <v>1</v>
      </c>
      <c r="K2056" t="str">
        <f t="shared" si="98"/>
        <v>No</v>
      </c>
      <c r="L2056" t="s">
        <v>2380</v>
      </c>
    </row>
    <row r="2057" spans="1:12" x14ac:dyDescent="0.35">
      <c r="A2057" t="s">
        <v>311</v>
      </c>
      <c r="B2057" t="str">
        <f t="shared" si="96"/>
        <v>Obesity</v>
      </c>
      <c r="C2057">
        <v>31.065000000000001</v>
      </c>
      <c r="D2057" t="str">
        <f t="shared" si="97"/>
        <v>Normal</v>
      </c>
      <c r="E2057">
        <v>4.57</v>
      </c>
      <c r="F2057" t="s">
        <v>2382</v>
      </c>
      <c r="G2057" t="s">
        <v>2380</v>
      </c>
      <c r="H2057" t="s">
        <v>2380</v>
      </c>
      <c r="J2057" t="s">
        <v>2381</v>
      </c>
      <c r="K2057" t="str">
        <f t="shared" si="98"/>
        <v>No</v>
      </c>
      <c r="L2057" t="s">
        <v>2380</v>
      </c>
    </row>
    <row r="2058" spans="1:12" x14ac:dyDescent="0.35">
      <c r="A2058" t="s">
        <v>310</v>
      </c>
      <c r="B2058" t="str">
        <f t="shared" si="96"/>
        <v>Overweight</v>
      </c>
      <c r="C2058">
        <v>28.12</v>
      </c>
      <c r="D2058" t="str">
        <f t="shared" si="97"/>
        <v>Normal</v>
      </c>
      <c r="E2058">
        <v>5.05</v>
      </c>
      <c r="F2058" t="s">
        <v>2380</v>
      </c>
      <c r="G2058" t="s">
        <v>2380</v>
      </c>
      <c r="H2058" t="s">
        <v>2380</v>
      </c>
      <c r="J2058" t="s">
        <v>2381</v>
      </c>
      <c r="K2058" t="str">
        <f t="shared" si="98"/>
        <v>No</v>
      </c>
      <c r="L2058" t="s">
        <v>2380</v>
      </c>
    </row>
    <row r="2059" spans="1:12" x14ac:dyDescent="0.35">
      <c r="A2059" t="s">
        <v>309</v>
      </c>
      <c r="B2059" t="str">
        <f t="shared" si="96"/>
        <v>Obesity</v>
      </c>
      <c r="C2059">
        <v>38.06</v>
      </c>
      <c r="D2059" t="str">
        <f t="shared" si="97"/>
        <v>Prediabetes</v>
      </c>
      <c r="E2059">
        <v>6.16</v>
      </c>
      <c r="F2059" t="s">
        <v>2380</v>
      </c>
      <c r="G2059" t="s">
        <v>2380</v>
      </c>
      <c r="H2059" t="s">
        <v>2380</v>
      </c>
      <c r="J2059" t="s">
        <v>2381</v>
      </c>
      <c r="K2059" t="str">
        <f t="shared" si="98"/>
        <v>No</v>
      </c>
      <c r="L2059" t="s">
        <v>2380</v>
      </c>
    </row>
    <row r="2060" spans="1:12" x14ac:dyDescent="0.35">
      <c r="A2060" t="s">
        <v>308</v>
      </c>
      <c r="B2060" t="str">
        <f t="shared" si="96"/>
        <v>Overweight</v>
      </c>
      <c r="C2060">
        <v>24.96</v>
      </c>
      <c r="D2060" t="str">
        <f t="shared" si="97"/>
        <v>Normal</v>
      </c>
      <c r="E2060">
        <v>4.57</v>
      </c>
      <c r="F2060" t="s">
        <v>2380</v>
      </c>
      <c r="G2060" t="s">
        <v>2380</v>
      </c>
      <c r="H2060" t="s">
        <v>2380</v>
      </c>
      <c r="J2060" t="s">
        <v>2381</v>
      </c>
      <c r="K2060" t="str">
        <f t="shared" si="98"/>
        <v>No</v>
      </c>
      <c r="L2060" t="s">
        <v>2380</v>
      </c>
    </row>
    <row r="2061" spans="1:12" x14ac:dyDescent="0.35">
      <c r="A2061" t="s">
        <v>307</v>
      </c>
      <c r="B2061" t="str">
        <f t="shared" si="96"/>
        <v>Underweight</v>
      </c>
      <c r="C2061">
        <v>17.670000000000002</v>
      </c>
      <c r="D2061" t="str">
        <f t="shared" si="97"/>
        <v>Normal</v>
      </c>
      <c r="E2061">
        <v>5.53</v>
      </c>
      <c r="F2061" t="s">
        <v>2382</v>
      </c>
      <c r="G2061" t="s">
        <v>2380</v>
      </c>
      <c r="H2061" t="s">
        <v>2380</v>
      </c>
      <c r="J2061" t="s">
        <v>2381</v>
      </c>
      <c r="K2061" t="str">
        <f t="shared" si="98"/>
        <v>No</v>
      </c>
      <c r="L2061" t="s">
        <v>2380</v>
      </c>
    </row>
    <row r="2062" spans="1:12" x14ac:dyDescent="0.35">
      <c r="A2062" t="s">
        <v>306</v>
      </c>
      <c r="B2062" t="str">
        <f t="shared" si="96"/>
        <v>Obesity</v>
      </c>
      <c r="C2062">
        <v>31.35</v>
      </c>
      <c r="D2062" t="str">
        <f t="shared" si="97"/>
        <v>Prediabetes</v>
      </c>
      <c r="E2062">
        <v>5.84</v>
      </c>
      <c r="F2062" t="s">
        <v>2380</v>
      </c>
      <c r="G2062" t="s">
        <v>2382</v>
      </c>
      <c r="H2062" t="s">
        <v>2380</v>
      </c>
      <c r="J2062">
        <v>1</v>
      </c>
      <c r="K2062" t="str">
        <f t="shared" si="98"/>
        <v>No</v>
      </c>
      <c r="L2062" t="s">
        <v>2380</v>
      </c>
    </row>
    <row r="2063" spans="1:12" x14ac:dyDescent="0.35">
      <c r="A2063" t="s">
        <v>305</v>
      </c>
      <c r="B2063" t="str">
        <f t="shared" si="96"/>
        <v>Overweight</v>
      </c>
      <c r="C2063">
        <v>28.31</v>
      </c>
      <c r="D2063" t="e">
        <f t="shared" si="97"/>
        <v>#N/A</v>
      </c>
      <c r="E2063">
        <v>6.41</v>
      </c>
      <c r="F2063" t="s">
        <v>2380</v>
      </c>
      <c r="G2063" t="s">
        <v>2382</v>
      </c>
      <c r="H2063" t="s">
        <v>2380</v>
      </c>
      <c r="J2063">
        <v>1</v>
      </c>
      <c r="K2063" t="str">
        <f t="shared" si="98"/>
        <v>No</v>
      </c>
      <c r="L2063" t="s">
        <v>2380</v>
      </c>
    </row>
    <row r="2064" spans="1:12" x14ac:dyDescent="0.35">
      <c r="A2064" t="s">
        <v>304</v>
      </c>
      <c r="B2064" t="str">
        <f t="shared" si="96"/>
        <v>Obesity</v>
      </c>
      <c r="C2064">
        <v>30.3</v>
      </c>
      <c r="D2064" t="str">
        <f t="shared" si="97"/>
        <v>Normal</v>
      </c>
      <c r="E2064">
        <v>4.7300000000000004</v>
      </c>
      <c r="F2064" t="s">
        <v>2382</v>
      </c>
      <c r="G2064" t="s">
        <v>2380</v>
      </c>
      <c r="H2064" t="s">
        <v>2383</v>
      </c>
      <c r="J2064">
        <v>1</v>
      </c>
      <c r="K2064" t="str">
        <f t="shared" si="98"/>
        <v>No</v>
      </c>
      <c r="L2064" t="s">
        <v>2380</v>
      </c>
    </row>
    <row r="2065" spans="1:12" x14ac:dyDescent="0.35">
      <c r="A2065" t="s">
        <v>303</v>
      </c>
      <c r="B2065" t="str">
        <f t="shared" si="96"/>
        <v>Overweight</v>
      </c>
      <c r="C2065">
        <v>26.4</v>
      </c>
      <c r="D2065" t="str">
        <f t="shared" si="97"/>
        <v>Prediabetes</v>
      </c>
      <c r="E2065">
        <v>6.22</v>
      </c>
      <c r="F2065" t="s">
        <v>2382</v>
      </c>
      <c r="G2065" t="s">
        <v>2380</v>
      </c>
      <c r="H2065" t="s">
        <v>2380</v>
      </c>
      <c r="J2065" t="s">
        <v>2381</v>
      </c>
      <c r="K2065" t="str">
        <f t="shared" si="98"/>
        <v>No</v>
      </c>
      <c r="L2065" t="s">
        <v>2380</v>
      </c>
    </row>
    <row r="2066" spans="1:12" x14ac:dyDescent="0.35">
      <c r="A2066" t="s">
        <v>302</v>
      </c>
      <c r="B2066" t="str">
        <f t="shared" si="96"/>
        <v>Normal Weight</v>
      </c>
      <c r="C2066">
        <v>22.135000000000002</v>
      </c>
      <c r="D2066" t="str">
        <f t="shared" si="97"/>
        <v>Normal</v>
      </c>
      <c r="E2066">
        <v>4.46</v>
      </c>
      <c r="F2066" t="s">
        <v>2382</v>
      </c>
      <c r="G2066" t="s">
        <v>2380</v>
      </c>
      <c r="H2066" t="s">
        <v>2380</v>
      </c>
      <c r="J2066" t="s">
        <v>2381</v>
      </c>
      <c r="K2066" t="str">
        <f t="shared" si="98"/>
        <v>No</v>
      </c>
      <c r="L2066" t="s">
        <v>2380</v>
      </c>
    </row>
    <row r="2067" spans="1:12" x14ac:dyDescent="0.35">
      <c r="A2067" t="s">
        <v>301</v>
      </c>
      <c r="B2067" t="str">
        <f t="shared" si="96"/>
        <v>Underweight</v>
      </c>
      <c r="C2067">
        <v>17.399999999999999</v>
      </c>
      <c r="D2067" t="str">
        <f t="shared" si="97"/>
        <v>Normal</v>
      </c>
      <c r="E2067">
        <v>4.5</v>
      </c>
      <c r="F2067" t="s">
        <v>2382</v>
      </c>
      <c r="G2067" t="s">
        <v>2380</v>
      </c>
      <c r="H2067" t="s">
        <v>2380</v>
      </c>
      <c r="J2067" t="s">
        <v>2381</v>
      </c>
      <c r="K2067" t="str">
        <f t="shared" si="98"/>
        <v>No</v>
      </c>
      <c r="L2067" t="s">
        <v>2380</v>
      </c>
    </row>
    <row r="2068" spans="1:12" x14ac:dyDescent="0.35">
      <c r="A2068" t="s">
        <v>299</v>
      </c>
      <c r="B2068" t="str">
        <f t="shared" si="96"/>
        <v>Overweight</v>
      </c>
      <c r="C2068">
        <v>28.06</v>
      </c>
      <c r="D2068" t="str">
        <f t="shared" si="97"/>
        <v>Diabetes</v>
      </c>
      <c r="E2068">
        <v>8.93</v>
      </c>
      <c r="F2068" t="s">
        <v>2380</v>
      </c>
      <c r="G2068" t="s">
        <v>2380</v>
      </c>
      <c r="H2068" t="s">
        <v>2380</v>
      </c>
      <c r="J2068" t="s">
        <v>2381</v>
      </c>
      <c r="K2068" t="str">
        <f t="shared" si="98"/>
        <v>No</v>
      </c>
      <c r="L2068" t="s">
        <v>2380</v>
      </c>
    </row>
    <row r="2069" spans="1:12" x14ac:dyDescent="0.35">
      <c r="A2069" t="s">
        <v>298</v>
      </c>
      <c r="B2069" t="str">
        <f t="shared" si="96"/>
        <v>Obesity</v>
      </c>
      <c r="C2069">
        <v>31.13</v>
      </c>
      <c r="D2069" t="str">
        <f t="shared" si="97"/>
        <v>Diabetes</v>
      </c>
      <c r="E2069">
        <v>11.02</v>
      </c>
      <c r="F2069" t="s">
        <v>2380</v>
      </c>
      <c r="G2069" t="s">
        <v>2380</v>
      </c>
      <c r="H2069" t="s">
        <v>2380</v>
      </c>
      <c r="J2069" t="s">
        <v>2381</v>
      </c>
      <c r="K2069" t="str">
        <f t="shared" si="98"/>
        <v>No</v>
      </c>
      <c r="L2069" t="s">
        <v>2380</v>
      </c>
    </row>
    <row r="2070" spans="1:12" x14ac:dyDescent="0.35">
      <c r="A2070" t="s">
        <v>297</v>
      </c>
      <c r="B2070" t="str">
        <f t="shared" si="96"/>
        <v>Underweight</v>
      </c>
      <c r="C2070">
        <v>18.46</v>
      </c>
      <c r="D2070" t="str">
        <f t="shared" si="97"/>
        <v>Normal</v>
      </c>
      <c r="E2070">
        <v>5.25</v>
      </c>
      <c r="F2070" t="s">
        <v>2380</v>
      </c>
      <c r="G2070" t="s">
        <v>2380</v>
      </c>
      <c r="H2070" t="s">
        <v>2380</v>
      </c>
      <c r="J2070" t="s">
        <v>2381</v>
      </c>
      <c r="K2070" t="str">
        <f t="shared" si="98"/>
        <v>No</v>
      </c>
      <c r="L2070" t="s">
        <v>2380</v>
      </c>
    </row>
    <row r="2071" spans="1:12" x14ac:dyDescent="0.35">
      <c r="A2071" t="s">
        <v>296</v>
      </c>
      <c r="B2071" t="str">
        <f t="shared" si="96"/>
        <v>Underweight</v>
      </c>
      <c r="C2071">
        <v>17.3</v>
      </c>
      <c r="D2071" t="str">
        <f t="shared" si="97"/>
        <v>Normal</v>
      </c>
      <c r="E2071">
        <v>4.75</v>
      </c>
      <c r="F2071" t="s">
        <v>2380</v>
      </c>
      <c r="G2071" t="s">
        <v>2380</v>
      </c>
      <c r="H2071" t="s">
        <v>2380</v>
      </c>
      <c r="J2071" t="s">
        <v>2381</v>
      </c>
      <c r="K2071" t="str">
        <f t="shared" si="98"/>
        <v>No</v>
      </c>
      <c r="L2071" t="s">
        <v>2380</v>
      </c>
    </row>
    <row r="2072" spans="1:12" x14ac:dyDescent="0.35">
      <c r="A2072" t="s">
        <v>295</v>
      </c>
      <c r="B2072" t="str">
        <f t="shared" si="96"/>
        <v>Obesity</v>
      </c>
      <c r="C2072">
        <v>35.625</v>
      </c>
      <c r="D2072" t="str">
        <f t="shared" si="97"/>
        <v>Normal</v>
      </c>
      <c r="E2072">
        <v>4.68</v>
      </c>
      <c r="F2072" t="s">
        <v>2382</v>
      </c>
      <c r="G2072" t="s">
        <v>2380</v>
      </c>
      <c r="H2072" t="s">
        <v>2383</v>
      </c>
      <c r="J2072">
        <v>1</v>
      </c>
      <c r="K2072" t="str">
        <f t="shared" si="98"/>
        <v>No</v>
      </c>
      <c r="L2072" t="s">
        <v>2380</v>
      </c>
    </row>
    <row r="2073" spans="1:12" x14ac:dyDescent="0.35">
      <c r="A2073" t="s">
        <v>294</v>
      </c>
      <c r="B2073" t="str">
        <f t="shared" si="96"/>
        <v>Normal Weight</v>
      </c>
      <c r="C2073">
        <v>20.234999999999999</v>
      </c>
      <c r="D2073" t="str">
        <f t="shared" si="97"/>
        <v>Prediabetes</v>
      </c>
      <c r="E2073">
        <v>6.17</v>
      </c>
      <c r="F2073" t="s">
        <v>2382</v>
      </c>
      <c r="G2073" t="s">
        <v>2382</v>
      </c>
      <c r="H2073" t="s">
        <v>2380</v>
      </c>
      <c r="J2073">
        <v>2</v>
      </c>
      <c r="K2073" t="str">
        <f t="shared" si="98"/>
        <v>No</v>
      </c>
      <c r="L2073" t="s">
        <v>2380</v>
      </c>
    </row>
    <row r="2074" spans="1:12" x14ac:dyDescent="0.35">
      <c r="A2074" t="s">
        <v>293</v>
      </c>
      <c r="B2074" t="str">
        <f t="shared" si="96"/>
        <v>Overweight</v>
      </c>
      <c r="C2074">
        <v>27.55</v>
      </c>
      <c r="D2074" t="str">
        <f t="shared" si="97"/>
        <v>Normal</v>
      </c>
      <c r="E2074">
        <v>4.5599999999999996</v>
      </c>
      <c r="F2074" t="s">
        <v>2382</v>
      </c>
      <c r="G2074" t="s">
        <v>2380</v>
      </c>
      <c r="H2074" t="s">
        <v>2383</v>
      </c>
      <c r="J2074">
        <v>1</v>
      </c>
      <c r="K2074" t="str">
        <f t="shared" si="98"/>
        <v>No</v>
      </c>
      <c r="L2074" t="s">
        <v>2380</v>
      </c>
    </row>
    <row r="2075" spans="1:12" x14ac:dyDescent="0.35">
      <c r="A2075" t="s">
        <v>292</v>
      </c>
      <c r="B2075" t="str">
        <f t="shared" si="96"/>
        <v>Underweight</v>
      </c>
      <c r="C2075">
        <v>17.97</v>
      </c>
      <c r="D2075" t="str">
        <f t="shared" si="97"/>
        <v>Prediabetes</v>
      </c>
      <c r="E2075">
        <v>6.3</v>
      </c>
      <c r="F2075" t="s">
        <v>2380</v>
      </c>
      <c r="G2075" t="s">
        <v>2380</v>
      </c>
      <c r="H2075" t="s">
        <v>2380</v>
      </c>
      <c r="J2075" t="s">
        <v>2381</v>
      </c>
      <c r="K2075" t="str">
        <f t="shared" si="98"/>
        <v>No</v>
      </c>
      <c r="L2075" t="s">
        <v>2380</v>
      </c>
    </row>
    <row r="2076" spans="1:12" x14ac:dyDescent="0.35">
      <c r="A2076" t="s">
        <v>291</v>
      </c>
      <c r="B2076" t="e">
        <f t="shared" si="96"/>
        <v>#N/A</v>
      </c>
      <c r="C2076">
        <v>29.98</v>
      </c>
      <c r="D2076" t="str">
        <f t="shared" si="97"/>
        <v>Prediabetes</v>
      </c>
      <c r="E2076">
        <v>6.03</v>
      </c>
      <c r="F2076" t="s">
        <v>2380</v>
      </c>
      <c r="G2076" t="s">
        <v>2382</v>
      </c>
      <c r="H2076" t="s">
        <v>2380</v>
      </c>
      <c r="J2076">
        <v>1</v>
      </c>
      <c r="K2076" t="str">
        <f t="shared" si="98"/>
        <v>No</v>
      </c>
      <c r="L2076" t="s">
        <v>2380</v>
      </c>
    </row>
    <row r="2077" spans="1:12" x14ac:dyDescent="0.35">
      <c r="A2077" t="s">
        <v>290</v>
      </c>
      <c r="B2077" t="str">
        <f t="shared" si="96"/>
        <v>Obesity</v>
      </c>
      <c r="C2077">
        <v>33.659999999999997</v>
      </c>
      <c r="D2077" t="str">
        <f t="shared" si="97"/>
        <v>Normal</v>
      </c>
      <c r="E2077">
        <v>4.2</v>
      </c>
      <c r="F2077" t="s">
        <v>2382</v>
      </c>
      <c r="G2077" t="s">
        <v>2380</v>
      </c>
      <c r="H2077" t="s">
        <v>2380</v>
      </c>
      <c r="J2077">
        <v>1</v>
      </c>
      <c r="K2077" t="str">
        <f t="shared" si="98"/>
        <v>No</v>
      </c>
      <c r="L2077" t="s">
        <v>2380</v>
      </c>
    </row>
    <row r="2078" spans="1:12" x14ac:dyDescent="0.35">
      <c r="A2078" t="s">
        <v>289</v>
      </c>
      <c r="B2078" t="str">
        <f t="shared" si="96"/>
        <v>Obesity</v>
      </c>
      <c r="C2078">
        <v>32.67</v>
      </c>
      <c r="D2078" t="str">
        <f t="shared" si="97"/>
        <v>Normal</v>
      </c>
      <c r="E2078">
        <v>5.61</v>
      </c>
      <c r="F2078" t="s">
        <v>2382</v>
      </c>
      <c r="G2078" t="s">
        <v>2380</v>
      </c>
      <c r="H2078" t="s">
        <v>2380</v>
      </c>
      <c r="J2078">
        <v>1</v>
      </c>
      <c r="K2078" t="str">
        <f t="shared" si="98"/>
        <v>No</v>
      </c>
      <c r="L2078" t="s">
        <v>2380</v>
      </c>
    </row>
    <row r="2079" spans="1:12" x14ac:dyDescent="0.35">
      <c r="A2079" t="s">
        <v>288</v>
      </c>
      <c r="B2079" t="str">
        <f t="shared" si="96"/>
        <v>Obesity</v>
      </c>
      <c r="C2079">
        <v>30.5</v>
      </c>
      <c r="D2079" t="str">
        <f t="shared" si="97"/>
        <v>Prediabetes</v>
      </c>
      <c r="E2079">
        <v>5.88</v>
      </c>
      <c r="F2079" t="s">
        <v>2382</v>
      </c>
      <c r="G2079" t="s">
        <v>2380</v>
      </c>
      <c r="H2079" t="s">
        <v>2380</v>
      </c>
      <c r="J2079">
        <v>1</v>
      </c>
      <c r="K2079" t="str">
        <f t="shared" si="98"/>
        <v>No</v>
      </c>
      <c r="L2079" t="s">
        <v>2380</v>
      </c>
    </row>
    <row r="2080" spans="1:12" x14ac:dyDescent="0.35">
      <c r="A2080" t="s">
        <v>287</v>
      </c>
      <c r="B2080" t="str">
        <f t="shared" si="96"/>
        <v>Normal Weight</v>
      </c>
      <c r="C2080">
        <v>23.1</v>
      </c>
      <c r="D2080" t="str">
        <f t="shared" si="97"/>
        <v>Prediabetes</v>
      </c>
      <c r="E2080">
        <v>5.92</v>
      </c>
      <c r="F2080" t="s">
        <v>2382</v>
      </c>
      <c r="G2080" t="s">
        <v>2380</v>
      </c>
      <c r="H2080" t="s">
        <v>2380</v>
      </c>
      <c r="J2080">
        <v>1</v>
      </c>
      <c r="K2080" t="str">
        <f t="shared" si="98"/>
        <v>No</v>
      </c>
      <c r="L2080" t="s">
        <v>2380</v>
      </c>
    </row>
    <row r="2081" spans="1:12" x14ac:dyDescent="0.35">
      <c r="A2081" t="s">
        <v>286</v>
      </c>
      <c r="B2081" t="str">
        <f t="shared" si="96"/>
        <v>Obesity</v>
      </c>
      <c r="C2081">
        <v>39.49</v>
      </c>
      <c r="D2081" t="str">
        <f t="shared" si="97"/>
        <v>Normal</v>
      </c>
      <c r="E2081">
        <v>4.8099999999999996</v>
      </c>
      <c r="F2081" t="s">
        <v>2380</v>
      </c>
      <c r="G2081" t="s">
        <v>2380</v>
      </c>
      <c r="H2081" t="s">
        <v>2380</v>
      </c>
      <c r="J2081">
        <v>1</v>
      </c>
      <c r="K2081" t="str">
        <f t="shared" si="98"/>
        <v>No</v>
      </c>
      <c r="L2081" t="s">
        <v>2380</v>
      </c>
    </row>
    <row r="2082" spans="1:12" x14ac:dyDescent="0.35">
      <c r="A2082" t="s">
        <v>285</v>
      </c>
      <c r="B2082" t="str">
        <f t="shared" si="96"/>
        <v>Obesity</v>
      </c>
      <c r="C2082">
        <v>33.99</v>
      </c>
      <c r="D2082" t="str">
        <f t="shared" si="97"/>
        <v>Normal</v>
      </c>
      <c r="E2082">
        <v>4.55</v>
      </c>
      <c r="F2082" t="s">
        <v>2380</v>
      </c>
      <c r="G2082" t="s">
        <v>2380</v>
      </c>
      <c r="H2082" t="s">
        <v>2380</v>
      </c>
      <c r="J2082">
        <v>1</v>
      </c>
      <c r="K2082" t="str">
        <f t="shared" si="98"/>
        <v>No</v>
      </c>
      <c r="L2082" t="s">
        <v>2380</v>
      </c>
    </row>
    <row r="2083" spans="1:12" x14ac:dyDescent="0.35">
      <c r="A2083" t="s">
        <v>284</v>
      </c>
      <c r="B2083" t="str">
        <f t="shared" si="96"/>
        <v>Overweight</v>
      </c>
      <c r="C2083">
        <v>27.72</v>
      </c>
      <c r="D2083" t="e">
        <f t="shared" si="97"/>
        <v>#N/A</v>
      </c>
      <c r="E2083">
        <v>6.43</v>
      </c>
      <c r="F2083" t="s">
        <v>2380</v>
      </c>
      <c r="G2083" t="s">
        <v>2380</v>
      </c>
      <c r="H2083" t="s">
        <v>2380</v>
      </c>
      <c r="J2083">
        <v>1</v>
      </c>
      <c r="K2083" t="str">
        <f t="shared" si="98"/>
        <v>No</v>
      </c>
      <c r="L2083" t="s">
        <v>2380</v>
      </c>
    </row>
    <row r="2084" spans="1:12" x14ac:dyDescent="0.35">
      <c r="A2084" t="s">
        <v>283</v>
      </c>
      <c r="B2084" t="str">
        <f t="shared" si="96"/>
        <v>Obesity</v>
      </c>
      <c r="C2084">
        <v>30.59</v>
      </c>
      <c r="D2084" t="str">
        <f t="shared" si="97"/>
        <v>Diabetes</v>
      </c>
      <c r="E2084">
        <v>11.62</v>
      </c>
      <c r="F2084" t="s">
        <v>2380</v>
      </c>
      <c r="G2084" t="s">
        <v>2380</v>
      </c>
      <c r="H2084" t="s">
        <v>2380</v>
      </c>
      <c r="J2084" t="s">
        <v>2381</v>
      </c>
      <c r="K2084" t="str">
        <f t="shared" si="98"/>
        <v>No</v>
      </c>
      <c r="L2084" t="s">
        <v>2380</v>
      </c>
    </row>
    <row r="2085" spans="1:12" x14ac:dyDescent="0.35">
      <c r="A2085" t="s">
        <v>282</v>
      </c>
      <c r="B2085" t="str">
        <f t="shared" si="96"/>
        <v>Normal Weight</v>
      </c>
      <c r="C2085">
        <v>22.6</v>
      </c>
      <c r="D2085" t="str">
        <f t="shared" si="97"/>
        <v>Prediabetes</v>
      </c>
      <c r="E2085">
        <v>6.04</v>
      </c>
      <c r="F2085" t="s">
        <v>2380</v>
      </c>
      <c r="G2085" t="s">
        <v>2380</v>
      </c>
      <c r="H2085" t="s">
        <v>2380</v>
      </c>
      <c r="J2085">
        <v>1</v>
      </c>
      <c r="K2085" t="str">
        <f t="shared" si="98"/>
        <v>No</v>
      </c>
      <c r="L2085" t="s">
        <v>2380</v>
      </c>
    </row>
    <row r="2086" spans="1:12" x14ac:dyDescent="0.35">
      <c r="A2086" t="s">
        <v>281</v>
      </c>
      <c r="B2086" t="str">
        <f t="shared" si="96"/>
        <v>Overweight</v>
      </c>
      <c r="C2086">
        <v>28.785</v>
      </c>
      <c r="D2086" t="str">
        <f t="shared" si="97"/>
        <v>Diabetes</v>
      </c>
      <c r="E2086">
        <v>8.82</v>
      </c>
      <c r="F2086" t="s">
        <v>2380</v>
      </c>
      <c r="G2086" t="s">
        <v>2380</v>
      </c>
      <c r="H2086" t="s">
        <v>2380</v>
      </c>
      <c r="J2086" t="s">
        <v>2381</v>
      </c>
      <c r="K2086" t="str">
        <f t="shared" si="98"/>
        <v>No</v>
      </c>
      <c r="L2086" t="s">
        <v>2380</v>
      </c>
    </row>
    <row r="2087" spans="1:12" x14ac:dyDescent="0.35">
      <c r="A2087" t="s">
        <v>280</v>
      </c>
      <c r="B2087" t="str">
        <f t="shared" si="96"/>
        <v>Obesity</v>
      </c>
      <c r="C2087">
        <v>50.38</v>
      </c>
      <c r="D2087" t="str">
        <f t="shared" si="97"/>
        <v>Prediabetes</v>
      </c>
      <c r="E2087">
        <v>5.8</v>
      </c>
      <c r="F2087" t="s">
        <v>2380</v>
      </c>
      <c r="G2087" t="s">
        <v>2380</v>
      </c>
      <c r="H2087" t="s">
        <v>2380</v>
      </c>
      <c r="J2087" t="s">
        <v>2381</v>
      </c>
      <c r="K2087" t="str">
        <f t="shared" si="98"/>
        <v>No</v>
      </c>
      <c r="L2087" t="s">
        <v>2380</v>
      </c>
    </row>
    <row r="2088" spans="1:12" x14ac:dyDescent="0.35">
      <c r="A2088" t="s">
        <v>279</v>
      </c>
      <c r="B2088" t="str">
        <f t="shared" si="96"/>
        <v>Obesity</v>
      </c>
      <c r="C2088">
        <v>35.200000000000003</v>
      </c>
      <c r="D2088" t="str">
        <f t="shared" si="97"/>
        <v>Normal</v>
      </c>
      <c r="E2088">
        <v>4.28</v>
      </c>
      <c r="F2088" t="s">
        <v>2380</v>
      </c>
      <c r="G2088" t="s">
        <v>2380</v>
      </c>
      <c r="H2088" t="s">
        <v>2380</v>
      </c>
      <c r="J2088" t="s">
        <v>2381</v>
      </c>
      <c r="K2088" t="str">
        <f t="shared" si="98"/>
        <v>No</v>
      </c>
      <c r="L2088" t="s">
        <v>2380</v>
      </c>
    </row>
    <row r="2089" spans="1:12" x14ac:dyDescent="0.35">
      <c r="A2089" t="s">
        <v>278</v>
      </c>
      <c r="B2089" t="str">
        <f t="shared" si="96"/>
        <v>Obesity</v>
      </c>
      <c r="C2089">
        <v>35.72</v>
      </c>
      <c r="D2089" t="str">
        <f t="shared" si="97"/>
        <v>Normal</v>
      </c>
      <c r="E2089">
        <v>5.5</v>
      </c>
      <c r="F2089" t="s">
        <v>2382</v>
      </c>
      <c r="G2089" t="s">
        <v>2380</v>
      </c>
      <c r="H2089" t="s">
        <v>2380</v>
      </c>
      <c r="J2089" t="s">
        <v>2381</v>
      </c>
      <c r="K2089" t="str">
        <f t="shared" si="98"/>
        <v>No</v>
      </c>
      <c r="L2089" t="s">
        <v>2380</v>
      </c>
    </row>
    <row r="2090" spans="1:12" x14ac:dyDescent="0.35">
      <c r="A2090" t="s">
        <v>277</v>
      </c>
      <c r="B2090" t="str">
        <f t="shared" si="96"/>
        <v>Normal Weight</v>
      </c>
      <c r="C2090">
        <v>24.51</v>
      </c>
      <c r="D2090" t="str">
        <f t="shared" si="97"/>
        <v>Normal</v>
      </c>
      <c r="E2090">
        <v>4.6900000000000004</v>
      </c>
      <c r="F2090" t="s">
        <v>2380</v>
      </c>
      <c r="G2090" t="s">
        <v>2380</v>
      </c>
      <c r="H2090" t="s">
        <v>2380</v>
      </c>
      <c r="J2090" t="s">
        <v>2381</v>
      </c>
      <c r="K2090" t="str">
        <f t="shared" si="98"/>
        <v>No</v>
      </c>
      <c r="L2090" t="s">
        <v>2380</v>
      </c>
    </row>
    <row r="2091" spans="1:12" x14ac:dyDescent="0.35">
      <c r="A2091" t="s">
        <v>275</v>
      </c>
      <c r="B2091" t="str">
        <f t="shared" si="96"/>
        <v>Normal Weight</v>
      </c>
      <c r="C2091">
        <v>23.844999999999999</v>
      </c>
      <c r="D2091" t="str">
        <f t="shared" si="97"/>
        <v>Normal</v>
      </c>
      <c r="E2091">
        <v>4.43</v>
      </c>
      <c r="F2091" t="s">
        <v>2380</v>
      </c>
      <c r="G2091" t="s">
        <v>2380</v>
      </c>
      <c r="H2091" t="s">
        <v>2380</v>
      </c>
      <c r="J2091" t="s">
        <v>2381</v>
      </c>
      <c r="K2091" t="str">
        <f t="shared" si="98"/>
        <v>No</v>
      </c>
      <c r="L2091" t="s">
        <v>2380</v>
      </c>
    </row>
    <row r="2092" spans="1:12" x14ac:dyDescent="0.35">
      <c r="A2092" t="s">
        <v>274</v>
      </c>
      <c r="B2092" t="str">
        <f t="shared" si="96"/>
        <v>Underweight</v>
      </c>
      <c r="C2092">
        <v>15.68</v>
      </c>
      <c r="D2092" t="str">
        <f t="shared" si="97"/>
        <v>Prediabetes</v>
      </c>
      <c r="E2092">
        <v>6.16</v>
      </c>
      <c r="F2092" t="s">
        <v>2382</v>
      </c>
      <c r="G2092" t="s">
        <v>2380</v>
      </c>
      <c r="H2092" t="s">
        <v>2380</v>
      </c>
      <c r="J2092">
        <v>1</v>
      </c>
      <c r="K2092" t="str">
        <f t="shared" si="98"/>
        <v>No</v>
      </c>
      <c r="L2092" t="s">
        <v>2380</v>
      </c>
    </row>
    <row r="2093" spans="1:12" x14ac:dyDescent="0.35">
      <c r="A2093" t="s">
        <v>273</v>
      </c>
      <c r="B2093" t="str">
        <f t="shared" si="96"/>
        <v>Obesity</v>
      </c>
      <c r="C2093">
        <v>32.395000000000003</v>
      </c>
      <c r="D2093" t="str">
        <f t="shared" si="97"/>
        <v>Diabetes</v>
      </c>
      <c r="E2093">
        <v>6.66</v>
      </c>
      <c r="F2093" t="s">
        <v>2380</v>
      </c>
      <c r="G2093" t="s">
        <v>2380</v>
      </c>
      <c r="H2093" t="s">
        <v>2380</v>
      </c>
      <c r="J2093" t="s">
        <v>2381</v>
      </c>
      <c r="K2093" t="str">
        <f t="shared" si="98"/>
        <v>No</v>
      </c>
      <c r="L2093" t="s">
        <v>2380</v>
      </c>
    </row>
    <row r="2094" spans="1:12" x14ac:dyDescent="0.35">
      <c r="A2094" t="s">
        <v>272</v>
      </c>
      <c r="B2094" t="str">
        <f t="shared" si="96"/>
        <v>Normal Weight</v>
      </c>
      <c r="C2094">
        <v>23.655000000000001</v>
      </c>
      <c r="D2094" t="str">
        <f t="shared" si="97"/>
        <v>Prediabetes</v>
      </c>
      <c r="E2094">
        <v>5.92</v>
      </c>
      <c r="F2094" t="s">
        <v>2380</v>
      </c>
      <c r="G2094" t="s">
        <v>2380</v>
      </c>
      <c r="H2094" t="s">
        <v>2380</v>
      </c>
      <c r="J2094">
        <v>1</v>
      </c>
      <c r="K2094" t="str">
        <f t="shared" si="98"/>
        <v>No</v>
      </c>
      <c r="L2094" t="s">
        <v>2380</v>
      </c>
    </row>
    <row r="2095" spans="1:12" x14ac:dyDescent="0.35">
      <c r="A2095" t="s">
        <v>271</v>
      </c>
      <c r="B2095" t="str">
        <f t="shared" si="96"/>
        <v>Overweight</v>
      </c>
      <c r="C2095">
        <v>28.4</v>
      </c>
      <c r="D2095" t="str">
        <f t="shared" si="97"/>
        <v>Prediabetes</v>
      </c>
      <c r="E2095">
        <v>5.97</v>
      </c>
      <c r="F2095" t="s">
        <v>2380</v>
      </c>
      <c r="G2095" t="s">
        <v>2380</v>
      </c>
      <c r="H2095" t="s">
        <v>2383</v>
      </c>
      <c r="J2095">
        <v>1</v>
      </c>
      <c r="K2095" t="str">
        <f t="shared" si="98"/>
        <v>No</v>
      </c>
      <c r="L2095" t="s">
        <v>2380</v>
      </c>
    </row>
    <row r="2096" spans="1:12" x14ac:dyDescent="0.35">
      <c r="A2096" t="s">
        <v>270</v>
      </c>
      <c r="B2096" t="str">
        <f t="shared" si="96"/>
        <v>Obesity</v>
      </c>
      <c r="C2096">
        <v>35.42</v>
      </c>
      <c r="D2096" t="str">
        <f t="shared" si="97"/>
        <v>Normal</v>
      </c>
      <c r="E2096">
        <v>4.6399999999999997</v>
      </c>
      <c r="F2096" t="s">
        <v>2382</v>
      </c>
      <c r="G2096" t="s">
        <v>2380</v>
      </c>
      <c r="H2096" t="s">
        <v>2380</v>
      </c>
      <c r="J2096" t="s">
        <v>2381</v>
      </c>
      <c r="K2096" t="str">
        <f t="shared" si="98"/>
        <v>No</v>
      </c>
      <c r="L2096" t="s">
        <v>2380</v>
      </c>
    </row>
    <row r="2097" spans="1:12" x14ac:dyDescent="0.35">
      <c r="A2097" t="s">
        <v>269</v>
      </c>
      <c r="B2097" t="str">
        <f t="shared" si="96"/>
        <v>Overweight</v>
      </c>
      <c r="C2097">
        <v>26.18</v>
      </c>
      <c r="D2097" t="str">
        <f t="shared" si="97"/>
        <v>Prediabetes</v>
      </c>
      <c r="E2097">
        <v>6.12</v>
      </c>
      <c r="F2097" t="s">
        <v>2380</v>
      </c>
      <c r="G2097" t="s">
        <v>2382</v>
      </c>
      <c r="H2097" t="s">
        <v>2380</v>
      </c>
      <c r="J2097">
        <v>1</v>
      </c>
      <c r="K2097" t="str">
        <f t="shared" si="98"/>
        <v>No</v>
      </c>
      <c r="L2097" t="s">
        <v>2380</v>
      </c>
    </row>
    <row r="2098" spans="1:12" x14ac:dyDescent="0.35">
      <c r="A2098" t="s">
        <v>268</v>
      </c>
      <c r="B2098" t="str">
        <f t="shared" si="96"/>
        <v>Normal Weight</v>
      </c>
      <c r="C2098">
        <v>20.8</v>
      </c>
      <c r="D2098" t="str">
        <f t="shared" si="97"/>
        <v>Normal</v>
      </c>
      <c r="E2098">
        <v>4.87</v>
      </c>
      <c r="F2098" t="s">
        <v>2382</v>
      </c>
      <c r="G2098" t="s">
        <v>2380</v>
      </c>
      <c r="H2098" t="s">
        <v>2380</v>
      </c>
      <c r="J2098" t="s">
        <v>2381</v>
      </c>
      <c r="K2098" t="str">
        <f t="shared" si="98"/>
        <v>No</v>
      </c>
      <c r="L2098" t="s">
        <v>2380</v>
      </c>
    </row>
    <row r="2099" spans="1:12" x14ac:dyDescent="0.35">
      <c r="A2099" t="s">
        <v>267</v>
      </c>
      <c r="B2099" t="str">
        <f t="shared" si="96"/>
        <v>Underweight</v>
      </c>
      <c r="C2099">
        <v>15.82</v>
      </c>
      <c r="D2099" t="str">
        <f t="shared" si="97"/>
        <v>Normal</v>
      </c>
      <c r="E2099">
        <v>4.5999999999999996</v>
      </c>
      <c r="F2099" t="s">
        <v>2380</v>
      </c>
      <c r="G2099" t="s">
        <v>2380</v>
      </c>
      <c r="H2099" t="s">
        <v>2380</v>
      </c>
      <c r="J2099" t="s">
        <v>2381</v>
      </c>
      <c r="K2099" t="str">
        <f t="shared" si="98"/>
        <v>No</v>
      </c>
      <c r="L2099" t="s">
        <v>2380</v>
      </c>
    </row>
    <row r="2100" spans="1:12" x14ac:dyDescent="0.35">
      <c r="A2100" t="s">
        <v>266</v>
      </c>
      <c r="B2100" t="str">
        <f t="shared" si="96"/>
        <v>Underweight</v>
      </c>
      <c r="C2100">
        <v>17.670000000000002</v>
      </c>
      <c r="D2100" t="str">
        <f t="shared" si="97"/>
        <v>Normal</v>
      </c>
      <c r="E2100">
        <v>4.78</v>
      </c>
      <c r="F2100" t="s">
        <v>2380</v>
      </c>
      <c r="G2100" t="s">
        <v>2380</v>
      </c>
      <c r="H2100" t="s">
        <v>2380</v>
      </c>
      <c r="J2100" t="s">
        <v>2381</v>
      </c>
      <c r="K2100" t="str">
        <f t="shared" si="98"/>
        <v>No</v>
      </c>
      <c r="L2100" t="s">
        <v>2380</v>
      </c>
    </row>
    <row r="2101" spans="1:12" x14ac:dyDescent="0.35">
      <c r="A2101" t="s">
        <v>265</v>
      </c>
      <c r="B2101" t="str">
        <f t="shared" si="96"/>
        <v>Obesity</v>
      </c>
      <c r="C2101">
        <v>31.92</v>
      </c>
      <c r="D2101" t="str">
        <f t="shared" si="97"/>
        <v>Diabetes</v>
      </c>
      <c r="E2101">
        <v>11.05</v>
      </c>
      <c r="F2101" t="s">
        <v>2380</v>
      </c>
      <c r="G2101" t="s">
        <v>2380</v>
      </c>
      <c r="H2101" t="s">
        <v>2380</v>
      </c>
      <c r="J2101" t="s">
        <v>2381</v>
      </c>
      <c r="K2101" t="str">
        <f t="shared" si="98"/>
        <v>No</v>
      </c>
      <c r="L2101" t="s">
        <v>2380</v>
      </c>
    </row>
    <row r="2102" spans="1:12" x14ac:dyDescent="0.35">
      <c r="A2102" t="s">
        <v>264</v>
      </c>
      <c r="B2102" t="str">
        <f t="shared" si="96"/>
        <v>Overweight</v>
      </c>
      <c r="C2102">
        <v>28.975000000000001</v>
      </c>
      <c r="D2102" t="str">
        <f t="shared" si="97"/>
        <v>Diabetes</v>
      </c>
      <c r="E2102">
        <v>7.62</v>
      </c>
      <c r="F2102" t="s">
        <v>2380</v>
      </c>
      <c r="G2102" t="s">
        <v>2380</v>
      </c>
      <c r="H2102" t="s">
        <v>2380</v>
      </c>
      <c r="J2102" t="s">
        <v>2381</v>
      </c>
      <c r="K2102" t="str">
        <f t="shared" si="98"/>
        <v>No</v>
      </c>
      <c r="L2102" t="s">
        <v>2380</v>
      </c>
    </row>
    <row r="2103" spans="1:12" x14ac:dyDescent="0.35">
      <c r="A2103" t="s">
        <v>263</v>
      </c>
      <c r="B2103" t="str">
        <f t="shared" si="96"/>
        <v>Obesity</v>
      </c>
      <c r="C2103">
        <v>31.73</v>
      </c>
      <c r="D2103" t="str">
        <f t="shared" si="97"/>
        <v>Normal</v>
      </c>
      <c r="E2103">
        <v>4.78</v>
      </c>
      <c r="F2103" t="s">
        <v>2382</v>
      </c>
      <c r="G2103" t="s">
        <v>2382</v>
      </c>
      <c r="H2103" t="s">
        <v>2380</v>
      </c>
      <c r="J2103">
        <v>2</v>
      </c>
      <c r="K2103" t="str">
        <f t="shared" si="98"/>
        <v>No</v>
      </c>
      <c r="L2103" t="s">
        <v>2380</v>
      </c>
    </row>
    <row r="2104" spans="1:12" x14ac:dyDescent="0.35">
      <c r="A2104" t="s">
        <v>262</v>
      </c>
      <c r="B2104" t="str">
        <f t="shared" si="96"/>
        <v>Overweight</v>
      </c>
      <c r="C2104">
        <v>28.88</v>
      </c>
      <c r="D2104" t="str">
        <f t="shared" si="97"/>
        <v>Prediabetes</v>
      </c>
      <c r="E2104">
        <v>6.09</v>
      </c>
      <c r="F2104" t="s">
        <v>2382</v>
      </c>
      <c r="G2104" t="s">
        <v>2382</v>
      </c>
      <c r="H2104" t="s">
        <v>2380</v>
      </c>
      <c r="J2104">
        <v>2</v>
      </c>
      <c r="K2104" t="str">
        <f t="shared" si="98"/>
        <v>No</v>
      </c>
      <c r="L2104" t="s">
        <v>2380</v>
      </c>
    </row>
    <row r="2105" spans="1:12" x14ac:dyDescent="0.35">
      <c r="A2105" t="s">
        <v>261</v>
      </c>
      <c r="B2105" t="str">
        <f t="shared" si="96"/>
        <v>Overweight</v>
      </c>
      <c r="C2105">
        <v>25.555</v>
      </c>
      <c r="D2105" t="str">
        <f t="shared" si="97"/>
        <v>Normal</v>
      </c>
      <c r="E2105">
        <v>5.1100000000000003</v>
      </c>
      <c r="F2105" t="s">
        <v>2380</v>
      </c>
      <c r="G2105" t="s">
        <v>2380</v>
      </c>
      <c r="H2105" t="s">
        <v>2383</v>
      </c>
      <c r="J2105">
        <v>1</v>
      </c>
      <c r="K2105" t="str">
        <f t="shared" si="98"/>
        <v>No</v>
      </c>
      <c r="L2105" t="s">
        <v>2380</v>
      </c>
    </row>
    <row r="2106" spans="1:12" x14ac:dyDescent="0.35">
      <c r="A2106" t="s">
        <v>260</v>
      </c>
      <c r="B2106" t="str">
        <f t="shared" si="96"/>
        <v>Obesity</v>
      </c>
      <c r="C2106">
        <v>37.29</v>
      </c>
      <c r="D2106" t="str">
        <f t="shared" si="97"/>
        <v>Normal</v>
      </c>
      <c r="E2106">
        <v>4.46</v>
      </c>
      <c r="F2106" t="s">
        <v>2380</v>
      </c>
      <c r="G2106" t="s">
        <v>2382</v>
      </c>
      <c r="H2106" t="s">
        <v>2380</v>
      </c>
      <c r="J2106">
        <v>1</v>
      </c>
      <c r="K2106" t="str">
        <f t="shared" si="98"/>
        <v>No</v>
      </c>
      <c r="L2106" t="s">
        <v>2380</v>
      </c>
    </row>
    <row r="2107" spans="1:12" x14ac:dyDescent="0.35">
      <c r="A2107" t="s">
        <v>259</v>
      </c>
      <c r="B2107" t="str">
        <f t="shared" si="96"/>
        <v>Obesity</v>
      </c>
      <c r="C2107">
        <v>40.28</v>
      </c>
      <c r="D2107" t="str">
        <f t="shared" si="97"/>
        <v>Prediabetes</v>
      </c>
      <c r="E2107">
        <v>6.11</v>
      </c>
      <c r="F2107" t="s">
        <v>2380</v>
      </c>
      <c r="G2107" t="s">
        <v>2382</v>
      </c>
      <c r="H2107" t="s">
        <v>2380</v>
      </c>
      <c r="J2107">
        <v>1</v>
      </c>
      <c r="K2107" t="str">
        <f t="shared" si="98"/>
        <v>No</v>
      </c>
      <c r="L2107" t="s">
        <v>2380</v>
      </c>
    </row>
    <row r="2108" spans="1:12" x14ac:dyDescent="0.35">
      <c r="A2108" t="s">
        <v>258</v>
      </c>
      <c r="B2108" t="str">
        <f t="shared" si="96"/>
        <v>Obesity</v>
      </c>
      <c r="C2108">
        <v>40.185000000000002</v>
      </c>
      <c r="D2108" t="str">
        <f t="shared" si="97"/>
        <v>Normal</v>
      </c>
      <c r="E2108">
        <v>4.66</v>
      </c>
      <c r="F2108" t="s">
        <v>2380</v>
      </c>
      <c r="G2108" t="s">
        <v>2382</v>
      </c>
      <c r="H2108" t="s">
        <v>2380</v>
      </c>
      <c r="J2108">
        <v>1</v>
      </c>
      <c r="K2108" t="str">
        <f t="shared" si="98"/>
        <v>No</v>
      </c>
      <c r="L2108" t="s">
        <v>2380</v>
      </c>
    </row>
    <row r="2109" spans="1:12" x14ac:dyDescent="0.35">
      <c r="A2109" t="s">
        <v>257</v>
      </c>
      <c r="B2109" t="str">
        <f t="shared" si="96"/>
        <v>Normal Weight</v>
      </c>
      <c r="C2109">
        <v>23.57</v>
      </c>
      <c r="D2109" t="str">
        <f t="shared" si="97"/>
        <v>Prediabetes</v>
      </c>
      <c r="E2109">
        <v>6.14</v>
      </c>
      <c r="F2109" t="s">
        <v>2380</v>
      </c>
      <c r="G2109" t="s">
        <v>2380</v>
      </c>
      <c r="H2109" t="s">
        <v>2380</v>
      </c>
      <c r="J2109" t="s">
        <v>2381</v>
      </c>
      <c r="K2109" t="str">
        <f t="shared" si="98"/>
        <v>No</v>
      </c>
      <c r="L2109" t="s">
        <v>2380</v>
      </c>
    </row>
    <row r="2110" spans="1:12" x14ac:dyDescent="0.35">
      <c r="A2110" t="s">
        <v>256</v>
      </c>
      <c r="B2110" t="str">
        <f t="shared" si="96"/>
        <v>Obesity</v>
      </c>
      <c r="C2110">
        <v>35.625</v>
      </c>
      <c r="D2110" t="str">
        <f t="shared" si="97"/>
        <v>Prediabetes</v>
      </c>
      <c r="E2110">
        <v>6.21</v>
      </c>
      <c r="F2110" t="s">
        <v>2380</v>
      </c>
      <c r="G2110" t="s">
        <v>2382</v>
      </c>
      <c r="H2110" t="s">
        <v>2380</v>
      </c>
      <c r="J2110">
        <v>1</v>
      </c>
      <c r="K2110" t="str">
        <f t="shared" si="98"/>
        <v>No</v>
      </c>
      <c r="L2110" t="s">
        <v>2380</v>
      </c>
    </row>
    <row r="2111" spans="1:12" x14ac:dyDescent="0.35">
      <c r="A2111" t="s">
        <v>255</v>
      </c>
      <c r="B2111" t="str">
        <f t="shared" si="96"/>
        <v>Obesity</v>
      </c>
      <c r="C2111">
        <v>33.155000000000001</v>
      </c>
      <c r="D2111" t="str">
        <f t="shared" si="97"/>
        <v>Normal</v>
      </c>
      <c r="E2111">
        <v>4.5999999999999996</v>
      </c>
      <c r="F2111" t="s">
        <v>2380</v>
      </c>
      <c r="G2111" t="s">
        <v>2382</v>
      </c>
      <c r="H2111" t="s">
        <v>2380</v>
      </c>
      <c r="J2111">
        <v>1</v>
      </c>
      <c r="K2111" t="str">
        <f t="shared" si="98"/>
        <v>No</v>
      </c>
      <c r="L2111" t="s">
        <v>2380</v>
      </c>
    </row>
    <row r="2112" spans="1:12" x14ac:dyDescent="0.35">
      <c r="A2112" t="s">
        <v>254</v>
      </c>
      <c r="B2112" t="str">
        <f t="shared" si="96"/>
        <v>Obesity</v>
      </c>
      <c r="C2112">
        <v>31.92</v>
      </c>
      <c r="D2112" t="str">
        <f t="shared" si="97"/>
        <v>Normal</v>
      </c>
      <c r="E2112">
        <v>5.04</v>
      </c>
      <c r="F2112" t="s">
        <v>2380</v>
      </c>
      <c r="G2112" t="s">
        <v>2382</v>
      </c>
      <c r="H2112" t="s">
        <v>2380</v>
      </c>
      <c r="J2112">
        <v>1</v>
      </c>
      <c r="K2112" t="str">
        <f t="shared" si="98"/>
        <v>No</v>
      </c>
      <c r="L2112" t="s">
        <v>2380</v>
      </c>
    </row>
    <row r="2113" spans="1:12" x14ac:dyDescent="0.35">
      <c r="A2113" t="s">
        <v>253</v>
      </c>
      <c r="B2113" t="str">
        <f t="shared" si="96"/>
        <v>Obesity</v>
      </c>
      <c r="C2113">
        <v>30.305</v>
      </c>
      <c r="D2113" t="str">
        <f t="shared" si="97"/>
        <v>Normal</v>
      </c>
      <c r="E2113">
        <v>5.08</v>
      </c>
      <c r="F2113" t="s">
        <v>2380</v>
      </c>
      <c r="G2113" t="s">
        <v>2382</v>
      </c>
      <c r="H2113" t="s">
        <v>2380</v>
      </c>
      <c r="J2113">
        <v>1</v>
      </c>
      <c r="K2113" t="str">
        <f t="shared" si="98"/>
        <v>No</v>
      </c>
      <c r="L2113" t="s">
        <v>2380</v>
      </c>
    </row>
    <row r="2114" spans="1:12" x14ac:dyDescent="0.35">
      <c r="A2114" t="s">
        <v>252</v>
      </c>
      <c r="B2114" t="str">
        <f t="shared" si="96"/>
        <v>Obesity</v>
      </c>
      <c r="C2114">
        <v>30.114999999999998</v>
      </c>
      <c r="D2114" t="str">
        <f t="shared" si="97"/>
        <v>Normal</v>
      </c>
      <c r="E2114">
        <v>4.38</v>
      </c>
      <c r="F2114" t="s">
        <v>2380</v>
      </c>
      <c r="G2114" t="s">
        <v>2382</v>
      </c>
      <c r="H2114" t="s">
        <v>2380</v>
      </c>
      <c r="J2114">
        <v>1</v>
      </c>
      <c r="K2114" t="str">
        <f t="shared" si="98"/>
        <v>No</v>
      </c>
      <c r="L2114" t="s">
        <v>2380</v>
      </c>
    </row>
    <row r="2115" spans="1:12" x14ac:dyDescent="0.35">
      <c r="A2115" t="s">
        <v>251</v>
      </c>
      <c r="B2115" t="str">
        <f t="shared" ref="B2115:B2178" si="99">_xlfn.IFS(C2115&lt;18.5, "Underweight", C2115&lt;=24.9, "Normal Weight", C2115&lt;=29.9, "Overweight", C2115&gt;=30, "Obesity")</f>
        <v>Normal Weight</v>
      </c>
      <c r="C2115">
        <v>24.09</v>
      </c>
      <c r="D2115" t="str">
        <f t="shared" ref="D2115:D2178" si="100">_xlfn.IFS(E2115&lt;5.7, "Normal", E2115&lt;=6.4, "Prediabetes", E2115&gt;=6.5, "Diabetes")</f>
        <v>Normal</v>
      </c>
      <c r="E2115">
        <v>4.79</v>
      </c>
      <c r="F2115" t="s">
        <v>2380</v>
      </c>
      <c r="G2115" t="s">
        <v>2382</v>
      </c>
      <c r="H2115" t="s">
        <v>2380</v>
      </c>
      <c r="J2115">
        <v>1</v>
      </c>
      <c r="K2115" t="str">
        <f t="shared" si="98"/>
        <v>No</v>
      </c>
      <c r="L2115" t="s">
        <v>2380</v>
      </c>
    </row>
    <row r="2116" spans="1:12" x14ac:dyDescent="0.35">
      <c r="A2116" t="s">
        <v>250</v>
      </c>
      <c r="B2116" t="str">
        <f t="shared" si="99"/>
        <v>Overweight</v>
      </c>
      <c r="C2116">
        <v>28.215</v>
      </c>
      <c r="D2116" t="str">
        <f t="shared" si="100"/>
        <v>Normal</v>
      </c>
      <c r="E2116">
        <v>4.21</v>
      </c>
      <c r="F2116" t="s">
        <v>2380</v>
      </c>
      <c r="G2116" t="s">
        <v>2382</v>
      </c>
      <c r="H2116" t="s">
        <v>2380</v>
      </c>
      <c r="J2116">
        <v>1</v>
      </c>
      <c r="K2116" t="str">
        <f t="shared" ref="K2116:K2179" si="101">IF(OR(L2116="?", ISBLANK(L2116)), "No", L2116)</f>
        <v>No</v>
      </c>
      <c r="L2116" t="s">
        <v>2380</v>
      </c>
    </row>
    <row r="2117" spans="1:12" x14ac:dyDescent="0.35">
      <c r="A2117" t="s">
        <v>248</v>
      </c>
      <c r="B2117" t="str">
        <f t="shared" si="99"/>
        <v>Overweight</v>
      </c>
      <c r="C2117">
        <v>26.315000000000001</v>
      </c>
      <c r="D2117" t="str">
        <f t="shared" si="100"/>
        <v>Normal</v>
      </c>
      <c r="E2117">
        <v>5.47</v>
      </c>
      <c r="F2117" t="s">
        <v>2380</v>
      </c>
      <c r="G2117" t="s">
        <v>2382</v>
      </c>
      <c r="H2117" t="s">
        <v>2380</v>
      </c>
      <c r="J2117">
        <v>1</v>
      </c>
      <c r="K2117" t="str">
        <f t="shared" si="101"/>
        <v>No</v>
      </c>
      <c r="L2117" t="s">
        <v>2380</v>
      </c>
    </row>
    <row r="2118" spans="1:12" x14ac:dyDescent="0.35">
      <c r="A2118" t="s">
        <v>246</v>
      </c>
      <c r="B2118" t="str">
        <f t="shared" si="99"/>
        <v>Overweight</v>
      </c>
      <c r="C2118">
        <v>25.08</v>
      </c>
      <c r="D2118" t="str">
        <f t="shared" si="100"/>
        <v>Normal</v>
      </c>
      <c r="E2118">
        <v>5.09</v>
      </c>
      <c r="F2118" t="s">
        <v>2380</v>
      </c>
      <c r="G2118" t="s">
        <v>2382</v>
      </c>
      <c r="H2118" t="s">
        <v>2380</v>
      </c>
      <c r="J2118">
        <v>1</v>
      </c>
      <c r="K2118" t="str">
        <f t="shared" si="101"/>
        <v>No</v>
      </c>
      <c r="L2118" t="s">
        <v>2380</v>
      </c>
    </row>
    <row r="2119" spans="1:12" x14ac:dyDescent="0.35">
      <c r="A2119" t="s">
        <v>245</v>
      </c>
      <c r="B2119" t="str">
        <f t="shared" si="99"/>
        <v>Underweight</v>
      </c>
      <c r="C2119">
        <v>15.41</v>
      </c>
      <c r="D2119" t="str">
        <f t="shared" si="100"/>
        <v>Normal</v>
      </c>
      <c r="E2119">
        <v>5.08</v>
      </c>
      <c r="F2119" t="s">
        <v>2380</v>
      </c>
      <c r="G2119" t="s">
        <v>2380</v>
      </c>
      <c r="H2119" t="s">
        <v>2380</v>
      </c>
      <c r="J2119" t="s">
        <v>2381</v>
      </c>
      <c r="K2119" t="str">
        <f t="shared" si="101"/>
        <v>No</v>
      </c>
      <c r="L2119" t="s">
        <v>2380</v>
      </c>
    </row>
    <row r="2120" spans="1:12" x14ac:dyDescent="0.35">
      <c r="A2120" t="s">
        <v>244</v>
      </c>
      <c r="B2120" t="str">
        <f t="shared" si="99"/>
        <v>Normal Weight</v>
      </c>
      <c r="C2120">
        <v>23.83</v>
      </c>
      <c r="D2120" t="str">
        <f t="shared" si="100"/>
        <v>Normal</v>
      </c>
      <c r="E2120">
        <v>5.68</v>
      </c>
      <c r="F2120" t="s">
        <v>2380</v>
      </c>
      <c r="G2120" t="s">
        <v>2380</v>
      </c>
      <c r="H2120" t="s">
        <v>2380</v>
      </c>
      <c r="J2120" t="s">
        <v>2381</v>
      </c>
      <c r="K2120" t="str">
        <f t="shared" si="101"/>
        <v>No</v>
      </c>
      <c r="L2120" t="s">
        <v>2380</v>
      </c>
    </row>
    <row r="2121" spans="1:12" x14ac:dyDescent="0.35">
      <c r="A2121" t="s">
        <v>243</v>
      </c>
      <c r="B2121" t="str">
        <f t="shared" si="99"/>
        <v>Obesity</v>
      </c>
      <c r="C2121">
        <v>36</v>
      </c>
      <c r="D2121" t="str">
        <f t="shared" si="100"/>
        <v>Normal</v>
      </c>
      <c r="E2121">
        <v>4.66</v>
      </c>
      <c r="F2121" t="s">
        <v>2380</v>
      </c>
      <c r="G2121" t="s">
        <v>2382</v>
      </c>
      <c r="H2121" t="s">
        <v>2380</v>
      </c>
      <c r="J2121">
        <v>1</v>
      </c>
      <c r="K2121" t="str">
        <f t="shared" si="101"/>
        <v>No</v>
      </c>
      <c r="L2121" t="s">
        <v>2380</v>
      </c>
    </row>
    <row r="2122" spans="1:12" x14ac:dyDescent="0.35">
      <c r="A2122" t="s">
        <v>242</v>
      </c>
      <c r="B2122" t="str">
        <f t="shared" si="99"/>
        <v>Overweight</v>
      </c>
      <c r="C2122">
        <v>28.82</v>
      </c>
      <c r="D2122" t="str">
        <f t="shared" si="100"/>
        <v>Normal</v>
      </c>
      <c r="E2122">
        <v>5.59</v>
      </c>
      <c r="F2122" t="s">
        <v>2380</v>
      </c>
      <c r="G2122" t="s">
        <v>2382</v>
      </c>
      <c r="H2122" t="s">
        <v>2380</v>
      </c>
      <c r="J2122">
        <v>1</v>
      </c>
      <c r="K2122" t="str">
        <f t="shared" si="101"/>
        <v>No</v>
      </c>
      <c r="L2122" t="s">
        <v>2380</v>
      </c>
    </row>
    <row r="2123" spans="1:12" x14ac:dyDescent="0.35">
      <c r="A2123" t="s">
        <v>241</v>
      </c>
      <c r="B2123" t="str">
        <f t="shared" si="99"/>
        <v>Overweight</v>
      </c>
      <c r="C2123">
        <v>28.05</v>
      </c>
      <c r="D2123" t="str">
        <f t="shared" si="100"/>
        <v>Prediabetes</v>
      </c>
      <c r="E2123">
        <v>6.2</v>
      </c>
      <c r="F2123" t="s">
        <v>2380</v>
      </c>
      <c r="G2123" t="s">
        <v>2382</v>
      </c>
      <c r="H2123" t="s">
        <v>2380</v>
      </c>
      <c r="J2123">
        <v>1</v>
      </c>
      <c r="K2123" t="str">
        <f t="shared" si="101"/>
        <v>No</v>
      </c>
      <c r="L2123" t="s">
        <v>2380</v>
      </c>
    </row>
    <row r="2124" spans="1:12" x14ac:dyDescent="0.35">
      <c r="A2124" t="s">
        <v>240</v>
      </c>
      <c r="B2124" t="str">
        <f t="shared" si="99"/>
        <v>Overweight</v>
      </c>
      <c r="C2124">
        <v>27.1</v>
      </c>
      <c r="D2124" t="str">
        <f t="shared" si="100"/>
        <v>Normal</v>
      </c>
      <c r="E2124">
        <v>4.45</v>
      </c>
      <c r="F2124" t="s">
        <v>2380</v>
      </c>
      <c r="G2124" t="s">
        <v>2382</v>
      </c>
      <c r="H2124" t="s">
        <v>2380</v>
      </c>
      <c r="J2124">
        <v>1</v>
      </c>
      <c r="K2124" t="str">
        <f t="shared" si="101"/>
        <v>No</v>
      </c>
      <c r="L2124" t="s">
        <v>2380</v>
      </c>
    </row>
    <row r="2125" spans="1:12" x14ac:dyDescent="0.35">
      <c r="A2125" t="s">
        <v>239</v>
      </c>
      <c r="B2125" t="str">
        <f t="shared" si="99"/>
        <v>Normal Weight</v>
      </c>
      <c r="C2125">
        <v>24.3</v>
      </c>
      <c r="D2125" t="str">
        <f t="shared" si="100"/>
        <v>Prediabetes</v>
      </c>
      <c r="E2125">
        <v>6.1</v>
      </c>
      <c r="F2125" t="s">
        <v>2382</v>
      </c>
      <c r="G2125" t="s">
        <v>2382</v>
      </c>
      <c r="H2125" t="s">
        <v>2380</v>
      </c>
      <c r="J2125">
        <v>1</v>
      </c>
      <c r="K2125" t="str">
        <f t="shared" si="101"/>
        <v>No</v>
      </c>
      <c r="L2125" t="s">
        <v>2380</v>
      </c>
    </row>
    <row r="2126" spans="1:12" x14ac:dyDescent="0.35">
      <c r="A2126" t="s">
        <v>238</v>
      </c>
      <c r="B2126" t="str">
        <f t="shared" si="99"/>
        <v>Obesity</v>
      </c>
      <c r="C2126">
        <v>30.72</v>
      </c>
      <c r="D2126" t="str">
        <f t="shared" si="100"/>
        <v>Prediabetes</v>
      </c>
      <c r="E2126">
        <v>6.06</v>
      </c>
      <c r="F2126" t="s">
        <v>2380</v>
      </c>
      <c r="G2126" t="s">
        <v>2382</v>
      </c>
      <c r="H2126" t="s">
        <v>2380</v>
      </c>
      <c r="J2126">
        <v>1</v>
      </c>
      <c r="K2126" t="str">
        <f t="shared" si="101"/>
        <v>No</v>
      </c>
      <c r="L2126" t="s">
        <v>2380</v>
      </c>
    </row>
    <row r="2127" spans="1:12" x14ac:dyDescent="0.35">
      <c r="A2127" t="s">
        <v>237</v>
      </c>
      <c r="B2127" t="str">
        <f t="shared" si="99"/>
        <v>Obesity</v>
      </c>
      <c r="C2127">
        <v>37.43</v>
      </c>
      <c r="D2127" t="str">
        <f t="shared" si="100"/>
        <v>Normal</v>
      </c>
      <c r="E2127">
        <v>4.5599999999999996</v>
      </c>
      <c r="F2127" t="s">
        <v>2380</v>
      </c>
      <c r="G2127" t="s">
        <v>2380</v>
      </c>
      <c r="H2127" t="s">
        <v>2383</v>
      </c>
      <c r="J2127">
        <v>1</v>
      </c>
      <c r="K2127" t="str">
        <f t="shared" si="101"/>
        <v>No</v>
      </c>
      <c r="L2127" t="s">
        <v>2380</v>
      </c>
    </row>
    <row r="2128" spans="1:12" x14ac:dyDescent="0.35">
      <c r="A2128" t="s">
        <v>236</v>
      </c>
      <c r="B2128" t="str">
        <f t="shared" si="99"/>
        <v>Overweight</v>
      </c>
      <c r="C2128">
        <v>25.74</v>
      </c>
      <c r="D2128" t="e">
        <f t="shared" si="100"/>
        <v>#N/A</v>
      </c>
      <c r="E2128">
        <v>6.41</v>
      </c>
      <c r="F2128" t="s">
        <v>2382</v>
      </c>
      <c r="G2128" t="s">
        <v>2380</v>
      </c>
      <c r="H2128" t="s">
        <v>2383</v>
      </c>
      <c r="J2128">
        <v>1</v>
      </c>
      <c r="K2128" t="str">
        <f t="shared" si="101"/>
        <v>No</v>
      </c>
      <c r="L2128" t="s">
        <v>2380</v>
      </c>
    </row>
    <row r="2129" spans="1:12" x14ac:dyDescent="0.35">
      <c r="A2129" t="s">
        <v>235</v>
      </c>
      <c r="B2129" t="str">
        <f t="shared" si="99"/>
        <v>Obesity</v>
      </c>
      <c r="C2129">
        <v>36.575000000000003</v>
      </c>
      <c r="D2129" t="str">
        <f t="shared" si="100"/>
        <v>Normal</v>
      </c>
      <c r="E2129">
        <v>5.57</v>
      </c>
      <c r="F2129" t="s">
        <v>2380</v>
      </c>
      <c r="G2129" t="s">
        <v>2380</v>
      </c>
      <c r="H2129" t="s">
        <v>2383</v>
      </c>
      <c r="J2129">
        <v>1</v>
      </c>
      <c r="K2129" t="str">
        <f t="shared" si="101"/>
        <v>No</v>
      </c>
      <c r="L2129" t="s">
        <v>2380</v>
      </c>
    </row>
    <row r="2130" spans="1:12" x14ac:dyDescent="0.35">
      <c r="A2130" t="s">
        <v>234</v>
      </c>
      <c r="B2130" t="str">
        <f t="shared" si="99"/>
        <v>Obesity</v>
      </c>
      <c r="C2130">
        <v>35.15</v>
      </c>
      <c r="D2130" t="str">
        <f t="shared" si="100"/>
        <v>Normal</v>
      </c>
      <c r="E2130">
        <v>5.47</v>
      </c>
      <c r="F2130" t="s">
        <v>2380</v>
      </c>
      <c r="G2130" t="s">
        <v>2380</v>
      </c>
      <c r="H2130" t="s">
        <v>2383</v>
      </c>
      <c r="J2130">
        <v>1</v>
      </c>
      <c r="K2130" t="str">
        <f t="shared" si="101"/>
        <v>No</v>
      </c>
      <c r="L2130" t="s">
        <v>2380</v>
      </c>
    </row>
    <row r="2131" spans="1:12" x14ac:dyDescent="0.35">
      <c r="A2131" t="s">
        <v>233</v>
      </c>
      <c r="B2131" t="str">
        <f t="shared" si="99"/>
        <v>Obesity</v>
      </c>
      <c r="C2131">
        <v>32.11</v>
      </c>
      <c r="D2131" t="str">
        <f t="shared" si="100"/>
        <v>Normal</v>
      </c>
      <c r="E2131">
        <v>4.43</v>
      </c>
      <c r="F2131" t="s">
        <v>2380</v>
      </c>
      <c r="G2131" t="s">
        <v>2380</v>
      </c>
      <c r="H2131" t="s">
        <v>2383</v>
      </c>
      <c r="J2131">
        <v>1</v>
      </c>
      <c r="K2131" t="str">
        <f t="shared" si="101"/>
        <v>No</v>
      </c>
      <c r="L2131" t="s">
        <v>2380</v>
      </c>
    </row>
    <row r="2132" spans="1:12" x14ac:dyDescent="0.35">
      <c r="A2132" t="s">
        <v>232</v>
      </c>
      <c r="B2132" t="str">
        <f t="shared" si="99"/>
        <v>Obesity</v>
      </c>
      <c r="C2132">
        <v>30.495000000000001</v>
      </c>
      <c r="D2132" t="str">
        <f t="shared" si="100"/>
        <v>Normal</v>
      </c>
      <c r="E2132">
        <v>4.95</v>
      </c>
      <c r="F2132" t="s">
        <v>2380</v>
      </c>
      <c r="G2132" t="s">
        <v>2380</v>
      </c>
      <c r="H2132" t="s">
        <v>2383</v>
      </c>
      <c r="J2132">
        <v>1</v>
      </c>
      <c r="K2132" t="str">
        <f t="shared" si="101"/>
        <v>No</v>
      </c>
      <c r="L2132" t="s">
        <v>2380</v>
      </c>
    </row>
    <row r="2133" spans="1:12" x14ac:dyDescent="0.35">
      <c r="A2133" t="s">
        <v>231</v>
      </c>
      <c r="B2133" t="str">
        <f t="shared" si="99"/>
        <v>Overweight</v>
      </c>
      <c r="C2133">
        <v>29.24</v>
      </c>
      <c r="D2133" t="str">
        <f t="shared" si="100"/>
        <v>Normal</v>
      </c>
      <c r="E2133">
        <v>4.04</v>
      </c>
      <c r="F2133" t="s">
        <v>2380</v>
      </c>
      <c r="G2133" t="s">
        <v>2382</v>
      </c>
      <c r="H2133" t="s">
        <v>2380</v>
      </c>
      <c r="J2133">
        <v>1</v>
      </c>
      <c r="K2133" t="str">
        <f t="shared" si="101"/>
        <v>No</v>
      </c>
      <c r="L2133" t="s">
        <v>2380</v>
      </c>
    </row>
    <row r="2134" spans="1:12" x14ac:dyDescent="0.35">
      <c r="A2134" t="s">
        <v>230</v>
      </c>
      <c r="B2134" t="str">
        <f t="shared" si="99"/>
        <v>Normal Weight</v>
      </c>
      <c r="C2134">
        <v>22.515000000000001</v>
      </c>
      <c r="D2134" t="str">
        <f t="shared" si="100"/>
        <v>Prediabetes</v>
      </c>
      <c r="E2134">
        <v>5.93</v>
      </c>
      <c r="F2134" t="s">
        <v>2380</v>
      </c>
      <c r="G2134" t="s">
        <v>2380</v>
      </c>
      <c r="H2134" t="s">
        <v>2383</v>
      </c>
      <c r="J2134">
        <v>1</v>
      </c>
      <c r="K2134" t="str">
        <f t="shared" si="101"/>
        <v>No</v>
      </c>
      <c r="L2134" t="s">
        <v>2380</v>
      </c>
    </row>
    <row r="2135" spans="1:12" x14ac:dyDescent="0.35">
      <c r="A2135" t="s">
        <v>229</v>
      </c>
      <c r="B2135" t="str">
        <f t="shared" si="99"/>
        <v>Underweight</v>
      </c>
      <c r="C2135">
        <v>15.65</v>
      </c>
      <c r="D2135" t="str">
        <f t="shared" si="100"/>
        <v>Normal</v>
      </c>
      <c r="E2135">
        <v>4.2300000000000004</v>
      </c>
      <c r="F2135" t="s">
        <v>2380</v>
      </c>
      <c r="G2135" t="s">
        <v>2380</v>
      </c>
      <c r="H2135" t="s">
        <v>2380</v>
      </c>
      <c r="J2135" t="s">
        <v>2381</v>
      </c>
      <c r="K2135" t="str">
        <f t="shared" si="101"/>
        <v>No</v>
      </c>
      <c r="L2135" t="s">
        <v>2380</v>
      </c>
    </row>
    <row r="2136" spans="1:12" x14ac:dyDescent="0.35">
      <c r="A2136" t="s">
        <v>228</v>
      </c>
      <c r="B2136" t="str">
        <f t="shared" si="99"/>
        <v>Overweight</v>
      </c>
      <c r="C2136">
        <v>27.36</v>
      </c>
      <c r="D2136" t="str">
        <f t="shared" si="100"/>
        <v>Normal</v>
      </c>
      <c r="E2136">
        <v>5.59</v>
      </c>
      <c r="F2136" t="s">
        <v>2382</v>
      </c>
      <c r="G2136" t="s">
        <v>2380</v>
      </c>
      <c r="H2136" t="s">
        <v>2380</v>
      </c>
      <c r="J2136" t="s">
        <v>2381</v>
      </c>
      <c r="K2136" t="str">
        <f t="shared" si="101"/>
        <v>No</v>
      </c>
      <c r="L2136" t="s">
        <v>2380</v>
      </c>
    </row>
    <row r="2137" spans="1:12" x14ac:dyDescent="0.35">
      <c r="A2137" t="s">
        <v>227</v>
      </c>
      <c r="B2137" t="str">
        <f t="shared" si="99"/>
        <v>Normal Weight</v>
      </c>
      <c r="C2137">
        <v>22.3</v>
      </c>
      <c r="D2137" t="str">
        <f t="shared" si="100"/>
        <v>Normal</v>
      </c>
      <c r="E2137">
        <v>4.8899999999999997</v>
      </c>
      <c r="F2137" t="s">
        <v>2382</v>
      </c>
      <c r="G2137" t="s">
        <v>2380</v>
      </c>
      <c r="H2137" t="s">
        <v>2380</v>
      </c>
      <c r="J2137" t="s">
        <v>2381</v>
      </c>
      <c r="K2137" t="str">
        <f t="shared" si="101"/>
        <v>No</v>
      </c>
      <c r="L2137" t="s">
        <v>2380</v>
      </c>
    </row>
    <row r="2138" spans="1:12" x14ac:dyDescent="0.35">
      <c r="A2138" t="s">
        <v>226</v>
      </c>
      <c r="B2138" t="str">
        <f t="shared" si="99"/>
        <v>Overweight</v>
      </c>
      <c r="C2138">
        <v>26.03</v>
      </c>
      <c r="D2138" t="str">
        <f t="shared" si="100"/>
        <v>Prediabetes</v>
      </c>
      <c r="E2138">
        <v>5.81</v>
      </c>
      <c r="F2138" t="s">
        <v>2382</v>
      </c>
      <c r="G2138" t="s">
        <v>2380</v>
      </c>
      <c r="H2138" t="s">
        <v>2380</v>
      </c>
      <c r="J2138" t="s">
        <v>2381</v>
      </c>
      <c r="K2138" t="str">
        <f t="shared" si="101"/>
        <v>No</v>
      </c>
      <c r="L2138" t="s">
        <v>2380</v>
      </c>
    </row>
    <row r="2139" spans="1:12" x14ac:dyDescent="0.35">
      <c r="A2139" t="s">
        <v>225</v>
      </c>
      <c r="B2139" t="str">
        <f t="shared" si="99"/>
        <v>Overweight</v>
      </c>
      <c r="C2139">
        <v>27.74</v>
      </c>
      <c r="D2139" t="str">
        <f t="shared" si="100"/>
        <v>Normal</v>
      </c>
      <c r="E2139">
        <v>4.29</v>
      </c>
      <c r="F2139" t="s">
        <v>2380</v>
      </c>
      <c r="G2139" t="s">
        <v>2382</v>
      </c>
      <c r="H2139" t="s">
        <v>2380</v>
      </c>
      <c r="J2139">
        <v>1</v>
      </c>
      <c r="K2139" t="str">
        <f t="shared" si="101"/>
        <v>No</v>
      </c>
      <c r="L2139" t="s">
        <v>2380</v>
      </c>
    </row>
    <row r="2140" spans="1:12" x14ac:dyDescent="0.35">
      <c r="A2140" t="s">
        <v>224</v>
      </c>
      <c r="B2140" t="str">
        <f t="shared" si="99"/>
        <v>Obesity</v>
      </c>
      <c r="C2140">
        <v>32.11</v>
      </c>
      <c r="D2140" t="str">
        <f t="shared" si="100"/>
        <v>Normal</v>
      </c>
      <c r="E2140">
        <v>4.03</v>
      </c>
      <c r="F2140" t="s">
        <v>2382</v>
      </c>
      <c r="G2140" t="s">
        <v>2382</v>
      </c>
      <c r="H2140" t="s">
        <v>2380</v>
      </c>
      <c r="J2140">
        <v>2</v>
      </c>
      <c r="K2140" t="str">
        <f t="shared" si="101"/>
        <v>No</v>
      </c>
      <c r="L2140" t="s">
        <v>2380</v>
      </c>
    </row>
    <row r="2141" spans="1:12" x14ac:dyDescent="0.35">
      <c r="A2141" t="s">
        <v>223</v>
      </c>
      <c r="B2141" t="str">
        <f t="shared" si="99"/>
        <v>Overweight</v>
      </c>
      <c r="C2141">
        <v>25.175000000000001</v>
      </c>
      <c r="D2141" t="str">
        <f t="shared" si="100"/>
        <v>Prediabetes</v>
      </c>
      <c r="E2141">
        <v>6.29</v>
      </c>
      <c r="F2141" t="s">
        <v>2382</v>
      </c>
      <c r="G2141" t="s">
        <v>2382</v>
      </c>
      <c r="H2141" t="s">
        <v>2380</v>
      </c>
      <c r="J2141">
        <v>2</v>
      </c>
      <c r="K2141" t="str">
        <f t="shared" si="101"/>
        <v>No</v>
      </c>
      <c r="L2141" t="s">
        <v>2380</v>
      </c>
    </row>
    <row r="2142" spans="1:12" x14ac:dyDescent="0.35">
      <c r="A2142" t="s">
        <v>222</v>
      </c>
      <c r="B2142" t="str">
        <f t="shared" si="99"/>
        <v>Obesity</v>
      </c>
      <c r="C2142">
        <v>39.49</v>
      </c>
      <c r="D2142" t="str">
        <f t="shared" si="100"/>
        <v>Normal</v>
      </c>
      <c r="E2142">
        <v>4.4800000000000004</v>
      </c>
      <c r="F2142" t="s">
        <v>2382</v>
      </c>
      <c r="G2142" t="s">
        <v>2380</v>
      </c>
      <c r="H2142" t="s">
        <v>2380</v>
      </c>
      <c r="J2142" t="s">
        <v>2381</v>
      </c>
      <c r="K2142" t="str">
        <f t="shared" si="101"/>
        <v>No</v>
      </c>
      <c r="L2142" t="s">
        <v>2380</v>
      </c>
    </row>
    <row r="2143" spans="1:12" x14ac:dyDescent="0.35">
      <c r="A2143" t="s">
        <v>221</v>
      </c>
      <c r="B2143" t="str">
        <f t="shared" si="99"/>
        <v>Obesity</v>
      </c>
      <c r="C2143">
        <v>34.869999999999997</v>
      </c>
      <c r="D2143" t="str">
        <f t="shared" si="100"/>
        <v>Normal</v>
      </c>
      <c r="E2143">
        <v>5.51</v>
      </c>
      <c r="F2143" t="s">
        <v>2382</v>
      </c>
      <c r="G2143" t="s">
        <v>2380</v>
      </c>
      <c r="H2143" t="s">
        <v>2380</v>
      </c>
      <c r="J2143" t="s">
        <v>2381</v>
      </c>
      <c r="K2143" t="str">
        <f t="shared" si="101"/>
        <v>No</v>
      </c>
      <c r="L2143" t="s">
        <v>2380</v>
      </c>
    </row>
    <row r="2144" spans="1:12" x14ac:dyDescent="0.35">
      <c r="A2144" t="s">
        <v>220</v>
      </c>
      <c r="B2144" t="str">
        <f t="shared" si="99"/>
        <v>Obesity</v>
      </c>
      <c r="C2144">
        <v>34.6</v>
      </c>
      <c r="D2144" t="str">
        <f t="shared" si="100"/>
        <v>Normal</v>
      </c>
      <c r="E2144">
        <v>4.5</v>
      </c>
      <c r="F2144" t="s">
        <v>2382</v>
      </c>
      <c r="G2144" t="s">
        <v>2380</v>
      </c>
      <c r="H2144" t="s">
        <v>2380</v>
      </c>
      <c r="J2144" t="s">
        <v>2381</v>
      </c>
      <c r="K2144" t="str">
        <f t="shared" si="101"/>
        <v>No</v>
      </c>
      <c r="L2144" t="s">
        <v>2380</v>
      </c>
    </row>
    <row r="2145" spans="1:12" x14ac:dyDescent="0.35">
      <c r="A2145" t="s">
        <v>219</v>
      </c>
      <c r="B2145" t="str">
        <f t="shared" si="99"/>
        <v>Overweight</v>
      </c>
      <c r="C2145">
        <v>25.8</v>
      </c>
      <c r="D2145" t="str">
        <f t="shared" si="100"/>
        <v>Prediabetes</v>
      </c>
      <c r="E2145">
        <v>6.29</v>
      </c>
      <c r="F2145" t="s">
        <v>2382</v>
      </c>
      <c r="G2145" t="s">
        <v>2380</v>
      </c>
      <c r="H2145" t="s">
        <v>2380</v>
      </c>
      <c r="J2145" t="s">
        <v>2381</v>
      </c>
      <c r="K2145" t="str">
        <f t="shared" si="101"/>
        <v>No</v>
      </c>
      <c r="L2145" t="s">
        <v>2380</v>
      </c>
    </row>
    <row r="2146" spans="1:12" x14ac:dyDescent="0.35">
      <c r="A2146" t="s">
        <v>218</v>
      </c>
      <c r="B2146" t="str">
        <f t="shared" si="99"/>
        <v>Obesity</v>
      </c>
      <c r="C2146">
        <v>35.86</v>
      </c>
      <c r="D2146" t="str">
        <f t="shared" si="100"/>
        <v>Normal</v>
      </c>
      <c r="E2146">
        <v>4.33</v>
      </c>
      <c r="F2146" t="s">
        <v>2380</v>
      </c>
      <c r="G2146" t="s">
        <v>2380</v>
      </c>
      <c r="H2146" t="s">
        <v>2380</v>
      </c>
      <c r="J2146">
        <v>1</v>
      </c>
      <c r="K2146" t="str">
        <f t="shared" si="101"/>
        <v>No</v>
      </c>
      <c r="L2146" t="s">
        <v>2380</v>
      </c>
    </row>
    <row r="2147" spans="1:12" x14ac:dyDescent="0.35">
      <c r="A2147" t="s">
        <v>217</v>
      </c>
      <c r="B2147" t="str">
        <f t="shared" si="99"/>
        <v>Obesity</v>
      </c>
      <c r="C2147">
        <v>40.47</v>
      </c>
      <c r="D2147" t="str">
        <f t="shared" si="100"/>
        <v>Diabetes</v>
      </c>
      <c r="E2147">
        <v>11.15</v>
      </c>
      <c r="F2147" t="s">
        <v>2380</v>
      </c>
      <c r="G2147" t="s">
        <v>2380</v>
      </c>
      <c r="H2147" t="s">
        <v>2380</v>
      </c>
      <c r="J2147" t="s">
        <v>2381</v>
      </c>
      <c r="K2147" t="str">
        <f t="shared" si="101"/>
        <v>No</v>
      </c>
      <c r="L2147" t="s">
        <v>2380</v>
      </c>
    </row>
    <row r="2148" spans="1:12" x14ac:dyDescent="0.35">
      <c r="A2148" t="s">
        <v>216</v>
      </c>
      <c r="B2148" t="str">
        <f t="shared" si="99"/>
        <v>Obesity</v>
      </c>
      <c r="C2148">
        <v>32.01</v>
      </c>
      <c r="D2148" t="e">
        <f t="shared" si="100"/>
        <v>#N/A</v>
      </c>
      <c r="E2148">
        <v>6.45</v>
      </c>
      <c r="F2148" t="s">
        <v>2380</v>
      </c>
      <c r="G2148" t="s">
        <v>2380</v>
      </c>
      <c r="H2148" t="s">
        <v>2380</v>
      </c>
      <c r="J2148">
        <v>1</v>
      </c>
      <c r="K2148" t="str">
        <f t="shared" si="101"/>
        <v>No</v>
      </c>
      <c r="L2148" t="s">
        <v>2380</v>
      </c>
    </row>
    <row r="2149" spans="1:12" x14ac:dyDescent="0.35">
      <c r="A2149" t="s">
        <v>215</v>
      </c>
      <c r="B2149" t="str">
        <f t="shared" si="99"/>
        <v>Obesity</v>
      </c>
      <c r="C2149">
        <v>33</v>
      </c>
      <c r="D2149" t="str">
        <f t="shared" si="100"/>
        <v>Diabetes</v>
      </c>
      <c r="E2149">
        <v>9.27</v>
      </c>
      <c r="F2149" t="s">
        <v>2380</v>
      </c>
      <c r="G2149" t="s">
        <v>2380</v>
      </c>
      <c r="H2149" t="s">
        <v>2380</v>
      </c>
      <c r="J2149" t="s">
        <v>2381</v>
      </c>
      <c r="K2149" t="str">
        <f t="shared" si="101"/>
        <v>No</v>
      </c>
      <c r="L2149" t="s">
        <v>2380</v>
      </c>
    </row>
    <row r="2150" spans="1:12" x14ac:dyDescent="0.35">
      <c r="A2150" t="s">
        <v>214</v>
      </c>
      <c r="B2150" t="str">
        <f t="shared" si="99"/>
        <v>Overweight</v>
      </c>
      <c r="C2150">
        <v>29.3</v>
      </c>
      <c r="D2150" t="str">
        <f t="shared" si="100"/>
        <v>Prediabetes</v>
      </c>
      <c r="E2150">
        <v>6.15</v>
      </c>
      <c r="F2150" t="s">
        <v>2380</v>
      </c>
      <c r="G2150" t="s">
        <v>2380</v>
      </c>
      <c r="H2150" t="s">
        <v>2380</v>
      </c>
      <c r="J2150">
        <v>1</v>
      </c>
      <c r="K2150" t="str">
        <f t="shared" si="101"/>
        <v>No</v>
      </c>
      <c r="L2150" t="s">
        <v>2380</v>
      </c>
    </row>
    <row r="2151" spans="1:12" x14ac:dyDescent="0.35">
      <c r="A2151" t="s">
        <v>213</v>
      </c>
      <c r="B2151" t="str">
        <f t="shared" si="99"/>
        <v>Overweight</v>
      </c>
      <c r="C2151">
        <v>25.8</v>
      </c>
      <c r="D2151" t="str">
        <f t="shared" si="100"/>
        <v>Normal</v>
      </c>
      <c r="E2151">
        <v>4.13</v>
      </c>
      <c r="F2151" t="s">
        <v>2380</v>
      </c>
      <c r="G2151" t="s">
        <v>2380</v>
      </c>
      <c r="H2151" t="s">
        <v>2380</v>
      </c>
      <c r="J2151">
        <v>1</v>
      </c>
      <c r="K2151" t="str">
        <f t="shared" si="101"/>
        <v>No</v>
      </c>
      <c r="L2151" t="s">
        <v>2380</v>
      </c>
    </row>
    <row r="2152" spans="1:12" x14ac:dyDescent="0.35">
      <c r="A2152" t="s">
        <v>212</v>
      </c>
      <c r="B2152" t="str">
        <f t="shared" si="99"/>
        <v>Normal Weight</v>
      </c>
      <c r="C2152">
        <v>23.4</v>
      </c>
      <c r="D2152" t="str">
        <f t="shared" si="100"/>
        <v>Normal</v>
      </c>
      <c r="E2152">
        <v>4.24</v>
      </c>
      <c r="F2152" t="s">
        <v>2380</v>
      </c>
      <c r="G2152" t="s">
        <v>2380</v>
      </c>
      <c r="H2152" t="s">
        <v>2380</v>
      </c>
      <c r="J2152">
        <v>1</v>
      </c>
      <c r="K2152" t="str">
        <f t="shared" si="101"/>
        <v>No</v>
      </c>
      <c r="L2152" t="s">
        <v>2380</v>
      </c>
    </row>
    <row r="2153" spans="1:12" x14ac:dyDescent="0.35">
      <c r="A2153" t="s">
        <v>211</v>
      </c>
      <c r="B2153" t="str">
        <f t="shared" si="99"/>
        <v>Overweight</v>
      </c>
      <c r="C2153">
        <v>27.93</v>
      </c>
      <c r="D2153" t="str">
        <f t="shared" si="100"/>
        <v>Diabetes</v>
      </c>
      <c r="E2153">
        <v>9.8800000000000008</v>
      </c>
      <c r="F2153" t="s">
        <v>2380</v>
      </c>
      <c r="G2153" t="s">
        <v>2380</v>
      </c>
      <c r="H2153" t="s">
        <v>2380</v>
      </c>
      <c r="J2153" t="s">
        <v>2381</v>
      </c>
      <c r="K2153" t="str">
        <f t="shared" si="101"/>
        <v>No</v>
      </c>
      <c r="L2153" t="s">
        <v>2380</v>
      </c>
    </row>
    <row r="2154" spans="1:12" x14ac:dyDescent="0.35">
      <c r="A2154" t="s">
        <v>210</v>
      </c>
      <c r="B2154" t="str">
        <f t="shared" si="99"/>
        <v>Normal Weight</v>
      </c>
      <c r="C2154">
        <v>22</v>
      </c>
      <c r="D2154" t="str">
        <f t="shared" si="100"/>
        <v>Diabetes</v>
      </c>
      <c r="E2154">
        <v>9.5</v>
      </c>
      <c r="F2154" t="s">
        <v>2380</v>
      </c>
      <c r="G2154" t="s">
        <v>2380</v>
      </c>
      <c r="H2154" t="s">
        <v>2380</v>
      </c>
      <c r="J2154" t="s">
        <v>2381</v>
      </c>
      <c r="K2154" t="str">
        <f t="shared" si="101"/>
        <v>No</v>
      </c>
      <c r="L2154" t="s">
        <v>2380</v>
      </c>
    </row>
    <row r="2155" spans="1:12" x14ac:dyDescent="0.35">
      <c r="A2155" t="s">
        <v>209</v>
      </c>
      <c r="B2155" t="str">
        <f t="shared" si="99"/>
        <v>Obesity</v>
      </c>
      <c r="C2155">
        <v>36.86</v>
      </c>
      <c r="D2155" t="str">
        <f t="shared" si="100"/>
        <v>Normal</v>
      </c>
      <c r="E2155">
        <v>4.97</v>
      </c>
      <c r="F2155" t="s">
        <v>2382</v>
      </c>
      <c r="G2155" t="s">
        <v>2380</v>
      </c>
      <c r="H2155" t="s">
        <v>2380</v>
      </c>
      <c r="J2155" t="s">
        <v>2381</v>
      </c>
      <c r="K2155" t="str">
        <f t="shared" si="101"/>
        <v>No</v>
      </c>
      <c r="L2155" t="s">
        <v>2380</v>
      </c>
    </row>
    <row r="2156" spans="1:12" x14ac:dyDescent="0.35">
      <c r="A2156" t="s">
        <v>208</v>
      </c>
      <c r="B2156" t="str">
        <f t="shared" si="99"/>
        <v>Obesity</v>
      </c>
      <c r="C2156">
        <v>31.254999999999999</v>
      </c>
      <c r="D2156" t="str">
        <f t="shared" si="100"/>
        <v>Normal</v>
      </c>
      <c r="E2156">
        <v>5.49</v>
      </c>
      <c r="F2156" t="s">
        <v>2382</v>
      </c>
      <c r="G2156" t="s">
        <v>2380</v>
      </c>
      <c r="H2156" t="s">
        <v>2380</v>
      </c>
      <c r="J2156" t="s">
        <v>2381</v>
      </c>
      <c r="K2156" t="str">
        <f t="shared" si="101"/>
        <v>No</v>
      </c>
      <c r="L2156" t="s">
        <v>2380</v>
      </c>
    </row>
    <row r="2157" spans="1:12" x14ac:dyDescent="0.35">
      <c r="A2157" t="s">
        <v>207</v>
      </c>
      <c r="B2157" t="str">
        <f t="shared" si="99"/>
        <v>Normal Weight</v>
      </c>
      <c r="C2157">
        <v>23.06</v>
      </c>
      <c r="D2157" t="str">
        <f t="shared" si="100"/>
        <v>Normal</v>
      </c>
      <c r="E2157">
        <v>4.47</v>
      </c>
      <c r="F2157" t="s">
        <v>2380</v>
      </c>
      <c r="G2157" t="s">
        <v>2380</v>
      </c>
      <c r="H2157" t="s">
        <v>2380</v>
      </c>
      <c r="J2157" t="s">
        <v>2381</v>
      </c>
      <c r="K2157" t="str">
        <f t="shared" si="101"/>
        <v>No</v>
      </c>
      <c r="L2157" t="s">
        <v>2380</v>
      </c>
    </row>
    <row r="2158" spans="1:12" x14ac:dyDescent="0.35">
      <c r="A2158" t="s">
        <v>206</v>
      </c>
      <c r="B2158" t="str">
        <f t="shared" si="99"/>
        <v>Overweight</v>
      </c>
      <c r="C2158">
        <v>28.975000000000001</v>
      </c>
      <c r="D2158" t="str">
        <f t="shared" si="100"/>
        <v>Normal</v>
      </c>
      <c r="E2158">
        <v>4.34</v>
      </c>
      <c r="F2158" t="s">
        <v>2382</v>
      </c>
      <c r="G2158" t="s">
        <v>2380</v>
      </c>
      <c r="H2158" t="s">
        <v>2380</v>
      </c>
      <c r="J2158" t="s">
        <v>2381</v>
      </c>
      <c r="K2158" t="str">
        <f t="shared" si="101"/>
        <v>No</v>
      </c>
      <c r="L2158" t="s">
        <v>2380</v>
      </c>
    </row>
    <row r="2159" spans="1:12" x14ac:dyDescent="0.35">
      <c r="A2159" t="s">
        <v>205</v>
      </c>
      <c r="B2159" t="str">
        <f t="shared" si="99"/>
        <v>Obesity</v>
      </c>
      <c r="C2159">
        <v>33.299999999999997</v>
      </c>
      <c r="D2159" t="str">
        <f t="shared" si="100"/>
        <v>Diabetes</v>
      </c>
      <c r="E2159">
        <v>9.49</v>
      </c>
      <c r="F2159" t="s">
        <v>2380</v>
      </c>
      <c r="G2159" t="s">
        <v>2380</v>
      </c>
      <c r="H2159" t="s">
        <v>2380</v>
      </c>
      <c r="J2159" t="s">
        <v>2381</v>
      </c>
      <c r="K2159" t="str">
        <f t="shared" si="101"/>
        <v>No</v>
      </c>
      <c r="L2159" t="s">
        <v>2380</v>
      </c>
    </row>
    <row r="2160" spans="1:12" x14ac:dyDescent="0.35">
      <c r="A2160" t="s">
        <v>204</v>
      </c>
      <c r="B2160" t="str">
        <f t="shared" si="99"/>
        <v>Obesity</v>
      </c>
      <c r="C2160">
        <v>33</v>
      </c>
      <c r="D2160" t="str">
        <f t="shared" si="100"/>
        <v>Diabetes</v>
      </c>
      <c r="E2160">
        <v>10.16</v>
      </c>
      <c r="F2160" t="s">
        <v>2380</v>
      </c>
      <c r="G2160" t="s">
        <v>2380</v>
      </c>
      <c r="H2160" t="s">
        <v>2380</v>
      </c>
      <c r="J2160" t="s">
        <v>2381</v>
      </c>
      <c r="K2160" t="str">
        <f t="shared" si="101"/>
        <v>No</v>
      </c>
      <c r="L2160" t="s">
        <v>2380</v>
      </c>
    </row>
    <row r="2161" spans="1:12" x14ac:dyDescent="0.35">
      <c r="A2161" t="s">
        <v>203</v>
      </c>
      <c r="B2161" t="str">
        <f t="shared" si="99"/>
        <v>Obesity</v>
      </c>
      <c r="C2161">
        <v>31.46</v>
      </c>
      <c r="D2161" t="str">
        <f t="shared" si="100"/>
        <v>Diabetes</v>
      </c>
      <c r="E2161">
        <v>11.19</v>
      </c>
      <c r="F2161" t="s">
        <v>2380</v>
      </c>
      <c r="G2161" t="s">
        <v>2380</v>
      </c>
      <c r="H2161" t="s">
        <v>2380</v>
      </c>
      <c r="J2161" t="s">
        <v>2381</v>
      </c>
      <c r="K2161" t="str">
        <f t="shared" si="101"/>
        <v>No</v>
      </c>
      <c r="L2161" t="s">
        <v>2380</v>
      </c>
    </row>
    <row r="2162" spans="1:12" x14ac:dyDescent="0.35">
      <c r="A2162" t="s">
        <v>202</v>
      </c>
      <c r="B2162" t="str">
        <f t="shared" si="99"/>
        <v>Overweight</v>
      </c>
      <c r="C2162">
        <v>29.6</v>
      </c>
      <c r="D2162" t="str">
        <f t="shared" si="100"/>
        <v>Diabetes</v>
      </c>
      <c r="E2162">
        <v>11.03</v>
      </c>
      <c r="F2162" t="s">
        <v>2380</v>
      </c>
      <c r="G2162" t="s">
        <v>2380</v>
      </c>
      <c r="H2162" t="s">
        <v>2380</v>
      </c>
      <c r="J2162" t="s">
        <v>2381</v>
      </c>
      <c r="K2162" t="str">
        <f t="shared" si="101"/>
        <v>No</v>
      </c>
      <c r="L2162" t="s">
        <v>2380</v>
      </c>
    </row>
    <row r="2163" spans="1:12" x14ac:dyDescent="0.35">
      <c r="A2163" t="s">
        <v>201</v>
      </c>
      <c r="B2163" t="str">
        <f t="shared" si="99"/>
        <v>Normal Weight</v>
      </c>
      <c r="C2163">
        <v>22.05</v>
      </c>
      <c r="D2163" t="str">
        <f t="shared" si="100"/>
        <v>Normal</v>
      </c>
      <c r="E2163">
        <v>4.43</v>
      </c>
      <c r="F2163" t="s">
        <v>2382</v>
      </c>
      <c r="G2163" t="s">
        <v>2380</v>
      </c>
      <c r="H2163" t="s">
        <v>2380</v>
      </c>
      <c r="J2163" t="s">
        <v>2381</v>
      </c>
      <c r="K2163" t="str">
        <f t="shared" si="101"/>
        <v>No</v>
      </c>
      <c r="L2163" t="s">
        <v>2380</v>
      </c>
    </row>
    <row r="2164" spans="1:12" x14ac:dyDescent="0.35">
      <c r="A2164" t="s">
        <v>199</v>
      </c>
      <c r="B2164" t="str">
        <f t="shared" si="99"/>
        <v>Overweight</v>
      </c>
      <c r="C2164">
        <v>27.06</v>
      </c>
      <c r="D2164" t="str">
        <f t="shared" si="100"/>
        <v>Prediabetes</v>
      </c>
      <c r="E2164">
        <v>6.14</v>
      </c>
      <c r="F2164" t="s">
        <v>2380</v>
      </c>
      <c r="G2164" t="s">
        <v>2382</v>
      </c>
      <c r="H2164" t="s">
        <v>2380</v>
      </c>
      <c r="J2164">
        <v>1</v>
      </c>
      <c r="K2164" t="str">
        <f t="shared" si="101"/>
        <v>No</v>
      </c>
      <c r="L2164" t="s">
        <v>2380</v>
      </c>
    </row>
    <row r="2165" spans="1:12" x14ac:dyDescent="0.35">
      <c r="A2165" t="s">
        <v>198</v>
      </c>
      <c r="B2165" t="str">
        <f t="shared" si="99"/>
        <v>Normal Weight</v>
      </c>
      <c r="C2165">
        <v>20.49</v>
      </c>
      <c r="D2165" t="str">
        <f t="shared" si="100"/>
        <v>Normal</v>
      </c>
      <c r="E2165">
        <v>4.87</v>
      </c>
      <c r="F2165" t="s">
        <v>2380</v>
      </c>
      <c r="G2165" t="s">
        <v>2380</v>
      </c>
      <c r="H2165" t="s">
        <v>2380</v>
      </c>
      <c r="J2165" t="s">
        <v>2381</v>
      </c>
      <c r="K2165" t="str">
        <f t="shared" si="101"/>
        <v>No</v>
      </c>
      <c r="L2165" t="s">
        <v>2380</v>
      </c>
    </row>
    <row r="2166" spans="1:12" x14ac:dyDescent="0.35">
      <c r="A2166" t="s">
        <v>197</v>
      </c>
      <c r="B2166" t="str">
        <f t="shared" si="99"/>
        <v>Overweight</v>
      </c>
      <c r="C2166">
        <v>28.4</v>
      </c>
      <c r="D2166" t="str">
        <f t="shared" si="100"/>
        <v>Normal</v>
      </c>
      <c r="E2166">
        <v>4.3</v>
      </c>
      <c r="F2166" t="s">
        <v>2380</v>
      </c>
      <c r="G2166" t="s">
        <v>2380</v>
      </c>
      <c r="H2166" t="s">
        <v>2383</v>
      </c>
      <c r="J2166">
        <v>1</v>
      </c>
      <c r="K2166" t="str">
        <f t="shared" si="101"/>
        <v>No</v>
      </c>
      <c r="L2166" t="s">
        <v>2380</v>
      </c>
    </row>
    <row r="2167" spans="1:12" x14ac:dyDescent="0.35">
      <c r="A2167" t="s">
        <v>196</v>
      </c>
      <c r="B2167" t="str">
        <f t="shared" si="99"/>
        <v>Obesity</v>
      </c>
      <c r="C2167">
        <v>41.91</v>
      </c>
      <c r="D2167" t="str">
        <f t="shared" si="100"/>
        <v>Prediabetes</v>
      </c>
      <c r="E2167">
        <v>6.19</v>
      </c>
      <c r="F2167" t="s">
        <v>2380</v>
      </c>
      <c r="G2167" t="s">
        <v>2380</v>
      </c>
      <c r="H2167" t="s">
        <v>2380</v>
      </c>
      <c r="J2167" t="s">
        <v>2381</v>
      </c>
      <c r="K2167" t="str">
        <f t="shared" si="101"/>
        <v>No</v>
      </c>
      <c r="L2167" t="s">
        <v>2380</v>
      </c>
    </row>
    <row r="2168" spans="1:12" x14ac:dyDescent="0.35">
      <c r="A2168" t="s">
        <v>195</v>
      </c>
      <c r="B2168" t="str">
        <f t="shared" si="99"/>
        <v>Normal Weight</v>
      </c>
      <c r="C2168">
        <v>24.6</v>
      </c>
      <c r="D2168" t="str">
        <f t="shared" si="100"/>
        <v>Prediabetes</v>
      </c>
      <c r="E2168">
        <v>6.19</v>
      </c>
      <c r="F2168" t="s">
        <v>2380</v>
      </c>
      <c r="G2168" t="s">
        <v>2380</v>
      </c>
      <c r="H2168" t="s">
        <v>2383</v>
      </c>
      <c r="J2168">
        <v>1</v>
      </c>
      <c r="K2168" t="str">
        <f t="shared" si="101"/>
        <v>No</v>
      </c>
      <c r="L2168" t="s">
        <v>2380</v>
      </c>
    </row>
    <row r="2169" spans="1:12" x14ac:dyDescent="0.35">
      <c r="A2169" t="s">
        <v>194</v>
      </c>
      <c r="B2169" t="str">
        <f t="shared" si="99"/>
        <v>Normal Weight</v>
      </c>
      <c r="C2169">
        <v>20.9</v>
      </c>
      <c r="D2169" t="str">
        <f t="shared" si="100"/>
        <v>Normal</v>
      </c>
      <c r="E2169">
        <v>5.12</v>
      </c>
      <c r="F2169" t="s">
        <v>2380</v>
      </c>
      <c r="G2169" t="s">
        <v>2380</v>
      </c>
      <c r="H2169" t="s">
        <v>2383</v>
      </c>
      <c r="J2169">
        <v>1</v>
      </c>
      <c r="K2169" t="str">
        <f t="shared" si="101"/>
        <v>No</v>
      </c>
      <c r="L2169" t="s">
        <v>2380</v>
      </c>
    </row>
    <row r="2170" spans="1:12" x14ac:dyDescent="0.35">
      <c r="A2170" t="s">
        <v>193</v>
      </c>
      <c r="B2170" t="str">
        <f t="shared" si="99"/>
        <v>Obesity</v>
      </c>
      <c r="C2170">
        <v>34.4</v>
      </c>
      <c r="D2170" t="str">
        <f t="shared" si="100"/>
        <v>Normal</v>
      </c>
      <c r="E2170">
        <v>4.04</v>
      </c>
      <c r="F2170" t="s">
        <v>2380</v>
      </c>
      <c r="G2170" t="s">
        <v>2380</v>
      </c>
      <c r="H2170" t="s">
        <v>2380</v>
      </c>
      <c r="J2170" t="s">
        <v>2381</v>
      </c>
      <c r="K2170" t="str">
        <f t="shared" si="101"/>
        <v>No</v>
      </c>
      <c r="L2170" t="s">
        <v>2380</v>
      </c>
    </row>
    <row r="2171" spans="1:12" x14ac:dyDescent="0.35">
      <c r="A2171" t="s">
        <v>192</v>
      </c>
      <c r="B2171" t="str">
        <f t="shared" si="99"/>
        <v>Obesity</v>
      </c>
      <c r="C2171">
        <v>32.56</v>
      </c>
      <c r="D2171" t="str">
        <f t="shared" si="100"/>
        <v>Normal</v>
      </c>
      <c r="E2171">
        <v>5.36</v>
      </c>
      <c r="F2171" t="s">
        <v>2380</v>
      </c>
      <c r="G2171" t="s">
        <v>2380</v>
      </c>
      <c r="H2171" t="s">
        <v>2380</v>
      </c>
      <c r="J2171" t="s">
        <v>2381</v>
      </c>
      <c r="K2171" t="str">
        <f t="shared" si="101"/>
        <v>No</v>
      </c>
      <c r="L2171" t="s">
        <v>2380</v>
      </c>
    </row>
    <row r="2172" spans="1:12" x14ac:dyDescent="0.35">
      <c r="A2172" t="s">
        <v>191</v>
      </c>
      <c r="B2172" t="str">
        <f t="shared" si="99"/>
        <v>Overweight</v>
      </c>
      <c r="C2172">
        <v>27.98</v>
      </c>
      <c r="D2172" t="str">
        <f t="shared" si="100"/>
        <v>Normal</v>
      </c>
      <c r="E2172">
        <v>4.38</v>
      </c>
      <c r="F2172" t="s">
        <v>2380</v>
      </c>
      <c r="G2172" t="s">
        <v>2382</v>
      </c>
      <c r="H2172" t="s">
        <v>2380</v>
      </c>
      <c r="J2172">
        <v>1</v>
      </c>
      <c r="K2172" t="str">
        <f t="shared" si="101"/>
        <v>No</v>
      </c>
      <c r="L2172" t="s">
        <v>2380</v>
      </c>
    </row>
    <row r="2173" spans="1:12" x14ac:dyDescent="0.35">
      <c r="A2173" t="s">
        <v>190</v>
      </c>
      <c r="B2173" t="str">
        <f t="shared" si="99"/>
        <v>Overweight</v>
      </c>
      <c r="C2173">
        <v>26.51</v>
      </c>
      <c r="D2173" t="str">
        <f t="shared" si="100"/>
        <v>Normal</v>
      </c>
      <c r="E2173">
        <v>4.58</v>
      </c>
      <c r="F2173" t="s">
        <v>2380</v>
      </c>
      <c r="G2173" t="s">
        <v>2380</v>
      </c>
      <c r="H2173" t="s">
        <v>2380</v>
      </c>
      <c r="J2173" t="s">
        <v>2381</v>
      </c>
      <c r="K2173" t="str">
        <f t="shared" si="101"/>
        <v>No</v>
      </c>
      <c r="L2173" t="s">
        <v>2380</v>
      </c>
    </row>
    <row r="2174" spans="1:12" x14ac:dyDescent="0.35">
      <c r="A2174" t="s">
        <v>189</v>
      </c>
      <c r="B2174" t="str">
        <f t="shared" si="99"/>
        <v>Overweight</v>
      </c>
      <c r="C2174">
        <v>29.734999999999999</v>
      </c>
      <c r="D2174" t="str">
        <f t="shared" si="100"/>
        <v>Diabetes</v>
      </c>
      <c r="E2174">
        <v>11.92</v>
      </c>
      <c r="F2174" t="s">
        <v>2380</v>
      </c>
      <c r="G2174" t="s">
        <v>2380</v>
      </c>
      <c r="H2174" t="s">
        <v>2380</v>
      </c>
      <c r="J2174" t="s">
        <v>2381</v>
      </c>
      <c r="K2174" t="str">
        <f t="shared" si="101"/>
        <v>No</v>
      </c>
      <c r="L2174" t="s">
        <v>2380</v>
      </c>
    </row>
    <row r="2175" spans="1:12" x14ac:dyDescent="0.35">
      <c r="A2175" t="s">
        <v>188</v>
      </c>
      <c r="B2175" t="str">
        <f t="shared" si="99"/>
        <v>Obesity</v>
      </c>
      <c r="C2175">
        <v>40.5</v>
      </c>
      <c r="D2175" t="str">
        <f t="shared" si="100"/>
        <v>Normal</v>
      </c>
      <c r="E2175">
        <v>5.4</v>
      </c>
      <c r="F2175" t="s">
        <v>2380</v>
      </c>
      <c r="G2175" t="s">
        <v>2380</v>
      </c>
      <c r="H2175" t="s">
        <v>2383</v>
      </c>
      <c r="J2175">
        <v>1</v>
      </c>
      <c r="K2175" t="str">
        <f t="shared" si="101"/>
        <v>No</v>
      </c>
      <c r="L2175" t="s">
        <v>2380</v>
      </c>
    </row>
    <row r="2176" spans="1:12" x14ac:dyDescent="0.35">
      <c r="A2176" t="s">
        <v>187</v>
      </c>
      <c r="B2176" t="str">
        <f t="shared" si="99"/>
        <v>Overweight</v>
      </c>
      <c r="C2176">
        <v>25.64</v>
      </c>
      <c r="D2176" t="str">
        <f t="shared" si="100"/>
        <v>Normal</v>
      </c>
      <c r="E2176">
        <v>4.76</v>
      </c>
      <c r="F2176" t="s">
        <v>2380</v>
      </c>
      <c r="G2176" t="s">
        <v>2380</v>
      </c>
      <c r="H2176" t="s">
        <v>2380</v>
      </c>
      <c r="J2176">
        <v>1</v>
      </c>
      <c r="K2176" t="str">
        <f t="shared" si="101"/>
        <v>No</v>
      </c>
      <c r="L2176" t="s">
        <v>2380</v>
      </c>
    </row>
    <row r="2177" spans="1:12" x14ac:dyDescent="0.35">
      <c r="A2177" t="s">
        <v>186</v>
      </c>
      <c r="B2177" t="str">
        <f t="shared" si="99"/>
        <v>Obesity</v>
      </c>
      <c r="C2177">
        <v>32.9</v>
      </c>
      <c r="D2177" t="str">
        <f t="shared" si="100"/>
        <v>Normal</v>
      </c>
      <c r="E2177">
        <v>4.78</v>
      </c>
      <c r="F2177" t="s">
        <v>2380</v>
      </c>
      <c r="G2177" t="s">
        <v>2380</v>
      </c>
      <c r="H2177" t="s">
        <v>2383</v>
      </c>
      <c r="J2177">
        <v>1</v>
      </c>
      <c r="K2177" t="str">
        <f t="shared" si="101"/>
        <v>No</v>
      </c>
      <c r="L2177" t="s">
        <v>2380</v>
      </c>
    </row>
    <row r="2178" spans="1:12" x14ac:dyDescent="0.35">
      <c r="A2178" t="s">
        <v>185</v>
      </c>
      <c r="B2178" t="str">
        <f t="shared" si="99"/>
        <v>Overweight</v>
      </c>
      <c r="C2178">
        <v>29.8</v>
      </c>
      <c r="D2178" t="str">
        <f t="shared" si="100"/>
        <v>Normal</v>
      </c>
      <c r="E2178">
        <v>4.26</v>
      </c>
      <c r="F2178" t="s">
        <v>2380</v>
      </c>
      <c r="G2178" t="s">
        <v>2380</v>
      </c>
      <c r="H2178" t="s">
        <v>2383</v>
      </c>
      <c r="J2178">
        <v>1</v>
      </c>
      <c r="K2178" t="str">
        <f t="shared" si="101"/>
        <v>No</v>
      </c>
      <c r="L2178" t="s">
        <v>2380</v>
      </c>
    </row>
    <row r="2179" spans="1:12" x14ac:dyDescent="0.35">
      <c r="A2179" t="s">
        <v>184</v>
      </c>
      <c r="B2179" t="str">
        <f t="shared" ref="B2179:B2242" si="102">_xlfn.IFS(C2179&lt;18.5, "Underweight", C2179&lt;=24.9, "Normal Weight", C2179&lt;=29.9, "Overweight", C2179&gt;=30, "Obesity")</f>
        <v>Overweight</v>
      </c>
      <c r="C2179">
        <v>28.9</v>
      </c>
      <c r="D2179" t="str">
        <f t="shared" ref="D2179:D2242" si="103">_xlfn.IFS(E2179&lt;5.7, "Normal", E2179&lt;=6.4, "Prediabetes", E2179&gt;=6.5, "Diabetes")</f>
        <v>Prediabetes</v>
      </c>
      <c r="E2179">
        <v>5.85</v>
      </c>
      <c r="F2179" t="s">
        <v>2380</v>
      </c>
      <c r="G2179" t="s">
        <v>2380</v>
      </c>
      <c r="H2179" t="s">
        <v>2383</v>
      </c>
      <c r="J2179">
        <v>1</v>
      </c>
      <c r="K2179" t="str">
        <f t="shared" si="101"/>
        <v>No</v>
      </c>
      <c r="L2179" t="s">
        <v>2380</v>
      </c>
    </row>
    <row r="2180" spans="1:12" x14ac:dyDescent="0.35">
      <c r="A2180" t="s">
        <v>183</v>
      </c>
      <c r="B2180" t="str">
        <f t="shared" si="102"/>
        <v>Normal Weight</v>
      </c>
      <c r="C2180">
        <v>24.7</v>
      </c>
      <c r="D2180" t="str">
        <f t="shared" si="103"/>
        <v>Normal</v>
      </c>
      <c r="E2180">
        <v>5.32</v>
      </c>
      <c r="F2180" t="s">
        <v>2380</v>
      </c>
      <c r="G2180" t="s">
        <v>2380</v>
      </c>
      <c r="H2180" t="s">
        <v>2383</v>
      </c>
      <c r="J2180">
        <v>1</v>
      </c>
      <c r="K2180" t="str">
        <f t="shared" ref="K2180:K2243" si="104">IF(OR(L2180="?", ISBLANK(L2180)), "No", L2180)</f>
        <v>No</v>
      </c>
      <c r="L2180" t="s">
        <v>2380</v>
      </c>
    </row>
    <row r="2181" spans="1:12" x14ac:dyDescent="0.35">
      <c r="A2181" t="s">
        <v>182</v>
      </c>
      <c r="B2181" t="str">
        <f t="shared" si="102"/>
        <v>Normal Weight</v>
      </c>
      <c r="C2181">
        <v>20.6</v>
      </c>
      <c r="D2181" t="str">
        <f t="shared" si="103"/>
        <v>Normal</v>
      </c>
      <c r="E2181">
        <v>5.14</v>
      </c>
      <c r="F2181" t="s">
        <v>2380</v>
      </c>
      <c r="G2181" t="s">
        <v>2380</v>
      </c>
      <c r="H2181" t="s">
        <v>2383</v>
      </c>
      <c r="J2181">
        <v>1</v>
      </c>
      <c r="K2181" t="str">
        <f t="shared" si="104"/>
        <v>No</v>
      </c>
      <c r="L2181" t="s">
        <v>2380</v>
      </c>
    </row>
    <row r="2182" spans="1:12" x14ac:dyDescent="0.35">
      <c r="A2182" t="s">
        <v>181</v>
      </c>
      <c r="B2182" t="str">
        <f t="shared" si="102"/>
        <v>Normal Weight</v>
      </c>
      <c r="C2182">
        <v>18.600000000000001</v>
      </c>
      <c r="D2182" t="str">
        <f t="shared" si="103"/>
        <v>Normal</v>
      </c>
      <c r="E2182">
        <v>5</v>
      </c>
      <c r="F2182" t="s">
        <v>2380</v>
      </c>
      <c r="G2182" t="s">
        <v>2380</v>
      </c>
      <c r="H2182" t="s">
        <v>2383</v>
      </c>
      <c r="J2182">
        <v>1</v>
      </c>
      <c r="K2182" t="str">
        <f t="shared" si="104"/>
        <v>No</v>
      </c>
      <c r="L2182" t="s">
        <v>2380</v>
      </c>
    </row>
    <row r="2183" spans="1:12" x14ac:dyDescent="0.35">
      <c r="A2183" t="s">
        <v>180</v>
      </c>
      <c r="B2183" t="str">
        <f t="shared" si="102"/>
        <v>Underweight</v>
      </c>
      <c r="C2183">
        <v>17.8</v>
      </c>
      <c r="D2183" t="str">
        <f t="shared" si="103"/>
        <v>Normal</v>
      </c>
      <c r="E2183">
        <v>4.55</v>
      </c>
      <c r="F2183" t="s">
        <v>2380</v>
      </c>
      <c r="G2183" t="s">
        <v>2380</v>
      </c>
      <c r="H2183" t="s">
        <v>2383</v>
      </c>
      <c r="J2183">
        <v>1</v>
      </c>
      <c r="K2183" t="str">
        <f t="shared" si="104"/>
        <v>No</v>
      </c>
      <c r="L2183" t="s">
        <v>2380</v>
      </c>
    </row>
    <row r="2184" spans="1:12" x14ac:dyDescent="0.35">
      <c r="A2184" t="s">
        <v>179</v>
      </c>
      <c r="B2184" t="str">
        <f t="shared" si="102"/>
        <v>Obesity</v>
      </c>
      <c r="C2184">
        <v>35.200000000000003</v>
      </c>
      <c r="D2184" t="str">
        <f t="shared" si="103"/>
        <v>Prediabetes</v>
      </c>
      <c r="E2184">
        <v>5.97</v>
      </c>
      <c r="F2184" t="s">
        <v>2380</v>
      </c>
      <c r="G2184" t="s">
        <v>2382</v>
      </c>
      <c r="H2184" t="s">
        <v>2380</v>
      </c>
      <c r="J2184">
        <v>1</v>
      </c>
      <c r="K2184" t="str">
        <f t="shared" si="104"/>
        <v>No</v>
      </c>
      <c r="L2184" t="s">
        <v>2380</v>
      </c>
    </row>
    <row r="2185" spans="1:12" x14ac:dyDescent="0.35">
      <c r="A2185" t="s">
        <v>178</v>
      </c>
      <c r="B2185" t="str">
        <f t="shared" si="102"/>
        <v>Obesity</v>
      </c>
      <c r="C2185">
        <v>33.770000000000003</v>
      </c>
      <c r="D2185" t="str">
        <f t="shared" si="103"/>
        <v>Normal</v>
      </c>
      <c r="E2185">
        <v>4.0199999999999996</v>
      </c>
      <c r="F2185" t="s">
        <v>2380</v>
      </c>
      <c r="G2185" t="s">
        <v>2382</v>
      </c>
      <c r="H2185" t="s">
        <v>2380</v>
      </c>
      <c r="J2185">
        <v>1</v>
      </c>
      <c r="K2185" t="str">
        <f t="shared" si="104"/>
        <v>No</v>
      </c>
      <c r="L2185" t="s">
        <v>2380</v>
      </c>
    </row>
    <row r="2186" spans="1:12" x14ac:dyDescent="0.35">
      <c r="A2186" t="s">
        <v>177</v>
      </c>
      <c r="B2186" t="str">
        <f t="shared" si="102"/>
        <v>Obesity</v>
      </c>
      <c r="C2186">
        <v>30.03</v>
      </c>
      <c r="D2186" t="str">
        <f t="shared" si="103"/>
        <v>Normal</v>
      </c>
      <c r="E2186">
        <v>4.04</v>
      </c>
      <c r="F2186" t="s">
        <v>2380</v>
      </c>
      <c r="G2186" t="s">
        <v>2382</v>
      </c>
      <c r="H2186" t="s">
        <v>2380</v>
      </c>
      <c r="J2186">
        <v>1</v>
      </c>
      <c r="K2186" t="str">
        <f t="shared" si="104"/>
        <v>No</v>
      </c>
      <c r="L2186" t="s">
        <v>2380</v>
      </c>
    </row>
    <row r="2187" spans="1:12" x14ac:dyDescent="0.35">
      <c r="A2187" t="s">
        <v>176</v>
      </c>
      <c r="B2187" t="str">
        <f t="shared" si="102"/>
        <v>Overweight</v>
      </c>
      <c r="C2187">
        <v>29.37</v>
      </c>
      <c r="D2187" t="str">
        <f t="shared" si="103"/>
        <v>Normal</v>
      </c>
      <c r="E2187">
        <v>5.54</v>
      </c>
      <c r="F2187" t="s">
        <v>2380</v>
      </c>
      <c r="G2187" t="s">
        <v>2382</v>
      </c>
      <c r="H2187" t="s">
        <v>2380</v>
      </c>
      <c r="J2187">
        <v>1</v>
      </c>
      <c r="K2187" t="str">
        <f t="shared" si="104"/>
        <v>No</v>
      </c>
      <c r="L2187" t="s">
        <v>2380</v>
      </c>
    </row>
    <row r="2188" spans="1:12" x14ac:dyDescent="0.35">
      <c r="A2188" t="s">
        <v>175</v>
      </c>
      <c r="B2188" t="str">
        <f t="shared" si="102"/>
        <v>Overweight</v>
      </c>
      <c r="C2188">
        <v>28.5</v>
      </c>
      <c r="D2188" t="str">
        <f t="shared" si="103"/>
        <v>Normal</v>
      </c>
      <c r="E2188">
        <v>4.03</v>
      </c>
      <c r="F2188" t="s">
        <v>2380</v>
      </c>
      <c r="G2188" t="s">
        <v>2382</v>
      </c>
      <c r="H2188" t="s">
        <v>2380</v>
      </c>
      <c r="J2188">
        <v>1</v>
      </c>
      <c r="K2188" t="str">
        <f t="shared" si="104"/>
        <v>No</v>
      </c>
      <c r="L2188" t="s">
        <v>2380</v>
      </c>
    </row>
    <row r="2189" spans="1:12" x14ac:dyDescent="0.35">
      <c r="A2189" t="s">
        <v>174</v>
      </c>
      <c r="B2189" t="str">
        <f t="shared" si="102"/>
        <v>Normal Weight</v>
      </c>
      <c r="C2189">
        <v>23.32</v>
      </c>
      <c r="D2189" t="str">
        <f t="shared" si="103"/>
        <v>Normal</v>
      </c>
      <c r="E2189">
        <v>5.62</v>
      </c>
      <c r="F2189" t="s">
        <v>2380</v>
      </c>
      <c r="G2189" t="s">
        <v>2382</v>
      </c>
      <c r="H2189" t="s">
        <v>2380</v>
      </c>
      <c r="J2189">
        <v>1</v>
      </c>
      <c r="K2189" t="str">
        <f t="shared" si="104"/>
        <v>No</v>
      </c>
      <c r="L2189" t="s">
        <v>2380</v>
      </c>
    </row>
    <row r="2190" spans="1:12" x14ac:dyDescent="0.35">
      <c r="A2190" t="s">
        <v>173</v>
      </c>
      <c r="B2190" t="str">
        <f t="shared" si="102"/>
        <v>Overweight</v>
      </c>
      <c r="C2190">
        <v>26.125</v>
      </c>
      <c r="D2190" t="str">
        <f t="shared" si="103"/>
        <v>Normal</v>
      </c>
      <c r="E2190">
        <v>5.27</v>
      </c>
      <c r="F2190" t="s">
        <v>2380</v>
      </c>
      <c r="G2190" t="s">
        <v>2382</v>
      </c>
      <c r="H2190" t="s">
        <v>2380</v>
      </c>
      <c r="J2190">
        <v>1</v>
      </c>
      <c r="K2190" t="str">
        <f t="shared" si="104"/>
        <v>No</v>
      </c>
      <c r="L2190" t="s">
        <v>2380</v>
      </c>
    </row>
    <row r="2191" spans="1:12" x14ac:dyDescent="0.35">
      <c r="A2191" t="s">
        <v>172</v>
      </c>
      <c r="B2191" t="str">
        <f t="shared" si="102"/>
        <v>Overweight</v>
      </c>
      <c r="C2191">
        <v>25.46</v>
      </c>
      <c r="D2191" t="str">
        <f t="shared" si="103"/>
        <v>Normal</v>
      </c>
      <c r="E2191">
        <v>5.18</v>
      </c>
      <c r="F2191" t="s">
        <v>2380</v>
      </c>
      <c r="G2191" t="s">
        <v>2382</v>
      </c>
      <c r="H2191" t="s">
        <v>2380</v>
      </c>
      <c r="J2191">
        <v>1</v>
      </c>
      <c r="K2191" t="str">
        <f t="shared" si="104"/>
        <v>No</v>
      </c>
      <c r="L2191" t="s">
        <v>2380</v>
      </c>
    </row>
    <row r="2192" spans="1:12" x14ac:dyDescent="0.35">
      <c r="A2192" t="s">
        <v>171</v>
      </c>
      <c r="B2192" t="str">
        <f t="shared" si="102"/>
        <v>Normal Weight</v>
      </c>
      <c r="C2192">
        <v>23.75</v>
      </c>
      <c r="D2192" t="str">
        <f t="shared" si="103"/>
        <v>Normal</v>
      </c>
      <c r="E2192">
        <v>5.27</v>
      </c>
      <c r="F2192" t="s">
        <v>2380</v>
      </c>
      <c r="G2192" t="s">
        <v>2382</v>
      </c>
      <c r="H2192" t="s">
        <v>2380</v>
      </c>
      <c r="J2192">
        <v>1</v>
      </c>
      <c r="K2192" t="str">
        <f t="shared" si="104"/>
        <v>No</v>
      </c>
      <c r="L2192" t="s">
        <v>2380</v>
      </c>
    </row>
    <row r="2193" spans="1:12" x14ac:dyDescent="0.35">
      <c r="A2193" t="s">
        <v>169</v>
      </c>
      <c r="B2193" t="str">
        <f t="shared" si="102"/>
        <v>Normal Weight</v>
      </c>
      <c r="C2193">
        <v>23.085000000000001</v>
      </c>
      <c r="D2193" t="str">
        <f t="shared" si="103"/>
        <v>Normal</v>
      </c>
      <c r="E2193">
        <v>5.62</v>
      </c>
      <c r="F2193" t="s">
        <v>2380</v>
      </c>
      <c r="G2193" t="s">
        <v>2382</v>
      </c>
      <c r="H2193" t="s">
        <v>2380</v>
      </c>
      <c r="J2193">
        <v>1</v>
      </c>
      <c r="K2193" t="str">
        <f t="shared" si="104"/>
        <v>No</v>
      </c>
      <c r="L2193" t="s">
        <v>2380</v>
      </c>
    </row>
    <row r="2194" spans="1:12" x14ac:dyDescent="0.35">
      <c r="A2194" t="s">
        <v>167</v>
      </c>
      <c r="B2194" t="str">
        <f t="shared" si="102"/>
        <v>Normal Weight</v>
      </c>
      <c r="C2194">
        <v>22.99</v>
      </c>
      <c r="D2194" t="str">
        <f t="shared" si="103"/>
        <v>Normal</v>
      </c>
      <c r="E2194">
        <v>5.0599999999999996</v>
      </c>
      <c r="F2194" t="s">
        <v>2380</v>
      </c>
      <c r="G2194" t="s">
        <v>2382</v>
      </c>
      <c r="H2194" t="s">
        <v>2380</v>
      </c>
      <c r="J2194">
        <v>1</v>
      </c>
      <c r="K2194" t="str">
        <f t="shared" si="104"/>
        <v>No</v>
      </c>
      <c r="L2194" t="s">
        <v>2380</v>
      </c>
    </row>
    <row r="2195" spans="1:12" x14ac:dyDescent="0.35">
      <c r="A2195" t="s">
        <v>165</v>
      </c>
      <c r="B2195" t="str">
        <f t="shared" si="102"/>
        <v>Normal Weight</v>
      </c>
      <c r="C2195">
        <v>21.47</v>
      </c>
      <c r="D2195" t="str">
        <f t="shared" si="103"/>
        <v>Normal</v>
      </c>
      <c r="E2195">
        <v>4.6900000000000004</v>
      </c>
      <c r="F2195" t="s">
        <v>2380</v>
      </c>
      <c r="G2195" t="s">
        <v>2382</v>
      </c>
      <c r="H2195" t="s">
        <v>2380</v>
      </c>
      <c r="J2195">
        <v>1</v>
      </c>
      <c r="K2195" t="str">
        <f t="shared" si="104"/>
        <v>No</v>
      </c>
      <c r="L2195" t="s">
        <v>2380</v>
      </c>
    </row>
    <row r="2196" spans="1:12" x14ac:dyDescent="0.35">
      <c r="A2196" t="s">
        <v>163</v>
      </c>
      <c r="B2196" t="str">
        <f t="shared" si="102"/>
        <v>Underweight</v>
      </c>
      <c r="C2196">
        <v>15.96</v>
      </c>
      <c r="D2196" t="str">
        <f t="shared" si="103"/>
        <v>Normal</v>
      </c>
      <c r="E2196">
        <v>5.44</v>
      </c>
      <c r="F2196" t="s">
        <v>2380</v>
      </c>
      <c r="G2196" t="s">
        <v>2382</v>
      </c>
      <c r="H2196" t="s">
        <v>2380</v>
      </c>
      <c r="J2196">
        <v>1</v>
      </c>
      <c r="K2196" t="str">
        <f t="shared" si="104"/>
        <v>No</v>
      </c>
      <c r="L2196" t="s">
        <v>2380</v>
      </c>
    </row>
    <row r="2197" spans="1:12" x14ac:dyDescent="0.35">
      <c r="A2197" t="s">
        <v>162</v>
      </c>
      <c r="B2197" t="str">
        <f t="shared" si="102"/>
        <v>Obesity</v>
      </c>
      <c r="C2197">
        <v>39.5</v>
      </c>
      <c r="D2197" t="str">
        <f t="shared" si="103"/>
        <v>Normal</v>
      </c>
      <c r="E2197">
        <v>5.05</v>
      </c>
      <c r="F2197" t="s">
        <v>2380</v>
      </c>
      <c r="G2197" t="s">
        <v>2382</v>
      </c>
      <c r="H2197" t="s">
        <v>2380</v>
      </c>
      <c r="J2197">
        <v>1</v>
      </c>
      <c r="K2197" t="str">
        <f t="shared" si="104"/>
        <v>No</v>
      </c>
      <c r="L2197" t="s">
        <v>2380</v>
      </c>
    </row>
    <row r="2198" spans="1:12" x14ac:dyDescent="0.35">
      <c r="A2198" t="s">
        <v>161</v>
      </c>
      <c r="B2198" t="str">
        <f t="shared" si="102"/>
        <v>Obesity</v>
      </c>
      <c r="C2198">
        <v>33.770000000000003</v>
      </c>
      <c r="D2198" t="str">
        <f t="shared" si="103"/>
        <v>Prediabetes</v>
      </c>
      <c r="E2198">
        <v>6</v>
      </c>
      <c r="F2198" t="s">
        <v>2380</v>
      </c>
      <c r="G2198" t="s">
        <v>2382</v>
      </c>
      <c r="H2198" t="s">
        <v>2380</v>
      </c>
      <c r="J2198">
        <v>1</v>
      </c>
      <c r="K2198" t="str">
        <f t="shared" si="104"/>
        <v>No</v>
      </c>
      <c r="L2198" t="s">
        <v>2380</v>
      </c>
    </row>
    <row r="2199" spans="1:12" x14ac:dyDescent="0.35">
      <c r="A2199" t="s">
        <v>160</v>
      </c>
      <c r="B2199" t="str">
        <f t="shared" si="102"/>
        <v>Overweight</v>
      </c>
      <c r="C2199">
        <v>26.84</v>
      </c>
      <c r="D2199" t="str">
        <f t="shared" si="103"/>
        <v>Prediabetes</v>
      </c>
      <c r="E2199">
        <v>5.99</v>
      </c>
      <c r="F2199" t="s">
        <v>2382</v>
      </c>
      <c r="G2199" t="s">
        <v>2382</v>
      </c>
      <c r="H2199" t="s">
        <v>2380</v>
      </c>
      <c r="J2199">
        <v>1</v>
      </c>
      <c r="K2199" t="str">
        <f t="shared" si="104"/>
        <v>No</v>
      </c>
      <c r="L2199" t="s">
        <v>2380</v>
      </c>
    </row>
    <row r="2200" spans="1:12" x14ac:dyDescent="0.35">
      <c r="A2200" t="s">
        <v>159</v>
      </c>
      <c r="B2200" t="str">
        <f t="shared" si="102"/>
        <v>Obesity</v>
      </c>
      <c r="C2200">
        <v>35.53</v>
      </c>
      <c r="D2200" t="str">
        <f t="shared" si="103"/>
        <v>Normal</v>
      </c>
      <c r="E2200">
        <v>4.3600000000000003</v>
      </c>
      <c r="F2200" t="s">
        <v>2380</v>
      </c>
      <c r="G2200" t="s">
        <v>2380</v>
      </c>
      <c r="H2200" t="s">
        <v>2383</v>
      </c>
      <c r="J2200">
        <v>1</v>
      </c>
      <c r="K2200" t="str">
        <f t="shared" si="104"/>
        <v>No</v>
      </c>
      <c r="L2200" t="s">
        <v>2380</v>
      </c>
    </row>
    <row r="2201" spans="1:12" x14ac:dyDescent="0.35">
      <c r="A2201" t="s">
        <v>158</v>
      </c>
      <c r="B2201" t="str">
        <f t="shared" si="102"/>
        <v>Obesity</v>
      </c>
      <c r="C2201">
        <v>30.59</v>
      </c>
      <c r="D2201" t="str">
        <f t="shared" si="103"/>
        <v>Normal</v>
      </c>
      <c r="E2201">
        <v>4.41</v>
      </c>
      <c r="F2201" t="s">
        <v>2380</v>
      </c>
      <c r="G2201" t="s">
        <v>2380</v>
      </c>
      <c r="H2201" t="s">
        <v>2383</v>
      </c>
      <c r="J2201">
        <v>1</v>
      </c>
      <c r="K2201" t="str">
        <f t="shared" si="104"/>
        <v>No</v>
      </c>
      <c r="L2201" t="s">
        <v>2380</v>
      </c>
    </row>
    <row r="2202" spans="1:12" x14ac:dyDescent="0.35">
      <c r="A2202" t="s">
        <v>157</v>
      </c>
      <c r="B2202" t="str">
        <f t="shared" si="102"/>
        <v>Obesity</v>
      </c>
      <c r="C2202">
        <v>30.59</v>
      </c>
      <c r="D2202" t="str">
        <f t="shared" si="103"/>
        <v>Normal</v>
      </c>
      <c r="E2202">
        <v>4.17</v>
      </c>
      <c r="F2202" t="s">
        <v>2380</v>
      </c>
      <c r="G2202" t="s">
        <v>2380</v>
      </c>
      <c r="H2202" t="s">
        <v>2383</v>
      </c>
      <c r="J2202">
        <v>1</v>
      </c>
      <c r="K2202" t="str">
        <f t="shared" si="104"/>
        <v>No</v>
      </c>
      <c r="L2202" t="s">
        <v>2380</v>
      </c>
    </row>
    <row r="2203" spans="1:12" x14ac:dyDescent="0.35">
      <c r="A2203" t="s">
        <v>156</v>
      </c>
      <c r="B2203" t="str">
        <f t="shared" si="102"/>
        <v>Overweight</v>
      </c>
      <c r="C2203">
        <v>27.835000000000001</v>
      </c>
      <c r="D2203" t="str">
        <f t="shared" si="103"/>
        <v>Normal</v>
      </c>
      <c r="E2203">
        <v>4.4400000000000004</v>
      </c>
      <c r="F2203" t="s">
        <v>2380</v>
      </c>
      <c r="G2203" t="s">
        <v>2380</v>
      </c>
      <c r="H2203" t="s">
        <v>2383</v>
      </c>
      <c r="J2203">
        <v>1</v>
      </c>
      <c r="K2203" t="str">
        <f t="shared" si="104"/>
        <v>No</v>
      </c>
      <c r="L2203" t="s">
        <v>2380</v>
      </c>
    </row>
    <row r="2204" spans="1:12" x14ac:dyDescent="0.35">
      <c r="A2204" t="s">
        <v>155</v>
      </c>
      <c r="B2204" t="str">
        <f t="shared" si="102"/>
        <v>Obesity</v>
      </c>
      <c r="C2204">
        <v>40.26</v>
      </c>
      <c r="D2204" t="str">
        <f t="shared" si="103"/>
        <v>Normal</v>
      </c>
      <c r="E2204">
        <v>5.52</v>
      </c>
      <c r="F2204" t="s">
        <v>2380</v>
      </c>
      <c r="G2204" t="s">
        <v>2382</v>
      </c>
      <c r="H2204" t="s">
        <v>2380</v>
      </c>
      <c r="J2204">
        <v>1</v>
      </c>
      <c r="K2204" t="str">
        <f t="shared" si="104"/>
        <v>No</v>
      </c>
      <c r="L2204" t="s">
        <v>2380</v>
      </c>
    </row>
    <row r="2205" spans="1:12" x14ac:dyDescent="0.35">
      <c r="A2205" t="s">
        <v>154</v>
      </c>
      <c r="B2205" t="str">
        <f t="shared" si="102"/>
        <v>Obesity</v>
      </c>
      <c r="C2205">
        <v>39.82</v>
      </c>
      <c r="D2205" t="str">
        <f t="shared" si="103"/>
        <v>Prediabetes</v>
      </c>
      <c r="E2205">
        <v>6.01</v>
      </c>
      <c r="F2205" t="s">
        <v>2380</v>
      </c>
      <c r="G2205" t="s">
        <v>2382</v>
      </c>
      <c r="H2205" t="s">
        <v>2380</v>
      </c>
      <c r="J2205">
        <v>1</v>
      </c>
      <c r="K2205" t="str">
        <f t="shared" si="104"/>
        <v>No</v>
      </c>
      <c r="L2205" t="s">
        <v>2380</v>
      </c>
    </row>
    <row r="2206" spans="1:12" x14ac:dyDescent="0.35">
      <c r="A2206" t="s">
        <v>153</v>
      </c>
      <c r="B2206" t="str">
        <f t="shared" si="102"/>
        <v>Obesity</v>
      </c>
      <c r="C2206">
        <v>39.159999999999997</v>
      </c>
      <c r="D2206" t="str">
        <f t="shared" si="103"/>
        <v>Prediabetes</v>
      </c>
      <c r="E2206">
        <v>5.81</v>
      </c>
      <c r="F2206" t="s">
        <v>2380</v>
      </c>
      <c r="G2206" t="s">
        <v>2382</v>
      </c>
      <c r="H2206" t="s">
        <v>2380</v>
      </c>
      <c r="J2206">
        <v>1</v>
      </c>
      <c r="K2206" t="str">
        <f t="shared" si="104"/>
        <v>No</v>
      </c>
      <c r="L2206" t="s">
        <v>2380</v>
      </c>
    </row>
    <row r="2207" spans="1:12" x14ac:dyDescent="0.35">
      <c r="A2207" t="s">
        <v>152</v>
      </c>
      <c r="B2207" t="str">
        <f t="shared" si="102"/>
        <v>Overweight</v>
      </c>
      <c r="C2207">
        <v>25.555</v>
      </c>
      <c r="D2207" t="str">
        <f t="shared" si="103"/>
        <v>Normal</v>
      </c>
      <c r="E2207">
        <v>4.37</v>
      </c>
      <c r="F2207" t="s">
        <v>2380</v>
      </c>
      <c r="G2207" t="s">
        <v>2380</v>
      </c>
      <c r="H2207" t="s">
        <v>2383</v>
      </c>
      <c r="J2207">
        <v>1</v>
      </c>
      <c r="K2207" t="str">
        <f t="shared" si="104"/>
        <v>No</v>
      </c>
      <c r="L2207" t="s">
        <v>2380</v>
      </c>
    </row>
    <row r="2208" spans="1:12" x14ac:dyDescent="0.35">
      <c r="A2208" t="s">
        <v>151</v>
      </c>
      <c r="B2208" t="str">
        <f t="shared" si="102"/>
        <v>Overweight</v>
      </c>
      <c r="C2208">
        <v>25.175000000000001</v>
      </c>
      <c r="D2208" t="str">
        <f t="shared" si="103"/>
        <v>Prediabetes</v>
      </c>
      <c r="E2208">
        <v>5.74</v>
      </c>
      <c r="F2208" t="s">
        <v>2380</v>
      </c>
      <c r="G2208" t="s">
        <v>2380</v>
      </c>
      <c r="H2208" t="s">
        <v>2383</v>
      </c>
      <c r="J2208">
        <v>1</v>
      </c>
      <c r="K2208" t="str">
        <f t="shared" si="104"/>
        <v>No</v>
      </c>
      <c r="L2208" t="s">
        <v>2380</v>
      </c>
    </row>
    <row r="2209" spans="1:12" x14ac:dyDescent="0.35">
      <c r="A2209" t="s">
        <v>150</v>
      </c>
      <c r="B2209" t="str">
        <f t="shared" si="102"/>
        <v>Obesity</v>
      </c>
      <c r="C2209">
        <v>38.28</v>
      </c>
      <c r="D2209" t="str">
        <f t="shared" si="103"/>
        <v>Normal</v>
      </c>
      <c r="E2209">
        <v>5.39</v>
      </c>
      <c r="F2209" t="s">
        <v>2380</v>
      </c>
      <c r="G2209" t="s">
        <v>2382</v>
      </c>
      <c r="H2209" t="s">
        <v>2380</v>
      </c>
      <c r="J2209">
        <v>1</v>
      </c>
      <c r="K2209" t="str">
        <f t="shared" si="104"/>
        <v>No</v>
      </c>
      <c r="L2209" t="s">
        <v>2380</v>
      </c>
    </row>
    <row r="2210" spans="1:12" x14ac:dyDescent="0.35">
      <c r="A2210" t="s">
        <v>149</v>
      </c>
      <c r="B2210" t="str">
        <f t="shared" si="102"/>
        <v>Obesity</v>
      </c>
      <c r="C2210">
        <v>38.17</v>
      </c>
      <c r="D2210" t="str">
        <f t="shared" si="103"/>
        <v>Normal</v>
      </c>
      <c r="E2210">
        <v>4.07</v>
      </c>
      <c r="F2210" t="s">
        <v>2380</v>
      </c>
      <c r="G2210" t="s">
        <v>2382</v>
      </c>
      <c r="H2210" t="s">
        <v>2380</v>
      </c>
      <c r="J2210">
        <v>1</v>
      </c>
      <c r="K2210" t="str">
        <f t="shared" si="104"/>
        <v>No</v>
      </c>
      <c r="L2210" t="s">
        <v>2380</v>
      </c>
    </row>
    <row r="2211" spans="1:12" x14ac:dyDescent="0.35">
      <c r="A2211" t="s">
        <v>148</v>
      </c>
      <c r="B2211" t="str">
        <f t="shared" si="102"/>
        <v>Obesity</v>
      </c>
      <c r="C2211">
        <v>36.85</v>
      </c>
      <c r="D2211" t="str">
        <f t="shared" si="103"/>
        <v>Normal</v>
      </c>
      <c r="E2211">
        <v>5.49</v>
      </c>
      <c r="F2211" t="s">
        <v>2380</v>
      </c>
      <c r="G2211" t="s">
        <v>2382</v>
      </c>
      <c r="H2211" t="s">
        <v>2380</v>
      </c>
      <c r="J2211">
        <v>1</v>
      </c>
      <c r="K2211" t="str">
        <f t="shared" si="104"/>
        <v>No</v>
      </c>
      <c r="L2211" t="s">
        <v>2380</v>
      </c>
    </row>
    <row r="2212" spans="1:12" x14ac:dyDescent="0.35">
      <c r="A2212" t="s">
        <v>147</v>
      </c>
      <c r="B2212" t="str">
        <f t="shared" si="102"/>
        <v>Normal Weight</v>
      </c>
      <c r="C2212">
        <v>22.61</v>
      </c>
      <c r="D2212" t="str">
        <f t="shared" si="103"/>
        <v>Normal</v>
      </c>
      <c r="E2212">
        <v>5.68</v>
      </c>
      <c r="F2212" t="s">
        <v>2380</v>
      </c>
      <c r="G2212" t="s">
        <v>2380</v>
      </c>
      <c r="H2212" t="s">
        <v>2383</v>
      </c>
      <c r="J2212">
        <v>1</v>
      </c>
      <c r="K2212" t="str">
        <f t="shared" si="104"/>
        <v>No</v>
      </c>
      <c r="L2212" t="s">
        <v>2380</v>
      </c>
    </row>
    <row r="2213" spans="1:12" x14ac:dyDescent="0.35">
      <c r="A2213" t="s">
        <v>146</v>
      </c>
      <c r="B2213" t="str">
        <f t="shared" si="102"/>
        <v>Normal Weight</v>
      </c>
      <c r="C2213">
        <v>21.754999999999999</v>
      </c>
      <c r="D2213" t="str">
        <f t="shared" si="103"/>
        <v>Prediabetes</v>
      </c>
      <c r="E2213">
        <v>6.09</v>
      </c>
      <c r="F2213" t="s">
        <v>2380</v>
      </c>
      <c r="G2213" t="s">
        <v>2380</v>
      </c>
      <c r="H2213" t="s">
        <v>2383</v>
      </c>
      <c r="J2213">
        <v>1</v>
      </c>
      <c r="K2213" t="str">
        <f t="shared" si="104"/>
        <v>No</v>
      </c>
      <c r="L2213" t="s">
        <v>2380</v>
      </c>
    </row>
    <row r="2214" spans="1:12" x14ac:dyDescent="0.35">
      <c r="A2214" t="s">
        <v>145</v>
      </c>
      <c r="B2214" t="str">
        <f t="shared" si="102"/>
        <v>Normal Weight</v>
      </c>
      <c r="C2214">
        <v>20.425000000000001</v>
      </c>
      <c r="D2214" t="str">
        <f t="shared" si="103"/>
        <v>Normal</v>
      </c>
      <c r="E2214">
        <v>5.53</v>
      </c>
      <c r="F2214" t="s">
        <v>2380</v>
      </c>
      <c r="G2214" t="s">
        <v>2380</v>
      </c>
      <c r="H2214" t="s">
        <v>2383</v>
      </c>
      <c r="J2214">
        <v>1</v>
      </c>
      <c r="K2214" t="str">
        <f t="shared" si="104"/>
        <v>No</v>
      </c>
      <c r="L2214" t="s">
        <v>2380</v>
      </c>
    </row>
    <row r="2215" spans="1:12" x14ac:dyDescent="0.35">
      <c r="A2215" t="s">
        <v>144</v>
      </c>
      <c r="B2215" t="str">
        <f t="shared" si="102"/>
        <v>Obesity</v>
      </c>
      <c r="C2215">
        <v>31.35</v>
      </c>
      <c r="D2215" t="str">
        <f t="shared" si="103"/>
        <v>Normal</v>
      </c>
      <c r="E2215">
        <v>4.28</v>
      </c>
      <c r="F2215" t="s">
        <v>2380</v>
      </c>
      <c r="G2215" t="s">
        <v>2382</v>
      </c>
      <c r="H2215" t="s">
        <v>2380</v>
      </c>
      <c r="J2215">
        <v>1</v>
      </c>
      <c r="K2215" t="str">
        <f t="shared" si="104"/>
        <v>No</v>
      </c>
      <c r="L2215" t="s">
        <v>2380</v>
      </c>
    </row>
    <row r="2216" spans="1:12" x14ac:dyDescent="0.35">
      <c r="A2216" t="s">
        <v>143</v>
      </c>
      <c r="B2216" t="str">
        <f t="shared" si="102"/>
        <v>Obesity</v>
      </c>
      <c r="C2216">
        <v>31.13</v>
      </c>
      <c r="D2216" t="str">
        <f t="shared" si="103"/>
        <v>Prediabetes</v>
      </c>
      <c r="E2216">
        <v>6.01</v>
      </c>
      <c r="F2216" t="s">
        <v>2380</v>
      </c>
      <c r="G2216" t="s">
        <v>2382</v>
      </c>
      <c r="H2216" t="s">
        <v>2380</v>
      </c>
      <c r="J2216">
        <v>1</v>
      </c>
      <c r="K2216" t="str">
        <f t="shared" si="104"/>
        <v>No</v>
      </c>
      <c r="L2216" t="s">
        <v>2380</v>
      </c>
    </row>
    <row r="2217" spans="1:12" x14ac:dyDescent="0.35">
      <c r="A2217" t="s">
        <v>142</v>
      </c>
      <c r="B2217" t="str">
        <f t="shared" si="102"/>
        <v>Underweight</v>
      </c>
      <c r="C2217">
        <v>17.48</v>
      </c>
      <c r="D2217" t="str">
        <f t="shared" si="103"/>
        <v>Normal</v>
      </c>
      <c r="E2217">
        <v>4.59</v>
      </c>
      <c r="F2217" t="s">
        <v>2380</v>
      </c>
      <c r="G2217" t="s">
        <v>2380</v>
      </c>
      <c r="H2217" t="s">
        <v>2383</v>
      </c>
      <c r="J2217">
        <v>1</v>
      </c>
      <c r="K2217" t="str">
        <f t="shared" si="104"/>
        <v>No</v>
      </c>
      <c r="L2217" t="s">
        <v>2380</v>
      </c>
    </row>
    <row r="2218" spans="1:12" x14ac:dyDescent="0.35">
      <c r="A2218" t="s">
        <v>141</v>
      </c>
      <c r="B2218" t="str">
        <f t="shared" si="102"/>
        <v>Normal Weight</v>
      </c>
      <c r="C2218">
        <v>22.57</v>
      </c>
      <c r="D2218" t="str">
        <f t="shared" si="103"/>
        <v>Prediabetes</v>
      </c>
      <c r="E2218">
        <v>5.8</v>
      </c>
      <c r="F2218" t="s">
        <v>2382</v>
      </c>
      <c r="G2218" t="s">
        <v>2380</v>
      </c>
      <c r="H2218" t="s">
        <v>2380</v>
      </c>
      <c r="J2218">
        <v>1</v>
      </c>
      <c r="K2218" t="str">
        <f t="shared" si="104"/>
        <v>No</v>
      </c>
      <c r="L2218" t="s">
        <v>2380</v>
      </c>
    </row>
    <row r="2219" spans="1:12" x14ac:dyDescent="0.35">
      <c r="A2219" t="s">
        <v>140</v>
      </c>
      <c r="B2219" t="str">
        <f t="shared" si="102"/>
        <v>Overweight</v>
      </c>
      <c r="C2219">
        <v>26.73</v>
      </c>
      <c r="D2219" t="str">
        <f t="shared" si="103"/>
        <v>Normal</v>
      </c>
      <c r="E2219">
        <v>5.08</v>
      </c>
      <c r="F2219" t="s">
        <v>2380</v>
      </c>
      <c r="G2219" t="s">
        <v>2382</v>
      </c>
      <c r="H2219" t="s">
        <v>2380</v>
      </c>
      <c r="J2219">
        <v>1</v>
      </c>
      <c r="K2219" t="str">
        <f t="shared" si="104"/>
        <v>No</v>
      </c>
      <c r="L2219" t="s">
        <v>2380</v>
      </c>
    </row>
    <row r="2220" spans="1:12" x14ac:dyDescent="0.35">
      <c r="A2220" t="s">
        <v>139</v>
      </c>
      <c r="B2220" t="str">
        <f t="shared" si="102"/>
        <v>Normal Weight</v>
      </c>
      <c r="C2220">
        <v>20.79</v>
      </c>
      <c r="D2220" t="str">
        <f t="shared" si="103"/>
        <v>Prediabetes</v>
      </c>
      <c r="E2220">
        <v>5.84</v>
      </c>
      <c r="F2220" t="s">
        <v>2380</v>
      </c>
      <c r="G2220" t="s">
        <v>2382</v>
      </c>
      <c r="H2220" t="s">
        <v>2380</v>
      </c>
      <c r="J2220">
        <v>1</v>
      </c>
      <c r="K2220" t="str">
        <f t="shared" si="104"/>
        <v>No</v>
      </c>
      <c r="L2220" t="s">
        <v>2380</v>
      </c>
    </row>
    <row r="2221" spans="1:12" x14ac:dyDescent="0.35">
      <c r="A2221" t="s">
        <v>138</v>
      </c>
      <c r="B2221" t="str">
        <f t="shared" si="102"/>
        <v>Normal Weight</v>
      </c>
      <c r="C2221">
        <v>20.149999999999999</v>
      </c>
      <c r="D2221" t="str">
        <f t="shared" si="103"/>
        <v>Normal</v>
      </c>
      <c r="E2221">
        <v>4.1500000000000004</v>
      </c>
      <c r="F2221" t="s">
        <v>2380</v>
      </c>
      <c r="G2221" t="s">
        <v>2380</v>
      </c>
      <c r="H2221" t="s">
        <v>2380</v>
      </c>
      <c r="J2221">
        <v>1</v>
      </c>
      <c r="K2221" t="str">
        <f t="shared" si="104"/>
        <v>No</v>
      </c>
      <c r="L2221" t="s">
        <v>2380</v>
      </c>
    </row>
    <row r="2222" spans="1:12" x14ac:dyDescent="0.35">
      <c r="A2222" t="s">
        <v>137</v>
      </c>
      <c r="B2222" t="str">
        <f t="shared" si="102"/>
        <v>Obesity</v>
      </c>
      <c r="C2222">
        <v>36.85</v>
      </c>
      <c r="D2222" t="str">
        <f t="shared" si="103"/>
        <v>Normal</v>
      </c>
      <c r="E2222">
        <v>4.3600000000000003</v>
      </c>
      <c r="F2222" t="s">
        <v>2382</v>
      </c>
      <c r="G2222" t="s">
        <v>2380</v>
      </c>
      <c r="H2222" t="s">
        <v>2380</v>
      </c>
      <c r="J2222" t="s">
        <v>2381</v>
      </c>
      <c r="K2222" t="str">
        <f t="shared" si="104"/>
        <v>No</v>
      </c>
      <c r="L2222" t="s">
        <v>2380</v>
      </c>
    </row>
    <row r="2223" spans="1:12" x14ac:dyDescent="0.35">
      <c r="A2223" t="s">
        <v>136</v>
      </c>
      <c r="B2223" t="str">
        <f t="shared" si="102"/>
        <v>Obesity</v>
      </c>
      <c r="C2223">
        <v>35.53</v>
      </c>
      <c r="D2223" t="str">
        <f t="shared" si="103"/>
        <v>Normal</v>
      </c>
      <c r="E2223">
        <v>4.55</v>
      </c>
      <c r="F2223" t="s">
        <v>2382</v>
      </c>
      <c r="G2223" t="s">
        <v>2380</v>
      </c>
      <c r="H2223" t="s">
        <v>2380</v>
      </c>
      <c r="J2223" t="s">
        <v>2381</v>
      </c>
      <c r="K2223" t="str">
        <f t="shared" si="104"/>
        <v>No</v>
      </c>
      <c r="L2223" t="s">
        <v>2380</v>
      </c>
    </row>
    <row r="2224" spans="1:12" x14ac:dyDescent="0.35">
      <c r="A2224" t="s">
        <v>135</v>
      </c>
      <c r="B2224" t="str">
        <f t="shared" si="102"/>
        <v>Obesity</v>
      </c>
      <c r="C2224">
        <v>31.1</v>
      </c>
      <c r="D2224" t="str">
        <f t="shared" si="103"/>
        <v>Normal</v>
      </c>
      <c r="E2224">
        <v>4.37</v>
      </c>
      <c r="F2224" t="s">
        <v>2382</v>
      </c>
      <c r="G2224" t="s">
        <v>2380</v>
      </c>
      <c r="H2224" t="s">
        <v>2380</v>
      </c>
      <c r="J2224" t="s">
        <v>2381</v>
      </c>
      <c r="K2224" t="str">
        <f t="shared" si="104"/>
        <v>No</v>
      </c>
      <c r="L2224" t="s">
        <v>2380</v>
      </c>
    </row>
    <row r="2225" spans="1:12" x14ac:dyDescent="0.35">
      <c r="A2225" t="s">
        <v>134</v>
      </c>
      <c r="B2225" t="str">
        <f t="shared" si="102"/>
        <v>Normal Weight</v>
      </c>
      <c r="C2225">
        <v>23.21</v>
      </c>
      <c r="D2225" t="str">
        <f t="shared" si="103"/>
        <v>Normal</v>
      </c>
      <c r="E2225">
        <v>5.24</v>
      </c>
      <c r="F2225" t="s">
        <v>2382</v>
      </c>
      <c r="G2225" t="s">
        <v>2380</v>
      </c>
      <c r="H2225" t="s">
        <v>2380</v>
      </c>
      <c r="J2225" t="s">
        <v>2381</v>
      </c>
      <c r="K2225" t="str">
        <f t="shared" si="104"/>
        <v>No</v>
      </c>
      <c r="L2225" t="s">
        <v>2380</v>
      </c>
    </row>
    <row r="2226" spans="1:12" x14ac:dyDescent="0.35">
      <c r="A2226" t="s">
        <v>133</v>
      </c>
      <c r="B2226" t="str">
        <f t="shared" si="102"/>
        <v>Underweight</v>
      </c>
      <c r="C2226">
        <v>18.36</v>
      </c>
      <c r="D2226" t="str">
        <f t="shared" si="103"/>
        <v>Prediabetes</v>
      </c>
      <c r="E2226">
        <v>5.96</v>
      </c>
      <c r="F2226" t="s">
        <v>2380</v>
      </c>
      <c r="G2226" t="s">
        <v>2380</v>
      </c>
      <c r="H2226" t="s">
        <v>2380</v>
      </c>
      <c r="J2226">
        <v>1</v>
      </c>
      <c r="K2226" t="str">
        <f t="shared" si="104"/>
        <v>No</v>
      </c>
      <c r="L2226" t="s">
        <v>2380</v>
      </c>
    </row>
    <row r="2227" spans="1:12" x14ac:dyDescent="0.35">
      <c r="A2227" t="s">
        <v>132</v>
      </c>
      <c r="B2227" t="str">
        <f t="shared" si="102"/>
        <v>Underweight</v>
      </c>
      <c r="C2227">
        <v>15.92</v>
      </c>
      <c r="D2227" t="str">
        <f t="shared" si="103"/>
        <v>Normal</v>
      </c>
      <c r="E2227">
        <v>4.76</v>
      </c>
      <c r="F2227" t="s">
        <v>2382</v>
      </c>
      <c r="G2227" t="s">
        <v>2380</v>
      </c>
      <c r="H2227" t="s">
        <v>2380</v>
      </c>
      <c r="J2227">
        <v>1</v>
      </c>
      <c r="K2227" t="str">
        <f t="shared" si="104"/>
        <v>No</v>
      </c>
      <c r="L2227" t="s">
        <v>2380</v>
      </c>
    </row>
    <row r="2228" spans="1:12" x14ac:dyDescent="0.35">
      <c r="A2228" t="s">
        <v>131</v>
      </c>
      <c r="B2228" t="str">
        <f t="shared" si="102"/>
        <v>Underweight</v>
      </c>
      <c r="C2228">
        <v>15.17</v>
      </c>
      <c r="D2228" t="str">
        <f t="shared" si="103"/>
        <v>Normal</v>
      </c>
      <c r="E2228">
        <v>4.3</v>
      </c>
      <c r="F2228" t="s">
        <v>2382</v>
      </c>
      <c r="G2228" t="s">
        <v>2380</v>
      </c>
      <c r="H2228" t="s">
        <v>2383</v>
      </c>
      <c r="J2228">
        <v>1</v>
      </c>
      <c r="K2228" t="str">
        <f t="shared" si="104"/>
        <v>No</v>
      </c>
      <c r="L2228" t="s">
        <v>2380</v>
      </c>
    </row>
    <row r="2229" spans="1:12" x14ac:dyDescent="0.35">
      <c r="A2229" t="s">
        <v>130</v>
      </c>
      <c r="B2229" t="str">
        <f t="shared" si="102"/>
        <v>Underweight</v>
      </c>
      <c r="C2229">
        <v>16.63</v>
      </c>
      <c r="D2229" t="str">
        <f t="shared" si="103"/>
        <v>Normal</v>
      </c>
      <c r="E2229">
        <v>4.5</v>
      </c>
      <c r="F2229" t="s">
        <v>2380</v>
      </c>
      <c r="G2229" t="s">
        <v>2380</v>
      </c>
      <c r="H2229" t="s">
        <v>2380</v>
      </c>
      <c r="J2229">
        <v>1</v>
      </c>
      <c r="K2229" t="str">
        <f t="shared" si="104"/>
        <v>No</v>
      </c>
      <c r="L2229" t="s">
        <v>2380</v>
      </c>
    </row>
    <row r="2230" spans="1:12" x14ac:dyDescent="0.35">
      <c r="A2230" t="s">
        <v>129</v>
      </c>
      <c r="B2230" t="str">
        <f t="shared" si="102"/>
        <v>Normal Weight</v>
      </c>
      <c r="C2230">
        <v>19.39</v>
      </c>
      <c r="D2230" t="str">
        <f t="shared" si="103"/>
        <v>Normal</v>
      </c>
      <c r="E2230">
        <v>5.59</v>
      </c>
      <c r="F2230" t="s">
        <v>2380</v>
      </c>
      <c r="G2230" t="s">
        <v>2380</v>
      </c>
      <c r="H2230" t="s">
        <v>2383</v>
      </c>
      <c r="J2230">
        <v>1</v>
      </c>
      <c r="K2230" t="str">
        <f t="shared" si="104"/>
        <v>No</v>
      </c>
      <c r="L2230" t="s">
        <v>2380</v>
      </c>
    </row>
    <row r="2231" spans="1:12" x14ac:dyDescent="0.35">
      <c r="A2231" t="s">
        <v>128</v>
      </c>
      <c r="B2231" t="str">
        <f t="shared" si="102"/>
        <v>Underweight</v>
      </c>
      <c r="C2231">
        <v>17.34</v>
      </c>
      <c r="D2231" t="str">
        <f t="shared" si="103"/>
        <v>Prediabetes</v>
      </c>
      <c r="E2231">
        <v>6.29</v>
      </c>
      <c r="F2231" t="s">
        <v>2382</v>
      </c>
      <c r="G2231" t="s">
        <v>2380</v>
      </c>
      <c r="H2231" t="s">
        <v>2383</v>
      </c>
      <c r="J2231">
        <v>1</v>
      </c>
      <c r="K2231" t="str">
        <f t="shared" si="104"/>
        <v>No</v>
      </c>
      <c r="L2231" t="s">
        <v>2380</v>
      </c>
    </row>
    <row r="2232" spans="1:12" x14ac:dyDescent="0.35">
      <c r="A2232" t="s">
        <v>127</v>
      </c>
      <c r="B2232" t="str">
        <f t="shared" si="102"/>
        <v>Underweight</v>
      </c>
      <c r="C2232">
        <v>17.940000000000001</v>
      </c>
      <c r="D2232" t="str">
        <f t="shared" si="103"/>
        <v>Normal</v>
      </c>
      <c r="E2232">
        <v>4.1900000000000004</v>
      </c>
      <c r="F2232" t="s">
        <v>2380</v>
      </c>
      <c r="G2232" t="s">
        <v>2382</v>
      </c>
      <c r="H2232" t="s">
        <v>2380</v>
      </c>
      <c r="J2232">
        <v>1</v>
      </c>
      <c r="K2232" t="str">
        <f t="shared" si="104"/>
        <v>No</v>
      </c>
      <c r="L2232" t="s">
        <v>2380</v>
      </c>
    </row>
    <row r="2233" spans="1:12" x14ac:dyDescent="0.35">
      <c r="A2233" t="s">
        <v>126</v>
      </c>
      <c r="B2233" t="str">
        <f t="shared" si="102"/>
        <v>Underweight</v>
      </c>
      <c r="C2233">
        <v>16.670000000000002</v>
      </c>
      <c r="D2233" t="str">
        <f t="shared" si="103"/>
        <v>Normal</v>
      </c>
      <c r="E2233">
        <v>4.7</v>
      </c>
      <c r="F2233" t="s">
        <v>2382</v>
      </c>
      <c r="G2233" t="s">
        <v>2380</v>
      </c>
      <c r="H2233" t="s">
        <v>2383</v>
      </c>
      <c r="J2233">
        <v>1</v>
      </c>
      <c r="K2233" t="str">
        <f t="shared" si="104"/>
        <v>No</v>
      </c>
      <c r="L2233" t="s">
        <v>2380</v>
      </c>
    </row>
    <row r="2234" spans="1:12" x14ac:dyDescent="0.35">
      <c r="A2234" t="s">
        <v>125</v>
      </c>
      <c r="B2234" t="str">
        <f t="shared" si="102"/>
        <v>Normal Weight</v>
      </c>
      <c r="C2234">
        <v>20.58</v>
      </c>
      <c r="D2234" t="str">
        <f t="shared" si="103"/>
        <v>Normal</v>
      </c>
      <c r="E2234">
        <v>5.64</v>
      </c>
      <c r="F2234" t="s">
        <v>2382</v>
      </c>
      <c r="G2234" t="s">
        <v>2380</v>
      </c>
      <c r="H2234" t="s">
        <v>2380</v>
      </c>
      <c r="J2234" t="s">
        <v>2381</v>
      </c>
      <c r="K2234" t="str">
        <f t="shared" si="104"/>
        <v>No</v>
      </c>
      <c r="L2234" t="s">
        <v>2380</v>
      </c>
    </row>
    <row r="2235" spans="1:12" x14ac:dyDescent="0.35">
      <c r="A2235" t="s">
        <v>124</v>
      </c>
      <c r="B2235" t="str">
        <f t="shared" si="102"/>
        <v>Underweight</v>
      </c>
      <c r="C2235">
        <v>16.5</v>
      </c>
      <c r="D2235" t="str">
        <f t="shared" si="103"/>
        <v>Normal</v>
      </c>
      <c r="E2235">
        <v>4.1100000000000003</v>
      </c>
      <c r="F2235" t="s">
        <v>2382</v>
      </c>
      <c r="G2235" t="s">
        <v>2380</v>
      </c>
      <c r="H2235" t="s">
        <v>2380</v>
      </c>
      <c r="J2235" t="s">
        <v>2381</v>
      </c>
      <c r="K2235" t="str">
        <f t="shared" si="104"/>
        <v>No</v>
      </c>
      <c r="L2235" t="s">
        <v>2380</v>
      </c>
    </row>
    <row r="2236" spans="1:12" x14ac:dyDescent="0.35">
      <c r="A2236" t="s">
        <v>123</v>
      </c>
      <c r="B2236" t="str">
        <f t="shared" si="102"/>
        <v>Underweight</v>
      </c>
      <c r="C2236">
        <v>15.41</v>
      </c>
      <c r="D2236" t="str">
        <f t="shared" si="103"/>
        <v>Normal</v>
      </c>
      <c r="E2236">
        <v>5.43</v>
      </c>
      <c r="F2236" t="s">
        <v>2382</v>
      </c>
      <c r="G2236" t="s">
        <v>2380</v>
      </c>
      <c r="H2236" t="s">
        <v>2383</v>
      </c>
      <c r="J2236">
        <v>1</v>
      </c>
      <c r="K2236" t="str">
        <f t="shared" si="104"/>
        <v>No</v>
      </c>
      <c r="L2236" t="s">
        <v>2380</v>
      </c>
    </row>
    <row r="2237" spans="1:12" x14ac:dyDescent="0.35">
      <c r="A2237" t="s">
        <v>122</v>
      </c>
      <c r="B2237" t="str">
        <f t="shared" si="102"/>
        <v>Normal Weight</v>
      </c>
      <c r="C2237">
        <v>24.59</v>
      </c>
      <c r="D2237" t="str">
        <f t="shared" si="103"/>
        <v>Normal</v>
      </c>
      <c r="E2237">
        <v>4.38</v>
      </c>
      <c r="F2237" t="s">
        <v>2380</v>
      </c>
      <c r="G2237" t="s">
        <v>2380</v>
      </c>
      <c r="H2237" t="s">
        <v>2380</v>
      </c>
      <c r="J2237">
        <v>1</v>
      </c>
      <c r="K2237" t="str">
        <f t="shared" si="104"/>
        <v>No</v>
      </c>
      <c r="L2237" t="s">
        <v>2380</v>
      </c>
    </row>
    <row r="2238" spans="1:12" x14ac:dyDescent="0.35">
      <c r="A2238" t="s">
        <v>121</v>
      </c>
      <c r="B2238" t="str">
        <f t="shared" si="102"/>
        <v>Obesity</v>
      </c>
      <c r="C2238">
        <v>33.33</v>
      </c>
      <c r="D2238" t="str">
        <f t="shared" si="103"/>
        <v>Diabetes</v>
      </c>
      <c r="E2238">
        <v>9.7899999999999991</v>
      </c>
      <c r="F2238" t="s">
        <v>2380</v>
      </c>
      <c r="G2238" t="s">
        <v>2380</v>
      </c>
      <c r="H2238" t="s">
        <v>2380</v>
      </c>
      <c r="J2238" t="s">
        <v>2381</v>
      </c>
      <c r="K2238" t="str">
        <f t="shared" si="104"/>
        <v>No</v>
      </c>
      <c r="L2238" t="s">
        <v>2380</v>
      </c>
    </row>
    <row r="2239" spans="1:12" x14ac:dyDescent="0.35">
      <c r="A2239" t="s">
        <v>120</v>
      </c>
      <c r="B2239" t="str">
        <f t="shared" si="102"/>
        <v>Normal Weight</v>
      </c>
      <c r="C2239">
        <v>18.5</v>
      </c>
      <c r="D2239" t="str">
        <f t="shared" si="103"/>
        <v>Diabetes</v>
      </c>
      <c r="E2239">
        <v>11.84</v>
      </c>
      <c r="F2239" t="s">
        <v>2380</v>
      </c>
      <c r="G2239" t="s">
        <v>2380</v>
      </c>
      <c r="H2239" t="s">
        <v>2380</v>
      </c>
      <c r="J2239" t="s">
        <v>2381</v>
      </c>
      <c r="K2239" t="str">
        <f t="shared" si="104"/>
        <v>No</v>
      </c>
      <c r="L2239" t="s">
        <v>2380</v>
      </c>
    </row>
    <row r="2240" spans="1:12" x14ac:dyDescent="0.35">
      <c r="A2240" t="s">
        <v>119</v>
      </c>
      <c r="B2240" t="str">
        <f t="shared" si="102"/>
        <v>Normal Weight</v>
      </c>
      <c r="C2240">
        <v>18.579999999999998</v>
      </c>
      <c r="D2240" t="str">
        <f t="shared" si="103"/>
        <v>Prediabetes</v>
      </c>
      <c r="E2240">
        <v>6.22</v>
      </c>
      <c r="F2240" t="s">
        <v>2380</v>
      </c>
      <c r="G2240" t="s">
        <v>2380</v>
      </c>
      <c r="H2240" t="s">
        <v>2380</v>
      </c>
      <c r="J2240" t="s">
        <v>2381</v>
      </c>
      <c r="K2240" t="str">
        <f t="shared" si="104"/>
        <v>No</v>
      </c>
      <c r="L2240" t="s">
        <v>2380</v>
      </c>
    </row>
    <row r="2241" spans="1:12" x14ac:dyDescent="0.35">
      <c r="A2241" t="s">
        <v>118</v>
      </c>
      <c r="B2241" t="str">
        <f t="shared" si="102"/>
        <v>Underweight</v>
      </c>
      <c r="C2241">
        <v>16.64</v>
      </c>
      <c r="D2241" t="str">
        <f t="shared" si="103"/>
        <v>Diabetes</v>
      </c>
      <c r="E2241">
        <v>10.01</v>
      </c>
      <c r="F2241" t="s">
        <v>2380</v>
      </c>
      <c r="G2241" t="s">
        <v>2380</v>
      </c>
      <c r="H2241" t="s">
        <v>2380</v>
      </c>
      <c r="J2241" t="s">
        <v>2381</v>
      </c>
      <c r="K2241" t="str">
        <f t="shared" si="104"/>
        <v>No</v>
      </c>
      <c r="L2241" t="s">
        <v>2380</v>
      </c>
    </row>
    <row r="2242" spans="1:12" x14ac:dyDescent="0.35">
      <c r="A2242" t="s">
        <v>117</v>
      </c>
      <c r="B2242" t="str">
        <f t="shared" si="102"/>
        <v>Normal Weight</v>
      </c>
      <c r="C2242">
        <v>19.329999999999998</v>
      </c>
      <c r="D2242" t="str">
        <f t="shared" si="103"/>
        <v>Normal</v>
      </c>
      <c r="E2242">
        <v>4.32</v>
      </c>
      <c r="F2242" t="s">
        <v>2380</v>
      </c>
      <c r="G2242" t="s">
        <v>2380</v>
      </c>
      <c r="H2242" t="s">
        <v>2380</v>
      </c>
      <c r="J2242">
        <v>1</v>
      </c>
      <c r="K2242" t="str">
        <f t="shared" si="104"/>
        <v>No</v>
      </c>
      <c r="L2242" t="s">
        <v>2380</v>
      </c>
    </row>
    <row r="2243" spans="1:12" x14ac:dyDescent="0.35">
      <c r="A2243" t="s">
        <v>116</v>
      </c>
      <c r="B2243" t="str">
        <f t="shared" ref="B2243:B2306" si="105">_xlfn.IFS(C2243&lt;18.5, "Underweight", C2243&lt;=24.9, "Normal Weight", C2243&lt;=29.9, "Overweight", C2243&gt;=30, "Obesity")</f>
        <v>Normal Weight</v>
      </c>
      <c r="C2243">
        <v>21.26</v>
      </c>
      <c r="D2243" t="str">
        <f t="shared" ref="D2243:D2306" si="106">_xlfn.IFS(E2243&lt;5.7, "Normal", E2243&lt;=6.4, "Prediabetes", E2243&gt;=6.5, "Diabetes")</f>
        <v>Normal</v>
      </c>
      <c r="E2243">
        <v>5.65</v>
      </c>
      <c r="F2243" t="s">
        <v>2382</v>
      </c>
      <c r="G2243" t="s">
        <v>2380</v>
      </c>
      <c r="H2243" t="s">
        <v>2383</v>
      </c>
      <c r="J2243">
        <v>1</v>
      </c>
      <c r="K2243" t="str">
        <f t="shared" si="104"/>
        <v>No</v>
      </c>
      <c r="L2243" t="s">
        <v>2380</v>
      </c>
    </row>
    <row r="2244" spans="1:12" x14ac:dyDescent="0.35">
      <c r="A2244" t="s">
        <v>115</v>
      </c>
      <c r="B2244" t="str">
        <f t="shared" si="105"/>
        <v>Underweight</v>
      </c>
      <c r="C2244">
        <v>15.6</v>
      </c>
      <c r="D2244" t="str">
        <f t="shared" si="106"/>
        <v>Normal</v>
      </c>
      <c r="E2244">
        <v>4.12</v>
      </c>
      <c r="F2244" t="s">
        <v>2382</v>
      </c>
      <c r="G2244" t="s">
        <v>2380</v>
      </c>
      <c r="H2244" t="s">
        <v>2380</v>
      </c>
      <c r="J2244">
        <v>1</v>
      </c>
      <c r="K2244" t="str">
        <f t="shared" ref="K2244:K2307" si="107">IF(OR(L2244="?", ISBLANK(L2244)), "No", L2244)</f>
        <v>No</v>
      </c>
      <c r="L2244" t="s">
        <v>2380</v>
      </c>
    </row>
    <row r="2245" spans="1:12" x14ac:dyDescent="0.35">
      <c r="A2245" t="s">
        <v>114</v>
      </c>
      <c r="B2245" t="str">
        <f t="shared" si="105"/>
        <v>Normal Weight</v>
      </c>
      <c r="C2245">
        <v>24.39</v>
      </c>
      <c r="D2245" t="str">
        <f t="shared" si="106"/>
        <v>Prediabetes</v>
      </c>
      <c r="E2245">
        <v>6.24</v>
      </c>
      <c r="F2245" t="s">
        <v>2380</v>
      </c>
      <c r="G2245" t="s">
        <v>2380</v>
      </c>
      <c r="H2245" t="s">
        <v>2380</v>
      </c>
      <c r="J2245">
        <v>1</v>
      </c>
      <c r="K2245" t="str">
        <f t="shared" si="107"/>
        <v>No</v>
      </c>
      <c r="L2245" t="s">
        <v>2380</v>
      </c>
    </row>
    <row r="2246" spans="1:12" x14ac:dyDescent="0.35">
      <c r="A2246" t="s">
        <v>113</v>
      </c>
      <c r="B2246" t="str">
        <f t="shared" si="105"/>
        <v>Normal Weight</v>
      </c>
      <c r="C2246">
        <v>24.75</v>
      </c>
      <c r="D2246" t="str">
        <f t="shared" si="106"/>
        <v>Normal</v>
      </c>
      <c r="E2246">
        <v>4.83</v>
      </c>
      <c r="F2246" t="s">
        <v>2380</v>
      </c>
      <c r="G2246" t="s">
        <v>2380</v>
      </c>
      <c r="H2246" t="s">
        <v>2380</v>
      </c>
      <c r="J2246" t="s">
        <v>2381</v>
      </c>
      <c r="K2246" t="str">
        <f t="shared" si="107"/>
        <v>No</v>
      </c>
      <c r="L2246" t="s">
        <v>2380</v>
      </c>
    </row>
    <row r="2247" spans="1:12" x14ac:dyDescent="0.35">
      <c r="A2247" t="s">
        <v>112</v>
      </c>
      <c r="B2247" t="str">
        <f t="shared" si="105"/>
        <v>Normal Weight</v>
      </c>
      <c r="C2247">
        <v>20.88</v>
      </c>
      <c r="D2247" t="str">
        <f t="shared" si="106"/>
        <v>Diabetes</v>
      </c>
      <c r="E2247">
        <v>7.4</v>
      </c>
      <c r="F2247" t="s">
        <v>2380</v>
      </c>
      <c r="G2247" t="s">
        <v>2380</v>
      </c>
      <c r="H2247" t="s">
        <v>2380</v>
      </c>
      <c r="J2247" t="s">
        <v>2381</v>
      </c>
      <c r="K2247" t="str">
        <f t="shared" si="107"/>
        <v>No</v>
      </c>
      <c r="L2247" t="s">
        <v>2380</v>
      </c>
    </row>
    <row r="2248" spans="1:12" x14ac:dyDescent="0.35">
      <c r="A2248" t="s">
        <v>111</v>
      </c>
      <c r="B2248" t="str">
        <f t="shared" si="105"/>
        <v>Normal Weight</v>
      </c>
      <c r="C2248">
        <v>20.43</v>
      </c>
      <c r="D2248" t="str">
        <f t="shared" si="106"/>
        <v>Normal</v>
      </c>
      <c r="E2248">
        <v>4.54</v>
      </c>
      <c r="F2248" t="s">
        <v>2380</v>
      </c>
      <c r="G2248" t="s">
        <v>2380</v>
      </c>
      <c r="H2248" t="s">
        <v>2380</v>
      </c>
      <c r="J2248" t="s">
        <v>2381</v>
      </c>
      <c r="K2248" t="str">
        <f t="shared" si="107"/>
        <v>No</v>
      </c>
      <c r="L2248" t="s">
        <v>2380</v>
      </c>
    </row>
    <row r="2249" spans="1:12" x14ac:dyDescent="0.35">
      <c r="A2249" t="s">
        <v>110</v>
      </c>
      <c r="B2249" t="str">
        <f t="shared" si="105"/>
        <v>Underweight</v>
      </c>
      <c r="C2249">
        <v>15.18</v>
      </c>
      <c r="D2249" t="str">
        <f t="shared" si="106"/>
        <v>Diabetes</v>
      </c>
      <c r="E2249">
        <v>11.11</v>
      </c>
      <c r="F2249" t="s">
        <v>2380</v>
      </c>
      <c r="G2249" t="s">
        <v>2380</v>
      </c>
      <c r="H2249" t="s">
        <v>2380</v>
      </c>
      <c r="J2249" t="s">
        <v>2381</v>
      </c>
      <c r="K2249" t="str">
        <f t="shared" si="107"/>
        <v>No</v>
      </c>
      <c r="L2249" t="s">
        <v>2380</v>
      </c>
    </row>
    <row r="2250" spans="1:12" x14ac:dyDescent="0.35">
      <c r="A2250" t="s">
        <v>109</v>
      </c>
      <c r="B2250" t="str">
        <f t="shared" si="105"/>
        <v>Underweight</v>
      </c>
      <c r="C2250">
        <v>15.12</v>
      </c>
      <c r="D2250" t="str">
        <f t="shared" si="106"/>
        <v>Normal</v>
      </c>
      <c r="E2250">
        <v>4.03</v>
      </c>
      <c r="F2250" t="s">
        <v>2382</v>
      </c>
      <c r="G2250" t="s">
        <v>2380</v>
      </c>
      <c r="H2250" t="s">
        <v>2380</v>
      </c>
      <c r="J2250" t="s">
        <v>2381</v>
      </c>
      <c r="K2250" t="str">
        <f t="shared" si="107"/>
        <v>No</v>
      </c>
      <c r="L2250" t="s">
        <v>2380</v>
      </c>
    </row>
    <row r="2251" spans="1:12" x14ac:dyDescent="0.35">
      <c r="A2251" t="s">
        <v>108</v>
      </c>
      <c r="B2251" t="str">
        <f t="shared" si="105"/>
        <v>Normal Weight</v>
      </c>
      <c r="C2251">
        <v>23.88</v>
      </c>
      <c r="D2251" t="str">
        <f t="shared" si="106"/>
        <v>Normal</v>
      </c>
      <c r="E2251">
        <v>4.51</v>
      </c>
      <c r="F2251" t="s">
        <v>2380</v>
      </c>
      <c r="G2251" t="s">
        <v>2380</v>
      </c>
      <c r="H2251" t="s">
        <v>2380</v>
      </c>
      <c r="J2251">
        <v>1</v>
      </c>
      <c r="K2251" t="str">
        <f t="shared" si="107"/>
        <v>No</v>
      </c>
      <c r="L2251" t="s">
        <v>2380</v>
      </c>
    </row>
    <row r="2252" spans="1:12" x14ac:dyDescent="0.35">
      <c r="A2252" t="s">
        <v>107</v>
      </c>
      <c r="B2252" t="str">
        <f t="shared" si="105"/>
        <v>Underweight</v>
      </c>
      <c r="C2252">
        <v>16.13</v>
      </c>
      <c r="D2252" t="str">
        <f t="shared" si="106"/>
        <v>Normal</v>
      </c>
      <c r="E2252">
        <v>5.56</v>
      </c>
      <c r="F2252" t="s">
        <v>2380</v>
      </c>
      <c r="G2252" t="s">
        <v>2382</v>
      </c>
      <c r="H2252" t="s">
        <v>2380</v>
      </c>
      <c r="J2252">
        <v>1</v>
      </c>
      <c r="K2252" t="str">
        <f t="shared" si="107"/>
        <v>No</v>
      </c>
      <c r="L2252" t="s">
        <v>2380</v>
      </c>
    </row>
    <row r="2253" spans="1:12" x14ac:dyDescent="0.35">
      <c r="A2253" t="s">
        <v>106</v>
      </c>
      <c r="B2253" t="str">
        <f t="shared" si="105"/>
        <v>Normal Weight</v>
      </c>
      <c r="C2253">
        <v>24.09</v>
      </c>
      <c r="D2253" t="str">
        <f t="shared" si="106"/>
        <v>Normal</v>
      </c>
      <c r="E2253">
        <v>4.0999999999999996</v>
      </c>
      <c r="F2253" t="s">
        <v>2380</v>
      </c>
      <c r="G2253" t="s">
        <v>2382</v>
      </c>
      <c r="H2253" t="s">
        <v>2380</v>
      </c>
      <c r="J2253">
        <v>1</v>
      </c>
      <c r="K2253" t="str">
        <f t="shared" si="107"/>
        <v>No</v>
      </c>
      <c r="L2253" t="s">
        <v>2380</v>
      </c>
    </row>
    <row r="2254" spans="1:12" x14ac:dyDescent="0.35">
      <c r="A2254" t="s">
        <v>105</v>
      </c>
      <c r="B2254" t="str">
        <f t="shared" si="105"/>
        <v>Normal Weight</v>
      </c>
      <c r="C2254">
        <v>19.43</v>
      </c>
      <c r="D2254" t="str">
        <f t="shared" si="106"/>
        <v>Prediabetes</v>
      </c>
      <c r="E2254">
        <v>5.85</v>
      </c>
      <c r="F2254" t="s">
        <v>2380</v>
      </c>
      <c r="G2254" t="s">
        <v>2382</v>
      </c>
      <c r="H2254" t="s">
        <v>2380</v>
      </c>
      <c r="J2254">
        <v>1</v>
      </c>
      <c r="K2254" t="str">
        <f t="shared" si="107"/>
        <v>No</v>
      </c>
      <c r="L2254" t="s">
        <v>2380</v>
      </c>
    </row>
    <row r="2255" spans="1:12" x14ac:dyDescent="0.35">
      <c r="A2255" t="s">
        <v>104</v>
      </c>
      <c r="B2255" t="str">
        <f t="shared" si="105"/>
        <v>Underweight</v>
      </c>
      <c r="C2255">
        <v>15.22</v>
      </c>
      <c r="D2255" t="str">
        <f t="shared" si="106"/>
        <v>Normal</v>
      </c>
      <c r="E2255">
        <v>4.92</v>
      </c>
      <c r="F2255" t="s">
        <v>2382</v>
      </c>
      <c r="G2255" t="s">
        <v>2380</v>
      </c>
      <c r="H2255" t="s">
        <v>2383</v>
      </c>
      <c r="J2255">
        <v>1</v>
      </c>
      <c r="K2255" t="str">
        <f t="shared" si="107"/>
        <v>No</v>
      </c>
      <c r="L2255" t="s">
        <v>2380</v>
      </c>
    </row>
    <row r="2256" spans="1:12" x14ac:dyDescent="0.35">
      <c r="A2256" t="s">
        <v>103</v>
      </c>
      <c r="B2256" t="str">
        <f t="shared" si="105"/>
        <v>Normal Weight</v>
      </c>
      <c r="C2256">
        <v>20.72</v>
      </c>
      <c r="D2256" t="str">
        <f t="shared" si="106"/>
        <v>Diabetes</v>
      </c>
      <c r="E2256">
        <v>9.4600000000000009</v>
      </c>
      <c r="F2256" t="s">
        <v>2380</v>
      </c>
      <c r="G2256" t="s">
        <v>2380</v>
      </c>
      <c r="H2256" t="s">
        <v>2380</v>
      </c>
      <c r="J2256" t="s">
        <v>2381</v>
      </c>
      <c r="K2256" t="str">
        <f t="shared" si="107"/>
        <v>No</v>
      </c>
      <c r="L2256" t="s">
        <v>2380</v>
      </c>
    </row>
    <row r="2257" spans="1:12" x14ac:dyDescent="0.35">
      <c r="A2257" t="s">
        <v>102</v>
      </c>
      <c r="B2257" t="str">
        <f t="shared" si="105"/>
        <v>Obesity</v>
      </c>
      <c r="C2257">
        <v>35.4</v>
      </c>
      <c r="D2257" t="str">
        <f t="shared" si="106"/>
        <v>Prediabetes</v>
      </c>
      <c r="E2257">
        <v>5.94</v>
      </c>
      <c r="F2257" t="s">
        <v>2380</v>
      </c>
      <c r="G2257" t="s">
        <v>2380</v>
      </c>
      <c r="H2257" t="s">
        <v>2383</v>
      </c>
      <c r="J2257">
        <v>1</v>
      </c>
      <c r="K2257" t="str">
        <f t="shared" si="107"/>
        <v>No</v>
      </c>
      <c r="L2257" t="s">
        <v>2380</v>
      </c>
    </row>
    <row r="2258" spans="1:12" x14ac:dyDescent="0.35">
      <c r="A2258" t="s">
        <v>101</v>
      </c>
      <c r="B2258" t="str">
        <f t="shared" si="105"/>
        <v>Obesity</v>
      </c>
      <c r="C2258">
        <v>34.4</v>
      </c>
      <c r="D2258" t="str">
        <f t="shared" si="106"/>
        <v>Prediabetes</v>
      </c>
      <c r="E2258">
        <v>5.7</v>
      </c>
      <c r="F2258" t="s">
        <v>2380</v>
      </c>
      <c r="G2258" t="s">
        <v>2380</v>
      </c>
      <c r="H2258" t="s">
        <v>2383</v>
      </c>
      <c r="J2258">
        <v>1</v>
      </c>
      <c r="K2258" t="str">
        <f t="shared" si="107"/>
        <v>No</v>
      </c>
      <c r="L2258" t="s">
        <v>2380</v>
      </c>
    </row>
    <row r="2259" spans="1:12" x14ac:dyDescent="0.35">
      <c r="A2259" t="s">
        <v>100</v>
      </c>
      <c r="B2259" t="str">
        <f t="shared" si="105"/>
        <v>Obesity</v>
      </c>
      <c r="C2259">
        <v>34.1</v>
      </c>
      <c r="D2259" t="str">
        <f t="shared" si="106"/>
        <v>Normal</v>
      </c>
      <c r="E2259">
        <v>4.13</v>
      </c>
      <c r="F2259" t="s">
        <v>2380</v>
      </c>
      <c r="G2259" t="s">
        <v>2380</v>
      </c>
      <c r="H2259" t="s">
        <v>2383</v>
      </c>
      <c r="J2259">
        <v>1</v>
      </c>
      <c r="K2259" t="str">
        <f t="shared" si="107"/>
        <v>No</v>
      </c>
      <c r="L2259" t="s">
        <v>2380</v>
      </c>
    </row>
    <row r="2260" spans="1:12" x14ac:dyDescent="0.35">
      <c r="A2260" t="s">
        <v>99</v>
      </c>
      <c r="B2260" t="str">
        <f t="shared" si="105"/>
        <v>Obesity</v>
      </c>
      <c r="C2260">
        <v>30.4</v>
      </c>
      <c r="D2260" t="str">
        <f t="shared" si="106"/>
        <v>Normal</v>
      </c>
      <c r="E2260">
        <v>4.7699999999999996</v>
      </c>
      <c r="F2260" t="s">
        <v>2380</v>
      </c>
      <c r="G2260" t="s">
        <v>2380</v>
      </c>
      <c r="H2260" t="s">
        <v>2383</v>
      </c>
      <c r="J2260">
        <v>1</v>
      </c>
      <c r="K2260" t="str">
        <f t="shared" si="107"/>
        <v>No</v>
      </c>
      <c r="L2260" t="s">
        <v>2380</v>
      </c>
    </row>
    <row r="2261" spans="1:12" x14ac:dyDescent="0.35">
      <c r="A2261" t="s">
        <v>98</v>
      </c>
      <c r="B2261" t="str">
        <f t="shared" si="105"/>
        <v>Overweight</v>
      </c>
      <c r="C2261">
        <v>28.7</v>
      </c>
      <c r="D2261" t="str">
        <f t="shared" si="106"/>
        <v>Normal</v>
      </c>
      <c r="E2261">
        <v>4.99</v>
      </c>
      <c r="F2261" t="s">
        <v>2380</v>
      </c>
      <c r="G2261" t="s">
        <v>2380</v>
      </c>
      <c r="H2261" t="s">
        <v>2383</v>
      </c>
      <c r="J2261">
        <v>1</v>
      </c>
      <c r="K2261" t="str">
        <f t="shared" si="107"/>
        <v>No</v>
      </c>
      <c r="L2261" t="s">
        <v>2380</v>
      </c>
    </row>
    <row r="2262" spans="1:12" x14ac:dyDescent="0.35">
      <c r="A2262" t="s">
        <v>97</v>
      </c>
      <c r="B2262" t="str">
        <f t="shared" si="105"/>
        <v>Underweight</v>
      </c>
      <c r="C2262">
        <v>17.440000000000001</v>
      </c>
      <c r="D2262" t="str">
        <f t="shared" si="106"/>
        <v>Normal</v>
      </c>
      <c r="E2262">
        <v>4.42</v>
      </c>
      <c r="F2262" t="s">
        <v>2382</v>
      </c>
      <c r="G2262" t="s">
        <v>2380</v>
      </c>
      <c r="H2262" t="s">
        <v>2383</v>
      </c>
      <c r="J2262">
        <v>1</v>
      </c>
      <c r="K2262" t="str">
        <f t="shared" si="107"/>
        <v>No</v>
      </c>
      <c r="L2262" t="s">
        <v>2380</v>
      </c>
    </row>
    <row r="2263" spans="1:12" x14ac:dyDescent="0.35">
      <c r="A2263" t="s">
        <v>96</v>
      </c>
      <c r="B2263" t="str">
        <f t="shared" si="105"/>
        <v>Overweight</v>
      </c>
      <c r="C2263">
        <v>27.6</v>
      </c>
      <c r="D2263" t="str">
        <f t="shared" si="106"/>
        <v>Normal</v>
      </c>
      <c r="E2263">
        <v>4.01</v>
      </c>
      <c r="F2263" t="s">
        <v>2380</v>
      </c>
      <c r="G2263" t="s">
        <v>2380</v>
      </c>
      <c r="H2263" t="s">
        <v>2383</v>
      </c>
      <c r="J2263">
        <v>1</v>
      </c>
      <c r="K2263" t="str">
        <f t="shared" si="107"/>
        <v>No</v>
      </c>
      <c r="L2263" t="s">
        <v>2380</v>
      </c>
    </row>
    <row r="2264" spans="1:12" x14ac:dyDescent="0.35">
      <c r="A2264" t="s">
        <v>95</v>
      </c>
      <c r="B2264" t="str">
        <f t="shared" si="105"/>
        <v>Normal Weight</v>
      </c>
      <c r="C2264">
        <v>20.7</v>
      </c>
      <c r="D2264" t="str">
        <f t="shared" si="106"/>
        <v>Normal</v>
      </c>
      <c r="E2264">
        <v>4.49</v>
      </c>
      <c r="F2264" t="s">
        <v>2380</v>
      </c>
      <c r="G2264" t="s">
        <v>2380</v>
      </c>
      <c r="H2264" t="s">
        <v>2383</v>
      </c>
      <c r="J2264">
        <v>1</v>
      </c>
      <c r="K2264" t="str">
        <f t="shared" si="107"/>
        <v>No</v>
      </c>
      <c r="L2264" t="s">
        <v>2380</v>
      </c>
    </row>
    <row r="2265" spans="1:12" x14ac:dyDescent="0.35">
      <c r="A2265" t="s">
        <v>94</v>
      </c>
      <c r="B2265" t="str">
        <f t="shared" si="105"/>
        <v>Normal Weight</v>
      </c>
      <c r="C2265">
        <v>20.3</v>
      </c>
      <c r="D2265" t="str">
        <f t="shared" si="106"/>
        <v>Prediabetes</v>
      </c>
      <c r="E2265">
        <v>6.37</v>
      </c>
      <c r="F2265" t="s">
        <v>2380</v>
      </c>
      <c r="G2265" t="s">
        <v>2380</v>
      </c>
      <c r="H2265" t="s">
        <v>2383</v>
      </c>
      <c r="J2265">
        <v>1</v>
      </c>
      <c r="K2265" t="str">
        <f t="shared" si="107"/>
        <v>No</v>
      </c>
      <c r="L2265" t="s">
        <v>2380</v>
      </c>
    </row>
    <row r="2266" spans="1:12" x14ac:dyDescent="0.35">
      <c r="A2266" t="s">
        <v>93</v>
      </c>
      <c r="B2266" t="str">
        <f t="shared" si="105"/>
        <v>Normal Weight</v>
      </c>
      <c r="C2266">
        <v>19.8</v>
      </c>
      <c r="D2266" t="str">
        <f t="shared" si="106"/>
        <v>Normal</v>
      </c>
      <c r="E2266">
        <v>5.12</v>
      </c>
      <c r="F2266" t="s">
        <v>2380</v>
      </c>
      <c r="G2266" t="s">
        <v>2380</v>
      </c>
      <c r="H2266" t="s">
        <v>2383</v>
      </c>
      <c r="J2266">
        <v>1</v>
      </c>
      <c r="K2266" t="str">
        <f t="shared" si="107"/>
        <v>No</v>
      </c>
      <c r="L2266" t="s">
        <v>2380</v>
      </c>
    </row>
    <row r="2267" spans="1:12" x14ac:dyDescent="0.35">
      <c r="A2267" t="s">
        <v>92</v>
      </c>
      <c r="B2267" t="str">
        <f t="shared" si="105"/>
        <v>Normal Weight</v>
      </c>
      <c r="C2267">
        <v>21.87</v>
      </c>
      <c r="D2267" t="str">
        <f t="shared" si="106"/>
        <v>Diabetes</v>
      </c>
      <c r="E2267">
        <v>8.59</v>
      </c>
      <c r="F2267" t="s">
        <v>2380</v>
      </c>
      <c r="G2267" t="s">
        <v>2380</v>
      </c>
      <c r="H2267" t="s">
        <v>2380</v>
      </c>
      <c r="J2267" t="s">
        <v>2381</v>
      </c>
      <c r="K2267" t="str">
        <f t="shared" si="107"/>
        <v>No</v>
      </c>
      <c r="L2267" t="s">
        <v>2380</v>
      </c>
    </row>
    <row r="2268" spans="1:12" x14ac:dyDescent="0.35">
      <c r="A2268" t="s">
        <v>91</v>
      </c>
      <c r="B2268" t="str">
        <f t="shared" si="105"/>
        <v>Underweight</v>
      </c>
      <c r="C2268">
        <v>16.600000000000001</v>
      </c>
      <c r="D2268" t="str">
        <f t="shared" si="106"/>
        <v>Prediabetes</v>
      </c>
      <c r="E2268">
        <v>5.87</v>
      </c>
      <c r="F2268" t="s">
        <v>2380</v>
      </c>
      <c r="G2268" t="s">
        <v>2380</v>
      </c>
      <c r="H2268" t="s">
        <v>2380</v>
      </c>
      <c r="J2268">
        <v>1</v>
      </c>
      <c r="K2268" t="str">
        <f t="shared" si="107"/>
        <v>No</v>
      </c>
      <c r="L2268" t="s">
        <v>2380</v>
      </c>
    </row>
    <row r="2269" spans="1:12" x14ac:dyDescent="0.35">
      <c r="A2269" t="s">
        <v>90</v>
      </c>
      <c r="B2269" t="str">
        <f t="shared" si="105"/>
        <v>Normal Weight</v>
      </c>
      <c r="C2269">
        <v>21.98</v>
      </c>
      <c r="D2269" t="str">
        <f t="shared" si="106"/>
        <v>Diabetes</v>
      </c>
      <c r="E2269">
        <v>7.03</v>
      </c>
      <c r="F2269" t="s">
        <v>2380</v>
      </c>
      <c r="G2269" t="s">
        <v>2380</v>
      </c>
      <c r="H2269" t="s">
        <v>2380</v>
      </c>
      <c r="J2269" t="s">
        <v>2381</v>
      </c>
      <c r="K2269" t="str">
        <f t="shared" si="107"/>
        <v>No</v>
      </c>
      <c r="L2269" t="s">
        <v>2380</v>
      </c>
    </row>
    <row r="2270" spans="1:12" x14ac:dyDescent="0.35">
      <c r="A2270" t="s">
        <v>89</v>
      </c>
      <c r="B2270" t="str">
        <f t="shared" si="105"/>
        <v>Normal Weight</v>
      </c>
      <c r="C2270">
        <v>19.7</v>
      </c>
      <c r="D2270" t="str">
        <f t="shared" si="106"/>
        <v>Normal</v>
      </c>
      <c r="E2270">
        <v>5.51</v>
      </c>
      <c r="F2270" t="s">
        <v>2380</v>
      </c>
      <c r="G2270" t="s">
        <v>2380</v>
      </c>
      <c r="H2270" t="s">
        <v>2380</v>
      </c>
      <c r="J2270">
        <v>1</v>
      </c>
      <c r="K2270" t="str">
        <f t="shared" si="107"/>
        <v>No</v>
      </c>
      <c r="L2270" t="s">
        <v>2380</v>
      </c>
    </row>
    <row r="2271" spans="1:12" x14ac:dyDescent="0.35">
      <c r="A2271" t="s">
        <v>88</v>
      </c>
      <c r="B2271" t="str">
        <f t="shared" si="105"/>
        <v>Normal Weight</v>
      </c>
      <c r="C2271">
        <v>19.21</v>
      </c>
      <c r="D2271" t="str">
        <f t="shared" si="106"/>
        <v>Normal</v>
      </c>
      <c r="E2271">
        <v>4.76</v>
      </c>
      <c r="F2271" t="s">
        <v>2380</v>
      </c>
      <c r="G2271" t="s">
        <v>2382</v>
      </c>
      <c r="H2271" t="s">
        <v>2380</v>
      </c>
      <c r="J2271">
        <v>1</v>
      </c>
      <c r="K2271" t="str">
        <f t="shared" si="107"/>
        <v>No</v>
      </c>
      <c r="L2271" t="s">
        <v>2380</v>
      </c>
    </row>
    <row r="2272" spans="1:12" x14ac:dyDescent="0.35">
      <c r="A2272" t="s">
        <v>87</v>
      </c>
      <c r="B2272" t="str">
        <f t="shared" si="105"/>
        <v>Normal Weight</v>
      </c>
      <c r="C2272">
        <v>19.3</v>
      </c>
      <c r="D2272" t="str">
        <f t="shared" si="106"/>
        <v>Normal</v>
      </c>
      <c r="E2272">
        <v>4.7</v>
      </c>
      <c r="F2272" t="s">
        <v>2380</v>
      </c>
      <c r="G2272" t="s">
        <v>2382</v>
      </c>
      <c r="H2272" t="s">
        <v>2380</v>
      </c>
      <c r="J2272">
        <v>1</v>
      </c>
      <c r="K2272" t="str">
        <f t="shared" si="107"/>
        <v>No</v>
      </c>
      <c r="L2272" t="s">
        <v>2380</v>
      </c>
    </row>
    <row r="2273" spans="1:12" x14ac:dyDescent="0.35">
      <c r="A2273" t="s">
        <v>86</v>
      </c>
      <c r="B2273" t="str">
        <f t="shared" si="105"/>
        <v>Underweight</v>
      </c>
      <c r="C2273">
        <v>16.22</v>
      </c>
      <c r="D2273" t="str">
        <f t="shared" si="106"/>
        <v>Prediabetes</v>
      </c>
      <c r="E2273">
        <v>6.21</v>
      </c>
      <c r="F2273" t="s">
        <v>2382</v>
      </c>
      <c r="G2273" t="s">
        <v>2380</v>
      </c>
      <c r="H2273" t="s">
        <v>2380</v>
      </c>
      <c r="J2273" t="s">
        <v>2381</v>
      </c>
      <c r="K2273" t="str">
        <f t="shared" si="107"/>
        <v>No</v>
      </c>
      <c r="L2273" t="s">
        <v>2380</v>
      </c>
    </row>
    <row r="2274" spans="1:12" x14ac:dyDescent="0.35">
      <c r="A2274" t="s">
        <v>85</v>
      </c>
      <c r="B2274" t="str">
        <f t="shared" si="105"/>
        <v>Underweight</v>
      </c>
      <c r="C2274">
        <v>17.12</v>
      </c>
      <c r="D2274" t="str">
        <f t="shared" si="106"/>
        <v>Normal</v>
      </c>
      <c r="E2274">
        <v>4.5199999999999996</v>
      </c>
      <c r="F2274" t="s">
        <v>2380</v>
      </c>
      <c r="G2274" t="s">
        <v>2382</v>
      </c>
      <c r="H2274" t="s">
        <v>2380</v>
      </c>
      <c r="J2274">
        <v>1</v>
      </c>
      <c r="K2274" t="str">
        <f t="shared" si="107"/>
        <v>No</v>
      </c>
      <c r="L2274" t="s">
        <v>2380</v>
      </c>
    </row>
    <row r="2275" spans="1:12" x14ac:dyDescent="0.35">
      <c r="A2275" t="s">
        <v>84</v>
      </c>
      <c r="B2275" t="str">
        <f t="shared" si="105"/>
        <v>Normal Weight</v>
      </c>
      <c r="C2275">
        <v>19.07</v>
      </c>
      <c r="D2275" t="str">
        <f t="shared" si="106"/>
        <v>Normal</v>
      </c>
      <c r="E2275">
        <v>5.45</v>
      </c>
      <c r="F2275" t="s">
        <v>2380</v>
      </c>
      <c r="G2275" t="s">
        <v>2380</v>
      </c>
      <c r="H2275" t="s">
        <v>2380</v>
      </c>
      <c r="J2275">
        <v>1</v>
      </c>
      <c r="K2275" t="str">
        <f t="shared" si="107"/>
        <v>No</v>
      </c>
      <c r="L2275" t="s">
        <v>2380</v>
      </c>
    </row>
    <row r="2276" spans="1:12" x14ac:dyDescent="0.35">
      <c r="A2276" t="s">
        <v>83</v>
      </c>
      <c r="B2276" t="str">
        <f t="shared" si="105"/>
        <v>Underweight</v>
      </c>
      <c r="C2276">
        <v>15.56</v>
      </c>
      <c r="D2276" t="str">
        <f t="shared" si="106"/>
        <v>Normal</v>
      </c>
      <c r="E2276">
        <v>4.42</v>
      </c>
      <c r="F2276" t="s">
        <v>2380</v>
      </c>
      <c r="G2276" t="s">
        <v>2380</v>
      </c>
      <c r="H2276" t="s">
        <v>2380</v>
      </c>
      <c r="J2276" t="s">
        <v>2381</v>
      </c>
      <c r="K2276" t="str">
        <f t="shared" si="107"/>
        <v>No</v>
      </c>
      <c r="L2276" t="s">
        <v>2380</v>
      </c>
    </row>
    <row r="2277" spans="1:12" x14ac:dyDescent="0.35">
      <c r="A2277" t="s">
        <v>82</v>
      </c>
      <c r="B2277" t="str">
        <f t="shared" si="105"/>
        <v>Normal Weight</v>
      </c>
      <c r="C2277">
        <v>22.76</v>
      </c>
      <c r="D2277" t="str">
        <f t="shared" si="106"/>
        <v>Diabetes</v>
      </c>
      <c r="E2277">
        <v>9.44</v>
      </c>
      <c r="F2277" t="s">
        <v>2380</v>
      </c>
      <c r="G2277" t="s">
        <v>2380</v>
      </c>
      <c r="H2277" t="s">
        <v>2380</v>
      </c>
      <c r="J2277" t="s">
        <v>2381</v>
      </c>
      <c r="K2277" t="str">
        <f t="shared" si="107"/>
        <v>No</v>
      </c>
      <c r="L2277" t="s">
        <v>2380</v>
      </c>
    </row>
    <row r="2278" spans="1:12" x14ac:dyDescent="0.35">
      <c r="A2278" t="s">
        <v>81</v>
      </c>
      <c r="B2278" t="str">
        <f t="shared" si="105"/>
        <v>Normal Weight</v>
      </c>
      <c r="C2278">
        <v>22.79</v>
      </c>
      <c r="D2278" t="str">
        <f t="shared" si="106"/>
        <v>Prediabetes</v>
      </c>
      <c r="E2278">
        <v>6.15</v>
      </c>
      <c r="F2278" t="s">
        <v>2382</v>
      </c>
      <c r="G2278" t="s">
        <v>2380</v>
      </c>
      <c r="H2278" t="s">
        <v>2383</v>
      </c>
      <c r="J2278">
        <v>1</v>
      </c>
      <c r="K2278" t="str">
        <f t="shared" si="107"/>
        <v>No</v>
      </c>
      <c r="L2278" t="s">
        <v>2380</v>
      </c>
    </row>
    <row r="2279" spans="1:12" x14ac:dyDescent="0.35">
      <c r="A2279" t="s">
        <v>80</v>
      </c>
      <c r="B2279" t="str">
        <f t="shared" si="105"/>
        <v>Underweight</v>
      </c>
      <c r="C2279">
        <v>17.41</v>
      </c>
      <c r="D2279" t="str">
        <f t="shared" si="106"/>
        <v>Normal</v>
      </c>
      <c r="E2279">
        <v>5.13</v>
      </c>
      <c r="F2279" t="s">
        <v>2382</v>
      </c>
      <c r="G2279" t="s">
        <v>2380</v>
      </c>
      <c r="H2279" t="s">
        <v>2380</v>
      </c>
      <c r="J2279" t="s">
        <v>2381</v>
      </c>
      <c r="K2279" t="str">
        <f t="shared" si="107"/>
        <v>No</v>
      </c>
      <c r="L2279" t="s">
        <v>2380</v>
      </c>
    </row>
    <row r="2280" spans="1:12" x14ac:dyDescent="0.35">
      <c r="A2280" t="s">
        <v>79</v>
      </c>
      <c r="B2280" t="str">
        <f t="shared" si="105"/>
        <v>Normal Weight</v>
      </c>
      <c r="C2280">
        <v>19.32</v>
      </c>
      <c r="D2280" t="str">
        <f t="shared" si="106"/>
        <v>Normal</v>
      </c>
      <c r="E2280">
        <v>4.96</v>
      </c>
      <c r="F2280" t="s">
        <v>2382</v>
      </c>
      <c r="G2280" t="s">
        <v>2380</v>
      </c>
      <c r="H2280" t="s">
        <v>2380</v>
      </c>
      <c r="J2280" t="s">
        <v>2381</v>
      </c>
      <c r="K2280" t="str">
        <f t="shared" si="107"/>
        <v>No</v>
      </c>
      <c r="L2280" t="s">
        <v>2380</v>
      </c>
    </row>
    <row r="2281" spans="1:12" x14ac:dyDescent="0.35">
      <c r="A2281" t="s">
        <v>78</v>
      </c>
      <c r="B2281" t="str">
        <f t="shared" si="105"/>
        <v>Underweight</v>
      </c>
      <c r="C2281">
        <v>18.25</v>
      </c>
      <c r="D2281" t="str">
        <f t="shared" si="106"/>
        <v>Diabetes</v>
      </c>
      <c r="E2281">
        <v>10.95</v>
      </c>
      <c r="F2281" t="s">
        <v>2380</v>
      </c>
      <c r="G2281" t="s">
        <v>2380</v>
      </c>
      <c r="H2281" t="s">
        <v>2380</v>
      </c>
      <c r="J2281" t="s">
        <v>2381</v>
      </c>
      <c r="K2281" t="str">
        <f t="shared" si="107"/>
        <v>No</v>
      </c>
      <c r="L2281" t="s">
        <v>2380</v>
      </c>
    </row>
    <row r="2282" spans="1:12" x14ac:dyDescent="0.35">
      <c r="A2282" t="s">
        <v>77</v>
      </c>
      <c r="B2282" t="str">
        <f t="shared" si="105"/>
        <v>Obesity</v>
      </c>
      <c r="C2282">
        <v>53.13</v>
      </c>
      <c r="D2282" t="str">
        <f t="shared" si="106"/>
        <v>Normal</v>
      </c>
      <c r="E2282">
        <v>4.4400000000000004</v>
      </c>
      <c r="F2282" t="s">
        <v>2380</v>
      </c>
      <c r="G2282" t="s">
        <v>2382</v>
      </c>
      <c r="H2282" t="s">
        <v>2380</v>
      </c>
      <c r="J2282">
        <v>1</v>
      </c>
      <c r="K2282" t="str">
        <f t="shared" si="107"/>
        <v>No</v>
      </c>
      <c r="L2282" t="s">
        <v>2380</v>
      </c>
    </row>
    <row r="2283" spans="1:12" x14ac:dyDescent="0.35">
      <c r="A2283" t="s">
        <v>76</v>
      </c>
      <c r="B2283" t="str">
        <f t="shared" si="105"/>
        <v>Normal Weight</v>
      </c>
      <c r="C2283">
        <v>20.46</v>
      </c>
      <c r="D2283" t="str">
        <f t="shared" si="106"/>
        <v>Normal</v>
      </c>
      <c r="E2283">
        <v>4.0199999999999996</v>
      </c>
      <c r="F2283" t="s">
        <v>2380</v>
      </c>
      <c r="G2283" t="s">
        <v>2380</v>
      </c>
      <c r="H2283" t="s">
        <v>2380</v>
      </c>
      <c r="J2283" t="s">
        <v>2381</v>
      </c>
      <c r="K2283" t="str">
        <f t="shared" si="107"/>
        <v>No</v>
      </c>
      <c r="L2283" t="s">
        <v>2380</v>
      </c>
    </row>
    <row r="2284" spans="1:12" x14ac:dyDescent="0.35">
      <c r="A2284" t="s">
        <v>75</v>
      </c>
      <c r="B2284" t="str">
        <f t="shared" si="105"/>
        <v>Obesity</v>
      </c>
      <c r="C2284">
        <v>43.01</v>
      </c>
      <c r="D2284" t="str">
        <f t="shared" si="106"/>
        <v>Normal</v>
      </c>
      <c r="E2284">
        <v>5.44</v>
      </c>
      <c r="F2284" t="s">
        <v>2380</v>
      </c>
      <c r="G2284" t="s">
        <v>2382</v>
      </c>
      <c r="H2284" t="s">
        <v>2380</v>
      </c>
      <c r="J2284">
        <v>1</v>
      </c>
      <c r="K2284" t="str">
        <f t="shared" si="107"/>
        <v>No</v>
      </c>
      <c r="L2284" t="s">
        <v>2380</v>
      </c>
    </row>
    <row r="2285" spans="1:12" x14ac:dyDescent="0.35">
      <c r="A2285" t="s">
        <v>74</v>
      </c>
      <c r="B2285" t="str">
        <f t="shared" si="105"/>
        <v>Underweight</v>
      </c>
      <c r="C2285">
        <v>15.01</v>
      </c>
      <c r="D2285" t="str">
        <f t="shared" si="106"/>
        <v>Normal</v>
      </c>
      <c r="E2285">
        <v>4.1500000000000004</v>
      </c>
      <c r="F2285" t="s">
        <v>2380</v>
      </c>
      <c r="G2285" t="s">
        <v>2380</v>
      </c>
      <c r="H2285" t="s">
        <v>2383</v>
      </c>
      <c r="J2285">
        <v>1</v>
      </c>
      <c r="K2285" t="str">
        <f t="shared" si="107"/>
        <v>No</v>
      </c>
      <c r="L2285" t="s">
        <v>2380</v>
      </c>
    </row>
    <row r="2286" spans="1:12" x14ac:dyDescent="0.35">
      <c r="A2286" t="s">
        <v>73</v>
      </c>
      <c r="B2286" t="str">
        <f t="shared" si="105"/>
        <v>Obesity</v>
      </c>
      <c r="C2286">
        <v>41.14</v>
      </c>
      <c r="D2286" t="str">
        <f t="shared" si="106"/>
        <v>Prediabetes</v>
      </c>
      <c r="E2286">
        <v>6.02</v>
      </c>
      <c r="F2286" t="s">
        <v>2380</v>
      </c>
      <c r="G2286" t="s">
        <v>2382</v>
      </c>
      <c r="H2286" t="s">
        <v>2380</v>
      </c>
      <c r="J2286">
        <v>1</v>
      </c>
      <c r="K2286" t="str">
        <f t="shared" si="107"/>
        <v>No</v>
      </c>
      <c r="L2286" t="s">
        <v>2380</v>
      </c>
    </row>
    <row r="2287" spans="1:12" x14ac:dyDescent="0.35">
      <c r="A2287" t="s">
        <v>72</v>
      </c>
      <c r="B2287" t="str">
        <f t="shared" si="105"/>
        <v>Underweight</v>
      </c>
      <c r="C2287">
        <v>16.55</v>
      </c>
      <c r="D2287" t="str">
        <f t="shared" si="106"/>
        <v>Diabetes</v>
      </c>
      <c r="E2287">
        <v>7.73</v>
      </c>
      <c r="F2287" t="s">
        <v>2380</v>
      </c>
      <c r="G2287" t="s">
        <v>2380</v>
      </c>
      <c r="H2287" t="s">
        <v>2380</v>
      </c>
      <c r="J2287" t="s">
        <v>2381</v>
      </c>
      <c r="K2287" t="str">
        <f t="shared" si="107"/>
        <v>No</v>
      </c>
      <c r="L2287" t="s">
        <v>2380</v>
      </c>
    </row>
    <row r="2288" spans="1:12" x14ac:dyDescent="0.35">
      <c r="A2288" t="s">
        <v>71</v>
      </c>
      <c r="B2288" t="str">
        <f t="shared" si="105"/>
        <v>Obesity</v>
      </c>
      <c r="C2288">
        <v>37.29</v>
      </c>
      <c r="D2288" t="str">
        <f t="shared" si="106"/>
        <v>Normal</v>
      </c>
      <c r="E2288">
        <v>5.03</v>
      </c>
      <c r="F2288" t="s">
        <v>2380</v>
      </c>
      <c r="G2288" t="s">
        <v>2382</v>
      </c>
      <c r="H2288" t="s">
        <v>2380</v>
      </c>
      <c r="J2288">
        <v>1</v>
      </c>
      <c r="K2288" t="str">
        <f t="shared" si="107"/>
        <v>No</v>
      </c>
      <c r="L2288" t="s">
        <v>2380</v>
      </c>
    </row>
    <row r="2289" spans="1:12" x14ac:dyDescent="0.35">
      <c r="A2289" t="s">
        <v>70</v>
      </c>
      <c r="B2289" t="str">
        <f t="shared" si="105"/>
        <v>Underweight</v>
      </c>
      <c r="C2289">
        <v>16.739999999999998</v>
      </c>
      <c r="D2289" t="str">
        <f t="shared" si="106"/>
        <v>Normal</v>
      </c>
      <c r="E2289">
        <v>4.08</v>
      </c>
      <c r="F2289" t="s">
        <v>2382</v>
      </c>
      <c r="G2289" t="s">
        <v>2380</v>
      </c>
      <c r="H2289" t="s">
        <v>2380</v>
      </c>
      <c r="J2289" t="s">
        <v>2381</v>
      </c>
      <c r="K2289" t="str">
        <f t="shared" si="107"/>
        <v>No</v>
      </c>
      <c r="L2289" t="s">
        <v>2380</v>
      </c>
    </row>
    <row r="2290" spans="1:12" x14ac:dyDescent="0.35">
      <c r="A2290" t="s">
        <v>69</v>
      </c>
      <c r="B2290" t="str">
        <f t="shared" si="105"/>
        <v>Obesity</v>
      </c>
      <c r="C2290">
        <v>34.43</v>
      </c>
      <c r="D2290" t="str">
        <f t="shared" si="106"/>
        <v>Normal</v>
      </c>
      <c r="E2290">
        <v>4.2699999999999996</v>
      </c>
      <c r="F2290" t="s">
        <v>2380</v>
      </c>
      <c r="G2290" t="s">
        <v>2382</v>
      </c>
      <c r="H2290" t="s">
        <v>2380</v>
      </c>
      <c r="J2290">
        <v>1</v>
      </c>
      <c r="K2290" t="str">
        <f t="shared" si="107"/>
        <v>No</v>
      </c>
      <c r="L2290" t="s">
        <v>2380</v>
      </c>
    </row>
    <row r="2291" spans="1:12" x14ac:dyDescent="0.35">
      <c r="A2291" t="s">
        <v>68</v>
      </c>
      <c r="B2291" t="str">
        <f t="shared" si="105"/>
        <v>Obesity</v>
      </c>
      <c r="C2291">
        <v>34.1</v>
      </c>
      <c r="D2291" t="str">
        <f t="shared" si="106"/>
        <v>Normal</v>
      </c>
      <c r="E2291">
        <v>4.07</v>
      </c>
      <c r="F2291" t="s">
        <v>2380</v>
      </c>
      <c r="G2291" t="s">
        <v>2382</v>
      </c>
      <c r="H2291" t="s">
        <v>2380</v>
      </c>
      <c r="J2291">
        <v>1</v>
      </c>
      <c r="K2291" t="str">
        <f t="shared" si="107"/>
        <v>No</v>
      </c>
      <c r="L2291" t="s">
        <v>2380</v>
      </c>
    </row>
    <row r="2292" spans="1:12" x14ac:dyDescent="0.35">
      <c r="A2292" t="s">
        <v>67</v>
      </c>
      <c r="B2292" t="str">
        <f t="shared" si="105"/>
        <v>Normal Weight</v>
      </c>
      <c r="C2292">
        <v>19.3</v>
      </c>
      <c r="D2292" t="str">
        <f t="shared" si="106"/>
        <v>Diabetes</v>
      </c>
      <c r="E2292">
        <v>10.36</v>
      </c>
      <c r="F2292" t="s">
        <v>2380</v>
      </c>
      <c r="G2292" t="s">
        <v>2380</v>
      </c>
      <c r="H2292" t="s">
        <v>2380</v>
      </c>
      <c r="J2292" t="s">
        <v>2381</v>
      </c>
      <c r="K2292" t="str">
        <f t="shared" si="107"/>
        <v>No</v>
      </c>
      <c r="L2292" t="s">
        <v>2380</v>
      </c>
    </row>
    <row r="2293" spans="1:12" x14ac:dyDescent="0.35">
      <c r="A2293" t="s">
        <v>66</v>
      </c>
      <c r="B2293" t="str">
        <f t="shared" si="105"/>
        <v>Obesity</v>
      </c>
      <c r="C2293">
        <v>33.659999999999997</v>
      </c>
      <c r="D2293" t="str">
        <f t="shared" si="106"/>
        <v>Prediabetes</v>
      </c>
      <c r="E2293">
        <v>5.71</v>
      </c>
      <c r="F2293" t="s">
        <v>2380</v>
      </c>
      <c r="G2293" t="s">
        <v>2382</v>
      </c>
      <c r="H2293" t="s">
        <v>2380</v>
      </c>
      <c r="J2293">
        <v>1</v>
      </c>
      <c r="K2293" t="str">
        <f t="shared" si="107"/>
        <v>No</v>
      </c>
      <c r="L2293" t="s">
        <v>2380</v>
      </c>
    </row>
    <row r="2294" spans="1:12" x14ac:dyDescent="0.35">
      <c r="A2294" t="s">
        <v>65</v>
      </c>
      <c r="B2294" t="str">
        <f t="shared" si="105"/>
        <v>Obesity</v>
      </c>
      <c r="C2294">
        <v>33.33</v>
      </c>
      <c r="D2294" t="str">
        <f t="shared" si="106"/>
        <v>Prediabetes</v>
      </c>
      <c r="E2294">
        <v>6.08</v>
      </c>
      <c r="F2294" t="s">
        <v>2380</v>
      </c>
      <c r="G2294" t="s">
        <v>2382</v>
      </c>
      <c r="H2294" t="s">
        <v>2380</v>
      </c>
      <c r="J2294">
        <v>1</v>
      </c>
      <c r="K2294" t="str">
        <f t="shared" si="107"/>
        <v>No</v>
      </c>
      <c r="L2294" t="s">
        <v>2380</v>
      </c>
    </row>
    <row r="2295" spans="1:12" x14ac:dyDescent="0.35">
      <c r="A2295" t="s">
        <v>64</v>
      </c>
      <c r="B2295" t="str">
        <f t="shared" si="105"/>
        <v>Normal Weight</v>
      </c>
      <c r="C2295">
        <v>21.84</v>
      </c>
      <c r="D2295" t="str">
        <f t="shared" si="106"/>
        <v>Prediabetes</v>
      </c>
      <c r="E2295">
        <v>5.71</v>
      </c>
      <c r="F2295" t="s">
        <v>2380</v>
      </c>
      <c r="G2295" t="s">
        <v>2382</v>
      </c>
      <c r="H2295" t="s">
        <v>2380</v>
      </c>
      <c r="J2295">
        <v>1</v>
      </c>
      <c r="K2295" t="str">
        <f t="shared" si="107"/>
        <v>No</v>
      </c>
      <c r="L2295" t="s">
        <v>2380</v>
      </c>
    </row>
    <row r="2296" spans="1:12" x14ac:dyDescent="0.35">
      <c r="A2296" t="s">
        <v>63</v>
      </c>
      <c r="B2296" t="str">
        <f t="shared" si="105"/>
        <v>Underweight</v>
      </c>
      <c r="C2296">
        <v>16.87</v>
      </c>
      <c r="D2296" t="str">
        <f t="shared" si="106"/>
        <v>Diabetes</v>
      </c>
      <c r="E2296">
        <v>9.1300000000000008</v>
      </c>
      <c r="F2296" t="s">
        <v>2380</v>
      </c>
      <c r="G2296" t="s">
        <v>2380</v>
      </c>
      <c r="H2296" t="s">
        <v>2380</v>
      </c>
      <c r="J2296" t="s">
        <v>2381</v>
      </c>
      <c r="K2296" t="str">
        <f t="shared" si="107"/>
        <v>No</v>
      </c>
      <c r="L2296" t="s">
        <v>2380</v>
      </c>
    </row>
    <row r="2297" spans="1:12" x14ac:dyDescent="0.35">
      <c r="A2297" t="s">
        <v>62</v>
      </c>
      <c r="B2297" t="str">
        <f t="shared" si="105"/>
        <v>Obesity</v>
      </c>
      <c r="C2297">
        <v>30.14</v>
      </c>
      <c r="D2297" t="str">
        <f t="shared" si="106"/>
        <v>Normal</v>
      </c>
      <c r="E2297">
        <v>5.49</v>
      </c>
      <c r="F2297" t="s">
        <v>2380</v>
      </c>
      <c r="G2297" t="s">
        <v>2382</v>
      </c>
      <c r="H2297" t="s">
        <v>2380</v>
      </c>
      <c r="J2297">
        <v>1</v>
      </c>
      <c r="K2297" t="str">
        <f t="shared" si="107"/>
        <v>No</v>
      </c>
      <c r="L2297" t="s">
        <v>2380</v>
      </c>
    </row>
    <row r="2298" spans="1:12" x14ac:dyDescent="0.35">
      <c r="A2298" t="s">
        <v>61</v>
      </c>
      <c r="B2298" t="str">
        <f t="shared" si="105"/>
        <v>Normal Weight</v>
      </c>
      <c r="C2298">
        <v>23.21</v>
      </c>
      <c r="D2298" t="str">
        <f t="shared" si="106"/>
        <v>Normal</v>
      </c>
      <c r="E2298">
        <v>4.37</v>
      </c>
      <c r="F2298" t="s">
        <v>2380</v>
      </c>
      <c r="G2298" t="s">
        <v>2382</v>
      </c>
      <c r="H2298" t="s">
        <v>2380</v>
      </c>
      <c r="J2298">
        <v>1</v>
      </c>
      <c r="K2298" t="str">
        <f t="shared" si="107"/>
        <v>No</v>
      </c>
      <c r="L2298" t="s">
        <v>2380</v>
      </c>
    </row>
    <row r="2299" spans="1:12" x14ac:dyDescent="0.35">
      <c r="A2299" t="s">
        <v>60</v>
      </c>
      <c r="B2299" t="str">
        <f t="shared" si="105"/>
        <v>Underweight</v>
      </c>
      <c r="C2299">
        <v>17.170000000000002</v>
      </c>
      <c r="D2299" t="str">
        <f t="shared" si="106"/>
        <v>Diabetes</v>
      </c>
      <c r="E2299">
        <v>8.4600000000000009</v>
      </c>
      <c r="F2299" t="s">
        <v>2380</v>
      </c>
      <c r="G2299" t="s">
        <v>2380</v>
      </c>
      <c r="H2299" t="s">
        <v>2380</v>
      </c>
      <c r="J2299" t="s">
        <v>2381</v>
      </c>
      <c r="K2299" t="str">
        <f t="shared" si="107"/>
        <v>No</v>
      </c>
      <c r="L2299" t="s">
        <v>2380</v>
      </c>
    </row>
    <row r="2300" spans="1:12" x14ac:dyDescent="0.35">
      <c r="A2300" t="s">
        <v>59</v>
      </c>
      <c r="B2300" t="str">
        <f t="shared" si="105"/>
        <v>Underweight</v>
      </c>
      <c r="C2300">
        <v>15.61</v>
      </c>
      <c r="D2300" t="str">
        <f t="shared" si="106"/>
        <v>Normal</v>
      </c>
      <c r="E2300">
        <v>5.28</v>
      </c>
      <c r="F2300" t="s">
        <v>2380</v>
      </c>
      <c r="G2300" t="s">
        <v>2380</v>
      </c>
      <c r="H2300" t="s">
        <v>2380</v>
      </c>
      <c r="J2300">
        <v>1</v>
      </c>
      <c r="K2300" t="str">
        <f t="shared" si="107"/>
        <v>No</v>
      </c>
      <c r="L2300" t="s">
        <v>2380</v>
      </c>
    </row>
    <row r="2301" spans="1:12" x14ac:dyDescent="0.35">
      <c r="A2301" t="s">
        <v>58</v>
      </c>
      <c r="B2301" t="str">
        <f t="shared" si="105"/>
        <v>Underweight</v>
      </c>
      <c r="C2301">
        <v>17.98</v>
      </c>
      <c r="D2301" t="str">
        <f t="shared" si="106"/>
        <v>Normal</v>
      </c>
      <c r="E2301">
        <v>5.33</v>
      </c>
      <c r="F2301" t="s">
        <v>2382</v>
      </c>
      <c r="G2301" t="s">
        <v>2380</v>
      </c>
      <c r="H2301" t="s">
        <v>2383</v>
      </c>
      <c r="J2301">
        <v>1</v>
      </c>
      <c r="K2301" t="str">
        <f t="shared" si="107"/>
        <v>No</v>
      </c>
      <c r="L2301" t="s">
        <v>2380</v>
      </c>
    </row>
    <row r="2302" spans="1:12" x14ac:dyDescent="0.35">
      <c r="A2302" t="s">
        <v>57</v>
      </c>
      <c r="B2302" t="str">
        <f t="shared" si="105"/>
        <v>Normal Weight</v>
      </c>
      <c r="C2302">
        <v>21.64</v>
      </c>
      <c r="D2302" t="str">
        <f t="shared" si="106"/>
        <v>Normal</v>
      </c>
      <c r="E2302">
        <v>5.5</v>
      </c>
      <c r="F2302" t="s">
        <v>2380</v>
      </c>
      <c r="G2302" t="s">
        <v>2382</v>
      </c>
      <c r="H2302" t="s">
        <v>2380</v>
      </c>
      <c r="J2302">
        <v>1</v>
      </c>
      <c r="K2302" t="str">
        <f t="shared" si="107"/>
        <v>No</v>
      </c>
      <c r="L2302" t="s">
        <v>2380</v>
      </c>
    </row>
    <row r="2303" spans="1:12" x14ac:dyDescent="0.35">
      <c r="A2303" t="s">
        <v>56</v>
      </c>
      <c r="B2303" t="str">
        <f t="shared" si="105"/>
        <v>Underweight</v>
      </c>
      <c r="C2303">
        <v>16.399999999999999</v>
      </c>
      <c r="D2303" t="str">
        <f t="shared" si="106"/>
        <v>Normal</v>
      </c>
      <c r="E2303">
        <v>5.4</v>
      </c>
      <c r="F2303" t="s">
        <v>2380</v>
      </c>
      <c r="G2303" t="s">
        <v>2380</v>
      </c>
      <c r="H2303" t="s">
        <v>2383</v>
      </c>
      <c r="J2303">
        <v>1</v>
      </c>
      <c r="K2303" t="str">
        <f t="shared" si="107"/>
        <v>No</v>
      </c>
      <c r="L2303" t="s">
        <v>2380</v>
      </c>
    </row>
    <row r="2304" spans="1:12" x14ac:dyDescent="0.35">
      <c r="A2304" t="s">
        <v>55</v>
      </c>
      <c r="B2304" t="str">
        <f t="shared" si="105"/>
        <v>Underweight</v>
      </c>
      <c r="C2304">
        <v>15.77</v>
      </c>
      <c r="D2304" t="str">
        <f t="shared" si="106"/>
        <v>Prediabetes</v>
      </c>
      <c r="E2304">
        <v>6.05</v>
      </c>
      <c r="F2304" t="s">
        <v>2382</v>
      </c>
      <c r="G2304" t="s">
        <v>2380</v>
      </c>
      <c r="H2304" t="s">
        <v>2380</v>
      </c>
      <c r="J2304">
        <v>1</v>
      </c>
      <c r="K2304" t="str">
        <f t="shared" si="107"/>
        <v>No</v>
      </c>
      <c r="L2304" t="s">
        <v>2380</v>
      </c>
    </row>
    <row r="2305" spans="1:12" x14ac:dyDescent="0.35">
      <c r="A2305" t="s">
        <v>54</v>
      </c>
      <c r="B2305" t="str">
        <f t="shared" si="105"/>
        <v>Underweight</v>
      </c>
      <c r="C2305">
        <v>18.27</v>
      </c>
      <c r="D2305" t="str">
        <f t="shared" si="106"/>
        <v>Diabetes</v>
      </c>
      <c r="E2305">
        <v>11.46</v>
      </c>
      <c r="F2305" t="s">
        <v>2380</v>
      </c>
      <c r="G2305" t="s">
        <v>2380</v>
      </c>
      <c r="H2305" t="s">
        <v>2380</v>
      </c>
      <c r="J2305" t="s">
        <v>2381</v>
      </c>
      <c r="K2305" t="str">
        <f t="shared" si="107"/>
        <v>No</v>
      </c>
      <c r="L2305" t="s">
        <v>2380</v>
      </c>
    </row>
    <row r="2306" spans="1:12" x14ac:dyDescent="0.35">
      <c r="A2306" t="s">
        <v>53</v>
      </c>
      <c r="B2306" t="str">
        <f t="shared" si="105"/>
        <v>Underweight</v>
      </c>
      <c r="C2306">
        <v>16.489999999999998</v>
      </c>
      <c r="D2306" t="str">
        <f t="shared" si="106"/>
        <v>Diabetes</v>
      </c>
      <c r="E2306">
        <v>8.48</v>
      </c>
      <c r="F2306" t="s">
        <v>2380</v>
      </c>
      <c r="G2306" t="s">
        <v>2380</v>
      </c>
      <c r="H2306" t="s">
        <v>2380</v>
      </c>
      <c r="J2306" t="s">
        <v>2381</v>
      </c>
      <c r="K2306" t="str">
        <f t="shared" si="107"/>
        <v>No</v>
      </c>
      <c r="L2306" t="s">
        <v>2380</v>
      </c>
    </row>
    <row r="2307" spans="1:12" x14ac:dyDescent="0.35">
      <c r="A2307" t="s">
        <v>52</v>
      </c>
      <c r="B2307" t="str">
        <f t="shared" ref="B2307:B2336" si="108">_xlfn.IFS(C2307&lt;18.5, "Underweight", C2307&lt;=24.9, "Normal Weight", C2307&lt;=29.9, "Overweight", C2307&gt;=30, "Obesity")</f>
        <v>Underweight</v>
      </c>
      <c r="C2307">
        <v>16.14</v>
      </c>
      <c r="D2307" t="str">
        <f t="shared" ref="D2307:D2336" si="109">_xlfn.IFS(E2307&lt;5.7, "Normal", E2307&lt;=6.4, "Prediabetes", E2307&gt;=6.5, "Diabetes")</f>
        <v>Normal</v>
      </c>
      <c r="E2307">
        <v>4.8600000000000003</v>
      </c>
      <c r="F2307" t="s">
        <v>2380</v>
      </c>
      <c r="G2307" t="s">
        <v>2380</v>
      </c>
      <c r="H2307" t="s">
        <v>2380</v>
      </c>
      <c r="J2307" t="s">
        <v>2381</v>
      </c>
      <c r="K2307" t="str">
        <f t="shared" si="107"/>
        <v>No</v>
      </c>
      <c r="L2307" t="s">
        <v>2380</v>
      </c>
    </row>
    <row r="2308" spans="1:12" x14ac:dyDescent="0.35">
      <c r="A2308" t="s">
        <v>51</v>
      </c>
      <c r="B2308" t="str">
        <f t="shared" si="108"/>
        <v>Normal Weight</v>
      </c>
      <c r="C2308">
        <v>20.85</v>
      </c>
      <c r="D2308" t="str">
        <f t="shared" si="109"/>
        <v>Normal</v>
      </c>
      <c r="E2308">
        <v>4.45</v>
      </c>
      <c r="F2308" t="s">
        <v>2382</v>
      </c>
      <c r="G2308" t="s">
        <v>2380</v>
      </c>
      <c r="H2308" t="s">
        <v>2380</v>
      </c>
      <c r="J2308">
        <v>1</v>
      </c>
      <c r="K2308" t="str">
        <f t="shared" ref="K2308:K2336" si="110">IF(OR(L2308="?", ISBLANK(L2308)), "No", L2308)</f>
        <v>No</v>
      </c>
      <c r="L2308" t="s">
        <v>2380</v>
      </c>
    </row>
    <row r="2309" spans="1:12" x14ac:dyDescent="0.35">
      <c r="A2309" t="s">
        <v>50</v>
      </c>
      <c r="B2309" t="str">
        <f t="shared" si="108"/>
        <v>Underweight</v>
      </c>
      <c r="C2309">
        <v>15.88</v>
      </c>
      <c r="D2309" t="str">
        <f t="shared" si="109"/>
        <v>Normal</v>
      </c>
      <c r="E2309">
        <v>4.3600000000000003</v>
      </c>
      <c r="F2309" t="s">
        <v>2380</v>
      </c>
      <c r="G2309" t="s">
        <v>2380</v>
      </c>
      <c r="H2309" t="s">
        <v>2380</v>
      </c>
      <c r="J2309" t="s">
        <v>2381</v>
      </c>
      <c r="K2309" t="str">
        <f t="shared" si="110"/>
        <v>No</v>
      </c>
      <c r="L2309" t="s">
        <v>2380</v>
      </c>
    </row>
    <row r="2310" spans="1:12" x14ac:dyDescent="0.35">
      <c r="A2310" t="s">
        <v>49</v>
      </c>
      <c r="B2310" t="str">
        <f t="shared" si="108"/>
        <v>Normal Weight</v>
      </c>
      <c r="C2310">
        <v>20.66</v>
      </c>
      <c r="D2310" t="str">
        <f t="shared" si="109"/>
        <v>Prediabetes</v>
      </c>
      <c r="E2310">
        <v>5.8</v>
      </c>
      <c r="F2310" t="s">
        <v>2380</v>
      </c>
      <c r="G2310" t="s">
        <v>2382</v>
      </c>
      <c r="H2310" t="s">
        <v>2380</v>
      </c>
      <c r="J2310">
        <v>1</v>
      </c>
      <c r="K2310" t="str">
        <f t="shared" si="110"/>
        <v>No</v>
      </c>
      <c r="L2310" t="s">
        <v>2380</v>
      </c>
    </row>
    <row r="2311" spans="1:12" x14ac:dyDescent="0.35">
      <c r="A2311" t="s">
        <v>48</v>
      </c>
      <c r="B2311" t="str">
        <f t="shared" si="108"/>
        <v>Normal Weight</v>
      </c>
      <c r="C2311">
        <v>20.399999999999999</v>
      </c>
      <c r="D2311" t="str">
        <f t="shared" si="109"/>
        <v>Normal</v>
      </c>
      <c r="E2311">
        <v>5.27</v>
      </c>
      <c r="F2311" t="s">
        <v>2380</v>
      </c>
      <c r="G2311" t="s">
        <v>2380</v>
      </c>
      <c r="H2311" t="s">
        <v>2380</v>
      </c>
      <c r="J2311" t="s">
        <v>2381</v>
      </c>
      <c r="K2311" t="str">
        <f t="shared" si="110"/>
        <v>No</v>
      </c>
      <c r="L2311" t="s">
        <v>2380</v>
      </c>
    </row>
    <row r="2312" spans="1:12" x14ac:dyDescent="0.35">
      <c r="A2312" t="s">
        <v>47</v>
      </c>
      <c r="B2312" t="str">
        <f t="shared" si="108"/>
        <v>Overweight</v>
      </c>
      <c r="C2312">
        <v>25.19</v>
      </c>
      <c r="D2312" t="str">
        <f t="shared" si="109"/>
        <v>Normal</v>
      </c>
      <c r="E2312">
        <v>5.64</v>
      </c>
      <c r="F2312" t="s">
        <v>2382</v>
      </c>
      <c r="G2312" t="s">
        <v>2380</v>
      </c>
      <c r="H2312" t="s">
        <v>2380</v>
      </c>
      <c r="J2312" t="s">
        <v>2381</v>
      </c>
      <c r="K2312" t="str">
        <f t="shared" si="110"/>
        <v>No</v>
      </c>
      <c r="L2312" t="s">
        <v>2380</v>
      </c>
    </row>
    <row r="2313" spans="1:12" x14ac:dyDescent="0.35">
      <c r="A2313" t="s">
        <v>46</v>
      </c>
      <c r="B2313" t="str">
        <f t="shared" si="108"/>
        <v>Normal Weight</v>
      </c>
      <c r="C2313">
        <v>20.54</v>
      </c>
      <c r="D2313" t="str">
        <f t="shared" si="109"/>
        <v>Normal</v>
      </c>
      <c r="E2313">
        <v>4.2</v>
      </c>
      <c r="F2313" t="s">
        <v>2382</v>
      </c>
      <c r="G2313" t="s">
        <v>2380</v>
      </c>
      <c r="H2313" t="s">
        <v>2380</v>
      </c>
      <c r="J2313">
        <v>1</v>
      </c>
      <c r="K2313" t="str">
        <f t="shared" si="110"/>
        <v>No</v>
      </c>
      <c r="L2313" t="s">
        <v>2380</v>
      </c>
    </row>
    <row r="2314" spans="1:12" x14ac:dyDescent="0.35">
      <c r="A2314" t="s">
        <v>45</v>
      </c>
      <c r="B2314" t="str">
        <f t="shared" si="108"/>
        <v>Normal Weight</v>
      </c>
      <c r="C2314">
        <v>20.13</v>
      </c>
      <c r="D2314" t="str">
        <f t="shared" si="109"/>
        <v>Normal</v>
      </c>
      <c r="E2314">
        <v>5.42</v>
      </c>
      <c r="F2314" t="s">
        <v>2380</v>
      </c>
      <c r="G2314" t="s">
        <v>2380</v>
      </c>
      <c r="H2314" t="s">
        <v>2380</v>
      </c>
      <c r="J2314" t="s">
        <v>2381</v>
      </c>
      <c r="K2314" t="str">
        <f t="shared" si="110"/>
        <v>No</v>
      </c>
      <c r="L2314" t="s">
        <v>2380</v>
      </c>
    </row>
    <row r="2315" spans="1:12" x14ac:dyDescent="0.35">
      <c r="A2315" t="s">
        <v>44</v>
      </c>
      <c r="B2315" t="str">
        <f t="shared" si="108"/>
        <v>Normal Weight</v>
      </c>
      <c r="C2315">
        <v>18.93</v>
      </c>
      <c r="D2315" t="str">
        <f t="shared" si="109"/>
        <v>Prediabetes</v>
      </c>
      <c r="E2315">
        <v>6.11</v>
      </c>
      <c r="F2315" t="s">
        <v>2380</v>
      </c>
      <c r="G2315" t="s">
        <v>2380</v>
      </c>
      <c r="H2315" t="s">
        <v>2383</v>
      </c>
      <c r="J2315">
        <v>1</v>
      </c>
      <c r="K2315" t="str">
        <f t="shared" si="110"/>
        <v>No</v>
      </c>
      <c r="L2315" t="s">
        <v>2380</v>
      </c>
    </row>
    <row r="2316" spans="1:12" x14ac:dyDescent="0.35">
      <c r="A2316" t="s">
        <v>43</v>
      </c>
      <c r="B2316" t="str">
        <f t="shared" si="108"/>
        <v>Normal Weight</v>
      </c>
      <c r="C2316">
        <v>24.14</v>
      </c>
      <c r="D2316" t="str">
        <f t="shared" si="109"/>
        <v>Normal</v>
      </c>
      <c r="E2316">
        <v>5.29</v>
      </c>
      <c r="F2316" t="s">
        <v>2380</v>
      </c>
      <c r="G2316" t="s">
        <v>2382</v>
      </c>
      <c r="H2316" t="s">
        <v>2380</v>
      </c>
      <c r="J2316">
        <v>1</v>
      </c>
      <c r="K2316" t="str">
        <f t="shared" si="110"/>
        <v>No</v>
      </c>
      <c r="L2316" t="s">
        <v>2380</v>
      </c>
    </row>
    <row r="2317" spans="1:12" x14ac:dyDescent="0.35">
      <c r="A2317" t="s">
        <v>41</v>
      </c>
      <c r="B2317" t="str">
        <f t="shared" si="108"/>
        <v>Overweight</v>
      </c>
      <c r="C2317">
        <v>25.03</v>
      </c>
      <c r="D2317" t="str">
        <f t="shared" si="109"/>
        <v>Prediabetes</v>
      </c>
      <c r="E2317">
        <v>5.91</v>
      </c>
      <c r="F2317" t="s">
        <v>2380</v>
      </c>
      <c r="G2317" t="s">
        <v>2382</v>
      </c>
      <c r="H2317" t="s">
        <v>2380</v>
      </c>
      <c r="J2317">
        <v>1</v>
      </c>
      <c r="K2317" t="str">
        <f t="shared" si="110"/>
        <v>No</v>
      </c>
      <c r="L2317" t="s">
        <v>2380</v>
      </c>
    </row>
    <row r="2318" spans="1:12" x14ac:dyDescent="0.35">
      <c r="A2318" t="s">
        <v>40</v>
      </c>
      <c r="B2318" t="str">
        <f t="shared" si="108"/>
        <v>Normal Weight</v>
      </c>
      <c r="C2318">
        <v>20.47</v>
      </c>
      <c r="D2318" t="str">
        <f t="shared" si="109"/>
        <v>Prediabetes</v>
      </c>
      <c r="E2318">
        <v>5.81</v>
      </c>
      <c r="F2318" t="s">
        <v>2382</v>
      </c>
      <c r="G2318" t="s">
        <v>2380</v>
      </c>
      <c r="H2318" t="s">
        <v>2380</v>
      </c>
      <c r="J2318">
        <v>1</v>
      </c>
      <c r="K2318" t="str">
        <f t="shared" si="110"/>
        <v>No</v>
      </c>
      <c r="L2318" t="s">
        <v>2380</v>
      </c>
    </row>
    <row r="2319" spans="1:12" x14ac:dyDescent="0.35">
      <c r="A2319" t="s">
        <v>39</v>
      </c>
      <c r="B2319" t="str">
        <f t="shared" si="108"/>
        <v>Normal Weight</v>
      </c>
      <c r="C2319">
        <v>18.82</v>
      </c>
      <c r="D2319" t="str">
        <f t="shared" si="109"/>
        <v>Normal</v>
      </c>
      <c r="E2319">
        <v>5.51</v>
      </c>
      <c r="F2319" t="s">
        <v>2382</v>
      </c>
      <c r="G2319" t="s">
        <v>2380</v>
      </c>
      <c r="H2319" t="s">
        <v>2380</v>
      </c>
      <c r="J2319" t="s">
        <v>2381</v>
      </c>
      <c r="K2319" t="str">
        <f t="shared" si="110"/>
        <v>No</v>
      </c>
      <c r="L2319" t="s">
        <v>2380</v>
      </c>
    </row>
    <row r="2320" spans="1:12" x14ac:dyDescent="0.35">
      <c r="A2320" t="s">
        <v>38</v>
      </c>
      <c r="B2320" t="str">
        <f t="shared" si="108"/>
        <v>Underweight</v>
      </c>
      <c r="C2320">
        <v>17.079999999999998</v>
      </c>
      <c r="D2320" t="str">
        <f t="shared" si="109"/>
        <v>Prediabetes</v>
      </c>
      <c r="E2320">
        <v>5.73</v>
      </c>
      <c r="F2320" t="s">
        <v>2380</v>
      </c>
      <c r="G2320" t="s">
        <v>2380</v>
      </c>
      <c r="H2320" t="s">
        <v>2383</v>
      </c>
      <c r="J2320">
        <v>1</v>
      </c>
      <c r="K2320" t="str">
        <f t="shared" si="110"/>
        <v>No</v>
      </c>
      <c r="L2320" t="s">
        <v>2380</v>
      </c>
    </row>
    <row r="2321" spans="1:12" x14ac:dyDescent="0.35">
      <c r="A2321" t="s">
        <v>36</v>
      </c>
      <c r="B2321" t="str">
        <f t="shared" si="108"/>
        <v>Normal Weight</v>
      </c>
      <c r="C2321">
        <v>19.21</v>
      </c>
      <c r="D2321" t="str">
        <f t="shared" si="109"/>
        <v>Normal</v>
      </c>
      <c r="E2321">
        <v>5.53</v>
      </c>
      <c r="F2321" t="s">
        <v>2382</v>
      </c>
      <c r="G2321" t="s">
        <v>2380</v>
      </c>
      <c r="H2321" t="s">
        <v>2380</v>
      </c>
      <c r="J2321" t="s">
        <v>2381</v>
      </c>
      <c r="K2321" t="str">
        <f t="shared" si="110"/>
        <v>No</v>
      </c>
      <c r="L2321" t="s">
        <v>2380</v>
      </c>
    </row>
    <row r="2322" spans="1:12" x14ac:dyDescent="0.35">
      <c r="A2322" t="s">
        <v>34</v>
      </c>
      <c r="B2322" t="str">
        <f t="shared" si="108"/>
        <v>Underweight</v>
      </c>
      <c r="C2322">
        <v>17.86</v>
      </c>
      <c r="D2322" t="str">
        <f t="shared" si="109"/>
        <v>Normal</v>
      </c>
      <c r="E2322">
        <v>5.43</v>
      </c>
      <c r="F2322" t="s">
        <v>2380</v>
      </c>
      <c r="G2322" t="s">
        <v>2380</v>
      </c>
      <c r="H2322" t="s">
        <v>2383</v>
      </c>
      <c r="J2322">
        <v>1</v>
      </c>
      <c r="K2322" t="str">
        <f t="shared" si="110"/>
        <v>No</v>
      </c>
      <c r="L2322" t="s">
        <v>2380</v>
      </c>
    </row>
    <row r="2323" spans="1:12" x14ac:dyDescent="0.35">
      <c r="A2323" t="s">
        <v>33</v>
      </c>
      <c r="B2323" t="str">
        <f t="shared" si="108"/>
        <v>Normal Weight</v>
      </c>
      <c r="C2323">
        <v>21.38</v>
      </c>
      <c r="D2323" t="str">
        <f t="shared" si="109"/>
        <v>Diabetes</v>
      </c>
      <c r="E2323">
        <v>8.01</v>
      </c>
      <c r="F2323" t="s">
        <v>2380</v>
      </c>
      <c r="G2323" t="s">
        <v>2380</v>
      </c>
      <c r="H2323" t="s">
        <v>2380</v>
      </c>
      <c r="J2323" t="s">
        <v>2381</v>
      </c>
      <c r="K2323" t="str">
        <f t="shared" si="110"/>
        <v>No</v>
      </c>
      <c r="L2323" t="s">
        <v>2380</v>
      </c>
    </row>
    <row r="2324" spans="1:12" x14ac:dyDescent="0.35">
      <c r="A2324" t="s">
        <v>32</v>
      </c>
      <c r="B2324" t="str">
        <f t="shared" si="108"/>
        <v>Normal Weight</v>
      </c>
      <c r="C2324">
        <v>23.35</v>
      </c>
      <c r="D2324" t="str">
        <f t="shared" si="109"/>
        <v>Prediabetes</v>
      </c>
      <c r="E2324">
        <v>5.94</v>
      </c>
      <c r="F2324" t="s">
        <v>2380</v>
      </c>
      <c r="G2324" t="s">
        <v>2380</v>
      </c>
      <c r="H2324" t="s">
        <v>2380</v>
      </c>
      <c r="J2324" t="s">
        <v>2381</v>
      </c>
      <c r="K2324" t="str">
        <f t="shared" si="110"/>
        <v>No</v>
      </c>
      <c r="L2324" t="s">
        <v>2380</v>
      </c>
    </row>
    <row r="2325" spans="1:12" x14ac:dyDescent="0.35">
      <c r="A2325" t="s">
        <v>29</v>
      </c>
      <c r="B2325" t="str">
        <f t="shared" si="108"/>
        <v>Normal Weight</v>
      </c>
      <c r="C2325">
        <v>22.24</v>
      </c>
      <c r="D2325" t="str">
        <f t="shared" si="109"/>
        <v>Normal</v>
      </c>
      <c r="E2325">
        <v>5.04</v>
      </c>
      <c r="F2325" t="s">
        <v>2380</v>
      </c>
      <c r="G2325" t="s">
        <v>2380</v>
      </c>
      <c r="H2325" t="s">
        <v>2380</v>
      </c>
      <c r="J2325" t="s">
        <v>2381</v>
      </c>
      <c r="K2325" t="str">
        <f t="shared" si="110"/>
        <v>No</v>
      </c>
      <c r="L2325" t="s">
        <v>2380</v>
      </c>
    </row>
    <row r="2326" spans="1:12" x14ac:dyDescent="0.35">
      <c r="A2326" t="s">
        <v>28</v>
      </c>
      <c r="B2326" t="str">
        <f t="shared" si="108"/>
        <v>Normal Weight</v>
      </c>
      <c r="C2326">
        <v>24.76</v>
      </c>
      <c r="D2326" t="str">
        <f t="shared" si="109"/>
        <v>Normal</v>
      </c>
      <c r="E2326">
        <v>4.54</v>
      </c>
      <c r="F2326" t="s">
        <v>2382</v>
      </c>
      <c r="G2326" t="s">
        <v>2380</v>
      </c>
      <c r="H2326" t="s">
        <v>2380</v>
      </c>
      <c r="J2326" t="s">
        <v>2381</v>
      </c>
      <c r="K2326" t="str">
        <f t="shared" si="110"/>
        <v>No</v>
      </c>
      <c r="L2326" t="s">
        <v>2380</v>
      </c>
    </row>
    <row r="2327" spans="1:12" x14ac:dyDescent="0.35">
      <c r="A2327" t="s">
        <v>27</v>
      </c>
      <c r="B2327" t="str">
        <f t="shared" si="108"/>
        <v>Normal Weight</v>
      </c>
      <c r="C2327">
        <v>20.100000000000001</v>
      </c>
      <c r="D2327" t="str">
        <f t="shared" si="109"/>
        <v>Normal</v>
      </c>
      <c r="E2327">
        <v>5.6</v>
      </c>
      <c r="F2327" t="s">
        <v>2382</v>
      </c>
      <c r="G2327" t="s">
        <v>2380</v>
      </c>
      <c r="H2327" t="s">
        <v>2383</v>
      </c>
      <c r="J2327">
        <v>1</v>
      </c>
      <c r="K2327" t="str">
        <f t="shared" si="110"/>
        <v>No</v>
      </c>
      <c r="L2327" t="s">
        <v>2380</v>
      </c>
    </row>
    <row r="2328" spans="1:12" x14ac:dyDescent="0.35">
      <c r="A2328" t="s">
        <v>26</v>
      </c>
      <c r="B2328" t="str">
        <f t="shared" si="108"/>
        <v>Normal Weight</v>
      </c>
      <c r="C2328">
        <v>21.77</v>
      </c>
      <c r="D2328" t="str">
        <f t="shared" si="109"/>
        <v>Diabetes</v>
      </c>
      <c r="E2328">
        <v>10.67</v>
      </c>
      <c r="F2328" t="s">
        <v>2380</v>
      </c>
      <c r="G2328" t="s">
        <v>2380</v>
      </c>
      <c r="H2328" t="s">
        <v>2380</v>
      </c>
      <c r="J2328" t="s">
        <v>2381</v>
      </c>
      <c r="K2328" t="str">
        <f t="shared" si="110"/>
        <v>No</v>
      </c>
      <c r="L2328" t="s">
        <v>2380</v>
      </c>
    </row>
    <row r="2329" spans="1:12" x14ac:dyDescent="0.35">
      <c r="A2329" t="s">
        <v>25</v>
      </c>
      <c r="B2329" t="str">
        <f t="shared" si="108"/>
        <v>Underweight</v>
      </c>
      <c r="C2329">
        <v>17.82</v>
      </c>
      <c r="D2329" t="str">
        <f t="shared" si="109"/>
        <v>Normal</v>
      </c>
      <c r="E2329">
        <v>5.26</v>
      </c>
      <c r="F2329" t="s">
        <v>2382</v>
      </c>
      <c r="G2329" t="s">
        <v>2380</v>
      </c>
      <c r="H2329" t="s">
        <v>2380</v>
      </c>
      <c r="J2329">
        <v>1</v>
      </c>
      <c r="K2329" t="str">
        <f t="shared" si="110"/>
        <v>No</v>
      </c>
      <c r="L2329" t="s">
        <v>2380</v>
      </c>
    </row>
    <row r="2330" spans="1:12" x14ac:dyDescent="0.35">
      <c r="A2330" t="s">
        <v>24</v>
      </c>
      <c r="B2330" t="str">
        <f t="shared" si="108"/>
        <v>Underweight</v>
      </c>
      <c r="C2330">
        <v>17.07</v>
      </c>
      <c r="D2330" t="str">
        <f t="shared" si="109"/>
        <v>Normal</v>
      </c>
      <c r="E2330">
        <v>5.22</v>
      </c>
      <c r="F2330" t="s">
        <v>2380</v>
      </c>
      <c r="G2330" t="s">
        <v>2380</v>
      </c>
      <c r="H2330" t="s">
        <v>2383</v>
      </c>
      <c r="J2330">
        <v>1</v>
      </c>
      <c r="K2330" t="str">
        <f t="shared" si="110"/>
        <v>No</v>
      </c>
      <c r="L2330" t="s">
        <v>2380</v>
      </c>
    </row>
    <row r="2331" spans="1:12" x14ac:dyDescent="0.35">
      <c r="A2331" t="s">
        <v>22</v>
      </c>
      <c r="B2331" t="str">
        <f t="shared" si="108"/>
        <v>Normal Weight</v>
      </c>
      <c r="C2331">
        <v>22.24</v>
      </c>
      <c r="D2331" t="str">
        <f t="shared" si="109"/>
        <v>Normal</v>
      </c>
      <c r="E2331">
        <v>4.29</v>
      </c>
      <c r="F2331" t="s">
        <v>2382</v>
      </c>
      <c r="G2331" t="s">
        <v>2380</v>
      </c>
      <c r="H2331" t="s">
        <v>2380</v>
      </c>
      <c r="J2331" t="s">
        <v>2381</v>
      </c>
      <c r="K2331" t="str">
        <f t="shared" si="110"/>
        <v>No</v>
      </c>
      <c r="L2331" t="s">
        <v>2380</v>
      </c>
    </row>
    <row r="2332" spans="1:12" x14ac:dyDescent="0.35">
      <c r="A2332" t="s">
        <v>21</v>
      </c>
      <c r="B2332" t="str">
        <f t="shared" si="108"/>
        <v>Normal Weight</v>
      </c>
      <c r="C2332">
        <v>22.34</v>
      </c>
      <c r="D2332" t="str">
        <f t="shared" si="109"/>
        <v>Normal</v>
      </c>
      <c r="E2332">
        <v>5.57</v>
      </c>
      <c r="F2332" t="s">
        <v>2380</v>
      </c>
      <c r="G2332" t="s">
        <v>2380</v>
      </c>
      <c r="H2332" t="s">
        <v>2380</v>
      </c>
      <c r="J2332">
        <v>1</v>
      </c>
      <c r="K2332" t="str">
        <f t="shared" si="110"/>
        <v>No</v>
      </c>
      <c r="L2332" t="s">
        <v>2380</v>
      </c>
    </row>
    <row r="2333" spans="1:12" x14ac:dyDescent="0.35">
      <c r="A2333" t="s">
        <v>19</v>
      </c>
      <c r="B2333" t="str">
        <f t="shared" si="108"/>
        <v>Underweight</v>
      </c>
      <c r="C2333">
        <v>17.7</v>
      </c>
      <c r="D2333" t="str">
        <f t="shared" si="109"/>
        <v>Prediabetes</v>
      </c>
      <c r="E2333">
        <v>6.28</v>
      </c>
      <c r="F2333" t="s">
        <v>2380</v>
      </c>
      <c r="G2333" t="s">
        <v>2380</v>
      </c>
      <c r="H2333" t="s">
        <v>2380</v>
      </c>
      <c r="J2333">
        <v>1</v>
      </c>
      <c r="K2333" t="str">
        <f t="shared" si="110"/>
        <v>No</v>
      </c>
      <c r="L2333" t="s">
        <v>2380</v>
      </c>
    </row>
    <row r="2334" spans="1:12" x14ac:dyDescent="0.35">
      <c r="A2334" t="s">
        <v>17</v>
      </c>
      <c r="B2334" t="str">
        <f t="shared" si="108"/>
        <v>Underweight</v>
      </c>
      <c r="C2334">
        <v>16.47</v>
      </c>
      <c r="D2334" t="str">
        <f t="shared" si="109"/>
        <v>Prediabetes</v>
      </c>
      <c r="E2334">
        <v>6.35</v>
      </c>
      <c r="F2334" t="s">
        <v>2380</v>
      </c>
      <c r="G2334" t="s">
        <v>2380</v>
      </c>
      <c r="H2334" t="s">
        <v>2383</v>
      </c>
      <c r="J2334">
        <v>1</v>
      </c>
      <c r="K2334" t="str">
        <f t="shared" si="110"/>
        <v>No</v>
      </c>
      <c r="L2334" t="s">
        <v>2380</v>
      </c>
    </row>
    <row r="2335" spans="1:12" x14ac:dyDescent="0.35">
      <c r="A2335" t="s">
        <v>14</v>
      </c>
      <c r="B2335" t="str">
        <f t="shared" si="108"/>
        <v>Underweight</v>
      </c>
      <c r="C2335">
        <v>17.600000000000001</v>
      </c>
      <c r="D2335" t="str">
        <f t="shared" si="109"/>
        <v>Normal</v>
      </c>
      <c r="E2335">
        <v>4.3899999999999997</v>
      </c>
      <c r="F2335" t="s">
        <v>2380</v>
      </c>
      <c r="G2335" t="s">
        <v>2380</v>
      </c>
      <c r="H2335" t="s">
        <v>2380</v>
      </c>
      <c r="J2335">
        <v>1</v>
      </c>
      <c r="K2335" t="str">
        <f t="shared" si="110"/>
        <v>No</v>
      </c>
      <c r="L2335" t="s">
        <v>2380</v>
      </c>
    </row>
    <row r="2336" spans="1:12" x14ac:dyDescent="0.35">
      <c r="A2336" t="s">
        <v>9</v>
      </c>
      <c r="B2336" t="str">
        <f t="shared" si="108"/>
        <v>Underweight</v>
      </c>
      <c r="C2336">
        <v>17.579999999999998</v>
      </c>
      <c r="D2336" t="str">
        <f t="shared" si="109"/>
        <v>Normal</v>
      </c>
      <c r="E2336">
        <v>4.51</v>
      </c>
      <c r="F2336" t="s">
        <v>2380</v>
      </c>
      <c r="G2336" t="s">
        <v>2380</v>
      </c>
      <c r="H2336" t="s">
        <v>2380</v>
      </c>
      <c r="J2336">
        <v>1</v>
      </c>
      <c r="K2336" t="str">
        <f t="shared" si="110"/>
        <v>No</v>
      </c>
      <c r="L2336" t="s">
        <v>2380</v>
      </c>
    </row>
  </sheetData>
  <mergeCells count="1">
    <mergeCell ref="N13:O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E2C2F-01B3-41C4-9F82-C6283A63631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344"/>
  <sheetViews>
    <sheetView workbookViewId="0">
      <selection activeCell="I1" sqref="I1:I1048576"/>
    </sheetView>
  </sheetViews>
  <sheetFormatPr defaultRowHeight="14.5" x14ac:dyDescent="0.35"/>
  <cols>
    <col min="1" max="1" width="12.81640625" bestFit="1" customWidth="1"/>
    <col min="2" max="3" width="12.81640625" customWidth="1"/>
    <col min="5" max="5" width="14.7265625" customWidth="1"/>
    <col min="9" max="9" width="10.26953125" style="21" bestFit="1" customWidth="1"/>
    <col min="10" max="10" width="19.81640625" customWidth="1"/>
    <col min="11" max="11" width="13.1796875" bestFit="1" customWidth="1"/>
    <col min="12" max="12" width="16.6328125" customWidth="1"/>
    <col min="14" max="14" width="16.36328125" customWidth="1"/>
    <col min="17" max="17" width="3.7265625" customWidth="1"/>
    <col min="18" max="18" width="22.90625" customWidth="1"/>
    <col min="19" max="19" width="8.36328125" customWidth="1"/>
    <col min="21" max="21" width="14.7265625" customWidth="1"/>
  </cols>
  <sheetData>
    <row r="1" spans="1:21" s="2" customFormat="1" ht="19" customHeight="1" x14ac:dyDescent="0.35">
      <c r="A1" s="3" t="s">
        <v>0</v>
      </c>
      <c r="B1" s="3" t="s">
        <v>6009</v>
      </c>
      <c r="C1" s="16" t="s">
        <v>2389</v>
      </c>
      <c r="D1" s="3" t="s">
        <v>1</v>
      </c>
      <c r="E1" s="16" t="s">
        <v>2387</v>
      </c>
      <c r="F1" s="3" t="s">
        <v>2</v>
      </c>
      <c r="G1" s="3" t="s">
        <v>3</v>
      </c>
      <c r="H1" s="3" t="s">
        <v>4</v>
      </c>
      <c r="I1" s="20" t="s">
        <v>5</v>
      </c>
      <c r="J1" s="16" t="s">
        <v>2392</v>
      </c>
      <c r="K1" s="3" t="s">
        <v>6</v>
      </c>
      <c r="L1" s="16" t="s">
        <v>2393</v>
      </c>
      <c r="M1" s="3" t="s">
        <v>7</v>
      </c>
      <c r="N1" s="16" t="s">
        <v>2394</v>
      </c>
      <c r="O1" s="3" t="s">
        <v>8</v>
      </c>
    </row>
    <row r="2" spans="1:21" x14ac:dyDescent="0.35">
      <c r="A2" t="s">
        <v>9</v>
      </c>
      <c r="C2">
        <f>IF(OR(D2="?", ISBLANK(D2)), 1983, D2)</f>
        <v>1992</v>
      </c>
      <c r="D2">
        <v>1992</v>
      </c>
      <c r="E2" t="str">
        <f>IF(OR(F2="?", ISBLANK(F2)), "Sep", F2)</f>
        <v>Jul</v>
      </c>
      <c r="F2" t="s">
        <v>10</v>
      </c>
      <c r="G2">
        <v>9</v>
      </c>
      <c r="H2">
        <v>0</v>
      </c>
      <c r="I2" s="21">
        <v>563.84</v>
      </c>
      <c r="J2" t="str">
        <f>IF(OR(K2="?", ISBLANK(K2)), "Tier 2", K2)</f>
        <v>tier - 2</v>
      </c>
      <c r="K2" t="s">
        <v>11</v>
      </c>
      <c r="L2" t="str">
        <f>IF(OR(M2="?", ISBLANK(M2)), "Tier 2", M2)</f>
        <v>tier - 3</v>
      </c>
      <c r="M2" t="s">
        <v>12</v>
      </c>
      <c r="N2" t="str">
        <f>IF(OR(O2="?", ISBLANK(O2)), "Unknown", O2)</f>
        <v>R1013</v>
      </c>
      <c r="O2" t="s">
        <v>13</v>
      </c>
      <c r="R2" s="8" t="s">
        <v>2386</v>
      </c>
      <c r="S2" s="8" t="s">
        <v>2385</v>
      </c>
      <c r="U2" s="8" t="s">
        <v>2388</v>
      </c>
    </row>
    <row r="3" spans="1:21" ht="15.5" x14ac:dyDescent="0.35">
      <c r="A3" t="s">
        <v>14</v>
      </c>
      <c r="C3">
        <f t="shared" ref="C3:C66" si="0">IF(OR(D3="?", ISBLANK(D3)), 1983, D3)</f>
        <v>1992</v>
      </c>
      <c r="D3">
        <v>1992</v>
      </c>
      <c r="E3" t="str">
        <f>IF(OR(F3="?", ISBLANK(F3)), "Sep", F3)</f>
        <v>Nov</v>
      </c>
      <c r="F3" t="s">
        <v>15</v>
      </c>
      <c r="G3">
        <v>30</v>
      </c>
      <c r="H3">
        <v>0</v>
      </c>
      <c r="I3" s="21">
        <v>570.62</v>
      </c>
      <c r="J3" t="str">
        <f t="shared" ref="J3:J66" si="1">IF(OR(K3="?", ISBLANK(K3)), "Tier 2", K3)</f>
        <v>tier - 2</v>
      </c>
      <c r="K3" t="s">
        <v>11</v>
      </c>
      <c r="L3" t="str">
        <f t="shared" ref="L3:L66" si="2">IF(OR(M3="?", ISBLANK(M3)), "Tier 2", M3)</f>
        <v>tier - 1</v>
      </c>
      <c r="M3" t="s">
        <v>16</v>
      </c>
      <c r="N3" t="str">
        <f t="shared" ref="N3:N66" si="3">IF(OR(O3="?", ISBLANK(O3)), "Unknown", O3)</f>
        <v>R1013</v>
      </c>
      <c r="O3" t="s">
        <v>13</v>
      </c>
      <c r="R3" s="3" t="s">
        <v>0</v>
      </c>
      <c r="S3" s="9">
        <f>COUNTIF(A:A, "~?")</f>
        <v>6</v>
      </c>
      <c r="U3" s="7">
        <f>ROUND(AVERAGEIF(D2:D2344, "&lt;&gt;?", D2:D2344), 0)</f>
        <v>1983</v>
      </c>
    </row>
    <row r="4" spans="1:21" ht="15.5" x14ac:dyDescent="0.35">
      <c r="A4" t="s">
        <v>17</v>
      </c>
      <c r="C4">
        <f t="shared" si="0"/>
        <v>1993</v>
      </c>
      <c r="D4">
        <v>1993</v>
      </c>
      <c r="E4" t="str">
        <f t="shared" ref="E4:E67" si="4">IF(OR(F4="?", ISBLANK(F4)), "Sep", F4)</f>
        <v>Jun</v>
      </c>
      <c r="F4" t="s">
        <v>18</v>
      </c>
      <c r="G4">
        <v>30</v>
      </c>
      <c r="H4">
        <v>0</v>
      </c>
      <c r="I4" s="21">
        <v>600</v>
      </c>
      <c r="J4" t="str">
        <f t="shared" si="1"/>
        <v>tier - 2</v>
      </c>
      <c r="K4" t="s">
        <v>11</v>
      </c>
      <c r="L4" t="str">
        <f t="shared" si="2"/>
        <v>tier - 1</v>
      </c>
      <c r="M4" t="s">
        <v>16</v>
      </c>
      <c r="N4" t="str">
        <f t="shared" si="3"/>
        <v>R1013</v>
      </c>
      <c r="O4" t="s">
        <v>13</v>
      </c>
      <c r="R4" s="3" t="s">
        <v>1</v>
      </c>
      <c r="S4" s="9">
        <f>COUNTIF(D:D, "~?")</f>
        <v>2</v>
      </c>
    </row>
    <row r="5" spans="1:21" ht="15.5" x14ac:dyDescent="0.35">
      <c r="A5" t="s">
        <v>19</v>
      </c>
      <c r="C5">
        <f t="shared" si="0"/>
        <v>1992</v>
      </c>
      <c r="D5">
        <v>1992</v>
      </c>
      <c r="E5" t="str">
        <f t="shared" si="4"/>
        <v>Sep</v>
      </c>
      <c r="F5" t="s">
        <v>20</v>
      </c>
      <c r="G5">
        <v>13</v>
      </c>
      <c r="H5">
        <v>0</v>
      </c>
      <c r="I5" s="21">
        <v>604.54</v>
      </c>
      <c r="J5" t="str">
        <f t="shared" si="1"/>
        <v>tier - 3</v>
      </c>
      <c r="K5" t="s">
        <v>12</v>
      </c>
      <c r="L5" t="str">
        <f t="shared" si="2"/>
        <v>tier - 3</v>
      </c>
      <c r="M5" t="s">
        <v>12</v>
      </c>
      <c r="N5" t="str">
        <f t="shared" si="3"/>
        <v>R1013</v>
      </c>
      <c r="O5" t="s">
        <v>13</v>
      </c>
      <c r="R5" s="3" t="s">
        <v>2</v>
      </c>
      <c r="S5" s="7">
        <f>COUNTIF(F:F, "~?")</f>
        <v>3</v>
      </c>
    </row>
    <row r="6" spans="1:21" ht="15.5" x14ac:dyDescent="0.35">
      <c r="A6" t="s">
        <v>21</v>
      </c>
      <c r="C6">
        <f t="shared" si="0"/>
        <v>1998</v>
      </c>
      <c r="D6">
        <v>1998</v>
      </c>
      <c r="E6" t="str">
        <f t="shared" si="4"/>
        <v>Jul</v>
      </c>
      <c r="F6" t="s">
        <v>10</v>
      </c>
      <c r="G6">
        <v>27</v>
      </c>
      <c r="H6">
        <v>0</v>
      </c>
      <c r="I6" s="21">
        <v>637.26</v>
      </c>
      <c r="J6" t="str">
        <f t="shared" si="1"/>
        <v>tier - 3</v>
      </c>
      <c r="K6" t="s">
        <v>12</v>
      </c>
      <c r="L6" t="str">
        <f t="shared" si="2"/>
        <v>tier - 3</v>
      </c>
      <c r="M6" t="s">
        <v>12</v>
      </c>
      <c r="N6" t="str">
        <f t="shared" si="3"/>
        <v>R1013</v>
      </c>
      <c r="O6" t="s">
        <v>13</v>
      </c>
      <c r="R6" s="3" t="s">
        <v>3</v>
      </c>
      <c r="S6" s="7">
        <f>COUNTIF(G:G, "~?")</f>
        <v>0</v>
      </c>
    </row>
    <row r="7" spans="1:21" ht="15.5" x14ac:dyDescent="0.35">
      <c r="A7" t="s">
        <v>22</v>
      </c>
      <c r="C7">
        <f t="shared" si="0"/>
        <v>2001</v>
      </c>
      <c r="D7">
        <v>2001</v>
      </c>
      <c r="E7" t="str">
        <f t="shared" si="4"/>
        <v>Nov</v>
      </c>
      <c r="F7" t="s">
        <v>15</v>
      </c>
      <c r="G7">
        <v>20</v>
      </c>
      <c r="H7">
        <v>0</v>
      </c>
      <c r="I7" s="21">
        <v>646.14</v>
      </c>
      <c r="J7" t="str">
        <f t="shared" si="1"/>
        <v>tier - 3</v>
      </c>
      <c r="K7" t="s">
        <v>12</v>
      </c>
      <c r="L7" t="str">
        <f t="shared" si="2"/>
        <v>tier - 3</v>
      </c>
      <c r="M7" t="s">
        <v>12</v>
      </c>
      <c r="N7" t="str">
        <f t="shared" si="3"/>
        <v>R1012</v>
      </c>
      <c r="O7" t="s">
        <v>23</v>
      </c>
      <c r="R7" s="3" t="s">
        <v>4</v>
      </c>
      <c r="S7" s="7">
        <f>COUNTIF(H:H, "~?")</f>
        <v>0</v>
      </c>
    </row>
    <row r="8" spans="1:21" ht="15.5" x14ac:dyDescent="0.35">
      <c r="A8" t="s">
        <v>24</v>
      </c>
      <c r="C8">
        <f t="shared" si="0"/>
        <v>1993</v>
      </c>
      <c r="D8">
        <v>1993</v>
      </c>
      <c r="E8" t="str">
        <f t="shared" si="4"/>
        <v>Jun</v>
      </c>
      <c r="F8" t="s">
        <v>18</v>
      </c>
      <c r="G8">
        <v>1</v>
      </c>
      <c r="H8">
        <v>0</v>
      </c>
      <c r="I8" s="21">
        <v>650</v>
      </c>
      <c r="J8" t="str">
        <f t="shared" si="1"/>
        <v>tier - 3</v>
      </c>
      <c r="K8" t="s">
        <v>12</v>
      </c>
      <c r="L8" t="str">
        <f t="shared" si="2"/>
        <v>tier - 3</v>
      </c>
      <c r="M8" t="s">
        <v>12</v>
      </c>
      <c r="N8" t="str">
        <f t="shared" si="3"/>
        <v>R1013</v>
      </c>
      <c r="O8" t="s">
        <v>13</v>
      </c>
      <c r="R8" s="3" t="s">
        <v>5</v>
      </c>
      <c r="S8" s="7">
        <f>COUNTIF(I:I, "~?")</f>
        <v>0</v>
      </c>
    </row>
    <row r="9" spans="1:21" ht="15.5" x14ac:dyDescent="0.35">
      <c r="A9" t="s">
        <v>25</v>
      </c>
      <c r="C9">
        <f t="shared" si="0"/>
        <v>1995</v>
      </c>
      <c r="D9">
        <v>1995</v>
      </c>
      <c r="E9" t="str">
        <f t="shared" si="4"/>
        <v>Jul</v>
      </c>
      <c r="F9" t="s">
        <v>10</v>
      </c>
      <c r="G9">
        <v>4</v>
      </c>
      <c r="H9">
        <v>0</v>
      </c>
      <c r="I9" s="21">
        <v>650</v>
      </c>
      <c r="J9" t="str">
        <f t="shared" si="1"/>
        <v>tier - 3</v>
      </c>
      <c r="K9" t="s">
        <v>12</v>
      </c>
      <c r="L9" t="str">
        <f t="shared" si="2"/>
        <v>tier - 3</v>
      </c>
      <c r="M9" t="s">
        <v>12</v>
      </c>
      <c r="N9" t="str">
        <f t="shared" si="3"/>
        <v>R1013</v>
      </c>
      <c r="O9" t="s">
        <v>13</v>
      </c>
      <c r="R9" s="3" t="s">
        <v>6</v>
      </c>
      <c r="S9" s="7">
        <f>COUNTIF(K:K, "~?")</f>
        <v>1</v>
      </c>
    </row>
    <row r="10" spans="1:21" ht="15.5" x14ac:dyDescent="0.35">
      <c r="A10" t="s">
        <v>26</v>
      </c>
      <c r="C10">
        <f t="shared" si="0"/>
        <v>2002</v>
      </c>
      <c r="D10">
        <v>2002</v>
      </c>
      <c r="E10" t="str">
        <f t="shared" si="4"/>
        <v>Nov</v>
      </c>
      <c r="F10" t="s">
        <v>15</v>
      </c>
      <c r="G10">
        <v>29</v>
      </c>
      <c r="H10">
        <v>0</v>
      </c>
      <c r="I10" s="21">
        <v>668</v>
      </c>
      <c r="J10" t="str">
        <f t="shared" si="1"/>
        <v>tier - 3</v>
      </c>
      <c r="K10" t="s">
        <v>12</v>
      </c>
      <c r="L10" t="str">
        <f t="shared" si="2"/>
        <v>tier - 2</v>
      </c>
      <c r="M10" t="s">
        <v>11</v>
      </c>
      <c r="N10" t="str">
        <f t="shared" si="3"/>
        <v>R1012</v>
      </c>
      <c r="O10" t="s">
        <v>23</v>
      </c>
      <c r="R10" s="3" t="s">
        <v>7</v>
      </c>
      <c r="S10" s="7">
        <f>COUNTIF(M:M, "~?")</f>
        <v>1</v>
      </c>
    </row>
    <row r="11" spans="1:21" ht="15.5" x14ac:dyDescent="0.35">
      <c r="A11" t="s">
        <v>27</v>
      </c>
      <c r="C11">
        <f t="shared" si="0"/>
        <v>1997</v>
      </c>
      <c r="D11">
        <v>1997</v>
      </c>
      <c r="E11" t="str">
        <f t="shared" si="4"/>
        <v>Nov</v>
      </c>
      <c r="F11" t="s">
        <v>15</v>
      </c>
      <c r="G11">
        <v>9</v>
      </c>
      <c r="H11">
        <v>0</v>
      </c>
      <c r="I11" s="21">
        <v>670</v>
      </c>
      <c r="J11" t="str">
        <f t="shared" si="1"/>
        <v>tier - 3</v>
      </c>
      <c r="K11" t="s">
        <v>12</v>
      </c>
      <c r="L11" t="str">
        <f t="shared" si="2"/>
        <v>tier - 3</v>
      </c>
      <c r="M11" t="s">
        <v>12</v>
      </c>
      <c r="N11" t="str">
        <f t="shared" si="3"/>
        <v>R1013</v>
      </c>
      <c r="O11" t="s">
        <v>13</v>
      </c>
      <c r="R11" s="3" t="s">
        <v>8</v>
      </c>
      <c r="S11" s="7">
        <f>COUNTIF(O:O, "~?")</f>
        <v>2</v>
      </c>
    </row>
    <row r="12" spans="1:21" x14ac:dyDescent="0.35">
      <c r="A12" t="s">
        <v>28</v>
      </c>
      <c r="C12">
        <f t="shared" si="0"/>
        <v>2001</v>
      </c>
      <c r="D12">
        <v>2001</v>
      </c>
      <c r="E12" t="str">
        <f t="shared" si="4"/>
        <v>Sep</v>
      </c>
      <c r="F12" t="s">
        <v>20</v>
      </c>
      <c r="G12">
        <v>12</v>
      </c>
      <c r="H12">
        <v>0</v>
      </c>
      <c r="I12" s="21">
        <v>687.54</v>
      </c>
      <c r="J12" t="str">
        <f t="shared" si="1"/>
        <v>tier - 3</v>
      </c>
      <c r="K12" t="s">
        <v>12</v>
      </c>
      <c r="L12" t="str">
        <f t="shared" si="2"/>
        <v>tier - 2</v>
      </c>
      <c r="M12" t="s">
        <v>11</v>
      </c>
      <c r="N12" t="str">
        <f t="shared" si="3"/>
        <v>R1013</v>
      </c>
      <c r="O12" t="s">
        <v>13</v>
      </c>
    </row>
    <row r="13" spans="1:21" x14ac:dyDescent="0.35">
      <c r="A13" t="s">
        <v>29</v>
      </c>
      <c r="C13">
        <f t="shared" si="0"/>
        <v>1999</v>
      </c>
      <c r="D13">
        <v>1999</v>
      </c>
      <c r="E13" t="str">
        <f t="shared" si="4"/>
        <v>Dec</v>
      </c>
      <c r="F13" t="s">
        <v>30</v>
      </c>
      <c r="G13">
        <v>26</v>
      </c>
      <c r="H13">
        <v>0</v>
      </c>
      <c r="I13" s="21">
        <v>700</v>
      </c>
      <c r="J13" t="str">
        <f t="shared" si="1"/>
        <v>Tier 2</v>
      </c>
      <c r="K13" t="s">
        <v>31</v>
      </c>
      <c r="L13" t="str">
        <f t="shared" si="2"/>
        <v>tier - 3</v>
      </c>
      <c r="M13" t="s">
        <v>12</v>
      </c>
      <c r="N13" t="str">
        <f t="shared" si="3"/>
        <v>R1013</v>
      </c>
      <c r="O13" t="s">
        <v>13</v>
      </c>
      <c r="R13" s="13" t="s">
        <v>2390</v>
      </c>
      <c r="S13" s="14"/>
    </row>
    <row r="14" spans="1:21" ht="15.5" x14ac:dyDescent="0.35">
      <c r="A14" t="s">
        <v>32</v>
      </c>
      <c r="C14">
        <f t="shared" si="0"/>
        <v>1999</v>
      </c>
      <c r="D14">
        <v>1999</v>
      </c>
      <c r="E14" t="str">
        <f t="shared" si="4"/>
        <v>Dec</v>
      </c>
      <c r="F14" t="s">
        <v>30</v>
      </c>
      <c r="G14">
        <v>14</v>
      </c>
      <c r="H14">
        <v>0</v>
      </c>
      <c r="I14" s="21">
        <v>722.99</v>
      </c>
      <c r="J14" t="str">
        <f t="shared" si="1"/>
        <v>tier - 3</v>
      </c>
      <c r="K14" t="s">
        <v>12</v>
      </c>
      <c r="L14" t="str">
        <f t="shared" si="2"/>
        <v>tier - 1</v>
      </c>
      <c r="M14" t="s">
        <v>16</v>
      </c>
      <c r="N14" t="str">
        <f t="shared" si="3"/>
        <v>R1013</v>
      </c>
      <c r="O14" t="s">
        <v>13</v>
      </c>
      <c r="R14" s="3" t="s">
        <v>6</v>
      </c>
      <c r="S14" s="7" t="str">
        <f t="array" ref="S14">INDEX(K2:K2344, MODE(IF(K2:K2344&lt;&gt;"?", MATCH(K2:K2344, K2:K2344, 0))))</f>
        <v>tier - 2</v>
      </c>
    </row>
    <row r="15" spans="1:21" ht="15.5" x14ac:dyDescent="0.35">
      <c r="A15" t="s">
        <v>33</v>
      </c>
      <c r="C15">
        <f t="shared" si="0"/>
        <v>2002</v>
      </c>
      <c r="D15">
        <v>2002</v>
      </c>
      <c r="E15" t="str">
        <f t="shared" si="4"/>
        <v>Sep</v>
      </c>
      <c r="F15" t="s">
        <v>31</v>
      </c>
      <c r="G15">
        <v>19</v>
      </c>
      <c r="H15">
        <v>0</v>
      </c>
      <c r="I15" s="21">
        <v>750</v>
      </c>
      <c r="J15" t="str">
        <f t="shared" si="1"/>
        <v>tier - 3</v>
      </c>
      <c r="K15" t="s">
        <v>12</v>
      </c>
      <c r="L15" t="str">
        <f t="shared" si="2"/>
        <v>tier - 1</v>
      </c>
      <c r="M15" t="s">
        <v>16</v>
      </c>
      <c r="N15" t="str">
        <f t="shared" si="3"/>
        <v>R1012</v>
      </c>
      <c r="O15" t="s">
        <v>23</v>
      </c>
      <c r="R15" s="3" t="s">
        <v>7</v>
      </c>
      <c r="S15" s="7" t="str">
        <f t="array" ref="S15">INDEX(M2:M2344, MODE(IF(M2:M2344&lt;&gt;"?", MATCH(M2:M2344, M2:M2344, 0))))</f>
        <v>tier - 2</v>
      </c>
    </row>
    <row r="16" spans="1:21" x14ac:dyDescent="0.35">
      <c r="A16" t="s">
        <v>34</v>
      </c>
      <c r="C16">
        <f t="shared" si="0"/>
        <v>1993</v>
      </c>
      <c r="D16">
        <v>1993</v>
      </c>
      <c r="E16" t="str">
        <f t="shared" si="4"/>
        <v>Aug</v>
      </c>
      <c r="F16" t="s">
        <v>35</v>
      </c>
      <c r="G16">
        <v>9</v>
      </c>
      <c r="H16">
        <v>0</v>
      </c>
      <c r="I16" s="21">
        <v>760</v>
      </c>
      <c r="J16" t="str">
        <f t="shared" si="1"/>
        <v>tier - 3</v>
      </c>
      <c r="K16" t="s">
        <v>12</v>
      </c>
      <c r="L16" t="str">
        <f t="shared" si="2"/>
        <v>tier - 1</v>
      </c>
      <c r="M16" t="s">
        <v>16</v>
      </c>
      <c r="N16" t="str">
        <f t="shared" si="3"/>
        <v>R1013</v>
      </c>
      <c r="O16" t="s">
        <v>13</v>
      </c>
    </row>
    <row r="17" spans="1:15" x14ac:dyDescent="0.35">
      <c r="A17" t="s">
        <v>36</v>
      </c>
      <c r="C17">
        <f t="shared" si="0"/>
        <v>1996</v>
      </c>
      <c r="D17">
        <v>1996</v>
      </c>
      <c r="E17" t="str">
        <f t="shared" si="4"/>
        <v>Oct</v>
      </c>
      <c r="F17" t="s">
        <v>37</v>
      </c>
      <c r="G17">
        <v>22</v>
      </c>
      <c r="H17">
        <v>0</v>
      </c>
      <c r="I17" s="21">
        <v>760</v>
      </c>
      <c r="J17" t="str">
        <f t="shared" si="1"/>
        <v>tier - 3</v>
      </c>
      <c r="K17" t="s">
        <v>12</v>
      </c>
      <c r="L17" t="str">
        <f t="shared" si="2"/>
        <v>tier - 3</v>
      </c>
      <c r="M17" t="s">
        <v>12</v>
      </c>
      <c r="N17" t="str">
        <f t="shared" si="3"/>
        <v>R1013</v>
      </c>
      <c r="O17" t="s">
        <v>13</v>
      </c>
    </row>
    <row r="18" spans="1:15" x14ac:dyDescent="0.35">
      <c r="A18" t="s">
        <v>38</v>
      </c>
      <c r="C18">
        <f t="shared" si="0"/>
        <v>1993</v>
      </c>
      <c r="D18">
        <v>1993</v>
      </c>
      <c r="E18" t="str">
        <f t="shared" si="4"/>
        <v>Jun</v>
      </c>
      <c r="F18" t="s">
        <v>18</v>
      </c>
      <c r="G18">
        <v>28</v>
      </c>
      <c r="H18">
        <v>0</v>
      </c>
      <c r="I18" s="21">
        <v>770</v>
      </c>
      <c r="J18" t="str">
        <f t="shared" si="1"/>
        <v>tier - 3</v>
      </c>
      <c r="K18" t="s">
        <v>12</v>
      </c>
      <c r="L18" t="str">
        <f t="shared" si="2"/>
        <v>tier - 3</v>
      </c>
      <c r="M18" t="s">
        <v>12</v>
      </c>
      <c r="N18" t="str">
        <f t="shared" si="3"/>
        <v>R1013</v>
      </c>
      <c r="O18" t="s">
        <v>13</v>
      </c>
    </row>
    <row r="19" spans="1:15" x14ac:dyDescent="0.35">
      <c r="A19" t="s">
        <v>39</v>
      </c>
      <c r="C19">
        <f t="shared" si="0"/>
        <v>1996</v>
      </c>
      <c r="D19">
        <v>1996</v>
      </c>
      <c r="E19" t="str">
        <f t="shared" si="4"/>
        <v>Sep</v>
      </c>
      <c r="F19" t="s">
        <v>31</v>
      </c>
      <c r="G19">
        <v>18</v>
      </c>
      <c r="H19">
        <v>0</v>
      </c>
      <c r="I19" s="21">
        <v>770.38</v>
      </c>
      <c r="J19" t="str">
        <f t="shared" si="1"/>
        <v>tier - 3</v>
      </c>
      <c r="K19" t="s">
        <v>12</v>
      </c>
      <c r="L19" t="str">
        <f t="shared" si="2"/>
        <v>Tier 2</v>
      </c>
      <c r="M19" t="s">
        <v>31</v>
      </c>
      <c r="N19" t="str">
        <f t="shared" si="3"/>
        <v>R1012</v>
      </c>
      <c r="O19" t="s">
        <v>23</v>
      </c>
    </row>
    <row r="20" spans="1:15" x14ac:dyDescent="0.35">
      <c r="A20" t="s">
        <v>40</v>
      </c>
      <c r="C20">
        <f t="shared" si="0"/>
        <v>1995</v>
      </c>
      <c r="D20">
        <v>1995</v>
      </c>
      <c r="E20" t="str">
        <f t="shared" si="4"/>
        <v>Dec</v>
      </c>
      <c r="F20" t="s">
        <v>30</v>
      </c>
      <c r="G20">
        <v>7</v>
      </c>
      <c r="H20">
        <v>0</v>
      </c>
      <c r="I20" s="21">
        <v>773.54</v>
      </c>
      <c r="J20" t="str">
        <f t="shared" si="1"/>
        <v>tier - 3</v>
      </c>
      <c r="K20" t="s">
        <v>12</v>
      </c>
      <c r="L20" t="str">
        <f t="shared" si="2"/>
        <v>tier - 2</v>
      </c>
      <c r="M20" t="s">
        <v>11</v>
      </c>
      <c r="N20" t="str">
        <f t="shared" si="3"/>
        <v>R1013</v>
      </c>
      <c r="O20" t="s">
        <v>13</v>
      </c>
    </row>
    <row r="21" spans="1:15" x14ac:dyDescent="0.35">
      <c r="A21" t="s">
        <v>41</v>
      </c>
      <c r="C21">
        <f t="shared" si="0"/>
        <v>2004</v>
      </c>
      <c r="D21">
        <v>2004</v>
      </c>
      <c r="E21" t="str">
        <f t="shared" si="4"/>
        <v>Oct</v>
      </c>
      <c r="F21" t="s">
        <v>37</v>
      </c>
      <c r="G21">
        <v>7</v>
      </c>
      <c r="H21">
        <v>0</v>
      </c>
      <c r="I21" s="21">
        <v>830.52</v>
      </c>
      <c r="J21" t="str">
        <f t="shared" si="1"/>
        <v>tier - 3</v>
      </c>
      <c r="K21" t="s">
        <v>12</v>
      </c>
      <c r="L21" t="str">
        <f t="shared" si="2"/>
        <v>tier - 2</v>
      </c>
      <c r="M21" t="s">
        <v>11</v>
      </c>
      <c r="N21" t="str">
        <f t="shared" si="3"/>
        <v>R1011</v>
      </c>
      <c r="O21" t="s">
        <v>42</v>
      </c>
    </row>
    <row r="22" spans="1:15" x14ac:dyDescent="0.35">
      <c r="A22" t="s">
        <v>43</v>
      </c>
      <c r="C22">
        <f t="shared" si="0"/>
        <v>2000</v>
      </c>
      <c r="D22">
        <v>2000</v>
      </c>
      <c r="E22" t="str">
        <f t="shared" si="4"/>
        <v>Nov</v>
      </c>
      <c r="F22" t="s">
        <v>15</v>
      </c>
      <c r="G22">
        <v>18</v>
      </c>
      <c r="H22">
        <v>0</v>
      </c>
      <c r="I22" s="21">
        <v>865.41</v>
      </c>
      <c r="J22" t="str">
        <f t="shared" si="1"/>
        <v>tier - 3</v>
      </c>
      <c r="K22" t="s">
        <v>12</v>
      </c>
      <c r="L22" t="str">
        <f t="shared" si="2"/>
        <v>tier - 1</v>
      </c>
      <c r="M22" t="s">
        <v>16</v>
      </c>
      <c r="N22" t="str">
        <f t="shared" si="3"/>
        <v>R1013</v>
      </c>
      <c r="O22" t="s">
        <v>13</v>
      </c>
    </row>
    <row r="23" spans="1:15" x14ac:dyDescent="0.35">
      <c r="A23" t="s">
        <v>44</v>
      </c>
      <c r="C23">
        <f t="shared" si="0"/>
        <v>1993</v>
      </c>
      <c r="D23">
        <v>1993</v>
      </c>
      <c r="E23" t="str">
        <f t="shared" si="4"/>
        <v>Nov</v>
      </c>
      <c r="F23" t="s">
        <v>15</v>
      </c>
      <c r="G23">
        <v>27</v>
      </c>
      <c r="H23">
        <v>0</v>
      </c>
      <c r="I23" s="21">
        <v>896.21</v>
      </c>
      <c r="J23" t="str">
        <f t="shared" si="1"/>
        <v>tier - 3</v>
      </c>
      <c r="K23" t="s">
        <v>12</v>
      </c>
      <c r="L23" t="str">
        <f t="shared" si="2"/>
        <v>tier - 1</v>
      </c>
      <c r="M23" t="s">
        <v>16</v>
      </c>
      <c r="N23" t="str">
        <f t="shared" si="3"/>
        <v>R1013</v>
      </c>
      <c r="O23" t="s">
        <v>13</v>
      </c>
    </row>
    <row r="24" spans="1:15" x14ac:dyDescent="0.35">
      <c r="A24" t="s">
        <v>45</v>
      </c>
      <c r="C24">
        <f t="shared" si="0"/>
        <v>1994</v>
      </c>
      <c r="D24">
        <v>1994</v>
      </c>
      <c r="E24" t="str">
        <f t="shared" si="4"/>
        <v>Oct</v>
      </c>
      <c r="F24" t="s">
        <v>37</v>
      </c>
      <c r="G24">
        <v>30</v>
      </c>
      <c r="H24">
        <v>0</v>
      </c>
      <c r="I24" s="21">
        <v>915.07</v>
      </c>
      <c r="J24" t="str">
        <f t="shared" si="1"/>
        <v>tier - 3</v>
      </c>
      <c r="K24" t="s">
        <v>12</v>
      </c>
      <c r="L24" t="str">
        <f t="shared" si="2"/>
        <v>tier - 1</v>
      </c>
      <c r="M24" t="s">
        <v>16</v>
      </c>
      <c r="N24" t="str">
        <f t="shared" si="3"/>
        <v>R1013</v>
      </c>
      <c r="O24" t="s">
        <v>13</v>
      </c>
    </row>
    <row r="25" spans="1:15" x14ac:dyDescent="0.35">
      <c r="A25" t="s">
        <v>46</v>
      </c>
      <c r="C25">
        <f t="shared" si="0"/>
        <v>1995</v>
      </c>
      <c r="D25">
        <v>1995</v>
      </c>
      <c r="E25" t="str">
        <f t="shared" si="4"/>
        <v>Oct</v>
      </c>
      <c r="F25" t="s">
        <v>37</v>
      </c>
      <c r="G25">
        <v>28</v>
      </c>
      <c r="H25">
        <v>0</v>
      </c>
      <c r="I25" s="21">
        <v>928.59</v>
      </c>
      <c r="J25" t="str">
        <f t="shared" si="1"/>
        <v>tier - 3</v>
      </c>
      <c r="K25" t="s">
        <v>12</v>
      </c>
      <c r="L25" t="str">
        <f t="shared" si="2"/>
        <v>tier - 1</v>
      </c>
      <c r="M25" t="s">
        <v>16</v>
      </c>
      <c r="N25" t="str">
        <f t="shared" si="3"/>
        <v>R1013</v>
      </c>
      <c r="O25" t="s">
        <v>13</v>
      </c>
    </row>
    <row r="26" spans="1:15" x14ac:dyDescent="0.35">
      <c r="A26" t="s">
        <v>47</v>
      </c>
      <c r="C26">
        <f t="shared" si="0"/>
        <v>2001</v>
      </c>
      <c r="D26">
        <v>2001</v>
      </c>
      <c r="E26" t="str">
        <f t="shared" si="4"/>
        <v>Aug</v>
      </c>
      <c r="F26" t="s">
        <v>35</v>
      </c>
      <c r="G26">
        <v>19</v>
      </c>
      <c r="H26">
        <v>0</v>
      </c>
      <c r="I26" s="21">
        <v>964.71</v>
      </c>
      <c r="J26" t="str">
        <f t="shared" si="1"/>
        <v>tier - 3</v>
      </c>
      <c r="K26" t="s">
        <v>12</v>
      </c>
      <c r="L26" t="str">
        <f t="shared" si="2"/>
        <v>tier - 2</v>
      </c>
      <c r="M26" t="s">
        <v>11</v>
      </c>
      <c r="N26" t="str">
        <f t="shared" si="3"/>
        <v>R1013</v>
      </c>
      <c r="O26" t="s">
        <v>13</v>
      </c>
    </row>
    <row r="27" spans="1:15" x14ac:dyDescent="0.35">
      <c r="A27" t="s">
        <v>48</v>
      </c>
      <c r="C27">
        <f t="shared" si="0"/>
        <v>1994</v>
      </c>
      <c r="D27">
        <v>1994</v>
      </c>
      <c r="E27" t="str">
        <f t="shared" si="4"/>
        <v>Nov</v>
      </c>
      <c r="F27" t="s">
        <v>15</v>
      </c>
      <c r="G27">
        <v>22</v>
      </c>
      <c r="H27">
        <v>0</v>
      </c>
      <c r="I27" s="21">
        <v>1006.65</v>
      </c>
      <c r="J27" t="str">
        <f t="shared" si="1"/>
        <v>tier - 3</v>
      </c>
      <c r="K27" t="s">
        <v>12</v>
      </c>
      <c r="L27" t="str">
        <f t="shared" si="2"/>
        <v>tier - 2</v>
      </c>
      <c r="M27" t="s">
        <v>11</v>
      </c>
      <c r="N27" t="str">
        <f t="shared" si="3"/>
        <v>R1013</v>
      </c>
      <c r="O27" t="s">
        <v>13</v>
      </c>
    </row>
    <row r="28" spans="1:15" x14ac:dyDescent="0.35">
      <c r="A28" t="s">
        <v>49</v>
      </c>
      <c r="C28">
        <f t="shared" si="0"/>
        <v>2000</v>
      </c>
      <c r="D28">
        <v>2000</v>
      </c>
      <c r="E28" t="str">
        <f t="shared" si="4"/>
        <v>Oct</v>
      </c>
      <c r="F28" t="s">
        <v>37</v>
      </c>
      <c r="G28">
        <v>9</v>
      </c>
      <c r="H28">
        <v>0</v>
      </c>
      <c r="I28" s="21">
        <v>1012</v>
      </c>
      <c r="J28" t="str">
        <f t="shared" si="1"/>
        <v>tier - 3</v>
      </c>
      <c r="K28" t="s">
        <v>12</v>
      </c>
      <c r="L28" t="str">
        <f t="shared" si="2"/>
        <v>tier - 2</v>
      </c>
      <c r="M28" t="s">
        <v>11</v>
      </c>
      <c r="N28" t="str">
        <f t="shared" si="3"/>
        <v>R1013</v>
      </c>
      <c r="O28" t="s">
        <v>13</v>
      </c>
    </row>
    <row r="29" spans="1:15" x14ac:dyDescent="0.35">
      <c r="A29" t="s">
        <v>50</v>
      </c>
      <c r="C29">
        <f t="shared" si="0"/>
        <v>1999</v>
      </c>
      <c r="D29">
        <v>1999</v>
      </c>
      <c r="E29" t="str">
        <f t="shared" si="4"/>
        <v>Aug</v>
      </c>
      <c r="F29" t="s">
        <v>35</v>
      </c>
      <c r="G29">
        <v>5</v>
      </c>
      <c r="H29">
        <v>0</v>
      </c>
      <c r="I29" s="21">
        <v>1019</v>
      </c>
      <c r="J29" t="str">
        <f t="shared" si="1"/>
        <v>tier - 3</v>
      </c>
      <c r="K29" t="s">
        <v>12</v>
      </c>
      <c r="L29" t="str">
        <f t="shared" si="2"/>
        <v>tier - 2</v>
      </c>
      <c r="M29" t="s">
        <v>11</v>
      </c>
      <c r="N29" t="str">
        <f t="shared" si="3"/>
        <v>R1013</v>
      </c>
      <c r="O29" t="s">
        <v>13</v>
      </c>
    </row>
    <row r="30" spans="1:15" x14ac:dyDescent="0.35">
      <c r="A30" t="s">
        <v>51</v>
      </c>
      <c r="C30">
        <f t="shared" si="0"/>
        <v>1995</v>
      </c>
      <c r="D30">
        <v>1995</v>
      </c>
      <c r="E30" t="str">
        <f t="shared" si="4"/>
        <v>Oct</v>
      </c>
      <c r="F30" t="s">
        <v>37</v>
      </c>
      <c r="G30">
        <v>5</v>
      </c>
      <c r="H30">
        <v>0</v>
      </c>
      <c r="I30" s="21">
        <v>1033.74</v>
      </c>
      <c r="J30" t="str">
        <f t="shared" si="1"/>
        <v>tier - 3</v>
      </c>
      <c r="K30" t="s">
        <v>12</v>
      </c>
      <c r="L30" t="str">
        <f t="shared" si="2"/>
        <v>tier - 1</v>
      </c>
      <c r="M30" t="s">
        <v>16</v>
      </c>
      <c r="N30" t="str">
        <f t="shared" si="3"/>
        <v>R1013</v>
      </c>
      <c r="O30" t="s">
        <v>13</v>
      </c>
    </row>
    <row r="31" spans="1:15" x14ac:dyDescent="0.35">
      <c r="A31" t="s">
        <v>52</v>
      </c>
      <c r="C31">
        <f t="shared" si="0"/>
        <v>1994</v>
      </c>
      <c r="D31">
        <v>1994</v>
      </c>
      <c r="E31" t="str">
        <f t="shared" si="4"/>
        <v>Nov</v>
      </c>
      <c r="F31" t="s">
        <v>15</v>
      </c>
      <c r="G31">
        <v>17</v>
      </c>
      <c r="H31">
        <v>0</v>
      </c>
      <c r="I31" s="21">
        <v>1044</v>
      </c>
      <c r="J31" t="str">
        <f t="shared" si="1"/>
        <v>tier - 3</v>
      </c>
      <c r="K31" t="s">
        <v>12</v>
      </c>
      <c r="L31" t="str">
        <f t="shared" si="2"/>
        <v>tier - 2</v>
      </c>
      <c r="M31" t="s">
        <v>11</v>
      </c>
      <c r="N31" t="str">
        <f t="shared" si="3"/>
        <v>R1013</v>
      </c>
      <c r="O31" t="s">
        <v>13</v>
      </c>
    </row>
    <row r="32" spans="1:15" x14ac:dyDescent="0.35">
      <c r="A32" t="s">
        <v>53</v>
      </c>
      <c r="C32">
        <f t="shared" si="0"/>
        <v>2002</v>
      </c>
      <c r="D32">
        <v>2002</v>
      </c>
      <c r="E32" t="str">
        <f t="shared" si="4"/>
        <v>Jul</v>
      </c>
      <c r="F32" t="s">
        <v>10</v>
      </c>
      <c r="G32">
        <v>20</v>
      </c>
      <c r="H32">
        <v>0</v>
      </c>
      <c r="I32" s="21">
        <v>1047</v>
      </c>
      <c r="J32" t="str">
        <f t="shared" si="1"/>
        <v>tier - 3</v>
      </c>
      <c r="K32" t="s">
        <v>12</v>
      </c>
      <c r="L32" t="str">
        <f t="shared" si="2"/>
        <v>tier - 1</v>
      </c>
      <c r="M32" t="s">
        <v>16</v>
      </c>
      <c r="N32" t="str">
        <f t="shared" si="3"/>
        <v>R1013</v>
      </c>
      <c r="O32" t="s">
        <v>13</v>
      </c>
    </row>
    <row r="33" spans="1:15" x14ac:dyDescent="0.35">
      <c r="A33" t="s">
        <v>54</v>
      </c>
      <c r="C33">
        <f t="shared" si="0"/>
        <v>2002</v>
      </c>
      <c r="D33">
        <v>2002</v>
      </c>
      <c r="E33" t="str">
        <f t="shared" si="4"/>
        <v>Jul</v>
      </c>
      <c r="F33" t="s">
        <v>10</v>
      </c>
      <c r="G33">
        <v>1</v>
      </c>
      <c r="H33">
        <v>0</v>
      </c>
      <c r="I33" s="21">
        <v>1049</v>
      </c>
      <c r="J33" t="str">
        <f t="shared" si="1"/>
        <v>tier - 3</v>
      </c>
      <c r="K33" t="s">
        <v>12</v>
      </c>
      <c r="L33" t="str">
        <f t="shared" si="2"/>
        <v>tier - 2</v>
      </c>
      <c r="M33" t="s">
        <v>11</v>
      </c>
      <c r="N33" t="str">
        <f t="shared" si="3"/>
        <v>R1012</v>
      </c>
      <c r="O33" t="s">
        <v>23</v>
      </c>
    </row>
    <row r="34" spans="1:15" x14ac:dyDescent="0.35">
      <c r="A34" t="s">
        <v>55</v>
      </c>
      <c r="C34">
        <f t="shared" si="0"/>
        <v>1995</v>
      </c>
      <c r="D34">
        <v>1995</v>
      </c>
      <c r="E34" t="str">
        <f t="shared" si="4"/>
        <v>Jun</v>
      </c>
      <c r="F34" t="s">
        <v>18</v>
      </c>
      <c r="G34">
        <v>1</v>
      </c>
      <c r="H34">
        <v>0</v>
      </c>
      <c r="I34" s="21">
        <v>1056</v>
      </c>
      <c r="J34" t="str">
        <f t="shared" si="1"/>
        <v>tier - 3</v>
      </c>
      <c r="K34" t="s">
        <v>12</v>
      </c>
      <c r="L34" t="str">
        <f t="shared" si="2"/>
        <v>tier - 2</v>
      </c>
      <c r="M34" t="s">
        <v>11</v>
      </c>
      <c r="N34" t="str">
        <f t="shared" si="3"/>
        <v>R1013</v>
      </c>
      <c r="O34" t="s">
        <v>13</v>
      </c>
    </row>
    <row r="35" spans="1:15" x14ac:dyDescent="0.35">
      <c r="A35" t="s">
        <v>56</v>
      </c>
      <c r="C35">
        <f t="shared" si="0"/>
        <v>1993</v>
      </c>
      <c r="D35">
        <v>1993</v>
      </c>
      <c r="E35" t="str">
        <f t="shared" si="4"/>
        <v>Sep</v>
      </c>
      <c r="F35" t="s">
        <v>20</v>
      </c>
      <c r="G35">
        <v>28</v>
      </c>
      <c r="H35">
        <v>0</v>
      </c>
      <c r="I35" s="21">
        <v>1068</v>
      </c>
      <c r="J35" t="str">
        <f t="shared" si="1"/>
        <v>tier - 3</v>
      </c>
      <c r="K35" t="s">
        <v>12</v>
      </c>
      <c r="L35" t="str">
        <f t="shared" si="2"/>
        <v>tier - 1</v>
      </c>
      <c r="M35" t="s">
        <v>16</v>
      </c>
      <c r="N35" t="str">
        <f t="shared" si="3"/>
        <v>R1013</v>
      </c>
      <c r="O35" t="s">
        <v>13</v>
      </c>
    </row>
    <row r="36" spans="1:15" x14ac:dyDescent="0.35">
      <c r="A36" t="s">
        <v>57</v>
      </c>
      <c r="C36">
        <f t="shared" si="0"/>
        <v>2004</v>
      </c>
      <c r="D36">
        <v>2004</v>
      </c>
      <c r="E36" t="str">
        <f t="shared" si="4"/>
        <v>Aug</v>
      </c>
      <c r="F36" t="s">
        <v>35</v>
      </c>
      <c r="G36">
        <v>24</v>
      </c>
      <c r="H36">
        <v>0</v>
      </c>
      <c r="I36" s="21">
        <v>1070</v>
      </c>
      <c r="J36" t="str">
        <f t="shared" si="1"/>
        <v>tier - 3</v>
      </c>
      <c r="K36" t="s">
        <v>12</v>
      </c>
      <c r="L36" t="str">
        <f t="shared" si="2"/>
        <v>tier - 3</v>
      </c>
      <c r="M36" t="s">
        <v>12</v>
      </c>
      <c r="N36" t="str">
        <f t="shared" si="3"/>
        <v>R1013</v>
      </c>
      <c r="O36" t="s">
        <v>13</v>
      </c>
    </row>
    <row r="37" spans="1:15" x14ac:dyDescent="0.35">
      <c r="A37" t="s">
        <v>58</v>
      </c>
      <c r="C37">
        <f t="shared" si="0"/>
        <v>1997</v>
      </c>
      <c r="D37">
        <v>1997</v>
      </c>
      <c r="E37" t="str">
        <f t="shared" si="4"/>
        <v>Aug</v>
      </c>
      <c r="F37" t="s">
        <v>35</v>
      </c>
      <c r="G37">
        <v>13</v>
      </c>
      <c r="H37">
        <v>0</v>
      </c>
      <c r="I37" s="21">
        <v>1071</v>
      </c>
      <c r="J37" t="str">
        <f t="shared" si="1"/>
        <v>tier - 3</v>
      </c>
      <c r="K37" t="s">
        <v>12</v>
      </c>
      <c r="L37" t="str">
        <f t="shared" si="2"/>
        <v>tier - 3</v>
      </c>
      <c r="M37" t="s">
        <v>12</v>
      </c>
      <c r="N37" t="str">
        <f t="shared" si="3"/>
        <v>R1013</v>
      </c>
      <c r="O37" t="s">
        <v>13</v>
      </c>
    </row>
    <row r="38" spans="1:15" x14ac:dyDescent="0.35">
      <c r="A38" t="s">
        <v>59</v>
      </c>
      <c r="C38">
        <f t="shared" si="0"/>
        <v>1998</v>
      </c>
      <c r="D38">
        <v>1998</v>
      </c>
      <c r="E38" t="str">
        <f t="shared" si="4"/>
        <v>Dec</v>
      </c>
      <c r="F38" t="s">
        <v>30</v>
      </c>
      <c r="G38">
        <v>26</v>
      </c>
      <c r="H38">
        <v>0</v>
      </c>
      <c r="I38" s="21">
        <v>1082</v>
      </c>
      <c r="J38" t="str">
        <f t="shared" si="1"/>
        <v>tier - 3</v>
      </c>
      <c r="K38" t="s">
        <v>12</v>
      </c>
      <c r="L38" t="str">
        <f t="shared" si="2"/>
        <v>tier - 2</v>
      </c>
      <c r="M38" t="s">
        <v>11</v>
      </c>
      <c r="N38" t="str">
        <f t="shared" si="3"/>
        <v>R1013</v>
      </c>
      <c r="O38" t="s">
        <v>13</v>
      </c>
    </row>
    <row r="39" spans="1:15" x14ac:dyDescent="0.35">
      <c r="A39" t="s">
        <v>60</v>
      </c>
      <c r="C39">
        <f t="shared" si="0"/>
        <v>2002</v>
      </c>
      <c r="D39">
        <v>2002</v>
      </c>
      <c r="E39" t="str">
        <f t="shared" si="4"/>
        <v>Aug</v>
      </c>
      <c r="F39" t="s">
        <v>35</v>
      </c>
      <c r="G39">
        <v>13</v>
      </c>
      <c r="H39">
        <v>0</v>
      </c>
      <c r="I39" s="21">
        <v>1086</v>
      </c>
      <c r="J39" t="str">
        <f t="shared" si="1"/>
        <v>tier - 3</v>
      </c>
      <c r="K39" t="s">
        <v>12</v>
      </c>
      <c r="L39" t="str">
        <f t="shared" si="2"/>
        <v>tier - 3</v>
      </c>
      <c r="M39" t="s">
        <v>12</v>
      </c>
      <c r="N39" t="str">
        <f t="shared" si="3"/>
        <v>R1013</v>
      </c>
      <c r="O39" t="s">
        <v>13</v>
      </c>
    </row>
    <row r="40" spans="1:15" x14ac:dyDescent="0.35">
      <c r="A40" t="s">
        <v>61</v>
      </c>
      <c r="C40">
        <f t="shared" si="0"/>
        <v>2004</v>
      </c>
      <c r="D40">
        <v>2004</v>
      </c>
      <c r="E40" t="str">
        <f t="shared" si="4"/>
        <v>Nov</v>
      </c>
      <c r="F40" t="s">
        <v>15</v>
      </c>
      <c r="G40">
        <v>12</v>
      </c>
      <c r="H40">
        <v>0</v>
      </c>
      <c r="I40" s="21">
        <v>1121.8699999999999</v>
      </c>
      <c r="J40" t="str">
        <f t="shared" si="1"/>
        <v>tier - 3</v>
      </c>
      <c r="K40" t="s">
        <v>12</v>
      </c>
      <c r="L40" t="str">
        <f t="shared" si="2"/>
        <v>tier - 1</v>
      </c>
      <c r="M40" t="s">
        <v>16</v>
      </c>
      <c r="N40" t="str">
        <f t="shared" si="3"/>
        <v>R1013</v>
      </c>
      <c r="O40" t="s">
        <v>13</v>
      </c>
    </row>
    <row r="41" spans="1:15" x14ac:dyDescent="0.35">
      <c r="A41" t="s">
        <v>62</v>
      </c>
      <c r="C41">
        <f t="shared" si="0"/>
        <v>2004</v>
      </c>
      <c r="D41">
        <v>2004</v>
      </c>
      <c r="E41" t="str">
        <f t="shared" si="4"/>
        <v>Jun</v>
      </c>
      <c r="F41" t="s">
        <v>18</v>
      </c>
      <c r="G41">
        <v>14</v>
      </c>
      <c r="H41">
        <v>0</v>
      </c>
      <c r="I41" s="21">
        <v>1131.51</v>
      </c>
      <c r="J41" t="str">
        <f t="shared" si="1"/>
        <v>tier - 3</v>
      </c>
      <c r="K41" t="s">
        <v>12</v>
      </c>
      <c r="L41" t="str">
        <f t="shared" si="2"/>
        <v>tier - 1</v>
      </c>
      <c r="M41" t="s">
        <v>16</v>
      </c>
      <c r="N41" t="str">
        <f t="shared" si="3"/>
        <v>R1013</v>
      </c>
      <c r="O41" t="s">
        <v>13</v>
      </c>
    </row>
    <row r="42" spans="1:15" x14ac:dyDescent="0.35">
      <c r="A42" t="s">
        <v>63</v>
      </c>
      <c r="C42">
        <f t="shared" si="0"/>
        <v>2002</v>
      </c>
      <c r="D42">
        <v>2002</v>
      </c>
      <c r="E42" t="str">
        <f t="shared" si="4"/>
        <v>Jul</v>
      </c>
      <c r="F42" t="s">
        <v>10</v>
      </c>
      <c r="G42">
        <v>19</v>
      </c>
      <c r="H42">
        <v>0</v>
      </c>
      <c r="I42" s="21">
        <v>1132</v>
      </c>
      <c r="J42" t="str">
        <f t="shared" si="1"/>
        <v>tier - 3</v>
      </c>
      <c r="K42" t="s">
        <v>12</v>
      </c>
      <c r="L42" t="str">
        <f t="shared" si="2"/>
        <v>tier - 1</v>
      </c>
      <c r="M42" t="s">
        <v>16</v>
      </c>
      <c r="N42" t="str">
        <f t="shared" si="3"/>
        <v>R1013</v>
      </c>
      <c r="O42" t="s">
        <v>13</v>
      </c>
    </row>
    <row r="43" spans="1:15" x14ac:dyDescent="0.35">
      <c r="A43" t="s">
        <v>64</v>
      </c>
      <c r="C43">
        <f t="shared" si="0"/>
        <v>2004</v>
      </c>
      <c r="D43">
        <v>2004</v>
      </c>
      <c r="E43" t="str">
        <f t="shared" si="4"/>
        <v>Oct</v>
      </c>
      <c r="F43" t="s">
        <v>37</v>
      </c>
      <c r="G43">
        <v>6</v>
      </c>
      <c r="H43">
        <v>0</v>
      </c>
      <c r="I43" s="21">
        <v>1135</v>
      </c>
      <c r="J43" t="str">
        <f t="shared" si="1"/>
        <v>tier - 3</v>
      </c>
      <c r="K43" t="s">
        <v>12</v>
      </c>
      <c r="L43" t="str">
        <f t="shared" si="2"/>
        <v>tier - 3</v>
      </c>
      <c r="M43" t="s">
        <v>12</v>
      </c>
      <c r="N43" t="str">
        <f t="shared" si="3"/>
        <v>R1013</v>
      </c>
      <c r="O43" t="s">
        <v>13</v>
      </c>
    </row>
    <row r="44" spans="1:15" x14ac:dyDescent="0.35">
      <c r="A44" t="s">
        <v>65</v>
      </c>
      <c r="C44">
        <f t="shared" si="0"/>
        <v>2004</v>
      </c>
      <c r="D44">
        <v>2004</v>
      </c>
      <c r="E44" t="str">
        <f t="shared" si="4"/>
        <v>Jun</v>
      </c>
      <c r="F44" t="s">
        <v>18</v>
      </c>
      <c r="G44">
        <v>11</v>
      </c>
      <c r="H44">
        <v>0</v>
      </c>
      <c r="I44" s="21">
        <v>1135.94</v>
      </c>
      <c r="J44" t="str">
        <f t="shared" si="1"/>
        <v>tier - 3</v>
      </c>
      <c r="K44" t="s">
        <v>12</v>
      </c>
      <c r="L44" t="str">
        <f t="shared" si="2"/>
        <v>tier - 3</v>
      </c>
      <c r="M44" t="s">
        <v>12</v>
      </c>
      <c r="N44" t="str">
        <f t="shared" si="3"/>
        <v>R1013</v>
      </c>
      <c r="O44" t="s">
        <v>13</v>
      </c>
    </row>
    <row r="45" spans="1:15" x14ac:dyDescent="0.35">
      <c r="A45" t="s">
        <v>66</v>
      </c>
      <c r="C45">
        <f t="shared" si="0"/>
        <v>2004</v>
      </c>
      <c r="D45">
        <v>2004</v>
      </c>
      <c r="E45" t="str">
        <f t="shared" si="4"/>
        <v>Nov</v>
      </c>
      <c r="F45" t="s">
        <v>15</v>
      </c>
      <c r="G45">
        <v>28</v>
      </c>
      <c r="H45">
        <v>0</v>
      </c>
      <c r="I45" s="21">
        <v>1136.4000000000001</v>
      </c>
      <c r="J45" t="str">
        <f t="shared" si="1"/>
        <v>tier - 3</v>
      </c>
      <c r="K45" t="s">
        <v>12</v>
      </c>
      <c r="L45" t="str">
        <f t="shared" si="2"/>
        <v>tier - 3</v>
      </c>
      <c r="M45" t="s">
        <v>12</v>
      </c>
      <c r="N45" t="str">
        <f t="shared" si="3"/>
        <v>R1013</v>
      </c>
      <c r="O45" t="s">
        <v>13</v>
      </c>
    </row>
    <row r="46" spans="1:15" x14ac:dyDescent="0.35">
      <c r="A46" t="s">
        <v>67</v>
      </c>
      <c r="C46">
        <f t="shared" si="0"/>
        <v>2002</v>
      </c>
      <c r="D46">
        <v>2002</v>
      </c>
      <c r="E46" t="str">
        <f t="shared" si="4"/>
        <v>Aug</v>
      </c>
      <c r="F46" t="s">
        <v>35</v>
      </c>
      <c r="G46">
        <v>11</v>
      </c>
      <c r="H46">
        <v>0</v>
      </c>
      <c r="I46" s="21">
        <v>1137</v>
      </c>
      <c r="J46" t="str">
        <f t="shared" si="1"/>
        <v>tier - 3</v>
      </c>
      <c r="K46" t="s">
        <v>12</v>
      </c>
      <c r="L46" t="str">
        <f t="shared" si="2"/>
        <v>tier - 1</v>
      </c>
      <c r="M46" t="s">
        <v>16</v>
      </c>
      <c r="N46" t="str">
        <f t="shared" si="3"/>
        <v>R1013</v>
      </c>
      <c r="O46" t="s">
        <v>13</v>
      </c>
    </row>
    <row r="47" spans="1:15" x14ac:dyDescent="0.35">
      <c r="A47" t="s">
        <v>31</v>
      </c>
      <c r="C47">
        <f t="shared" si="0"/>
        <v>2004</v>
      </c>
      <c r="D47">
        <v>2004</v>
      </c>
      <c r="E47" t="str">
        <f t="shared" si="4"/>
        <v>Nov</v>
      </c>
      <c r="F47" t="s">
        <v>15</v>
      </c>
      <c r="G47">
        <v>6</v>
      </c>
      <c r="H47">
        <v>0</v>
      </c>
      <c r="I47" s="21">
        <v>1137.01</v>
      </c>
      <c r="J47" t="str">
        <f t="shared" si="1"/>
        <v>tier - 3</v>
      </c>
      <c r="K47" t="s">
        <v>12</v>
      </c>
      <c r="L47" t="str">
        <f t="shared" si="2"/>
        <v>tier - 1</v>
      </c>
      <c r="M47" t="s">
        <v>16</v>
      </c>
      <c r="N47" t="str">
        <f t="shared" si="3"/>
        <v>R1013</v>
      </c>
      <c r="O47" t="s">
        <v>13</v>
      </c>
    </row>
    <row r="48" spans="1:15" x14ac:dyDescent="0.35">
      <c r="A48" t="s">
        <v>68</v>
      </c>
      <c r="C48">
        <f t="shared" si="0"/>
        <v>2004</v>
      </c>
      <c r="D48">
        <v>2004</v>
      </c>
      <c r="E48" t="str">
        <f t="shared" si="4"/>
        <v>Oct</v>
      </c>
      <c r="F48" t="s">
        <v>37</v>
      </c>
      <c r="G48">
        <v>15</v>
      </c>
      <c r="H48">
        <v>0</v>
      </c>
      <c r="I48" s="21">
        <v>1137.01</v>
      </c>
      <c r="J48" t="str">
        <f t="shared" si="1"/>
        <v>tier - 3</v>
      </c>
      <c r="K48" t="s">
        <v>12</v>
      </c>
      <c r="L48" t="str">
        <f t="shared" si="2"/>
        <v>tier - 1</v>
      </c>
      <c r="M48" t="s">
        <v>16</v>
      </c>
      <c r="N48" t="str">
        <f t="shared" si="3"/>
        <v>R1013</v>
      </c>
      <c r="O48" t="s">
        <v>13</v>
      </c>
    </row>
    <row r="49" spans="1:15" x14ac:dyDescent="0.35">
      <c r="A49" t="s">
        <v>69</v>
      </c>
      <c r="C49">
        <f t="shared" si="0"/>
        <v>2004</v>
      </c>
      <c r="D49">
        <v>2004</v>
      </c>
      <c r="E49" t="str">
        <f t="shared" si="4"/>
        <v>Nov</v>
      </c>
      <c r="F49" t="s">
        <v>15</v>
      </c>
      <c r="G49">
        <v>27</v>
      </c>
      <c r="H49">
        <v>0</v>
      </c>
      <c r="I49" s="21">
        <v>1137.47</v>
      </c>
      <c r="J49" t="str">
        <f t="shared" si="1"/>
        <v>tier - 3</v>
      </c>
      <c r="K49" t="s">
        <v>12</v>
      </c>
      <c r="L49" t="str">
        <f t="shared" si="2"/>
        <v>tier - 2</v>
      </c>
      <c r="M49" t="s">
        <v>11</v>
      </c>
      <c r="N49" t="str">
        <f t="shared" si="3"/>
        <v>R1013</v>
      </c>
      <c r="O49" t="s">
        <v>13</v>
      </c>
    </row>
    <row r="50" spans="1:15" x14ac:dyDescent="0.35">
      <c r="A50" t="s">
        <v>70</v>
      </c>
      <c r="C50">
        <f t="shared" si="0"/>
        <v>2001</v>
      </c>
      <c r="D50">
        <v>2001</v>
      </c>
      <c r="E50" t="str">
        <f t="shared" si="4"/>
        <v>Oct</v>
      </c>
      <c r="F50" t="s">
        <v>37</v>
      </c>
      <c r="G50">
        <v>25</v>
      </c>
      <c r="H50">
        <v>0</v>
      </c>
      <c r="I50" s="21">
        <v>1141</v>
      </c>
      <c r="J50" t="str">
        <f t="shared" si="1"/>
        <v>tier - 3</v>
      </c>
      <c r="K50" t="s">
        <v>12</v>
      </c>
      <c r="L50" t="str">
        <f t="shared" si="2"/>
        <v>tier - 1</v>
      </c>
      <c r="M50" t="s">
        <v>16</v>
      </c>
      <c r="N50" t="str">
        <f t="shared" si="3"/>
        <v>R1013</v>
      </c>
      <c r="O50" t="s">
        <v>13</v>
      </c>
    </row>
    <row r="51" spans="1:15" x14ac:dyDescent="0.35">
      <c r="A51" t="s">
        <v>71</v>
      </c>
      <c r="C51">
        <f t="shared" si="0"/>
        <v>2004</v>
      </c>
      <c r="D51">
        <v>2004</v>
      </c>
      <c r="E51" t="str">
        <f t="shared" si="4"/>
        <v>Sep</v>
      </c>
      <c r="F51" t="s">
        <v>20</v>
      </c>
      <c r="G51">
        <v>12</v>
      </c>
      <c r="H51">
        <v>0</v>
      </c>
      <c r="I51" s="21">
        <v>1141.45</v>
      </c>
      <c r="J51" t="str">
        <f t="shared" si="1"/>
        <v>tier - 3</v>
      </c>
      <c r="K51" t="s">
        <v>12</v>
      </c>
      <c r="L51" t="str">
        <f t="shared" si="2"/>
        <v>tier - 3</v>
      </c>
      <c r="M51" t="s">
        <v>12</v>
      </c>
      <c r="N51" t="str">
        <f t="shared" si="3"/>
        <v>R1013</v>
      </c>
      <c r="O51" t="s">
        <v>13</v>
      </c>
    </row>
    <row r="52" spans="1:15" x14ac:dyDescent="0.35">
      <c r="A52" t="s">
        <v>72</v>
      </c>
      <c r="C52">
        <f t="shared" si="0"/>
        <v>2002</v>
      </c>
      <c r="D52">
        <v>2002</v>
      </c>
      <c r="E52" t="str">
        <f t="shared" si="4"/>
        <v>Oct</v>
      </c>
      <c r="F52" t="s">
        <v>37</v>
      </c>
      <c r="G52">
        <v>1</v>
      </c>
      <c r="H52">
        <v>0</v>
      </c>
      <c r="I52" s="21">
        <v>1142</v>
      </c>
      <c r="J52" t="str">
        <f t="shared" si="1"/>
        <v>tier - 3</v>
      </c>
      <c r="K52" t="s">
        <v>12</v>
      </c>
      <c r="L52" t="str">
        <f t="shared" si="2"/>
        <v>tier - 2</v>
      </c>
      <c r="M52" t="s">
        <v>11</v>
      </c>
      <c r="N52" t="str">
        <f t="shared" si="3"/>
        <v>R1011</v>
      </c>
      <c r="O52" t="s">
        <v>42</v>
      </c>
    </row>
    <row r="53" spans="1:15" x14ac:dyDescent="0.35">
      <c r="A53" t="s">
        <v>73</v>
      </c>
      <c r="C53">
        <f t="shared" si="0"/>
        <v>2004</v>
      </c>
      <c r="D53">
        <v>2004</v>
      </c>
      <c r="E53" t="str">
        <f t="shared" si="4"/>
        <v>Jun</v>
      </c>
      <c r="F53" t="s">
        <v>18</v>
      </c>
      <c r="G53">
        <v>10</v>
      </c>
      <c r="H53">
        <v>0</v>
      </c>
      <c r="I53" s="21">
        <v>1146.8</v>
      </c>
      <c r="J53" t="str">
        <f t="shared" si="1"/>
        <v>tier - 2</v>
      </c>
      <c r="K53" t="s">
        <v>11</v>
      </c>
      <c r="L53" t="str">
        <f t="shared" si="2"/>
        <v>tier - 2</v>
      </c>
      <c r="M53" t="s">
        <v>11</v>
      </c>
      <c r="N53" t="str">
        <f t="shared" si="3"/>
        <v>R1013</v>
      </c>
      <c r="O53" t="s">
        <v>13</v>
      </c>
    </row>
    <row r="54" spans="1:15" x14ac:dyDescent="0.35">
      <c r="A54" t="s">
        <v>74</v>
      </c>
      <c r="C54">
        <f t="shared" si="0"/>
        <v>2003</v>
      </c>
      <c r="D54">
        <v>2003</v>
      </c>
      <c r="E54" t="str">
        <f t="shared" si="4"/>
        <v>Jun</v>
      </c>
      <c r="F54" t="s">
        <v>18</v>
      </c>
      <c r="G54">
        <v>12</v>
      </c>
      <c r="H54">
        <v>0</v>
      </c>
      <c r="I54" s="21">
        <v>1149</v>
      </c>
      <c r="J54" t="str">
        <f t="shared" si="1"/>
        <v>tier - 2</v>
      </c>
      <c r="K54" t="s">
        <v>11</v>
      </c>
      <c r="L54" t="str">
        <f t="shared" si="2"/>
        <v>tier - 1</v>
      </c>
      <c r="M54" t="s">
        <v>16</v>
      </c>
      <c r="N54" t="str">
        <f t="shared" si="3"/>
        <v>R1012</v>
      </c>
      <c r="O54" t="s">
        <v>23</v>
      </c>
    </row>
    <row r="55" spans="1:15" x14ac:dyDescent="0.35">
      <c r="A55" t="s">
        <v>75</v>
      </c>
      <c r="C55">
        <f t="shared" si="0"/>
        <v>2004</v>
      </c>
      <c r="D55">
        <v>2004</v>
      </c>
      <c r="E55" t="str">
        <f t="shared" si="4"/>
        <v>Jul</v>
      </c>
      <c r="F55" t="s">
        <v>10</v>
      </c>
      <c r="G55">
        <v>18</v>
      </c>
      <c r="H55">
        <v>0</v>
      </c>
      <c r="I55" s="21">
        <v>1149.4000000000001</v>
      </c>
      <c r="J55" t="str">
        <f t="shared" si="1"/>
        <v>tier - 2</v>
      </c>
      <c r="K55" t="s">
        <v>11</v>
      </c>
      <c r="L55" t="str">
        <f t="shared" si="2"/>
        <v>tier - 2</v>
      </c>
      <c r="M55" t="s">
        <v>11</v>
      </c>
      <c r="N55" t="str">
        <f t="shared" si="3"/>
        <v>R1013</v>
      </c>
      <c r="O55" t="s">
        <v>13</v>
      </c>
    </row>
    <row r="56" spans="1:15" x14ac:dyDescent="0.35">
      <c r="A56" t="s">
        <v>76</v>
      </c>
      <c r="C56">
        <f t="shared" si="0"/>
        <v>1994</v>
      </c>
      <c r="D56">
        <v>1994</v>
      </c>
      <c r="E56" t="str">
        <f t="shared" si="4"/>
        <v>Jul</v>
      </c>
      <c r="F56" t="s">
        <v>10</v>
      </c>
      <c r="G56">
        <v>26</v>
      </c>
      <c r="H56">
        <v>0</v>
      </c>
      <c r="I56" s="21">
        <v>1158.32</v>
      </c>
      <c r="J56" t="str">
        <f t="shared" si="1"/>
        <v>tier - 2</v>
      </c>
      <c r="K56" t="s">
        <v>11</v>
      </c>
      <c r="L56" t="str">
        <f t="shared" si="2"/>
        <v>tier - 1</v>
      </c>
      <c r="M56" t="s">
        <v>16</v>
      </c>
      <c r="N56" t="str">
        <f t="shared" si="3"/>
        <v>R1013</v>
      </c>
      <c r="O56" t="s">
        <v>13</v>
      </c>
    </row>
    <row r="57" spans="1:15" x14ac:dyDescent="0.35">
      <c r="A57" t="s">
        <v>77</v>
      </c>
      <c r="C57">
        <f t="shared" si="0"/>
        <v>2004</v>
      </c>
      <c r="D57">
        <v>2004</v>
      </c>
      <c r="E57" t="str">
        <f t="shared" si="4"/>
        <v>Nov</v>
      </c>
      <c r="F57" t="s">
        <v>15</v>
      </c>
      <c r="G57">
        <v>11</v>
      </c>
      <c r="H57">
        <v>0</v>
      </c>
      <c r="I57" s="21">
        <v>1163.46</v>
      </c>
      <c r="J57" t="str">
        <f t="shared" si="1"/>
        <v>tier - 2</v>
      </c>
      <c r="K57" t="s">
        <v>11</v>
      </c>
      <c r="L57" t="str">
        <f t="shared" si="2"/>
        <v>tier - 3</v>
      </c>
      <c r="M57" t="s">
        <v>12</v>
      </c>
      <c r="N57" t="str">
        <f t="shared" si="3"/>
        <v>R1013</v>
      </c>
      <c r="O57" t="s">
        <v>13</v>
      </c>
    </row>
    <row r="58" spans="1:15" x14ac:dyDescent="0.35">
      <c r="A58" t="s">
        <v>78</v>
      </c>
      <c r="C58">
        <f t="shared" si="0"/>
        <v>2002</v>
      </c>
      <c r="D58">
        <v>2002</v>
      </c>
      <c r="E58" t="str">
        <f t="shared" si="4"/>
        <v>Jun</v>
      </c>
      <c r="F58" t="s">
        <v>18</v>
      </c>
      <c r="G58">
        <v>11</v>
      </c>
      <c r="H58">
        <v>0</v>
      </c>
      <c r="I58" s="21">
        <v>1165</v>
      </c>
      <c r="J58" t="str">
        <f t="shared" si="1"/>
        <v>tier - 2</v>
      </c>
      <c r="K58" t="s">
        <v>11</v>
      </c>
      <c r="L58" t="str">
        <f t="shared" si="2"/>
        <v>tier - 3</v>
      </c>
      <c r="M58" t="s">
        <v>12</v>
      </c>
      <c r="N58" t="str">
        <f t="shared" si="3"/>
        <v>R1012</v>
      </c>
      <c r="O58" t="s">
        <v>23</v>
      </c>
    </row>
    <row r="59" spans="1:15" x14ac:dyDescent="0.35">
      <c r="A59" t="s">
        <v>79</v>
      </c>
      <c r="C59">
        <f t="shared" si="0"/>
        <v>2001</v>
      </c>
      <c r="D59">
        <v>2001</v>
      </c>
      <c r="E59" t="str">
        <f t="shared" si="4"/>
        <v>Nov</v>
      </c>
      <c r="F59" t="s">
        <v>15</v>
      </c>
      <c r="G59">
        <v>12</v>
      </c>
      <c r="H59">
        <v>0</v>
      </c>
      <c r="I59" s="21">
        <v>1167</v>
      </c>
      <c r="J59" t="str">
        <f t="shared" si="1"/>
        <v>tier - 2</v>
      </c>
      <c r="K59" t="s">
        <v>11</v>
      </c>
      <c r="L59" t="str">
        <f t="shared" si="2"/>
        <v>tier - 1</v>
      </c>
      <c r="M59" t="s">
        <v>16</v>
      </c>
      <c r="N59" t="str">
        <f t="shared" si="3"/>
        <v>R1013</v>
      </c>
      <c r="O59" t="s">
        <v>13</v>
      </c>
    </row>
    <row r="60" spans="1:15" x14ac:dyDescent="0.35">
      <c r="A60" t="s">
        <v>80</v>
      </c>
      <c r="C60">
        <f t="shared" si="0"/>
        <v>1996</v>
      </c>
      <c r="D60">
        <v>1996</v>
      </c>
      <c r="E60" t="str">
        <f t="shared" si="4"/>
        <v>Aug</v>
      </c>
      <c r="F60" t="s">
        <v>35</v>
      </c>
      <c r="G60">
        <v>11</v>
      </c>
      <c r="H60">
        <v>0</v>
      </c>
      <c r="I60" s="21">
        <v>1178</v>
      </c>
      <c r="J60" t="str">
        <f t="shared" si="1"/>
        <v>tier - 2</v>
      </c>
      <c r="K60" t="s">
        <v>11</v>
      </c>
      <c r="L60" t="str">
        <f t="shared" si="2"/>
        <v>tier - 3</v>
      </c>
      <c r="M60" t="s">
        <v>12</v>
      </c>
      <c r="N60" t="str">
        <f t="shared" si="3"/>
        <v>R1013</v>
      </c>
      <c r="O60" t="s">
        <v>13</v>
      </c>
    </row>
    <row r="61" spans="1:15" x14ac:dyDescent="0.35">
      <c r="A61" t="s">
        <v>81</v>
      </c>
      <c r="C61">
        <f t="shared" si="0"/>
        <v>1997</v>
      </c>
      <c r="D61">
        <v>1997</v>
      </c>
      <c r="E61" t="str">
        <f t="shared" si="4"/>
        <v>Jun</v>
      </c>
      <c r="F61" t="s">
        <v>18</v>
      </c>
      <c r="G61">
        <v>28</v>
      </c>
      <c r="H61">
        <v>0</v>
      </c>
      <c r="I61" s="21">
        <v>1178.07</v>
      </c>
      <c r="J61" t="str">
        <f t="shared" si="1"/>
        <v>tier - 2</v>
      </c>
      <c r="K61" t="s">
        <v>11</v>
      </c>
      <c r="L61" t="str">
        <f t="shared" si="2"/>
        <v>tier - 2</v>
      </c>
      <c r="M61" t="s">
        <v>11</v>
      </c>
      <c r="N61" t="str">
        <f t="shared" si="3"/>
        <v>R1013</v>
      </c>
      <c r="O61" t="s">
        <v>13</v>
      </c>
    </row>
    <row r="62" spans="1:15" x14ac:dyDescent="0.35">
      <c r="A62" t="s">
        <v>82</v>
      </c>
      <c r="C62">
        <f t="shared" si="0"/>
        <v>2002</v>
      </c>
      <c r="D62">
        <v>2002</v>
      </c>
      <c r="E62" t="str">
        <f t="shared" si="4"/>
        <v>Aug</v>
      </c>
      <c r="F62" t="s">
        <v>35</v>
      </c>
      <c r="G62">
        <v>26</v>
      </c>
      <c r="H62">
        <v>0</v>
      </c>
      <c r="I62" s="21">
        <v>1191</v>
      </c>
      <c r="J62" t="str">
        <f t="shared" si="1"/>
        <v>tier - 2</v>
      </c>
      <c r="K62" t="s">
        <v>11</v>
      </c>
      <c r="L62" t="str">
        <f t="shared" si="2"/>
        <v>tier - 1</v>
      </c>
      <c r="M62" t="s">
        <v>16</v>
      </c>
      <c r="N62" t="str">
        <f t="shared" si="3"/>
        <v>R1013</v>
      </c>
      <c r="O62" t="s">
        <v>13</v>
      </c>
    </row>
    <row r="63" spans="1:15" x14ac:dyDescent="0.35">
      <c r="A63" t="s">
        <v>83</v>
      </c>
      <c r="C63">
        <f t="shared" si="0"/>
        <v>1999</v>
      </c>
      <c r="D63">
        <v>1999</v>
      </c>
      <c r="E63" t="str">
        <f t="shared" si="4"/>
        <v>Jun</v>
      </c>
      <c r="F63" t="s">
        <v>18</v>
      </c>
      <c r="G63">
        <v>28</v>
      </c>
      <c r="H63">
        <v>0</v>
      </c>
      <c r="I63" s="21">
        <v>1200</v>
      </c>
      <c r="J63" t="str">
        <f t="shared" si="1"/>
        <v>tier - 2</v>
      </c>
      <c r="K63" t="s">
        <v>11</v>
      </c>
      <c r="L63" t="str">
        <f t="shared" si="2"/>
        <v>tier - 3</v>
      </c>
      <c r="M63" t="s">
        <v>12</v>
      </c>
      <c r="N63" t="str">
        <f t="shared" si="3"/>
        <v>R1012</v>
      </c>
      <c r="O63" t="s">
        <v>23</v>
      </c>
    </row>
    <row r="64" spans="1:15" x14ac:dyDescent="0.35">
      <c r="A64" t="s">
        <v>84</v>
      </c>
      <c r="C64">
        <f t="shared" si="0"/>
        <v>1992</v>
      </c>
      <c r="D64">
        <v>1992</v>
      </c>
      <c r="E64" t="str">
        <f t="shared" si="4"/>
        <v>Oct</v>
      </c>
      <c r="F64" t="s">
        <v>37</v>
      </c>
      <c r="G64">
        <v>6</v>
      </c>
      <c r="H64">
        <v>0</v>
      </c>
      <c r="I64" s="21">
        <v>1200.55</v>
      </c>
      <c r="J64" t="str">
        <f t="shared" si="1"/>
        <v>tier - 2</v>
      </c>
      <c r="K64" t="s">
        <v>11</v>
      </c>
      <c r="L64" t="str">
        <f t="shared" si="2"/>
        <v>tier - 3</v>
      </c>
      <c r="M64" t="s">
        <v>12</v>
      </c>
      <c r="N64" t="str">
        <f t="shared" si="3"/>
        <v>R1013</v>
      </c>
      <c r="O64" t="s">
        <v>13</v>
      </c>
    </row>
    <row r="65" spans="1:15" x14ac:dyDescent="0.35">
      <c r="A65" t="s">
        <v>85</v>
      </c>
      <c r="C65">
        <f t="shared" si="0"/>
        <v>2004</v>
      </c>
      <c r="D65">
        <v>2004</v>
      </c>
      <c r="E65" t="str">
        <f t="shared" si="4"/>
        <v>Jun</v>
      </c>
      <c r="F65" t="s">
        <v>18</v>
      </c>
      <c r="G65">
        <v>2</v>
      </c>
      <c r="H65">
        <v>0</v>
      </c>
      <c r="I65" s="21">
        <v>1210</v>
      </c>
      <c r="J65" t="str">
        <f t="shared" si="1"/>
        <v>tier - 2</v>
      </c>
      <c r="K65" t="s">
        <v>11</v>
      </c>
      <c r="L65" t="str">
        <f t="shared" si="2"/>
        <v>tier - 1</v>
      </c>
      <c r="M65" t="s">
        <v>16</v>
      </c>
      <c r="N65" t="str">
        <f t="shared" si="3"/>
        <v>R1013</v>
      </c>
      <c r="O65" t="s">
        <v>13</v>
      </c>
    </row>
    <row r="66" spans="1:15" x14ac:dyDescent="0.35">
      <c r="A66" t="s">
        <v>86</v>
      </c>
      <c r="C66">
        <f t="shared" si="0"/>
        <v>1996</v>
      </c>
      <c r="D66">
        <v>1996</v>
      </c>
      <c r="E66" t="str">
        <f t="shared" si="4"/>
        <v>Nov</v>
      </c>
      <c r="F66" t="s">
        <v>15</v>
      </c>
      <c r="G66">
        <v>4</v>
      </c>
      <c r="H66">
        <v>0</v>
      </c>
      <c r="I66" s="21">
        <v>1220</v>
      </c>
      <c r="J66" t="str">
        <f t="shared" si="1"/>
        <v>tier - 2</v>
      </c>
      <c r="K66" t="s">
        <v>11</v>
      </c>
      <c r="L66" t="str">
        <f t="shared" si="2"/>
        <v>tier - 3</v>
      </c>
      <c r="M66" t="s">
        <v>12</v>
      </c>
      <c r="N66" t="str">
        <f t="shared" si="3"/>
        <v>R1012</v>
      </c>
      <c r="O66" t="s">
        <v>23</v>
      </c>
    </row>
    <row r="67" spans="1:15" x14ac:dyDescent="0.35">
      <c r="A67" t="s">
        <v>87</v>
      </c>
      <c r="C67">
        <f t="shared" ref="C67:C130" si="5">IF(OR(D67="?", ISBLANK(D67)), 1983, D67)</f>
        <v>2004</v>
      </c>
      <c r="D67">
        <v>2004</v>
      </c>
      <c r="E67" t="str">
        <f t="shared" si="4"/>
        <v>Jul</v>
      </c>
      <c r="F67" t="s">
        <v>10</v>
      </c>
      <c r="G67">
        <v>9</v>
      </c>
      <c r="H67">
        <v>0</v>
      </c>
      <c r="I67" s="21">
        <v>1224</v>
      </c>
      <c r="J67" t="str">
        <f t="shared" ref="J67:J130" si="6">IF(OR(K67="?", ISBLANK(K67)), "Tier 2", K67)</f>
        <v>tier - 2</v>
      </c>
      <c r="K67" t="s">
        <v>11</v>
      </c>
      <c r="L67" t="str">
        <f t="shared" ref="L67:L130" si="7">IF(OR(M67="?", ISBLANK(M67)), "Tier 2", M67)</f>
        <v>tier - 1</v>
      </c>
      <c r="M67" t="s">
        <v>16</v>
      </c>
      <c r="N67" t="str">
        <f t="shared" ref="N67:N130" si="8">IF(OR(O67="?", ISBLANK(O67)), "Unknown", O67)</f>
        <v>R1013</v>
      </c>
      <c r="O67" t="s">
        <v>13</v>
      </c>
    </row>
    <row r="68" spans="1:15" x14ac:dyDescent="0.35">
      <c r="A68" t="s">
        <v>88</v>
      </c>
      <c r="C68">
        <f t="shared" si="5"/>
        <v>2004</v>
      </c>
      <c r="D68">
        <v>2004</v>
      </c>
      <c r="E68" t="str">
        <f t="shared" ref="E68:E131" si="9">IF(OR(F68="?", ISBLANK(F68)), "Sep", F68)</f>
        <v>Oct</v>
      </c>
      <c r="F68" t="s">
        <v>37</v>
      </c>
      <c r="G68">
        <v>16</v>
      </c>
      <c r="H68">
        <v>0</v>
      </c>
      <c r="I68" s="21">
        <v>1228</v>
      </c>
      <c r="J68" t="str">
        <f t="shared" si="6"/>
        <v>tier - 2</v>
      </c>
      <c r="K68" t="s">
        <v>11</v>
      </c>
      <c r="L68" t="str">
        <f t="shared" si="7"/>
        <v>tier - 1</v>
      </c>
      <c r="M68" t="s">
        <v>16</v>
      </c>
      <c r="N68" t="str">
        <f t="shared" si="8"/>
        <v>R1012</v>
      </c>
      <c r="O68" t="s">
        <v>23</v>
      </c>
    </row>
    <row r="69" spans="1:15" x14ac:dyDescent="0.35">
      <c r="A69" t="s">
        <v>89</v>
      </c>
      <c r="C69">
        <f t="shared" si="5"/>
        <v>1998</v>
      </c>
      <c r="D69">
        <v>1998</v>
      </c>
      <c r="E69" t="str">
        <f t="shared" si="9"/>
        <v>Jul</v>
      </c>
      <c r="F69" t="s">
        <v>10</v>
      </c>
      <c r="G69">
        <v>13</v>
      </c>
      <c r="H69">
        <v>0</v>
      </c>
      <c r="I69" s="21">
        <v>1234</v>
      </c>
      <c r="J69" t="str">
        <f t="shared" si="6"/>
        <v>tier - 2</v>
      </c>
      <c r="K69" t="s">
        <v>11</v>
      </c>
      <c r="L69" t="str">
        <f t="shared" si="7"/>
        <v>tier - 1</v>
      </c>
      <c r="M69" t="s">
        <v>16</v>
      </c>
      <c r="N69" t="str">
        <f t="shared" si="8"/>
        <v>R1013</v>
      </c>
      <c r="O69" t="s">
        <v>13</v>
      </c>
    </row>
    <row r="70" spans="1:15" x14ac:dyDescent="0.35">
      <c r="A70" t="s">
        <v>90</v>
      </c>
      <c r="C70">
        <f t="shared" si="5"/>
        <v>2002</v>
      </c>
      <c r="D70">
        <v>2002</v>
      </c>
      <c r="E70" t="str">
        <f t="shared" si="9"/>
        <v>Dec</v>
      </c>
      <c r="F70" t="s">
        <v>30</v>
      </c>
      <c r="G70">
        <v>12</v>
      </c>
      <c r="H70">
        <v>0</v>
      </c>
      <c r="I70" s="21">
        <v>1237</v>
      </c>
      <c r="J70" t="str">
        <f t="shared" si="6"/>
        <v>tier - 2</v>
      </c>
      <c r="K70" t="s">
        <v>11</v>
      </c>
      <c r="L70" t="str">
        <f t="shared" si="7"/>
        <v>tier - 2</v>
      </c>
      <c r="M70" t="s">
        <v>11</v>
      </c>
      <c r="N70" t="str">
        <f t="shared" si="8"/>
        <v>R1013</v>
      </c>
      <c r="O70" t="s">
        <v>13</v>
      </c>
    </row>
    <row r="71" spans="1:15" x14ac:dyDescent="0.35">
      <c r="A71" t="s">
        <v>91</v>
      </c>
      <c r="C71">
        <f t="shared" si="5"/>
        <v>1998</v>
      </c>
      <c r="D71">
        <v>1998</v>
      </c>
      <c r="E71" t="str">
        <f t="shared" si="9"/>
        <v>Oct</v>
      </c>
      <c r="F71" t="s">
        <v>37</v>
      </c>
      <c r="G71">
        <v>11</v>
      </c>
      <c r="H71">
        <v>0</v>
      </c>
      <c r="I71" s="21">
        <v>1240</v>
      </c>
      <c r="J71" t="str">
        <f t="shared" si="6"/>
        <v>tier - 2</v>
      </c>
      <c r="K71" t="s">
        <v>11</v>
      </c>
      <c r="L71" t="str">
        <f t="shared" si="7"/>
        <v>tier - 1</v>
      </c>
      <c r="M71" t="s">
        <v>16</v>
      </c>
      <c r="N71" t="str">
        <f t="shared" si="8"/>
        <v>R1012</v>
      </c>
      <c r="O71" t="s">
        <v>23</v>
      </c>
    </row>
    <row r="72" spans="1:15" x14ac:dyDescent="0.35">
      <c r="A72" t="s">
        <v>92</v>
      </c>
      <c r="C72">
        <f t="shared" si="5"/>
        <v>2002</v>
      </c>
      <c r="D72">
        <v>2002</v>
      </c>
      <c r="E72" t="str">
        <f t="shared" si="9"/>
        <v>Jul</v>
      </c>
      <c r="F72" t="s">
        <v>10</v>
      </c>
      <c r="G72">
        <v>1</v>
      </c>
      <c r="H72">
        <v>0</v>
      </c>
      <c r="I72" s="21">
        <v>1241</v>
      </c>
      <c r="J72" t="str">
        <f t="shared" si="6"/>
        <v>tier - 2</v>
      </c>
      <c r="K72" t="s">
        <v>11</v>
      </c>
      <c r="L72" t="str">
        <f t="shared" si="7"/>
        <v>tier - 2</v>
      </c>
      <c r="M72" t="s">
        <v>11</v>
      </c>
      <c r="N72" t="str">
        <f t="shared" si="8"/>
        <v>R1013</v>
      </c>
      <c r="O72" t="s">
        <v>13</v>
      </c>
    </row>
    <row r="73" spans="1:15" x14ac:dyDescent="0.35">
      <c r="A73" t="s">
        <v>93</v>
      </c>
      <c r="C73">
        <f t="shared" si="5"/>
        <v>2003</v>
      </c>
      <c r="D73">
        <v>2003</v>
      </c>
      <c r="E73" t="str">
        <f t="shared" si="9"/>
        <v>Aug</v>
      </c>
      <c r="F73" t="s">
        <v>35</v>
      </c>
      <c r="G73">
        <v>2</v>
      </c>
      <c r="H73">
        <v>0</v>
      </c>
      <c r="I73" s="21">
        <v>1241.57</v>
      </c>
      <c r="J73" t="str">
        <f t="shared" si="6"/>
        <v>tier - 2</v>
      </c>
      <c r="K73" t="s">
        <v>11</v>
      </c>
      <c r="L73" t="str">
        <f t="shared" si="7"/>
        <v>tier - 2</v>
      </c>
      <c r="M73" t="s">
        <v>11</v>
      </c>
      <c r="N73" t="str">
        <f t="shared" si="8"/>
        <v>R1011</v>
      </c>
      <c r="O73" t="s">
        <v>42</v>
      </c>
    </row>
    <row r="74" spans="1:15" x14ac:dyDescent="0.35">
      <c r="A74" t="s">
        <v>94</v>
      </c>
      <c r="C74">
        <f t="shared" si="5"/>
        <v>2003</v>
      </c>
      <c r="D74">
        <v>2003</v>
      </c>
      <c r="E74" t="str">
        <f t="shared" si="9"/>
        <v>Sep</v>
      </c>
      <c r="F74" t="s">
        <v>20</v>
      </c>
      <c r="G74">
        <v>15</v>
      </c>
      <c r="H74">
        <v>0</v>
      </c>
      <c r="I74" s="21">
        <v>1242.26</v>
      </c>
      <c r="J74" t="str">
        <f t="shared" si="6"/>
        <v>tier - 2</v>
      </c>
      <c r="K74" t="s">
        <v>11</v>
      </c>
      <c r="L74" t="str">
        <f t="shared" si="7"/>
        <v>tier - 1</v>
      </c>
      <c r="M74" t="s">
        <v>16</v>
      </c>
      <c r="N74" t="str">
        <f t="shared" si="8"/>
        <v>R1011</v>
      </c>
      <c r="O74" t="s">
        <v>42</v>
      </c>
    </row>
    <row r="75" spans="1:15" x14ac:dyDescent="0.35">
      <c r="A75" t="s">
        <v>95</v>
      </c>
      <c r="C75">
        <f t="shared" si="5"/>
        <v>2003</v>
      </c>
      <c r="D75">
        <v>2003</v>
      </c>
      <c r="E75" t="str">
        <f t="shared" si="9"/>
        <v>Sep</v>
      </c>
      <c r="F75" t="s">
        <v>20</v>
      </c>
      <c r="G75">
        <v>8</v>
      </c>
      <c r="H75">
        <v>0</v>
      </c>
      <c r="I75" s="21">
        <v>1242.82</v>
      </c>
      <c r="J75" t="str">
        <f t="shared" si="6"/>
        <v>tier - 2</v>
      </c>
      <c r="K75" t="s">
        <v>11</v>
      </c>
      <c r="L75" t="str">
        <f t="shared" si="7"/>
        <v>tier - 1</v>
      </c>
      <c r="M75" t="s">
        <v>16</v>
      </c>
      <c r="N75" t="str">
        <f t="shared" si="8"/>
        <v>R1011</v>
      </c>
      <c r="O75" t="s">
        <v>42</v>
      </c>
    </row>
    <row r="76" spans="1:15" x14ac:dyDescent="0.35">
      <c r="A76" t="s">
        <v>96</v>
      </c>
      <c r="C76">
        <f t="shared" si="5"/>
        <v>2003</v>
      </c>
      <c r="D76">
        <v>2003</v>
      </c>
      <c r="E76" t="str">
        <f t="shared" si="9"/>
        <v>Sep</v>
      </c>
      <c r="F76" t="s">
        <v>20</v>
      </c>
      <c r="G76">
        <v>15</v>
      </c>
      <c r="H76">
        <v>0</v>
      </c>
      <c r="I76" s="21">
        <v>1252.4100000000001</v>
      </c>
      <c r="J76" t="str">
        <f t="shared" si="6"/>
        <v>tier - 2</v>
      </c>
      <c r="K76" t="s">
        <v>11</v>
      </c>
      <c r="L76" t="str">
        <f t="shared" si="7"/>
        <v>tier - 3</v>
      </c>
      <c r="M76" t="s">
        <v>12</v>
      </c>
      <c r="N76" t="str">
        <f t="shared" si="8"/>
        <v>R1011</v>
      </c>
      <c r="O76" t="s">
        <v>42</v>
      </c>
    </row>
    <row r="77" spans="1:15" x14ac:dyDescent="0.35">
      <c r="A77" t="s">
        <v>97</v>
      </c>
      <c r="C77">
        <f t="shared" si="5"/>
        <v>1997</v>
      </c>
      <c r="D77">
        <v>1997</v>
      </c>
      <c r="E77" t="str">
        <f t="shared" si="9"/>
        <v>Nov</v>
      </c>
      <c r="F77" t="s">
        <v>15</v>
      </c>
      <c r="G77">
        <v>4</v>
      </c>
      <c r="H77">
        <v>0</v>
      </c>
      <c r="I77" s="21">
        <v>1253</v>
      </c>
      <c r="J77" t="str">
        <f t="shared" si="6"/>
        <v>tier - 2</v>
      </c>
      <c r="K77" t="s">
        <v>11</v>
      </c>
      <c r="L77" t="str">
        <f t="shared" si="7"/>
        <v>tier - 2</v>
      </c>
      <c r="M77" t="s">
        <v>11</v>
      </c>
      <c r="N77" t="str">
        <f t="shared" si="8"/>
        <v>R1013</v>
      </c>
      <c r="O77" t="s">
        <v>13</v>
      </c>
    </row>
    <row r="78" spans="1:15" x14ac:dyDescent="0.35">
      <c r="A78" t="s">
        <v>98</v>
      </c>
      <c r="C78">
        <f t="shared" si="5"/>
        <v>2003</v>
      </c>
      <c r="D78">
        <v>2003</v>
      </c>
      <c r="E78" t="str">
        <f t="shared" si="9"/>
        <v>Dec</v>
      </c>
      <c r="F78" t="s">
        <v>30</v>
      </c>
      <c r="G78">
        <v>10</v>
      </c>
      <c r="H78">
        <v>0</v>
      </c>
      <c r="I78" s="21">
        <v>1253.94</v>
      </c>
      <c r="J78" t="str">
        <f t="shared" si="6"/>
        <v>tier - 2</v>
      </c>
      <c r="K78" t="s">
        <v>11</v>
      </c>
      <c r="L78" t="str">
        <f t="shared" si="7"/>
        <v>tier - 2</v>
      </c>
      <c r="M78" t="s">
        <v>11</v>
      </c>
      <c r="N78" t="str">
        <f t="shared" si="8"/>
        <v>R1011</v>
      </c>
      <c r="O78" t="s">
        <v>42</v>
      </c>
    </row>
    <row r="79" spans="1:15" x14ac:dyDescent="0.35">
      <c r="A79" t="s">
        <v>99</v>
      </c>
      <c r="C79">
        <f t="shared" si="5"/>
        <v>2003</v>
      </c>
      <c r="D79">
        <v>2003</v>
      </c>
      <c r="E79" t="str">
        <f t="shared" si="9"/>
        <v>Oct</v>
      </c>
      <c r="F79" t="s">
        <v>37</v>
      </c>
      <c r="G79">
        <v>13</v>
      </c>
      <c r="H79">
        <v>0</v>
      </c>
      <c r="I79" s="21">
        <v>1256.3</v>
      </c>
      <c r="J79" t="str">
        <f t="shared" si="6"/>
        <v>tier - 2</v>
      </c>
      <c r="K79" t="s">
        <v>11</v>
      </c>
      <c r="L79" t="str">
        <f t="shared" si="7"/>
        <v>tier - 3</v>
      </c>
      <c r="M79" t="s">
        <v>12</v>
      </c>
      <c r="N79" t="str">
        <f t="shared" si="8"/>
        <v>R1011</v>
      </c>
      <c r="O79" t="s">
        <v>42</v>
      </c>
    </row>
    <row r="80" spans="1:15" x14ac:dyDescent="0.35">
      <c r="A80" t="s">
        <v>100</v>
      </c>
      <c r="C80">
        <f t="shared" si="5"/>
        <v>2003</v>
      </c>
      <c r="D80">
        <v>2003</v>
      </c>
      <c r="E80" t="str">
        <f t="shared" si="9"/>
        <v>Oct</v>
      </c>
      <c r="F80" t="s">
        <v>37</v>
      </c>
      <c r="G80">
        <v>30</v>
      </c>
      <c r="H80">
        <v>0</v>
      </c>
      <c r="I80" s="21">
        <v>1261.44</v>
      </c>
      <c r="J80" t="str">
        <f t="shared" si="6"/>
        <v>tier - 2</v>
      </c>
      <c r="K80" t="s">
        <v>11</v>
      </c>
      <c r="L80" t="str">
        <f t="shared" si="7"/>
        <v>tier - 3</v>
      </c>
      <c r="M80" t="s">
        <v>12</v>
      </c>
      <c r="N80" t="str">
        <f t="shared" si="8"/>
        <v>R1011</v>
      </c>
      <c r="O80" t="s">
        <v>42</v>
      </c>
    </row>
    <row r="81" spans="1:15" x14ac:dyDescent="0.35">
      <c r="A81" t="s">
        <v>101</v>
      </c>
      <c r="C81">
        <f t="shared" si="5"/>
        <v>2003</v>
      </c>
      <c r="D81">
        <v>2003</v>
      </c>
      <c r="E81" t="str">
        <f t="shared" si="9"/>
        <v>Aug</v>
      </c>
      <c r="F81" t="s">
        <v>35</v>
      </c>
      <c r="G81">
        <v>15</v>
      </c>
      <c r="H81">
        <v>0</v>
      </c>
      <c r="I81" s="21">
        <v>1261.8599999999999</v>
      </c>
      <c r="J81" t="str">
        <f t="shared" si="6"/>
        <v>tier - 2</v>
      </c>
      <c r="K81" t="s">
        <v>11</v>
      </c>
      <c r="L81" t="str">
        <f t="shared" si="7"/>
        <v>tier - 3</v>
      </c>
      <c r="M81" t="s">
        <v>12</v>
      </c>
      <c r="N81" t="str">
        <f t="shared" si="8"/>
        <v>R1011</v>
      </c>
      <c r="O81" t="s">
        <v>42</v>
      </c>
    </row>
    <row r="82" spans="1:15" x14ac:dyDescent="0.35">
      <c r="A82" t="s">
        <v>102</v>
      </c>
      <c r="C82">
        <f t="shared" si="5"/>
        <v>2003</v>
      </c>
      <c r="D82">
        <v>2003</v>
      </c>
      <c r="E82" t="str">
        <f t="shared" si="9"/>
        <v>Nov</v>
      </c>
      <c r="F82" t="s">
        <v>15</v>
      </c>
      <c r="G82">
        <v>21</v>
      </c>
      <c r="H82">
        <v>0</v>
      </c>
      <c r="I82" s="21">
        <v>1263.25</v>
      </c>
      <c r="J82" t="str">
        <f t="shared" si="6"/>
        <v>tier - 2</v>
      </c>
      <c r="K82" t="s">
        <v>11</v>
      </c>
      <c r="L82" t="str">
        <f t="shared" si="7"/>
        <v>tier - 3</v>
      </c>
      <c r="M82" t="s">
        <v>12</v>
      </c>
      <c r="N82" t="str">
        <f t="shared" si="8"/>
        <v>R1011</v>
      </c>
      <c r="O82" t="s">
        <v>42</v>
      </c>
    </row>
    <row r="83" spans="1:15" x14ac:dyDescent="0.35">
      <c r="A83" t="s">
        <v>103</v>
      </c>
      <c r="C83">
        <f t="shared" si="5"/>
        <v>2002</v>
      </c>
      <c r="D83">
        <v>2002</v>
      </c>
      <c r="E83" t="str">
        <f t="shared" si="9"/>
        <v>Dec</v>
      </c>
      <c r="F83" t="s">
        <v>30</v>
      </c>
      <c r="G83">
        <v>4</v>
      </c>
      <c r="H83">
        <v>0</v>
      </c>
      <c r="I83" s="21">
        <v>1267</v>
      </c>
      <c r="J83" t="str">
        <f t="shared" si="6"/>
        <v>tier - 2</v>
      </c>
      <c r="K83" t="s">
        <v>11</v>
      </c>
      <c r="L83" t="str">
        <f t="shared" si="7"/>
        <v>tier - 1</v>
      </c>
      <c r="M83" t="s">
        <v>16</v>
      </c>
      <c r="N83" t="str">
        <f t="shared" si="8"/>
        <v>R1013</v>
      </c>
      <c r="O83" t="s">
        <v>13</v>
      </c>
    </row>
    <row r="84" spans="1:15" x14ac:dyDescent="0.35">
      <c r="A84" t="s">
        <v>104</v>
      </c>
      <c r="C84">
        <f t="shared" si="5"/>
        <v>1997</v>
      </c>
      <c r="D84">
        <v>1997</v>
      </c>
      <c r="E84" t="str">
        <f t="shared" si="9"/>
        <v>Oct</v>
      </c>
      <c r="F84" t="s">
        <v>37</v>
      </c>
      <c r="G84">
        <v>26</v>
      </c>
      <c r="H84">
        <v>0</v>
      </c>
      <c r="I84" s="21">
        <v>1276</v>
      </c>
      <c r="J84" t="str">
        <f t="shared" si="6"/>
        <v>tier - 2</v>
      </c>
      <c r="K84" t="s">
        <v>11</v>
      </c>
      <c r="L84" t="str">
        <f t="shared" si="7"/>
        <v>tier - 2</v>
      </c>
      <c r="M84" t="s">
        <v>11</v>
      </c>
      <c r="N84" t="str">
        <f t="shared" si="8"/>
        <v>R1012</v>
      </c>
      <c r="O84" t="s">
        <v>23</v>
      </c>
    </row>
    <row r="85" spans="1:15" x14ac:dyDescent="0.35">
      <c r="A85" t="s">
        <v>105</v>
      </c>
      <c r="C85">
        <f t="shared" si="5"/>
        <v>2004</v>
      </c>
      <c r="D85">
        <v>2004</v>
      </c>
      <c r="E85" t="str">
        <f t="shared" si="9"/>
        <v>Sep</v>
      </c>
      <c r="F85" t="s">
        <v>20</v>
      </c>
      <c r="G85">
        <v>30</v>
      </c>
      <c r="H85">
        <v>0</v>
      </c>
      <c r="I85" s="21">
        <v>1283</v>
      </c>
      <c r="J85" t="str">
        <f t="shared" si="6"/>
        <v>tier - 2</v>
      </c>
      <c r="K85" t="s">
        <v>11</v>
      </c>
      <c r="L85" t="str">
        <f t="shared" si="7"/>
        <v>tier - 1</v>
      </c>
      <c r="M85" t="s">
        <v>16</v>
      </c>
      <c r="N85" t="str">
        <f t="shared" si="8"/>
        <v>R1013</v>
      </c>
      <c r="O85" t="s">
        <v>13</v>
      </c>
    </row>
    <row r="86" spans="1:15" x14ac:dyDescent="0.35">
      <c r="A86" t="s">
        <v>106</v>
      </c>
      <c r="C86">
        <f t="shared" si="5"/>
        <v>2004</v>
      </c>
      <c r="D86">
        <v>2004</v>
      </c>
      <c r="E86" t="str">
        <f t="shared" si="9"/>
        <v>Jul</v>
      </c>
      <c r="F86" t="s">
        <v>10</v>
      </c>
      <c r="G86">
        <v>28</v>
      </c>
      <c r="H86">
        <v>0</v>
      </c>
      <c r="I86" s="21">
        <v>1285</v>
      </c>
      <c r="J86" t="str">
        <f t="shared" si="6"/>
        <v>tier - 2</v>
      </c>
      <c r="K86" t="s">
        <v>11</v>
      </c>
      <c r="L86" t="str">
        <f t="shared" si="7"/>
        <v>tier - 3</v>
      </c>
      <c r="M86" t="s">
        <v>12</v>
      </c>
      <c r="N86" t="str">
        <f t="shared" si="8"/>
        <v>R1013</v>
      </c>
      <c r="O86" t="s">
        <v>13</v>
      </c>
    </row>
    <row r="87" spans="1:15" x14ac:dyDescent="0.35">
      <c r="A87" t="s">
        <v>107</v>
      </c>
      <c r="C87">
        <f t="shared" si="5"/>
        <v>2000</v>
      </c>
      <c r="D87">
        <v>2000</v>
      </c>
      <c r="E87" t="str">
        <f t="shared" si="9"/>
        <v>Jun</v>
      </c>
      <c r="F87" t="s">
        <v>18</v>
      </c>
      <c r="G87">
        <v>26</v>
      </c>
      <c r="H87">
        <v>0</v>
      </c>
      <c r="I87" s="21">
        <v>1286</v>
      </c>
      <c r="J87" t="str">
        <f t="shared" si="6"/>
        <v>tier - 2</v>
      </c>
      <c r="K87" t="s">
        <v>11</v>
      </c>
      <c r="L87" t="str">
        <f t="shared" si="7"/>
        <v>tier - 2</v>
      </c>
      <c r="M87" t="s">
        <v>11</v>
      </c>
      <c r="N87" t="str">
        <f t="shared" si="8"/>
        <v>R1013</v>
      </c>
      <c r="O87" t="s">
        <v>13</v>
      </c>
    </row>
    <row r="88" spans="1:15" x14ac:dyDescent="0.35">
      <c r="A88" t="s">
        <v>108</v>
      </c>
      <c r="C88">
        <f t="shared" si="5"/>
        <v>1998</v>
      </c>
      <c r="D88">
        <v>1998</v>
      </c>
      <c r="E88" t="str">
        <f t="shared" si="9"/>
        <v>Jun</v>
      </c>
      <c r="F88" t="s">
        <v>18</v>
      </c>
      <c r="G88">
        <v>4</v>
      </c>
      <c r="H88">
        <v>0</v>
      </c>
      <c r="I88" s="21">
        <v>1290.93</v>
      </c>
      <c r="J88" t="str">
        <f t="shared" si="6"/>
        <v>tier - 2</v>
      </c>
      <c r="K88" t="s">
        <v>11</v>
      </c>
      <c r="L88" t="str">
        <f t="shared" si="7"/>
        <v>tier - 2</v>
      </c>
      <c r="M88" t="s">
        <v>11</v>
      </c>
      <c r="N88" t="str">
        <f t="shared" si="8"/>
        <v>R1013</v>
      </c>
      <c r="O88" t="s">
        <v>13</v>
      </c>
    </row>
    <row r="89" spans="1:15" x14ac:dyDescent="0.35">
      <c r="A89" t="s">
        <v>109</v>
      </c>
      <c r="C89">
        <f t="shared" si="5"/>
        <v>2001</v>
      </c>
      <c r="D89">
        <v>2001</v>
      </c>
      <c r="E89" t="str">
        <f t="shared" si="9"/>
        <v>Nov</v>
      </c>
      <c r="F89" t="s">
        <v>15</v>
      </c>
      <c r="G89">
        <v>29</v>
      </c>
      <c r="H89">
        <v>0</v>
      </c>
      <c r="I89" s="21">
        <v>1293</v>
      </c>
      <c r="J89" t="str">
        <f t="shared" si="6"/>
        <v>tier - 2</v>
      </c>
      <c r="K89" t="s">
        <v>11</v>
      </c>
      <c r="L89" t="str">
        <f t="shared" si="7"/>
        <v>tier - 3</v>
      </c>
      <c r="M89" t="s">
        <v>12</v>
      </c>
      <c r="N89" t="str">
        <f t="shared" si="8"/>
        <v>R1012</v>
      </c>
      <c r="O89" t="s">
        <v>23</v>
      </c>
    </row>
    <row r="90" spans="1:15" x14ac:dyDescent="0.35">
      <c r="A90" t="s">
        <v>110</v>
      </c>
      <c r="C90">
        <f t="shared" si="5"/>
        <v>2002</v>
      </c>
      <c r="D90">
        <v>2002</v>
      </c>
      <c r="E90" t="str">
        <f t="shared" si="9"/>
        <v>Dec</v>
      </c>
      <c r="F90" t="s">
        <v>30</v>
      </c>
      <c r="G90">
        <v>10</v>
      </c>
      <c r="H90">
        <v>0</v>
      </c>
      <c r="I90" s="21">
        <v>1304</v>
      </c>
      <c r="J90" t="str">
        <f t="shared" si="6"/>
        <v>tier - 2</v>
      </c>
      <c r="K90" t="s">
        <v>11</v>
      </c>
      <c r="L90" t="str">
        <f t="shared" si="7"/>
        <v>tier - 2</v>
      </c>
      <c r="M90" t="s">
        <v>11</v>
      </c>
      <c r="N90" t="str">
        <f t="shared" si="8"/>
        <v>R1012</v>
      </c>
      <c r="O90" t="s">
        <v>23</v>
      </c>
    </row>
    <row r="91" spans="1:15" x14ac:dyDescent="0.35">
      <c r="A91" t="s">
        <v>111</v>
      </c>
      <c r="C91">
        <f t="shared" si="5"/>
        <v>1999</v>
      </c>
      <c r="D91">
        <v>1999</v>
      </c>
      <c r="E91" t="str">
        <f t="shared" si="9"/>
        <v>Dec</v>
      </c>
      <c r="F91" t="s">
        <v>30</v>
      </c>
      <c r="G91">
        <v>2</v>
      </c>
      <c r="H91">
        <v>0</v>
      </c>
      <c r="I91" s="21">
        <v>1304</v>
      </c>
      <c r="J91" t="str">
        <f t="shared" si="6"/>
        <v>tier - 2</v>
      </c>
      <c r="K91" t="s">
        <v>11</v>
      </c>
      <c r="L91" t="str">
        <f t="shared" si="7"/>
        <v>tier - 2</v>
      </c>
      <c r="M91" t="s">
        <v>11</v>
      </c>
      <c r="N91" t="str">
        <f t="shared" si="8"/>
        <v>R1013</v>
      </c>
      <c r="O91" t="s">
        <v>13</v>
      </c>
    </row>
    <row r="92" spans="1:15" x14ac:dyDescent="0.35">
      <c r="A92" t="s">
        <v>112</v>
      </c>
      <c r="C92">
        <f t="shared" si="5"/>
        <v>2002</v>
      </c>
      <c r="D92">
        <v>2002</v>
      </c>
      <c r="E92" t="str">
        <f t="shared" si="9"/>
        <v>Oct</v>
      </c>
      <c r="F92" t="s">
        <v>37</v>
      </c>
      <c r="G92">
        <v>13</v>
      </c>
      <c r="H92">
        <v>0</v>
      </c>
      <c r="I92" s="21">
        <v>1315</v>
      </c>
      <c r="J92" t="str">
        <f t="shared" si="6"/>
        <v>tier - 2</v>
      </c>
      <c r="K92" t="s">
        <v>11</v>
      </c>
      <c r="L92" t="str">
        <f t="shared" si="7"/>
        <v>tier - 2</v>
      </c>
      <c r="M92" t="s">
        <v>11</v>
      </c>
      <c r="N92" t="str">
        <f t="shared" si="8"/>
        <v>R1013</v>
      </c>
      <c r="O92" t="s">
        <v>13</v>
      </c>
    </row>
    <row r="93" spans="1:15" x14ac:dyDescent="0.35">
      <c r="A93" t="s">
        <v>113</v>
      </c>
      <c r="C93">
        <f t="shared" si="5"/>
        <v>1999</v>
      </c>
      <c r="D93">
        <v>1999</v>
      </c>
      <c r="E93" t="str">
        <f t="shared" si="9"/>
        <v>Oct</v>
      </c>
      <c r="F93" t="s">
        <v>37</v>
      </c>
      <c r="G93">
        <v>14</v>
      </c>
      <c r="H93">
        <v>0</v>
      </c>
      <c r="I93" s="21">
        <v>1329.17</v>
      </c>
      <c r="J93" t="str">
        <f t="shared" si="6"/>
        <v>tier - 2</v>
      </c>
      <c r="K93" t="s">
        <v>11</v>
      </c>
      <c r="L93" t="str">
        <f t="shared" si="7"/>
        <v>tier - 3</v>
      </c>
      <c r="M93" t="s">
        <v>12</v>
      </c>
      <c r="N93" t="str">
        <f t="shared" si="8"/>
        <v>R1013</v>
      </c>
      <c r="O93" t="s">
        <v>13</v>
      </c>
    </row>
    <row r="94" spans="1:15" x14ac:dyDescent="0.35">
      <c r="A94" t="s">
        <v>114</v>
      </c>
      <c r="C94">
        <f t="shared" si="5"/>
        <v>1998</v>
      </c>
      <c r="D94">
        <v>1998</v>
      </c>
      <c r="E94" t="str">
        <f t="shared" si="9"/>
        <v>Jul</v>
      </c>
      <c r="F94" t="s">
        <v>10</v>
      </c>
      <c r="G94">
        <v>12</v>
      </c>
      <c r="H94">
        <v>0</v>
      </c>
      <c r="I94" s="21">
        <v>1332.61</v>
      </c>
      <c r="J94" t="str">
        <f t="shared" si="6"/>
        <v>tier - 2</v>
      </c>
      <c r="K94" t="s">
        <v>11</v>
      </c>
      <c r="L94" t="str">
        <f t="shared" si="7"/>
        <v>tier - 3</v>
      </c>
      <c r="M94" t="s">
        <v>12</v>
      </c>
      <c r="N94" t="str">
        <f t="shared" si="8"/>
        <v>R1013</v>
      </c>
      <c r="O94" t="s">
        <v>13</v>
      </c>
    </row>
    <row r="95" spans="1:15" x14ac:dyDescent="0.35">
      <c r="A95" t="s">
        <v>115</v>
      </c>
      <c r="C95">
        <f t="shared" si="5"/>
        <v>1995</v>
      </c>
      <c r="D95">
        <v>1995</v>
      </c>
      <c r="E95" t="str">
        <f t="shared" si="9"/>
        <v>Jul</v>
      </c>
      <c r="F95" t="s">
        <v>10</v>
      </c>
      <c r="G95">
        <v>30</v>
      </c>
      <c r="H95">
        <v>0</v>
      </c>
      <c r="I95" s="21">
        <v>1338</v>
      </c>
      <c r="J95" t="str">
        <f t="shared" si="6"/>
        <v>tier - 2</v>
      </c>
      <c r="K95" t="s">
        <v>11</v>
      </c>
      <c r="L95" t="str">
        <f t="shared" si="7"/>
        <v>tier - 3</v>
      </c>
      <c r="M95" t="s">
        <v>12</v>
      </c>
      <c r="N95" t="str">
        <f t="shared" si="8"/>
        <v>R1012</v>
      </c>
      <c r="O95" t="s">
        <v>23</v>
      </c>
    </row>
    <row r="96" spans="1:15" x14ac:dyDescent="0.35">
      <c r="A96" t="s">
        <v>116</v>
      </c>
      <c r="C96">
        <f t="shared" si="5"/>
        <v>1997</v>
      </c>
      <c r="D96">
        <v>1997</v>
      </c>
      <c r="E96" t="str">
        <f t="shared" si="9"/>
        <v>Nov</v>
      </c>
      <c r="F96" t="s">
        <v>15</v>
      </c>
      <c r="G96">
        <v>7</v>
      </c>
      <c r="H96">
        <v>0</v>
      </c>
      <c r="I96" s="21">
        <v>1341.16</v>
      </c>
      <c r="J96" t="str">
        <f t="shared" si="6"/>
        <v>tier - 2</v>
      </c>
      <c r="K96" t="s">
        <v>11</v>
      </c>
      <c r="L96" t="str">
        <f t="shared" si="7"/>
        <v>tier - 2</v>
      </c>
      <c r="M96" t="s">
        <v>11</v>
      </c>
      <c r="N96" t="str">
        <f t="shared" si="8"/>
        <v>R1012</v>
      </c>
      <c r="O96" t="s">
        <v>23</v>
      </c>
    </row>
    <row r="97" spans="1:15" x14ac:dyDescent="0.35">
      <c r="A97" t="s">
        <v>117</v>
      </c>
      <c r="C97">
        <f t="shared" si="5"/>
        <v>1998</v>
      </c>
      <c r="D97">
        <v>1998</v>
      </c>
      <c r="E97" t="str">
        <f t="shared" si="9"/>
        <v>Dec</v>
      </c>
      <c r="F97" t="s">
        <v>30</v>
      </c>
      <c r="G97">
        <v>3</v>
      </c>
      <c r="H97">
        <v>0</v>
      </c>
      <c r="I97" s="21">
        <v>1359</v>
      </c>
      <c r="J97" t="str">
        <f t="shared" si="6"/>
        <v>tier - 2</v>
      </c>
      <c r="K97" t="s">
        <v>11</v>
      </c>
      <c r="L97" t="str">
        <f t="shared" si="7"/>
        <v>tier - 1</v>
      </c>
      <c r="M97" t="s">
        <v>16</v>
      </c>
      <c r="N97" t="str">
        <f t="shared" si="8"/>
        <v>R1013</v>
      </c>
      <c r="O97" t="s">
        <v>13</v>
      </c>
    </row>
    <row r="98" spans="1:15" x14ac:dyDescent="0.35">
      <c r="A98" t="s">
        <v>118</v>
      </c>
      <c r="C98">
        <f t="shared" si="5"/>
        <v>2002</v>
      </c>
      <c r="D98">
        <v>2002</v>
      </c>
      <c r="E98" t="str">
        <f t="shared" si="9"/>
        <v>Aug</v>
      </c>
      <c r="F98" t="s">
        <v>35</v>
      </c>
      <c r="G98">
        <v>15</v>
      </c>
      <c r="H98">
        <v>0</v>
      </c>
      <c r="I98" s="21">
        <v>1382</v>
      </c>
      <c r="J98" t="str">
        <f t="shared" si="6"/>
        <v>tier - 2</v>
      </c>
      <c r="K98" t="s">
        <v>11</v>
      </c>
      <c r="L98" t="str">
        <f t="shared" si="7"/>
        <v>tier - 1</v>
      </c>
      <c r="M98" t="s">
        <v>16</v>
      </c>
      <c r="N98" t="str">
        <f t="shared" si="8"/>
        <v>R1013</v>
      </c>
      <c r="O98" t="s">
        <v>13</v>
      </c>
    </row>
    <row r="99" spans="1:15" x14ac:dyDescent="0.35">
      <c r="A99" t="s">
        <v>119</v>
      </c>
      <c r="C99">
        <f t="shared" si="5"/>
        <v>1999</v>
      </c>
      <c r="D99">
        <v>1999</v>
      </c>
      <c r="E99" t="str">
        <f t="shared" si="9"/>
        <v>Jul</v>
      </c>
      <c r="F99" t="s">
        <v>10</v>
      </c>
      <c r="G99">
        <v>6</v>
      </c>
      <c r="H99">
        <v>0</v>
      </c>
      <c r="I99" s="21">
        <v>1389</v>
      </c>
      <c r="J99" t="str">
        <f t="shared" si="6"/>
        <v>tier - 2</v>
      </c>
      <c r="K99" t="s">
        <v>11</v>
      </c>
      <c r="L99" t="str">
        <f t="shared" si="7"/>
        <v>tier - 2</v>
      </c>
      <c r="M99" t="s">
        <v>11</v>
      </c>
      <c r="N99" t="str">
        <f t="shared" si="8"/>
        <v>R1013</v>
      </c>
      <c r="O99" t="s">
        <v>13</v>
      </c>
    </row>
    <row r="100" spans="1:15" x14ac:dyDescent="0.35">
      <c r="A100" t="s">
        <v>120</v>
      </c>
      <c r="C100">
        <f t="shared" si="5"/>
        <v>2002</v>
      </c>
      <c r="D100">
        <v>2002</v>
      </c>
      <c r="E100" t="str">
        <f t="shared" si="9"/>
        <v>Nov</v>
      </c>
      <c r="F100" t="s">
        <v>15</v>
      </c>
      <c r="G100">
        <v>14</v>
      </c>
      <c r="H100">
        <v>0</v>
      </c>
      <c r="I100" s="21">
        <v>1390</v>
      </c>
      <c r="J100" t="str">
        <f t="shared" si="6"/>
        <v>tier - 2</v>
      </c>
      <c r="K100" t="s">
        <v>11</v>
      </c>
      <c r="L100" t="str">
        <f t="shared" si="7"/>
        <v>tier - 2</v>
      </c>
      <c r="M100" t="s">
        <v>11</v>
      </c>
      <c r="N100" t="str">
        <f t="shared" si="8"/>
        <v>R1013</v>
      </c>
      <c r="O100" t="s">
        <v>13</v>
      </c>
    </row>
    <row r="101" spans="1:15" x14ac:dyDescent="0.35">
      <c r="A101" t="s">
        <v>121</v>
      </c>
      <c r="C101">
        <f t="shared" si="5"/>
        <v>2002</v>
      </c>
      <c r="D101">
        <v>2002</v>
      </c>
      <c r="E101" t="str">
        <f t="shared" si="9"/>
        <v>Dec</v>
      </c>
      <c r="F101" t="s">
        <v>30</v>
      </c>
      <c r="G101">
        <v>22</v>
      </c>
      <c r="H101">
        <v>0</v>
      </c>
      <c r="I101" s="21">
        <v>1391.53</v>
      </c>
      <c r="J101" t="str">
        <f t="shared" si="6"/>
        <v>tier - 2</v>
      </c>
      <c r="K101" t="s">
        <v>11</v>
      </c>
      <c r="L101" t="str">
        <f t="shared" si="7"/>
        <v>tier - 1</v>
      </c>
      <c r="M101" t="s">
        <v>16</v>
      </c>
      <c r="N101" t="str">
        <f t="shared" si="8"/>
        <v>R1013</v>
      </c>
      <c r="O101" t="s">
        <v>13</v>
      </c>
    </row>
    <row r="102" spans="1:15" x14ac:dyDescent="0.35">
      <c r="A102" t="s">
        <v>122</v>
      </c>
      <c r="C102">
        <f t="shared" si="5"/>
        <v>1998</v>
      </c>
      <c r="D102">
        <v>1998</v>
      </c>
      <c r="E102" t="str">
        <f t="shared" si="9"/>
        <v>Sep</v>
      </c>
      <c r="F102" t="s">
        <v>20</v>
      </c>
      <c r="G102">
        <v>5</v>
      </c>
      <c r="H102">
        <v>0</v>
      </c>
      <c r="I102" s="21">
        <v>1400.44</v>
      </c>
      <c r="J102" t="str">
        <f t="shared" si="6"/>
        <v>tier - 2</v>
      </c>
      <c r="K102" t="s">
        <v>11</v>
      </c>
      <c r="L102" t="str">
        <f t="shared" si="7"/>
        <v>tier - 2</v>
      </c>
      <c r="M102" t="s">
        <v>11</v>
      </c>
      <c r="N102" t="str">
        <f t="shared" si="8"/>
        <v>R1013</v>
      </c>
      <c r="O102" t="s">
        <v>13</v>
      </c>
    </row>
    <row r="103" spans="1:15" x14ac:dyDescent="0.35">
      <c r="A103" t="s">
        <v>123</v>
      </c>
      <c r="C103">
        <f t="shared" si="5"/>
        <v>1997</v>
      </c>
      <c r="D103">
        <v>1997</v>
      </c>
      <c r="E103" t="str">
        <f t="shared" si="9"/>
        <v>Oct</v>
      </c>
      <c r="F103" t="s">
        <v>37</v>
      </c>
      <c r="G103">
        <v>27</v>
      </c>
      <c r="H103">
        <v>0</v>
      </c>
      <c r="I103" s="21">
        <v>1402</v>
      </c>
      <c r="J103" t="str">
        <f t="shared" si="6"/>
        <v>tier - 2</v>
      </c>
      <c r="K103" t="s">
        <v>11</v>
      </c>
      <c r="L103" t="str">
        <f t="shared" si="7"/>
        <v>tier - 3</v>
      </c>
      <c r="M103" t="s">
        <v>12</v>
      </c>
      <c r="N103" t="str">
        <f t="shared" si="8"/>
        <v>R1011</v>
      </c>
      <c r="O103" t="s">
        <v>42</v>
      </c>
    </row>
    <row r="104" spans="1:15" x14ac:dyDescent="0.35">
      <c r="A104" t="s">
        <v>124</v>
      </c>
      <c r="C104">
        <f t="shared" si="5"/>
        <v>1996</v>
      </c>
      <c r="D104">
        <v>1996</v>
      </c>
      <c r="E104" t="str">
        <f t="shared" si="9"/>
        <v>Jun</v>
      </c>
      <c r="F104" t="s">
        <v>18</v>
      </c>
      <c r="G104">
        <v>23</v>
      </c>
      <c r="H104">
        <v>0</v>
      </c>
      <c r="I104" s="21">
        <v>1417</v>
      </c>
      <c r="J104" t="str">
        <f t="shared" si="6"/>
        <v>tier - 2</v>
      </c>
      <c r="K104" t="s">
        <v>11</v>
      </c>
      <c r="L104" t="str">
        <f t="shared" si="7"/>
        <v>tier - 3</v>
      </c>
      <c r="M104" t="s">
        <v>12</v>
      </c>
      <c r="N104" t="str">
        <f t="shared" si="8"/>
        <v>R1013</v>
      </c>
      <c r="O104" t="s">
        <v>13</v>
      </c>
    </row>
    <row r="105" spans="1:15" x14ac:dyDescent="0.35">
      <c r="A105" t="s">
        <v>125</v>
      </c>
      <c r="C105">
        <f t="shared" si="5"/>
        <v>2001</v>
      </c>
      <c r="D105">
        <v>2001</v>
      </c>
      <c r="E105" t="str">
        <f t="shared" si="9"/>
        <v>Aug</v>
      </c>
      <c r="F105" t="s">
        <v>35</v>
      </c>
      <c r="G105">
        <v>23</v>
      </c>
      <c r="H105">
        <v>0</v>
      </c>
      <c r="I105" s="21">
        <v>1421</v>
      </c>
      <c r="J105" t="str">
        <f t="shared" si="6"/>
        <v>tier - 2</v>
      </c>
      <c r="K105" t="s">
        <v>11</v>
      </c>
      <c r="L105" t="str">
        <f t="shared" si="7"/>
        <v>tier - 2</v>
      </c>
      <c r="M105" t="s">
        <v>11</v>
      </c>
      <c r="N105" t="str">
        <f t="shared" si="8"/>
        <v>R1013</v>
      </c>
      <c r="O105" t="s">
        <v>13</v>
      </c>
    </row>
    <row r="106" spans="1:15" x14ac:dyDescent="0.35">
      <c r="A106" t="s">
        <v>126</v>
      </c>
      <c r="C106">
        <f t="shared" si="5"/>
        <v>1997</v>
      </c>
      <c r="D106">
        <v>1997</v>
      </c>
      <c r="E106" t="str">
        <f t="shared" si="9"/>
        <v>Dec</v>
      </c>
      <c r="F106" t="s">
        <v>30</v>
      </c>
      <c r="G106">
        <v>5</v>
      </c>
      <c r="H106">
        <v>0</v>
      </c>
      <c r="I106" s="21">
        <v>1422</v>
      </c>
      <c r="J106" t="str">
        <f t="shared" si="6"/>
        <v>tier - 2</v>
      </c>
      <c r="K106" t="s">
        <v>11</v>
      </c>
      <c r="L106" t="str">
        <f t="shared" si="7"/>
        <v>tier - 2</v>
      </c>
      <c r="M106" t="s">
        <v>11</v>
      </c>
      <c r="N106" t="str">
        <f t="shared" si="8"/>
        <v>R1013</v>
      </c>
      <c r="O106" t="s">
        <v>13</v>
      </c>
    </row>
    <row r="107" spans="1:15" x14ac:dyDescent="0.35">
      <c r="A107" t="s">
        <v>127</v>
      </c>
      <c r="C107">
        <f t="shared" si="5"/>
        <v>2000</v>
      </c>
      <c r="D107">
        <v>2000</v>
      </c>
      <c r="E107" t="str">
        <f t="shared" si="9"/>
        <v>Sep</v>
      </c>
      <c r="F107" t="s">
        <v>20</v>
      </c>
      <c r="G107">
        <v>1</v>
      </c>
      <c r="H107">
        <v>0</v>
      </c>
      <c r="I107" s="21">
        <v>1438</v>
      </c>
      <c r="J107" t="str">
        <f t="shared" si="6"/>
        <v>tier - 2</v>
      </c>
      <c r="K107" t="s">
        <v>11</v>
      </c>
      <c r="L107" t="str">
        <f t="shared" si="7"/>
        <v>tier - 2</v>
      </c>
      <c r="M107" t="s">
        <v>11</v>
      </c>
      <c r="N107" t="str">
        <f t="shared" si="8"/>
        <v>R1013</v>
      </c>
      <c r="O107" t="s">
        <v>13</v>
      </c>
    </row>
    <row r="108" spans="1:15" x14ac:dyDescent="0.35">
      <c r="A108" t="s">
        <v>128</v>
      </c>
      <c r="C108">
        <f t="shared" si="5"/>
        <v>1997</v>
      </c>
      <c r="D108">
        <v>1997</v>
      </c>
      <c r="E108" t="str">
        <f t="shared" si="9"/>
        <v>Jun</v>
      </c>
      <c r="F108" t="s">
        <v>18</v>
      </c>
      <c r="G108">
        <v>19</v>
      </c>
      <c r="H108">
        <v>0</v>
      </c>
      <c r="I108" s="21">
        <v>1445</v>
      </c>
      <c r="J108" t="str">
        <f t="shared" si="6"/>
        <v>tier - 2</v>
      </c>
      <c r="K108" t="s">
        <v>11</v>
      </c>
      <c r="L108" t="str">
        <f t="shared" si="7"/>
        <v>tier - 1</v>
      </c>
      <c r="M108" t="s">
        <v>16</v>
      </c>
      <c r="N108" t="str">
        <f t="shared" si="8"/>
        <v>R1013</v>
      </c>
      <c r="O108" t="s">
        <v>13</v>
      </c>
    </row>
    <row r="109" spans="1:15" x14ac:dyDescent="0.35">
      <c r="A109" t="s">
        <v>129</v>
      </c>
      <c r="C109">
        <f t="shared" si="5"/>
        <v>2003</v>
      </c>
      <c r="D109">
        <v>2003</v>
      </c>
      <c r="E109" t="str">
        <f t="shared" si="9"/>
        <v>Jun</v>
      </c>
      <c r="F109" t="s">
        <v>18</v>
      </c>
      <c r="G109">
        <v>20</v>
      </c>
      <c r="H109">
        <v>0</v>
      </c>
      <c r="I109" s="21">
        <v>1467</v>
      </c>
      <c r="J109" t="str">
        <f t="shared" si="6"/>
        <v>tier - 2</v>
      </c>
      <c r="K109" t="s">
        <v>11</v>
      </c>
      <c r="L109" t="str">
        <f t="shared" si="7"/>
        <v>tier - 2</v>
      </c>
      <c r="M109" t="s">
        <v>11</v>
      </c>
      <c r="N109" t="str">
        <f t="shared" si="8"/>
        <v>R1013</v>
      </c>
      <c r="O109" t="s">
        <v>13</v>
      </c>
    </row>
    <row r="110" spans="1:15" x14ac:dyDescent="0.35">
      <c r="A110" t="s">
        <v>130</v>
      </c>
      <c r="C110">
        <f t="shared" si="5"/>
        <v>1998</v>
      </c>
      <c r="D110">
        <v>1998</v>
      </c>
      <c r="E110" t="str">
        <f t="shared" si="9"/>
        <v>Dec</v>
      </c>
      <c r="F110" t="s">
        <v>30</v>
      </c>
      <c r="G110">
        <v>7</v>
      </c>
      <c r="H110">
        <v>0</v>
      </c>
      <c r="I110" s="21">
        <v>1477</v>
      </c>
      <c r="J110" t="str">
        <f t="shared" si="6"/>
        <v>tier - 2</v>
      </c>
      <c r="K110" t="s">
        <v>11</v>
      </c>
      <c r="L110" t="str">
        <f t="shared" si="7"/>
        <v>tier - 1</v>
      </c>
      <c r="M110" t="s">
        <v>16</v>
      </c>
      <c r="N110" t="str">
        <f t="shared" si="8"/>
        <v>R1013</v>
      </c>
      <c r="O110" t="s">
        <v>13</v>
      </c>
    </row>
    <row r="111" spans="1:15" x14ac:dyDescent="0.35">
      <c r="A111" t="s">
        <v>131</v>
      </c>
      <c r="C111">
        <f t="shared" si="5"/>
        <v>1997</v>
      </c>
      <c r="D111">
        <v>1997</v>
      </c>
      <c r="E111" t="str">
        <f t="shared" si="9"/>
        <v>Jun</v>
      </c>
      <c r="F111" t="s">
        <v>18</v>
      </c>
      <c r="G111">
        <v>9</v>
      </c>
      <c r="H111">
        <v>0</v>
      </c>
      <c r="I111" s="21">
        <v>1481</v>
      </c>
      <c r="J111" t="str">
        <f t="shared" si="6"/>
        <v>tier - 2</v>
      </c>
      <c r="K111" t="s">
        <v>11</v>
      </c>
      <c r="L111" t="str">
        <f t="shared" si="7"/>
        <v>tier - 1</v>
      </c>
      <c r="M111" t="s">
        <v>16</v>
      </c>
      <c r="N111" t="str">
        <f t="shared" si="8"/>
        <v>R1012</v>
      </c>
      <c r="O111" t="s">
        <v>23</v>
      </c>
    </row>
    <row r="112" spans="1:15" x14ac:dyDescent="0.35">
      <c r="A112" t="s">
        <v>132</v>
      </c>
      <c r="C112">
        <f t="shared" si="5"/>
        <v>1995</v>
      </c>
      <c r="D112">
        <v>1995</v>
      </c>
      <c r="E112" t="str">
        <f t="shared" si="9"/>
        <v>Oct</v>
      </c>
      <c r="F112" t="s">
        <v>37</v>
      </c>
      <c r="G112">
        <v>7</v>
      </c>
      <c r="H112">
        <v>0</v>
      </c>
      <c r="I112" s="21">
        <v>1493</v>
      </c>
      <c r="J112" t="str">
        <f t="shared" si="6"/>
        <v>tier - 2</v>
      </c>
      <c r="K112" t="s">
        <v>11</v>
      </c>
      <c r="L112" t="str">
        <f t="shared" si="7"/>
        <v>tier - 3</v>
      </c>
      <c r="M112" t="s">
        <v>12</v>
      </c>
      <c r="N112" t="str">
        <f t="shared" si="8"/>
        <v>R1013</v>
      </c>
      <c r="O112" t="s">
        <v>13</v>
      </c>
    </row>
    <row r="113" spans="1:15" x14ac:dyDescent="0.35">
      <c r="A113" t="s">
        <v>133</v>
      </c>
      <c r="C113">
        <f t="shared" si="5"/>
        <v>1998</v>
      </c>
      <c r="D113">
        <v>1998</v>
      </c>
      <c r="E113" t="str">
        <f t="shared" si="9"/>
        <v>Jun</v>
      </c>
      <c r="F113" t="s">
        <v>18</v>
      </c>
      <c r="G113">
        <v>19</v>
      </c>
      <c r="H113">
        <v>0</v>
      </c>
      <c r="I113" s="21">
        <v>1497</v>
      </c>
      <c r="J113" t="str">
        <f t="shared" si="6"/>
        <v>tier - 2</v>
      </c>
      <c r="K113" t="s">
        <v>11</v>
      </c>
      <c r="L113" t="str">
        <f t="shared" si="7"/>
        <v>tier - 2</v>
      </c>
      <c r="M113" t="s">
        <v>11</v>
      </c>
      <c r="N113" t="str">
        <f t="shared" si="8"/>
        <v>R1013</v>
      </c>
      <c r="O113" t="s">
        <v>13</v>
      </c>
    </row>
    <row r="114" spans="1:15" x14ac:dyDescent="0.35">
      <c r="A114" t="s">
        <v>134</v>
      </c>
      <c r="C114">
        <f t="shared" si="5"/>
        <v>2001</v>
      </c>
      <c r="D114">
        <v>2001</v>
      </c>
      <c r="E114" t="str">
        <f t="shared" si="9"/>
        <v>Aug</v>
      </c>
      <c r="F114" t="s">
        <v>35</v>
      </c>
      <c r="G114">
        <v>25</v>
      </c>
      <c r="H114">
        <v>0</v>
      </c>
      <c r="I114" s="21">
        <v>1515.34</v>
      </c>
      <c r="J114" t="str">
        <f t="shared" si="6"/>
        <v>tier - 2</v>
      </c>
      <c r="K114" t="s">
        <v>11</v>
      </c>
      <c r="L114" t="str">
        <f t="shared" si="7"/>
        <v>tier - 3</v>
      </c>
      <c r="M114" t="s">
        <v>12</v>
      </c>
      <c r="N114" t="str">
        <f t="shared" si="8"/>
        <v>R1013</v>
      </c>
      <c r="O114" t="s">
        <v>13</v>
      </c>
    </row>
    <row r="115" spans="1:15" x14ac:dyDescent="0.35">
      <c r="A115" t="s">
        <v>135</v>
      </c>
      <c r="C115">
        <f t="shared" si="5"/>
        <v>2001</v>
      </c>
      <c r="D115">
        <v>2001</v>
      </c>
      <c r="E115" t="str">
        <f t="shared" si="9"/>
        <v>Jul</v>
      </c>
      <c r="F115" t="s">
        <v>10</v>
      </c>
      <c r="G115">
        <v>7</v>
      </c>
      <c r="H115">
        <v>0</v>
      </c>
      <c r="I115" s="21">
        <v>1526.31</v>
      </c>
      <c r="J115" t="str">
        <f t="shared" si="6"/>
        <v>tier - 2</v>
      </c>
      <c r="K115" t="s">
        <v>11</v>
      </c>
      <c r="L115" t="str">
        <f t="shared" si="7"/>
        <v>tier - 3</v>
      </c>
      <c r="M115" t="s">
        <v>12</v>
      </c>
      <c r="N115" t="str">
        <f t="shared" si="8"/>
        <v>R1011</v>
      </c>
      <c r="O115" t="s">
        <v>42</v>
      </c>
    </row>
    <row r="116" spans="1:15" x14ac:dyDescent="0.35">
      <c r="A116" t="s">
        <v>136</v>
      </c>
      <c r="C116">
        <f t="shared" si="5"/>
        <v>2001</v>
      </c>
      <c r="D116">
        <v>2001</v>
      </c>
      <c r="E116" t="str">
        <f t="shared" si="9"/>
        <v>Jun</v>
      </c>
      <c r="F116" t="s">
        <v>18</v>
      </c>
      <c r="G116">
        <v>2</v>
      </c>
      <c r="H116">
        <v>0</v>
      </c>
      <c r="I116" s="21">
        <v>1532.47</v>
      </c>
      <c r="J116" t="str">
        <f t="shared" si="6"/>
        <v>tier - 2</v>
      </c>
      <c r="K116" t="s">
        <v>11</v>
      </c>
      <c r="L116" t="str">
        <f t="shared" si="7"/>
        <v>tier - 2</v>
      </c>
      <c r="M116" t="s">
        <v>11</v>
      </c>
      <c r="N116" t="str">
        <f t="shared" si="8"/>
        <v>R1013</v>
      </c>
      <c r="O116" t="s">
        <v>13</v>
      </c>
    </row>
    <row r="117" spans="1:15" x14ac:dyDescent="0.35">
      <c r="A117" t="s">
        <v>137</v>
      </c>
      <c r="C117">
        <f t="shared" si="5"/>
        <v>2001</v>
      </c>
      <c r="D117">
        <v>2001</v>
      </c>
      <c r="E117" t="str">
        <f t="shared" si="9"/>
        <v>Dec</v>
      </c>
      <c r="F117" t="s">
        <v>30</v>
      </c>
      <c r="G117">
        <v>5</v>
      </c>
      <c r="H117">
        <v>0</v>
      </c>
      <c r="I117" s="21">
        <v>1534.3</v>
      </c>
      <c r="J117" t="str">
        <f t="shared" si="6"/>
        <v>tier - 2</v>
      </c>
      <c r="K117" t="s">
        <v>11</v>
      </c>
      <c r="L117" t="str">
        <f t="shared" si="7"/>
        <v>tier - 2</v>
      </c>
      <c r="M117" t="s">
        <v>11</v>
      </c>
      <c r="N117" t="str">
        <f t="shared" si="8"/>
        <v>R1013</v>
      </c>
      <c r="O117" t="s">
        <v>13</v>
      </c>
    </row>
    <row r="118" spans="1:15" x14ac:dyDescent="0.35">
      <c r="A118" t="s">
        <v>138</v>
      </c>
      <c r="C118">
        <f t="shared" si="5"/>
        <v>1992</v>
      </c>
      <c r="D118">
        <v>1992</v>
      </c>
      <c r="E118" t="str">
        <f t="shared" si="9"/>
        <v>Sep</v>
      </c>
      <c r="F118" t="s">
        <v>20</v>
      </c>
      <c r="G118">
        <v>22</v>
      </c>
      <c r="H118">
        <v>0</v>
      </c>
      <c r="I118" s="21">
        <v>1566.88</v>
      </c>
      <c r="J118" t="str">
        <f t="shared" si="6"/>
        <v>tier - 2</v>
      </c>
      <c r="K118" t="s">
        <v>11</v>
      </c>
      <c r="L118" t="str">
        <f t="shared" si="7"/>
        <v>tier - 1</v>
      </c>
      <c r="M118" t="s">
        <v>16</v>
      </c>
      <c r="N118" t="str">
        <f t="shared" si="8"/>
        <v>R1013</v>
      </c>
      <c r="O118" t="s">
        <v>13</v>
      </c>
    </row>
    <row r="119" spans="1:15" x14ac:dyDescent="0.35">
      <c r="A119" t="s">
        <v>139</v>
      </c>
      <c r="C119">
        <f t="shared" si="5"/>
        <v>2004</v>
      </c>
      <c r="D119">
        <v>2004</v>
      </c>
      <c r="E119" t="str">
        <f t="shared" si="9"/>
        <v>Nov</v>
      </c>
      <c r="F119" t="s">
        <v>15</v>
      </c>
      <c r="G119">
        <v>19</v>
      </c>
      <c r="H119">
        <v>0</v>
      </c>
      <c r="I119" s="21">
        <v>1607.51</v>
      </c>
      <c r="J119" t="str">
        <f t="shared" si="6"/>
        <v>tier - 2</v>
      </c>
      <c r="K119" t="s">
        <v>11</v>
      </c>
      <c r="L119" t="str">
        <f t="shared" si="7"/>
        <v>tier - 3</v>
      </c>
      <c r="M119" t="s">
        <v>12</v>
      </c>
      <c r="N119" t="str">
        <f t="shared" si="8"/>
        <v>R1013</v>
      </c>
      <c r="O119" t="s">
        <v>13</v>
      </c>
    </row>
    <row r="120" spans="1:15" x14ac:dyDescent="0.35">
      <c r="A120" t="s">
        <v>140</v>
      </c>
      <c r="C120">
        <f t="shared" si="5"/>
        <v>2004</v>
      </c>
      <c r="D120">
        <v>2004</v>
      </c>
      <c r="E120" t="str">
        <f t="shared" si="9"/>
        <v>Jul</v>
      </c>
      <c r="F120" t="s">
        <v>10</v>
      </c>
      <c r="G120">
        <v>22</v>
      </c>
      <c r="H120">
        <v>0</v>
      </c>
      <c r="I120" s="21">
        <v>1615.77</v>
      </c>
      <c r="J120" t="str">
        <f t="shared" si="6"/>
        <v>tier - 2</v>
      </c>
      <c r="K120" t="s">
        <v>11</v>
      </c>
      <c r="L120" t="str">
        <f t="shared" si="7"/>
        <v>tier - 1</v>
      </c>
      <c r="M120" t="s">
        <v>16</v>
      </c>
      <c r="N120" t="str">
        <f t="shared" si="8"/>
        <v>R1013</v>
      </c>
      <c r="O120" t="s">
        <v>13</v>
      </c>
    </row>
    <row r="121" spans="1:15" x14ac:dyDescent="0.35">
      <c r="A121" t="s">
        <v>141</v>
      </c>
      <c r="C121">
        <f t="shared" si="5"/>
        <v>1995</v>
      </c>
      <c r="D121">
        <v>1995</v>
      </c>
      <c r="E121" t="str">
        <f t="shared" si="9"/>
        <v>Aug</v>
      </c>
      <c r="F121" t="s">
        <v>35</v>
      </c>
      <c r="G121">
        <v>5</v>
      </c>
      <c r="H121">
        <v>0</v>
      </c>
      <c r="I121" s="21">
        <v>1617.16</v>
      </c>
      <c r="J121" t="str">
        <f t="shared" si="6"/>
        <v>tier - 2</v>
      </c>
      <c r="K121" t="s">
        <v>11</v>
      </c>
      <c r="L121" t="str">
        <f t="shared" si="7"/>
        <v>tier - 1</v>
      </c>
      <c r="M121" t="s">
        <v>16</v>
      </c>
      <c r="N121" t="str">
        <f t="shared" si="8"/>
        <v>R1013</v>
      </c>
      <c r="O121" t="s">
        <v>13</v>
      </c>
    </row>
    <row r="122" spans="1:15" x14ac:dyDescent="0.35">
      <c r="A122" t="s">
        <v>142</v>
      </c>
      <c r="C122">
        <f t="shared" si="5"/>
        <v>2003</v>
      </c>
      <c r="D122">
        <v>2003</v>
      </c>
      <c r="E122" t="str">
        <f t="shared" si="9"/>
        <v>Sep</v>
      </c>
      <c r="F122" t="s">
        <v>20</v>
      </c>
      <c r="G122">
        <v>14</v>
      </c>
      <c r="H122">
        <v>0</v>
      </c>
      <c r="I122" s="21">
        <v>1621.34</v>
      </c>
      <c r="J122" t="str">
        <f t="shared" si="6"/>
        <v>tier - 2</v>
      </c>
      <c r="K122" t="s">
        <v>11</v>
      </c>
      <c r="L122" t="str">
        <f t="shared" si="7"/>
        <v>tier - 2</v>
      </c>
      <c r="M122" t="s">
        <v>11</v>
      </c>
      <c r="N122" t="str">
        <f t="shared" si="8"/>
        <v>R1012</v>
      </c>
      <c r="O122" t="s">
        <v>23</v>
      </c>
    </row>
    <row r="123" spans="1:15" x14ac:dyDescent="0.35">
      <c r="A123" t="s">
        <v>143</v>
      </c>
      <c r="C123">
        <f t="shared" si="5"/>
        <v>2004</v>
      </c>
      <c r="D123">
        <v>2004</v>
      </c>
      <c r="E123" t="str">
        <f t="shared" si="9"/>
        <v>Aug</v>
      </c>
      <c r="F123" t="s">
        <v>35</v>
      </c>
      <c r="G123">
        <v>21</v>
      </c>
      <c r="H123">
        <v>0</v>
      </c>
      <c r="I123" s="21">
        <v>1621.88</v>
      </c>
      <c r="J123" t="str">
        <f t="shared" si="6"/>
        <v>tier - 2</v>
      </c>
      <c r="K123" t="s">
        <v>11</v>
      </c>
      <c r="L123" t="str">
        <f t="shared" si="7"/>
        <v>tier - 2</v>
      </c>
      <c r="M123" t="s">
        <v>11</v>
      </c>
      <c r="N123" t="str">
        <f t="shared" si="8"/>
        <v>R1013</v>
      </c>
      <c r="O123" t="s">
        <v>13</v>
      </c>
    </row>
    <row r="124" spans="1:15" x14ac:dyDescent="0.35">
      <c r="A124" t="s">
        <v>144</v>
      </c>
      <c r="C124">
        <f t="shared" si="5"/>
        <v>2004</v>
      </c>
      <c r="D124">
        <v>2004</v>
      </c>
      <c r="E124" t="str">
        <f t="shared" si="9"/>
        <v>Jul</v>
      </c>
      <c r="F124" t="s">
        <v>10</v>
      </c>
      <c r="G124">
        <v>25</v>
      </c>
      <c r="H124">
        <v>0</v>
      </c>
      <c r="I124" s="21">
        <v>1622.19</v>
      </c>
      <c r="J124" t="str">
        <f t="shared" si="6"/>
        <v>tier - 2</v>
      </c>
      <c r="K124" t="s">
        <v>11</v>
      </c>
      <c r="L124" t="str">
        <f t="shared" si="7"/>
        <v>tier - 1</v>
      </c>
      <c r="M124" t="s">
        <v>16</v>
      </c>
      <c r="N124" t="str">
        <f t="shared" si="8"/>
        <v>R1013</v>
      </c>
      <c r="O124" t="s">
        <v>13</v>
      </c>
    </row>
    <row r="125" spans="1:15" x14ac:dyDescent="0.35">
      <c r="A125" t="s">
        <v>145</v>
      </c>
      <c r="C125">
        <f t="shared" si="5"/>
        <v>2003</v>
      </c>
      <c r="D125">
        <v>2003</v>
      </c>
      <c r="E125" t="str">
        <f t="shared" si="9"/>
        <v>Sep</v>
      </c>
      <c r="F125" t="s">
        <v>20</v>
      </c>
      <c r="G125">
        <v>9</v>
      </c>
      <c r="H125">
        <v>0</v>
      </c>
      <c r="I125" s="21">
        <v>1625.43</v>
      </c>
      <c r="J125" t="str">
        <f t="shared" si="6"/>
        <v>tier - 2</v>
      </c>
      <c r="K125" t="s">
        <v>11</v>
      </c>
      <c r="L125" t="str">
        <f t="shared" si="7"/>
        <v>tier - 3</v>
      </c>
      <c r="M125" t="s">
        <v>12</v>
      </c>
      <c r="N125" t="str">
        <f t="shared" si="8"/>
        <v>R1012</v>
      </c>
      <c r="O125" t="s">
        <v>23</v>
      </c>
    </row>
    <row r="126" spans="1:15" x14ac:dyDescent="0.35">
      <c r="A126" t="s">
        <v>146</v>
      </c>
      <c r="C126">
        <f t="shared" si="5"/>
        <v>2003</v>
      </c>
      <c r="D126">
        <v>2003</v>
      </c>
      <c r="E126" t="str">
        <f t="shared" si="9"/>
        <v>Dec</v>
      </c>
      <c r="F126" t="s">
        <v>30</v>
      </c>
      <c r="G126">
        <v>4</v>
      </c>
      <c r="H126">
        <v>0</v>
      </c>
      <c r="I126" s="21">
        <v>1627.28</v>
      </c>
      <c r="J126" t="str">
        <f t="shared" si="6"/>
        <v>tier - 2</v>
      </c>
      <c r="K126" t="s">
        <v>11</v>
      </c>
      <c r="L126" t="str">
        <f t="shared" si="7"/>
        <v>tier - 2</v>
      </c>
      <c r="M126" t="s">
        <v>11</v>
      </c>
      <c r="N126" t="str">
        <f t="shared" si="8"/>
        <v>R1012</v>
      </c>
      <c r="O126" t="s">
        <v>23</v>
      </c>
    </row>
    <row r="127" spans="1:15" x14ac:dyDescent="0.35">
      <c r="A127" t="s">
        <v>147</v>
      </c>
      <c r="C127">
        <f t="shared" si="5"/>
        <v>2003</v>
      </c>
      <c r="D127">
        <v>2003</v>
      </c>
      <c r="E127" t="str">
        <f t="shared" si="9"/>
        <v>Jul</v>
      </c>
      <c r="F127" t="s">
        <v>10</v>
      </c>
      <c r="G127">
        <v>17</v>
      </c>
      <c r="H127">
        <v>0</v>
      </c>
      <c r="I127" s="21">
        <v>1628.47</v>
      </c>
      <c r="J127" t="str">
        <f t="shared" si="6"/>
        <v>tier - 2</v>
      </c>
      <c r="K127" t="s">
        <v>11</v>
      </c>
      <c r="L127" t="str">
        <f t="shared" si="7"/>
        <v>tier - 1</v>
      </c>
      <c r="M127" t="s">
        <v>16</v>
      </c>
      <c r="N127" t="str">
        <f t="shared" si="8"/>
        <v>R1012</v>
      </c>
      <c r="O127" t="s">
        <v>23</v>
      </c>
    </row>
    <row r="128" spans="1:15" x14ac:dyDescent="0.35">
      <c r="A128" t="s">
        <v>148</v>
      </c>
      <c r="C128">
        <f t="shared" si="5"/>
        <v>2004</v>
      </c>
      <c r="D128">
        <v>2004</v>
      </c>
      <c r="E128" t="str">
        <f t="shared" si="9"/>
        <v>Oct</v>
      </c>
      <c r="F128" t="s">
        <v>37</v>
      </c>
      <c r="G128">
        <v>4</v>
      </c>
      <c r="H128">
        <v>0</v>
      </c>
      <c r="I128" s="21">
        <v>1629.83</v>
      </c>
      <c r="J128" t="str">
        <f t="shared" si="6"/>
        <v>tier - 2</v>
      </c>
      <c r="K128" t="s">
        <v>11</v>
      </c>
      <c r="L128" t="str">
        <f t="shared" si="7"/>
        <v>tier - 2</v>
      </c>
      <c r="M128" t="s">
        <v>11</v>
      </c>
      <c r="N128" t="str">
        <f t="shared" si="8"/>
        <v>R1013</v>
      </c>
      <c r="O128" t="s">
        <v>13</v>
      </c>
    </row>
    <row r="129" spans="1:15" x14ac:dyDescent="0.35">
      <c r="A129" t="s">
        <v>149</v>
      </c>
      <c r="C129">
        <f t="shared" si="5"/>
        <v>2004</v>
      </c>
      <c r="D129">
        <v>2004</v>
      </c>
      <c r="E129" t="str">
        <f t="shared" si="9"/>
        <v>Dec</v>
      </c>
      <c r="F129" t="s">
        <v>30</v>
      </c>
      <c r="G129">
        <v>5</v>
      </c>
      <c r="H129">
        <v>0</v>
      </c>
      <c r="I129" s="21">
        <v>1631.67</v>
      </c>
      <c r="J129" t="str">
        <f t="shared" si="6"/>
        <v>tier - 2</v>
      </c>
      <c r="K129" t="s">
        <v>11</v>
      </c>
      <c r="L129" t="str">
        <f t="shared" si="7"/>
        <v>tier - 3</v>
      </c>
      <c r="M129" t="s">
        <v>12</v>
      </c>
      <c r="N129" t="str">
        <f t="shared" si="8"/>
        <v>R1013</v>
      </c>
      <c r="O129" t="s">
        <v>13</v>
      </c>
    </row>
    <row r="130" spans="1:15" x14ac:dyDescent="0.35">
      <c r="A130" t="s">
        <v>150</v>
      </c>
      <c r="C130">
        <f t="shared" si="5"/>
        <v>2004</v>
      </c>
      <c r="D130">
        <v>2004</v>
      </c>
      <c r="E130" t="str">
        <f t="shared" si="9"/>
        <v>Jul</v>
      </c>
      <c r="F130" t="s">
        <v>10</v>
      </c>
      <c r="G130">
        <v>9</v>
      </c>
      <c r="H130">
        <v>0</v>
      </c>
      <c r="I130" s="21">
        <v>1631.82</v>
      </c>
      <c r="J130" t="str">
        <f t="shared" si="6"/>
        <v>tier - 2</v>
      </c>
      <c r="K130" t="s">
        <v>11</v>
      </c>
      <c r="L130" t="str">
        <f t="shared" si="7"/>
        <v>tier - 1</v>
      </c>
      <c r="M130" t="s">
        <v>16</v>
      </c>
      <c r="N130" t="str">
        <f t="shared" si="8"/>
        <v>R1013</v>
      </c>
      <c r="O130" t="s">
        <v>13</v>
      </c>
    </row>
    <row r="131" spans="1:15" x14ac:dyDescent="0.35">
      <c r="A131" t="s">
        <v>151</v>
      </c>
      <c r="C131">
        <f t="shared" ref="C131:C194" si="10">IF(OR(D131="?", ISBLANK(D131)), 1983, D131)</f>
        <v>2003</v>
      </c>
      <c r="D131">
        <v>2003</v>
      </c>
      <c r="E131" t="str">
        <f t="shared" si="9"/>
        <v>Oct</v>
      </c>
      <c r="F131" t="s">
        <v>37</v>
      </c>
      <c r="G131">
        <v>3</v>
      </c>
      <c r="H131">
        <v>0</v>
      </c>
      <c r="I131" s="21">
        <v>1632.04</v>
      </c>
      <c r="J131" t="str">
        <f t="shared" ref="J131:J194" si="11">IF(OR(K131="?", ISBLANK(K131)), "Tier 2", K131)</f>
        <v>tier - 2</v>
      </c>
      <c r="K131" t="s">
        <v>11</v>
      </c>
      <c r="L131" t="str">
        <f t="shared" ref="L131:L194" si="12">IF(OR(M131="?", ISBLANK(M131)), "Tier 2", M131)</f>
        <v>tier - 2</v>
      </c>
      <c r="M131" t="s">
        <v>11</v>
      </c>
      <c r="N131" t="str">
        <f t="shared" ref="N131:N194" si="13">IF(OR(O131="?", ISBLANK(O131)), "Unknown", O131)</f>
        <v>R1012</v>
      </c>
      <c r="O131" t="s">
        <v>23</v>
      </c>
    </row>
    <row r="132" spans="1:15" x14ac:dyDescent="0.35">
      <c r="A132" t="s">
        <v>152</v>
      </c>
      <c r="C132">
        <f t="shared" si="10"/>
        <v>2003</v>
      </c>
      <c r="D132">
        <v>2003</v>
      </c>
      <c r="E132" t="str">
        <f t="shared" ref="E132:E195" si="14">IF(OR(F132="?", ISBLANK(F132)), "Sep", F132)</f>
        <v>Sep</v>
      </c>
      <c r="F132" t="s">
        <v>20</v>
      </c>
      <c r="G132">
        <v>16</v>
      </c>
      <c r="H132">
        <v>0</v>
      </c>
      <c r="I132" s="21">
        <v>1632.56</v>
      </c>
      <c r="J132" t="str">
        <f t="shared" si="11"/>
        <v>tier - 2</v>
      </c>
      <c r="K132" t="s">
        <v>11</v>
      </c>
      <c r="L132" t="str">
        <f t="shared" si="12"/>
        <v>tier - 2</v>
      </c>
      <c r="M132" t="s">
        <v>11</v>
      </c>
      <c r="N132" t="str">
        <f t="shared" si="13"/>
        <v>R1012</v>
      </c>
      <c r="O132" t="s">
        <v>23</v>
      </c>
    </row>
    <row r="133" spans="1:15" x14ac:dyDescent="0.35">
      <c r="A133" t="s">
        <v>153</v>
      </c>
      <c r="C133">
        <f t="shared" si="10"/>
        <v>2004</v>
      </c>
      <c r="D133">
        <v>2004</v>
      </c>
      <c r="E133" t="str">
        <f t="shared" si="14"/>
        <v>Dec</v>
      </c>
      <c r="F133" t="s">
        <v>30</v>
      </c>
      <c r="G133">
        <v>13</v>
      </c>
      <c r="H133">
        <v>0</v>
      </c>
      <c r="I133" s="21">
        <v>1633.04</v>
      </c>
      <c r="J133" t="str">
        <f t="shared" si="11"/>
        <v>tier - 2</v>
      </c>
      <c r="K133" t="s">
        <v>11</v>
      </c>
      <c r="L133" t="str">
        <f t="shared" si="12"/>
        <v>tier - 2</v>
      </c>
      <c r="M133" t="s">
        <v>11</v>
      </c>
      <c r="N133" t="str">
        <f t="shared" si="13"/>
        <v>R1013</v>
      </c>
      <c r="O133" t="s">
        <v>13</v>
      </c>
    </row>
    <row r="134" spans="1:15" x14ac:dyDescent="0.35">
      <c r="A134" t="s">
        <v>154</v>
      </c>
      <c r="C134">
        <f t="shared" si="10"/>
        <v>2004</v>
      </c>
      <c r="D134">
        <v>2004</v>
      </c>
      <c r="E134" t="str">
        <f t="shared" si="14"/>
        <v>Aug</v>
      </c>
      <c r="F134" t="s">
        <v>35</v>
      </c>
      <c r="G134">
        <v>8</v>
      </c>
      <c r="H134">
        <v>0</v>
      </c>
      <c r="I134" s="21">
        <v>1633.96</v>
      </c>
      <c r="J134" t="str">
        <f t="shared" si="11"/>
        <v>tier - 2</v>
      </c>
      <c r="K134" t="s">
        <v>11</v>
      </c>
      <c r="L134" t="str">
        <f t="shared" si="12"/>
        <v>tier - 1</v>
      </c>
      <c r="M134" t="s">
        <v>16</v>
      </c>
      <c r="N134" t="str">
        <f t="shared" si="13"/>
        <v>R1013</v>
      </c>
      <c r="O134" t="s">
        <v>13</v>
      </c>
    </row>
    <row r="135" spans="1:15" x14ac:dyDescent="0.35">
      <c r="A135" t="s">
        <v>155</v>
      </c>
      <c r="C135">
        <f t="shared" si="10"/>
        <v>2004</v>
      </c>
      <c r="D135">
        <v>2004</v>
      </c>
      <c r="E135" t="str">
        <f t="shared" si="14"/>
        <v>Jun</v>
      </c>
      <c r="F135" t="s">
        <v>18</v>
      </c>
      <c r="G135">
        <v>13</v>
      </c>
      <c r="H135">
        <v>0</v>
      </c>
      <c r="I135" s="21">
        <v>1634.57</v>
      </c>
      <c r="J135" t="str">
        <f t="shared" si="11"/>
        <v>tier - 2</v>
      </c>
      <c r="K135" t="s">
        <v>11</v>
      </c>
      <c r="L135" t="str">
        <f t="shared" si="12"/>
        <v>tier - 2</v>
      </c>
      <c r="M135" t="s">
        <v>11</v>
      </c>
      <c r="N135" t="str">
        <f t="shared" si="13"/>
        <v>R1013</v>
      </c>
      <c r="O135" t="s">
        <v>13</v>
      </c>
    </row>
    <row r="136" spans="1:15" x14ac:dyDescent="0.35">
      <c r="A136" t="s">
        <v>156</v>
      </c>
      <c r="C136">
        <f t="shared" si="10"/>
        <v>2003</v>
      </c>
      <c r="D136">
        <v>2003</v>
      </c>
      <c r="E136" t="str">
        <f t="shared" si="14"/>
        <v>Dec</v>
      </c>
      <c r="F136" t="s">
        <v>30</v>
      </c>
      <c r="G136">
        <v>30</v>
      </c>
      <c r="H136">
        <v>0</v>
      </c>
      <c r="I136" s="21">
        <v>1635.73</v>
      </c>
      <c r="J136" t="str">
        <f t="shared" si="11"/>
        <v>tier - 2</v>
      </c>
      <c r="K136" t="s">
        <v>11</v>
      </c>
      <c r="L136" t="str">
        <f t="shared" si="12"/>
        <v>tier - 3</v>
      </c>
      <c r="M136" t="s">
        <v>12</v>
      </c>
      <c r="N136" t="str">
        <f t="shared" si="13"/>
        <v>R1012</v>
      </c>
      <c r="O136" t="s">
        <v>23</v>
      </c>
    </row>
    <row r="137" spans="1:15" x14ac:dyDescent="0.35">
      <c r="A137" t="s">
        <v>157</v>
      </c>
      <c r="C137">
        <f t="shared" si="10"/>
        <v>2003</v>
      </c>
      <c r="D137">
        <v>2003</v>
      </c>
      <c r="E137" t="str">
        <f t="shared" si="14"/>
        <v>Sep</v>
      </c>
      <c r="F137" t="s">
        <v>20</v>
      </c>
      <c r="G137">
        <v>16</v>
      </c>
      <c r="H137">
        <v>0</v>
      </c>
      <c r="I137" s="21">
        <v>1639.56</v>
      </c>
      <c r="J137" t="str">
        <f t="shared" si="11"/>
        <v>tier - 2</v>
      </c>
      <c r="K137" t="s">
        <v>11</v>
      </c>
      <c r="L137" t="str">
        <f t="shared" si="12"/>
        <v>tier - 2</v>
      </c>
      <c r="M137" t="s">
        <v>11</v>
      </c>
      <c r="N137" t="str">
        <f t="shared" si="13"/>
        <v>R1012</v>
      </c>
      <c r="O137" t="s">
        <v>23</v>
      </c>
    </row>
    <row r="138" spans="1:15" x14ac:dyDescent="0.35">
      <c r="A138" t="s">
        <v>158</v>
      </c>
      <c r="C138">
        <f t="shared" si="10"/>
        <v>2003</v>
      </c>
      <c r="D138">
        <v>2003</v>
      </c>
      <c r="E138" t="str">
        <f t="shared" si="14"/>
        <v>Aug</v>
      </c>
      <c r="F138" t="s">
        <v>35</v>
      </c>
      <c r="G138">
        <v>21</v>
      </c>
      <c r="H138">
        <v>0</v>
      </c>
      <c r="I138" s="21">
        <v>1639.56</v>
      </c>
      <c r="J138" t="str">
        <f t="shared" si="11"/>
        <v>tier - 2</v>
      </c>
      <c r="K138" t="s">
        <v>11</v>
      </c>
      <c r="L138" t="str">
        <f t="shared" si="12"/>
        <v>tier - 2</v>
      </c>
      <c r="M138" t="s">
        <v>11</v>
      </c>
      <c r="N138" t="str">
        <f t="shared" si="13"/>
        <v>R1012</v>
      </c>
      <c r="O138" t="s">
        <v>23</v>
      </c>
    </row>
    <row r="139" spans="1:15" x14ac:dyDescent="0.35">
      <c r="A139" t="s">
        <v>159</v>
      </c>
      <c r="C139">
        <f t="shared" si="10"/>
        <v>2003</v>
      </c>
      <c r="D139">
        <v>2003</v>
      </c>
      <c r="E139" t="str">
        <f t="shared" si="14"/>
        <v>Dec</v>
      </c>
      <c r="F139" t="s">
        <v>30</v>
      </c>
      <c r="G139">
        <v>30</v>
      </c>
      <c r="H139">
        <v>0</v>
      </c>
      <c r="I139" s="21">
        <v>1646.43</v>
      </c>
      <c r="J139" t="str">
        <f t="shared" si="11"/>
        <v>tier - 2</v>
      </c>
      <c r="K139" t="s">
        <v>11</v>
      </c>
      <c r="L139" t="str">
        <f t="shared" si="12"/>
        <v>tier - 1</v>
      </c>
      <c r="M139" t="s">
        <v>16</v>
      </c>
      <c r="N139" t="str">
        <f t="shared" si="13"/>
        <v>R1012</v>
      </c>
      <c r="O139" t="s">
        <v>23</v>
      </c>
    </row>
    <row r="140" spans="1:15" x14ac:dyDescent="0.35">
      <c r="A140" t="s">
        <v>160</v>
      </c>
      <c r="C140">
        <f t="shared" si="10"/>
        <v>2000</v>
      </c>
      <c r="D140">
        <v>2000</v>
      </c>
      <c r="E140" t="str">
        <f t="shared" si="14"/>
        <v>Oct</v>
      </c>
      <c r="F140" t="s">
        <v>37</v>
      </c>
      <c r="G140">
        <v>23</v>
      </c>
      <c r="H140">
        <v>0</v>
      </c>
      <c r="I140" s="21">
        <v>1665</v>
      </c>
      <c r="J140" t="str">
        <f t="shared" si="11"/>
        <v>tier - 2</v>
      </c>
      <c r="K140" t="s">
        <v>11</v>
      </c>
      <c r="L140" t="str">
        <f t="shared" si="12"/>
        <v>tier - 2</v>
      </c>
      <c r="M140" t="s">
        <v>11</v>
      </c>
      <c r="N140" t="str">
        <f t="shared" si="13"/>
        <v>R1013</v>
      </c>
      <c r="O140" t="s">
        <v>13</v>
      </c>
    </row>
    <row r="141" spans="1:15" x14ac:dyDescent="0.35">
      <c r="A141" t="s">
        <v>161</v>
      </c>
      <c r="C141">
        <f t="shared" si="10"/>
        <v>2000</v>
      </c>
      <c r="D141">
        <v>2000</v>
      </c>
      <c r="E141" t="str">
        <f t="shared" si="14"/>
        <v>Jun</v>
      </c>
      <c r="F141" t="s">
        <v>18</v>
      </c>
      <c r="G141">
        <v>10</v>
      </c>
      <c r="H141">
        <v>0</v>
      </c>
      <c r="I141" s="21">
        <v>1674.63</v>
      </c>
      <c r="J141" t="str">
        <f t="shared" si="11"/>
        <v>tier - 2</v>
      </c>
      <c r="K141" t="s">
        <v>11</v>
      </c>
      <c r="L141" t="str">
        <f t="shared" si="12"/>
        <v>tier - 2</v>
      </c>
      <c r="M141" t="s">
        <v>11</v>
      </c>
      <c r="N141" t="str">
        <f t="shared" si="13"/>
        <v>R1013</v>
      </c>
      <c r="O141" t="s">
        <v>13</v>
      </c>
    </row>
    <row r="142" spans="1:15" x14ac:dyDescent="0.35">
      <c r="A142" t="s">
        <v>162</v>
      </c>
      <c r="C142">
        <f t="shared" si="10"/>
        <v>2000</v>
      </c>
      <c r="D142">
        <v>2000</v>
      </c>
      <c r="E142" t="str">
        <f t="shared" si="14"/>
        <v>Oct</v>
      </c>
      <c r="F142" t="s">
        <v>37</v>
      </c>
      <c r="G142">
        <v>21</v>
      </c>
      <c r="H142">
        <v>0</v>
      </c>
      <c r="I142" s="21">
        <v>1682.6</v>
      </c>
      <c r="J142" t="str">
        <f t="shared" si="11"/>
        <v>tier - 2</v>
      </c>
      <c r="K142" t="s">
        <v>11</v>
      </c>
      <c r="L142" t="str">
        <f t="shared" si="12"/>
        <v>tier - 2</v>
      </c>
      <c r="M142" t="s">
        <v>11</v>
      </c>
      <c r="N142" t="str">
        <f t="shared" si="13"/>
        <v>R1011</v>
      </c>
      <c r="O142" t="s">
        <v>42</v>
      </c>
    </row>
    <row r="143" spans="1:15" x14ac:dyDescent="0.35">
      <c r="A143" t="s">
        <v>163</v>
      </c>
      <c r="C143">
        <f t="shared" si="10"/>
        <v>2004</v>
      </c>
      <c r="D143">
        <v>2004</v>
      </c>
      <c r="E143" t="str">
        <f t="shared" si="14"/>
        <v>Nov</v>
      </c>
      <c r="F143" t="s">
        <v>15</v>
      </c>
      <c r="G143">
        <v>17</v>
      </c>
      <c r="H143">
        <v>0</v>
      </c>
      <c r="I143" s="21">
        <v>1694.8</v>
      </c>
      <c r="J143" t="str">
        <f t="shared" si="11"/>
        <v>tier - 2</v>
      </c>
      <c r="K143" t="s">
        <v>11</v>
      </c>
      <c r="L143" t="str">
        <f t="shared" si="12"/>
        <v>tier - 2</v>
      </c>
      <c r="M143" t="s">
        <v>11</v>
      </c>
      <c r="N143" t="str">
        <f t="shared" si="13"/>
        <v>R1015</v>
      </c>
      <c r="O143" t="s">
        <v>164</v>
      </c>
    </row>
    <row r="144" spans="1:15" x14ac:dyDescent="0.35">
      <c r="A144" t="s">
        <v>165</v>
      </c>
      <c r="C144">
        <f t="shared" si="10"/>
        <v>2004</v>
      </c>
      <c r="D144">
        <v>2004</v>
      </c>
      <c r="E144" t="str">
        <f t="shared" si="14"/>
        <v>Dec</v>
      </c>
      <c r="F144" t="s">
        <v>30</v>
      </c>
      <c r="G144">
        <v>10</v>
      </c>
      <c r="H144">
        <v>0</v>
      </c>
      <c r="I144" s="21">
        <v>1702.46</v>
      </c>
      <c r="J144" t="str">
        <f t="shared" si="11"/>
        <v>tier - 2</v>
      </c>
      <c r="K144" t="s">
        <v>11</v>
      </c>
      <c r="L144" t="str">
        <f t="shared" si="12"/>
        <v>tier - 3</v>
      </c>
      <c r="M144" t="s">
        <v>12</v>
      </c>
      <c r="N144" t="str">
        <f t="shared" si="13"/>
        <v>R1019</v>
      </c>
      <c r="O144" t="s">
        <v>166</v>
      </c>
    </row>
    <row r="145" spans="1:15" x14ac:dyDescent="0.35">
      <c r="A145" t="s">
        <v>167</v>
      </c>
      <c r="C145">
        <f t="shared" si="10"/>
        <v>2004</v>
      </c>
      <c r="D145">
        <v>2004</v>
      </c>
      <c r="E145" t="str">
        <f t="shared" si="14"/>
        <v>Nov</v>
      </c>
      <c r="F145" t="s">
        <v>15</v>
      </c>
      <c r="G145">
        <v>7</v>
      </c>
      <c r="H145">
        <v>0</v>
      </c>
      <c r="I145" s="21">
        <v>1704.57</v>
      </c>
      <c r="J145" t="str">
        <f t="shared" si="11"/>
        <v>tier - 2</v>
      </c>
      <c r="K145" t="s">
        <v>11</v>
      </c>
      <c r="L145" t="str">
        <f t="shared" si="12"/>
        <v>tier - 1</v>
      </c>
      <c r="M145" t="s">
        <v>16</v>
      </c>
      <c r="N145" t="str">
        <f t="shared" si="13"/>
        <v>R1016</v>
      </c>
      <c r="O145" t="s">
        <v>168</v>
      </c>
    </row>
    <row r="146" spans="1:15" x14ac:dyDescent="0.35">
      <c r="A146" t="s">
        <v>169</v>
      </c>
      <c r="C146">
        <f t="shared" si="10"/>
        <v>2004</v>
      </c>
      <c r="D146">
        <v>2004</v>
      </c>
      <c r="E146" t="str">
        <f t="shared" si="14"/>
        <v>Dec</v>
      </c>
      <c r="F146" t="s">
        <v>30</v>
      </c>
      <c r="G146">
        <v>14</v>
      </c>
      <c r="H146">
        <v>0</v>
      </c>
      <c r="I146" s="21">
        <v>1704.7</v>
      </c>
      <c r="J146" t="str">
        <f t="shared" si="11"/>
        <v>tier - 2</v>
      </c>
      <c r="K146" t="s">
        <v>11</v>
      </c>
      <c r="L146" t="str">
        <f t="shared" si="12"/>
        <v>tier - 3</v>
      </c>
      <c r="M146" t="s">
        <v>12</v>
      </c>
      <c r="N146" t="str">
        <f t="shared" si="13"/>
        <v>R1018</v>
      </c>
      <c r="O146" t="s">
        <v>170</v>
      </c>
    </row>
    <row r="147" spans="1:15" x14ac:dyDescent="0.35">
      <c r="A147" t="s">
        <v>171</v>
      </c>
      <c r="C147">
        <f t="shared" si="10"/>
        <v>2004</v>
      </c>
      <c r="D147">
        <v>2004</v>
      </c>
      <c r="E147" t="str">
        <f t="shared" si="14"/>
        <v>Dec</v>
      </c>
      <c r="F147" t="s">
        <v>30</v>
      </c>
      <c r="G147">
        <v>6</v>
      </c>
      <c r="H147">
        <v>0</v>
      </c>
      <c r="I147" s="21">
        <v>1705.62</v>
      </c>
      <c r="J147" t="str">
        <f t="shared" si="11"/>
        <v>tier - 2</v>
      </c>
      <c r="K147" t="s">
        <v>11</v>
      </c>
      <c r="L147" t="str">
        <f t="shared" si="12"/>
        <v>tier - 2</v>
      </c>
      <c r="M147" t="s">
        <v>11</v>
      </c>
      <c r="N147" t="str">
        <f t="shared" si="13"/>
        <v>R1015</v>
      </c>
      <c r="O147" t="s">
        <v>164</v>
      </c>
    </row>
    <row r="148" spans="1:15" x14ac:dyDescent="0.35">
      <c r="A148" t="s">
        <v>172</v>
      </c>
      <c r="C148">
        <f t="shared" si="10"/>
        <v>2004</v>
      </c>
      <c r="D148">
        <v>2004</v>
      </c>
      <c r="E148" t="str">
        <f t="shared" si="14"/>
        <v>Oct</v>
      </c>
      <c r="F148" t="s">
        <v>37</v>
      </c>
      <c r="G148">
        <v>17</v>
      </c>
      <c r="H148">
        <v>0</v>
      </c>
      <c r="I148" s="21">
        <v>1708</v>
      </c>
      <c r="J148" t="str">
        <f t="shared" si="11"/>
        <v>tier - 3</v>
      </c>
      <c r="K148" t="s">
        <v>12</v>
      </c>
      <c r="L148" t="str">
        <f t="shared" si="12"/>
        <v>tier - 2</v>
      </c>
      <c r="M148" t="s">
        <v>11</v>
      </c>
      <c r="N148" t="str">
        <f t="shared" si="13"/>
        <v>R1016</v>
      </c>
      <c r="O148" t="s">
        <v>168</v>
      </c>
    </row>
    <row r="149" spans="1:15" x14ac:dyDescent="0.35">
      <c r="A149" t="s">
        <v>173</v>
      </c>
      <c r="C149">
        <f t="shared" si="10"/>
        <v>2004</v>
      </c>
      <c r="D149">
        <v>2004</v>
      </c>
      <c r="E149" t="str">
        <f t="shared" si="14"/>
        <v>Dec</v>
      </c>
      <c r="F149" t="s">
        <v>30</v>
      </c>
      <c r="G149">
        <v>12</v>
      </c>
      <c r="H149">
        <v>0</v>
      </c>
      <c r="I149" s="21">
        <v>1708.93</v>
      </c>
      <c r="J149" t="str">
        <f t="shared" si="11"/>
        <v>tier - 3</v>
      </c>
      <c r="K149" t="s">
        <v>12</v>
      </c>
      <c r="L149" t="str">
        <f t="shared" si="12"/>
        <v>tier - 1</v>
      </c>
      <c r="M149" t="s">
        <v>16</v>
      </c>
      <c r="N149" t="str">
        <f t="shared" si="13"/>
        <v>R1019</v>
      </c>
      <c r="O149" t="s">
        <v>166</v>
      </c>
    </row>
    <row r="150" spans="1:15" x14ac:dyDescent="0.35">
      <c r="A150" t="s">
        <v>174</v>
      </c>
      <c r="C150">
        <f t="shared" si="10"/>
        <v>2004</v>
      </c>
      <c r="D150">
        <v>2004</v>
      </c>
      <c r="E150" t="str">
        <f t="shared" si="14"/>
        <v>Sep</v>
      </c>
      <c r="F150" t="s">
        <v>20</v>
      </c>
      <c r="G150">
        <v>19</v>
      </c>
      <c r="H150">
        <v>1</v>
      </c>
      <c r="I150" s="21">
        <v>1711.03</v>
      </c>
      <c r="J150" t="str">
        <f t="shared" si="11"/>
        <v>tier - 3</v>
      </c>
      <c r="K150" t="s">
        <v>12</v>
      </c>
      <c r="L150" t="str">
        <f t="shared" si="12"/>
        <v>tier - 3</v>
      </c>
      <c r="M150" t="s">
        <v>12</v>
      </c>
      <c r="N150" t="str">
        <f t="shared" si="13"/>
        <v>R1013</v>
      </c>
      <c r="O150" t="s">
        <v>13</v>
      </c>
    </row>
    <row r="151" spans="1:15" x14ac:dyDescent="0.35">
      <c r="A151" t="s">
        <v>175</v>
      </c>
      <c r="C151">
        <f t="shared" si="10"/>
        <v>2004</v>
      </c>
      <c r="D151">
        <v>2004</v>
      </c>
      <c r="E151" t="str">
        <f t="shared" si="14"/>
        <v>Sep</v>
      </c>
      <c r="F151" t="s">
        <v>20</v>
      </c>
      <c r="G151">
        <v>21</v>
      </c>
      <c r="H151">
        <v>0</v>
      </c>
      <c r="I151" s="21">
        <v>1712.23</v>
      </c>
      <c r="J151" t="str">
        <f t="shared" si="11"/>
        <v>tier - 3</v>
      </c>
      <c r="K151" t="s">
        <v>12</v>
      </c>
      <c r="L151" t="str">
        <f t="shared" si="12"/>
        <v>tier - 1</v>
      </c>
      <c r="M151" t="s">
        <v>16</v>
      </c>
      <c r="N151" t="str">
        <f t="shared" si="13"/>
        <v>R1016</v>
      </c>
      <c r="O151" t="s">
        <v>168</v>
      </c>
    </row>
    <row r="152" spans="1:15" x14ac:dyDescent="0.35">
      <c r="A152" t="s">
        <v>176</v>
      </c>
      <c r="C152">
        <f t="shared" si="10"/>
        <v>2004</v>
      </c>
      <c r="D152">
        <v>2004</v>
      </c>
      <c r="E152" t="str">
        <f t="shared" si="14"/>
        <v>Jun</v>
      </c>
      <c r="F152" t="s">
        <v>18</v>
      </c>
      <c r="G152">
        <v>10</v>
      </c>
      <c r="H152">
        <v>1</v>
      </c>
      <c r="I152" s="21">
        <v>1719.44</v>
      </c>
      <c r="J152" t="str">
        <f t="shared" si="11"/>
        <v>tier - 3</v>
      </c>
      <c r="K152" t="s">
        <v>12</v>
      </c>
      <c r="L152" t="str">
        <f t="shared" si="12"/>
        <v>tier - 3</v>
      </c>
      <c r="M152" t="s">
        <v>12</v>
      </c>
      <c r="N152" t="str">
        <f t="shared" si="13"/>
        <v>R1013</v>
      </c>
      <c r="O152" t="s">
        <v>13</v>
      </c>
    </row>
    <row r="153" spans="1:15" x14ac:dyDescent="0.35">
      <c r="A153" t="s">
        <v>177</v>
      </c>
      <c r="C153">
        <f t="shared" si="10"/>
        <v>2004</v>
      </c>
      <c r="D153">
        <v>2004</v>
      </c>
      <c r="E153" t="str">
        <f t="shared" si="14"/>
        <v>Sep</v>
      </c>
      <c r="F153" t="s">
        <v>20</v>
      </c>
      <c r="G153">
        <v>11</v>
      </c>
      <c r="H153">
        <v>1</v>
      </c>
      <c r="I153" s="21">
        <v>1720.35</v>
      </c>
      <c r="J153" t="str">
        <f t="shared" si="11"/>
        <v>tier - 3</v>
      </c>
      <c r="K153" t="s">
        <v>12</v>
      </c>
      <c r="L153" t="str">
        <f t="shared" si="12"/>
        <v>tier - 3</v>
      </c>
      <c r="M153" t="s">
        <v>12</v>
      </c>
      <c r="N153" t="str">
        <f t="shared" si="13"/>
        <v>R1013</v>
      </c>
      <c r="O153" t="s">
        <v>13</v>
      </c>
    </row>
    <row r="154" spans="1:15" x14ac:dyDescent="0.35">
      <c r="A154" t="s">
        <v>178</v>
      </c>
      <c r="C154">
        <f t="shared" si="10"/>
        <v>2004</v>
      </c>
      <c r="D154">
        <v>2004</v>
      </c>
      <c r="E154" t="str">
        <f t="shared" si="14"/>
        <v>Oct</v>
      </c>
      <c r="F154" t="s">
        <v>37</v>
      </c>
      <c r="G154">
        <v>21</v>
      </c>
      <c r="H154">
        <v>1</v>
      </c>
      <c r="I154" s="21">
        <v>1725.55</v>
      </c>
      <c r="J154" t="str">
        <f t="shared" si="11"/>
        <v>tier - 3</v>
      </c>
      <c r="K154" t="s">
        <v>12</v>
      </c>
      <c r="L154" t="str">
        <f t="shared" si="12"/>
        <v>tier - 2</v>
      </c>
      <c r="M154" t="s">
        <v>11</v>
      </c>
      <c r="N154" t="str">
        <f t="shared" si="13"/>
        <v>R1013</v>
      </c>
      <c r="O154" t="s">
        <v>13</v>
      </c>
    </row>
    <row r="155" spans="1:15" x14ac:dyDescent="0.35">
      <c r="A155" t="s">
        <v>179</v>
      </c>
      <c r="C155">
        <f t="shared" si="10"/>
        <v>2004</v>
      </c>
      <c r="D155">
        <v>2004</v>
      </c>
      <c r="E155" t="str">
        <f t="shared" si="14"/>
        <v>Sep</v>
      </c>
      <c r="F155" t="s">
        <v>20</v>
      </c>
      <c r="G155">
        <v>9</v>
      </c>
      <c r="H155">
        <v>1</v>
      </c>
      <c r="I155" s="21">
        <v>1727.54</v>
      </c>
      <c r="J155" t="str">
        <f t="shared" si="11"/>
        <v>tier - 3</v>
      </c>
      <c r="K155" t="s">
        <v>12</v>
      </c>
      <c r="L155" t="str">
        <f t="shared" si="12"/>
        <v>tier - 1</v>
      </c>
      <c r="M155" t="s">
        <v>16</v>
      </c>
      <c r="N155" t="str">
        <f t="shared" si="13"/>
        <v>R1013</v>
      </c>
      <c r="O155" t="s">
        <v>13</v>
      </c>
    </row>
    <row r="156" spans="1:15" x14ac:dyDescent="0.35">
      <c r="A156" t="s">
        <v>180</v>
      </c>
      <c r="C156">
        <f t="shared" si="10"/>
        <v>2003</v>
      </c>
      <c r="D156">
        <v>2003</v>
      </c>
      <c r="E156" t="str">
        <f t="shared" si="14"/>
        <v>Nov</v>
      </c>
      <c r="F156" t="s">
        <v>15</v>
      </c>
      <c r="G156">
        <v>21</v>
      </c>
      <c r="H156">
        <v>0</v>
      </c>
      <c r="I156" s="21">
        <v>1727.79</v>
      </c>
      <c r="J156" t="str">
        <f t="shared" si="11"/>
        <v>tier - 3</v>
      </c>
      <c r="K156" t="s">
        <v>12</v>
      </c>
      <c r="L156" t="str">
        <f t="shared" si="12"/>
        <v>tier - 3</v>
      </c>
      <c r="M156" t="s">
        <v>12</v>
      </c>
      <c r="N156" t="str">
        <f t="shared" si="13"/>
        <v>R1011</v>
      </c>
      <c r="O156" t="s">
        <v>42</v>
      </c>
    </row>
    <row r="157" spans="1:15" x14ac:dyDescent="0.35">
      <c r="A157" t="s">
        <v>181</v>
      </c>
      <c r="C157">
        <f t="shared" si="10"/>
        <v>2003</v>
      </c>
      <c r="D157">
        <v>2003</v>
      </c>
      <c r="E157" t="str">
        <f t="shared" si="14"/>
        <v>Sep</v>
      </c>
      <c r="F157" t="s">
        <v>20</v>
      </c>
      <c r="G157">
        <v>1</v>
      </c>
      <c r="H157">
        <v>0</v>
      </c>
      <c r="I157" s="21">
        <v>1728.9</v>
      </c>
      <c r="J157" t="str">
        <f t="shared" si="11"/>
        <v>tier - 3</v>
      </c>
      <c r="K157" t="s">
        <v>12</v>
      </c>
      <c r="L157" t="str">
        <f t="shared" si="12"/>
        <v>tier - 2</v>
      </c>
      <c r="M157" t="s">
        <v>11</v>
      </c>
      <c r="N157" t="str">
        <f t="shared" si="13"/>
        <v>R1011</v>
      </c>
      <c r="O157" t="s">
        <v>42</v>
      </c>
    </row>
    <row r="158" spans="1:15" x14ac:dyDescent="0.35">
      <c r="A158" t="s">
        <v>182</v>
      </c>
      <c r="C158">
        <f t="shared" si="10"/>
        <v>2003</v>
      </c>
      <c r="D158">
        <v>2003</v>
      </c>
      <c r="E158" t="str">
        <f t="shared" si="14"/>
        <v>Nov</v>
      </c>
      <c r="F158" t="s">
        <v>15</v>
      </c>
      <c r="G158">
        <v>9</v>
      </c>
      <c r="H158">
        <v>0</v>
      </c>
      <c r="I158" s="21">
        <v>1731.68</v>
      </c>
      <c r="J158" t="str">
        <f t="shared" si="11"/>
        <v>tier - 3</v>
      </c>
      <c r="K158" t="s">
        <v>12</v>
      </c>
      <c r="L158" t="str">
        <f t="shared" si="12"/>
        <v>tier - 2</v>
      </c>
      <c r="M158" t="s">
        <v>11</v>
      </c>
      <c r="N158" t="str">
        <f t="shared" si="13"/>
        <v>R1011</v>
      </c>
      <c r="O158" t="s">
        <v>42</v>
      </c>
    </row>
    <row r="159" spans="1:15" x14ac:dyDescent="0.35">
      <c r="A159" t="s">
        <v>183</v>
      </c>
      <c r="C159">
        <f t="shared" si="10"/>
        <v>2003</v>
      </c>
      <c r="D159">
        <v>2003</v>
      </c>
      <c r="E159" t="str">
        <f t="shared" si="14"/>
        <v>Nov</v>
      </c>
      <c r="F159" t="s">
        <v>15</v>
      </c>
      <c r="G159">
        <v>14</v>
      </c>
      <c r="H159">
        <v>0</v>
      </c>
      <c r="I159" s="21">
        <v>1737.38</v>
      </c>
      <c r="J159" t="str">
        <f t="shared" si="11"/>
        <v>tier - 3</v>
      </c>
      <c r="K159" t="s">
        <v>12</v>
      </c>
      <c r="L159" t="str">
        <f t="shared" si="12"/>
        <v>tier - 2</v>
      </c>
      <c r="M159" t="s">
        <v>11</v>
      </c>
      <c r="N159" t="str">
        <f t="shared" si="13"/>
        <v>R1011</v>
      </c>
      <c r="O159" t="s">
        <v>42</v>
      </c>
    </row>
    <row r="160" spans="1:15" x14ac:dyDescent="0.35">
      <c r="A160" t="s">
        <v>184</v>
      </c>
      <c r="C160">
        <f t="shared" si="10"/>
        <v>2003</v>
      </c>
      <c r="D160">
        <v>2003</v>
      </c>
      <c r="E160" t="str">
        <f t="shared" si="14"/>
        <v>Jul</v>
      </c>
      <c r="F160" t="s">
        <v>10</v>
      </c>
      <c r="G160">
        <v>25</v>
      </c>
      <c r="H160">
        <v>0</v>
      </c>
      <c r="I160" s="21">
        <v>1743.21</v>
      </c>
      <c r="J160" t="str">
        <f t="shared" si="11"/>
        <v>tier - 3</v>
      </c>
      <c r="K160" t="s">
        <v>12</v>
      </c>
      <c r="L160" t="str">
        <f t="shared" si="12"/>
        <v>tier - 1</v>
      </c>
      <c r="M160" t="s">
        <v>16</v>
      </c>
      <c r="N160" t="str">
        <f t="shared" si="13"/>
        <v>R1011</v>
      </c>
      <c r="O160" t="s">
        <v>42</v>
      </c>
    </row>
    <row r="161" spans="1:15" x14ac:dyDescent="0.35">
      <c r="A161" t="s">
        <v>185</v>
      </c>
      <c r="C161">
        <f t="shared" si="10"/>
        <v>2003</v>
      </c>
      <c r="D161">
        <v>2003</v>
      </c>
      <c r="E161" t="str">
        <f t="shared" si="14"/>
        <v>Jul</v>
      </c>
      <c r="F161" t="s">
        <v>10</v>
      </c>
      <c r="G161">
        <v>28</v>
      </c>
      <c r="H161">
        <v>0</v>
      </c>
      <c r="I161" s="21">
        <v>1744.47</v>
      </c>
      <c r="J161" t="str">
        <f t="shared" si="11"/>
        <v>tier - 3</v>
      </c>
      <c r="K161" t="s">
        <v>12</v>
      </c>
      <c r="L161" t="str">
        <f t="shared" si="12"/>
        <v>tier - 1</v>
      </c>
      <c r="M161" t="s">
        <v>16</v>
      </c>
      <c r="N161" t="str">
        <f t="shared" si="13"/>
        <v>R1011</v>
      </c>
      <c r="O161" t="s">
        <v>42</v>
      </c>
    </row>
    <row r="162" spans="1:15" x14ac:dyDescent="0.35">
      <c r="A162" t="s">
        <v>186</v>
      </c>
      <c r="C162">
        <f t="shared" si="10"/>
        <v>2003</v>
      </c>
      <c r="D162">
        <v>2003</v>
      </c>
      <c r="E162" t="str">
        <f t="shared" si="14"/>
        <v>Sep</v>
      </c>
      <c r="F162" t="s">
        <v>20</v>
      </c>
      <c r="G162">
        <v>26</v>
      </c>
      <c r="H162">
        <v>0</v>
      </c>
      <c r="I162" s="21">
        <v>1748.77</v>
      </c>
      <c r="J162" t="str">
        <f t="shared" si="11"/>
        <v>tier - 3</v>
      </c>
      <c r="K162" t="s">
        <v>12</v>
      </c>
      <c r="L162" t="str">
        <f t="shared" si="12"/>
        <v>tier - 1</v>
      </c>
      <c r="M162" t="s">
        <v>16</v>
      </c>
      <c r="N162" t="str">
        <f t="shared" si="13"/>
        <v>R1011</v>
      </c>
      <c r="O162" t="s">
        <v>42</v>
      </c>
    </row>
    <row r="163" spans="1:15" x14ac:dyDescent="0.35">
      <c r="A163" t="s">
        <v>187</v>
      </c>
      <c r="C163">
        <f t="shared" si="10"/>
        <v>1998</v>
      </c>
      <c r="D163">
        <v>1998</v>
      </c>
      <c r="E163" t="str">
        <f t="shared" si="14"/>
        <v>Oct</v>
      </c>
      <c r="F163" t="s">
        <v>37</v>
      </c>
      <c r="G163">
        <v>7</v>
      </c>
      <c r="H163">
        <v>0</v>
      </c>
      <c r="I163" s="21">
        <v>1756.6</v>
      </c>
      <c r="J163" t="str">
        <f t="shared" si="11"/>
        <v>tier - 3</v>
      </c>
      <c r="K163" t="s">
        <v>12</v>
      </c>
      <c r="L163" t="str">
        <f t="shared" si="12"/>
        <v>tier - 3</v>
      </c>
      <c r="M163" t="s">
        <v>12</v>
      </c>
      <c r="N163" t="str">
        <f t="shared" si="13"/>
        <v>R1013</v>
      </c>
      <c r="O163" t="s">
        <v>13</v>
      </c>
    </row>
    <row r="164" spans="1:15" x14ac:dyDescent="0.35">
      <c r="A164" t="s">
        <v>188</v>
      </c>
      <c r="C164">
        <f t="shared" si="10"/>
        <v>2003</v>
      </c>
      <c r="D164">
        <v>2003</v>
      </c>
      <c r="E164" t="str">
        <f t="shared" si="14"/>
        <v>Nov</v>
      </c>
      <c r="F164" t="s">
        <v>15</v>
      </c>
      <c r="G164">
        <v>19</v>
      </c>
      <c r="H164">
        <v>0</v>
      </c>
      <c r="I164" s="21">
        <v>1759.34</v>
      </c>
      <c r="J164" t="str">
        <f t="shared" si="11"/>
        <v>tier - 3</v>
      </c>
      <c r="K164" t="s">
        <v>12</v>
      </c>
      <c r="L164" t="str">
        <f t="shared" si="12"/>
        <v>tier - 1</v>
      </c>
      <c r="M164" t="s">
        <v>16</v>
      </c>
      <c r="N164" t="str">
        <f t="shared" si="13"/>
        <v>R1011</v>
      </c>
      <c r="O164" t="s">
        <v>42</v>
      </c>
    </row>
    <row r="165" spans="1:15" x14ac:dyDescent="0.35">
      <c r="A165" t="s">
        <v>189</v>
      </c>
      <c r="C165">
        <f t="shared" si="10"/>
        <v>2002</v>
      </c>
      <c r="D165">
        <v>2002</v>
      </c>
      <c r="E165" t="str">
        <f t="shared" si="14"/>
        <v>Dec</v>
      </c>
      <c r="F165" t="s">
        <v>30</v>
      </c>
      <c r="G165">
        <v>13</v>
      </c>
      <c r="H165">
        <v>0</v>
      </c>
      <c r="I165" s="21">
        <v>1769.53</v>
      </c>
      <c r="J165" t="str">
        <f t="shared" si="11"/>
        <v>tier - 3</v>
      </c>
      <c r="K165" t="s">
        <v>12</v>
      </c>
      <c r="L165" t="str">
        <f t="shared" si="12"/>
        <v>tier - 3</v>
      </c>
      <c r="M165" t="s">
        <v>12</v>
      </c>
      <c r="N165" t="str">
        <f t="shared" si="13"/>
        <v>R1012</v>
      </c>
      <c r="O165" t="s">
        <v>23</v>
      </c>
    </row>
    <row r="166" spans="1:15" x14ac:dyDescent="0.35">
      <c r="A166" t="s">
        <v>190</v>
      </c>
      <c r="C166">
        <f t="shared" si="10"/>
        <v>1999</v>
      </c>
      <c r="D166">
        <v>1999</v>
      </c>
      <c r="E166" t="str">
        <f t="shared" si="14"/>
        <v>Sep</v>
      </c>
      <c r="F166" t="s">
        <v>20</v>
      </c>
      <c r="G166">
        <v>25</v>
      </c>
      <c r="H166">
        <v>0</v>
      </c>
      <c r="I166" s="21">
        <v>1815.88</v>
      </c>
      <c r="J166" t="str">
        <f t="shared" si="11"/>
        <v>tier - 3</v>
      </c>
      <c r="K166" t="s">
        <v>12</v>
      </c>
      <c r="L166" t="str">
        <f t="shared" si="12"/>
        <v>tier - 3</v>
      </c>
      <c r="M166" t="s">
        <v>12</v>
      </c>
      <c r="N166" t="str">
        <f t="shared" si="13"/>
        <v>R1013</v>
      </c>
      <c r="O166" t="s">
        <v>13</v>
      </c>
    </row>
    <row r="167" spans="1:15" x14ac:dyDescent="0.35">
      <c r="A167" t="s">
        <v>191</v>
      </c>
      <c r="C167">
        <f t="shared" si="10"/>
        <v>2004</v>
      </c>
      <c r="D167">
        <v>2004</v>
      </c>
      <c r="E167" t="str">
        <f t="shared" si="14"/>
        <v>Aug</v>
      </c>
      <c r="F167" t="s">
        <v>35</v>
      </c>
      <c r="G167">
        <v>19</v>
      </c>
      <c r="H167">
        <v>0</v>
      </c>
      <c r="I167" s="21">
        <v>1822.54</v>
      </c>
      <c r="J167" t="str">
        <f t="shared" si="11"/>
        <v>tier - 3</v>
      </c>
      <c r="K167" t="s">
        <v>12</v>
      </c>
      <c r="L167" t="str">
        <f t="shared" si="12"/>
        <v>tier - 1</v>
      </c>
      <c r="M167" t="s">
        <v>16</v>
      </c>
      <c r="N167" t="str">
        <f t="shared" si="13"/>
        <v>R1012</v>
      </c>
      <c r="O167" t="s">
        <v>23</v>
      </c>
    </row>
    <row r="168" spans="1:15" x14ac:dyDescent="0.35">
      <c r="A168" t="s">
        <v>192</v>
      </c>
      <c r="C168">
        <f t="shared" si="10"/>
        <v>1999</v>
      </c>
      <c r="D168">
        <v>1999</v>
      </c>
      <c r="E168" t="str">
        <f t="shared" si="14"/>
        <v>Nov</v>
      </c>
      <c r="F168" t="s">
        <v>15</v>
      </c>
      <c r="G168">
        <v>17</v>
      </c>
      <c r="H168">
        <v>0</v>
      </c>
      <c r="I168" s="21">
        <v>1824.29</v>
      </c>
      <c r="J168" t="str">
        <f t="shared" si="11"/>
        <v>tier - 3</v>
      </c>
      <c r="K168" t="s">
        <v>12</v>
      </c>
      <c r="L168" t="str">
        <f t="shared" si="12"/>
        <v>tier - 3</v>
      </c>
      <c r="M168" t="s">
        <v>12</v>
      </c>
      <c r="N168" t="str">
        <f t="shared" si="13"/>
        <v>R1013</v>
      </c>
      <c r="O168" t="s">
        <v>13</v>
      </c>
    </row>
    <row r="169" spans="1:15" x14ac:dyDescent="0.35">
      <c r="A169" t="s">
        <v>193</v>
      </c>
      <c r="C169">
        <f t="shared" si="10"/>
        <v>1999</v>
      </c>
      <c r="D169">
        <v>1999</v>
      </c>
      <c r="E169" t="str">
        <f t="shared" si="14"/>
        <v>Oct</v>
      </c>
      <c r="F169" t="s">
        <v>37</v>
      </c>
      <c r="G169">
        <v>1</v>
      </c>
      <c r="H169">
        <v>0</v>
      </c>
      <c r="I169" s="21">
        <v>1826.84</v>
      </c>
      <c r="J169" t="str">
        <f t="shared" si="11"/>
        <v>tier - 3</v>
      </c>
      <c r="K169" t="s">
        <v>12</v>
      </c>
      <c r="L169" t="str">
        <f t="shared" si="12"/>
        <v>tier - 2</v>
      </c>
      <c r="M169" t="s">
        <v>11</v>
      </c>
      <c r="N169" t="str">
        <f t="shared" si="13"/>
        <v>R1011</v>
      </c>
      <c r="O169" t="s">
        <v>42</v>
      </c>
    </row>
    <row r="170" spans="1:15" x14ac:dyDescent="0.35">
      <c r="A170" t="s">
        <v>194</v>
      </c>
      <c r="C170">
        <f t="shared" si="10"/>
        <v>2003</v>
      </c>
      <c r="D170">
        <v>2003</v>
      </c>
      <c r="E170" t="str">
        <f t="shared" si="14"/>
        <v>Aug</v>
      </c>
      <c r="F170" t="s">
        <v>35</v>
      </c>
      <c r="G170">
        <v>11</v>
      </c>
      <c r="H170">
        <v>1</v>
      </c>
      <c r="I170" s="21">
        <v>1832.09</v>
      </c>
      <c r="J170" t="str">
        <f t="shared" si="11"/>
        <v>tier - 3</v>
      </c>
      <c r="K170" t="s">
        <v>12</v>
      </c>
      <c r="L170" t="str">
        <f t="shared" si="12"/>
        <v>tier - 3</v>
      </c>
      <c r="M170" t="s">
        <v>12</v>
      </c>
      <c r="N170" t="str">
        <f t="shared" si="13"/>
        <v>R1011</v>
      </c>
      <c r="O170" t="s">
        <v>42</v>
      </c>
    </row>
    <row r="171" spans="1:15" x14ac:dyDescent="0.35">
      <c r="A171" t="s">
        <v>195</v>
      </c>
      <c r="C171">
        <f t="shared" si="10"/>
        <v>2003</v>
      </c>
      <c r="D171">
        <v>2003</v>
      </c>
      <c r="E171" t="str">
        <f t="shared" si="14"/>
        <v>Aug</v>
      </c>
      <c r="F171" t="s">
        <v>35</v>
      </c>
      <c r="G171">
        <v>4</v>
      </c>
      <c r="H171">
        <v>1</v>
      </c>
      <c r="I171" s="21">
        <v>1837.24</v>
      </c>
      <c r="J171" t="str">
        <f t="shared" si="11"/>
        <v>tier - 3</v>
      </c>
      <c r="K171" t="s">
        <v>12</v>
      </c>
      <c r="L171" t="str">
        <f t="shared" si="12"/>
        <v>tier - 2</v>
      </c>
      <c r="M171" t="s">
        <v>11</v>
      </c>
      <c r="N171" t="str">
        <f t="shared" si="13"/>
        <v>R1011</v>
      </c>
      <c r="O171" t="s">
        <v>42</v>
      </c>
    </row>
    <row r="172" spans="1:15" x14ac:dyDescent="0.35">
      <c r="A172" t="s">
        <v>196</v>
      </c>
      <c r="C172">
        <f t="shared" si="10"/>
        <v>1999</v>
      </c>
      <c r="D172">
        <v>1999</v>
      </c>
      <c r="E172" t="str">
        <f t="shared" si="14"/>
        <v>Dec</v>
      </c>
      <c r="F172" t="s">
        <v>30</v>
      </c>
      <c r="G172">
        <v>12</v>
      </c>
      <c r="H172">
        <v>0</v>
      </c>
      <c r="I172" s="21">
        <v>1837.28</v>
      </c>
      <c r="J172" t="str">
        <f t="shared" si="11"/>
        <v>tier - 3</v>
      </c>
      <c r="K172" t="s">
        <v>12</v>
      </c>
      <c r="L172" t="str">
        <f t="shared" si="12"/>
        <v>tier - 2</v>
      </c>
      <c r="M172" t="s">
        <v>11</v>
      </c>
      <c r="N172" t="str">
        <f t="shared" si="13"/>
        <v>R1013</v>
      </c>
      <c r="O172" t="s">
        <v>13</v>
      </c>
    </row>
    <row r="173" spans="1:15" x14ac:dyDescent="0.35">
      <c r="A173" t="s">
        <v>197</v>
      </c>
      <c r="C173">
        <f t="shared" si="10"/>
        <v>2003</v>
      </c>
      <c r="D173">
        <v>2003</v>
      </c>
      <c r="E173" t="str">
        <f t="shared" si="14"/>
        <v>Jul</v>
      </c>
      <c r="F173" t="s">
        <v>10</v>
      </c>
      <c r="G173">
        <v>20</v>
      </c>
      <c r="H173">
        <v>1</v>
      </c>
      <c r="I173" s="21">
        <v>1842.52</v>
      </c>
      <c r="J173" t="str">
        <f t="shared" si="11"/>
        <v>tier - 3</v>
      </c>
      <c r="K173" t="s">
        <v>12</v>
      </c>
      <c r="L173" t="str">
        <f t="shared" si="12"/>
        <v>tier - 2</v>
      </c>
      <c r="M173" t="s">
        <v>11</v>
      </c>
      <c r="N173" t="str">
        <f t="shared" si="13"/>
        <v>R1011</v>
      </c>
      <c r="O173" t="s">
        <v>42</v>
      </c>
    </row>
    <row r="174" spans="1:15" x14ac:dyDescent="0.35">
      <c r="A174" t="s">
        <v>198</v>
      </c>
      <c r="C174">
        <f t="shared" si="10"/>
        <v>1994</v>
      </c>
      <c r="D174">
        <v>1994</v>
      </c>
      <c r="E174" t="str">
        <f t="shared" si="14"/>
        <v>Dec</v>
      </c>
      <c r="F174" t="s">
        <v>30</v>
      </c>
      <c r="G174">
        <v>6</v>
      </c>
      <c r="H174">
        <v>0</v>
      </c>
      <c r="I174" s="21">
        <v>1850.55</v>
      </c>
      <c r="J174" t="str">
        <f t="shared" si="11"/>
        <v>tier - 3</v>
      </c>
      <c r="K174" t="s">
        <v>12</v>
      </c>
      <c r="L174" t="str">
        <f t="shared" si="12"/>
        <v>tier - 2</v>
      </c>
      <c r="M174" t="s">
        <v>11</v>
      </c>
      <c r="N174" t="str">
        <f t="shared" si="13"/>
        <v>R1012</v>
      </c>
      <c r="O174" t="s">
        <v>23</v>
      </c>
    </row>
    <row r="175" spans="1:15" x14ac:dyDescent="0.35">
      <c r="A175" t="s">
        <v>199</v>
      </c>
      <c r="C175">
        <f t="shared" si="10"/>
        <v>2004</v>
      </c>
      <c r="D175">
        <v>2004</v>
      </c>
      <c r="E175" t="str">
        <f t="shared" si="14"/>
        <v>Dec</v>
      </c>
      <c r="F175" t="s">
        <v>30</v>
      </c>
      <c r="G175">
        <v>27</v>
      </c>
      <c r="H175">
        <v>0</v>
      </c>
      <c r="I175" s="21">
        <v>1863.45</v>
      </c>
      <c r="J175" t="str">
        <f t="shared" si="11"/>
        <v>tier - 3</v>
      </c>
      <c r="K175" t="s">
        <v>12</v>
      </c>
      <c r="L175" t="str">
        <f t="shared" si="12"/>
        <v>tier - 1</v>
      </c>
      <c r="M175" t="s">
        <v>16</v>
      </c>
      <c r="N175" t="str">
        <f t="shared" si="13"/>
        <v>R1025</v>
      </c>
      <c r="O175" t="s">
        <v>200</v>
      </c>
    </row>
    <row r="176" spans="1:15" x14ac:dyDescent="0.35">
      <c r="A176" t="s">
        <v>201</v>
      </c>
      <c r="C176">
        <f t="shared" si="10"/>
        <v>1996</v>
      </c>
      <c r="D176">
        <v>1996</v>
      </c>
      <c r="E176" t="str">
        <f t="shared" si="14"/>
        <v>Jul</v>
      </c>
      <c r="F176" t="s">
        <v>10</v>
      </c>
      <c r="G176">
        <v>2</v>
      </c>
      <c r="H176">
        <v>0</v>
      </c>
      <c r="I176" s="21">
        <v>1865.98</v>
      </c>
      <c r="J176" t="str">
        <f t="shared" si="11"/>
        <v>tier - 3</v>
      </c>
      <c r="K176" t="s">
        <v>12</v>
      </c>
      <c r="L176" t="str">
        <f t="shared" si="12"/>
        <v>tier - 3</v>
      </c>
      <c r="M176" t="s">
        <v>12</v>
      </c>
      <c r="N176" t="str">
        <f t="shared" si="13"/>
        <v>R1012</v>
      </c>
      <c r="O176" t="s">
        <v>23</v>
      </c>
    </row>
    <row r="177" spans="1:15" x14ac:dyDescent="0.35">
      <c r="A177" t="s">
        <v>202</v>
      </c>
      <c r="C177">
        <f t="shared" si="10"/>
        <v>2002</v>
      </c>
      <c r="D177">
        <v>2002</v>
      </c>
      <c r="E177" t="str">
        <f t="shared" si="14"/>
        <v>Sep</v>
      </c>
      <c r="F177" t="s">
        <v>20</v>
      </c>
      <c r="G177">
        <v>22</v>
      </c>
      <c r="H177">
        <v>0</v>
      </c>
      <c r="I177" s="21">
        <v>1875.34</v>
      </c>
      <c r="J177" t="str">
        <f t="shared" si="11"/>
        <v>tier - 3</v>
      </c>
      <c r="K177" t="s">
        <v>12</v>
      </c>
      <c r="L177" t="str">
        <f t="shared" si="12"/>
        <v>tier - 2</v>
      </c>
      <c r="M177" t="s">
        <v>11</v>
      </c>
      <c r="N177" t="str">
        <f t="shared" si="13"/>
        <v>R1011</v>
      </c>
      <c r="O177" t="s">
        <v>42</v>
      </c>
    </row>
    <row r="178" spans="1:15" x14ac:dyDescent="0.35">
      <c r="A178" t="s">
        <v>203</v>
      </c>
      <c r="C178">
        <f t="shared" si="10"/>
        <v>2002</v>
      </c>
      <c r="D178">
        <v>2002</v>
      </c>
      <c r="E178" t="str">
        <f t="shared" si="14"/>
        <v>Oct</v>
      </c>
      <c r="F178" t="s">
        <v>37</v>
      </c>
      <c r="G178">
        <v>29</v>
      </c>
      <c r="H178">
        <v>0</v>
      </c>
      <c r="I178" s="21">
        <v>1877.93</v>
      </c>
      <c r="J178" t="str">
        <f t="shared" si="11"/>
        <v>tier - 3</v>
      </c>
      <c r="K178" t="s">
        <v>12</v>
      </c>
      <c r="L178" t="str">
        <f t="shared" si="12"/>
        <v>tier - 1</v>
      </c>
      <c r="M178" t="s">
        <v>16</v>
      </c>
      <c r="N178" t="str">
        <f t="shared" si="13"/>
        <v>R1013</v>
      </c>
      <c r="O178" t="s">
        <v>13</v>
      </c>
    </row>
    <row r="179" spans="1:15" x14ac:dyDescent="0.35">
      <c r="A179" t="s">
        <v>204</v>
      </c>
      <c r="C179">
        <f t="shared" si="10"/>
        <v>2002</v>
      </c>
      <c r="D179">
        <v>2002</v>
      </c>
      <c r="E179" t="str">
        <f t="shared" si="14"/>
        <v>Aug</v>
      </c>
      <c r="F179" t="s">
        <v>35</v>
      </c>
      <c r="G179">
        <v>29</v>
      </c>
      <c r="H179">
        <v>0</v>
      </c>
      <c r="I179" s="21">
        <v>1880.07</v>
      </c>
      <c r="J179" t="str">
        <f t="shared" si="11"/>
        <v>tier - 3</v>
      </c>
      <c r="K179" t="s">
        <v>12</v>
      </c>
      <c r="L179" t="str">
        <f t="shared" si="12"/>
        <v>tier - 2</v>
      </c>
      <c r="M179" t="s">
        <v>11</v>
      </c>
      <c r="N179" t="str">
        <f t="shared" si="13"/>
        <v>R1013</v>
      </c>
      <c r="O179" t="s">
        <v>13</v>
      </c>
    </row>
    <row r="180" spans="1:15" x14ac:dyDescent="0.35">
      <c r="A180" t="s">
        <v>205</v>
      </c>
      <c r="C180">
        <f t="shared" si="10"/>
        <v>2002</v>
      </c>
      <c r="D180">
        <v>2002</v>
      </c>
      <c r="E180" t="str">
        <f t="shared" si="14"/>
        <v>Aug</v>
      </c>
      <c r="F180" t="s">
        <v>35</v>
      </c>
      <c r="G180">
        <v>21</v>
      </c>
      <c r="H180">
        <v>0</v>
      </c>
      <c r="I180" s="21">
        <v>1880.49</v>
      </c>
      <c r="J180" t="str">
        <f t="shared" si="11"/>
        <v>tier - 3</v>
      </c>
      <c r="K180" t="s">
        <v>12</v>
      </c>
      <c r="L180" t="str">
        <f t="shared" si="12"/>
        <v>tier - 1</v>
      </c>
      <c r="M180" t="s">
        <v>16</v>
      </c>
      <c r="N180" t="str">
        <f t="shared" si="13"/>
        <v>R1011</v>
      </c>
      <c r="O180" t="s">
        <v>42</v>
      </c>
    </row>
    <row r="181" spans="1:15" x14ac:dyDescent="0.35">
      <c r="A181" t="s">
        <v>206</v>
      </c>
      <c r="C181">
        <f t="shared" si="10"/>
        <v>2001</v>
      </c>
      <c r="D181">
        <v>2001</v>
      </c>
      <c r="E181" t="str">
        <f t="shared" si="14"/>
        <v>Aug</v>
      </c>
      <c r="F181" t="s">
        <v>35</v>
      </c>
      <c r="G181">
        <v>10</v>
      </c>
      <c r="H181">
        <v>0</v>
      </c>
      <c r="I181" s="21">
        <v>1906.36</v>
      </c>
      <c r="J181" t="str">
        <f t="shared" si="11"/>
        <v>tier - 3</v>
      </c>
      <c r="K181" t="s">
        <v>12</v>
      </c>
      <c r="L181" t="str">
        <f t="shared" si="12"/>
        <v>tier - 1</v>
      </c>
      <c r="M181" t="s">
        <v>16</v>
      </c>
      <c r="N181" t="str">
        <f t="shared" si="13"/>
        <v>R1012</v>
      </c>
      <c r="O181" t="s">
        <v>23</v>
      </c>
    </row>
    <row r="182" spans="1:15" x14ac:dyDescent="0.35">
      <c r="A182" t="s">
        <v>207</v>
      </c>
      <c r="C182">
        <f t="shared" si="10"/>
        <v>1994</v>
      </c>
      <c r="D182">
        <v>1994</v>
      </c>
      <c r="E182" t="str">
        <f t="shared" si="14"/>
        <v>Oct</v>
      </c>
      <c r="F182" t="s">
        <v>37</v>
      </c>
      <c r="G182">
        <v>6</v>
      </c>
      <c r="H182">
        <v>0</v>
      </c>
      <c r="I182" s="21">
        <v>1908.9</v>
      </c>
      <c r="J182" t="str">
        <f t="shared" si="11"/>
        <v>tier - 3</v>
      </c>
      <c r="K182" t="s">
        <v>12</v>
      </c>
      <c r="L182" t="str">
        <f t="shared" si="12"/>
        <v>tier - 3</v>
      </c>
      <c r="M182" t="s">
        <v>12</v>
      </c>
      <c r="N182" t="str">
        <f t="shared" si="13"/>
        <v>R1013</v>
      </c>
      <c r="O182" t="s">
        <v>13</v>
      </c>
    </row>
    <row r="183" spans="1:15" x14ac:dyDescent="0.35">
      <c r="A183" t="s">
        <v>208</v>
      </c>
      <c r="C183">
        <f t="shared" si="10"/>
        <v>2001</v>
      </c>
      <c r="D183">
        <v>2001</v>
      </c>
      <c r="E183" t="str">
        <f t="shared" si="14"/>
        <v>Aug</v>
      </c>
      <c r="F183" t="s">
        <v>35</v>
      </c>
      <c r="G183">
        <v>3</v>
      </c>
      <c r="H183">
        <v>0</v>
      </c>
      <c r="I183" s="21">
        <v>1909.53</v>
      </c>
      <c r="J183" t="str">
        <f t="shared" si="11"/>
        <v>tier - 3</v>
      </c>
      <c r="K183" t="s">
        <v>12</v>
      </c>
      <c r="L183" t="str">
        <f t="shared" si="12"/>
        <v>tier - 3</v>
      </c>
      <c r="M183" t="s">
        <v>12</v>
      </c>
      <c r="N183" t="str">
        <f t="shared" si="13"/>
        <v>R1012</v>
      </c>
      <c r="O183" t="s">
        <v>23</v>
      </c>
    </row>
    <row r="184" spans="1:15" x14ac:dyDescent="0.35">
      <c r="A184" t="s">
        <v>209</v>
      </c>
      <c r="C184">
        <f t="shared" si="10"/>
        <v>2001</v>
      </c>
      <c r="D184">
        <v>2001</v>
      </c>
      <c r="E184" t="str">
        <f t="shared" si="14"/>
        <v>Dec</v>
      </c>
      <c r="F184" t="s">
        <v>30</v>
      </c>
      <c r="G184">
        <v>9</v>
      </c>
      <c r="H184">
        <v>0</v>
      </c>
      <c r="I184" s="21">
        <v>1917.32</v>
      </c>
      <c r="J184" t="str">
        <f t="shared" si="11"/>
        <v>tier - 3</v>
      </c>
      <c r="K184" t="s">
        <v>12</v>
      </c>
      <c r="L184" t="str">
        <f t="shared" si="12"/>
        <v>tier - 2</v>
      </c>
      <c r="M184" t="s">
        <v>11</v>
      </c>
      <c r="N184" t="str">
        <f t="shared" si="13"/>
        <v>R1012</v>
      </c>
      <c r="O184" t="s">
        <v>23</v>
      </c>
    </row>
    <row r="185" spans="1:15" x14ac:dyDescent="0.35">
      <c r="A185" t="s">
        <v>210</v>
      </c>
      <c r="C185">
        <f t="shared" si="10"/>
        <v>2002</v>
      </c>
      <c r="D185">
        <v>2002</v>
      </c>
      <c r="E185" t="str">
        <f t="shared" si="14"/>
        <v>Sep</v>
      </c>
      <c r="F185" t="s">
        <v>20</v>
      </c>
      <c r="G185">
        <v>7</v>
      </c>
      <c r="H185">
        <v>1</v>
      </c>
      <c r="I185" s="21">
        <v>1964.78</v>
      </c>
      <c r="J185" t="str">
        <f t="shared" si="11"/>
        <v>tier - 3</v>
      </c>
      <c r="K185" t="s">
        <v>12</v>
      </c>
      <c r="L185" t="str">
        <f t="shared" si="12"/>
        <v>tier - 1</v>
      </c>
      <c r="M185" t="s">
        <v>16</v>
      </c>
      <c r="N185" t="str">
        <f t="shared" si="13"/>
        <v>R1011</v>
      </c>
      <c r="O185" t="s">
        <v>42</v>
      </c>
    </row>
    <row r="186" spans="1:15" x14ac:dyDescent="0.35">
      <c r="A186" t="s">
        <v>211</v>
      </c>
      <c r="C186">
        <f t="shared" si="10"/>
        <v>2002</v>
      </c>
      <c r="D186">
        <v>2002</v>
      </c>
      <c r="E186" t="str">
        <f t="shared" si="14"/>
        <v>Jul</v>
      </c>
      <c r="F186" t="s">
        <v>10</v>
      </c>
      <c r="G186">
        <v>29</v>
      </c>
      <c r="H186">
        <v>0</v>
      </c>
      <c r="I186" s="21">
        <v>1967.02</v>
      </c>
      <c r="J186" t="str">
        <f t="shared" si="11"/>
        <v>tier - 3</v>
      </c>
      <c r="K186" t="s">
        <v>12</v>
      </c>
      <c r="L186" t="str">
        <f t="shared" si="12"/>
        <v>tier - 2</v>
      </c>
      <c r="M186" t="s">
        <v>11</v>
      </c>
      <c r="N186" t="str">
        <f t="shared" si="13"/>
        <v>R1016</v>
      </c>
      <c r="O186" t="s">
        <v>168</v>
      </c>
    </row>
    <row r="187" spans="1:15" x14ac:dyDescent="0.35">
      <c r="A187" t="s">
        <v>212</v>
      </c>
      <c r="C187">
        <f t="shared" si="10"/>
        <v>1998</v>
      </c>
      <c r="D187">
        <v>1998</v>
      </c>
      <c r="E187" t="str">
        <f t="shared" si="14"/>
        <v>Sep</v>
      </c>
      <c r="F187" t="s">
        <v>20</v>
      </c>
      <c r="G187">
        <v>28</v>
      </c>
      <c r="H187">
        <v>0</v>
      </c>
      <c r="I187" s="21">
        <v>1969.61</v>
      </c>
      <c r="J187" t="str">
        <f t="shared" si="11"/>
        <v>tier - 3</v>
      </c>
      <c r="K187" t="s">
        <v>12</v>
      </c>
      <c r="L187" t="str">
        <f t="shared" si="12"/>
        <v>tier - 3</v>
      </c>
      <c r="M187" t="s">
        <v>12</v>
      </c>
      <c r="N187" t="str">
        <f t="shared" si="13"/>
        <v>R1011</v>
      </c>
      <c r="O187" t="s">
        <v>42</v>
      </c>
    </row>
    <row r="188" spans="1:15" x14ac:dyDescent="0.35">
      <c r="A188" t="s">
        <v>213</v>
      </c>
      <c r="C188">
        <f t="shared" si="10"/>
        <v>1998</v>
      </c>
      <c r="D188">
        <v>1998</v>
      </c>
      <c r="E188" t="str">
        <f t="shared" si="14"/>
        <v>Oct</v>
      </c>
      <c r="F188" t="s">
        <v>37</v>
      </c>
      <c r="G188">
        <v>5</v>
      </c>
      <c r="H188">
        <v>0</v>
      </c>
      <c r="I188" s="21">
        <v>1972.95</v>
      </c>
      <c r="J188" t="str">
        <f t="shared" si="11"/>
        <v>tier - 3</v>
      </c>
      <c r="K188" t="s">
        <v>12</v>
      </c>
      <c r="L188" t="str">
        <f t="shared" si="12"/>
        <v>tier - 1</v>
      </c>
      <c r="M188" t="s">
        <v>16</v>
      </c>
      <c r="N188" t="str">
        <f t="shared" si="13"/>
        <v>R1011</v>
      </c>
      <c r="O188" t="s">
        <v>42</v>
      </c>
    </row>
    <row r="189" spans="1:15" x14ac:dyDescent="0.35">
      <c r="A189" t="s">
        <v>214</v>
      </c>
      <c r="C189">
        <f t="shared" si="10"/>
        <v>1998</v>
      </c>
      <c r="D189">
        <v>1998</v>
      </c>
      <c r="E189" t="str">
        <f t="shared" si="14"/>
        <v>Sep</v>
      </c>
      <c r="F189" t="s">
        <v>20</v>
      </c>
      <c r="G189">
        <v>29</v>
      </c>
      <c r="H189">
        <v>0</v>
      </c>
      <c r="I189" s="21">
        <v>1977.82</v>
      </c>
      <c r="J189" t="str">
        <f t="shared" si="11"/>
        <v>tier - 3</v>
      </c>
      <c r="K189" t="s">
        <v>12</v>
      </c>
      <c r="L189" t="str">
        <f t="shared" si="12"/>
        <v>tier - 1</v>
      </c>
      <c r="M189" t="s">
        <v>16</v>
      </c>
      <c r="N189" t="str">
        <f t="shared" si="13"/>
        <v>R1011</v>
      </c>
      <c r="O189" t="s">
        <v>42</v>
      </c>
    </row>
    <row r="190" spans="1:15" x14ac:dyDescent="0.35">
      <c r="A190" t="s">
        <v>215</v>
      </c>
      <c r="C190">
        <f t="shared" si="10"/>
        <v>2002</v>
      </c>
      <c r="D190">
        <v>2002</v>
      </c>
      <c r="E190" t="str">
        <f t="shared" si="14"/>
        <v>Jul</v>
      </c>
      <c r="F190" t="s">
        <v>10</v>
      </c>
      <c r="G190">
        <v>16</v>
      </c>
      <c r="H190">
        <v>1</v>
      </c>
      <c r="I190" s="21">
        <v>1980.07</v>
      </c>
      <c r="J190" t="str">
        <f t="shared" si="11"/>
        <v>tier - 3</v>
      </c>
      <c r="K190" t="s">
        <v>12</v>
      </c>
      <c r="L190" t="str">
        <f t="shared" si="12"/>
        <v>tier - 3</v>
      </c>
      <c r="M190" t="s">
        <v>12</v>
      </c>
      <c r="N190" t="str">
        <f t="shared" si="13"/>
        <v>R1011</v>
      </c>
      <c r="O190" t="s">
        <v>42</v>
      </c>
    </row>
    <row r="191" spans="1:15" x14ac:dyDescent="0.35">
      <c r="A191" t="s">
        <v>216</v>
      </c>
      <c r="C191">
        <f t="shared" si="10"/>
        <v>1998</v>
      </c>
      <c r="D191">
        <v>1998</v>
      </c>
      <c r="E191" t="str">
        <f t="shared" si="14"/>
        <v>Dec</v>
      </c>
      <c r="F191" t="s">
        <v>30</v>
      </c>
      <c r="G191">
        <v>29</v>
      </c>
      <c r="H191">
        <v>0</v>
      </c>
      <c r="I191" s="21">
        <v>1981.58</v>
      </c>
      <c r="J191" t="str">
        <f t="shared" si="11"/>
        <v>tier - 3</v>
      </c>
      <c r="K191" t="s">
        <v>12</v>
      </c>
      <c r="L191" t="str">
        <f t="shared" si="12"/>
        <v>tier - 1</v>
      </c>
      <c r="M191" t="s">
        <v>16</v>
      </c>
      <c r="N191" t="str">
        <f t="shared" si="13"/>
        <v>R1013</v>
      </c>
      <c r="O191" t="s">
        <v>13</v>
      </c>
    </row>
    <row r="192" spans="1:15" x14ac:dyDescent="0.35">
      <c r="A192" t="s">
        <v>217</v>
      </c>
      <c r="C192">
        <f t="shared" si="10"/>
        <v>2002</v>
      </c>
      <c r="D192">
        <v>2002</v>
      </c>
      <c r="E192" t="str">
        <f t="shared" si="14"/>
        <v>Sep</v>
      </c>
      <c r="F192" t="s">
        <v>20</v>
      </c>
      <c r="G192">
        <v>29</v>
      </c>
      <c r="H192">
        <v>0</v>
      </c>
      <c r="I192" s="21">
        <v>1984.45</v>
      </c>
      <c r="J192" t="str">
        <f t="shared" si="11"/>
        <v>tier - 3</v>
      </c>
      <c r="K192" t="s">
        <v>12</v>
      </c>
      <c r="L192" t="str">
        <f t="shared" si="12"/>
        <v>tier - 3</v>
      </c>
      <c r="M192" t="s">
        <v>12</v>
      </c>
      <c r="N192" t="str">
        <f t="shared" si="13"/>
        <v>R1016</v>
      </c>
      <c r="O192" t="s">
        <v>168</v>
      </c>
    </row>
    <row r="193" spans="1:15" x14ac:dyDescent="0.35">
      <c r="A193" t="s">
        <v>218</v>
      </c>
      <c r="C193">
        <f t="shared" si="10"/>
        <v>1998</v>
      </c>
      <c r="D193">
        <v>1998</v>
      </c>
      <c r="E193" t="str">
        <f t="shared" si="14"/>
        <v>Sep</v>
      </c>
      <c r="F193" t="s">
        <v>20</v>
      </c>
      <c r="G193">
        <v>14</v>
      </c>
      <c r="H193">
        <v>0</v>
      </c>
      <c r="I193" s="21">
        <v>1986.93</v>
      </c>
      <c r="J193" t="str">
        <f t="shared" si="11"/>
        <v>tier - 3</v>
      </c>
      <c r="K193" t="s">
        <v>12</v>
      </c>
      <c r="L193" t="str">
        <f t="shared" si="12"/>
        <v>tier - 2</v>
      </c>
      <c r="M193" t="s">
        <v>11</v>
      </c>
      <c r="N193" t="str">
        <f t="shared" si="13"/>
        <v>R1013</v>
      </c>
      <c r="O193" t="s">
        <v>13</v>
      </c>
    </row>
    <row r="194" spans="1:15" x14ac:dyDescent="0.35">
      <c r="A194" t="s">
        <v>219</v>
      </c>
      <c r="C194">
        <f t="shared" si="10"/>
        <v>2001</v>
      </c>
      <c r="D194">
        <v>2001</v>
      </c>
      <c r="E194" t="str">
        <f t="shared" si="14"/>
        <v>Aug</v>
      </c>
      <c r="F194" t="s">
        <v>35</v>
      </c>
      <c r="G194">
        <v>14</v>
      </c>
      <c r="H194">
        <v>0</v>
      </c>
      <c r="I194" s="21">
        <v>2007.95</v>
      </c>
      <c r="J194" t="str">
        <f t="shared" si="11"/>
        <v>tier - 3</v>
      </c>
      <c r="K194" t="s">
        <v>12</v>
      </c>
      <c r="L194" t="str">
        <f t="shared" si="12"/>
        <v>tier - 2</v>
      </c>
      <c r="M194" t="s">
        <v>11</v>
      </c>
      <c r="N194" t="str">
        <f t="shared" si="13"/>
        <v>R1011</v>
      </c>
      <c r="O194" t="s">
        <v>42</v>
      </c>
    </row>
    <row r="195" spans="1:15" x14ac:dyDescent="0.35">
      <c r="A195" t="s">
        <v>220</v>
      </c>
      <c r="C195">
        <f t="shared" ref="C195:C258" si="15">IF(OR(D195="?", ISBLANK(D195)), 1983, D195)</f>
        <v>2001</v>
      </c>
      <c r="D195">
        <v>2001</v>
      </c>
      <c r="E195" t="str">
        <f t="shared" si="14"/>
        <v>Jul</v>
      </c>
      <c r="F195" t="s">
        <v>10</v>
      </c>
      <c r="G195">
        <v>1</v>
      </c>
      <c r="H195">
        <v>0</v>
      </c>
      <c r="I195" s="21">
        <v>2020.18</v>
      </c>
      <c r="J195" t="str">
        <f t="shared" ref="J195:J258" si="16">IF(OR(K195="?", ISBLANK(K195)), "Tier 2", K195)</f>
        <v>tier - 3</v>
      </c>
      <c r="K195" t="s">
        <v>12</v>
      </c>
      <c r="L195" t="str">
        <f t="shared" ref="L195:L258" si="17">IF(OR(M195="?", ISBLANK(M195)), "Tier 2", M195)</f>
        <v>tier - 1</v>
      </c>
      <c r="M195" t="s">
        <v>16</v>
      </c>
      <c r="N195" t="str">
        <f t="shared" ref="N195:N258" si="18">IF(OR(O195="?", ISBLANK(O195)), "Unknown", O195)</f>
        <v>R1011</v>
      </c>
      <c r="O195" t="s">
        <v>42</v>
      </c>
    </row>
    <row r="196" spans="1:15" x14ac:dyDescent="0.35">
      <c r="A196" t="s">
        <v>221</v>
      </c>
      <c r="C196">
        <f t="shared" si="15"/>
        <v>2001</v>
      </c>
      <c r="D196">
        <v>2001</v>
      </c>
      <c r="E196" t="str">
        <f t="shared" ref="E196:E259" si="19">IF(OR(F196="?", ISBLANK(F196)), "Sep", F196)</f>
        <v>Sep</v>
      </c>
      <c r="F196" t="s">
        <v>20</v>
      </c>
      <c r="G196">
        <v>6</v>
      </c>
      <c r="H196">
        <v>0</v>
      </c>
      <c r="I196" s="21">
        <v>2020.55</v>
      </c>
      <c r="J196" t="str">
        <f t="shared" si="16"/>
        <v>tier - 3</v>
      </c>
      <c r="K196" t="s">
        <v>12</v>
      </c>
      <c r="L196" t="str">
        <f t="shared" si="17"/>
        <v>tier - 2</v>
      </c>
      <c r="M196" t="s">
        <v>11</v>
      </c>
      <c r="N196" t="str">
        <f t="shared" si="18"/>
        <v>R1013</v>
      </c>
      <c r="O196" t="s">
        <v>13</v>
      </c>
    </row>
    <row r="197" spans="1:15" x14ac:dyDescent="0.35">
      <c r="A197" t="s">
        <v>222</v>
      </c>
      <c r="C197">
        <f t="shared" si="15"/>
        <v>2001</v>
      </c>
      <c r="D197">
        <v>2001</v>
      </c>
      <c r="E197" t="str">
        <f t="shared" si="19"/>
        <v>Aug</v>
      </c>
      <c r="F197" t="s">
        <v>35</v>
      </c>
      <c r="G197">
        <v>4</v>
      </c>
      <c r="H197">
        <v>0</v>
      </c>
      <c r="I197" s="21">
        <v>2026.97</v>
      </c>
      <c r="J197" t="str">
        <f t="shared" si="16"/>
        <v>tier - 3</v>
      </c>
      <c r="K197" t="s">
        <v>12</v>
      </c>
      <c r="L197" t="str">
        <f t="shared" si="17"/>
        <v>tier - 2</v>
      </c>
      <c r="M197" t="s">
        <v>11</v>
      </c>
      <c r="N197" t="str">
        <f t="shared" si="18"/>
        <v>R1013</v>
      </c>
      <c r="O197" t="s">
        <v>13</v>
      </c>
    </row>
    <row r="198" spans="1:15" x14ac:dyDescent="0.35">
      <c r="A198" t="s">
        <v>223</v>
      </c>
      <c r="C198">
        <f t="shared" si="15"/>
        <v>2000</v>
      </c>
      <c r="D198">
        <v>2000</v>
      </c>
      <c r="E198" t="str">
        <f t="shared" si="19"/>
        <v>Sep</v>
      </c>
      <c r="F198" t="s">
        <v>20</v>
      </c>
      <c r="G198">
        <v>2</v>
      </c>
      <c r="H198">
        <v>0</v>
      </c>
      <c r="I198" s="21">
        <v>2045.69</v>
      </c>
      <c r="J198" t="str">
        <f t="shared" si="16"/>
        <v>tier - 3</v>
      </c>
      <c r="K198" t="s">
        <v>12</v>
      </c>
      <c r="L198" t="str">
        <f t="shared" si="17"/>
        <v>tier - 3</v>
      </c>
      <c r="M198" t="s">
        <v>12</v>
      </c>
      <c r="N198" t="str">
        <f t="shared" si="18"/>
        <v>R1012</v>
      </c>
      <c r="O198" t="s">
        <v>23</v>
      </c>
    </row>
    <row r="199" spans="1:15" x14ac:dyDescent="0.35">
      <c r="A199" t="s">
        <v>224</v>
      </c>
      <c r="C199">
        <f t="shared" si="15"/>
        <v>2000</v>
      </c>
      <c r="D199">
        <v>2000</v>
      </c>
      <c r="E199" t="str">
        <f t="shared" si="19"/>
        <v>Jul</v>
      </c>
      <c r="F199" t="s">
        <v>10</v>
      </c>
      <c r="G199">
        <v>26</v>
      </c>
      <c r="H199">
        <v>0</v>
      </c>
      <c r="I199" s="21">
        <v>2055.3200000000002</v>
      </c>
      <c r="J199" t="str">
        <f t="shared" si="16"/>
        <v>tier - 3</v>
      </c>
      <c r="K199" t="s">
        <v>12</v>
      </c>
      <c r="L199" t="str">
        <f t="shared" si="17"/>
        <v>tier - 3</v>
      </c>
      <c r="M199" t="s">
        <v>12</v>
      </c>
      <c r="N199" t="str">
        <f t="shared" si="18"/>
        <v>R1012</v>
      </c>
      <c r="O199" t="s">
        <v>23</v>
      </c>
    </row>
    <row r="200" spans="1:15" x14ac:dyDescent="0.35">
      <c r="A200" t="s">
        <v>225</v>
      </c>
      <c r="C200">
        <f t="shared" si="15"/>
        <v>2004</v>
      </c>
      <c r="D200">
        <v>2004</v>
      </c>
      <c r="E200" t="str">
        <f t="shared" si="19"/>
        <v>Jun</v>
      </c>
      <c r="F200" t="s">
        <v>18</v>
      </c>
      <c r="G200">
        <v>12</v>
      </c>
      <c r="H200">
        <v>0</v>
      </c>
      <c r="I200" s="21">
        <v>2094.1</v>
      </c>
      <c r="J200" t="str">
        <f t="shared" si="16"/>
        <v>tier - 3</v>
      </c>
      <c r="K200" t="s">
        <v>12</v>
      </c>
      <c r="L200" t="str">
        <f t="shared" si="17"/>
        <v>tier - 2</v>
      </c>
      <c r="M200" t="s">
        <v>11</v>
      </c>
      <c r="N200" t="str">
        <f t="shared" si="18"/>
        <v>R1025</v>
      </c>
      <c r="O200" t="s">
        <v>200</v>
      </c>
    </row>
    <row r="201" spans="1:15" x14ac:dyDescent="0.35">
      <c r="A201" t="s">
        <v>226</v>
      </c>
      <c r="C201">
        <f t="shared" si="15"/>
        <v>2001</v>
      </c>
      <c r="D201">
        <v>2001</v>
      </c>
      <c r="E201" t="str">
        <f t="shared" si="19"/>
        <v>Aug</v>
      </c>
      <c r="F201" t="s">
        <v>35</v>
      </c>
      <c r="G201">
        <v>14</v>
      </c>
      <c r="H201">
        <v>0</v>
      </c>
      <c r="I201" s="21">
        <v>2102.2600000000002</v>
      </c>
      <c r="J201" t="str">
        <f t="shared" si="16"/>
        <v>tier - 3</v>
      </c>
      <c r="K201" t="s">
        <v>12</v>
      </c>
      <c r="L201" t="str">
        <f t="shared" si="17"/>
        <v>tier - 2</v>
      </c>
      <c r="M201" t="s">
        <v>11</v>
      </c>
      <c r="N201" t="str">
        <f t="shared" si="18"/>
        <v>R1019</v>
      </c>
      <c r="O201" t="s">
        <v>166</v>
      </c>
    </row>
    <row r="202" spans="1:15" x14ac:dyDescent="0.35">
      <c r="A202" t="s">
        <v>227</v>
      </c>
      <c r="C202">
        <f t="shared" si="15"/>
        <v>2001</v>
      </c>
      <c r="D202">
        <v>2001</v>
      </c>
      <c r="E202" t="str">
        <f t="shared" si="19"/>
        <v>Jun</v>
      </c>
      <c r="F202" t="s">
        <v>18</v>
      </c>
      <c r="G202">
        <v>22</v>
      </c>
      <c r="H202">
        <v>1</v>
      </c>
      <c r="I202" s="21">
        <v>2103.08</v>
      </c>
      <c r="J202" t="str">
        <f t="shared" si="16"/>
        <v>tier - 3</v>
      </c>
      <c r="K202" t="s">
        <v>12</v>
      </c>
      <c r="L202" t="str">
        <f t="shared" si="17"/>
        <v>tier - 2</v>
      </c>
      <c r="M202" t="s">
        <v>11</v>
      </c>
      <c r="N202" t="str">
        <f t="shared" si="18"/>
        <v>R1011</v>
      </c>
      <c r="O202" t="s">
        <v>42</v>
      </c>
    </row>
    <row r="203" spans="1:15" x14ac:dyDescent="0.35">
      <c r="A203" t="s">
        <v>228</v>
      </c>
      <c r="C203">
        <f t="shared" si="15"/>
        <v>2001</v>
      </c>
      <c r="D203">
        <v>2001</v>
      </c>
      <c r="E203" t="str">
        <f t="shared" si="19"/>
        <v>Nov</v>
      </c>
      <c r="F203" t="s">
        <v>15</v>
      </c>
      <c r="G203">
        <v>28</v>
      </c>
      <c r="H203">
        <v>0</v>
      </c>
      <c r="I203" s="21">
        <v>2104.11</v>
      </c>
      <c r="J203" t="str">
        <f t="shared" si="16"/>
        <v>tier - 2</v>
      </c>
      <c r="K203" t="s">
        <v>11</v>
      </c>
      <c r="L203" t="str">
        <f t="shared" si="17"/>
        <v>tier - 1</v>
      </c>
      <c r="M203" t="s">
        <v>16</v>
      </c>
      <c r="N203" t="str">
        <f t="shared" si="18"/>
        <v>R1016</v>
      </c>
      <c r="O203" t="s">
        <v>168</v>
      </c>
    </row>
    <row r="204" spans="1:15" x14ac:dyDescent="0.35">
      <c r="A204" t="s">
        <v>229</v>
      </c>
      <c r="C204">
        <f t="shared" si="15"/>
        <v>1989</v>
      </c>
      <c r="D204">
        <v>1989</v>
      </c>
      <c r="E204" t="str">
        <f t="shared" si="19"/>
        <v>Jul</v>
      </c>
      <c r="F204" t="s">
        <v>10</v>
      </c>
      <c r="G204">
        <v>21</v>
      </c>
      <c r="H204">
        <v>3</v>
      </c>
      <c r="I204" s="21">
        <v>2106.2600000000002</v>
      </c>
      <c r="J204" t="str">
        <f t="shared" si="16"/>
        <v>tier - 2</v>
      </c>
      <c r="K204" t="s">
        <v>11</v>
      </c>
      <c r="L204" t="str">
        <f t="shared" si="17"/>
        <v>tier - 2</v>
      </c>
      <c r="M204" t="s">
        <v>11</v>
      </c>
      <c r="N204" t="str">
        <f t="shared" si="18"/>
        <v>R1013</v>
      </c>
      <c r="O204" t="s">
        <v>13</v>
      </c>
    </row>
    <row r="205" spans="1:15" x14ac:dyDescent="0.35">
      <c r="A205" t="s">
        <v>230</v>
      </c>
      <c r="C205">
        <f t="shared" si="15"/>
        <v>2003</v>
      </c>
      <c r="D205">
        <v>2003</v>
      </c>
      <c r="E205" t="str">
        <f t="shared" si="19"/>
        <v>Sep</v>
      </c>
      <c r="F205" t="s">
        <v>20</v>
      </c>
      <c r="G205">
        <v>30</v>
      </c>
      <c r="H205">
        <v>0</v>
      </c>
      <c r="I205" s="21">
        <v>2117.34</v>
      </c>
      <c r="J205" t="str">
        <f t="shared" si="16"/>
        <v>tier - 2</v>
      </c>
      <c r="K205" t="s">
        <v>11</v>
      </c>
      <c r="L205" t="str">
        <f t="shared" si="17"/>
        <v>tier - 3</v>
      </c>
      <c r="M205" t="s">
        <v>12</v>
      </c>
      <c r="N205" t="str">
        <f t="shared" si="18"/>
        <v>R1012</v>
      </c>
      <c r="O205" t="s">
        <v>23</v>
      </c>
    </row>
    <row r="206" spans="1:15" x14ac:dyDescent="0.35">
      <c r="A206" t="s">
        <v>231</v>
      </c>
      <c r="C206">
        <f t="shared" si="15"/>
        <v>2004</v>
      </c>
      <c r="D206">
        <v>2004</v>
      </c>
      <c r="E206" t="str">
        <f t="shared" si="19"/>
        <v>Nov</v>
      </c>
      <c r="F206" t="s">
        <v>15</v>
      </c>
      <c r="G206">
        <v>4</v>
      </c>
      <c r="H206">
        <v>0</v>
      </c>
      <c r="I206" s="21">
        <v>2118.61</v>
      </c>
      <c r="J206" t="str">
        <f t="shared" si="16"/>
        <v>tier - 2</v>
      </c>
      <c r="K206" t="s">
        <v>11</v>
      </c>
      <c r="L206" t="str">
        <f t="shared" si="17"/>
        <v>tier - 1</v>
      </c>
      <c r="M206" t="s">
        <v>16</v>
      </c>
      <c r="N206" t="str">
        <f t="shared" si="18"/>
        <v>R1012</v>
      </c>
      <c r="O206" t="s">
        <v>23</v>
      </c>
    </row>
    <row r="207" spans="1:15" x14ac:dyDescent="0.35">
      <c r="A207" t="s">
        <v>232</v>
      </c>
      <c r="C207">
        <f t="shared" si="15"/>
        <v>2003</v>
      </c>
      <c r="D207">
        <v>2003</v>
      </c>
      <c r="E207" t="str">
        <f t="shared" si="19"/>
        <v>Aug</v>
      </c>
      <c r="F207" t="s">
        <v>35</v>
      </c>
      <c r="G207">
        <v>30</v>
      </c>
      <c r="H207">
        <v>0</v>
      </c>
      <c r="I207" s="21">
        <v>2128.4299999999998</v>
      </c>
      <c r="J207" t="str">
        <f t="shared" si="16"/>
        <v>tier - 2</v>
      </c>
      <c r="K207" t="s">
        <v>11</v>
      </c>
      <c r="L207" t="str">
        <f t="shared" si="17"/>
        <v>tier - 1</v>
      </c>
      <c r="M207" t="s">
        <v>16</v>
      </c>
      <c r="N207" t="str">
        <f t="shared" si="18"/>
        <v>R1012</v>
      </c>
      <c r="O207" t="s">
        <v>23</v>
      </c>
    </row>
    <row r="208" spans="1:15" x14ac:dyDescent="0.35">
      <c r="A208" t="s">
        <v>233</v>
      </c>
      <c r="C208">
        <f t="shared" si="15"/>
        <v>2003</v>
      </c>
      <c r="D208">
        <v>2003</v>
      </c>
      <c r="E208" t="str">
        <f t="shared" si="19"/>
        <v>Dec</v>
      </c>
      <c r="F208" t="s">
        <v>30</v>
      </c>
      <c r="G208">
        <v>22</v>
      </c>
      <c r="H208">
        <v>0</v>
      </c>
      <c r="I208" s="21">
        <v>2130.6799999999998</v>
      </c>
      <c r="J208" t="str">
        <f t="shared" si="16"/>
        <v>tier - 2</v>
      </c>
      <c r="K208" t="s">
        <v>11</v>
      </c>
      <c r="L208" t="str">
        <f t="shared" si="17"/>
        <v>tier - 3</v>
      </c>
      <c r="M208" t="s">
        <v>12</v>
      </c>
      <c r="N208" t="str">
        <f t="shared" si="18"/>
        <v>R1012</v>
      </c>
      <c r="O208" t="s">
        <v>23</v>
      </c>
    </row>
    <row r="209" spans="1:15" x14ac:dyDescent="0.35">
      <c r="A209" t="s">
        <v>234</v>
      </c>
      <c r="C209">
        <f t="shared" si="15"/>
        <v>2003</v>
      </c>
      <c r="D209">
        <v>2003</v>
      </c>
      <c r="E209" t="str">
        <f t="shared" si="19"/>
        <v>Sep</v>
      </c>
      <c r="F209" t="s">
        <v>20</v>
      </c>
      <c r="G209">
        <v>1</v>
      </c>
      <c r="H209">
        <v>0</v>
      </c>
      <c r="I209" s="21">
        <v>2134.9</v>
      </c>
      <c r="J209" t="str">
        <f t="shared" si="16"/>
        <v>tier - 2</v>
      </c>
      <c r="K209" t="s">
        <v>11</v>
      </c>
      <c r="L209" t="str">
        <f t="shared" si="17"/>
        <v>tier - 3</v>
      </c>
      <c r="M209" t="s">
        <v>12</v>
      </c>
      <c r="N209" t="str">
        <f t="shared" si="18"/>
        <v>R1012</v>
      </c>
      <c r="O209" t="s">
        <v>23</v>
      </c>
    </row>
    <row r="210" spans="1:15" x14ac:dyDescent="0.35">
      <c r="A210" t="s">
        <v>235</v>
      </c>
      <c r="C210">
        <f t="shared" si="15"/>
        <v>2003</v>
      </c>
      <c r="D210">
        <v>2003</v>
      </c>
      <c r="E210" t="str">
        <f t="shared" si="19"/>
        <v>Sep</v>
      </c>
      <c r="F210" t="s">
        <v>20</v>
      </c>
      <c r="G210">
        <v>26</v>
      </c>
      <c r="H210">
        <v>0</v>
      </c>
      <c r="I210" s="21">
        <v>2136.88</v>
      </c>
      <c r="J210" t="str">
        <f t="shared" si="16"/>
        <v>tier - 2</v>
      </c>
      <c r="K210" t="s">
        <v>11</v>
      </c>
      <c r="L210" t="str">
        <f t="shared" si="17"/>
        <v>tier - 2</v>
      </c>
      <c r="M210" t="s">
        <v>11</v>
      </c>
      <c r="N210" t="str">
        <f t="shared" si="18"/>
        <v>R1012</v>
      </c>
      <c r="O210" t="s">
        <v>23</v>
      </c>
    </row>
    <row r="211" spans="1:15" x14ac:dyDescent="0.35">
      <c r="A211" t="s">
        <v>236</v>
      </c>
      <c r="C211">
        <f t="shared" si="15"/>
        <v>1997</v>
      </c>
      <c r="D211">
        <v>1997</v>
      </c>
      <c r="E211" t="str">
        <f t="shared" si="19"/>
        <v>Sep</v>
      </c>
      <c r="F211" t="s">
        <v>20</v>
      </c>
      <c r="G211">
        <v>3</v>
      </c>
      <c r="H211">
        <v>0</v>
      </c>
      <c r="I211" s="21">
        <v>2137.65</v>
      </c>
      <c r="J211" t="str">
        <f t="shared" si="16"/>
        <v>tier - 3</v>
      </c>
      <c r="K211" t="s">
        <v>12</v>
      </c>
      <c r="L211" t="str">
        <f t="shared" si="17"/>
        <v>tier - 1</v>
      </c>
      <c r="M211" t="s">
        <v>16</v>
      </c>
      <c r="N211" t="str">
        <f t="shared" si="18"/>
        <v>R1013</v>
      </c>
      <c r="O211" t="s">
        <v>13</v>
      </c>
    </row>
    <row r="212" spans="1:15" x14ac:dyDescent="0.35">
      <c r="A212" t="s">
        <v>237</v>
      </c>
      <c r="C212">
        <f t="shared" si="15"/>
        <v>2003</v>
      </c>
      <c r="D212">
        <v>2003</v>
      </c>
      <c r="E212" t="str">
        <f t="shared" si="19"/>
        <v>Aug</v>
      </c>
      <c r="F212" t="s">
        <v>35</v>
      </c>
      <c r="G212">
        <v>19</v>
      </c>
      <c r="H212">
        <v>0</v>
      </c>
      <c r="I212" s="21">
        <v>2138.0700000000002</v>
      </c>
      <c r="J212" t="str">
        <f t="shared" si="16"/>
        <v>tier - 2</v>
      </c>
      <c r="K212" t="s">
        <v>11</v>
      </c>
      <c r="L212" t="str">
        <f t="shared" si="17"/>
        <v>tier - 1</v>
      </c>
      <c r="M212" t="s">
        <v>16</v>
      </c>
      <c r="N212" t="str">
        <f t="shared" si="18"/>
        <v>R1012</v>
      </c>
      <c r="O212" t="s">
        <v>23</v>
      </c>
    </row>
    <row r="213" spans="1:15" x14ac:dyDescent="0.35">
      <c r="A213" t="s">
        <v>238</v>
      </c>
      <c r="C213">
        <f t="shared" si="15"/>
        <v>2004</v>
      </c>
      <c r="D213">
        <v>2004</v>
      </c>
      <c r="E213" t="str">
        <f t="shared" si="19"/>
        <v>Oct</v>
      </c>
      <c r="F213" t="s">
        <v>37</v>
      </c>
      <c r="G213">
        <v>4</v>
      </c>
      <c r="H213">
        <v>0</v>
      </c>
      <c r="I213" s="21">
        <v>2144.85</v>
      </c>
      <c r="J213" t="str">
        <f t="shared" si="16"/>
        <v>tier - 2</v>
      </c>
      <c r="K213" t="s">
        <v>11</v>
      </c>
      <c r="L213" t="str">
        <f t="shared" si="17"/>
        <v>tier - 1</v>
      </c>
      <c r="M213" t="s">
        <v>16</v>
      </c>
      <c r="N213" t="str">
        <f t="shared" si="18"/>
        <v>R1011</v>
      </c>
      <c r="O213" t="s">
        <v>42</v>
      </c>
    </row>
    <row r="214" spans="1:15" x14ac:dyDescent="0.35">
      <c r="A214" t="s">
        <v>239</v>
      </c>
      <c r="C214">
        <f t="shared" si="15"/>
        <v>2000</v>
      </c>
      <c r="D214">
        <v>2000</v>
      </c>
      <c r="E214" t="str">
        <f t="shared" si="19"/>
        <v>Dec</v>
      </c>
      <c r="F214" t="s">
        <v>30</v>
      </c>
      <c r="G214">
        <v>27</v>
      </c>
      <c r="H214">
        <v>0</v>
      </c>
      <c r="I214" s="21">
        <v>2150.4699999999998</v>
      </c>
      <c r="J214" t="str">
        <f t="shared" si="16"/>
        <v>tier - 2</v>
      </c>
      <c r="K214" t="s">
        <v>11</v>
      </c>
      <c r="L214" t="str">
        <f t="shared" si="17"/>
        <v>tier - 3</v>
      </c>
      <c r="M214" t="s">
        <v>12</v>
      </c>
      <c r="N214" t="str">
        <f t="shared" si="18"/>
        <v>R1011</v>
      </c>
      <c r="O214" t="s">
        <v>42</v>
      </c>
    </row>
    <row r="215" spans="1:15" x14ac:dyDescent="0.35">
      <c r="A215" t="s">
        <v>240</v>
      </c>
      <c r="C215">
        <f t="shared" si="15"/>
        <v>2000</v>
      </c>
      <c r="D215">
        <v>2000</v>
      </c>
      <c r="E215" t="str">
        <f t="shared" si="19"/>
        <v>Oct</v>
      </c>
      <c r="F215" t="s">
        <v>37</v>
      </c>
      <c r="G215">
        <v>22</v>
      </c>
      <c r="H215">
        <v>0</v>
      </c>
      <c r="I215" s="21">
        <v>2154.36</v>
      </c>
      <c r="J215" t="str">
        <f t="shared" si="16"/>
        <v>tier - 2</v>
      </c>
      <c r="K215" t="s">
        <v>11</v>
      </c>
      <c r="L215" t="str">
        <f t="shared" si="17"/>
        <v>tier - 2</v>
      </c>
      <c r="M215" t="s">
        <v>11</v>
      </c>
      <c r="N215" t="str">
        <f t="shared" si="18"/>
        <v>R1011</v>
      </c>
      <c r="O215" t="s">
        <v>42</v>
      </c>
    </row>
    <row r="216" spans="1:15" x14ac:dyDescent="0.35">
      <c r="A216" t="s">
        <v>241</v>
      </c>
      <c r="C216">
        <f t="shared" si="15"/>
        <v>2000</v>
      </c>
      <c r="D216">
        <v>2000</v>
      </c>
      <c r="E216" t="str">
        <f t="shared" si="19"/>
        <v>Nov</v>
      </c>
      <c r="F216" t="s">
        <v>15</v>
      </c>
      <c r="G216">
        <v>29</v>
      </c>
      <c r="H216">
        <v>0</v>
      </c>
      <c r="I216" s="21">
        <v>2155.6799999999998</v>
      </c>
      <c r="J216" t="str">
        <f t="shared" si="16"/>
        <v>tier - 2</v>
      </c>
      <c r="K216" t="s">
        <v>11</v>
      </c>
      <c r="L216" t="str">
        <f t="shared" si="17"/>
        <v>tier - 3</v>
      </c>
      <c r="M216" t="s">
        <v>12</v>
      </c>
      <c r="N216" t="str">
        <f t="shared" si="18"/>
        <v>R1013</v>
      </c>
      <c r="O216" t="s">
        <v>13</v>
      </c>
    </row>
    <row r="217" spans="1:15" x14ac:dyDescent="0.35">
      <c r="A217" t="s">
        <v>242</v>
      </c>
      <c r="C217">
        <f t="shared" si="15"/>
        <v>2000</v>
      </c>
      <c r="D217">
        <v>2000</v>
      </c>
      <c r="E217" t="str">
        <f t="shared" si="19"/>
        <v>Dec</v>
      </c>
      <c r="F217" t="s">
        <v>30</v>
      </c>
      <c r="G217">
        <v>10</v>
      </c>
      <c r="H217">
        <v>0</v>
      </c>
      <c r="I217" s="21">
        <v>2156.75</v>
      </c>
      <c r="J217" t="str">
        <f t="shared" si="16"/>
        <v>tier - 2</v>
      </c>
      <c r="K217" t="s">
        <v>11</v>
      </c>
      <c r="L217" t="str">
        <f t="shared" si="17"/>
        <v>tier - 2</v>
      </c>
      <c r="M217" t="s">
        <v>11</v>
      </c>
      <c r="N217" t="str">
        <f t="shared" si="18"/>
        <v>R1013</v>
      </c>
      <c r="O217" t="s">
        <v>13</v>
      </c>
    </row>
    <row r="218" spans="1:15" x14ac:dyDescent="0.35">
      <c r="A218" t="s">
        <v>243</v>
      </c>
      <c r="C218">
        <f t="shared" si="15"/>
        <v>2000</v>
      </c>
      <c r="D218">
        <v>2000</v>
      </c>
      <c r="E218" t="str">
        <f t="shared" si="19"/>
        <v>Aug</v>
      </c>
      <c r="F218" t="s">
        <v>35</v>
      </c>
      <c r="G218">
        <v>23</v>
      </c>
      <c r="H218">
        <v>0</v>
      </c>
      <c r="I218" s="21">
        <v>2166.73</v>
      </c>
      <c r="J218" t="str">
        <f t="shared" si="16"/>
        <v>tier - 2</v>
      </c>
      <c r="K218" t="s">
        <v>11</v>
      </c>
      <c r="L218" t="str">
        <f t="shared" si="17"/>
        <v>tier - 2</v>
      </c>
      <c r="M218" t="s">
        <v>11</v>
      </c>
      <c r="N218" t="str">
        <f t="shared" si="18"/>
        <v>R1011</v>
      </c>
      <c r="O218" t="s">
        <v>42</v>
      </c>
    </row>
    <row r="219" spans="1:15" x14ac:dyDescent="0.35">
      <c r="A219" t="s">
        <v>244</v>
      </c>
      <c r="C219">
        <f t="shared" si="15"/>
        <v>1994</v>
      </c>
      <c r="D219">
        <v>1994</v>
      </c>
      <c r="E219" t="str">
        <f t="shared" si="19"/>
        <v>Sep</v>
      </c>
      <c r="F219" t="s">
        <v>20</v>
      </c>
      <c r="G219">
        <v>27</v>
      </c>
      <c r="H219">
        <v>0</v>
      </c>
      <c r="I219" s="21">
        <v>2170.08</v>
      </c>
      <c r="J219" t="str">
        <f t="shared" si="16"/>
        <v>tier - 2</v>
      </c>
      <c r="K219" t="s">
        <v>11</v>
      </c>
      <c r="L219" t="str">
        <f t="shared" si="17"/>
        <v>tier - 2</v>
      </c>
      <c r="M219" t="s">
        <v>11</v>
      </c>
      <c r="N219" t="str">
        <f t="shared" si="18"/>
        <v>R1013</v>
      </c>
      <c r="O219" t="s">
        <v>13</v>
      </c>
    </row>
    <row r="220" spans="1:15" x14ac:dyDescent="0.35">
      <c r="A220" t="s">
        <v>245</v>
      </c>
      <c r="C220">
        <f t="shared" si="15"/>
        <v>1991</v>
      </c>
      <c r="D220">
        <v>1991</v>
      </c>
      <c r="E220" t="str">
        <f t="shared" si="19"/>
        <v>Dec</v>
      </c>
      <c r="F220" t="s">
        <v>30</v>
      </c>
      <c r="G220">
        <v>16</v>
      </c>
      <c r="H220">
        <v>3</v>
      </c>
      <c r="I220" s="21">
        <v>2193.1999999999998</v>
      </c>
      <c r="J220" t="str">
        <f t="shared" si="16"/>
        <v>tier - 2</v>
      </c>
      <c r="K220" t="s">
        <v>11</v>
      </c>
      <c r="L220" t="str">
        <f t="shared" si="17"/>
        <v>tier - 2</v>
      </c>
      <c r="M220" t="s">
        <v>11</v>
      </c>
      <c r="N220" t="str">
        <f t="shared" si="18"/>
        <v>R1012</v>
      </c>
      <c r="O220" t="s">
        <v>23</v>
      </c>
    </row>
    <row r="221" spans="1:15" x14ac:dyDescent="0.35">
      <c r="A221" t="s">
        <v>246</v>
      </c>
      <c r="C221">
        <f t="shared" si="15"/>
        <v>2004</v>
      </c>
      <c r="D221">
        <v>2004</v>
      </c>
      <c r="E221" t="str">
        <f t="shared" si="19"/>
        <v>Dec</v>
      </c>
      <c r="F221" t="s">
        <v>30</v>
      </c>
      <c r="G221">
        <v>7</v>
      </c>
      <c r="H221">
        <v>0</v>
      </c>
      <c r="I221" s="21">
        <v>2196.4699999999998</v>
      </c>
      <c r="J221" t="str">
        <f t="shared" si="16"/>
        <v>tier - 2</v>
      </c>
      <c r="K221" t="s">
        <v>11</v>
      </c>
      <c r="L221" t="str">
        <f t="shared" si="17"/>
        <v>tier - 3</v>
      </c>
      <c r="M221" t="s">
        <v>12</v>
      </c>
      <c r="N221" t="str">
        <f t="shared" si="18"/>
        <v>R1024</v>
      </c>
      <c r="O221" t="s">
        <v>247</v>
      </c>
    </row>
    <row r="222" spans="1:15" x14ac:dyDescent="0.35">
      <c r="A222" t="s">
        <v>248</v>
      </c>
      <c r="C222">
        <f t="shared" si="15"/>
        <v>2004</v>
      </c>
      <c r="D222">
        <v>2004</v>
      </c>
      <c r="E222" t="str">
        <f t="shared" si="19"/>
        <v>Sep</v>
      </c>
      <c r="F222" t="s">
        <v>20</v>
      </c>
      <c r="G222">
        <v>3</v>
      </c>
      <c r="H222">
        <v>0</v>
      </c>
      <c r="I222" s="21">
        <v>2198.19</v>
      </c>
      <c r="J222" t="str">
        <f t="shared" si="16"/>
        <v>tier - 2</v>
      </c>
      <c r="K222" t="s">
        <v>11</v>
      </c>
      <c r="L222" t="str">
        <f t="shared" si="17"/>
        <v>tier - 1</v>
      </c>
      <c r="M222" t="s">
        <v>16</v>
      </c>
      <c r="N222" t="str">
        <f t="shared" si="18"/>
        <v>R1023</v>
      </c>
      <c r="O222" t="s">
        <v>249</v>
      </c>
    </row>
    <row r="223" spans="1:15" x14ac:dyDescent="0.35">
      <c r="A223" t="s">
        <v>250</v>
      </c>
      <c r="C223">
        <f t="shared" si="15"/>
        <v>2004</v>
      </c>
      <c r="D223">
        <v>2004</v>
      </c>
      <c r="E223" t="str">
        <f t="shared" si="19"/>
        <v>Sep</v>
      </c>
      <c r="F223" t="s">
        <v>20</v>
      </c>
      <c r="G223">
        <v>12</v>
      </c>
      <c r="H223">
        <v>0</v>
      </c>
      <c r="I223" s="21">
        <v>2200.83</v>
      </c>
      <c r="J223" t="str">
        <f t="shared" si="16"/>
        <v>tier - 2</v>
      </c>
      <c r="K223" t="s">
        <v>11</v>
      </c>
      <c r="L223" t="str">
        <f t="shared" si="17"/>
        <v>tier - 2</v>
      </c>
      <c r="M223" t="s">
        <v>11</v>
      </c>
      <c r="N223" t="str">
        <f t="shared" si="18"/>
        <v>R1024</v>
      </c>
      <c r="O223" t="s">
        <v>247</v>
      </c>
    </row>
    <row r="224" spans="1:15" x14ac:dyDescent="0.35">
      <c r="A224" t="s">
        <v>251</v>
      </c>
      <c r="C224">
        <f t="shared" si="15"/>
        <v>2004</v>
      </c>
      <c r="D224">
        <v>2004</v>
      </c>
      <c r="E224" t="str">
        <f t="shared" si="19"/>
        <v>Jul</v>
      </c>
      <c r="F224" t="s">
        <v>10</v>
      </c>
      <c r="G224">
        <v>27</v>
      </c>
      <c r="H224">
        <v>1</v>
      </c>
      <c r="I224" s="21">
        <v>2201.1</v>
      </c>
      <c r="J224" t="str">
        <f t="shared" si="16"/>
        <v>tier - 2</v>
      </c>
      <c r="K224" t="s">
        <v>11</v>
      </c>
      <c r="L224" t="str">
        <f t="shared" si="17"/>
        <v>tier - 3</v>
      </c>
      <c r="M224" t="s">
        <v>12</v>
      </c>
      <c r="N224" t="str">
        <f t="shared" si="18"/>
        <v>R1013</v>
      </c>
      <c r="O224" t="s">
        <v>13</v>
      </c>
    </row>
    <row r="225" spans="1:15" x14ac:dyDescent="0.35">
      <c r="A225" t="s">
        <v>252</v>
      </c>
      <c r="C225">
        <f t="shared" si="15"/>
        <v>2004</v>
      </c>
      <c r="D225">
        <v>2004</v>
      </c>
      <c r="E225" t="str">
        <f t="shared" si="19"/>
        <v>Aug</v>
      </c>
      <c r="F225" t="s">
        <v>35</v>
      </c>
      <c r="G225">
        <v>6</v>
      </c>
      <c r="H225">
        <v>0</v>
      </c>
      <c r="I225" s="21">
        <v>2203.4699999999998</v>
      </c>
      <c r="J225" t="str">
        <f t="shared" si="16"/>
        <v>tier - 2</v>
      </c>
      <c r="K225" t="s">
        <v>11</v>
      </c>
      <c r="L225" t="str">
        <f t="shared" si="17"/>
        <v>tier - 2</v>
      </c>
      <c r="M225" t="s">
        <v>11</v>
      </c>
      <c r="N225" t="str">
        <f t="shared" si="18"/>
        <v>R1024</v>
      </c>
      <c r="O225" t="s">
        <v>247</v>
      </c>
    </row>
    <row r="226" spans="1:15" x14ac:dyDescent="0.35">
      <c r="A226" t="s">
        <v>253</v>
      </c>
      <c r="C226">
        <f t="shared" si="15"/>
        <v>2004</v>
      </c>
      <c r="D226">
        <v>2004</v>
      </c>
      <c r="E226" t="str">
        <f t="shared" si="19"/>
        <v>Oct</v>
      </c>
      <c r="F226" t="s">
        <v>37</v>
      </c>
      <c r="G226">
        <v>28</v>
      </c>
      <c r="H226">
        <v>0</v>
      </c>
      <c r="I226" s="21">
        <v>2203.7399999999998</v>
      </c>
      <c r="J226" t="str">
        <f t="shared" si="16"/>
        <v>tier - 2</v>
      </c>
      <c r="K226" t="s">
        <v>11</v>
      </c>
      <c r="L226" t="str">
        <f t="shared" si="17"/>
        <v>tier - 2</v>
      </c>
      <c r="M226" t="s">
        <v>11</v>
      </c>
      <c r="N226" t="str">
        <f t="shared" si="18"/>
        <v>R1024</v>
      </c>
      <c r="O226" t="s">
        <v>247</v>
      </c>
    </row>
    <row r="227" spans="1:15" x14ac:dyDescent="0.35">
      <c r="A227" t="s">
        <v>254</v>
      </c>
      <c r="C227">
        <f t="shared" si="15"/>
        <v>2004</v>
      </c>
      <c r="D227">
        <v>2004</v>
      </c>
      <c r="E227" t="str">
        <f t="shared" si="19"/>
        <v>Nov</v>
      </c>
      <c r="F227" t="s">
        <v>15</v>
      </c>
      <c r="G227">
        <v>13</v>
      </c>
      <c r="H227">
        <v>0</v>
      </c>
      <c r="I227" s="21">
        <v>2205.98</v>
      </c>
      <c r="J227" t="str">
        <f t="shared" si="16"/>
        <v>tier - 2</v>
      </c>
      <c r="K227" t="s">
        <v>11</v>
      </c>
      <c r="L227" t="str">
        <f t="shared" si="17"/>
        <v>tier - 3</v>
      </c>
      <c r="M227" t="s">
        <v>12</v>
      </c>
      <c r="N227" t="str">
        <f t="shared" si="18"/>
        <v>R1024</v>
      </c>
      <c r="O227" t="s">
        <v>247</v>
      </c>
    </row>
    <row r="228" spans="1:15" x14ac:dyDescent="0.35">
      <c r="A228" t="s">
        <v>255</v>
      </c>
      <c r="C228">
        <f t="shared" si="15"/>
        <v>2004</v>
      </c>
      <c r="D228">
        <v>2004</v>
      </c>
      <c r="E228" t="str">
        <f t="shared" si="19"/>
        <v>Aug</v>
      </c>
      <c r="F228" t="s">
        <v>35</v>
      </c>
      <c r="G228">
        <v>6</v>
      </c>
      <c r="H228">
        <v>0</v>
      </c>
      <c r="I228" s="21">
        <v>2207.6999999999998</v>
      </c>
      <c r="J228" t="str">
        <f t="shared" si="16"/>
        <v>tier - 2</v>
      </c>
      <c r="K228" t="s">
        <v>11</v>
      </c>
      <c r="L228" t="str">
        <f t="shared" si="17"/>
        <v>tier - 2</v>
      </c>
      <c r="M228" t="s">
        <v>11</v>
      </c>
      <c r="N228" t="str">
        <f t="shared" si="18"/>
        <v>R1024</v>
      </c>
      <c r="O228" t="s">
        <v>247</v>
      </c>
    </row>
    <row r="229" spans="1:15" x14ac:dyDescent="0.35">
      <c r="A229" t="s">
        <v>256</v>
      </c>
      <c r="C229">
        <f t="shared" si="15"/>
        <v>2004</v>
      </c>
      <c r="D229">
        <v>2004</v>
      </c>
      <c r="E229" t="str">
        <f t="shared" si="19"/>
        <v>Jul</v>
      </c>
      <c r="F229" t="s">
        <v>10</v>
      </c>
      <c r="G229">
        <v>27</v>
      </c>
      <c r="H229">
        <v>0</v>
      </c>
      <c r="I229" s="21">
        <v>2211.13</v>
      </c>
      <c r="J229" t="str">
        <f t="shared" si="16"/>
        <v>tier - 2</v>
      </c>
      <c r="K229" t="s">
        <v>11</v>
      </c>
      <c r="L229" t="str">
        <f t="shared" si="17"/>
        <v>tier - 2</v>
      </c>
      <c r="M229" t="s">
        <v>11</v>
      </c>
      <c r="N229" t="str">
        <f t="shared" si="18"/>
        <v>R1024</v>
      </c>
      <c r="O229" t="s">
        <v>247</v>
      </c>
    </row>
    <row r="230" spans="1:15" x14ac:dyDescent="0.35">
      <c r="A230" t="s">
        <v>257</v>
      </c>
      <c r="C230">
        <f t="shared" si="15"/>
        <v>1994</v>
      </c>
      <c r="D230">
        <v>1994</v>
      </c>
      <c r="E230" t="str">
        <f t="shared" si="19"/>
        <v>Nov</v>
      </c>
      <c r="F230" t="s">
        <v>15</v>
      </c>
      <c r="G230">
        <v>17</v>
      </c>
      <c r="H230">
        <v>0</v>
      </c>
      <c r="I230" s="21">
        <v>2213.21</v>
      </c>
      <c r="J230" t="str">
        <f t="shared" si="16"/>
        <v>tier - 2</v>
      </c>
      <c r="K230" t="s">
        <v>11</v>
      </c>
      <c r="L230" t="str">
        <f t="shared" si="17"/>
        <v>tier - 2</v>
      </c>
      <c r="M230" t="s">
        <v>11</v>
      </c>
      <c r="N230" t="str">
        <f t="shared" si="18"/>
        <v>R1013</v>
      </c>
      <c r="O230" t="s">
        <v>13</v>
      </c>
    </row>
    <row r="231" spans="1:15" x14ac:dyDescent="0.35">
      <c r="A231" t="s">
        <v>258</v>
      </c>
      <c r="C231">
        <f t="shared" si="15"/>
        <v>2004</v>
      </c>
      <c r="D231">
        <v>2004</v>
      </c>
      <c r="E231" t="str">
        <f t="shared" si="19"/>
        <v>Jun</v>
      </c>
      <c r="F231" t="s">
        <v>18</v>
      </c>
      <c r="G231">
        <v>13</v>
      </c>
      <c r="H231">
        <v>0</v>
      </c>
      <c r="I231" s="21">
        <v>2217.4699999999998</v>
      </c>
      <c r="J231" t="str">
        <f t="shared" si="16"/>
        <v>tier - 2</v>
      </c>
      <c r="K231" t="s">
        <v>11</v>
      </c>
      <c r="L231" t="str">
        <f t="shared" si="17"/>
        <v>tier - 1</v>
      </c>
      <c r="M231" t="s">
        <v>16</v>
      </c>
      <c r="N231" t="str">
        <f t="shared" si="18"/>
        <v>R1024</v>
      </c>
      <c r="O231" t="s">
        <v>247</v>
      </c>
    </row>
    <row r="232" spans="1:15" x14ac:dyDescent="0.35">
      <c r="A232" t="s">
        <v>259</v>
      </c>
      <c r="C232">
        <f t="shared" si="15"/>
        <v>2004</v>
      </c>
      <c r="D232">
        <v>2004</v>
      </c>
      <c r="E232" t="str">
        <f t="shared" si="19"/>
        <v>Sep</v>
      </c>
      <c r="F232" t="s">
        <v>20</v>
      </c>
      <c r="G232">
        <v>25</v>
      </c>
      <c r="H232">
        <v>0</v>
      </c>
      <c r="I232" s="21">
        <v>2217.6</v>
      </c>
      <c r="J232" t="str">
        <f t="shared" si="16"/>
        <v>tier - 2</v>
      </c>
      <c r="K232" t="s">
        <v>11</v>
      </c>
      <c r="L232" t="str">
        <f t="shared" si="17"/>
        <v>tier - 1</v>
      </c>
      <c r="M232" t="s">
        <v>16</v>
      </c>
      <c r="N232" t="str">
        <f t="shared" si="18"/>
        <v>R1024</v>
      </c>
      <c r="O232" t="s">
        <v>247</v>
      </c>
    </row>
    <row r="233" spans="1:15" x14ac:dyDescent="0.35">
      <c r="A233" t="s">
        <v>260</v>
      </c>
      <c r="C233">
        <f t="shared" si="15"/>
        <v>2004</v>
      </c>
      <c r="D233">
        <v>2004</v>
      </c>
      <c r="E233" t="str">
        <f t="shared" si="19"/>
        <v>Dec</v>
      </c>
      <c r="F233" t="s">
        <v>30</v>
      </c>
      <c r="G233">
        <v>12</v>
      </c>
      <c r="H233">
        <v>1</v>
      </c>
      <c r="I233" s="21">
        <v>2219.4499999999998</v>
      </c>
      <c r="J233" t="str">
        <f t="shared" si="16"/>
        <v>tier - 2</v>
      </c>
      <c r="K233" t="s">
        <v>11</v>
      </c>
      <c r="L233" t="str">
        <f t="shared" si="17"/>
        <v>tier - 1</v>
      </c>
      <c r="M233" t="s">
        <v>16</v>
      </c>
      <c r="N233" t="str">
        <f t="shared" si="18"/>
        <v>R1013</v>
      </c>
      <c r="O233" t="s">
        <v>13</v>
      </c>
    </row>
    <row r="234" spans="1:15" x14ac:dyDescent="0.35">
      <c r="A234" t="s">
        <v>261</v>
      </c>
      <c r="C234">
        <f t="shared" si="15"/>
        <v>2003</v>
      </c>
      <c r="D234">
        <v>2003</v>
      </c>
      <c r="E234" t="str">
        <f t="shared" si="19"/>
        <v>Dec</v>
      </c>
      <c r="F234" t="s">
        <v>30</v>
      </c>
      <c r="G234">
        <v>10</v>
      </c>
      <c r="H234">
        <v>1</v>
      </c>
      <c r="I234" s="21">
        <v>2221.56</v>
      </c>
      <c r="J234" t="str">
        <f t="shared" si="16"/>
        <v>tier - 2</v>
      </c>
      <c r="K234" t="s">
        <v>11</v>
      </c>
      <c r="L234" t="str">
        <f t="shared" si="17"/>
        <v>tier - 3</v>
      </c>
      <c r="M234" t="s">
        <v>12</v>
      </c>
      <c r="N234" t="str">
        <f t="shared" si="18"/>
        <v>R1012</v>
      </c>
      <c r="O234" t="s">
        <v>23</v>
      </c>
    </row>
    <row r="235" spans="1:15" x14ac:dyDescent="0.35">
      <c r="A235" t="s">
        <v>262</v>
      </c>
      <c r="C235">
        <f t="shared" si="15"/>
        <v>2000</v>
      </c>
      <c r="D235">
        <v>2000</v>
      </c>
      <c r="E235" t="str">
        <f t="shared" si="19"/>
        <v>Jun</v>
      </c>
      <c r="F235" t="s">
        <v>18</v>
      </c>
      <c r="G235">
        <v>30</v>
      </c>
      <c r="H235">
        <v>0</v>
      </c>
      <c r="I235" s="21">
        <v>2250.84</v>
      </c>
      <c r="J235" t="str">
        <f t="shared" si="16"/>
        <v>tier - 2</v>
      </c>
      <c r="K235" t="s">
        <v>11</v>
      </c>
      <c r="L235" t="str">
        <f t="shared" si="17"/>
        <v>tier - 2</v>
      </c>
      <c r="M235" t="s">
        <v>11</v>
      </c>
      <c r="N235" t="str">
        <f t="shared" si="18"/>
        <v>R1018</v>
      </c>
      <c r="O235" t="s">
        <v>170</v>
      </c>
    </row>
    <row r="236" spans="1:15" x14ac:dyDescent="0.35">
      <c r="A236" t="s">
        <v>263</v>
      </c>
      <c r="C236">
        <f t="shared" si="15"/>
        <v>2000</v>
      </c>
      <c r="D236">
        <v>2000</v>
      </c>
      <c r="E236" t="str">
        <f t="shared" si="19"/>
        <v>Dec</v>
      </c>
      <c r="F236" t="s">
        <v>30</v>
      </c>
      <c r="G236">
        <v>11</v>
      </c>
      <c r="H236">
        <v>0</v>
      </c>
      <c r="I236" s="21">
        <v>2254.8000000000002</v>
      </c>
      <c r="J236" t="str">
        <f t="shared" si="16"/>
        <v>tier - 2</v>
      </c>
      <c r="K236" t="s">
        <v>11</v>
      </c>
      <c r="L236" t="str">
        <f t="shared" si="17"/>
        <v>tier - 3</v>
      </c>
      <c r="M236" t="s">
        <v>12</v>
      </c>
      <c r="N236" t="str">
        <f t="shared" si="18"/>
        <v>R1016</v>
      </c>
      <c r="O236" t="s">
        <v>168</v>
      </c>
    </row>
    <row r="237" spans="1:15" x14ac:dyDescent="0.35">
      <c r="A237" t="s">
        <v>264</v>
      </c>
      <c r="C237">
        <f t="shared" si="15"/>
        <v>2002</v>
      </c>
      <c r="D237">
        <v>2002</v>
      </c>
      <c r="E237" t="str">
        <f t="shared" si="19"/>
        <v>Jul</v>
      </c>
      <c r="F237" t="s">
        <v>10</v>
      </c>
      <c r="G237">
        <v>15</v>
      </c>
      <c r="H237">
        <v>0</v>
      </c>
      <c r="I237" s="21">
        <v>2257.48</v>
      </c>
      <c r="J237" t="str">
        <f t="shared" si="16"/>
        <v>tier - 2</v>
      </c>
      <c r="K237" t="s">
        <v>11</v>
      </c>
      <c r="L237" t="str">
        <f t="shared" si="17"/>
        <v>tier - 1</v>
      </c>
      <c r="M237" t="s">
        <v>16</v>
      </c>
      <c r="N237" t="str">
        <f t="shared" si="18"/>
        <v>R1012</v>
      </c>
      <c r="O237" t="s">
        <v>23</v>
      </c>
    </row>
    <row r="238" spans="1:15" x14ac:dyDescent="0.35">
      <c r="A238" t="s">
        <v>265</v>
      </c>
      <c r="C238">
        <f t="shared" si="15"/>
        <v>2002</v>
      </c>
      <c r="D238">
        <v>2002</v>
      </c>
      <c r="E238" t="str">
        <f t="shared" si="19"/>
        <v>Nov</v>
      </c>
      <c r="F238" t="s">
        <v>15</v>
      </c>
      <c r="G238">
        <v>12</v>
      </c>
      <c r="H238">
        <v>0</v>
      </c>
      <c r="I238" s="21">
        <v>2261.5700000000002</v>
      </c>
      <c r="J238" t="str">
        <f t="shared" si="16"/>
        <v>tier - 2</v>
      </c>
      <c r="K238" t="s">
        <v>11</v>
      </c>
      <c r="L238" t="str">
        <f t="shared" si="17"/>
        <v>tier - 1</v>
      </c>
      <c r="M238" t="s">
        <v>16</v>
      </c>
      <c r="N238" t="str">
        <f t="shared" si="18"/>
        <v>R1012</v>
      </c>
      <c r="O238" t="s">
        <v>23</v>
      </c>
    </row>
    <row r="239" spans="1:15" x14ac:dyDescent="0.35">
      <c r="A239" t="s">
        <v>266</v>
      </c>
      <c r="C239">
        <f t="shared" si="15"/>
        <v>1991</v>
      </c>
      <c r="D239">
        <v>1991</v>
      </c>
      <c r="E239" t="str">
        <f t="shared" si="19"/>
        <v>Jun</v>
      </c>
      <c r="F239" t="s">
        <v>18</v>
      </c>
      <c r="G239">
        <v>16</v>
      </c>
      <c r="H239">
        <v>3</v>
      </c>
      <c r="I239" s="21">
        <v>2277.7199999999998</v>
      </c>
      <c r="J239" t="str">
        <f t="shared" si="16"/>
        <v>tier - 2</v>
      </c>
      <c r="K239" t="s">
        <v>11</v>
      </c>
      <c r="L239" t="str">
        <f t="shared" si="17"/>
        <v>tier - 1</v>
      </c>
      <c r="M239" t="s">
        <v>16</v>
      </c>
      <c r="N239" t="str">
        <f t="shared" si="18"/>
        <v>R1013</v>
      </c>
      <c r="O239" t="s">
        <v>13</v>
      </c>
    </row>
    <row r="240" spans="1:15" x14ac:dyDescent="0.35">
      <c r="A240" t="s">
        <v>267</v>
      </c>
      <c r="C240">
        <f t="shared" si="15"/>
        <v>1989</v>
      </c>
      <c r="D240">
        <v>1989</v>
      </c>
      <c r="E240" t="str">
        <f t="shared" si="19"/>
        <v>Oct</v>
      </c>
      <c r="F240" t="s">
        <v>37</v>
      </c>
      <c r="G240">
        <v>5</v>
      </c>
      <c r="H240">
        <v>3</v>
      </c>
      <c r="I240" s="21">
        <v>2295.2399999999998</v>
      </c>
      <c r="J240" t="str">
        <f t="shared" si="16"/>
        <v>tier - 2</v>
      </c>
      <c r="K240" t="s">
        <v>11</v>
      </c>
      <c r="L240" t="str">
        <f t="shared" si="17"/>
        <v>tier - 1</v>
      </c>
      <c r="M240" t="s">
        <v>16</v>
      </c>
      <c r="N240" t="str">
        <f t="shared" si="18"/>
        <v>R1013</v>
      </c>
      <c r="O240" t="s">
        <v>13</v>
      </c>
    </row>
    <row r="241" spans="1:15" x14ac:dyDescent="0.35">
      <c r="A241" t="s">
        <v>268</v>
      </c>
      <c r="C241">
        <f t="shared" si="15"/>
        <v>1996</v>
      </c>
      <c r="D241">
        <v>1996</v>
      </c>
      <c r="E241" t="str">
        <f t="shared" si="19"/>
        <v>Nov</v>
      </c>
      <c r="F241" t="s">
        <v>15</v>
      </c>
      <c r="G241">
        <v>28</v>
      </c>
      <c r="H241">
        <v>0</v>
      </c>
      <c r="I241" s="21">
        <v>2302.3000000000002</v>
      </c>
      <c r="J241" t="str">
        <f t="shared" si="16"/>
        <v>tier - 1</v>
      </c>
      <c r="K241" t="s">
        <v>16</v>
      </c>
      <c r="L241" t="str">
        <f t="shared" si="17"/>
        <v>tier - 2</v>
      </c>
      <c r="M241" t="s">
        <v>11</v>
      </c>
      <c r="N241" t="str">
        <f t="shared" si="18"/>
        <v>R1011</v>
      </c>
      <c r="O241" t="s">
        <v>42</v>
      </c>
    </row>
    <row r="242" spans="1:15" x14ac:dyDescent="0.35">
      <c r="A242" t="s">
        <v>269</v>
      </c>
      <c r="C242">
        <f t="shared" si="15"/>
        <v>2004</v>
      </c>
      <c r="D242">
        <v>2004</v>
      </c>
      <c r="E242" t="str">
        <f t="shared" si="19"/>
        <v>Sep</v>
      </c>
      <c r="F242" t="s">
        <v>20</v>
      </c>
      <c r="G242">
        <v>6</v>
      </c>
      <c r="H242">
        <v>2</v>
      </c>
      <c r="I242" s="21">
        <v>2304</v>
      </c>
      <c r="J242" t="str">
        <f t="shared" si="16"/>
        <v>tier - 2</v>
      </c>
      <c r="K242" t="s">
        <v>11</v>
      </c>
      <c r="L242" t="str">
        <f t="shared" si="17"/>
        <v>tier - 3</v>
      </c>
      <c r="M242" t="s">
        <v>12</v>
      </c>
      <c r="N242" t="str">
        <f t="shared" si="18"/>
        <v>R1013</v>
      </c>
      <c r="O242" t="s">
        <v>13</v>
      </c>
    </row>
    <row r="243" spans="1:15" x14ac:dyDescent="0.35">
      <c r="A243" t="s">
        <v>270</v>
      </c>
      <c r="C243">
        <f t="shared" si="15"/>
        <v>1996</v>
      </c>
      <c r="D243">
        <v>1996</v>
      </c>
      <c r="E243" t="str">
        <f t="shared" si="19"/>
        <v>Dec</v>
      </c>
      <c r="F243" t="s">
        <v>30</v>
      </c>
      <c r="G243">
        <v>17</v>
      </c>
      <c r="H243">
        <v>0</v>
      </c>
      <c r="I243" s="21">
        <v>2322.62</v>
      </c>
      <c r="J243" t="str">
        <f t="shared" si="16"/>
        <v>tier - 2</v>
      </c>
      <c r="K243" t="s">
        <v>11</v>
      </c>
      <c r="L243" t="str">
        <f t="shared" si="17"/>
        <v>tier - 1</v>
      </c>
      <c r="M243" t="s">
        <v>16</v>
      </c>
      <c r="N243" t="str">
        <f t="shared" si="18"/>
        <v>R1013</v>
      </c>
      <c r="O243" t="s">
        <v>13</v>
      </c>
    </row>
    <row r="244" spans="1:15" x14ac:dyDescent="0.35">
      <c r="A244" t="s">
        <v>271</v>
      </c>
      <c r="C244">
        <f t="shared" si="15"/>
        <v>2003</v>
      </c>
      <c r="D244">
        <v>2003</v>
      </c>
      <c r="E244" t="str">
        <f t="shared" si="19"/>
        <v>Nov</v>
      </c>
      <c r="F244" t="s">
        <v>15</v>
      </c>
      <c r="G244">
        <v>18</v>
      </c>
      <c r="H244">
        <v>1</v>
      </c>
      <c r="I244" s="21">
        <v>2331.52</v>
      </c>
      <c r="J244" t="str">
        <f t="shared" si="16"/>
        <v>tier - 2</v>
      </c>
      <c r="K244" t="s">
        <v>11</v>
      </c>
      <c r="L244" t="str">
        <f t="shared" si="17"/>
        <v>tier - 3</v>
      </c>
      <c r="M244" t="s">
        <v>12</v>
      </c>
      <c r="N244" t="str">
        <f t="shared" si="18"/>
        <v>R1011</v>
      </c>
      <c r="O244" t="s">
        <v>42</v>
      </c>
    </row>
    <row r="245" spans="1:15" x14ac:dyDescent="0.35">
      <c r="A245" t="s">
        <v>272</v>
      </c>
      <c r="C245">
        <f t="shared" si="15"/>
        <v>1998</v>
      </c>
      <c r="D245">
        <v>1998</v>
      </c>
      <c r="E245" t="str">
        <f t="shared" si="19"/>
        <v>Oct</v>
      </c>
      <c r="F245" t="s">
        <v>37</v>
      </c>
      <c r="G245">
        <v>21</v>
      </c>
      <c r="H245">
        <v>0</v>
      </c>
      <c r="I245" s="21">
        <v>2352.9699999999998</v>
      </c>
      <c r="J245" t="str">
        <f t="shared" si="16"/>
        <v>tier - 3</v>
      </c>
      <c r="K245" t="s">
        <v>12</v>
      </c>
      <c r="L245" t="str">
        <f t="shared" si="17"/>
        <v>tier - 3</v>
      </c>
      <c r="M245" t="s">
        <v>12</v>
      </c>
      <c r="N245" t="str">
        <f t="shared" si="18"/>
        <v>R1012</v>
      </c>
      <c r="O245" t="s">
        <v>23</v>
      </c>
    </row>
    <row r="246" spans="1:15" x14ac:dyDescent="0.35">
      <c r="A246" t="s">
        <v>273</v>
      </c>
      <c r="C246">
        <f t="shared" si="15"/>
        <v>2002</v>
      </c>
      <c r="D246">
        <v>2002</v>
      </c>
      <c r="E246" t="str">
        <f t="shared" si="19"/>
        <v>Nov</v>
      </c>
      <c r="F246" t="s">
        <v>15</v>
      </c>
      <c r="G246">
        <v>5</v>
      </c>
      <c r="H246">
        <v>1</v>
      </c>
      <c r="I246" s="21">
        <v>2362.23</v>
      </c>
      <c r="J246" t="str">
        <f t="shared" si="16"/>
        <v>tier - 2</v>
      </c>
      <c r="K246" t="s">
        <v>11</v>
      </c>
      <c r="L246" t="str">
        <f t="shared" si="17"/>
        <v>tier - 1</v>
      </c>
      <c r="M246" t="s">
        <v>16</v>
      </c>
      <c r="N246" t="str">
        <f t="shared" si="18"/>
        <v>R1012</v>
      </c>
      <c r="O246" t="s">
        <v>23</v>
      </c>
    </row>
    <row r="247" spans="1:15" x14ac:dyDescent="0.35">
      <c r="A247" t="s">
        <v>274</v>
      </c>
      <c r="C247">
        <f t="shared" si="15"/>
        <v>1988</v>
      </c>
      <c r="D247">
        <v>1988</v>
      </c>
      <c r="E247" t="str">
        <f t="shared" si="19"/>
        <v>Dec</v>
      </c>
      <c r="F247" t="s">
        <v>30</v>
      </c>
      <c r="G247">
        <v>12</v>
      </c>
      <c r="H247">
        <v>3</v>
      </c>
      <c r="I247" s="21">
        <v>2373.3000000000002</v>
      </c>
      <c r="J247" t="str">
        <f t="shared" si="16"/>
        <v>tier - 2</v>
      </c>
      <c r="K247" t="s">
        <v>11</v>
      </c>
      <c r="L247" t="str">
        <f t="shared" si="17"/>
        <v>tier - 2</v>
      </c>
      <c r="M247" t="s">
        <v>11</v>
      </c>
      <c r="N247" t="str">
        <f t="shared" si="18"/>
        <v>R1013</v>
      </c>
      <c r="O247" t="s">
        <v>13</v>
      </c>
    </row>
    <row r="248" spans="1:15" x14ac:dyDescent="0.35">
      <c r="A248" t="s">
        <v>275</v>
      </c>
      <c r="C248">
        <f t="shared" si="15"/>
        <v>1999</v>
      </c>
      <c r="D248">
        <v>1999</v>
      </c>
      <c r="E248" t="str">
        <f t="shared" si="19"/>
        <v>Dec</v>
      </c>
      <c r="F248" t="s">
        <v>30</v>
      </c>
      <c r="G248">
        <v>17</v>
      </c>
      <c r="H248">
        <v>0</v>
      </c>
      <c r="I248" s="21">
        <v>2395.17</v>
      </c>
      <c r="J248" t="str">
        <f t="shared" si="16"/>
        <v>tier - 2</v>
      </c>
      <c r="K248" t="s">
        <v>11</v>
      </c>
      <c r="L248" t="str">
        <f t="shared" si="17"/>
        <v>tier - 1</v>
      </c>
      <c r="M248" t="s">
        <v>16</v>
      </c>
      <c r="N248" t="str">
        <f t="shared" si="18"/>
        <v>R1014</v>
      </c>
      <c r="O248" t="s">
        <v>276</v>
      </c>
    </row>
    <row r="249" spans="1:15" x14ac:dyDescent="0.35">
      <c r="A249" t="s">
        <v>277</v>
      </c>
      <c r="C249">
        <f t="shared" si="15"/>
        <v>1999</v>
      </c>
      <c r="D249">
        <v>1999</v>
      </c>
      <c r="E249" t="str">
        <f t="shared" si="19"/>
        <v>Aug</v>
      </c>
      <c r="F249" t="s">
        <v>35</v>
      </c>
      <c r="G249">
        <v>10</v>
      </c>
      <c r="H249">
        <v>0</v>
      </c>
      <c r="I249" s="21">
        <v>2396.1</v>
      </c>
      <c r="J249" t="str">
        <f t="shared" si="16"/>
        <v>tier - 2</v>
      </c>
      <c r="K249" t="s">
        <v>11</v>
      </c>
      <c r="L249" t="str">
        <f t="shared" si="17"/>
        <v>tier - 1</v>
      </c>
      <c r="M249" t="s">
        <v>16</v>
      </c>
      <c r="N249" t="str">
        <f t="shared" si="18"/>
        <v>R1019</v>
      </c>
      <c r="O249" t="s">
        <v>166</v>
      </c>
    </row>
    <row r="250" spans="1:15" x14ac:dyDescent="0.35">
      <c r="A250" t="s">
        <v>278</v>
      </c>
      <c r="C250">
        <f t="shared" si="15"/>
        <v>2001</v>
      </c>
      <c r="D250">
        <v>2001</v>
      </c>
      <c r="E250" t="str">
        <f t="shared" si="19"/>
        <v>Jun</v>
      </c>
      <c r="F250" t="s">
        <v>18</v>
      </c>
      <c r="G250">
        <v>3</v>
      </c>
      <c r="H250">
        <v>0</v>
      </c>
      <c r="I250" s="21">
        <v>2404.73</v>
      </c>
      <c r="J250" t="str">
        <f t="shared" si="16"/>
        <v>tier - 2</v>
      </c>
      <c r="K250" t="s">
        <v>11</v>
      </c>
      <c r="L250" t="str">
        <f t="shared" si="17"/>
        <v>tier - 3</v>
      </c>
      <c r="M250" t="s">
        <v>12</v>
      </c>
      <c r="N250" t="str">
        <f t="shared" si="18"/>
        <v>R1012</v>
      </c>
      <c r="O250" t="s">
        <v>23</v>
      </c>
    </row>
    <row r="251" spans="1:15" x14ac:dyDescent="0.35">
      <c r="A251" t="s">
        <v>279</v>
      </c>
      <c r="C251">
        <f t="shared" si="15"/>
        <v>1999</v>
      </c>
      <c r="D251">
        <v>1999</v>
      </c>
      <c r="E251" t="str">
        <f t="shared" si="19"/>
        <v>Nov</v>
      </c>
      <c r="F251" t="s">
        <v>15</v>
      </c>
      <c r="G251">
        <v>12</v>
      </c>
      <c r="H251">
        <v>1</v>
      </c>
      <c r="I251" s="21">
        <v>2416.96</v>
      </c>
      <c r="J251" t="str">
        <f t="shared" si="16"/>
        <v>tier - 2</v>
      </c>
      <c r="K251" t="s">
        <v>11</v>
      </c>
      <c r="L251" t="str">
        <f t="shared" si="17"/>
        <v>tier - 2</v>
      </c>
      <c r="M251" t="s">
        <v>11</v>
      </c>
      <c r="N251" t="str">
        <f t="shared" si="18"/>
        <v>R1011</v>
      </c>
      <c r="O251" t="s">
        <v>42</v>
      </c>
    </row>
    <row r="252" spans="1:15" x14ac:dyDescent="0.35">
      <c r="A252" t="s">
        <v>280</v>
      </c>
      <c r="C252">
        <f t="shared" si="15"/>
        <v>1999</v>
      </c>
      <c r="D252">
        <v>1999</v>
      </c>
      <c r="E252" t="str">
        <f t="shared" si="19"/>
        <v>Nov</v>
      </c>
      <c r="F252" t="s">
        <v>15</v>
      </c>
      <c r="G252">
        <v>21</v>
      </c>
      <c r="H252">
        <v>1</v>
      </c>
      <c r="I252" s="21">
        <v>2438.06</v>
      </c>
      <c r="J252" t="str">
        <f t="shared" si="16"/>
        <v>tier - 2</v>
      </c>
      <c r="K252" t="s">
        <v>11</v>
      </c>
      <c r="L252" t="str">
        <f t="shared" si="17"/>
        <v>tier - 2</v>
      </c>
      <c r="M252" t="s">
        <v>11</v>
      </c>
      <c r="N252" t="str">
        <f t="shared" si="18"/>
        <v>R1013</v>
      </c>
      <c r="O252" t="s">
        <v>13</v>
      </c>
    </row>
    <row r="253" spans="1:15" x14ac:dyDescent="0.35">
      <c r="A253" t="s">
        <v>281</v>
      </c>
      <c r="C253">
        <f t="shared" si="15"/>
        <v>2002</v>
      </c>
      <c r="D253">
        <v>2002</v>
      </c>
      <c r="E253" t="str">
        <f t="shared" si="19"/>
        <v>Jul</v>
      </c>
      <c r="F253" t="s">
        <v>10</v>
      </c>
      <c r="G253">
        <v>29</v>
      </c>
      <c r="H253">
        <v>0</v>
      </c>
      <c r="I253" s="21">
        <v>2457.21</v>
      </c>
      <c r="J253" t="str">
        <f t="shared" si="16"/>
        <v>tier - 2</v>
      </c>
      <c r="K253" t="s">
        <v>11</v>
      </c>
      <c r="L253" t="str">
        <f t="shared" si="17"/>
        <v>tier - 1</v>
      </c>
      <c r="M253" t="s">
        <v>16</v>
      </c>
      <c r="N253" t="str">
        <f t="shared" si="18"/>
        <v>R1024</v>
      </c>
      <c r="O253" t="s">
        <v>247</v>
      </c>
    </row>
    <row r="254" spans="1:15" x14ac:dyDescent="0.35">
      <c r="A254" t="s">
        <v>282</v>
      </c>
      <c r="C254">
        <f t="shared" si="15"/>
        <v>1998</v>
      </c>
      <c r="D254">
        <v>1998</v>
      </c>
      <c r="E254" t="str">
        <f t="shared" si="19"/>
        <v>Nov</v>
      </c>
      <c r="F254" t="s">
        <v>15</v>
      </c>
      <c r="G254">
        <v>19</v>
      </c>
      <c r="H254">
        <v>0</v>
      </c>
      <c r="I254" s="21">
        <v>2457.5</v>
      </c>
      <c r="J254" t="str">
        <f t="shared" si="16"/>
        <v>tier - 2</v>
      </c>
      <c r="K254" t="s">
        <v>11</v>
      </c>
      <c r="L254" t="str">
        <f t="shared" si="17"/>
        <v>tier - 1</v>
      </c>
      <c r="M254" t="s">
        <v>16</v>
      </c>
      <c r="N254" t="str">
        <f t="shared" si="18"/>
        <v>R1011</v>
      </c>
      <c r="O254" t="s">
        <v>42</v>
      </c>
    </row>
    <row r="255" spans="1:15" x14ac:dyDescent="0.35">
      <c r="A255" t="s">
        <v>283</v>
      </c>
      <c r="C255">
        <f t="shared" si="15"/>
        <v>2002</v>
      </c>
      <c r="D255">
        <v>2002</v>
      </c>
      <c r="E255" t="str">
        <f t="shared" si="19"/>
        <v>Jul</v>
      </c>
      <c r="F255" t="s">
        <v>10</v>
      </c>
      <c r="G255">
        <v>11</v>
      </c>
      <c r="H255">
        <v>0</v>
      </c>
      <c r="I255" s="21">
        <v>2459.7199999999998</v>
      </c>
      <c r="J255" t="str">
        <f t="shared" si="16"/>
        <v>tier - 2</v>
      </c>
      <c r="K255" t="s">
        <v>11</v>
      </c>
      <c r="L255" t="str">
        <f t="shared" si="17"/>
        <v>tier - 2</v>
      </c>
      <c r="M255" t="s">
        <v>11</v>
      </c>
      <c r="N255" t="str">
        <f t="shared" si="18"/>
        <v>R1024</v>
      </c>
      <c r="O255" t="s">
        <v>247</v>
      </c>
    </row>
    <row r="256" spans="1:15" x14ac:dyDescent="0.35">
      <c r="A256" t="s">
        <v>284</v>
      </c>
      <c r="C256">
        <f t="shared" si="15"/>
        <v>1998</v>
      </c>
      <c r="D256">
        <v>1998</v>
      </c>
      <c r="E256" t="str">
        <f t="shared" si="19"/>
        <v>Aug</v>
      </c>
      <c r="F256" t="s">
        <v>35</v>
      </c>
      <c r="G256">
        <v>17</v>
      </c>
      <c r="H256">
        <v>0</v>
      </c>
      <c r="I256" s="21">
        <v>2464.62</v>
      </c>
      <c r="J256" t="str">
        <f t="shared" si="16"/>
        <v>tier - 2</v>
      </c>
      <c r="K256" t="s">
        <v>11</v>
      </c>
      <c r="L256" t="str">
        <f t="shared" si="17"/>
        <v>tier - 3</v>
      </c>
      <c r="M256" t="s">
        <v>12</v>
      </c>
      <c r="N256" t="str">
        <f t="shared" si="18"/>
        <v>R1013</v>
      </c>
      <c r="O256" t="s">
        <v>13</v>
      </c>
    </row>
    <row r="257" spans="1:15" x14ac:dyDescent="0.35">
      <c r="A257" t="s">
        <v>285</v>
      </c>
      <c r="C257">
        <f t="shared" si="15"/>
        <v>1998</v>
      </c>
      <c r="D257">
        <v>1998</v>
      </c>
      <c r="E257" t="str">
        <f t="shared" si="19"/>
        <v>Jul</v>
      </c>
      <c r="F257" t="s">
        <v>10</v>
      </c>
      <c r="G257">
        <v>2</v>
      </c>
      <c r="H257">
        <v>0</v>
      </c>
      <c r="I257" s="21">
        <v>2473.33</v>
      </c>
      <c r="J257" t="str">
        <f t="shared" si="16"/>
        <v>tier - 2</v>
      </c>
      <c r="K257" t="s">
        <v>11</v>
      </c>
      <c r="L257" t="str">
        <f t="shared" si="17"/>
        <v>tier - 3</v>
      </c>
      <c r="M257" t="s">
        <v>12</v>
      </c>
      <c r="N257" t="str">
        <f t="shared" si="18"/>
        <v>R1013</v>
      </c>
      <c r="O257" t="s">
        <v>13</v>
      </c>
    </row>
    <row r="258" spans="1:15" x14ac:dyDescent="0.35">
      <c r="A258" t="s">
        <v>286</v>
      </c>
      <c r="C258">
        <f t="shared" si="15"/>
        <v>1998</v>
      </c>
      <c r="D258">
        <v>1998</v>
      </c>
      <c r="E258" t="str">
        <f t="shared" si="19"/>
        <v>Jun</v>
      </c>
      <c r="F258" t="s">
        <v>18</v>
      </c>
      <c r="G258">
        <v>20</v>
      </c>
      <c r="H258">
        <v>0</v>
      </c>
      <c r="I258" s="21">
        <v>2480.98</v>
      </c>
      <c r="J258" t="str">
        <f t="shared" si="16"/>
        <v>tier - 2</v>
      </c>
      <c r="K258" t="s">
        <v>11</v>
      </c>
      <c r="L258" t="str">
        <f t="shared" si="17"/>
        <v>tier - 2</v>
      </c>
      <c r="M258" t="s">
        <v>11</v>
      </c>
      <c r="N258" t="str">
        <f t="shared" si="18"/>
        <v>R1013</v>
      </c>
      <c r="O258" t="s">
        <v>13</v>
      </c>
    </row>
    <row r="259" spans="1:15" x14ac:dyDescent="0.35">
      <c r="A259" t="s">
        <v>287</v>
      </c>
      <c r="C259">
        <f t="shared" ref="C259:C322" si="20">IF(OR(D259="?", ISBLANK(D259)), 1983, D259)</f>
        <v>1995</v>
      </c>
      <c r="D259">
        <v>1995</v>
      </c>
      <c r="E259" t="str">
        <f t="shared" si="19"/>
        <v>Nov</v>
      </c>
      <c r="F259" t="s">
        <v>15</v>
      </c>
      <c r="G259">
        <v>6</v>
      </c>
      <c r="H259">
        <v>0</v>
      </c>
      <c r="I259" s="21">
        <v>2483.7399999999998</v>
      </c>
      <c r="J259" t="str">
        <f t="shared" ref="J259:J322" si="21">IF(OR(K259="?", ISBLANK(K259)), "Tier 2", K259)</f>
        <v>tier - 3</v>
      </c>
      <c r="K259" t="s">
        <v>12</v>
      </c>
      <c r="L259" t="str">
        <f t="shared" ref="L259:L322" si="22">IF(OR(M259="?", ISBLANK(M259)), "Tier 2", M259)</f>
        <v>tier - 2</v>
      </c>
      <c r="M259" t="s">
        <v>11</v>
      </c>
      <c r="N259" t="str">
        <f t="shared" ref="N259:N322" si="23">IF(OR(O259="?", ISBLANK(O259)), "Unknown", O259)</f>
        <v>R1013</v>
      </c>
      <c r="O259" t="s">
        <v>13</v>
      </c>
    </row>
    <row r="260" spans="1:15" x14ac:dyDescent="0.35">
      <c r="A260" t="s">
        <v>288</v>
      </c>
      <c r="C260">
        <f t="shared" si="20"/>
        <v>1995</v>
      </c>
      <c r="D260">
        <v>1995</v>
      </c>
      <c r="E260" t="str">
        <f t="shared" ref="E260:E323" si="24">IF(OR(F260="?", ISBLANK(F260)), "Sep", F260)</f>
        <v>Oct</v>
      </c>
      <c r="F260" t="s">
        <v>37</v>
      </c>
      <c r="G260">
        <v>14</v>
      </c>
      <c r="H260">
        <v>0</v>
      </c>
      <c r="I260" s="21">
        <v>2494.02</v>
      </c>
      <c r="J260" t="str">
        <f t="shared" si="21"/>
        <v>tier - 3</v>
      </c>
      <c r="K260" t="s">
        <v>12</v>
      </c>
      <c r="L260" t="str">
        <f t="shared" si="22"/>
        <v>tier - 1</v>
      </c>
      <c r="M260" t="s">
        <v>16</v>
      </c>
      <c r="N260" t="str">
        <f t="shared" si="23"/>
        <v>R1011</v>
      </c>
      <c r="O260" t="s">
        <v>42</v>
      </c>
    </row>
    <row r="261" spans="1:15" x14ac:dyDescent="0.35">
      <c r="A261" t="s">
        <v>289</v>
      </c>
      <c r="C261">
        <f t="shared" si="20"/>
        <v>1995</v>
      </c>
      <c r="D261">
        <v>1995</v>
      </c>
      <c r="E261" t="str">
        <f t="shared" si="24"/>
        <v>Jul</v>
      </c>
      <c r="F261" t="s">
        <v>10</v>
      </c>
      <c r="G261">
        <v>9</v>
      </c>
      <c r="H261">
        <v>0</v>
      </c>
      <c r="I261" s="21">
        <v>2497.04</v>
      </c>
      <c r="J261" t="str">
        <f t="shared" si="21"/>
        <v>tier - 3</v>
      </c>
      <c r="K261" t="s">
        <v>12</v>
      </c>
      <c r="L261" t="str">
        <f t="shared" si="22"/>
        <v>tier - 3</v>
      </c>
      <c r="M261" t="s">
        <v>12</v>
      </c>
      <c r="N261" t="str">
        <f t="shared" si="23"/>
        <v>R1013</v>
      </c>
      <c r="O261" t="s">
        <v>13</v>
      </c>
    </row>
    <row r="262" spans="1:15" x14ac:dyDescent="0.35">
      <c r="A262" t="s">
        <v>290</v>
      </c>
      <c r="C262">
        <f t="shared" si="20"/>
        <v>1995</v>
      </c>
      <c r="D262">
        <v>1995</v>
      </c>
      <c r="E262" t="str">
        <f t="shared" si="24"/>
        <v>Oct</v>
      </c>
      <c r="F262" t="s">
        <v>37</v>
      </c>
      <c r="G262">
        <v>15</v>
      </c>
      <c r="H262">
        <v>0</v>
      </c>
      <c r="I262" s="21">
        <v>2498.41</v>
      </c>
      <c r="J262" t="str">
        <f t="shared" si="21"/>
        <v>tier - 3</v>
      </c>
      <c r="K262" t="s">
        <v>12</v>
      </c>
      <c r="L262" t="str">
        <f t="shared" si="22"/>
        <v>tier - 3</v>
      </c>
      <c r="M262" t="s">
        <v>12</v>
      </c>
      <c r="N262" t="str">
        <f t="shared" si="23"/>
        <v>R1013</v>
      </c>
      <c r="O262" t="s">
        <v>13</v>
      </c>
    </row>
    <row r="263" spans="1:15" x14ac:dyDescent="0.35">
      <c r="A263" t="s">
        <v>291</v>
      </c>
      <c r="C263">
        <f t="shared" si="20"/>
        <v>2004</v>
      </c>
      <c r="D263">
        <v>2004</v>
      </c>
      <c r="E263" t="str">
        <f t="shared" si="24"/>
        <v>Sep</v>
      </c>
      <c r="F263" t="s">
        <v>20</v>
      </c>
      <c r="G263">
        <v>6</v>
      </c>
      <c r="H263">
        <v>0</v>
      </c>
      <c r="I263" s="21">
        <v>2500.9299999999998</v>
      </c>
      <c r="J263" t="str">
        <f t="shared" si="21"/>
        <v>tier - 2</v>
      </c>
      <c r="K263" t="s">
        <v>11</v>
      </c>
      <c r="L263" t="str">
        <f t="shared" si="22"/>
        <v>tier - 2</v>
      </c>
      <c r="M263" t="s">
        <v>11</v>
      </c>
      <c r="N263" t="str">
        <f t="shared" si="23"/>
        <v>R1012</v>
      </c>
      <c r="O263" t="s">
        <v>23</v>
      </c>
    </row>
    <row r="264" spans="1:15" x14ac:dyDescent="0.35">
      <c r="A264" t="s">
        <v>292</v>
      </c>
      <c r="C264">
        <f t="shared" si="20"/>
        <v>1991</v>
      </c>
      <c r="D264">
        <v>1991</v>
      </c>
      <c r="E264" t="str">
        <f t="shared" si="24"/>
        <v>Aug</v>
      </c>
      <c r="F264" t="s">
        <v>35</v>
      </c>
      <c r="G264">
        <v>5</v>
      </c>
      <c r="H264">
        <v>3</v>
      </c>
      <c r="I264" s="21">
        <v>2510.79</v>
      </c>
      <c r="J264" t="str">
        <f t="shared" si="21"/>
        <v>tier - 2</v>
      </c>
      <c r="K264" t="s">
        <v>11</v>
      </c>
      <c r="L264" t="str">
        <f t="shared" si="22"/>
        <v>tier - 1</v>
      </c>
      <c r="M264" t="s">
        <v>16</v>
      </c>
      <c r="N264" t="str">
        <f t="shared" si="23"/>
        <v>R1013</v>
      </c>
      <c r="O264" t="s">
        <v>13</v>
      </c>
    </row>
    <row r="265" spans="1:15" x14ac:dyDescent="0.35">
      <c r="A265" t="s">
        <v>293</v>
      </c>
      <c r="C265">
        <f t="shared" si="20"/>
        <v>1997</v>
      </c>
      <c r="D265">
        <v>1997</v>
      </c>
      <c r="E265" t="str">
        <f t="shared" si="24"/>
        <v>Nov</v>
      </c>
      <c r="F265" t="s">
        <v>15</v>
      </c>
      <c r="G265">
        <v>2</v>
      </c>
      <c r="H265">
        <v>0</v>
      </c>
      <c r="I265" s="21">
        <v>2523.17</v>
      </c>
      <c r="J265" t="str">
        <f t="shared" si="21"/>
        <v>tier - 3</v>
      </c>
      <c r="K265" t="s">
        <v>12</v>
      </c>
      <c r="L265" t="str">
        <f t="shared" si="22"/>
        <v>tier - 1</v>
      </c>
      <c r="M265" t="s">
        <v>16</v>
      </c>
      <c r="N265" t="str">
        <f t="shared" si="23"/>
        <v>R1012</v>
      </c>
      <c r="O265" t="s">
        <v>23</v>
      </c>
    </row>
    <row r="266" spans="1:15" x14ac:dyDescent="0.35">
      <c r="A266" t="s">
        <v>294</v>
      </c>
      <c r="C266">
        <f t="shared" si="20"/>
        <v>2000</v>
      </c>
      <c r="D266">
        <v>2000</v>
      </c>
      <c r="E266" t="str">
        <f t="shared" si="24"/>
        <v>Aug</v>
      </c>
      <c r="F266" t="s">
        <v>35</v>
      </c>
      <c r="G266">
        <v>25</v>
      </c>
      <c r="H266">
        <v>0</v>
      </c>
      <c r="I266" s="21">
        <v>2527.8200000000002</v>
      </c>
      <c r="J266" t="str">
        <f t="shared" si="21"/>
        <v>tier - 2</v>
      </c>
      <c r="K266" t="s">
        <v>11</v>
      </c>
      <c r="L266" t="str">
        <f t="shared" si="22"/>
        <v>tier - 3</v>
      </c>
      <c r="M266" t="s">
        <v>12</v>
      </c>
      <c r="N266" t="str">
        <f t="shared" si="23"/>
        <v>R1012</v>
      </c>
      <c r="O266" t="s">
        <v>23</v>
      </c>
    </row>
    <row r="267" spans="1:15" x14ac:dyDescent="0.35">
      <c r="A267" t="s">
        <v>295</v>
      </c>
      <c r="C267">
        <f t="shared" si="20"/>
        <v>1997</v>
      </c>
      <c r="D267">
        <v>1997</v>
      </c>
      <c r="E267" t="str">
        <f t="shared" si="24"/>
        <v>Jul</v>
      </c>
      <c r="F267" t="s">
        <v>10</v>
      </c>
      <c r="G267">
        <v>28</v>
      </c>
      <c r="H267">
        <v>0</v>
      </c>
      <c r="I267" s="21">
        <v>2534.39</v>
      </c>
      <c r="J267" t="str">
        <f t="shared" si="21"/>
        <v>tier - 3</v>
      </c>
      <c r="K267" t="s">
        <v>12</v>
      </c>
      <c r="L267" t="str">
        <f t="shared" si="22"/>
        <v>tier - 3</v>
      </c>
      <c r="M267" t="s">
        <v>12</v>
      </c>
      <c r="N267" t="str">
        <f t="shared" si="23"/>
        <v>R1012</v>
      </c>
      <c r="O267" t="s">
        <v>23</v>
      </c>
    </row>
    <row r="268" spans="1:15" x14ac:dyDescent="0.35">
      <c r="A268" t="s">
        <v>296</v>
      </c>
      <c r="C268">
        <f t="shared" si="20"/>
        <v>1990</v>
      </c>
      <c r="D268">
        <v>1990</v>
      </c>
      <c r="E268" t="str">
        <f t="shared" si="24"/>
        <v>Oct</v>
      </c>
      <c r="F268" t="s">
        <v>37</v>
      </c>
      <c r="G268">
        <v>1</v>
      </c>
      <c r="H268">
        <v>3</v>
      </c>
      <c r="I268" s="21">
        <v>2540.39</v>
      </c>
      <c r="J268" t="str">
        <f t="shared" si="21"/>
        <v>tier - 2</v>
      </c>
      <c r="K268" t="s">
        <v>11</v>
      </c>
      <c r="L268" t="str">
        <f t="shared" si="22"/>
        <v>tier - 2</v>
      </c>
      <c r="M268" t="s">
        <v>11</v>
      </c>
      <c r="N268" t="str">
        <f t="shared" si="23"/>
        <v>R1013</v>
      </c>
      <c r="O268" t="s">
        <v>13</v>
      </c>
    </row>
    <row r="269" spans="1:15" x14ac:dyDescent="0.35">
      <c r="A269" t="s">
        <v>297</v>
      </c>
      <c r="C269">
        <f t="shared" si="20"/>
        <v>1991</v>
      </c>
      <c r="D269">
        <v>1991</v>
      </c>
      <c r="E269" t="str">
        <f t="shared" si="24"/>
        <v>Nov</v>
      </c>
      <c r="F269" t="s">
        <v>15</v>
      </c>
      <c r="G269">
        <v>17</v>
      </c>
      <c r="H269">
        <v>3</v>
      </c>
      <c r="I269" s="21">
        <v>2545.6799999999998</v>
      </c>
      <c r="J269" t="str">
        <f t="shared" si="21"/>
        <v>tier - 2</v>
      </c>
      <c r="K269" t="s">
        <v>11</v>
      </c>
      <c r="L269" t="str">
        <f t="shared" si="22"/>
        <v>tier - 1</v>
      </c>
      <c r="M269" t="s">
        <v>16</v>
      </c>
      <c r="N269" t="str">
        <f t="shared" si="23"/>
        <v>R1013</v>
      </c>
      <c r="O269" t="s">
        <v>13</v>
      </c>
    </row>
    <row r="270" spans="1:15" x14ac:dyDescent="0.35">
      <c r="A270" t="s">
        <v>298</v>
      </c>
      <c r="C270">
        <f t="shared" si="20"/>
        <v>2002</v>
      </c>
      <c r="D270">
        <v>2002</v>
      </c>
      <c r="E270" t="str">
        <f t="shared" si="24"/>
        <v>Oct</v>
      </c>
      <c r="F270" t="s">
        <v>37</v>
      </c>
      <c r="G270">
        <v>11</v>
      </c>
      <c r="H270">
        <v>2</v>
      </c>
      <c r="I270" s="21">
        <v>2566.4699999999998</v>
      </c>
      <c r="J270" t="str">
        <f t="shared" si="21"/>
        <v>tier - 2</v>
      </c>
      <c r="K270" t="s">
        <v>11</v>
      </c>
      <c r="L270" t="str">
        <f t="shared" si="22"/>
        <v>tier - 3</v>
      </c>
      <c r="M270" t="s">
        <v>12</v>
      </c>
      <c r="N270" t="str">
        <f t="shared" si="23"/>
        <v>R1013</v>
      </c>
      <c r="O270" t="s">
        <v>13</v>
      </c>
    </row>
    <row r="271" spans="1:15" x14ac:dyDescent="0.35">
      <c r="A271" t="s">
        <v>299</v>
      </c>
      <c r="C271">
        <f t="shared" si="20"/>
        <v>2002</v>
      </c>
      <c r="D271">
        <v>2002</v>
      </c>
      <c r="E271" t="str">
        <f t="shared" si="24"/>
        <v>Jul</v>
      </c>
      <c r="F271" t="s">
        <v>10</v>
      </c>
      <c r="G271">
        <v>20</v>
      </c>
      <c r="H271">
        <v>0</v>
      </c>
      <c r="I271" s="21">
        <v>2585.04</v>
      </c>
      <c r="J271" t="str">
        <f t="shared" si="21"/>
        <v>tier - 2</v>
      </c>
      <c r="K271" t="s">
        <v>11</v>
      </c>
      <c r="L271" t="str">
        <f t="shared" si="22"/>
        <v>tier - 2</v>
      </c>
      <c r="M271" t="s">
        <v>11</v>
      </c>
      <c r="N271" t="str">
        <f t="shared" si="23"/>
        <v>R1021</v>
      </c>
      <c r="O271" t="s">
        <v>300</v>
      </c>
    </row>
    <row r="272" spans="1:15" x14ac:dyDescent="0.35">
      <c r="A272" t="s">
        <v>301</v>
      </c>
      <c r="C272">
        <f t="shared" si="20"/>
        <v>2001</v>
      </c>
      <c r="D272">
        <v>2001</v>
      </c>
      <c r="E272" t="str">
        <f t="shared" si="24"/>
        <v>Oct</v>
      </c>
      <c r="F272" t="s">
        <v>37</v>
      </c>
      <c r="G272">
        <v>15</v>
      </c>
      <c r="H272">
        <v>1</v>
      </c>
      <c r="I272" s="21">
        <v>2585.27</v>
      </c>
      <c r="J272" t="str">
        <f t="shared" si="21"/>
        <v>tier - 2</v>
      </c>
      <c r="K272" t="s">
        <v>11</v>
      </c>
      <c r="L272" t="str">
        <f t="shared" si="22"/>
        <v>tier - 3</v>
      </c>
      <c r="M272" t="s">
        <v>12</v>
      </c>
      <c r="N272" t="str">
        <f t="shared" si="23"/>
        <v>R1011</v>
      </c>
      <c r="O272" t="s">
        <v>42</v>
      </c>
    </row>
    <row r="273" spans="1:15" x14ac:dyDescent="0.35">
      <c r="A273" t="s">
        <v>302</v>
      </c>
      <c r="C273">
        <f t="shared" si="20"/>
        <v>2001</v>
      </c>
      <c r="D273">
        <v>2001</v>
      </c>
      <c r="E273" t="str">
        <f t="shared" si="24"/>
        <v>Jul</v>
      </c>
      <c r="F273" t="s">
        <v>10</v>
      </c>
      <c r="G273">
        <v>28</v>
      </c>
      <c r="H273">
        <v>0</v>
      </c>
      <c r="I273" s="21">
        <v>2585.85</v>
      </c>
      <c r="J273" t="str">
        <f t="shared" si="21"/>
        <v>tier - 2</v>
      </c>
      <c r="K273" t="s">
        <v>11</v>
      </c>
      <c r="L273" t="str">
        <f t="shared" si="22"/>
        <v>tier - 2</v>
      </c>
      <c r="M273" t="s">
        <v>11</v>
      </c>
      <c r="N273" t="str">
        <f t="shared" si="23"/>
        <v>R1024</v>
      </c>
      <c r="O273" t="s">
        <v>247</v>
      </c>
    </row>
    <row r="274" spans="1:15" x14ac:dyDescent="0.35">
      <c r="A274" t="s">
        <v>303</v>
      </c>
      <c r="C274">
        <f t="shared" si="20"/>
        <v>2001</v>
      </c>
      <c r="D274">
        <v>2001</v>
      </c>
      <c r="E274" t="str">
        <f t="shared" si="24"/>
        <v>Aug</v>
      </c>
      <c r="F274" t="s">
        <v>35</v>
      </c>
      <c r="G274">
        <v>26</v>
      </c>
      <c r="H274">
        <v>1</v>
      </c>
      <c r="I274" s="21">
        <v>2597.7800000000002</v>
      </c>
      <c r="J274" t="str">
        <f t="shared" si="21"/>
        <v>tier - 2</v>
      </c>
      <c r="K274" t="s">
        <v>11</v>
      </c>
      <c r="L274" t="str">
        <f t="shared" si="22"/>
        <v>tier - 1</v>
      </c>
      <c r="M274" t="s">
        <v>16</v>
      </c>
      <c r="N274" t="str">
        <f t="shared" si="23"/>
        <v>R1011</v>
      </c>
      <c r="O274" t="s">
        <v>42</v>
      </c>
    </row>
    <row r="275" spans="1:15" x14ac:dyDescent="0.35">
      <c r="A275" t="s">
        <v>304</v>
      </c>
      <c r="C275">
        <f t="shared" si="20"/>
        <v>1997</v>
      </c>
      <c r="D275">
        <v>1997</v>
      </c>
      <c r="E275" t="str">
        <f t="shared" si="24"/>
        <v>Aug</v>
      </c>
      <c r="F275" t="s">
        <v>35</v>
      </c>
      <c r="G275">
        <v>26</v>
      </c>
      <c r="H275">
        <v>0</v>
      </c>
      <c r="I275" s="21">
        <v>2632.99</v>
      </c>
      <c r="J275" t="str">
        <f t="shared" si="21"/>
        <v>tier - 2</v>
      </c>
      <c r="K275" t="s">
        <v>11</v>
      </c>
      <c r="L275" t="str">
        <f t="shared" si="22"/>
        <v>tier - 1</v>
      </c>
      <c r="M275" t="s">
        <v>16</v>
      </c>
      <c r="N275" t="str">
        <f t="shared" si="23"/>
        <v>R1011</v>
      </c>
      <c r="O275" t="s">
        <v>42</v>
      </c>
    </row>
    <row r="276" spans="1:15" x14ac:dyDescent="0.35">
      <c r="A276" t="s">
        <v>305</v>
      </c>
      <c r="C276">
        <f t="shared" si="20"/>
        <v>2000</v>
      </c>
      <c r="D276">
        <v>2000</v>
      </c>
      <c r="E276" t="str">
        <f t="shared" si="24"/>
        <v>Jun</v>
      </c>
      <c r="F276" t="s">
        <v>18</v>
      </c>
      <c r="G276">
        <v>24</v>
      </c>
      <c r="H276">
        <v>1</v>
      </c>
      <c r="I276" s="21">
        <v>2639.04</v>
      </c>
      <c r="J276" t="str">
        <f t="shared" si="21"/>
        <v>tier - 2</v>
      </c>
      <c r="K276" t="s">
        <v>11</v>
      </c>
      <c r="L276" t="str">
        <f t="shared" si="22"/>
        <v>tier - 2</v>
      </c>
      <c r="M276" t="s">
        <v>11</v>
      </c>
      <c r="N276" t="str">
        <f t="shared" si="23"/>
        <v>R1012</v>
      </c>
      <c r="O276" t="s">
        <v>23</v>
      </c>
    </row>
    <row r="277" spans="1:15" x14ac:dyDescent="0.35">
      <c r="A277" t="s">
        <v>306</v>
      </c>
      <c r="C277">
        <f t="shared" si="20"/>
        <v>2000</v>
      </c>
      <c r="D277">
        <v>2000</v>
      </c>
      <c r="E277" t="str">
        <f t="shared" si="24"/>
        <v>Dec</v>
      </c>
      <c r="F277" t="s">
        <v>30</v>
      </c>
      <c r="G277">
        <v>9</v>
      </c>
      <c r="H277">
        <v>1</v>
      </c>
      <c r="I277" s="21">
        <v>2643.27</v>
      </c>
      <c r="J277" t="str">
        <f t="shared" si="21"/>
        <v>tier - 2</v>
      </c>
      <c r="K277" t="s">
        <v>11</v>
      </c>
      <c r="L277" t="str">
        <f t="shared" si="22"/>
        <v>tier - 1</v>
      </c>
      <c r="M277" t="s">
        <v>16</v>
      </c>
      <c r="N277" t="str">
        <f t="shared" si="23"/>
        <v>R1012</v>
      </c>
      <c r="O277" t="s">
        <v>23</v>
      </c>
    </row>
    <row r="278" spans="1:15" x14ac:dyDescent="0.35">
      <c r="A278" t="s">
        <v>307</v>
      </c>
      <c r="C278">
        <f t="shared" si="20"/>
        <v>1996</v>
      </c>
      <c r="D278">
        <v>1996</v>
      </c>
      <c r="E278" t="str">
        <f t="shared" si="24"/>
        <v>Aug</v>
      </c>
      <c r="F278" t="s">
        <v>35</v>
      </c>
      <c r="G278">
        <v>5</v>
      </c>
      <c r="H278">
        <v>0</v>
      </c>
      <c r="I278" s="21">
        <v>2680.95</v>
      </c>
      <c r="J278" t="str">
        <f t="shared" si="21"/>
        <v>tier - 3</v>
      </c>
      <c r="K278" t="s">
        <v>12</v>
      </c>
      <c r="L278" t="str">
        <f t="shared" si="22"/>
        <v>tier - 2</v>
      </c>
      <c r="M278" t="s">
        <v>11</v>
      </c>
      <c r="N278" t="str">
        <f t="shared" si="23"/>
        <v>R1012</v>
      </c>
      <c r="O278" t="s">
        <v>23</v>
      </c>
    </row>
    <row r="279" spans="1:15" x14ac:dyDescent="0.35">
      <c r="A279" t="s">
        <v>308</v>
      </c>
      <c r="C279">
        <f t="shared" si="20"/>
        <v>1994</v>
      </c>
      <c r="D279">
        <v>1994</v>
      </c>
      <c r="E279" t="str">
        <f t="shared" si="24"/>
        <v>Sep</v>
      </c>
      <c r="F279" t="s">
        <v>20</v>
      </c>
      <c r="G279">
        <v>17</v>
      </c>
      <c r="H279">
        <v>0</v>
      </c>
      <c r="I279" s="21">
        <v>2684.69</v>
      </c>
      <c r="J279" t="str">
        <f t="shared" si="21"/>
        <v>tier - 2</v>
      </c>
      <c r="K279" t="s">
        <v>11</v>
      </c>
      <c r="L279" t="str">
        <f t="shared" si="22"/>
        <v>tier - 2</v>
      </c>
      <c r="M279" t="s">
        <v>11</v>
      </c>
      <c r="N279" t="str">
        <f t="shared" si="23"/>
        <v>R1013</v>
      </c>
      <c r="O279" t="s">
        <v>13</v>
      </c>
    </row>
    <row r="280" spans="1:15" x14ac:dyDescent="0.35">
      <c r="A280" t="s">
        <v>309</v>
      </c>
      <c r="C280">
        <f t="shared" si="20"/>
        <v>1994</v>
      </c>
      <c r="D280">
        <v>1994</v>
      </c>
      <c r="E280" t="str">
        <f t="shared" si="24"/>
        <v>Oct</v>
      </c>
      <c r="F280" t="s">
        <v>37</v>
      </c>
      <c r="G280">
        <v>2</v>
      </c>
      <c r="H280">
        <v>0</v>
      </c>
      <c r="I280" s="21">
        <v>2689.5</v>
      </c>
      <c r="J280" t="str">
        <f t="shared" si="21"/>
        <v>tier - 3</v>
      </c>
      <c r="K280" t="s">
        <v>12</v>
      </c>
      <c r="L280" t="str">
        <f t="shared" si="22"/>
        <v>tier - 2</v>
      </c>
      <c r="M280" t="s">
        <v>11</v>
      </c>
      <c r="N280" t="str">
        <f t="shared" si="23"/>
        <v>R1013</v>
      </c>
      <c r="O280" t="s">
        <v>13</v>
      </c>
    </row>
    <row r="281" spans="1:15" x14ac:dyDescent="0.35">
      <c r="A281" t="s">
        <v>310</v>
      </c>
      <c r="C281">
        <f t="shared" si="20"/>
        <v>1999</v>
      </c>
      <c r="D281">
        <v>1999</v>
      </c>
      <c r="E281" t="str">
        <f t="shared" si="24"/>
        <v>Jun</v>
      </c>
      <c r="F281" t="s">
        <v>18</v>
      </c>
      <c r="G281">
        <v>11</v>
      </c>
      <c r="H281">
        <v>0</v>
      </c>
      <c r="I281" s="21">
        <v>2690.11</v>
      </c>
      <c r="J281" t="str">
        <f t="shared" si="21"/>
        <v>tier - 2</v>
      </c>
      <c r="K281" t="s">
        <v>11</v>
      </c>
      <c r="L281" t="str">
        <f t="shared" si="22"/>
        <v>tier - 2</v>
      </c>
      <c r="M281" t="s">
        <v>11</v>
      </c>
      <c r="N281" t="str">
        <f t="shared" si="23"/>
        <v>R1012</v>
      </c>
      <c r="O281" t="s">
        <v>23</v>
      </c>
    </row>
    <row r="282" spans="1:15" x14ac:dyDescent="0.35">
      <c r="A282" t="s">
        <v>311</v>
      </c>
      <c r="C282">
        <f t="shared" si="20"/>
        <v>1996</v>
      </c>
      <c r="D282">
        <v>1996</v>
      </c>
      <c r="E282" t="str">
        <f t="shared" si="24"/>
        <v>Jun</v>
      </c>
      <c r="F282" t="s">
        <v>18</v>
      </c>
      <c r="G282">
        <v>13</v>
      </c>
      <c r="H282">
        <v>0</v>
      </c>
      <c r="I282" s="21">
        <v>2699.57</v>
      </c>
      <c r="J282" t="str">
        <f t="shared" si="21"/>
        <v>tier - 2</v>
      </c>
      <c r="K282" t="s">
        <v>11</v>
      </c>
      <c r="L282" t="str">
        <f t="shared" si="22"/>
        <v>tier - 1</v>
      </c>
      <c r="M282" t="s">
        <v>16</v>
      </c>
      <c r="N282" t="str">
        <f t="shared" si="23"/>
        <v>R1012</v>
      </c>
      <c r="O282" t="s">
        <v>23</v>
      </c>
    </row>
    <row r="283" spans="1:15" x14ac:dyDescent="0.35">
      <c r="A283" t="s">
        <v>312</v>
      </c>
      <c r="C283">
        <f t="shared" si="20"/>
        <v>2003</v>
      </c>
      <c r="D283">
        <v>2003</v>
      </c>
      <c r="E283" t="str">
        <f t="shared" si="24"/>
        <v>Jul</v>
      </c>
      <c r="F283" t="s">
        <v>10</v>
      </c>
      <c r="G283">
        <v>17</v>
      </c>
      <c r="H283">
        <v>1</v>
      </c>
      <c r="I283" s="21">
        <v>2709.11</v>
      </c>
      <c r="J283" t="str">
        <f t="shared" si="21"/>
        <v>tier - 2</v>
      </c>
      <c r="K283" t="s">
        <v>11</v>
      </c>
      <c r="L283" t="str">
        <f t="shared" si="22"/>
        <v>tier - 2</v>
      </c>
      <c r="M283" t="s">
        <v>11</v>
      </c>
      <c r="N283" t="str">
        <f t="shared" si="23"/>
        <v>R1012</v>
      </c>
      <c r="O283" t="s">
        <v>23</v>
      </c>
    </row>
    <row r="284" spans="1:15" x14ac:dyDescent="0.35">
      <c r="A284" t="s">
        <v>313</v>
      </c>
      <c r="C284">
        <f t="shared" si="20"/>
        <v>2003</v>
      </c>
      <c r="D284">
        <v>2003</v>
      </c>
      <c r="E284" t="str">
        <f t="shared" si="24"/>
        <v>Nov</v>
      </c>
      <c r="F284" t="s">
        <v>15</v>
      </c>
      <c r="G284">
        <v>21</v>
      </c>
      <c r="H284">
        <v>1</v>
      </c>
      <c r="I284" s="21">
        <v>2709.24</v>
      </c>
      <c r="J284" t="str">
        <f t="shared" si="21"/>
        <v>tier - 2</v>
      </c>
      <c r="K284" t="s">
        <v>11</v>
      </c>
      <c r="L284" t="str">
        <f t="shared" si="22"/>
        <v>tier - 2</v>
      </c>
      <c r="M284" t="s">
        <v>11</v>
      </c>
      <c r="N284" t="str">
        <f t="shared" si="23"/>
        <v>R1012</v>
      </c>
      <c r="O284" t="s">
        <v>23</v>
      </c>
    </row>
    <row r="285" spans="1:15" x14ac:dyDescent="0.35">
      <c r="A285" t="s">
        <v>314</v>
      </c>
      <c r="C285">
        <f t="shared" si="20"/>
        <v>2003</v>
      </c>
      <c r="D285">
        <v>2003</v>
      </c>
      <c r="E285" t="str">
        <f t="shared" si="24"/>
        <v>Dec</v>
      </c>
      <c r="F285" t="s">
        <v>30</v>
      </c>
      <c r="G285">
        <v>1</v>
      </c>
      <c r="H285">
        <v>1</v>
      </c>
      <c r="I285" s="21">
        <v>2710.83</v>
      </c>
      <c r="J285" t="str">
        <f t="shared" si="21"/>
        <v>tier - 2</v>
      </c>
      <c r="K285" t="s">
        <v>11</v>
      </c>
      <c r="L285" t="str">
        <f t="shared" si="22"/>
        <v>tier - 3</v>
      </c>
      <c r="M285" t="s">
        <v>12</v>
      </c>
      <c r="N285" t="str">
        <f t="shared" si="23"/>
        <v>R1012</v>
      </c>
      <c r="O285" t="s">
        <v>23</v>
      </c>
    </row>
    <row r="286" spans="1:15" x14ac:dyDescent="0.35">
      <c r="A286" t="s">
        <v>315</v>
      </c>
      <c r="C286">
        <f t="shared" si="20"/>
        <v>2003</v>
      </c>
      <c r="D286">
        <v>2003</v>
      </c>
      <c r="E286" t="str">
        <f t="shared" si="24"/>
        <v>Aug</v>
      </c>
      <c r="F286" t="s">
        <v>35</v>
      </c>
      <c r="G286">
        <v>6</v>
      </c>
      <c r="H286">
        <v>1</v>
      </c>
      <c r="I286" s="21">
        <v>2719.28</v>
      </c>
      <c r="J286" t="str">
        <f t="shared" si="21"/>
        <v>tier - 2</v>
      </c>
      <c r="K286" t="s">
        <v>11</v>
      </c>
      <c r="L286" t="str">
        <f t="shared" si="22"/>
        <v>tier - 2</v>
      </c>
      <c r="M286" t="s">
        <v>11</v>
      </c>
      <c r="N286" t="str">
        <f t="shared" si="23"/>
        <v>R1012</v>
      </c>
      <c r="O286" t="s">
        <v>23</v>
      </c>
    </row>
    <row r="287" spans="1:15" x14ac:dyDescent="0.35">
      <c r="A287" t="s">
        <v>316</v>
      </c>
      <c r="C287">
        <f t="shared" si="20"/>
        <v>1997</v>
      </c>
      <c r="D287">
        <v>1997</v>
      </c>
      <c r="E287" t="str">
        <f t="shared" si="24"/>
        <v>Oct</v>
      </c>
      <c r="F287" t="s">
        <v>37</v>
      </c>
      <c r="G287">
        <v>30</v>
      </c>
      <c r="H287">
        <v>0</v>
      </c>
      <c r="I287" s="21">
        <v>2721.32</v>
      </c>
      <c r="J287" t="str">
        <f t="shared" si="21"/>
        <v>tier - 1</v>
      </c>
      <c r="K287" t="s">
        <v>16</v>
      </c>
      <c r="L287" t="str">
        <f t="shared" si="22"/>
        <v>tier - 3</v>
      </c>
      <c r="M287" t="s">
        <v>12</v>
      </c>
      <c r="N287" t="str">
        <f t="shared" si="23"/>
        <v>R1014</v>
      </c>
      <c r="O287" t="s">
        <v>276</v>
      </c>
    </row>
    <row r="288" spans="1:15" x14ac:dyDescent="0.35">
      <c r="A288" t="s">
        <v>317</v>
      </c>
      <c r="C288">
        <f t="shared" si="20"/>
        <v>1988</v>
      </c>
      <c r="D288">
        <v>1988</v>
      </c>
      <c r="E288" t="str">
        <f t="shared" si="24"/>
        <v>Aug</v>
      </c>
      <c r="F288" t="s">
        <v>35</v>
      </c>
      <c r="G288">
        <v>20</v>
      </c>
      <c r="H288">
        <v>3</v>
      </c>
      <c r="I288" s="21">
        <v>2726.06</v>
      </c>
      <c r="J288" t="str">
        <f t="shared" si="21"/>
        <v>tier - 2</v>
      </c>
      <c r="K288" t="s">
        <v>11</v>
      </c>
      <c r="L288" t="str">
        <f t="shared" si="22"/>
        <v>tier - 2</v>
      </c>
      <c r="M288" t="s">
        <v>11</v>
      </c>
      <c r="N288" t="str">
        <f t="shared" si="23"/>
        <v>R1013</v>
      </c>
      <c r="O288" t="s">
        <v>13</v>
      </c>
    </row>
    <row r="289" spans="1:15" x14ac:dyDescent="0.35">
      <c r="A289" t="s">
        <v>318</v>
      </c>
      <c r="C289">
        <f t="shared" si="20"/>
        <v>1997</v>
      </c>
      <c r="D289">
        <v>1997</v>
      </c>
      <c r="E289" t="str">
        <f t="shared" si="24"/>
        <v>Oct</v>
      </c>
      <c r="F289" t="s">
        <v>37</v>
      </c>
      <c r="G289">
        <v>6</v>
      </c>
      <c r="H289">
        <v>0</v>
      </c>
      <c r="I289" s="21">
        <v>2727.4</v>
      </c>
      <c r="J289" t="str">
        <f t="shared" si="21"/>
        <v>tier - 3</v>
      </c>
      <c r="K289" t="s">
        <v>12</v>
      </c>
      <c r="L289" t="str">
        <f t="shared" si="22"/>
        <v>tier - 3</v>
      </c>
      <c r="M289" t="s">
        <v>12</v>
      </c>
      <c r="N289" t="str">
        <f t="shared" si="23"/>
        <v>R1016</v>
      </c>
      <c r="O289" t="s">
        <v>168</v>
      </c>
    </row>
    <row r="290" spans="1:15" x14ac:dyDescent="0.35">
      <c r="A290" t="s">
        <v>319</v>
      </c>
      <c r="C290">
        <f t="shared" si="20"/>
        <v>2003</v>
      </c>
      <c r="D290">
        <v>2003</v>
      </c>
      <c r="E290" t="str">
        <f t="shared" si="24"/>
        <v>Dec</v>
      </c>
      <c r="F290" t="s">
        <v>30</v>
      </c>
      <c r="G290">
        <v>3</v>
      </c>
      <c r="H290">
        <v>1</v>
      </c>
      <c r="I290" s="21">
        <v>2730.11</v>
      </c>
      <c r="J290" t="str">
        <f t="shared" si="21"/>
        <v>tier - 2</v>
      </c>
      <c r="K290" t="s">
        <v>11</v>
      </c>
      <c r="L290" t="str">
        <f t="shared" si="22"/>
        <v>tier - 3</v>
      </c>
      <c r="M290" t="s">
        <v>12</v>
      </c>
      <c r="N290" t="str">
        <f t="shared" si="23"/>
        <v>R1012</v>
      </c>
      <c r="O290" t="s">
        <v>23</v>
      </c>
    </row>
    <row r="291" spans="1:15" x14ac:dyDescent="0.35">
      <c r="A291" t="s">
        <v>320</v>
      </c>
      <c r="C291">
        <f t="shared" si="20"/>
        <v>2000</v>
      </c>
      <c r="D291">
        <v>2000</v>
      </c>
      <c r="E291" t="str">
        <f t="shared" si="24"/>
        <v>Dec</v>
      </c>
      <c r="F291" t="s">
        <v>30</v>
      </c>
      <c r="G291">
        <v>17</v>
      </c>
      <c r="H291">
        <v>0</v>
      </c>
      <c r="I291" s="21">
        <v>2731.91</v>
      </c>
      <c r="J291" t="str">
        <f t="shared" si="21"/>
        <v>tier - 2</v>
      </c>
      <c r="K291" t="s">
        <v>11</v>
      </c>
      <c r="L291" t="str">
        <f t="shared" si="22"/>
        <v>tier - 3</v>
      </c>
      <c r="M291" t="s">
        <v>12</v>
      </c>
      <c r="N291" t="str">
        <f t="shared" si="23"/>
        <v>R1024</v>
      </c>
      <c r="O291" t="s">
        <v>247</v>
      </c>
    </row>
    <row r="292" spans="1:15" x14ac:dyDescent="0.35">
      <c r="A292" t="s">
        <v>321</v>
      </c>
      <c r="C292">
        <f t="shared" si="20"/>
        <v>2000</v>
      </c>
      <c r="D292">
        <v>2000</v>
      </c>
      <c r="E292" t="str">
        <f t="shared" si="24"/>
        <v>Oct</v>
      </c>
      <c r="F292" t="s">
        <v>37</v>
      </c>
      <c r="G292">
        <v>3</v>
      </c>
      <c r="H292">
        <v>0</v>
      </c>
      <c r="I292" s="21">
        <v>2741.95</v>
      </c>
      <c r="J292" t="str">
        <f t="shared" si="21"/>
        <v>tier - 2</v>
      </c>
      <c r="K292" t="s">
        <v>11</v>
      </c>
      <c r="L292" t="str">
        <f t="shared" si="22"/>
        <v>tier - 3</v>
      </c>
      <c r="M292" t="s">
        <v>12</v>
      </c>
      <c r="N292" t="str">
        <f t="shared" si="23"/>
        <v>R1024</v>
      </c>
      <c r="O292" t="s">
        <v>247</v>
      </c>
    </row>
    <row r="293" spans="1:15" x14ac:dyDescent="0.35">
      <c r="A293" t="s">
        <v>322</v>
      </c>
      <c r="C293">
        <f t="shared" si="20"/>
        <v>2000</v>
      </c>
      <c r="D293">
        <v>2000</v>
      </c>
      <c r="E293" t="str">
        <f t="shared" si="24"/>
        <v>Oct</v>
      </c>
      <c r="F293" t="s">
        <v>37</v>
      </c>
      <c r="G293">
        <v>11</v>
      </c>
      <c r="H293">
        <v>0</v>
      </c>
      <c r="I293" s="21">
        <v>2755.02</v>
      </c>
      <c r="J293" t="str">
        <f t="shared" si="21"/>
        <v>tier - 2</v>
      </c>
      <c r="K293" t="s">
        <v>11</v>
      </c>
      <c r="L293" t="str">
        <f t="shared" si="22"/>
        <v>tier - 1</v>
      </c>
      <c r="M293" t="s">
        <v>16</v>
      </c>
      <c r="N293" t="str">
        <f t="shared" si="23"/>
        <v>R1024</v>
      </c>
      <c r="O293" t="s">
        <v>247</v>
      </c>
    </row>
    <row r="294" spans="1:15" x14ac:dyDescent="0.35">
      <c r="A294" t="s">
        <v>323</v>
      </c>
      <c r="C294">
        <f t="shared" si="20"/>
        <v>1997</v>
      </c>
      <c r="D294">
        <v>1997</v>
      </c>
      <c r="E294" t="str">
        <f t="shared" si="24"/>
        <v>Aug</v>
      </c>
      <c r="F294" t="s">
        <v>35</v>
      </c>
      <c r="G294">
        <v>10</v>
      </c>
      <c r="H294">
        <v>0</v>
      </c>
      <c r="I294" s="21">
        <v>2758.99</v>
      </c>
      <c r="J294" t="str">
        <f t="shared" si="21"/>
        <v>tier - 2</v>
      </c>
      <c r="K294" t="s">
        <v>11</v>
      </c>
      <c r="L294" t="str">
        <f t="shared" si="22"/>
        <v>tier - 1</v>
      </c>
      <c r="M294" t="s">
        <v>16</v>
      </c>
      <c r="N294" t="str">
        <f t="shared" si="23"/>
        <v>R1012</v>
      </c>
      <c r="O294" t="s">
        <v>23</v>
      </c>
    </row>
    <row r="295" spans="1:15" x14ac:dyDescent="0.35">
      <c r="A295" t="s">
        <v>324</v>
      </c>
      <c r="C295">
        <f t="shared" si="20"/>
        <v>2004</v>
      </c>
      <c r="D295">
        <v>2004</v>
      </c>
      <c r="E295" t="str">
        <f t="shared" si="24"/>
        <v>Nov</v>
      </c>
      <c r="F295" t="s">
        <v>15</v>
      </c>
      <c r="G295">
        <v>14</v>
      </c>
      <c r="H295">
        <v>0</v>
      </c>
      <c r="I295" s="21">
        <v>2773.46</v>
      </c>
      <c r="J295" t="str">
        <f t="shared" si="21"/>
        <v>tier - 2</v>
      </c>
      <c r="K295" t="s">
        <v>11</v>
      </c>
      <c r="L295" t="str">
        <f t="shared" si="22"/>
        <v>tier - 1</v>
      </c>
      <c r="M295" t="s">
        <v>16</v>
      </c>
      <c r="N295" t="str">
        <f t="shared" si="23"/>
        <v>R1021</v>
      </c>
      <c r="O295" t="s">
        <v>300</v>
      </c>
    </row>
    <row r="296" spans="1:15" x14ac:dyDescent="0.35">
      <c r="A296" t="s">
        <v>31</v>
      </c>
      <c r="C296">
        <f t="shared" si="20"/>
        <v>1999</v>
      </c>
      <c r="D296">
        <v>1999</v>
      </c>
      <c r="E296" t="str">
        <f t="shared" si="24"/>
        <v>Jun</v>
      </c>
      <c r="F296" t="s">
        <v>18</v>
      </c>
      <c r="G296">
        <v>9</v>
      </c>
      <c r="H296">
        <v>1</v>
      </c>
      <c r="I296" s="21">
        <v>2775.19</v>
      </c>
      <c r="J296" t="str">
        <f t="shared" si="21"/>
        <v>tier - 2</v>
      </c>
      <c r="K296" t="s">
        <v>11</v>
      </c>
      <c r="L296" t="str">
        <f t="shared" si="22"/>
        <v>tier - 1</v>
      </c>
      <c r="M296" t="s">
        <v>16</v>
      </c>
      <c r="N296" t="str">
        <f t="shared" si="23"/>
        <v>R1012</v>
      </c>
      <c r="O296" t="s">
        <v>23</v>
      </c>
    </row>
    <row r="297" spans="1:15" x14ac:dyDescent="0.35">
      <c r="A297" t="s">
        <v>325</v>
      </c>
      <c r="C297">
        <f t="shared" si="20"/>
        <v>1999</v>
      </c>
      <c r="D297">
        <v>1999</v>
      </c>
      <c r="E297" t="str">
        <f t="shared" si="24"/>
        <v>Aug</v>
      </c>
      <c r="F297" t="s">
        <v>35</v>
      </c>
      <c r="G297">
        <v>29</v>
      </c>
      <c r="H297">
        <v>1</v>
      </c>
      <c r="I297" s="21">
        <v>2775.19</v>
      </c>
      <c r="J297" t="str">
        <f t="shared" si="21"/>
        <v>tier - 2</v>
      </c>
      <c r="K297" t="s">
        <v>11</v>
      </c>
      <c r="L297" t="str">
        <f t="shared" si="22"/>
        <v>tier - 1</v>
      </c>
      <c r="M297" t="s">
        <v>16</v>
      </c>
      <c r="N297" t="str">
        <f t="shared" si="23"/>
        <v>R1012</v>
      </c>
      <c r="O297" t="s">
        <v>23</v>
      </c>
    </row>
    <row r="298" spans="1:15" x14ac:dyDescent="0.35">
      <c r="A298" t="s">
        <v>326</v>
      </c>
      <c r="C298">
        <f t="shared" si="20"/>
        <v>1999</v>
      </c>
      <c r="D298">
        <v>1999</v>
      </c>
      <c r="E298" t="str">
        <f t="shared" si="24"/>
        <v>Dec</v>
      </c>
      <c r="F298" t="s">
        <v>30</v>
      </c>
      <c r="G298">
        <v>24</v>
      </c>
      <c r="H298">
        <v>1</v>
      </c>
      <c r="I298" s="21">
        <v>2789.06</v>
      </c>
      <c r="J298" t="str">
        <f t="shared" si="21"/>
        <v>tier - 2</v>
      </c>
      <c r="K298" t="s">
        <v>11</v>
      </c>
      <c r="L298" t="str">
        <f t="shared" si="22"/>
        <v>tier - 3</v>
      </c>
      <c r="M298" t="s">
        <v>12</v>
      </c>
      <c r="N298" t="str">
        <f t="shared" si="23"/>
        <v>R1012</v>
      </c>
      <c r="O298" t="s">
        <v>23</v>
      </c>
    </row>
    <row r="299" spans="1:15" x14ac:dyDescent="0.35">
      <c r="A299" t="s">
        <v>327</v>
      </c>
      <c r="C299">
        <f t="shared" si="20"/>
        <v>2004</v>
      </c>
      <c r="D299">
        <v>2004</v>
      </c>
      <c r="E299" t="str">
        <f t="shared" si="24"/>
        <v>Aug</v>
      </c>
      <c r="F299" t="s">
        <v>35</v>
      </c>
      <c r="G299">
        <v>4</v>
      </c>
      <c r="H299">
        <v>2</v>
      </c>
      <c r="I299" s="21">
        <v>2801.26</v>
      </c>
      <c r="J299" t="str">
        <f t="shared" si="21"/>
        <v>tier - 2</v>
      </c>
      <c r="K299" t="s">
        <v>11</v>
      </c>
      <c r="L299" t="str">
        <f t="shared" si="22"/>
        <v>tier - 3</v>
      </c>
      <c r="M299" t="s">
        <v>12</v>
      </c>
      <c r="N299" t="str">
        <f t="shared" si="23"/>
        <v>R1013</v>
      </c>
      <c r="O299" t="s">
        <v>13</v>
      </c>
    </row>
    <row r="300" spans="1:15" x14ac:dyDescent="0.35">
      <c r="A300" t="s">
        <v>328</v>
      </c>
      <c r="C300">
        <f t="shared" si="20"/>
        <v>2003</v>
      </c>
      <c r="D300">
        <v>2003</v>
      </c>
      <c r="E300" t="str">
        <f t="shared" si="24"/>
        <v>Sep</v>
      </c>
      <c r="F300" t="s">
        <v>20</v>
      </c>
      <c r="G300">
        <v>23</v>
      </c>
      <c r="H300">
        <v>2</v>
      </c>
      <c r="I300" s="21">
        <v>2803.7</v>
      </c>
      <c r="J300" t="str">
        <f t="shared" si="21"/>
        <v>tier - 2</v>
      </c>
      <c r="K300" t="s">
        <v>11</v>
      </c>
      <c r="L300" t="str">
        <f t="shared" si="22"/>
        <v>tier - 1</v>
      </c>
      <c r="M300" t="s">
        <v>16</v>
      </c>
      <c r="N300" t="str">
        <f t="shared" si="23"/>
        <v>R1012</v>
      </c>
      <c r="O300" t="s">
        <v>23</v>
      </c>
    </row>
    <row r="301" spans="1:15" x14ac:dyDescent="0.35">
      <c r="A301" t="s">
        <v>329</v>
      </c>
      <c r="C301">
        <f t="shared" si="20"/>
        <v>2000</v>
      </c>
      <c r="D301">
        <v>2000</v>
      </c>
      <c r="E301" t="str">
        <f t="shared" si="24"/>
        <v>Oct</v>
      </c>
      <c r="F301" t="s">
        <v>37</v>
      </c>
      <c r="G301">
        <v>1</v>
      </c>
      <c r="H301">
        <v>0</v>
      </c>
      <c r="I301" s="21">
        <v>2819.51</v>
      </c>
      <c r="J301" t="str">
        <f t="shared" si="21"/>
        <v>tier - 2</v>
      </c>
      <c r="K301" t="s">
        <v>11</v>
      </c>
      <c r="L301" t="str">
        <f t="shared" si="22"/>
        <v>tier - 3</v>
      </c>
      <c r="M301" t="s">
        <v>12</v>
      </c>
      <c r="N301" t="str">
        <f t="shared" si="23"/>
        <v>R1011</v>
      </c>
      <c r="O301" t="s">
        <v>42</v>
      </c>
    </row>
    <row r="302" spans="1:15" x14ac:dyDescent="0.35">
      <c r="A302" t="s">
        <v>330</v>
      </c>
      <c r="C302">
        <f t="shared" si="20"/>
        <v>1998</v>
      </c>
      <c r="D302">
        <v>1998</v>
      </c>
      <c r="E302" t="str">
        <f t="shared" si="24"/>
        <v>Nov</v>
      </c>
      <c r="F302" t="s">
        <v>15</v>
      </c>
      <c r="G302">
        <v>15</v>
      </c>
      <c r="H302">
        <v>0</v>
      </c>
      <c r="I302" s="21">
        <v>2842.76</v>
      </c>
      <c r="J302" t="str">
        <f t="shared" si="21"/>
        <v>tier - 2</v>
      </c>
      <c r="K302" t="s">
        <v>11</v>
      </c>
      <c r="L302" t="str">
        <f t="shared" si="22"/>
        <v>tier - 3</v>
      </c>
      <c r="M302" t="s">
        <v>12</v>
      </c>
      <c r="N302" t="str">
        <f t="shared" si="23"/>
        <v>R1012</v>
      </c>
      <c r="O302" t="s">
        <v>23</v>
      </c>
    </row>
    <row r="303" spans="1:15" x14ac:dyDescent="0.35">
      <c r="A303" t="s">
        <v>331</v>
      </c>
      <c r="C303">
        <f t="shared" si="20"/>
        <v>1998</v>
      </c>
      <c r="D303">
        <v>1998</v>
      </c>
      <c r="E303" t="str">
        <f t="shared" si="24"/>
        <v>Jun</v>
      </c>
      <c r="F303" t="s">
        <v>18</v>
      </c>
      <c r="G303">
        <v>17</v>
      </c>
      <c r="H303">
        <v>0</v>
      </c>
      <c r="I303" s="21">
        <v>2850.68</v>
      </c>
      <c r="J303" t="str">
        <f t="shared" si="21"/>
        <v>tier - 2</v>
      </c>
      <c r="K303" t="s">
        <v>11</v>
      </c>
      <c r="L303" t="str">
        <f t="shared" si="22"/>
        <v>tier - 3</v>
      </c>
      <c r="M303" t="s">
        <v>12</v>
      </c>
      <c r="N303" t="str">
        <f t="shared" si="23"/>
        <v>R1012</v>
      </c>
      <c r="O303" t="s">
        <v>23</v>
      </c>
    </row>
    <row r="304" spans="1:15" x14ac:dyDescent="0.35">
      <c r="A304" t="s">
        <v>332</v>
      </c>
      <c r="C304">
        <f t="shared" si="20"/>
        <v>1998</v>
      </c>
      <c r="D304">
        <v>1998</v>
      </c>
      <c r="E304" t="str">
        <f t="shared" si="24"/>
        <v>Sep</v>
      </c>
      <c r="F304" t="s">
        <v>20</v>
      </c>
      <c r="G304">
        <v>4</v>
      </c>
      <c r="H304">
        <v>0</v>
      </c>
      <c r="I304" s="21">
        <v>2855.44</v>
      </c>
      <c r="J304" t="str">
        <f t="shared" si="21"/>
        <v>tier - 2</v>
      </c>
      <c r="K304" t="s">
        <v>11</v>
      </c>
      <c r="L304" t="str">
        <f t="shared" si="22"/>
        <v>tier - 3</v>
      </c>
      <c r="M304" t="s">
        <v>12</v>
      </c>
      <c r="N304" t="str">
        <f t="shared" si="23"/>
        <v>R1012</v>
      </c>
      <c r="O304" t="s">
        <v>23</v>
      </c>
    </row>
    <row r="305" spans="1:15" x14ac:dyDescent="0.35">
      <c r="A305" t="s">
        <v>333</v>
      </c>
      <c r="C305">
        <f t="shared" si="20"/>
        <v>1993</v>
      </c>
      <c r="D305">
        <v>1993</v>
      </c>
      <c r="E305" t="str">
        <f t="shared" si="24"/>
        <v>Nov</v>
      </c>
      <c r="F305" t="s">
        <v>15</v>
      </c>
      <c r="G305">
        <v>1</v>
      </c>
      <c r="H305">
        <v>0</v>
      </c>
      <c r="I305" s="21">
        <v>2866.09</v>
      </c>
      <c r="J305" t="str">
        <f t="shared" si="21"/>
        <v>tier - 3</v>
      </c>
      <c r="K305" t="s">
        <v>12</v>
      </c>
      <c r="L305" t="str">
        <f t="shared" si="22"/>
        <v>tier - 3</v>
      </c>
      <c r="M305" t="s">
        <v>12</v>
      </c>
      <c r="N305" t="str">
        <f t="shared" si="23"/>
        <v>R1011</v>
      </c>
      <c r="O305" t="s">
        <v>42</v>
      </c>
    </row>
    <row r="306" spans="1:15" x14ac:dyDescent="0.35">
      <c r="A306" t="s">
        <v>334</v>
      </c>
      <c r="C306">
        <f t="shared" si="20"/>
        <v>1993</v>
      </c>
      <c r="D306">
        <v>1993</v>
      </c>
      <c r="E306" t="str">
        <f t="shared" si="24"/>
        <v>Aug</v>
      </c>
      <c r="F306" t="s">
        <v>35</v>
      </c>
      <c r="G306">
        <v>12</v>
      </c>
      <c r="H306">
        <v>0</v>
      </c>
      <c r="I306" s="21">
        <v>2867.12</v>
      </c>
      <c r="J306" t="str">
        <f t="shared" si="21"/>
        <v>tier - 1</v>
      </c>
      <c r="K306" t="s">
        <v>16</v>
      </c>
      <c r="L306" t="str">
        <f t="shared" si="22"/>
        <v>tier - 3</v>
      </c>
      <c r="M306" t="s">
        <v>12</v>
      </c>
      <c r="N306" t="str">
        <f t="shared" si="23"/>
        <v>R1013</v>
      </c>
      <c r="O306" t="s">
        <v>13</v>
      </c>
    </row>
    <row r="307" spans="1:15" x14ac:dyDescent="0.35">
      <c r="A307" t="s">
        <v>335</v>
      </c>
      <c r="C307">
        <f t="shared" si="20"/>
        <v>1996</v>
      </c>
      <c r="D307">
        <v>1996</v>
      </c>
      <c r="E307" t="str">
        <f t="shared" si="24"/>
        <v>Jun</v>
      </c>
      <c r="F307" t="s">
        <v>18</v>
      </c>
      <c r="G307">
        <v>21</v>
      </c>
      <c r="H307">
        <v>0</v>
      </c>
      <c r="I307" s="21">
        <v>2897.32</v>
      </c>
      <c r="J307" t="str">
        <f t="shared" si="21"/>
        <v>tier - 3</v>
      </c>
      <c r="K307" t="s">
        <v>12</v>
      </c>
      <c r="L307" t="str">
        <f t="shared" si="22"/>
        <v>tier - 3</v>
      </c>
      <c r="M307" t="s">
        <v>12</v>
      </c>
      <c r="N307" t="str">
        <f t="shared" si="23"/>
        <v>R1016</v>
      </c>
      <c r="O307" t="s">
        <v>168</v>
      </c>
    </row>
    <row r="308" spans="1:15" x14ac:dyDescent="0.35">
      <c r="A308" t="s">
        <v>336</v>
      </c>
      <c r="C308">
        <f t="shared" si="20"/>
        <v>2000</v>
      </c>
      <c r="D308">
        <v>2000</v>
      </c>
      <c r="E308" t="str">
        <f t="shared" si="24"/>
        <v>Jul</v>
      </c>
      <c r="F308" t="s">
        <v>10</v>
      </c>
      <c r="G308">
        <v>14</v>
      </c>
      <c r="H308">
        <v>0</v>
      </c>
      <c r="I308" s="21">
        <v>2897.46</v>
      </c>
      <c r="J308" t="str">
        <f t="shared" si="21"/>
        <v>tier - 2</v>
      </c>
      <c r="K308" t="s">
        <v>11</v>
      </c>
      <c r="L308" t="str">
        <f t="shared" si="22"/>
        <v>tier - 1</v>
      </c>
      <c r="M308" t="s">
        <v>16</v>
      </c>
      <c r="N308" t="str">
        <f t="shared" si="23"/>
        <v>R1012</v>
      </c>
      <c r="O308" t="s">
        <v>23</v>
      </c>
    </row>
    <row r="309" spans="1:15" x14ac:dyDescent="0.35">
      <c r="A309" t="s">
        <v>337</v>
      </c>
      <c r="C309">
        <f t="shared" si="20"/>
        <v>1999</v>
      </c>
      <c r="D309">
        <v>1999</v>
      </c>
      <c r="E309" t="str">
        <f t="shared" si="24"/>
        <v>Nov</v>
      </c>
      <c r="F309" t="s">
        <v>15</v>
      </c>
      <c r="G309">
        <v>1</v>
      </c>
      <c r="H309">
        <v>0</v>
      </c>
      <c r="I309" s="21">
        <v>2899.49</v>
      </c>
      <c r="J309" t="str">
        <f t="shared" si="21"/>
        <v>tier - 2</v>
      </c>
      <c r="K309" t="s">
        <v>11</v>
      </c>
      <c r="L309" t="str">
        <f t="shared" si="22"/>
        <v>tier - 2</v>
      </c>
      <c r="M309" t="s">
        <v>11</v>
      </c>
      <c r="N309" t="str">
        <f t="shared" si="23"/>
        <v>R1024</v>
      </c>
      <c r="O309" t="s">
        <v>247</v>
      </c>
    </row>
    <row r="310" spans="1:15" x14ac:dyDescent="0.35">
      <c r="A310" t="s">
        <v>338</v>
      </c>
      <c r="C310">
        <f t="shared" si="20"/>
        <v>1996</v>
      </c>
      <c r="D310">
        <v>1996</v>
      </c>
      <c r="E310" t="str">
        <f t="shared" si="24"/>
        <v>Oct</v>
      </c>
      <c r="F310" t="s">
        <v>37</v>
      </c>
      <c r="G310">
        <v>24</v>
      </c>
      <c r="H310">
        <v>1</v>
      </c>
      <c r="I310" s="21">
        <v>2902.91</v>
      </c>
      <c r="J310" t="str">
        <f t="shared" si="21"/>
        <v>tier - 2</v>
      </c>
      <c r="K310" t="s">
        <v>11</v>
      </c>
      <c r="L310" t="str">
        <f t="shared" si="22"/>
        <v>tier - 2</v>
      </c>
      <c r="M310" t="s">
        <v>11</v>
      </c>
      <c r="N310" t="str">
        <f t="shared" si="23"/>
        <v>R1013</v>
      </c>
      <c r="O310" t="s">
        <v>13</v>
      </c>
    </row>
    <row r="311" spans="1:15" x14ac:dyDescent="0.35">
      <c r="A311" t="s">
        <v>339</v>
      </c>
      <c r="C311">
        <f t="shared" si="20"/>
        <v>1996</v>
      </c>
      <c r="D311">
        <v>1996</v>
      </c>
      <c r="E311" t="str">
        <f t="shared" si="24"/>
        <v>Jun</v>
      </c>
      <c r="F311" t="s">
        <v>18</v>
      </c>
      <c r="G311">
        <v>13</v>
      </c>
      <c r="H311">
        <v>1</v>
      </c>
      <c r="I311" s="21">
        <v>2904.09</v>
      </c>
      <c r="J311" t="str">
        <f t="shared" si="21"/>
        <v>tier - 2</v>
      </c>
      <c r="K311" t="s">
        <v>11</v>
      </c>
      <c r="L311" t="str">
        <f t="shared" si="22"/>
        <v>tier - 2</v>
      </c>
      <c r="M311" t="s">
        <v>11</v>
      </c>
      <c r="N311" t="str">
        <f t="shared" si="23"/>
        <v>R1011</v>
      </c>
      <c r="O311" t="s">
        <v>42</v>
      </c>
    </row>
    <row r="312" spans="1:15" x14ac:dyDescent="0.35">
      <c r="A312" t="s">
        <v>340</v>
      </c>
      <c r="C312">
        <f t="shared" si="20"/>
        <v>2003</v>
      </c>
      <c r="D312">
        <v>2003</v>
      </c>
      <c r="E312" t="str">
        <f t="shared" si="24"/>
        <v>Jun</v>
      </c>
      <c r="F312" t="s">
        <v>18</v>
      </c>
      <c r="G312">
        <v>5</v>
      </c>
      <c r="H312">
        <v>2</v>
      </c>
      <c r="I312" s="21">
        <v>2913.57</v>
      </c>
      <c r="J312" t="str">
        <f t="shared" si="21"/>
        <v>tier - 2</v>
      </c>
      <c r="K312" t="s">
        <v>11</v>
      </c>
      <c r="L312" t="str">
        <f t="shared" si="22"/>
        <v>tier - 2</v>
      </c>
      <c r="M312" t="s">
        <v>11</v>
      </c>
      <c r="N312" t="str">
        <f t="shared" si="23"/>
        <v>R1011</v>
      </c>
      <c r="O312" t="s">
        <v>42</v>
      </c>
    </row>
    <row r="313" spans="1:15" x14ac:dyDescent="0.35">
      <c r="A313" t="s">
        <v>341</v>
      </c>
      <c r="C313">
        <f t="shared" si="20"/>
        <v>1996</v>
      </c>
      <c r="D313">
        <v>1996</v>
      </c>
      <c r="E313" t="str">
        <f t="shared" si="24"/>
        <v>Jun</v>
      </c>
      <c r="F313" t="s">
        <v>18</v>
      </c>
      <c r="G313">
        <v>30</v>
      </c>
      <c r="H313">
        <v>1</v>
      </c>
      <c r="I313" s="21">
        <v>2927.06</v>
      </c>
      <c r="J313" t="str">
        <f t="shared" si="21"/>
        <v>tier - 2</v>
      </c>
      <c r="K313" t="s">
        <v>11</v>
      </c>
      <c r="L313" t="str">
        <f t="shared" si="22"/>
        <v>tier - 2</v>
      </c>
      <c r="M313" t="s">
        <v>11</v>
      </c>
      <c r="N313" t="str">
        <f t="shared" si="23"/>
        <v>R1013</v>
      </c>
      <c r="O313" t="s">
        <v>13</v>
      </c>
    </row>
    <row r="314" spans="1:15" x14ac:dyDescent="0.35">
      <c r="A314" t="s">
        <v>342</v>
      </c>
      <c r="C314">
        <f t="shared" si="20"/>
        <v>2002</v>
      </c>
      <c r="D314">
        <v>2002</v>
      </c>
      <c r="E314" t="str">
        <f t="shared" si="24"/>
        <v>Sep</v>
      </c>
      <c r="F314" t="s">
        <v>20</v>
      </c>
      <c r="G314">
        <v>30</v>
      </c>
      <c r="H314">
        <v>0</v>
      </c>
      <c r="I314" s="21">
        <v>2943.41</v>
      </c>
      <c r="J314" t="str">
        <f t="shared" si="21"/>
        <v>tier - 2</v>
      </c>
      <c r="K314" t="s">
        <v>11</v>
      </c>
      <c r="L314" t="str">
        <f t="shared" si="22"/>
        <v>tier - 3</v>
      </c>
      <c r="M314" t="s">
        <v>12</v>
      </c>
      <c r="N314" t="str">
        <f t="shared" si="23"/>
        <v>R1012</v>
      </c>
      <c r="O314" t="s">
        <v>23</v>
      </c>
    </row>
    <row r="315" spans="1:15" x14ac:dyDescent="0.35">
      <c r="A315" t="s">
        <v>343</v>
      </c>
      <c r="C315">
        <f t="shared" si="20"/>
        <v>1995</v>
      </c>
      <c r="D315">
        <v>1995</v>
      </c>
      <c r="E315" t="str">
        <f t="shared" si="24"/>
        <v>Sep</v>
      </c>
      <c r="F315" t="s">
        <v>20</v>
      </c>
      <c r="G315">
        <v>24</v>
      </c>
      <c r="H315">
        <v>0</v>
      </c>
      <c r="I315" s="21">
        <v>2974.13</v>
      </c>
      <c r="J315" t="str">
        <f t="shared" si="21"/>
        <v>tier - 2</v>
      </c>
      <c r="K315" t="s">
        <v>11</v>
      </c>
      <c r="L315" t="str">
        <f t="shared" si="22"/>
        <v>tier - 1</v>
      </c>
      <c r="M315" t="s">
        <v>16</v>
      </c>
      <c r="N315" t="str">
        <f t="shared" si="23"/>
        <v>R1011</v>
      </c>
      <c r="O315" t="s">
        <v>42</v>
      </c>
    </row>
    <row r="316" spans="1:15" x14ac:dyDescent="0.35">
      <c r="A316" t="s">
        <v>344</v>
      </c>
      <c r="C316">
        <f t="shared" si="20"/>
        <v>1987</v>
      </c>
      <c r="D316">
        <v>1987</v>
      </c>
      <c r="E316" t="str">
        <f t="shared" si="24"/>
        <v>Jun</v>
      </c>
      <c r="F316" t="s">
        <v>18</v>
      </c>
      <c r="G316">
        <v>18</v>
      </c>
      <c r="H316">
        <v>3</v>
      </c>
      <c r="I316" s="21">
        <v>2979.52</v>
      </c>
      <c r="J316" t="str">
        <f t="shared" si="21"/>
        <v>tier - 2</v>
      </c>
      <c r="K316" t="s">
        <v>11</v>
      </c>
      <c r="L316" t="str">
        <f t="shared" si="22"/>
        <v>tier - 3</v>
      </c>
      <c r="M316" t="s">
        <v>12</v>
      </c>
      <c r="N316" t="str">
        <f t="shared" si="23"/>
        <v>R1013</v>
      </c>
      <c r="O316" t="s">
        <v>13</v>
      </c>
    </row>
    <row r="317" spans="1:15" x14ac:dyDescent="0.35">
      <c r="A317" t="s">
        <v>345</v>
      </c>
      <c r="C317">
        <f t="shared" si="20"/>
        <v>1991</v>
      </c>
      <c r="D317">
        <v>1991</v>
      </c>
      <c r="E317" t="str">
        <f t="shared" si="24"/>
        <v>Nov</v>
      </c>
      <c r="F317" t="s">
        <v>15</v>
      </c>
      <c r="G317">
        <v>20</v>
      </c>
      <c r="H317">
        <v>3</v>
      </c>
      <c r="I317" s="21">
        <v>2985.67</v>
      </c>
      <c r="J317" t="str">
        <f t="shared" si="21"/>
        <v>tier - 2</v>
      </c>
      <c r="K317" t="s">
        <v>11</v>
      </c>
      <c r="L317" t="str">
        <f t="shared" si="22"/>
        <v>tier - 2</v>
      </c>
      <c r="M317" t="s">
        <v>11</v>
      </c>
      <c r="N317" t="str">
        <f t="shared" si="23"/>
        <v>R1013</v>
      </c>
      <c r="O317" t="s">
        <v>13</v>
      </c>
    </row>
    <row r="318" spans="1:15" x14ac:dyDescent="0.35">
      <c r="A318" t="s">
        <v>346</v>
      </c>
      <c r="C318">
        <f t="shared" si="20"/>
        <v>2002</v>
      </c>
      <c r="D318">
        <v>2002</v>
      </c>
      <c r="E318" t="str">
        <f t="shared" si="24"/>
        <v>Dec</v>
      </c>
      <c r="F318" t="s">
        <v>30</v>
      </c>
      <c r="G318">
        <v>15</v>
      </c>
      <c r="H318">
        <v>0</v>
      </c>
      <c r="I318" s="21">
        <v>3012.22</v>
      </c>
      <c r="J318" t="str">
        <f t="shared" si="21"/>
        <v>tier - 2</v>
      </c>
      <c r="K318" t="s">
        <v>11</v>
      </c>
      <c r="L318" t="str">
        <f t="shared" si="22"/>
        <v>tier - 3</v>
      </c>
      <c r="M318" t="s">
        <v>12</v>
      </c>
      <c r="N318" t="str">
        <f t="shared" si="23"/>
        <v>R1012</v>
      </c>
      <c r="O318" t="s">
        <v>23</v>
      </c>
    </row>
    <row r="319" spans="1:15" x14ac:dyDescent="0.35">
      <c r="A319" t="s">
        <v>347</v>
      </c>
      <c r="C319">
        <f t="shared" si="20"/>
        <v>1988</v>
      </c>
      <c r="D319">
        <v>1988</v>
      </c>
      <c r="E319" t="str">
        <f t="shared" si="24"/>
        <v>Sep</v>
      </c>
      <c r="F319" t="s">
        <v>20</v>
      </c>
      <c r="G319">
        <v>28</v>
      </c>
      <c r="H319">
        <v>3</v>
      </c>
      <c r="I319" s="21">
        <v>3018.04</v>
      </c>
      <c r="J319" t="str">
        <f t="shared" si="21"/>
        <v>tier - 2</v>
      </c>
      <c r="K319" t="s">
        <v>11</v>
      </c>
      <c r="L319" t="str">
        <f t="shared" si="22"/>
        <v>tier - 2</v>
      </c>
      <c r="M319" t="s">
        <v>11</v>
      </c>
      <c r="N319" t="str">
        <f t="shared" si="23"/>
        <v>R1012</v>
      </c>
      <c r="O319" t="s">
        <v>23</v>
      </c>
    </row>
    <row r="320" spans="1:15" x14ac:dyDescent="0.35">
      <c r="A320" t="s">
        <v>348</v>
      </c>
      <c r="C320">
        <f t="shared" si="20"/>
        <v>1997</v>
      </c>
      <c r="D320">
        <v>1997</v>
      </c>
      <c r="E320" t="str">
        <f t="shared" si="24"/>
        <v>Dec</v>
      </c>
      <c r="F320" t="s">
        <v>30</v>
      </c>
      <c r="G320">
        <v>19</v>
      </c>
      <c r="H320">
        <v>0</v>
      </c>
      <c r="I320" s="21">
        <v>3021.81</v>
      </c>
      <c r="J320" t="str">
        <f t="shared" si="21"/>
        <v>tier - 2</v>
      </c>
      <c r="K320" t="s">
        <v>11</v>
      </c>
      <c r="L320" t="str">
        <f t="shared" si="22"/>
        <v>tier - 3</v>
      </c>
      <c r="M320" t="s">
        <v>12</v>
      </c>
      <c r="N320" t="str">
        <f t="shared" si="23"/>
        <v>R1012</v>
      </c>
      <c r="O320" t="s">
        <v>23</v>
      </c>
    </row>
    <row r="321" spans="1:15" x14ac:dyDescent="0.35">
      <c r="A321" t="s">
        <v>349</v>
      </c>
      <c r="C321">
        <f t="shared" si="20"/>
        <v>1998</v>
      </c>
      <c r="D321">
        <v>1998</v>
      </c>
      <c r="E321" t="str">
        <f t="shared" si="24"/>
        <v>Sep</v>
      </c>
      <c r="F321" t="s">
        <v>20</v>
      </c>
      <c r="G321">
        <v>15</v>
      </c>
      <c r="H321">
        <v>0</v>
      </c>
      <c r="I321" s="21">
        <v>3044.21</v>
      </c>
      <c r="J321" t="str">
        <f t="shared" si="21"/>
        <v>tier - 2</v>
      </c>
      <c r="K321" t="s">
        <v>11</v>
      </c>
      <c r="L321" t="str">
        <f t="shared" si="22"/>
        <v>tier - 3</v>
      </c>
      <c r="M321" t="s">
        <v>12</v>
      </c>
      <c r="N321" t="str">
        <f t="shared" si="23"/>
        <v>R1024</v>
      </c>
      <c r="O321" t="s">
        <v>247</v>
      </c>
    </row>
    <row r="322" spans="1:15" x14ac:dyDescent="0.35">
      <c r="A322" t="s">
        <v>350</v>
      </c>
      <c r="C322">
        <f t="shared" si="20"/>
        <v>1998</v>
      </c>
      <c r="D322">
        <v>1998</v>
      </c>
      <c r="E322" t="str">
        <f t="shared" si="24"/>
        <v>Aug</v>
      </c>
      <c r="F322" t="s">
        <v>35</v>
      </c>
      <c r="G322">
        <v>9</v>
      </c>
      <c r="H322">
        <v>0</v>
      </c>
      <c r="I322" s="21">
        <v>3046.06</v>
      </c>
      <c r="J322" t="str">
        <f t="shared" si="21"/>
        <v>tier - 2</v>
      </c>
      <c r="K322" t="s">
        <v>11</v>
      </c>
      <c r="L322" t="str">
        <f t="shared" si="22"/>
        <v>tier - 1</v>
      </c>
      <c r="M322" t="s">
        <v>16</v>
      </c>
      <c r="N322" t="str">
        <f t="shared" si="23"/>
        <v>R1023</v>
      </c>
      <c r="O322" t="s">
        <v>249</v>
      </c>
    </row>
    <row r="323" spans="1:15" x14ac:dyDescent="0.35">
      <c r="A323" t="s">
        <v>351</v>
      </c>
      <c r="C323">
        <f t="shared" ref="C323:C386" si="25">IF(OR(D323="?", ISBLANK(D323)), 1983, D323)</f>
        <v>1997</v>
      </c>
      <c r="D323">
        <v>1997</v>
      </c>
      <c r="E323" t="str">
        <f t="shared" si="24"/>
        <v>Dec</v>
      </c>
      <c r="F323" t="s">
        <v>30</v>
      </c>
      <c r="G323">
        <v>22</v>
      </c>
      <c r="H323">
        <v>0</v>
      </c>
      <c r="I323" s="21">
        <v>3051.73</v>
      </c>
      <c r="J323" t="str">
        <f t="shared" ref="J323:J386" si="26">IF(OR(K323="?", ISBLANK(K323)), "Tier 2", K323)</f>
        <v>tier - 2</v>
      </c>
      <c r="K323" t="s">
        <v>11</v>
      </c>
      <c r="L323" t="str">
        <f t="shared" ref="L323:L386" si="27">IF(OR(M323="?", ISBLANK(M323)), "Tier 2", M323)</f>
        <v>tier - 2</v>
      </c>
      <c r="M323" t="s">
        <v>11</v>
      </c>
      <c r="N323" t="str">
        <f t="shared" ref="N323:N386" si="28">IF(OR(O323="?", ISBLANK(O323)), "Unknown", O323)</f>
        <v>R1011</v>
      </c>
      <c r="O323" t="s">
        <v>42</v>
      </c>
    </row>
    <row r="324" spans="1:15" x14ac:dyDescent="0.35">
      <c r="A324" t="s">
        <v>352</v>
      </c>
      <c r="C324">
        <f t="shared" si="25"/>
        <v>2002</v>
      </c>
      <c r="D324">
        <v>2002</v>
      </c>
      <c r="E324" t="str">
        <f t="shared" ref="E324:E387" si="29">IF(OR(F324="?", ISBLANK(F324)), "Sep", F324)</f>
        <v>Jun</v>
      </c>
      <c r="F324" t="s">
        <v>18</v>
      </c>
      <c r="G324">
        <v>21</v>
      </c>
      <c r="H324">
        <v>2</v>
      </c>
      <c r="I324" s="21">
        <v>3056.39</v>
      </c>
      <c r="J324" t="str">
        <f t="shared" si="26"/>
        <v>tier - 2</v>
      </c>
      <c r="K324" t="s">
        <v>11</v>
      </c>
      <c r="L324" t="str">
        <f t="shared" si="27"/>
        <v>tier - 3</v>
      </c>
      <c r="M324" t="s">
        <v>12</v>
      </c>
      <c r="N324" t="str">
        <f t="shared" si="28"/>
        <v>R1013</v>
      </c>
      <c r="O324" t="s">
        <v>13</v>
      </c>
    </row>
    <row r="325" spans="1:15" x14ac:dyDescent="0.35">
      <c r="A325" t="s">
        <v>353</v>
      </c>
      <c r="C325">
        <f t="shared" si="25"/>
        <v>1994</v>
      </c>
      <c r="D325">
        <v>1994</v>
      </c>
      <c r="E325" t="str">
        <f t="shared" si="29"/>
        <v>Sep</v>
      </c>
      <c r="F325" t="s">
        <v>20</v>
      </c>
      <c r="G325">
        <v>26</v>
      </c>
      <c r="H325">
        <v>0</v>
      </c>
      <c r="I325" s="21">
        <v>3062.51</v>
      </c>
      <c r="J325" t="str">
        <f t="shared" si="26"/>
        <v>tier - 3</v>
      </c>
      <c r="K325" t="s">
        <v>12</v>
      </c>
      <c r="L325" t="str">
        <f t="shared" si="27"/>
        <v>tier - 1</v>
      </c>
      <c r="M325" t="s">
        <v>16</v>
      </c>
      <c r="N325" t="str">
        <f t="shared" si="28"/>
        <v>R1012</v>
      </c>
      <c r="O325" t="s">
        <v>23</v>
      </c>
    </row>
    <row r="326" spans="1:15" x14ac:dyDescent="0.35">
      <c r="A326" t="s">
        <v>354</v>
      </c>
      <c r="C326">
        <f t="shared" si="25"/>
        <v>1989</v>
      </c>
      <c r="D326">
        <v>1989</v>
      </c>
      <c r="E326" t="str">
        <f t="shared" si="29"/>
        <v>Oct</v>
      </c>
      <c r="F326" t="s">
        <v>37</v>
      </c>
      <c r="G326">
        <v>1</v>
      </c>
      <c r="H326">
        <v>3</v>
      </c>
      <c r="I326" s="21">
        <v>3065.49</v>
      </c>
      <c r="J326" t="str">
        <f t="shared" si="26"/>
        <v>tier - 2</v>
      </c>
      <c r="K326" t="s">
        <v>11</v>
      </c>
      <c r="L326" t="str">
        <f t="shared" si="27"/>
        <v>tier - 1</v>
      </c>
      <c r="M326" t="s">
        <v>16</v>
      </c>
      <c r="N326" t="str">
        <f t="shared" si="28"/>
        <v>R1012</v>
      </c>
      <c r="O326" t="s">
        <v>23</v>
      </c>
    </row>
    <row r="327" spans="1:15" x14ac:dyDescent="0.35">
      <c r="A327" t="s">
        <v>355</v>
      </c>
      <c r="C327">
        <f t="shared" si="25"/>
        <v>1995</v>
      </c>
      <c r="D327">
        <v>1995</v>
      </c>
      <c r="E327" t="str">
        <f t="shared" si="29"/>
        <v>Sep</v>
      </c>
      <c r="F327" t="s">
        <v>20</v>
      </c>
      <c r="G327">
        <v>10</v>
      </c>
      <c r="H327">
        <v>0</v>
      </c>
      <c r="I327" s="21">
        <v>3070.81</v>
      </c>
      <c r="J327" t="str">
        <f t="shared" si="26"/>
        <v>tier - 3</v>
      </c>
      <c r="K327" t="s">
        <v>12</v>
      </c>
      <c r="L327" t="str">
        <f t="shared" si="27"/>
        <v>tier - 1</v>
      </c>
      <c r="M327" t="s">
        <v>16</v>
      </c>
      <c r="N327" t="str">
        <f t="shared" si="28"/>
        <v>R1017</v>
      </c>
      <c r="O327" t="s">
        <v>356</v>
      </c>
    </row>
    <row r="328" spans="1:15" x14ac:dyDescent="0.35">
      <c r="A328" t="s">
        <v>357</v>
      </c>
      <c r="C328">
        <f t="shared" si="25"/>
        <v>2001</v>
      </c>
      <c r="D328">
        <v>2001</v>
      </c>
      <c r="E328" t="str">
        <f t="shared" si="29"/>
        <v>Oct</v>
      </c>
      <c r="F328" t="s">
        <v>37</v>
      </c>
      <c r="G328">
        <v>13</v>
      </c>
      <c r="H328">
        <v>2</v>
      </c>
      <c r="I328" s="21">
        <v>3077.1</v>
      </c>
      <c r="J328" t="str">
        <f t="shared" si="26"/>
        <v>tier - 2</v>
      </c>
      <c r="K328" t="s">
        <v>11</v>
      </c>
      <c r="L328" t="str">
        <f t="shared" si="27"/>
        <v>tier - 1</v>
      </c>
      <c r="M328" t="s">
        <v>16</v>
      </c>
      <c r="N328" t="str">
        <f t="shared" si="28"/>
        <v>R1012</v>
      </c>
      <c r="O328" t="s">
        <v>23</v>
      </c>
    </row>
    <row r="329" spans="1:15" x14ac:dyDescent="0.35">
      <c r="A329" t="s">
        <v>358</v>
      </c>
      <c r="C329">
        <f t="shared" si="25"/>
        <v>1987</v>
      </c>
      <c r="D329">
        <v>1987</v>
      </c>
      <c r="E329" t="str">
        <f t="shared" si="29"/>
        <v>Aug</v>
      </c>
      <c r="F329" t="s">
        <v>35</v>
      </c>
      <c r="G329">
        <v>1</v>
      </c>
      <c r="H329">
        <v>3</v>
      </c>
      <c r="I329" s="21">
        <v>3088.06</v>
      </c>
      <c r="J329" t="str">
        <f t="shared" si="26"/>
        <v>tier - 2</v>
      </c>
      <c r="K329" t="s">
        <v>11</v>
      </c>
      <c r="L329" t="str">
        <f t="shared" si="27"/>
        <v>tier - 2</v>
      </c>
      <c r="M329" t="s">
        <v>11</v>
      </c>
      <c r="N329" t="str">
        <f t="shared" si="28"/>
        <v>R1013</v>
      </c>
      <c r="O329" t="s">
        <v>13</v>
      </c>
    </row>
    <row r="330" spans="1:15" x14ac:dyDescent="0.35">
      <c r="A330" t="s">
        <v>359</v>
      </c>
      <c r="C330">
        <f t="shared" si="25"/>
        <v>1999</v>
      </c>
      <c r="D330">
        <v>1999</v>
      </c>
      <c r="E330" t="str">
        <f t="shared" si="29"/>
        <v>Jun</v>
      </c>
      <c r="F330" t="s">
        <v>18</v>
      </c>
      <c r="G330">
        <v>25</v>
      </c>
      <c r="H330">
        <v>0</v>
      </c>
      <c r="I330" s="21">
        <v>3128.35</v>
      </c>
      <c r="J330" t="str">
        <f t="shared" si="26"/>
        <v>tier - 2</v>
      </c>
      <c r="K330" t="s">
        <v>11</v>
      </c>
      <c r="L330" t="str">
        <f t="shared" si="27"/>
        <v>tier - 3</v>
      </c>
      <c r="M330" t="s">
        <v>12</v>
      </c>
      <c r="N330" t="str">
        <f t="shared" si="28"/>
        <v>R1021</v>
      </c>
      <c r="O330" t="s">
        <v>300</v>
      </c>
    </row>
    <row r="331" spans="1:15" x14ac:dyDescent="0.35">
      <c r="A331" t="s">
        <v>360</v>
      </c>
      <c r="C331">
        <f t="shared" si="25"/>
        <v>1994</v>
      </c>
      <c r="D331">
        <v>1994</v>
      </c>
      <c r="E331" t="str">
        <f t="shared" si="29"/>
        <v>Jul</v>
      </c>
      <c r="F331" t="s">
        <v>10</v>
      </c>
      <c r="G331">
        <v>10</v>
      </c>
      <c r="H331">
        <v>0</v>
      </c>
      <c r="I331" s="21">
        <v>3161.45</v>
      </c>
      <c r="J331" t="str">
        <f t="shared" si="26"/>
        <v>tier - 2</v>
      </c>
      <c r="K331" t="s">
        <v>11</v>
      </c>
      <c r="L331" t="str">
        <f t="shared" si="27"/>
        <v>tier - 1</v>
      </c>
      <c r="M331" t="s">
        <v>16</v>
      </c>
      <c r="N331" t="str">
        <f t="shared" si="28"/>
        <v>R1011</v>
      </c>
      <c r="O331" t="s">
        <v>42</v>
      </c>
    </row>
    <row r="332" spans="1:15" x14ac:dyDescent="0.35">
      <c r="A332" t="s">
        <v>361</v>
      </c>
      <c r="C332">
        <f t="shared" si="25"/>
        <v>1993</v>
      </c>
      <c r="D332">
        <v>1993</v>
      </c>
      <c r="E332" t="str">
        <f t="shared" si="29"/>
        <v>Sep</v>
      </c>
      <c r="F332" t="s">
        <v>20</v>
      </c>
      <c r="G332">
        <v>25</v>
      </c>
      <c r="H332">
        <v>0</v>
      </c>
      <c r="I332" s="21">
        <v>3162.02</v>
      </c>
      <c r="J332" t="str">
        <f t="shared" si="26"/>
        <v>tier - 2</v>
      </c>
      <c r="K332" t="s">
        <v>11</v>
      </c>
      <c r="L332" t="str">
        <f t="shared" si="27"/>
        <v>tier - 3</v>
      </c>
      <c r="M332" t="s">
        <v>12</v>
      </c>
      <c r="N332" t="str">
        <f t="shared" si="28"/>
        <v>R1013</v>
      </c>
      <c r="O332" t="s">
        <v>13</v>
      </c>
    </row>
    <row r="333" spans="1:15" x14ac:dyDescent="0.35">
      <c r="A333" t="s">
        <v>362</v>
      </c>
      <c r="C333">
        <f t="shared" si="25"/>
        <v>2001</v>
      </c>
      <c r="D333">
        <v>2001</v>
      </c>
      <c r="E333" t="str">
        <f t="shared" si="29"/>
        <v>Aug</v>
      </c>
      <c r="F333" t="s">
        <v>35</v>
      </c>
      <c r="G333">
        <v>29</v>
      </c>
      <c r="H333">
        <v>1</v>
      </c>
      <c r="I333" s="21">
        <v>3167.46</v>
      </c>
      <c r="J333" t="str">
        <f t="shared" si="26"/>
        <v>tier - 2</v>
      </c>
      <c r="K333" t="s">
        <v>11</v>
      </c>
      <c r="L333" t="str">
        <f t="shared" si="27"/>
        <v>tier - 3</v>
      </c>
      <c r="M333" t="s">
        <v>12</v>
      </c>
      <c r="N333" t="str">
        <f t="shared" si="28"/>
        <v>R1024</v>
      </c>
      <c r="O333" t="s">
        <v>247</v>
      </c>
    </row>
    <row r="334" spans="1:15" x14ac:dyDescent="0.35">
      <c r="A334" t="s">
        <v>363</v>
      </c>
      <c r="C334">
        <f t="shared" si="25"/>
        <v>1994</v>
      </c>
      <c r="D334">
        <v>1994</v>
      </c>
      <c r="E334" t="str">
        <f t="shared" si="29"/>
        <v>Oct</v>
      </c>
      <c r="F334" t="s">
        <v>37</v>
      </c>
      <c r="G334">
        <v>25</v>
      </c>
      <c r="H334">
        <v>0</v>
      </c>
      <c r="I334" s="21">
        <v>3171.61</v>
      </c>
      <c r="J334" t="str">
        <f t="shared" si="26"/>
        <v>tier - 2</v>
      </c>
      <c r="K334" t="s">
        <v>11</v>
      </c>
      <c r="L334" t="str">
        <f t="shared" si="27"/>
        <v>tier - 3</v>
      </c>
      <c r="M334" t="s">
        <v>12</v>
      </c>
      <c r="N334" t="str">
        <f t="shared" si="28"/>
        <v>R1013</v>
      </c>
      <c r="O334" t="s">
        <v>13</v>
      </c>
    </row>
    <row r="335" spans="1:15" x14ac:dyDescent="0.35">
      <c r="A335" t="s">
        <v>364</v>
      </c>
      <c r="C335">
        <f t="shared" si="25"/>
        <v>1994</v>
      </c>
      <c r="D335">
        <v>1994</v>
      </c>
      <c r="E335" t="str">
        <f t="shared" si="29"/>
        <v>Jul</v>
      </c>
      <c r="F335" t="s">
        <v>10</v>
      </c>
      <c r="G335">
        <v>6</v>
      </c>
      <c r="H335">
        <v>0</v>
      </c>
      <c r="I335" s="21">
        <v>3172.02</v>
      </c>
      <c r="J335" t="str">
        <f t="shared" si="26"/>
        <v>tier - 2</v>
      </c>
      <c r="K335" t="s">
        <v>11</v>
      </c>
      <c r="L335" t="str">
        <f t="shared" si="27"/>
        <v>tier - 1</v>
      </c>
      <c r="M335" t="s">
        <v>16</v>
      </c>
      <c r="N335" t="str">
        <f t="shared" si="28"/>
        <v>R1011</v>
      </c>
      <c r="O335" t="s">
        <v>42</v>
      </c>
    </row>
    <row r="336" spans="1:15" x14ac:dyDescent="0.35">
      <c r="A336" t="s">
        <v>365</v>
      </c>
      <c r="C336">
        <f t="shared" si="25"/>
        <v>1996</v>
      </c>
      <c r="D336">
        <v>1996</v>
      </c>
      <c r="E336" t="str">
        <f t="shared" si="29"/>
        <v>Aug</v>
      </c>
      <c r="F336" t="s">
        <v>35</v>
      </c>
      <c r="G336">
        <v>14</v>
      </c>
      <c r="H336">
        <v>0</v>
      </c>
      <c r="I336" s="21">
        <v>3176.29</v>
      </c>
      <c r="J336" t="str">
        <f t="shared" si="26"/>
        <v>tier - 2</v>
      </c>
      <c r="K336" t="s">
        <v>11</v>
      </c>
      <c r="L336" t="str">
        <f t="shared" si="27"/>
        <v>tier - 2</v>
      </c>
      <c r="M336" t="s">
        <v>11</v>
      </c>
      <c r="N336" t="str">
        <f t="shared" si="28"/>
        <v>R1012</v>
      </c>
      <c r="O336" t="s">
        <v>23</v>
      </c>
    </row>
    <row r="337" spans="1:15" x14ac:dyDescent="0.35">
      <c r="A337" t="s">
        <v>366</v>
      </c>
      <c r="C337">
        <f t="shared" si="25"/>
        <v>1996</v>
      </c>
      <c r="D337">
        <v>1996</v>
      </c>
      <c r="E337" t="str">
        <f t="shared" si="29"/>
        <v>Jul</v>
      </c>
      <c r="F337" t="s">
        <v>10</v>
      </c>
      <c r="G337">
        <v>3</v>
      </c>
      <c r="H337">
        <v>0</v>
      </c>
      <c r="I337" s="21">
        <v>3176.82</v>
      </c>
      <c r="J337" t="str">
        <f t="shared" si="26"/>
        <v>tier - 2</v>
      </c>
      <c r="K337" t="s">
        <v>11</v>
      </c>
      <c r="L337" t="str">
        <f t="shared" si="27"/>
        <v>tier - 1</v>
      </c>
      <c r="M337" t="s">
        <v>16</v>
      </c>
      <c r="N337" t="str">
        <f t="shared" si="28"/>
        <v>R1012</v>
      </c>
      <c r="O337" t="s">
        <v>23</v>
      </c>
    </row>
    <row r="338" spans="1:15" x14ac:dyDescent="0.35">
      <c r="A338" t="s">
        <v>367</v>
      </c>
      <c r="C338">
        <f t="shared" si="25"/>
        <v>2000</v>
      </c>
      <c r="D338">
        <v>2000</v>
      </c>
      <c r="E338" t="str">
        <f t="shared" si="29"/>
        <v>Sep</v>
      </c>
      <c r="F338" t="s">
        <v>20</v>
      </c>
      <c r="G338">
        <v>23</v>
      </c>
      <c r="H338">
        <v>0</v>
      </c>
      <c r="I338" s="21">
        <v>3179.96</v>
      </c>
      <c r="J338" t="str">
        <f t="shared" si="26"/>
        <v>tier - 2</v>
      </c>
      <c r="K338" t="s">
        <v>11</v>
      </c>
      <c r="L338" t="str">
        <f t="shared" si="27"/>
        <v>tier - 2</v>
      </c>
      <c r="M338" t="s">
        <v>11</v>
      </c>
      <c r="N338" t="str">
        <f t="shared" si="28"/>
        <v>R1012</v>
      </c>
      <c r="O338" t="s">
        <v>23</v>
      </c>
    </row>
    <row r="339" spans="1:15" x14ac:dyDescent="0.35">
      <c r="A339" t="s">
        <v>368</v>
      </c>
      <c r="C339">
        <f t="shared" si="25"/>
        <v>2001</v>
      </c>
      <c r="D339">
        <v>2001</v>
      </c>
      <c r="E339" t="str">
        <f t="shared" si="29"/>
        <v>Sep</v>
      </c>
      <c r="F339" t="s">
        <v>20</v>
      </c>
      <c r="G339">
        <v>2</v>
      </c>
      <c r="H339">
        <v>2</v>
      </c>
      <c r="I339" s="21">
        <v>3180.51</v>
      </c>
      <c r="J339" t="str">
        <f t="shared" si="26"/>
        <v>tier - 2</v>
      </c>
      <c r="K339" t="s">
        <v>11</v>
      </c>
      <c r="L339" t="str">
        <f t="shared" si="27"/>
        <v>tier - 2</v>
      </c>
      <c r="M339" t="s">
        <v>11</v>
      </c>
      <c r="N339" t="str">
        <f t="shared" si="28"/>
        <v>R1013</v>
      </c>
      <c r="O339" t="s">
        <v>13</v>
      </c>
    </row>
    <row r="340" spans="1:15" x14ac:dyDescent="0.35">
      <c r="A340" t="s">
        <v>369</v>
      </c>
      <c r="C340">
        <f t="shared" si="25"/>
        <v>1996</v>
      </c>
      <c r="D340">
        <v>1996</v>
      </c>
      <c r="E340" t="str">
        <f t="shared" si="29"/>
        <v>Oct</v>
      </c>
      <c r="F340" t="s">
        <v>37</v>
      </c>
      <c r="G340">
        <v>11</v>
      </c>
      <c r="H340">
        <v>0</v>
      </c>
      <c r="I340" s="21">
        <v>3201.25</v>
      </c>
      <c r="J340" t="str">
        <f t="shared" si="26"/>
        <v>tier - 2</v>
      </c>
      <c r="K340" t="s">
        <v>11</v>
      </c>
      <c r="L340" t="str">
        <f t="shared" si="27"/>
        <v>tier - 3</v>
      </c>
      <c r="M340" t="s">
        <v>12</v>
      </c>
      <c r="N340" t="str">
        <f t="shared" si="28"/>
        <v>R1012</v>
      </c>
      <c r="O340" t="s">
        <v>23</v>
      </c>
    </row>
    <row r="341" spans="1:15" x14ac:dyDescent="0.35">
      <c r="A341" t="s">
        <v>370</v>
      </c>
      <c r="C341">
        <f t="shared" si="25"/>
        <v>1997</v>
      </c>
      <c r="D341">
        <v>1997</v>
      </c>
      <c r="E341" t="str">
        <f t="shared" si="29"/>
        <v>Jul</v>
      </c>
      <c r="F341" t="s">
        <v>10</v>
      </c>
      <c r="G341">
        <v>5</v>
      </c>
      <c r="H341">
        <v>0</v>
      </c>
      <c r="I341" s="21">
        <v>3206.49</v>
      </c>
      <c r="J341" t="str">
        <f t="shared" si="26"/>
        <v>tier - 2</v>
      </c>
      <c r="K341" t="s">
        <v>11</v>
      </c>
      <c r="L341" t="str">
        <f t="shared" si="27"/>
        <v>tier - 3</v>
      </c>
      <c r="M341" t="s">
        <v>12</v>
      </c>
      <c r="N341" t="str">
        <f t="shared" si="28"/>
        <v>R1024</v>
      </c>
      <c r="O341" t="s">
        <v>247</v>
      </c>
    </row>
    <row r="342" spans="1:15" x14ac:dyDescent="0.35">
      <c r="A342" t="s">
        <v>371</v>
      </c>
      <c r="C342">
        <f t="shared" si="25"/>
        <v>1997</v>
      </c>
      <c r="D342">
        <v>1997</v>
      </c>
      <c r="E342" t="str">
        <f t="shared" si="29"/>
        <v>Dec</v>
      </c>
      <c r="F342" t="s">
        <v>30</v>
      </c>
      <c r="G342">
        <v>22</v>
      </c>
      <c r="H342">
        <v>1</v>
      </c>
      <c r="I342" s="21">
        <v>3208.79</v>
      </c>
      <c r="J342" t="str">
        <f t="shared" si="26"/>
        <v>tier - 2</v>
      </c>
      <c r="K342" t="s">
        <v>11</v>
      </c>
      <c r="L342" t="str">
        <f t="shared" si="27"/>
        <v>tier - 3</v>
      </c>
      <c r="M342" t="s">
        <v>12</v>
      </c>
      <c r="N342" t="str">
        <f t="shared" si="28"/>
        <v>R1011</v>
      </c>
      <c r="O342" t="s">
        <v>42</v>
      </c>
    </row>
    <row r="343" spans="1:15" x14ac:dyDescent="0.35">
      <c r="A343" t="s">
        <v>372</v>
      </c>
      <c r="C343">
        <f t="shared" si="25"/>
        <v>1997</v>
      </c>
      <c r="D343">
        <v>1997</v>
      </c>
      <c r="E343" t="str">
        <f t="shared" si="29"/>
        <v>Jul</v>
      </c>
      <c r="F343" t="s">
        <v>10</v>
      </c>
      <c r="G343">
        <v>6</v>
      </c>
      <c r="H343">
        <v>0</v>
      </c>
      <c r="I343" s="21">
        <v>3213.62</v>
      </c>
      <c r="J343" t="str">
        <f t="shared" si="26"/>
        <v>tier - 2</v>
      </c>
      <c r="K343" t="s">
        <v>11</v>
      </c>
      <c r="L343" t="str">
        <f t="shared" si="27"/>
        <v>tier - 2</v>
      </c>
      <c r="M343" t="s">
        <v>11</v>
      </c>
      <c r="N343" t="str">
        <f t="shared" si="28"/>
        <v>R1024</v>
      </c>
      <c r="O343" t="s">
        <v>247</v>
      </c>
    </row>
    <row r="344" spans="1:15" x14ac:dyDescent="0.35">
      <c r="A344" t="s">
        <v>373</v>
      </c>
      <c r="C344">
        <f t="shared" si="25"/>
        <v>1997</v>
      </c>
      <c r="D344">
        <v>1997</v>
      </c>
      <c r="E344" t="str">
        <f t="shared" si="29"/>
        <v>Aug</v>
      </c>
      <c r="F344" t="s">
        <v>35</v>
      </c>
      <c r="G344">
        <v>2</v>
      </c>
      <c r="H344">
        <v>1</v>
      </c>
      <c r="I344" s="21">
        <v>3227.12</v>
      </c>
      <c r="J344" t="str">
        <f t="shared" si="26"/>
        <v>tier - 2</v>
      </c>
      <c r="K344" t="s">
        <v>11</v>
      </c>
      <c r="L344" t="str">
        <f t="shared" si="27"/>
        <v>tier - 3</v>
      </c>
      <c r="M344" t="s">
        <v>12</v>
      </c>
      <c r="N344" t="str">
        <f t="shared" si="28"/>
        <v>R1013</v>
      </c>
      <c r="O344" t="s">
        <v>13</v>
      </c>
    </row>
    <row r="345" spans="1:15" x14ac:dyDescent="0.35">
      <c r="A345" t="s">
        <v>374</v>
      </c>
      <c r="C345">
        <f t="shared" si="25"/>
        <v>1997</v>
      </c>
      <c r="D345">
        <v>1997</v>
      </c>
      <c r="E345" t="str">
        <f t="shared" si="29"/>
        <v>Sep</v>
      </c>
      <c r="F345" t="s">
        <v>20</v>
      </c>
      <c r="G345">
        <v>2</v>
      </c>
      <c r="H345">
        <v>1</v>
      </c>
      <c r="I345" s="21">
        <v>3238.44</v>
      </c>
      <c r="J345" t="str">
        <f t="shared" si="26"/>
        <v>tier - 2</v>
      </c>
      <c r="K345" t="s">
        <v>11</v>
      </c>
      <c r="L345" t="str">
        <f t="shared" si="27"/>
        <v>tier - 3</v>
      </c>
      <c r="M345" t="s">
        <v>12</v>
      </c>
      <c r="N345" t="str">
        <f t="shared" si="28"/>
        <v>R1013</v>
      </c>
      <c r="O345" t="s">
        <v>13</v>
      </c>
    </row>
    <row r="346" spans="1:15" x14ac:dyDescent="0.35">
      <c r="A346" t="s">
        <v>375</v>
      </c>
      <c r="C346">
        <f t="shared" si="25"/>
        <v>1991</v>
      </c>
      <c r="D346">
        <v>1991</v>
      </c>
      <c r="E346" t="str">
        <f t="shared" si="29"/>
        <v>Nov</v>
      </c>
      <c r="F346" t="s">
        <v>15</v>
      </c>
      <c r="G346">
        <v>13</v>
      </c>
      <c r="H346">
        <v>0</v>
      </c>
      <c r="I346" s="21">
        <v>3260.2</v>
      </c>
      <c r="J346" t="str">
        <f t="shared" si="26"/>
        <v>tier - 3</v>
      </c>
      <c r="K346" t="s">
        <v>12</v>
      </c>
      <c r="L346" t="str">
        <f t="shared" si="27"/>
        <v>tier - 2</v>
      </c>
      <c r="M346" t="s">
        <v>11</v>
      </c>
      <c r="N346" t="str">
        <f t="shared" si="28"/>
        <v>R1011</v>
      </c>
      <c r="O346" t="s">
        <v>42</v>
      </c>
    </row>
    <row r="347" spans="1:15" x14ac:dyDescent="0.35">
      <c r="A347" t="s">
        <v>376</v>
      </c>
      <c r="C347">
        <f t="shared" si="25"/>
        <v>1994</v>
      </c>
      <c r="D347">
        <v>1994</v>
      </c>
      <c r="E347" t="str">
        <f t="shared" si="29"/>
        <v>Dec</v>
      </c>
      <c r="F347" t="s">
        <v>30</v>
      </c>
      <c r="G347">
        <v>2</v>
      </c>
      <c r="H347">
        <v>0</v>
      </c>
      <c r="I347" s="21">
        <v>3268.85</v>
      </c>
      <c r="J347" t="str">
        <f t="shared" si="26"/>
        <v>tier - 3</v>
      </c>
      <c r="K347" t="s">
        <v>12</v>
      </c>
      <c r="L347" t="str">
        <f t="shared" si="27"/>
        <v>tier - 1</v>
      </c>
      <c r="M347" t="s">
        <v>16</v>
      </c>
      <c r="N347" t="str">
        <f t="shared" si="28"/>
        <v>R1016</v>
      </c>
      <c r="O347" t="s">
        <v>168</v>
      </c>
    </row>
    <row r="348" spans="1:15" x14ac:dyDescent="0.35">
      <c r="A348" t="s">
        <v>377</v>
      </c>
      <c r="C348">
        <f t="shared" si="25"/>
        <v>1994</v>
      </c>
      <c r="D348">
        <v>1994</v>
      </c>
      <c r="E348" t="str">
        <f t="shared" si="29"/>
        <v>Jul</v>
      </c>
      <c r="F348" t="s">
        <v>10</v>
      </c>
      <c r="G348">
        <v>1</v>
      </c>
      <c r="H348">
        <v>1</v>
      </c>
      <c r="I348" s="21">
        <v>3277.16</v>
      </c>
      <c r="J348" t="str">
        <f t="shared" si="26"/>
        <v>tier - 2</v>
      </c>
      <c r="K348" t="s">
        <v>11</v>
      </c>
      <c r="L348" t="str">
        <f t="shared" si="27"/>
        <v>tier - 3</v>
      </c>
      <c r="M348" t="s">
        <v>12</v>
      </c>
      <c r="N348" t="str">
        <f t="shared" si="28"/>
        <v>R1011</v>
      </c>
      <c r="O348" t="s">
        <v>42</v>
      </c>
    </row>
    <row r="349" spans="1:15" x14ac:dyDescent="0.35">
      <c r="A349" t="s">
        <v>378</v>
      </c>
      <c r="C349">
        <f t="shared" si="25"/>
        <v>2001</v>
      </c>
      <c r="D349">
        <v>2001</v>
      </c>
      <c r="E349" t="str">
        <f t="shared" si="29"/>
        <v>Oct</v>
      </c>
      <c r="F349" t="s">
        <v>37</v>
      </c>
      <c r="G349">
        <v>6</v>
      </c>
      <c r="H349">
        <v>2</v>
      </c>
      <c r="I349" s="21">
        <v>3279.87</v>
      </c>
      <c r="J349" t="str">
        <f t="shared" si="26"/>
        <v>tier - 2</v>
      </c>
      <c r="K349" t="s">
        <v>11</v>
      </c>
      <c r="L349" t="str">
        <f t="shared" si="27"/>
        <v>tier - 1</v>
      </c>
      <c r="M349" t="s">
        <v>16</v>
      </c>
      <c r="N349" t="str">
        <f t="shared" si="28"/>
        <v>R1017</v>
      </c>
      <c r="O349" t="s">
        <v>356</v>
      </c>
    </row>
    <row r="350" spans="1:15" x14ac:dyDescent="0.35">
      <c r="A350" t="s">
        <v>379</v>
      </c>
      <c r="C350">
        <f t="shared" si="25"/>
        <v>2003</v>
      </c>
      <c r="D350">
        <v>2003</v>
      </c>
      <c r="E350" t="str">
        <f t="shared" si="29"/>
        <v>Jul</v>
      </c>
      <c r="F350" t="s">
        <v>10</v>
      </c>
      <c r="G350">
        <v>3</v>
      </c>
      <c r="H350">
        <v>0</v>
      </c>
      <c r="I350" s="21">
        <v>3280.22</v>
      </c>
      <c r="J350" t="str">
        <f t="shared" si="26"/>
        <v>tier - 2</v>
      </c>
      <c r="K350" t="s">
        <v>11</v>
      </c>
      <c r="L350" t="str">
        <f t="shared" si="27"/>
        <v>tier - 3</v>
      </c>
      <c r="M350" t="s">
        <v>12</v>
      </c>
      <c r="N350" t="str">
        <f t="shared" si="28"/>
        <v>R1011</v>
      </c>
      <c r="O350" t="s">
        <v>42</v>
      </c>
    </row>
    <row r="351" spans="1:15" x14ac:dyDescent="0.35">
      <c r="A351" t="s">
        <v>380</v>
      </c>
      <c r="C351">
        <f t="shared" si="25"/>
        <v>1996</v>
      </c>
      <c r="D351">
        <v>1996</v>
      </c>
      <c r="E351" t="str">
        <f t="shared" si="29"/>
        <v>Nov</v>
      </c>
      <c r="F351" t="s">
        <v>15</v>
      </c>
      <c r="G351">
        <v>17</v>
      </c>
      <c r="H351">
        <v>1</v>
      </c>
      <c r="I351" s="21">
        <v>3292.53</v>
      </c>
      <c r="J351" t="str">
        <f t="shared" si="26"/>
        <v>tier - 2</v>
      </c>
      <c r="K351" t="s">
        <v>11</v>
      </c>
      <c r="L351" t="str">
        <f t="shared" si="27"/>
        <v>tier - 2</v>
      </c>
      <c r="M351" t="s">
        <v>11</v>
      </c>
      <c r="N351" t="str">
        <f t="shared" si="28"/>
        <v>R1012</v>
      </c>
      <c r="O351" t="s">
        <v>23</v>
      </c>
    </row>
    <row r="352" spans="1:15" x14ac:dyDescent="0.35">
      <c r="A352" t="s">
        <v>381</v>
      </c>
      <c r="C352">
        <f t="shared" si="25"/>
        <v>2003</v>
      </c>
      <c r="D352">
        <v>2003</v>
      </c>
      <c r="E352" t="str">
        <f t="shared" si="29"/>
        <v>Dec</v>
      </c>
      <c r="F352" t="s">
        <v>30</v>
      </c>
      <c r="G352">
        <v>5</v>
      </c>
      <c r="H352">
        <v>0</v>
      </c>
      <c r="I352" s="21">
        <v>3300.7</v>
      </c>
      <c r="J352" t="str">
        <f t="shared" si="26"/>
        <v>tier - 2</v>
      </c>
      <c r="K352" t="s">
        <v>11</v>
      </c>
      <c r="L352" t="str">
        <f t="shared" si="27"/>
        <v>tier - 2</v>
      </c>
      <c r="M352" t="s">
        <v>11</v>
      </c>
      <c r="N352" t="str">
        <f t="shared" si="28"/>
        <v>R1025</v>
      </c>
      <c r="O352" t="s">
        <v>200</v>
      </c>
    </row>
    <row r="353" spans="1:15" x14ac:dyDescent="0.35">
      <c r="A353" t="s">
        <v>382</v>
      </c>
      <c r="C353">
        <f t="shared" si="25"/>
        <v>2003</v>
      </c>
      <c r="D353">
        <v>2003</v>
      </c>
      <c r="E353" t="str">
        <f t="shared" si="29"/>
        <v>Nov</v>
      </c>
      <c r="F353" t="s">
        <v>15</v>
      </c>
      <c r="G353">
        <v>18</v>
      </c>
      <c r="H353">
        <v>0</v>
      </c>
      <c r="I353" s="21">
        <v>3308.46</v>
      </c>
      <c r="J353" t="str">
        <f t="shared" si="26"/>
        <v>tier - 2</v>
      </c>
      <c r="K353" t="s">
        <v>11</v>
      </c>
      <c r="L353" t="str">
        <f t="shared" si="27"/>
        <v>tier - 1</v>
      </c>
      <c r="M353" t="s">
        <v>16</v>
      </c>
      <c r="N353" t="str">
        <f t="shared" si="28"/>
        <v>R1021</v>
      </c>
      <c r="O353" t="s">
        <v>300</v>
      </c>
    </row>
    <row r="354" spans="1:15" x14ac:dyDescent="0.35">
      <c r="A354" t="s">
        <v>383</v>
      </c>
      <c r="C354">
        <f t="shared" si="25"/>
        <v>1997</v>
      </c>
      <c r="D354">
        <v>1997</v>
      </c>
      <c r="E354" t="str">
        <f t="shared" si="29"/>
        <v>Jun</v>
      </c>
      <c r="F354" t="s">
        <v>18</v>
      </c>
      <c r="G354">
        <v>20</v>
      </c>
      <c r="H354">
        <v>1</v>
      </c>
      <c r="I354" s="21">
        <v>3309.79</v>
      </c>
      <c r="J354" t="str">
        <f t="shared" si="26"/>
        <v>tier - 3</v>
      </c>
      <c r="K354" t="s">
        <v>12</v>
      </c>
      <c r="L354" t="str">
        <f t="shared" si="27"/>
        <v>tier - 3</v>
      </c>
      <c r="M354" t="s">
        <v>12</v>
      </c>
      <c r="N354" t="str">
        <f t="shared" si="28"/>
        <v>R1017</v>
      </c>
      <c r="O354" t="s">
        <v>356</v>
      </c>
    </row>
    <row r="355" spans="1:15" x14ac:dyDescent="0.35">
      <c r="A355" t="s">
        <v>384</v>
      </c>
      <c r="C355">
        <f t="shared" si="25"/>
        <v>1991</v>
      </c>
      <c r="D355">
        <v>1991</v>
      </c>
      <c r="E355" t="str">
        <f t="shared" si="29"/>
        <v>Sep</v>
      </c>
      <c r="F355" t="s">
        <v>20</v>
      </c>
      <c r="G355">
        <v>1</v>
      </c>
      <c r="H355">
        <v>3</v>
      </c>
      <c r="I355" s="21">
        <v>3342.79</v>
      </c>
      <c r="J355" t="str">
        <f t="shared" si="26"/>
        <v>tier - 2</v>
      </c>
      <c r="K355" t="s">
        <v>11</v>
      </c>
      <c r="L355" t="str">
        <f t="shared" si="27"/>
        <v>tier - 1</v>
      </c>
      <c r="M355" t="s">
        <v>16</v>
      </c>
      <c r="N355" t="str">
        <f t="shared" si="28"/>
        <v>R1013</v>
      </c>
      <c r="O355" t="s">
        <v>13</v>
      </c>
    </row>
    <row r="356" spans="1:15" x14ac:dyDescent="0.35">
      <c r="A356" t="s">
        <v>385</v>
      </c>
      <c r="C356">
        <f t="shared" si="25"/>
        <v>1993</v>
      </c>
      <c r="D356">
        <v>1993</v>
      </c>
      <c r="E356" t="str">
        <f t="shared" si="29"/>
        <v>Oct</v>
      </c>
      <c r="F356" t="s">
        <v>37</v>
      </c>
      <c r="G356">
        <v>28</v>
      </c>
      <c r="H356">
        <v>0</v>
      </c>
      <c r="I356" s="21">
        <v>3353.28</v>
      </c>
      <c r="J356" t="str">
        <f t="shared" si="26"/>
        <v>tier - 2</v>
      </c>
      <c r="K356" t="s">
        <v>11</v>
      </c>
      <c r="L356" t="str">
        <f t="shared" si="27"/>
        <v>tier - 1</v>
      </c>
      <c r="M356" t="s">
        <v>16</v>
      </c>
      <c r="N356" t="str">
        <f t="shared" si="28"/>
        <v>R1011</v>
      </c>
      <c r="O356" t="s">
        <v>42</v>
      </c>
    </row>
    <row r="357" spans="1:15" x14ac:dyDescent="0.35">
      <c r="A357" t="s">
        <v>386</v>
      </c>
      <c r="C357">
        <f t="shared" si="25"/>
        <v>1995</v>
      </c>
      <c r="D357">
        <v>1995</v>
      </c>
      <c r="E357" t="str">
        <f t="shared" si="29"/>
        <v>Jun</v>
      </c>
      <c r="F357" t="s">
        <v>18</v>
      </c>
      <c r="G357">
        <v>23</v>
      </c>
      <c r="H357">
        <v>0</v>
      </c>
      <c r="I357" s="21">
        <v>3353.47</v>
      </c>
      <c r="J357" t="str">
        <f t="shared" si="26"/>
        <v>tier - 2</v>
      </c>
      <c r="K357" t="s">
        <v>11</v>
      </c>
      <c r="L357" t="str">
        <f t="shared" si="27"/>
        <v>tier - 3</v>
      </c>
      <c r="M357" t="s">
        <v>12</v>
      </c>
      <c r="N357" t="str">
        <f t="shared" si="28"/>
        <v>R1012</v>
      </c>
      <c r="O357" t="s">
        <v>23</v>
      </c>
    </row>
    <row r="358" spans="1:15" x14ac:dyDescent="0.35">
      <c r="A358" t="s">
        <v>387</v>
      </c>
      <c r="C358">
        <f t="shared" si="25"/>
        <v>1993</v>
      </c>
      <c r="D358">
        <v>1993</v>
      </c>
      <c r="E358" t="str">
        <f t="shared" si="29"/>
        <v>Oct</v>
      </c>
      <c r="F358" t="s">
        <v>37</v>
      </c>
      <c r="G358">
        <v>7</v>
      </c>
      <c r="H358">
        <v>0</v>
      </c>
      <c r="I358" s="21">
        <v>3366.67</v>
      </c>
      <c r="J358" t="str">
        <f t="shared" si="26"/>
        <v>tier - 2</v>
      </c>
      <c r="K358" t="s">
        <v>11</v>
      </c>
      <c r="L358" t="str">
        <f t="shared" si="27"/>
        <v>tier - 2</v>
      </c>
      <c r="M358" t="s">
        <v>11</v>
      </c>
      <c r="N358" t="str">
        <f t="shared" si="28"/>
        <v>R1013</v>
      </c>
      <c r="O358" t="s">
        <v>13</v>
      </c>
    </row>
    <row r="359" spans="1:15" x14ac:dyDescent="0.35">
      <c r="A359" t="s">
        <v>388</v>
      </c>
      <c r="C359">
        <f t="shared" si="25"/>
        <v>1996</v>
      </c>
      <c r="D359">
        <v>1996</v>
      </c>
      <c r="E359" t="str">
        <f t="shared" si="29"/>
        <v>Dec</v>
      </c>
      <c r="F359" t="s">
        <v>30</v>
      </c>
      <c r="G359">
        <v>14</v>
      </c>
      <c r="H359">
        <v>1</v>
      </c>
      <c r="I359" s="21">
        <v>3378.91</v>
      </c>
      <c r="J359" t="str">
        <f t="shared" si="26"/>
        <v>tier - 2</v>
      </c>
      <c r="K359" t="s">
        <v>11</v>
      </c>
      <c r="L359" t="str">
        <f t="shared" si="27"/>
        <v>tier - 1</v>
      </c>
      <c r="M359" t="s">
        <v>16</v>
      </c>
      <c r="N359" t="str">
        <f t="shared" si="28"/>
        <v>R1011</v>
      </c>
      <c r="O359" t="s">
        <v>42</v>
      </c>
    </row>
    <row r="360" spans="1:15" x14ac:dyDescent="0.35">
      <c r="A360" t="s">
        <v>389</v>
      </c>
      <c r="C360">
        <f t="shared" si="25"/>
        <v>1996</v>
      </c>
      <c r="D360">
        <v>1996</v>
      </c>
      <c r="E360" t="str">
        <f t="shared" si="29"/>
        <v>Nov</v>
      </c>
      <c r="F360" t="s">
        <v>15</v>
      </c>
      <c r="G360">
        <v>13</v>
      </c>
      <c r="H360">
        <v>0</v>
      </c>
      <c r="I360" s="21">
        <v>3385.4</v>
      </c>
      <c r="J360" t="str">
        <f t="shared" si="26"/>
        <v>tier - 2</v>
      </c>
      <c r="K360" t="s">
        <v>11</v>
      </c>
      <c r="L360" t="str">
        <f t="shared" si="27"/>
        <v>tier - 2</v>
      </c>
      <c r="M360" t="s">
        <v>11</v>
      </c>
      <c r="N360" t="str">
        <f t="shared" si="28"/>
        <v>R1024</v>
      </c>
      <c r="O360" t="s">
        <v>247</v>
      </c>
    </row>
    <row r="361" spans="1:15" x14ac:dyDescent="0.35">
      <c r="A361" t="s">
        <v>390</v>
      </c>
      <c r="C361">
        <f t="shared" si="25"/>
        <v>1996</v>
      </c>
      <c r="D361">
        <v>1996</v>
      </c>
      <c r="E361" t="str">
        <f t="shared" si="29"/>
        <v>Aug</v>
      </c>
      <c r="F361" t="s">
        <v>35</v>
      </c>
      <c r="G361">
        <v>10</v>
      </c>
      <c r="H361">
        <v>1</v>
      </c>
      <c r="I361" s="21">
        <v>3392.37</v>
      </c>
      <c r="J361" t="str">
        <f t="shared" si="26"/>
        <v>tier - 2</v>
      </c>
      <c r="K361" t="s">
        <v>11</v>
      </c>
      <c r="L361" t="str">
        <f t="shared" si="27"/>
        <v>tier - 3</v>
      </c>
      <c r="M361" t="s">
        <v>12</v>
      </c>
      <c r="N361" t="str">
        <f t="shared" si="28"/>
        <v>R1013</v>
      </c>
      <c r="O361" t="s">
        <v>13</v>
      </c>
    </row>
    <row r="362" spans="1:15" x14ac:dyDescent="0.35">
      <c r="A362" t="s">
        <v>391</v>
      </c>
      <c r="C362">
        <f t="shared" si="25"/>
        <v>1996</v>
      </c>
      <c r="D362">
        <v>1996</v>
      </c>
      <c r="E362" t="str">
        <f t="shared" si="29"/>
        <v>Oct</v>
      </c>
      <c r="F362" t="s">
        <v>37</v>
      </c>
      <c r="G362">
        <v>27</v>
      </c>
      <c r="H362">
        <v>1</v>
      </c>
      <c r="I362" s="21">
        <v>3392.98</v>
      </c>
      <c r="J362" t="str">
        <f t="shared" si="26"/>
        <v>tier - 2</v>
      </c>
      <c r="K362" t="s">
        <v>11</v>
      </c>
      <c r="L362" t="str">
        <f t="shared" si="27"/>
        <v>tier - 3</v>
      </c>
      <c r="M362" t="s">
        <v>12</v>
      </c>
      <c r="N362" t="str">
        <f t="shared" si="28"/>
        <v>R1013</v>
      </c>
      <c r="O362" t="s">
        <v>13</v>
      </c>
    </row>
    <row r="363" spans="1:15" x14ac:dyDescent="0.35">
      <c r="A363" t="s">
        <v>392</v>
      </c>
      <c r="C363">
        <f t="shared" si="25"/>
        <v>2004</v>
      </c>
      <c r="D363">
        <v>2004</v>
      </c>
      <c r="E363" t="str">
        <f t="shared" si="29"/>
        <v>Jul</v>
      </c>
      <c r="F363" t="s">
        <v>10</v>
      </c>
      <c r="G363">
        <v>16</v>
      </c>
      <c r="H363">
        <v>2</v>
      </c>
      <c r="I363" s="21">
        <v>3393.36</v>
      </c>
      <c r="J363" t="str">
        <f t="shared" si="26"/>
        <v>tier - 2</v>
      </c>
      <c r="K363" t="s">
        <v>11</v>
      </c>
      <c r="L363" t="str">
        <f t="shared" si="27"/>
        <v>tier - 2</v>
      </c>
      <c r="M363" t="s">
        <v>11</v>
      </c>
      <c r="N363" t="str">
        <f t="shared" si="28"/>
        <v>R1023</v>
      </c>
      <c r="O363" t="s">
        <v>249</v>
      </c>
    </row>
    <row r="364" spans="1:15" x14ac:dyDescent="0.35">
      <c r="A364" t="s">
        <v>393</v>
      </c>
      <c r="C364">
        <f t="shared" si="25"/>
        <v>1996</v>
      </c>
      <c r="D364">
        <v>1996</v>
      </c>
      <c r="E364" t="str">
        <f t="shared" si="29"/>
        <v>Dec</v>
      </c>
      <c r="F364" t="s">
        <v>30</v>
      </c>
      <c r="G364">
        <v>19</v>
      </c>
      <c r="H364">
        <v>1</v>
      </c>
      <c r="I364" s="21">
        <v>3410.32</v>
      </c>
      <c r="J364" t="str">
        <f t="shared" si="26"/>
        <v>tier - 2</v>
      </c>
      <c r="K364" t="s">
        <v>11</v>
      </c>
      <c r="L364" t="str">
        <f t="shared" si="27"/>
        <v>tier - 2</v>
      </c>
      <c r="M364" t="s">
        <v>11</v>
      </c>
      <c r="N364" t="str">
        <f t="shared" si="28"/>
        <v>R1011</v>
      </c>
      <c r="O364" t="s">
        <v>42</v>
      </c>
    </row>
    <row r="365" spans="1:15" x14ac:dyDescent="0.35">
      <c r="A365" t="s">
        <v>394</v>
      </c>
      <c r="C365">
        <f t="shared" si="25"/>
        <v>2001</v>
      </c>
      <c r="D365">
        <v>2001</v>
      </c>
      <c r="E365" t="str">
        <f t="shared" si="29"/>
        <v>Dec</v>
      </c>
      <c r="F365" t="s">
        <v>30</v>
      </c>
      <c r="G365">
        <v>26</v>
      </c>
      <c r="H365">
        <v>0</v>
      </c>
      <c r="I365" s="21">
        <v>3434.38</v>
      </c>
      <c r="J365" t="str">
        <f t="shared" si="26"/>
        <v>tier - 2</v>
      </c>
      <c r="K365" t="s">
        <v>11</v>
      </c>
      <c r="L365" t="str">
        <f t="shared" si="27"/>
        <v>tier - 2</v>
      </c>
      <c r="M365" t="s">
        <v>11</v>
      </c>
      <c r="N365" t="str">
        <f t="shared" si="28"/>
        <v>R1011</v>
      </c>
      <c r="O365" t="s">
        <v>42</v>
      </c>
    </row>
    <row r="366" spans="1:15" x14ac:dyDescent="0.35">
      <c r="A366" t="s">
        <v>395</v>
      </c>
      <c r="C366">
        <f t="shared" si="25"/>
        <v>1986</v>
      </c>
      <c r="D366">
        <v>1986</v>
      </c>
      <c r="E366" t="str">
        <f t="shared" si="29"/>
        <v>Aug</v>
      </c>
      <c r="F366" t="s">
        <v>35</v>
      </c>
      <c r="G366">
        <v>27</v>
      </c>
      <c r="H366">
        <v>3</v>
      </c>
      <c r="I366" s="21">
        <v>3436.5</v>
      </c>
      <c r="J366" t="str">
        <f t="shared" si="26"/>
        <v>tier - 2</v>
      </c>
      <c r="K366" t="s">
        <v>11</v>
      </c>
      <c r="L366" t="str">
        <f t="shared" si="27"/>
        <v>tier - 1</v>
      </c>
      <c r="M366" t="s">
        <v>16</v>
      </c>
      <c r="N366" t="str">
        <f t="shared" si="28"/>
        <v>R1013</v>
      </c>
      <c r="O366" t="s">
        <v>13</v>
      </c>
    </row>
    <row r="367" spans="1:15" x14ac:dyDescent="0.35">
      <c r="A367" t="s">
        <v>396</v>
      </c>
      <c r="C367">
        <f t="shared" si="25"/>
        <v>2000</v>
      </c>
      <c r="D367">
        <v>2000</v>
      </c>
      <c r="E367" t="str">
        <f t="shared" si="29"/>
        <v>Jun</v>
      </c>
      <c r="F367" t="s">
        <v>18</v>
      </c>
      <c r="G367">
        <v>20</v>
      </c>
      <c r="H367">
        <v>3</v>
      </c>
      <c r="I367" s="21">
        <v>3443.06</v>
      </c>
      <c r="J367" t="str">
        <f t="shared" si="26"/>
        <v>tier - 2</v>
      </c>
      <c r="K367" t="s">
        <v>11</v>
      </c>
      <c r="L367" t="str">
        <f t="shared" si="27"/>
        <v>tier - 1</v>
      </c>
      <c r="M367" t="s">
        <v>16</v>
      </c>
      <c r="N367" t="str">
        <f t="shared" si="28"/>
        <v>R1011</v>
      </c>
      <c r="O367" t="s">
        <v>42</v>
      </c>
    </row>
    <row r="368" spans="1:15" x14ac:dyDescent="0.35">
      <c r="A368" t="s">
        <v>397</v>
      </c>
      <c r="C368">
        <f t="shared" si="25"/>
        <v>1987</v>
      </c>
      <c r="D368">
        <v>1987</v>
      </c>
      <c r="E368" t="str">
        <f t="shared" si="29"/>
        <v>Sep</v>
      </c>
      <c r="F368" t="s">
        <v>20</v>
      </c>
      <c r="G368">
        <v>14</v>
      </c>
      <c r="H368">
        <v>3</v>
      </c>
      <c r="I368" s="21">
        <v>3453.77</v>
      </c>
      <c r="J368" t="str">
        <f t="shared" si="26"/>
        <v>tier - 2</v>
      </c>
      <c r="K368" t="s">
        <v>11</v>
      </c>
      <c r="L368" t="str">
        <f t="shared" si="27"/>
        <v>tier - 1</v>
      </c>
      <c r="M368" t="s">
        <v>16</v>
      </c>
      <c r="N368" t="str">
        <f t="shared" si="28"/>
        <v>R1011</v>
      </c>
      <c r="O368" t="s">
        <v>42</v>
      </c>
    </row>
    <row r="369" spans="1:15" x14ac:dyDescent="0.35">
      <c r="A369" t="s">
        <v>398</v>
      </c>
      <c r="C369">
        <f t="shared" si="25"/>
        <v>2003</v>
      </c>
      <c r="D369">
        <v>2003</v>
      </c>
      <c r="E369" t="str">
        <f t="shared" si="29"/>
        <v>Jul</v>
      </c>
      <c r="F369" t="s">
        <v>10</v>
      </c>
      <c r="G369">
        <v>29</v>
      </c>
      <c r="H369">
        <v>0</v>
      </c>
      <c r="I369" s="21">
        <v>3463.51</v>
      </c>
      <c r="J369" t="str">
        <f t="shared" si="26"/>
        <v>tier - 2</v>
      </c>
      <c r="K369" t="s">
        <v>11</v>
      </c>
      <c r="L369" t="str">
        <f t="shared" si="27"/>
        <v>tier - 1</v>
      </c>
      <c r="M369" t="s">
        <v>16</v>
      </c>
      <c r="N369" t="str">
        <f t="shared" si="28"/>
        <v>R1025</v>
      </c>
      <c r="O369" t="s">
        <v>200</v>
      </c>
    </row>
    <row r="370" spans="1:15" x14ac:dyDescent="0.35">
      <c r="A370" t="s">
        <v>399</v>
      </c>
      <c r="C370">
        <f t="shared" si="25"/>
        <v>1993</v>
      </c>
      <c r="D370">
        <v>1993</v>
      </c>
      <c r="E370" t="str">
        <f t="shared" si="29"/>
        <v>Oct</v>
      </c>
      <c r="F370" t="s">
        <v>37</v>
      </c>
      <c r="G370">
        <v>12</v>
      </c>
      <c r="H370">
        <v>1</v>
      </c>
      <c r="I370" s="21">
        <v>3471.41</v>
      </c>
      <c r="J370" t="str">
        <f t="shared" si="26"/>
        <v>tier - 2</v>
      </c>
      <c r="K370" t="s">
        <v>11</v>
      </c>
      <c r="L370" t="str">
        <f t="shared" si="27"/>
        <v>tier - 2</v>
      </c>
      <c r="M370" t="s">
        <v>11</v>
      </c>
      <c r="N370" t="str">
        <f t="shared" si="28"/>
        <v>R1013</v>
      </c>
      <c r="O370" t="s">
        <v>13</v>
      </c>
    </row>
    <row r="371" spans="1:15" x14ac:dyDescent="0.35">
      <c r="A371" t="s">
        <v>400</v>
      </c>
      <c r="C371">
        <f t="shared" si="25"/>
        <v>2004</v>
      </c>
      <c r="D371">
        <v>2004</v>
      </c>
      <c r="E371" t="str">
        <f t="shared" si="29"/>
        <v>Jun</v>
      </c>
      <c r="F371" t="s">
        <v>18</v>
      </c>
      <c r="G371">
        <v>26</v>
      </c>
      <c r="H371">
        <v>3</v>
      </c>
      <c r="I371" s="21">
        <v>3481.87</v>
      </c>
      <c r="J371" t="str">
        <f t="shared" si="26"/>
        <v>tier - 2</v>
      </c>
      <c r="K371" t="s">
        <v>11</v>
      </c>
      <c r="L371" t="str">
        <f t="shared" si="27"/>
        <v>tier - 3</v>
      </c>
      <c r="M371" t="s">
        <v>12</v>
      </c>
      <c r="N371" t="str">
        <f t="shared" si="28"/>
        <v>R1016</v>
      </c>
      <c r="O371" t="s">
        <v>168</v>
      </c>
    </row>
    <row r="372" spans="1:15" x14ac:dyDescent="0.35">
      <c r="A372" t="s">
        <v>401</v>
      </c>
      <c r="C372">
        <f t="shared" si="25"/>
        <v>1996</v>
      </c>
      <c r="D372">
        <v>1996</v>
      </c>
      <c r="E372" t="str">
        <f t="shared" si="29"/>
        <v>Sep</v>
      </c>
      <c r="F372" t="s">
        <v>20</v>
      </c>
      <c r="G372">
        <v>19</v>
      </c>
      <c r="H372">
        <v>2</v>
      </c>
      <c r="I372" s="21">
        <v>3484.33</v>
      </c>
      <c r="J372" t="str">
        <f t="shared" si="26"/>
        <v>tier - 3</v>
      </c>
      <c r="K372" t="s">
        <v>12</v>
      </c>
      <c r="L372" t="str">
        <f t="shared" si="27"/>
        <v>tier - 3</v>
      </c>
      <c r="M372" t="s">
        <v>12</v>
      </c>
      <c r="N372" t="str">
        <f t="shared" si="28"/>
        <v>R1011</v>
      </c>
      <c r="O372" t="s">
        <v>42</v>
      </c>
    </row>
    <row r="373" spans="1:15" x14ac:dyDescent="0.35">
      <c r="A373" t="s">
        <v>402</v>
      </c>
      <c r="C373">
        <f t="shared" si="25"/>
        <v>1996</v>
      </c>
      <c r="D373">
        <v>1996</v>
      </c>
      <c r="E373" t="str">
        <f t="shared" si="29"/>
        <v>Sep</v>
      </c>
      <c r="F373" t="s">
        <v>20</v>
      </c>
      <c r="G373">
        <v>18</v>
      </c>
      <c r="H373">
        <v>1</v>
      </c>
      <c r="I373" s="21">
        <v>3490.55</v>
      </c>
      <c r="J373" t="str">
        <f t="shared" si="26"/>
        <v>tier - 1</v>
      </c>
      <c r="K373" t="s">
        <v>16</v>
      </c>
      <c r="L373" t="str">
        <f t="shared" si="27"/>
        <v>tier - 2</v>
      </c>
      <c r="M373" t="s">
        <v>11</v>
      </c>
      <c r="N373" t="str">
        <f t="shared" si="28"/>
        <v>R1015</v>
      </c>
      <c r="O373" t="s">
        <v>164</v>
      </c>
    </row>
    <row r="374" spans="1:15" x14ac:dyDescent="0.35">
      <c r="A374" t="s">
        <v>403</v>
      </c>
      <c r="C374">
        <f t="shared" si="25"/>
        <v>1999</v>
      </c>
      <c r="D374">
        <v>1999</v>
      </c>
      <c r="E374" t="str">
        <f t="shared" si="29"/>
        <v>Sep</v>
      </c>
      <c r="F374" t="s">
        <v>20</v>
      </c>
      <c r="G374">
        <v>22</v>
      </c>
      <c r="H374">
        <v>2</v>
      </c>
      <c r="I374" s="21">
        <v>3500.61</v>
      </c>
      <c r="J374" t="str">
        <f t="shared" si="26"/>
        <v>tier - 2</v>
      </c>
      <c r="K374" t="s">
        <v>11</v>
      </c>
      <c r="L374" t="str">
        <f t="shared" si="27"/>
        <v>tier - 2</v>
      </c>
      <c r="M374" t="s">
        <v>11</v>
      </c>
      <c r="N374" t="str">
        <f t="shared" si="28"/>
        <v>R1013</v>
      </c>
      <c r="O374" t="s">
        <v>13</v>
      </c>
    </row>
    <row r="375" spans="1:15" x14ac:dyDescent="0.35">
      <c r="A375" t="s">
        <v>404</v>
      </c>
      <c r="C375">
        <f t="shared" si="25"/>
        <v>1998</v>
      </c>
      <c r="D375">
        <v>1998</v>
      </c>
      <c r="E375" t="str">
        <f t="shared" si="29"/>
        <v>Sep</v>
      </c>
      <c r="F375" t="s">
        <v>20</v>
      </c>
      <c r="G375">
        <v>16</v>
      </c>
      <c r="H375">
        <v>2</v>
      </c>
      <c r="I375" s="21">
        <v>3537.7</v>
      </c>
      <c r="J375" t="str">
        <f t="shared" si="26"/>
        <v>tier - 3</v>
      </c>
      <c r="K375" t="s">
        <v>12</v>
      </c>
      <c r="L375" t="str">
        <f t="shared" si="27"/>
        <v>tier - 3</v>
      </c>
      <c r="M375" t="s">
        <v>12</v>
      </c>
      <c r="N375" t="str">
        <f t="shared" si="28"/>
        <v>R1012</v>
      </c>
      <c r="O375" t="s">
        <v>23</v>
      </c>
    </row>
    <row r="376" spans="1:15" x14ac:dyDescent="0.35">
      <c r="A376" t="s">
        <v>405</v>
      </c>
      <c r="C376">
        <f t="shared" si="25"/>
        <v>2003</v>
      </c>
      <c r="D376">
        <v>2003</v>
      </c>
      <c r="E376" t="str">
        <f t="shared" si="29"/>
        <v>Aug</v>
      </c>
      <c r="F376" t="s">
        <v>35</v>
      </c>
      <c r="G376">
        <v>24</v>
      </c>
      <c r="H376">
        <v>0</v>
      </c>
      <c r="I376" s="21">
        <v>3538.9</v>
      </c>
      <c r="J376" t="str">
        <f t="shared" si="26"/>
        <v>tier - 2</v>
      </c>
      <c r="K376" t="s">
        <v>11</v>
      </c>
      <c r="L376" t="str">
        <f t="shared" si="27"/>
        <v>tier - 2</v>
      </c>
      <c r="M376" t="s">
        <v>11</v>
      </c>
      <c r="N376" t="str">
        <f t="shared" si="28"/>
        <v>R1012</v>
      </c>
      <c r="O376" t="s">
        <v>23</v>
      </c>
    </row>
    <row r="377" spans="1:15" x14ac:dyDescent="0.35">
      <c r="A377" t="s">
        <v>406</v>
      </c>
      <c r="C377">
        <f t="shared" si="25"/>
        <v>1988</v>
      </c>
      <c r="D377">
        <v>1988</v>
      </c>
      <c r="E377" t="str">
        <f t="shared" si="29"/>
        <v>Oct</v>
      </c>
      <c r="F377" t="s">
        <v>37</v>
      </c>
      <c r="G377">
        <v>15</v>
      </c>
      <c r="H377">
        <v>3</v>
      </c>
      <c r="I377" s="21">
        <v>3540.12</v>
      </c>
      <c r="J377" t="str">
        <f t="shared" si="26"/>
        <v>tier - 2</v>
      </c>
      <c r="K377" t="s">
        <v>11</v>
      </c>
      <c r="L377" t="str">
        <f t="shared" si="27"/>
        <v>tier - 1</v>
      </c>
      <c r="M377" t="s">
        <v>16</v>
      </c>
      <c r="N377" t="str">
        <f t="shared" si="28"/>
        <v>R1013</v>
      </c>
      <c r="O377" t="s">
        <v>13</v>
      </c>
    </row>
    <row r="378" spans="1:15" x14ac:dyDescent="0.35">
      <c r="A378" t="s">
        <v>407</v>
      </c>
      <c r="C378">
        <f t="shared" si="25"/>
        <v>1992</v>
      </c>
      <c r="D378">
        <v>1992</v>
      </c>
      <c r="E378" t="str">
        <f t="shared" si="29"/>
        <v>Dec</v>
      </c>
      <c r="F378" t="s">
        <v>30</v>
      </c>
      <c r="G378">
        <v>22</v>
      </c>
      <c r="H378">
        <v>0</v>
      </c>
      <c r="I378" s="21">
        <v>3554.2</v>
      </c>
      <c r="J378" t="str">
        <f t="shared" si="26"/>
        <v>tier - 2</v>
      </c>
      <c r="K378" t="s">
        <v>11</v>
      </c>
      <c r="L378" t="str">
        <f t="shared" si="27"/>
        <v>tier - 3</v>
      </c>
      <c r="M378" t="s">
        <v>12</v>
      </c>
      <c r="N378" t="str">
        <f t="shared" si="28"/>
        <v>R1011</v>
      </c>
      <c r="O378" t="s">
        <v>42</v>
      </c>
    </row>
    <row r="379" spans="1:15" x14ac:dyDescent="0.35">
      <c r="A379" t="s">
        <v>408</v>
      </c>
      <c r="C379">
        <f t="shared" si="25"/>
        <v>1994</v>
      </c>
      <c r="D379">
        <v>1994</v>
      </c>
      <c r="E379" t="str">
        <f t="shared" si="29"/>
        <v>Sep</v>
      </c>
      <c r="F379" t="s">
        <v>20</v>
      </c>
      <c r="G379">
        <v>24</v>
      </c>
      <c r="H379">
        <v>0</v>
      </c>
      <c r="I379" s="21">
        <v>3556.92</v>
      </c>
      <c r="J379" t="str">
        <f t="shared" si="26"/>
        <v>tier - 2</v>
      </c>
      <c r="K379" t="s">
        <v>11</v>
      </c>
      <c r="L379" t="str">
        <f t="shared" si="27"/>
        <v>tier - 3</v>
      </c>
      <c r="M379" t="s">
        <v>12</v>
      </c>
      <c r="N379" t="str">
        <f t="shared" si="28"/>
        <v>R1012</v>
      </c>
      <c r="O379" t="s">
        <v>23</v>
      </c>
    </row>
    <row r="380" spans="1:15" x14ac:dyDescent="0.35">
      <c r="A380" t="s">
        <v>409</v>
      </c>
      <c r="C380">
        <f t="shared" si="25"/>
        <v>1995</v>
      </c>
      <c r="D380">
        <v>1995</v>
      </c>
      <c r="E380" t="str">
        <f t="shared" si="29"/>
        <v>Oct</v>
      </c>
      <c r="F380" t="s">
        <v>37</v>
      </c>
      <c r="G380">
        <v>9</v>
      </c>
      <c r="H380">
        <v>0</v>
      </c>
      <c r="I380" s="21">
        <v>3558.62</v>
      </c>
      <c r="J380" t="str">
        <f t="shared" si="26"/>
        <v>tier - 2</v>
      </c>
      <c r="K380" t="s">
        <v>11</v>
      </c>
      <c r="L380" t="str">
        <f t="shared" si="27"/>
        <v>tier - 3</v>
      </c>
      <c r="M380" t="s">
        <v>12</v>
      </c>
      <c r="N380" t="str">
        <f t="shared" si="28"/>
        <v>R1024</v>
      </c>
      <c r="O380" t="s">
        <v>247</v>
      </c>
    </row>
    <row r="381" spans="1:15" x14ac:dyDescent="0.35">
      <c r="A381" t="s">
        <v>410</v>
      </c>
      <c r="C381">
        <f t="shared" si="25"/>
        <v>1995</v>
      </c>
      <c r="D381">
        <v>1995</v>
      </c>
      <c r="E381" t="str">
        <f t="shared" si="29"/>
        <v>Jun</v>
      </c>
      <c r="F381" t="s">
        <v>18</v>
      </c>
      <c r="G381">
        <v>16</v>
      </c>
      <c r="H381">
        <v>1</v>
      </c>
      <c r="I381" s="21">
        <v>3561.89</v>
      </c>
      <c r="J381" t="str">
        <f t="shared" si="26"/>
        <v>tier - 2</v>
      </c>
      <c r="K381" t="s">
        <v>11</v>
      </c>
      <c r="L381" t="str">
        <f t="shared" si="27"/>
        <v>tier - 1</v>
      </c>
      <c r="M381" t="s">
        <v>16</v>
      </c>
      <c r="N381" t="str">
        <f t="shared" si="28"/>
        <v>R1013</v>
      </c>
      <c r="O381" t="s">
        <v>13</v>
      </c>
    </row>
    <row r="382" spans="1:15" x14ac:dyDescent="0.35">
      <c r="A382" t="s">
        <v>411</v>
      </c>
      <c r="C382">
        <f t="shared" si="25"/>
        <v>1981</v>
      </c>
      <c r="D382">
        <v>1981</v>
      </c>
      <c r="E382" t="str">
        <f t="shared" si="29"/>
        <v>Oct</v>
      </c>
      <c r="F382" t="s">
        <v>37</v>
      </c>
      <c r="G382">
        <v>10</v>
      </c>
      <c r="H382">
        <v>1</v>
      </c>
      <c r="I382" s="21">
        <v>3562.87</v>
      </c>
      <c r="J382" t="str">
        <f t="shared" si="26"/>
        <v>tier - 2</v>
      </c>
      <c r="K382" t="s">
        <v>11</v>
      </c>
      <c r="L382" t="str">
        <f t="shared" si="27"/>
        <v>tier - 1</v>
      </c>
      <c r="M382" t="s">
        <v>16</v>
      </c>
      <c r="N382" t="str">
        <f t="shared" si="28"/>
        <v>R1013</v>
      </c>
      <c r="O382" t="s">
        <v>13</v>
      </c>
    </row>
    <row r="383" spans="1:15" x14ac:dyDescent="0.35">
      <c r="A383" t="s">
        <v>412</v>
      </c>
      <c r="C383">
        <f t="shared" si="25"/>
        <v>1988</v>
      </c>
      <c r="D383">
        <v>1988</v>
      </c>
      <c r="E383" t="str">
        <f t="shared" si="29"/>
        <v>Aug</v>
      </c>
      <c r="F383" t="s">
        <v>35</v>
      </c>
      <c r="G383">
        <v>18</v>
      </c>
      <c r="H383">
        <v>3</v>
      </c>
      <c r="I383" s="21">
        <v>3569.96</v>
      </c>
      <c r="J383" t="str">
        <f t="shared" si="26"/>
        <v>tier - 2</v>
      </c>
      <c r="K383" t="s">
        <v>11</v>
      </c>
      <c r="L383" t="str">
        <f t="shared" si="27"/>
        <v>tier - 1</v>
      </c>
      <c r="M383" t="s">
        <v>16</v>
      </c>
      <c r="N383" t="str">
        <f t="shared" si="28"/>
        <v>R1012</v>
      </c>
      <c r="O383" t="s">
        <v>23</v>
      </c>
    </row>
    <row r="384" spans="1:15" x14ac:dyDescent="0.35">
      <c r="A384" t="s">
        <v>413</v>
      </c>
      <c r="C384">
        <f t="shared" si="25"/>
        <v>1995</v>
      </c>
      <c r="D384">
        <v>1995</v>
      </c>
      <c r="E384" t="str">
        <f t="shared" si="29"/>
        <v>Aug</v>
      </c>
      <c r="F384" t="s">
        <v>35</v>
      </c>
      <c r="G384">
        <v>23</v>
      </c>
      <c r="H384">
        <v>1</v>
      </c>
      <c r="I384" s="21">
        <v>3578</v>
      </c>
      <c r="J384" t="str">
        <f t="shared" si="26"/>
        <v>tier - 2</v>
      </c>
      <c r="K384" t="s">
        <v>11</v>
      </c>
      <c r="L384" t="str">
        <f t="shared" si="27"/>
        <v>tier - 3</v>
      </c>
      <c r="M384" t="s">
        <v>12</v>
      </c>
      <c r="N384" t="str">
        <f t="shared" si="28"/>
        <v>R1011</v>
      </c>
      <c r="O384" t="s">
        <v>42</v>
      </c>
    </row>
    <row r="385" spans="1:15" x14ac:dyDescent="0.35">
      <c r="A385" t="s">
        <v>414</v>
      </c>
      <c r="C385">
        <f t="shared" si="25"/>
        <v>2001</v>
      </c>
      <c r="D385">
        <v>2001</v>
      </c>
      <c r="E385" t="str">
        <f t="shared" si="29"/>
        <v>Nov</v>
      </c>
      <c r="F385" t="s">
        <v>15</v>
      </c>
      <c r="G385">
        <v>11</v>
      </c>
      <c r="H385">
        <v>2</v>
      </c>
      <c r="I385" s="21">
        <v>3579.83</v>
      </c>
      <c r="J385" t="str">
        <f t="shared" si="26"/>
        <v>tier - 2</v>
      </c>
      <c r="K385" t="s">
        <v>11</v>
      </c>
      <c r="L385" t="str">
        <f t="shared" si="27"/>
        <v>tier - 2</v>
      </c>
      <c r="M385" t="s">
        <v>11</v>
      </c>
      <c r="N385" t="str">
        <f t="shared" si="28"/>
        <v>R1012</v>
      </c>
      <c r="O385" t="s">
        <v>23</v>
      </c>
    </row>
    <row r="386" spans="1:15" x14ac:dyDescent="0.35">
      <c r="A386" t="s">
        <v>415</v>
      </c>
      <c r="C386">
        <f t="shared" si="25"/>
        <v>1986</v>
      </c>
      <c r="D386">
        <v>1986</v>
      </c>
      <c r="E386" t="str">
        <f t="shared" si="29"/>
        <v>Dec</v>
      </c>
      <c r="F386" t="s">
        <v>30</v>
      </c>
      <c r="G386">
        <v>27</v>
      </c>
      <c r="H386">
        <v>3</v>
      </c>
      <c r="I386" s="21">
        <v>3589.14</v>
      </c>
      <c r="J386" t="str">
        <f t="shared" si="26"/>
        <v>tier - 2</v>
      </c>
      <c r="K386" t="s">
        <v>11</v>
      </c>
      <c r="L386" t="str">
        <f t="shared" si="27"/>
        <v>tier - 2</v>
      </c>
      <c r="M386" t="s">
        <v>11</v>
      </c>
      <c r="N386" t="str">
        <f t="shared" si="28"/>
        <v>R1013</v>
      </c>
      <c r="O386" t="s">
        <v>13</v>
      </c>
    </row>
    <row r="387" spans="1:15" x14ac:dyDescent="0.35">
      <c r="A387" t="s">
        <v>416</v>
      </c>
      <c r="C387">
        <f t="shared" ref="C387:C450" si="30">IF(OR(D387="?", ISBLANK(D387)), 1983, D387)</f>
        <v>1999</v>
      </c>
      <c r="D387">
        <v>1999</v>
      </c>
      <c r="E387" t="str">
        <f t="shared" si="29"/>
        <v>Jun</v>
      </c>
      <c r="F387" t="s">
        <v>18</v>
      </c>
      <c r="G387">
        <v>6</v>
      </c>
      <c r="H387">
        <v>3</v>
      </c>
      <c r="I387" s="21">
        <v>3591.48</v>
      </c>
      <c r="J387" t="str">
        <f t="shared" ref="J387:J450" si="31">IF(OR(K387="?", ISBLANK(K387)), "Tier 2", K387)</f>
        <v>tier - 2</v>
      </c>
      <c r="K387" t="s">
        <v>11</v>
      </c>
      <c r="L387" t="str">
        <f t="shared" ref="L387:L450" si="32">IF(OR(M387="?", ISBLANK(M387)), "Tier 2", M387)</f>
        <v>tier - 3</v>
      </c>
      <c r="M387" t="s">
        <v>12</v>
      </c>
      <c r="N387" t="str">
        <f t="shared" ref="N387:N450" si="33">IF(OR(O387="?", ISBLANK(O387)), "Unknown", O387)</f>
        <v>R1011</v>
      </c>
      <c r="O387" t="s">
        <v>42</v>
      </c>
    </row>
    <row r="388" spans="1:15" x14ac:dyDescent="0.35">
      <c r="A388" t="s">
        <v>417</v>
      </c>
      <c r="C388">
        <f t="shared" si="30"/>
        <v>1997</v>
      </c>
      <c r="D388">
        <v>1997</v>
      </c>
      <c r="E388" t="str">
        <f t="shared" ref="E388:E451" si="34">IF(OR(F388="?", ISBLANK(F388)), "Sep", F388)</f>
        <v>Nov</v>
      </c>
      <c r="F388" t="s">
        <v>15</v>
      </c>
      <c r="G388">
        <v>4</v>
      </c>
      <c r="H388">
        <v>1</v>
      </c>
      <c r="I388" s="21">
        <v>3594.17</v>
      </c>
      <c r="J388" t="str">
        <f t="shared" si="31"/>
        <v>tier - 2</v>
      </c>
      <c r="K388" t="s">
        <v>11</v>
      </c>
      <c r="L388" t="str">
        <f t="shared" si="32"/>
        <v>tier - 2</v>
      </c>
      <c r="M388" t="s">
        <v>11</v>
      </c>
      <c r="N388" t="str">
        <f t="shared" si="33"/>
        <v>R1012</v>
      </c>
      <c r="O388" t="s">
        <v>23</v>
      </c>
    </row>
    <row r="389" spans="1:15" x14ac:dyDescent="0.35">
      <c r="A389" t="s">
        <v>418</v>
      </c>
      <c r="C389">
        <f t="shared" si="30"/>
        <v>1999</v>
      </c>
      <c r="D389">
        <v>1999</v>
      </c>
      <c r="E389" t="str">
        <f t="shared" si="34"/>
        <v>Aug</v>
      </c>
      <c r="F389" t="s">
        <v>35</v>
      </c>
      <c r="G389">
        <v>12</v>
      </c>
      <c r="H389">
        <v>3</v>
      </c>
      <c r="I389" s="21">
        <v>3597.6</v>
      </c>
      <c r="J389" t="str">
        <f t="shared" si="31"/>
        <v>tier - 2</v>
      </c>
      <c r="K389" t="s">
        <v>11</v>
      </c>
      <c r="L389" t="str">
        <f t="shared" si="32"/>
        <v>tier - 2</v>
      </c>
      <c r="M389" t="s">
        <v>11</v>
      </c>
      <c r="N389" t="str">
        <f t="shared" si="33"/>
        <v>R1011</v>
      </c>
      <c r="O389" t="s">
        <v>42</v>
      </c>
    </row>
    <row r="390" spans="1:15" x14ac:dyDescent="0.35">
      <c r="A390" t="s">
        <v>419</v>
      </c>
      <c r="C390">
        <f t="shared" si="30"/>
        <v>1988</v>
      </c>
      <c r="D390">
        <v>1988</v>
      </c>
      <c r="E390" t="str">
        <f t="shared" si="34"/>
        <v>Nov</v>
      </c>
      <c r="F390" t="s">
        <v>15</v>
      </c>
      <c r="G390">
        <v>4</v>
      </c>
      <c r="H390">
        <v>3</v>
      </c>
      <c r="I390" s="21">
        <v>3603.6</v>
      </c>
      <c r="J390" t="str">
        <f t="shared" si="31"/>
        <v>tier - 2</v>
      </c>
      <c r="K390" t="s">
        <v>11</v>
      </c>
      <c r="L390" t="str">
        <f t="shared" si="32"/>
        <v>tier - 1</v>
      </c>
      <c r="M390" t="s">
        <v>16</v>
      </c>
      <c r="N390" t="str">
        <f t="shared" si="33"/>
        <v>R1013</v>
      </c>
      <c r="O390" t="s">
        <v>13</v>
      </c>
    </row>
    <row r="391" spans="1:15" x14ac:dyDescent="0.35">
      <c r="A391" t="s">
        <v>420</v>
      </c>
      <c r="C391">
        <f t="shared" si="30"/>
        <v>1990</v>
      </c>
      <c r="D391">
        <v>1990</v>
      </c>
      <c r="E391" t="str">
        <f t="shared" si="34"/>
        <v>Oct</v>
      </c>
      <c r="F391" t="s">
        <v>37</v>
      </c>
      <c r="G391">
        <v>11</v>
      </c>
      <c r="H391">
        <v>3</v>
      </c>
      <c r="I391" s="21">
        <v>3606.43</v>
      </c>
      <c r="J391" t="str">
        <f t="shared" si="31"/>
        <v>tier - 2</v>
      </c>
      <c r="K391" t="s">
        <v>11</v>
      </c>
      <c r="L391" t="str">
        <f t="shared" si="32"/>
        <v>tier - 1</v>
      </c>
      <c r="M391" t="s">
        <v>16</v>
      </c>
      <c r="N391" t="str">
        <f t="shared" si="33"/>
        <v>R1013</v>
      </c>
      <c r="O391" t="s">
        <v>13</v>
      </c>
    </row>
    <row r="392" spans="1:15" x14ac:dyDescent="0.35">
      <c r="A392" t="s">
        <v>421</v>
      </c>
      <c r="C392">
        <f t="shared" si="30"/>
        <v>1985</v>
      </c>
      <c r="D392">
        <v>1985</v>
      </c>
      <c r="E392" t="str">
        <f t="shared" si="34"/>
        <v>Jun</v>
      </c>
      <c r="F392" t="s">
        <v>18</v>
      </c>
      <c r="G392">
        <v>14</v>
      </c>
      <c r="H392">
        <v>3</v>
      </c>
      <c r="I392" s="21">
        <v>3622.13</v>
      </c>
      <c r="J392" t="str">
        <f t="shared" si="31"/>
        <v>tier - 2</v>
      </c>
      <c r="K392" t="s">
        <v>11</v>
      </c>
      <c r="L392" t="str">
        <f t="shared" si="32"/>
        <v>tier - 1</v>
      </c>
      <c r="M392" t="s">
        <v>16</v>
      </c>
      <c r="N392" t="str">
        <f t="shared" si="33"/>
        <v>R1013</v>
      </c>
      <c r="O392" t="s">
        <v>13</v>
      </c>
    </row>
    <row r="393" spans="1:15" x14ac:dyDescent="0.35">
      <c r="A393" t="s">
        <v>422</v>
      </c>
      <c r="C393">
        <f t="shared" si="30"/>
        <v>1992</v>
      </c>
      <c r="D393">
        <v>1992</v>
      </c>
      <c r="E393" t="str">
        <f t="shared" si="34"/>
        <v>Nov</v>
      </c>
      <c r="F393" t="s">
        <v>15</v>
      </c>
      <c r="G393">
        <v>17</v>
      </c>
      <c r="H393">
        <v>0</v>
      </c>
      <c r="I393" s="21">
        <v>3645.09</v>
      </c>
      <c r="J393" t="str">
        <f t="shared" si="31"/>
        <v>tier - 1</v>
      </c>
      <c r="K393" t="s">
        <v>16</v>
      </c>
      <c r="L393" t="str">
        <f t="shared" si="32"/>
        <v>tier - 2</v>
      </c>
      <c r="M393" t="s">
        <v>11</v>
      </c>
      <c r="N393" t="str">
        <f t="shared" si="33"/>
        <v>R1014</v>
      </c>
      <c r="O393" t="s">
        <v>276</v>
      </c>
    </row>
    <row r="394" spans="1:15" x14ac:dyDescent="0.35">
      <c r="A394" t="s">
        <v>423</v>
      </c>
      <c r="C394">
        <f t="shared" si="30"/>
        <v>1990</v>
      </c>
      <c r="D394">
        <v>1990</v>
      </c>
      <c r="E394" t="str">
        <f t="shared" si="34"/>
        <v>Nov</v>
      </c>
      <c r="F394" t="s">
        <v>15</v>
      </c>
      <c r="G394">
        <v>8</v>
      </c>
      <c r="H394">
        <v>3</v>
      </c>
      <c r="I394" s="21">
        <v>3653.29</v>
      </c>
      <c r="J394" t="str">
        <f t="shared" si="31"/>
        <v>tier - 2</v>
      </c>
      <c r="K394" t="s">
        <v>11</v>
      </c>
      <c r="L394" t="str">
        <f t="shared" si="32"/>
        <v>tier - 3</v>
      </c>
      <c r="M394" t="s">
        <v>12</v>
      </c>
      <c r="N394" t="str">
        <f t="shared" si="33"/>
        <v>R1011</v>
      </c>
      <c r="O394" t="s">
        <v>42</v>
      </c>
    </row>
    <row r="395" spans="1:15" x14ac:dyDescent="0.35">
      <c r="A395" t="s">
        <v>424</v>
      </c>
      <c r="C395">
        <f t="shared" si="30"/>
        <v>1992</v>
      </c>
      <c r="D395">
        <v>1992</v>
      </c>
      <c r="E395" t="str">
        <f t="shared" si="34"/>
        <v>Sep</v>
      </c>
      <c r="F395" t="s">
        <v>20</v>
      </c>
      <c r="G395">
        <v>14</v>
      </c>
      <c r="H395">
        <v>1</v>
      </c>
      <c r="I395" s="21">
        <v>3659.35</v>
      </c>
      <c r="J395" t="str">
        <f t="shared" si="31"/>
        <v>tier - 3</v>
      </c>
      <c r="K395" t="s">
        <v>12</v>
      </c>
      <c r="L395" t="str">
        <f t="shared" si="32"/>
        <v>tier - 1</v>
      </c>
      <c r="M395" t="s">
        <v>16</v>
      </c>
      <c r="N395" t="str">
        <f t="shared" si="33"/>
        <v>R1011</v>
      </c>
      <c r="O395" t="s">
        <v>42</v>
      </c>
    </row>
    <row r="396" spans="1:15" x14ac:dyDescent="0.35">
      <c r="A396" t="s">
        <v>425</v>
      </c>
      <c r="C396">
        <f t="shared" si="30"/>
        <v>1984</v>
      </c>
      <c r="D396">
        <v>1984</v>
      </c>
      <c r="E396" t="str">
        <f t="shared" si="34"/>
        <v>Jul</v>
      </c>
      <c r="F396" t="s">
        <v>10</v>
      </c>
      <c r="G396">
        <v>6</v>
      </c>
      <c r="H396">
        <v>3</v>
      </c>
      <c r="I396" s="21">
        <v>3678.86</v>
      </c>
      <c r="J396" t="str">
        <f t="shared" si="31"/>
        <v>tier - 2</v>
      </c>
      <c r="K396" t="s">
        <v>11</v>
      </c>
      <c r="L396" t="str">
        <f t="shared" si="32"/>
        <v>tier - 3</v>
      </c>
      <c r="M396" t="s">
        <v>12</v>
      </c>
      <c r="N396" t="str">
        <f t="shared" si="33"/>
        <v>R1013</v>
      </c>
      <c r="O396" t="s">
        <v>13</v>
      </c>
    </row>
    <row r="397" spans="1:15" x14ac:dyDescent="0.35">
      <c r="A397" t="s">
        <v>426</v>
      </c>
      <c r="C397">
        <f t="shared" si="30"/>
        <v>2003</v>
      </c>
      <c r="D397">
        <v>2003</v>
      </c>
      <c r="E397" t="str">
        <f t="shared" si="34"/>
        <v>Jul</v>
      </c>
      <c r="F397" t="s">
        <v>10</v>
      </c>
      <c r="G397">
        <v>10</v>
      </c>
      <c r="H397">
        <v>0</v>
      </c>
      <c r="I397" s="21">
        <v>3688.35</v>
      </c>
      <c r="J397" t="str">
        <f t="shared" si="31"/>
        <v>tier - 2</v>
      </c>
      <c r="K397" t="s">
        <v>11</v>
      </c>
      <c r="L397" t="str">
        <f t="shared" si="32"/>
        <v>tier - 2</v>
      </c>
      <c r="M397" t="s">
        <v>11</v>
      </c>
      <c r="N397" t="str">
        <f t="shared" si="33"/>
        <v>R1021</v>
      </c>
      <c r="O397" t="s">
        <v>300</v>
      </c>
    </row>
    <row r="398" spans="1:15" x14ac:dyDescent="0.35">
      <c r="A398" t="s">
        <v>427</v>
      </c>
      <c r="C398">
        <f t="shared" si="30"/>
        <v>1981</v>
      </c>
      <c r="D398">
        <v>1981</v>
      </c>
      <c r="E398" t="str">
        <f t="shared" si="34"/>
        <v>Dec</v>
      </c>
      <c r="F398" t="s">
        <v>30</v>
      </c>
      <c r="G398">
        <v>14</v>
      </c>
      <c r="H398">
        <v>1</v>
      </c>
      <c r="I398" s="21">
        <v>3688.38</v>
      </c>
      <c r="J398" t="str">
        <f t="shared" si="31"/>
        <v>tier - 2</v>
      </c>
      <c r="K398" t="s">
        <v>11</v>
      </c>
      <c r="L398" t="str">
        <f t="shared" si="32"/>
        <v>tier - 2</v>
      </c>
      <c r="M398" t="s">
        <v>11</v>
      </c>
      <c r="N398" t="str">
        <f t="shared" si="33"/>
        <v>R1013</v>
      </c>
      <c r="O398" t="s">
        <v>13</v>
      </c>
    </row>
    <row r="399" spans="1:15" x14ac:dyDescent="0.35">
      <c r="A399" t="s">
        <v>428</v>
      </c>
      <c r="C399">
        <f t="shared" si="30"/>
        <v>1995</v>
      </c>
      <c r="D399">
        <v>1995</v>
      </c>
      <c r="E399" t="str">
        <f t="shared" si="34"/>
        <v>Oct</v>
      </c>
      <c r="F399" t="s">
        <v>37</v>
      </c>
      <c r="G399">
        <v>21</v>
      </c>
      <c r="H399">
        <v>2</v>
      </c>
      <c r="I399" s="21">
        <v>3693.43</v>
      </c>
      <c r="J399" t="str">
        <f t="shared" si="31"/>
        <v>tier - 2</v>
      </c>
      <c r="K399" t="s">
        <v>11</v>
      </c>
      <c r="L399" t="str">
        <f t="shared" si="32"/>
        <v>tier - 3</v>
      </c>
      <c r="M399" t="s">
        <v>12</v>
      </c>
      <c r="N399" t="str">
        <f t="shared" si="33"/>
        <v>R1011</v>
      </c>
      <c r="O399" t="s">
        <v>42</v>
      </c>
    </row>
    <row r="400" spans="1:15" x14ac:dyDescent="0.35">
      <c r="A400" t="s">
        <v>429</v>
      </c>
      <c r="C400">
        <f t="shared" si="30"/>
        <v>1988</v>
      </c>
      <c r="D400">
        <v>1988</v>
      </c>
      <c r="E400" t="str">
        <f t="shared" si="34"/>
        <v>Aug</v>
      </c>
      <c r="F400" t="s">
        <v>35</v>
      </c>
      <c r="G400">
        <v>18</v>
      </c>
      <c r="H400">
        <v>3</v>
      </c>
      <c r="I400" s="21">
        <v>3699.54</v>
      </c>
      <c r="J400" t="str">
        <f t="shared" si="31"/>
        <v>tier - 2</v>
      </c>
      <c r="K400" t="s">
        <v>11</v>
      </c>
      <c r="L400" t="str">
        <f t="shared" si="32"/>
        <v>tier - 3</v>
      </c>
      <c r="M400" t="s">
        <v>12</v>
      </c>
      <c r="N400" t="str">
        <f t="shared" si="33"/>
        <v>R1013</v>
      </c>
      <c r="O400" t="s">
        <v>13</v>
      </c>
    </row>
    <row r="401" spans="1:15" x14ac:dyDescent="0.35">
      <c r="A401" t="s">
        <v>430</v>
      </c>
      <c r="C401">
        <f t="shared" si="30"/>
        <v>1989</v>
      </c>
      <c r="D401">
        <v>1989</v>
      </c>
      <c r="E401" t="str">
        <f t="shared" si="34"/>
        <v>Dec</v>
      </c>
      <c r="F401" t="s">
        <v>30</v>
      </c>
      <c r="G401">
        <v>2</v>
      </c>
      <c r="H401">
        <v>0</v>
      </c>
      <c r="I401" s="21">
        <v>3704.35</v>
      </c>
      <c r="J401" t="str">
        <f t="shared" si="31"/>
        <v>tier - 2</v>
      </c>
      <c r="K401" t="s">
        <v>11</v>
      </c>
      <c r="L401" t="str">
        <f t="shared" si="32"/>
        <v>tier - 2</v>
      </c>
      <c r="M401" t="s">
        <v>11</v>
      </c>
      <c r="N401" t="str">
        <f t="shared" si="33"/>
        <v>R1013</v>
      </c>
      <c r="O401" t="s">
        <v>13</v>
      </c>
    </row>
    <row r="402" spans="1:15" x14ac:dyDescent="0.35">
      <c r="A402" t="s">
        <v>431</v>
      </c>
      <c r="C402">
        <f t="shared" si="30"/>
        <v>2004</v>
      </c>
      <c r="D402">
        <v>2004</v>
      </c>
      <c r="E402" t="str">
        <f t="shared" si="34"/>
        <v>Nov</v>
      </c>
      <c r="F402" t="s">
        <v>15</v>
      </c>
      <c r="G402">
        <v>5</v>
      </c>
      <c r="H402">
        <v>0</v>
      </c>
      <c r="I402" s="21">
        <v>3722.23</v>
      </c>
      <c r="J402" t="str">
        <f t="shared" si="31"/>
        <v>tier - 2</v>
      </c>
      <c r="K402" t="s">
        <v>11</v>
      </c>
      <c r="L402" t="str">
        <f t="shared" si="32"/>
        <v>tier - 2</v>
      </c>
      <c r="M402" t="s">
        <v>11</v>
      </c>
      <c r="N402" t="str">
        <f t="shared" si="33"/>
        <v>R1025</v>
      </c>
      <c r="O402" t="s">
        <v>200</v>
      </c>
    </row>
    <row r="403" spans="1:15" x14ac:dyDescent="0.35">
      <c r="A403" t="s">
        <v>432</v>
      </c>
      <c r="C403">
        <f t="shared" si="30"/>
        <v>1986</v>
      </c>
      <c r="D403">
        <v>1986</v>
      </c>
      <c r="E403" t="str">
        <f t="shared" si="34"/>
        <v>Dec</v>
      </c>
      <c r="F403" t="s">
        <v>30</v>
      </c>
      <c r="G403">
        <v>1</v>
      </c>
      <c r="H403">
        <v>3</v>
      </c>
      <c r="I403" s="21">
        <v>3731.6</v>
      </c>
      <c r="J403" t="str">
        <f t="shared" si="31"/>
        <v>tier - 2</v>
      </c>
      <c r="K403" t="s">
        <v>11</v>
      </c>
      <c r="L403" t="str">
        <f t="shared" si="32"/>
        <v>tier - 2</v>
      </c>
      <c r="M403" t="s">
        <v>11</v>
      </c>
      <c r="N403" t="str">
        <f t="shared" si="33"/>
        <v>R1013</v>
      </c>
      <c r="O403" t="s">
        <v>13</v>
      </c>
    </row>
    <row r="404" spans="1:15" x14ac:dyDescent="0.35">
      <c r="A404" t="s">
        <v>433</v>
      </c>
      <c r="C404">
        <f t="shared" si="30"/>
        <v>1994</v>
      </c>
      <c r="D404">
        <v>1994</v>
      </c>
      <c r="E404" t="str">
        <f t="shared" si="34"/>
        <v>Aug</v>
      </c>
      <c r="F404" t="s">
        <v>35</v>
      </c>
      <c r="G404">
        <v>22</v>
      </c>
      <c r="H404">
        <v>0</v>
      </c>
      <c r="I404" s="21">
        <v>3732.63</v>
      </c>
      <c r="J404" t="str">
        <f t="shared" si="31"/>
        <v>tier - 2</v>
      </c>
      <c r="K404" t="s">
        <v>11</v>
      </c>
      <c r="L404" t="str">
        <f t="shared" si="32"/>
        <v>tier - 3</v>
      </c>
      <c r="M404" t="s">
        <v>12</v>
      </c>
      <c r="N404" t="str">
        <f t="shared" si="33"/>
        <v>R1024</v>
      </c>
      <c r="O404" t="s">
        <v>247</v>
      </c>
    </row>
    <row r="405" spans="1:15" x14ac:dyDescent="0.35">
      <c r="A405" t="s">
        <v>434</v>
      </c>
      <c r="C405">
        <f t="shared" si="30"/>
        <v>1993</v>
      </c>
      <c r="D405">
        <v>1993</v>
      </c>
      <c r="E405" t="str">
        <f t="shared" si="34"/>
        <v>Jun</v>
      </c>
      <c r="F405" t="s">
        <v>18</v>
      </c>
      <c r="G405">
        <v>22</v>
      </c>
      <c r="H405">
        <v>0</v>
      </c>
      <c r="I405" s="21">
        <v>3736.46</v>
      </c>
      <c r="J405" t="str">
        <f t="shared" si="31"/>
        <v>tier - 2</v>
      </c>
      <c r="K405" t="s">
        <v>11</v>
      </c>
      <c r="L405" t="str">
        <f t="shared" si="32"/>
        <v>tier - 2</v>
      </c>
      <c r="M405" t="s">
        <v>11</v>
      </c>
      <c r="N405" t="str">
        <f t="shared" si="33"/>
        <v>R1012</v>
      </c>
      <c r="O405" t="s">
        <v>23</v>
      </c>
    </row>
    <row r="406" spans="1:15" x14ac:dyDescent="0.35">
      <c r="A406" t="s">
        <v>435</v>
      </c>
      <c r="C406">
        <f t="shared" si="30"/>
        <v>1986</v>
      </c>
      <c r="D406">
        <v>1986</v>
      </c>
      <c r="E406" t="str">
        <f t="shared" si="34"/>
        <v>Sep</v>
      </c>
      <c r="F406" t="s">
        <v>20</v>
      </c>
      <c r="G406">
        <v>9</v>
      </c>
      <c r="H406">
        <v>3</v>
      </c>
      <c r="I406" s="21">
        <v>3748.56</v>
      </c>
      <c r="J406" t="str">
        <f t="shared" si="31"/>
        <v>tier - 2</v>
      </c>
      <c r="K406" t="s">
        <v>11</v>
      </c>
      <c r="L406" t="str">
        <f t="shared" si="32"/>
        <v>tier - 2</v>
      </c>
      <c r="M406" t="s">
        <v>11</v>
      </c>
      <c r="N406" t="str">
        <f t="shared" si="33"/>
        <v>R1013</v>
      </c>
      <c r="O406" t="s">
        <v>13</v>
      </c>
    </row>
    <row r="407" spans="1:15" x14ac:dyDescent="0.35">
      <c r="A407" t="s">
        <v>436</v>
      </c>
      <c r="C407">
        <f t="shared" si="30"/>
        <v>1991</v>
      </c>
      <c r="D407">
        <v>1991</v>
      </c>
      <c r="E407" t="str">
        <f t="shared" si="34"/>
        <v>Oct</v>
      </c>
      <c r="F407" t="s">
        <v>37</v>
      </c>
      <c r="G407">
        <v>28</v>
      </c>
      <c r="H407">
        <v>0</v>
      </c>
      <c r="I407" s="21">
        <v>3756.62</v>
      </c>
      <c r="J407" t="str">
        <f t="shared" si="31"/>
        <v>tier - 2</v>
      </c>
      <c r="K407" t="s">
        <v>11</v>
      </c>
      <c r="L407" t="str">
        <f t="shared" si="32"/>
        <v>tier - 2</v>
      </c>
      <c r="M407" t="s">
        <v>11</v>
      </c>
      <c r="N407" t="str">
        <f t="shared" si="33"/>
        <v>R1013</v>
      </c>
      <c r="O407" t="s">
        <v>13</v>
      </c>
    </row>
    <row r="408" spans="1:15" x14ac:dyDescent="0.35">
      <c r="A408" t="s">
        <v>437</v>
      </c>
      <c r="C408">
        <f t="shared" si="30"/>
        <v>1991</v>
      </c>
      <c r="D408">
        <v>1991</v>
      </c>
      <c r="E408" t="str">
        <f t="shared" si="34"/>
        <v>Aug</v>
      </c>
      <c r="F408" t="s">
        <v>35</v>
      </c>
      <c r="G408">
        <v>25</v>
      </c>
      <c r="H408">
        <v>0</v>
      </c>
      <c r="I408" s="21">
        <v>3757.84</v>
      </c>
      <c r="J408" t="str">
        <f t="shared" si="31"/>
        <v>tier - 2</v>
      </c>
      <c r="K408" t="s">
        <v>11</v>
      </c>
      <c r="L408" t="str">
        <f t="shared" si="32"/>
        <v>tier - 1</v>
      </c>
      <c r="M408" t="s">
        <v>16</v>
      </c>
      <c r="N408" t="str">
        <f t="shared" si="33"/>
        <v>R1013</v>
      </c>
      <c r="O408" t="s">
        <v>13</v>
      </c>
    </row>
    <row r="409" spans="1:15" x14ac:dyDescent="0.35">
      <c r="A409" t="s">
        <v>438</v>
      </c>
      <c r="C409">
        <f t="shared" si="30"/>
        <v>1991</v>
      </c>
      <c r="D409">
        <v>1991</v>
      </c>
      <c r="E409" t="str">
        <f t="shared" si="34"/>
        <v>Oct</v>
      </c>
      <c r="F409" t="s">
        <v>37</v>
      </c>
      <c r="G409">
        <v>24</v>
      </c>
      <c r="H409">
        <v>0</v>
      </c>
      <c r="I409" s="21">
        <v>3761.29</v>
      </c>
      <c r="J409" t="str">
        <f t="shared" si="31"/>
        <v>tier - 2</v>
      </c>
      <c r="K409" t="s">
        <v>11</v>
      </c>
      <c r="L409" t="str">
        <f t="shared" si="32"/>
        <v>tier - 3</v>
      </c>
      <c r="M409" t="s">
        <v>12</v>
      </c>
      <c r="N409" t="str">
        <f t="shared" si="33"/>
        <v>R1011</v>
      </c>
      <c r="O409" t="s">
        <v>42</v>
      </c>
    </row>
    <row r="410" spans="1:15" x14ac:dyDescent="0.35">
      <c r="A410" t="s">
        <v>439</v>
      </c>
      <c r="C410">
        <f t="shared" si="30"/>
        <v>1994</v>
      </c>
      <c r="D410">
        <v>1994</v>
      </c>
      <c r="E410" t="str">
        <f t="shared" si="34"/>
        <v>Nov</v>
      </c>
      <c r="F410" t="s">
        <v>15</v>
      </c>
      <c r="G410">
        <v>21</v>
      </c>
      <c r="H410">
        <v>1</v>
      </c>
      <c r="I410" s="21">
        <v>3766.88</v>
      </c>
      <c r="J410" t="str">
        <f t="shared" si="31"/>
        <v>tier - 2</v>
      </c>
      <c r="K410" t="s">
        <v>11</v>
      </c>
      <c r="L410" t="str">
        <f t="shared" si="32"/>
        <v>tier - 1</v>
      </c>
      <c r="M410" t="s">
        <v>16</v>
      </c>
      <c r="N410" t="str">
        <f t="shared" si="33"/>
        <v>R1013</v>
      </c>
      <c r="O410" t="s">
        <v>13</v>
      </c>
    </row>
    <row r="411" spans="1:15" x14ac:dyDescent="0.35">
      <c r="A411" t="s">
        <v>440</v>
      </c>
      <c r="C411">
        <f t="shared" si="30"/>
        <v>1987</v>
      </c>
      <c r="D411">
        <v>1987</v>
      </c>
      <c r="E411" t="str">
        <f t="shared" si="34"/>
        <v>Oct</v>
      </c>
      <c r="F411" t="s">
        <v>37</v>
      </c>
      <c r="G411">
        <v>24</v>
      </c>
      <c r="H411">
        <v>3</v>
      </c>
      <c r="I411" s="21">
        <v>3773.23</v>
      </c>
      <c r="J411" t="str">
        <f t="shared" si="31"/>
        <v>tier - 2</v>
      </c>
      <c r="K411" t="s">
        <v>11</v>
      </c>
      <c r="L411" t="str">
        <f t="shared" si="32"/>
        <v>tier - 3</v>
      </c>
      <c r="M411" t="s">
        <v>12</v>
      </c>
      <c r="N411" t="str">
        <f t="shared" si="33"/>
        <v>R1013</v>
      </c>
      <c r="O411" t="s">
        <v>13</v>
      </c>
    </row>
    <row r="412" spans="1:15" x14ac:dyDescent="0.35">
      <c r="A412" t="s">
        <v>441</v>
      </c>
      <c r="C412">
        <f t="shared" si="30"/>
        <v>1981</v>
      </c>
      <c r="D412">
        <v>1981</v>
      </c>
      <c r="E412" t="str">
        <f t="shared" si="34"/>
        <v>Dec</v>
      </c>
      <c r="F412" t="s">
        <v>30</v>
      </c>
      <c r="G412">
        <v>13</v>
      </c>
      <c r="H412">
        <v>1</v>
      </c>
      <c r="I412" s="21">
        <v>3785.77</v>
      </c>
      <c r="J412" t="str">
        <f t="shared" si="31"/>
        <v>tier - 2</v>
      </c>
      <c r="K412" t="s">
        <v>11</v>
      </c>
      <c r="L412" t="str">
        <f t="shared" si="32"/>
        <v>tier - 1</v>
      </c>
      <c r="M412" t="s">
        <v>16</v>
      </c>
      <c r="N412" t="str">
        <f t="shared" si="33"/>
        <v>R1013</v>
      </c>
      <c r="O412" t="s">
        <v>13</v>
      </c>
    </row>
    <row r="413" spans="1:15" x14ac:dyDescent="0.35">
      <c r="A413" t="s">
        <v>442</v>
      </c>
      <c r="C413">
        <f t="shared" si="30"/>
        <v>1988</v>
      </c>
      <c r="D413">
        <v>1988</v>
      </c>
      <c r="E413" t="str">
        <f t="shared" si="34"/>
        <v>Aug</v>
      </c>
      <c r="F413" t="s">
        <v>35</v>
      </c>
      <c r="G413">
        <v>28</v>
      </c>
      <c r="H413">
        <v>3</v>
      </c>
      <c r="I413" s="21">
        <v>3793.55</v>
      </c>
      <c r="J413" t="str">
        <f t="shared" si="31"/>
        <v>tier - 2</v>
      </c>
      <c r="K413" t="s">
        <v>11</v>
      </c>
      <c r="L413" t="str">
        <f t="shared" si="32"/>
        <v>tier - 3</v>
      </c>
      <c r="M413" t="s">
        <v>12</v>
      </c>
      <c r="N413" t="str">
        <f t="shared" si="33"/>
        <v>R1013</v>
      </c>
      <c r="O413" t="s">
        <v>13</v>
      </c>
    </row>
    <row r="414" spans="1:15" x14ac:dyDescent="0.35">
      <c r="A414" t="s">
        <v>443</v>
      </c>
      <c r="C414">
        <f t="shared" si="30"/>
        <v>1999</v>
      </c>
      <c r="D414">
        <v>1999</v>
      </c>
      <c r="E414" t="str">
        <f t="shared" si="34"/>
        <v>Jun</v>
      </c>
      <c r="F414" t="s">
        <v>18</v>
      </c>
      <c r="G414">
        <v>24</v>
      </c>
      <c r="H414">
        <v>0</v>
      </c>
      <c r="I414" s="21">
        <v>3796.36</v>
      </c>
      <c r="J414" t="str">
        <f t="shared" si="31"/>
        <v>tier - 2</v>
      </c>
      <c r="K414" t="s">
        <v>11</v>
      </c>
      <c r="L414" t="str">
        <f t="shared" si="32"/>
        <v>tier - 3</v>
      </c>
      <c r="M414" t="s">
        <v>12</v>
      </c>
      <c r="N414" t="str">
        <f t="shared" si="33"/>
        <v>R1012</v>
      </c>
      <c r="O414" t="s">
        <v>23</v>
      </c>
    </row>
    <row r="415" spans="1:15" x14ac:dyDescent="0.35">
      <c r="A415" t="s">
        <v>444</v>
      </c>
      <c r="C415">
        <f t="shared" si="30"/>
        <v>1981</v>
      </c>
      <c r="D415">
        <v>1981</v>
      </c>
      <c r="E415" t="str">
        <f t="shared" si="34"/>
        <v>Sep</v>
      </c>
      <c r="F415" t="s">
        <v>20</v>
      </c>
      <c r="G415">
        <v>29</v>
      </c>
      <c r="H415">
        <v>1</v>
      </c>
      <c r="I415" s="21">
        <v>3797.2</v>
      </c>
      <c r="J415" t="str">
        <f t="shared" si="31"/>
        <v>tier - 2</v>
      </c>
      <c r="K415" t="s">
        <v>11</v>
      </c>
      <c r="L415" t="str">
        <f t="shared" si="32"/>
        <v>tier - 3</v>
      </c>
      <c r="M415" t="s">
        <v>12</v>
      </c>
      <c r="N415" t="str">
        <f t="shared" si="33"/>
        <v>R1012</v>
      </c>
      <c r="O415" t="s">
        <v>23</v>
      </c>
    </row>
    <row r="416" spans="1:15" x14ac:dyDescent="0.35">
      <c r="A416" t="s">
        <v>445</v>
      </c>
      <c r="C416">
        <f t="shared" si="30"/>
        <v>1994</v>
      </c>
      <c r="D416">
        <v>1994</v>
      </c>
      <c r="E416" t="str">
        <f t="shared" si="34"/>
        <v>Aug</v>
      </c>
      <c r="F416" t="s">
        <v>35</v>
      </c>
      <c r="G416">
        <v>12</v>
      </c>
      <c r="H416">
        <v>2</v>
      </c>
      <c r="I416" s="21">
        <v>3847.67</v>
      </c>
      <c r="J416" t="str">
        <f t="shared" si="31"/>
        <v>tier - 3</v>
      </c>
      <c r="K416" t="s">
        <v>12</v>
      </c>
      <c r="L416" t="str">
        <f t="shared" si="32"/>
        <v>tier - 2</v>
      </c>
      <c r="M416" t="s">
        <v>11</v>
      </c>
      <c r="N416" t="str">
        <f t="shared" si="33"/>
        <v>R1011</v>
      </c>
      <c r="O416" t="s">
        <v>42</v>
      </c>
    </row>
    <row r="417" spans="1:15" x14ac:dyDescent="0.35">
      <c r="A417" t="s">
        <v>446</v>
      </c>
      <c r="C417">
        <f t="shared" si="30"/>
        <v>1991</v>
      </c>
      <c r="D417">
        <v>1991</v>
      </c>
      <c r="E417" t="str">
        <f t="shared" si="34"/>
        <v>Aug</v>
      </c>
      <c r="F417" t="s">
        <v>35</v>
      </c>
      <c r="G417">
        <v>19</v>
      </c>
      <c r="H417">
        <v>0</v>
      </c>
      <c r="I417" s="21">
        <v>3857.76</v>
      </c>
      <c r="J417" t="str">
        <f t="shared" si="31"/>
        <v>tier - 3</v>
      </c>
      <c r="K417" t="s">
        <v>12</v>
      </c>
      <c r="L417" t="str">
        <f t="shared" si="32"/>
        <v>tier - 1</v>
      </c>
      <c r="M417" t="s">
        <v>16</v>
      </c>
      <c r="N417" t="str">
        <f t="shared" si="33"/>
        <v>R1016</v>
      </c>
      <c r="O417" t="s">
        <v>168</v>
      </c>
    </row>
    <row r="418" spans="1:15" x14ac:dyDescent="0.35">
      <c r="A418" t="s">
        <v>447</v>
      </c>
      <c r="C418">
        <f t="shared" si="30"/>
        <v>2001</v>
      </c>
      <c r="D418">
        <v>2001</v>
      </c>
      <c r="E418" t="str">
        <f t="shared" si="34"/>
        <v>Jun</v>
      </c>
      <c r="F418" t="s">
        <v>18</v>
      </c>
      <c r="G418">
        <v>6</v>
      </c>
      <c r="H418">
        <v>0</v>
      </c>
      <c r="I418" s="21">
        <v>3858.51</v>
      </c>
      <c r="J418" t="str">
        <f t="shared" si="31"/>
        <v>tier - 2</v>
      </c>
      <c r="K418" t="s">
        <v>11</v>
      </c>
      <c r="L418" t="str">
        <f t="shared" si="32"/>
        <v>tier - 3</v>
      </c>
      <c r="M418" t="s">
        <v>12</v>
      </c>
      <c r="N418" t="str">
        <f t="shared" si="33"/>
        <v>R1025</v>
      </c>
      <c r="O418" t="s">
        <v>200</v>
      </c>
    </row>
    <row r="419" spans="1:15" x14ac:dyDescent="0.35">
      <c r="A419" t="s">
        <v>448</v>
      </c>
      <c r="C419">
        <f t="shared" si="30"/>
        <v>2001</v>
      </c>
      <c r="D419">
        <v>2001</v>
      </c>
      <c r="E419" t="str">
        <f t="shared" si="34"/>
        <v>Oct</v>
      </c>
      <c r="F419" t="s">
        <v>37</v>
      </c>
      <c r="G419">
        <v>18</v>
      </c>
      <c r="H419">
        <v>3</v>
      </c>
      <c r="I419" s="21">
        <v>3861.21</v>
      </c>
      <c r="J419" t="str">
        <f t="shared" si="31"/>
        <v>tier - 2</v>
      </c>
      <c r="K419" t="s">
        <v>11</v>
      </c>
      <c r="L419" t="str">
        <f t="shared" si="32"/>
        <v>tier - 2</v>
      </c>
      <c r="M419" t="s">
        <v>11</v>
      </c>
      <c r="N419" t="str">
        <f t="shared" si="33"/>
        <v>R1016</v>
      </c>
      <c r="O419" t="s">
        <v>168</v>
      </c>
    </row>
    <row r="420" spans="1:15" x14ac:dyDescent="0.35">
      <c r="A420" t="s">
        <v>449</v>
      </c>
      <c r="C420">
        <f t="shared" si="30"/>
        <v>1990</v>
      </c>
      <c r="D420">
        <v>1990</v>
      </c>
      <c r="E420" t="str">
        <f t="shared" si="34"/>
        <v>Jun</v>
      </c>
      <c r="F420" t="s">
        <v>18</v>
      </c>
      <c r="G420">
        <v>24</v>
      </c>
      <c r="H420">
        <v>0</v>
      </c>
      <c r="I420" s="21">
        <v>3866.86</v>
      </c>
      <c r="J420" t="str">
        <f t="shared" si="31"/>
        <v>tier - 1</v>
      </c>
      <c r="K420" t="s">
        <v>16</v>
      </c>
      <c r="L420" t="str">
        <f t="shared" si="32"/>
        <v>tier - 1</v>
      </c>
      <c r="M420" t="s">
        <v>16</v>
      </c>
      <c r="N420" t="str">
        <f t="shared" si="33"/>
        <v>R1012</v>
      </c>
      <c r="O420" t="s">
        <v>23</v>
      </c>
    </row>
    <row r="421" spans="1:15" x14ac:dyDescent="0.35">
      <c r="A421" t="s">
        <v>450</v>
      </c>
      <c r="C421">
        <f t="shared" si="30"/>
        <v>1991</v>
      </c>
      <c r="D421">
        <v>1991</v>
      </c>
      <c r="E421" t="str">
        <f t="shared" si="34"/>
        <v>Jul</v>
      </c>
      <c r="F421" t="s">
        <v>10</v>
      </c>
      <c r="G421">
        <v>25</v>
      </c>
      <c r="H421">
        <v>1</v>
      </c>
      <c r="I421" s="21">
        <v>3875.73</v>
      </c>
      <c r="J421" t="str">
        <f t="shared" si="31"/>
        <v>tier - 2</v>
      </c>
      <c r="K421" t="s">
        <v>11</v>
      </c>
      <c r="L421" t="str">
        <f t="shared" si="32"/>
        <v>tier - 3</v>
      </c>
      <c r="M421" t="s">
        <v>12</v>
      </c>
      <c r="N421" t="str">
        <f t="shared" si="33"/>
        <v>R1013</v>
      </c>
      <c r="O421" t="s">
        <v>13</v>
      </c>
    </row>
    <row r="422" spans="1:15" x14ac:dyDescent="0.35">
      <c r="A422" t="s">
        <v>451</v>
      </c>
      <c r="C422">
        <f t="shared" si="30"/>
        <v>1996</v>
      </c>
      <c r="D422">
        <v>1996</v>
      </c>
      <c r="E422" t="str">
        <f t="shared" si="34"/>
        <v>Oct</v>
      </c>
      <c r="F422" t="s">
        <v>37</v>
      </c>
      <c r="G422">
        <v>23</v>
      </c>
      <c r="H422">
        <v>2</v>
      </c>
      <c r="I422" s="21">
        <v>3877.3</v>
      </c>
      <c r="J422" t="str">
        <f t="shared" si="31"/>
        <v>tier - 1</v>
      </c>
      <c r="K422" t="s">
        <v>16</v>
      </c>
      <c r="L422" t="str">
        <f t="shared" si="32"/>
        <v>tier - 3</v>
      </c>
      <c r="M422" t="s">
        <v>12</v>
      </c>
      <c r="N422" t="str">
        <f t="shared" si="33"/>
        <v>R1012</v>
      </c>
      <c r="O422" t="s">
        <v>23</v>
      </c>
    </row>
    <row r="423" spans="1:15" x14ac:dyDescent="0.35">
      <c r="A423" t="s">
        <v>452</v>
      </c>
      <c r="C423">
        <f t="shared" si="30"/>
        <v>2004</v>
      </c>
      <c r="D423">
        <v>2004</v>
      </c>
      <c r="E423" t="str">
        <f t="shared" si="34"/>
        <v>Jul</v>
      </c>
      <c r="F423" t="s">
        <v>10</v>
      </c>
      <c r="G423">
        <v>13</v>
      </c>
      <c r="H423">
        <v>0</v>
      </c>
      <c r="I423" s="21">
        <v>3889.2</v>
      </c>
      <c r="J423" t="str">
        <f t="shared" si="31"/>
        <v>tier - 2</v>
      </c>
      <c r="K423" t="s">
        <v>11</v>
      </c>
      <c r="L423" t="str">
        <f t="shared" si="32"/>
        <v>tier - 2</v>
      </c>
      <c r="M423" t="s">
        <v>11</v>
      </c>
      <c r="N423" t="str">
        <f t="shared" si="33"/>
        <v>R1012</v>
      </c>
      <c r="O423" t="s">
        <v>23</v>
      </c>
    </row>
    <row r="424" spans="1:15" x14ac:dyDescent="0.35">
      <c r="A424" t="s">
        <v>453</v>
      </c>
      <c r="C424">
        <f t="shared" si="30"/>
        <v>1993</v>
      </c>
      <c r="D424">
        <v>1993</v>
      </c>
      <c r="E424" t="str">
        <f t="shared" si="34"/>
        <v>Sep</v>
      </c>
      <c r="F424" t="s">
        <v>20</v>
      </c>
      <c r="G424">
        <v>14</v>
      </c>
      <c r="H424">
        <v>0</v>
      </c>
      <c r="I424" s="21">
        <v>3898.35</v>
      </c>
      <c r="J424" t="str">
        <f t="shared" si="31"/>
        <v>tier - 2</v>
      </c>
      <c r="K424" t="s">
        <v>11</v>
      </c>
      <c r="L424" t="str">
        <f t="shared" si="32"/>
        <v>tier - 2</v>
      </c>
      <c r="M424" t="s">
        <v>11</v>
      </c>
      <c r="N424" t="str">
        <f t="shared" si="33"/>
        <v>R1012</v>
      </c>
      <c r="O424" t="s">
        <v>23</v>
      </c>
    </row>
    <row r="425" spans="1:15" x14ac:dyDescent="0.35">
      <c r="A425" t="s">
        <v>454</v>
      </c>
      <c r="C425">
        <f t="shared" si="30"/>
        <v>1981</v>
      </c>
      <c r="D425">
        <v>1981</v>
      </c>
      <c r="E425" t="str">
        <f t="shared" si="34"/>
        <v>Aug</v>
      </c>
      <c r="F425" t="s">
        <v>35</v>
      </c>
      <c r="G425">
        <v>27</v>
      </c>
      <c r="H425">
        <v>1</v>
      </c>
      <c r="I425" s="21">
        <v>3902.07</v>
      </c>
      <c r="J425" t="str">
        <f t="shared" si="31"/>
        <v>tier - 2</v>
      </c>
      <c r="K425" t="s">
        <v>11</v>
      </c>
      <c r="L425" t="str">
        <f t="shared" si="32"/>
        <v>tier - 2</v>
      </c>
      <c r="M425" t="s">
        <v>11</v>
      </c>
      <c r="N425" t="str">
        <f t="shared" si="33"/>
        <v>R1013</v>
      </c>
      <c r="O425" t="s">
        <v>13</v>
      </c>
    </row>
    <row r="426" spans="1:15" x14ac:dyDescent="0.35">
      <c r="A426" t="s">
        <v>455</v>
      </c>
      <c r="C426">
        <f t="shared" si="30"/>
        <v>1997</v>
      </c>
      <c r="D426">
        <v>1997</v>
      </c>
      <c r="E426" t="str">
        <f t="shared" si="34"/>
        <v>Nov</v>
      </c>
      <c r="F426" t="s">
        <v>15</v>
      </c>
      <c r="G426">
        <v>24</v>
      </c>
      <c r="H426">
        <v>3</v>
      </c>
      <c r="I426" s="21">
        <v>3906.13</v>
      </c>
      <c r="J426" t="str">
        <f t="shared" si="31"/>
        <v>tier - 3</v>
      </c>
      <c r="K426" t="s">
        <v>12</v>
      </c>
      <c r="L426" t="str">
        <f t="shared" si="32"/>
        <v>tier - 3</v>
      </c>
      <c r="M426" t="s">
        <v>12</v>
      </c>
      <c r="N426" t="str">
        <f t="shared" si="33"/>
        <v>R1011</v>
      </c>
      <c r="O426" t="s">
        <v>42</v>
      </c>
    </row>
    <row r="427" spans="1:15" x14ac:dyDescent="0.35">
      <c r="A427" t="s">
        <v>456</v>
      </c>
      <c r="C427">
        <f t="shared" si="30"/>
        <v>1985</v>
      </c>
      <c r="D427">
        <v>1985</v>
      </c>
      <c r="E427" t="str">
        <f t="shared" si="34"/>
        <v>Jul</v>
      </c>
      <c r="F427" t="s">
        <v>10</v>
      </c>
      <c r="G427">
        <v>5</v>
      </c>
      <c r="H427">
        <v>3</v>
      </c>
      <c r="I427" s="21">
        <v>3910.44</v>
      </c>
      <c r="J427" t="str">
        <f t="shared" si="31"/>
        <v>tier - 2</v>
      </c>
      <c r="K427" t="s">
        <v>11</v>
      </c>
      <c r="L427" t="str">
        <f t="shared" si="32"/>
        <v>tier - 2</v>
      </c>
      <c r="M427" t="s">
        <v>11</v>
      </c>
      <c r="N427" t="str">
        <f t="shared" si="33"/>
        <v>R1013</v>
      </c>
      <c r="O427" t="s">
        <v>13</v>
      </c>
    </row>
    <row r="428" spans="1:15" x14ac:dyDescent="0.35">
      <c r="A428" t="s">
        <v>457</v>
      </c>
      <c r="C428">
        <f t="shared" si="30"/>
        <v>2000</v>
      </c>
      <c r="D428">
        <v>2000</v>
      </c>
      <c r="E428" t="str">
        <f t="shared" si="34"/>
        <v>Jul</v>
      </c>
      <c r="F428" t="s">
        <v>10</v>
      </c>
      <c r="G428">
        <v>10</v>
      </c>
      <c r="H428">
        <v>2</v>
      </c>
      <c r="I428" s="21">
        <v>3925.76</v>
      </c>
      <c r="J428" t="str">
        <f t="shared" si="31"/>
        <v>tier - 2</v>
      </c>
      <c r="K428" t="s">
        <v>11</v>
      </c>
      <c r="L428" t="str">
        <f t="shared" si="32"/>
        <v>tier - 2</v>
      </c>
      <c r="M428" t="s">
        <v>11</v>
      </c>
      <c r="N428" t="str">
        <f t="shared" si="33"/>
        <v>R1024</v>
      </c>
      <c r="O428" t="s">
        <v>247</v>
      </c>
    </row>
    <row r="429" spans="1:15" x14ac:dyDescent="0.35">
      <c r="A429" t="s">
        <v>458</v>
      </c>
      <c r="C429">
        <f t="shared" si="30"/>
        <v>2002</v>
      </c>
      <c r="D429">
        <v>2002</v>
      </c>
      <c r="E429" t="str">
        <f t="shared" si="34"/>
        <v>Jun</v>
      </c>
      <c r="F429" t="s">
        <v>18</v>
      </c>
      <c r="G429">
        <v>15</v>
      </c>
      <c r="H429">
        <v>0</v>
      </c>
      <c r="I429" s="21">
        <v>3931.51</v>
      </c>
      <c r="J429" t="str">
        <f t="shared" si="31"/>
        <v>tier - 2</v>
      </c>
      <c r="K429" t="s">
        <v>11</v>
      </c>
      <c r="L429" t="str">
        <f t="shared" si="32"/>
        <v>tier - 3</v>
      </c>
      <c r="M429" t="s">
        <v>12</v>
      </c>
      <c r="N429" t="str">
        <f t="shared" si="33"/>
        <v>R1011</v>
      </c>
      <c r="O429" t="s">
        <v>42</v>
      </c>
    </row>
    <row r="430" spans="1:15" x14ac:dyDescent="0.35">
      <c r="A430" t="s">
        <v>459</v>
      </c>
      <c r="C430">
        <f t="shared" si="30"/>
        <v>1988</v>
      </c>
      <c r="D430">
        <v>1988</v>
      </c>
      <c r="E430" t="str">
        <f t="shared" si="34"/>
        <v>Oct</v>
      </c>
      <c r="F430" t="s">
        <v>37</v>
      </c>
      <c r="G430">
        <v>24</v>
      </c>
      <c r="H430">
        <v>0</v>
      </c>
      <c r="I430" s="21">
        <v>3935.18</v>
      </c>
      <c r="J430" t="str">
        <f t="shared" si="31"/>
        <v>tier - 3</v>
      </c>
      <c r="K430" t="s">
        <v>12</v>
      </c>
      <c r="L430" t="str">
        <f t="shared" si="32"/>
        <v>tier - 1</v>
      </c>
      <c r="M430" t="s">
        <v>16</v>
      </c>
      <c r="N430" t="str">
        <f t="shared" si="33"/>
        <v>R1013</v>
      </c>
      <c r="O430" t="s">
        <v>13</v>
      </c>
    </row>
    <row r="431" spans="1:15" x14ac:dyDescent="0.35">
      <c r="A431" t="s">
        <v>460</v>
      </c>
      <c r="C431">
        <f t="shared" si="30"/>
        <v>1993</v>
      </c>
      <c r="D431">
        <v>1993</v>
      </c>
      <c r="E431" t="str">
        <f t="shared" si="34"/>
        <v>Sep</v>
      </c>
      <c r="F431" t="s">
        <v>20</v>
      </c>
      <c r="G431">
        <v>29</v>
      </c>
      <c r="H431">
        <v>0</v>
      </c>
      <c r="I431" s="21">
        <v>3943.6</v>
      </c>
      <c r="J431" t="str">
        <f t="shared" si="31"/>
        <v>tier - 2</v>
      </c>
      <c r="K431" t="s">
        <v>11</v>
      </c>
      <c r="L431" t="str">
        <f t="shared" si="32"/>
        <v>tier - 3</v>
      </c>
      <c r="M431" t="s">
        <v>12</v>
      </c>
      <c r="N431" t="str">
        <f t="shared" si="33"/>
        <v>R1024</v>
      </c>
      <c r="O431" t="s">
        <v>247</v>
      </c>
    </row>
    <row r="432" spans="1:15" x14ac:dyDescent="0.35">
      <c r="A432" t="s">
        <v>461</v>
      </c>
      <c r="C432">
        <f t="shared" si="30"/>
        <v>1993</v>
      </c>
      <c r="D432">
        <v>1993</v>
      </c>
      <c r="E432" t="str">
        <f t="shared" si="34"/>
        <v>Nov</v>
      </c>
      <c r="F432" t="s">
        <v>15</v>
      </c>
      <c r="G432">
        <v>11</v>
      </c>
      <c r="H432">
        <v>1</v>
      </c>
      <c r="I432" s="21">
        <v>3947.41</v>
      </c>
      <c r="J432" t="str">
        <f t="shared" si="31"/>
        <v>tier - 2</v>
      </c>
      <c r="K432" t="s">
        <v>11</v>
      </c>
      <c r="L432" t="str">
        <f t="shared" si="32"/>
        <v>tier - 2</v>
      </c>
      <c r="M432" t="s">
        <v>11</v>
      </c>
      <c r="N432" t="str">
        <f t="shared" si="33"/>
        <v>R1013</v>
      </c>
      <c r="O432" t="s">
        <v>13</v>
      </c>
    </row>
    <row r="433" spans="1:15" x14ac:dyDescent="0.35">
      <c r="A433" t="s">
        <v>462</v>
      </c>
      <c r="C433">
        <f t="shared" si="30"/>
        <v>1999</v>
      </c>
      <c r="D433">
        <v>1999</v>
      </c>
      <c r="E433" t="str">
        <f t="shared" si="34"/>
        <v>Jul</v>
      </c>
      <c r="F433" t="s">
        <v>10</v>
      </c>
      <c r="G433">
        <v>10</v>
      </c>
      <c r="H433">
        <v>0</v>
      </c>
      <c r="I433" s="21">
        <v>3955.98</v>
      </c>
      <c r="J433" t="str">
        <f t="shared" si="31"/>
        <v>tier - 2</v>
      </c>
      <c r="K433" t="s">
        <v>11</v>
      </c>
      <c r="L433" t="str">
        <f t="shared" si="32"/>
        <v>tier - 3</v>
      </c>
      <c r="M433" t="s">
        <v>12</v>
      </c>
      <c r="N433" t="str">
        <f t="shared" si="33"/>
        <v>R1021</v>
      </c>
      <c r="O433" t="s">
        <v>300</v>
      </c>
    </row>
    <row r="434" spans="1:15" x14ac:dyDescent="0.35">
      <c r="A434" t="s">
        <v>463</v>
      </c>
      <c r="C434">
        <f t="shared" si="30"/>
        <v>1995</v>
      </c>
      <c r="D434">
        <v>1995</v>
      </c>
      <c r="E434" t="str">
        <f t="shared" si="34"/>
        <v>Jul</v>
      </c>
      <c r="F434" t="s">
        <v>10</v>
      </c>
      <c r="G434">
        <v>11</v>
      </c>
      <c r="H434">
        <v>1</v>
      </c>
      <c r="I434" s="21">
        <v>3956.07</v>
      </c>
      <c r="J434" t="str">
        <f t="shared" si="31"/>
        <v>tier - 2</v>
      </c>
      <c r="K434" t="s">
        <v>11</v>
      </c>
      <c r="L434" t="str">
        <f t="shared" si="32"/>
        <v>tier - 2</v>
      </c>
      <c r="M434" t="s">
        <v>11</v>
      </c>
      <c r="N434" t="str">
        <f t="shared" si="33"/>
        <v>R1012</v>
      </c>
      <c r="O434" t="s">
        <v>23</v>
      </c>
    </row>
    <row r="435" spans="1:15" x14ac:dyDescent="0.35">
      <c r="A435" t="s">
        <v>464</v>
      </c>
      <c r="C435">
        <f t="shared" si="30"/>
        <v>1990</v>
      </c>
      <c r="D435">
        <v>1990</v>
      </c>
      <c r="E435" t="str">
        <f t="shared" si="34"/>
        <v>Jul</v>
      </c>
      <c r="F435" t="s">
        <v>10</v>
      </c>
      <c r="G435">
        <v>29</v>
      </c>
      <c r="H435">
        <v>0</v>
      </c>
      <c r="I435" s="21">
        <v>3972.92</v>
      </c>
      <c r="J435" t="str">
        <f t="shared" si="31"/>
        <v>tier - 2</v>
      </c>
      <c r="K435" t="s">
        <v>11</v>
      </c>
      <c r="L435" t="str">
        <f t="shared" si="32"/>
        <v>tier - 3</v>
      </c>
      <c r="M435" t="s">
        <v>12</v>
      </c>
      <c r="N435" t="str">
        <f t="shared" si="33"/>
        <v>R1013</v>
      </c>
      <c r="O435" t="s">
        <v>13</v>
      </c>
    </row>
    <row r="436" spans="1:15" x14ac:dyDescent="0.35">
      <c r="A436" t="s">
        <v>465</v>
      </c>
      <c r="C436">
        <f t="shared" si="30"/>
        <v>1996</v>
      </c>
      <c r="D436">
        <v>1996</v>
      </c>
      <c r="E436" t="str">
        <f t="shared" si="34"/>
        <v>Aug</v>
      </c>
      <c r="F436" t="s">
        <v>35</v>
      </c>
      <c r="G436">
        <v>17</v>
      </c>
      <c r="H436">
        <v>2</v>
      </c>
      <c r="I436" s="21">
        <v>3981.98</v>
      </c>
      <c r="J436" t="str">
        <f t="shared" si="31"/>
        <v>tier - 2</v>
      </c>
      <c r="K436" t="s">
        <v>11</v>
      </c>
      <c r="L436" t="str">
        <f t="shared" si="32"/>
        <v>tier - 2</v>
      </c>
      <c r="M436" t="s">
        <v>11</v>
      </c>
      <c r="N436" t="str">
        <f t="shared" si="33"/>
        <v>R1013</v>
      </c>
      <c r="O436" t="s">
        <v>13</v>
      </c>
    </row>
    <row r="437" spans="1:15" x14ac:dyDescent="0.35">
      <c r="A437" t="s">
        <v>466</v>
      </c>
      <c r="C437">
        <f t="shared" si="30"/>
        <v>1996</v>
      </c>
      <c r="D437">
        <v>1996</v>
      </c>
      <c r="E437" t="str">
        <f t="shared" si="34"/>
        <v>Sep</v>
      </c>
      <c r="F437" t="s">
        <v>20</v>
      </c>
      <c r="G437">
        <v>8</v>
      </c>
      <c r="H437">
        <v>2</v>
      </c>
      <c r="I437" s="21">
        <v>3987.93</v>
      </c>
      <c r="J437" t="str">
        <f t="shared" si="31"/>
        <v>tier - 2</v>
      </c>
      <c r="K437" t="s">
        <v>11</v>
      </c>
      <c r="L437" t="str">
        <f t="shared" si="32"/>
        <v>tier - 2</v>
      </c>
      <c r="M437" t="s">
        <v>11</v>
      </c>
      <c r="N437" t="str">
        <f t="shared" si="33"/>
        <v>R1011</v>
      </c>
      <c r="O437" t="s">
        <v>42</v>
      </c>
    </row>
    <row r="438" spans="1:15" x14ac:dyDescent="0.35">
      <c r="A438" t="s">
        <v>467</v>
      </c>
      <c r="C438">
        <f t="shared" si="30"/>
        <v>1990</v>
      </c>
      <c r="D438">
        <v>1990</v>
      </c>
      <c r="E438" t="str">
        <f t="shared" si="34"/>
        <v>Nov</v>
      </c>
      <c r="F438" t="s">
        <v>15</v>
      </c>
      <c r="G438">
        <v>22</v>
      </c>
      <c r="H438">
        <v>0</v>
      </c>
      <c r="I438" s="21">
        <v>3989.84</v>
      </c>
      <c r="J438" t="str">
        <f t="shared" si="31"/>
        <v>tier - 2</v>
      </c>
      <c r="K438" t="s">
        <v>11</v>
      </c>
      <c r="L438" t="str">
        <f t="shared" si="32"/>
        <v>tier - 2</v>
      </c>
      <c r="M438" t="s">
        <v>11</v>
      </c>
      <c r="N438" t="str">
        <f t="shared" si="33"/>
        <v>R1011</v>
      </c>
      <c r="O438" t="s">
        <v>42</v>
      </c>
    </row>
    <row r="439" spans="1:15" x14ac:dyDescent="0.35">
      <c r="A439" t="s">
        <v>468</v>
      </c>
      <c r="C439">
        <f t="shared" si="30"/>
        <v>1990</v>
      </c>
      <c r="D439">
        <v>1990</v>
      </c>
      <c r="E439" t="str">
        <f t="shared" si="34"/>
        <v>Nov</v>
      </c>
      <c r="F439" t="s">
        <v>15</v>
      </c>
      <c r="G439">
        <v>1</v>
      </c>
      <c r="H439">
        <v>0</v>
      </c>
      <c r="I439" s="21">
        <v>3994.18</v>
      </c>
      <c r="J439" t="str">
        <f t="shared" si="31"/>
        <v>tier - 2</v>
      </c>
      <c r="K439" t="s">
        <v>11</v>
      </c>
      <c r="L439" t="str">
        <f t="shared" si="32"/>
        <v>tier - 2</v>
      </c>
      <c r="M439" t="s">
        <v>11</v>
      </c>
      <c r="N439" t="str">
        <f t="shared" si="33"/>
        <v>R1013</v>
      </c>
      <c r="O439" t="s">
        <v>13</v>
      </c>
    </row>
    <row r="440" spans="1:15" x14ac:dyDescent="0.35">
      <c r="A440" t="s">
        <v>469</v>
      </c>
      <c r="C440">
        <f t="shared" si="30"/>
        <v>1989</v>
      </c>
      <c r="D440">
        <v>1989</v>
      </c>
      <c r="E440" t="str">
        <f t="shared" si="34"/>
        <v>Jul</v>
      </c>
      <c r="F440" t="s">
        <v>10</v>
      </c>
      <c r="G440">
        <v>10</v>
      </c>
      <c r="H440">
        <v>3</v>
      </c>
      <c r="I440" s="21">
        <v>4002.36</v>
      </c>
      <c r="J440" t="str">
        <f t="shared" si="31"/>
        <v>tier - 2</v>
      </c>
      <c r="K440" t="s">
        <v>11</v>
      </c>
      <c r="L440" t="str">
        <f t="shared" si="32"/>
        <v>tier - 1</v>
      </c>
      <c r="M440" t="s">
        <v>16</v>
      </c>
      <c r="N440" t="str">
        <f t="shared" si="33"/>
        <v>R1013</v>
      </c>
      <c r="O440" t="s">
        <v>13</v>
      </c>
    </row>
    <row r="441" spans="1:15" x14ac:dyDescent="0.35">
      <c r="A441" t="s">
        <v>470</v>
      </c>
      <c r="C441">
        <f t="shared" si="30"/>
        <v>2000</v>
      </c>
      <c r="D441">
        <v>2000</v>
      </c>
      <c r="E441" t="str">
        <f t="shared" si="34"/>
        <v>Sep</v>
      </c>
      <c r="F441" t="s">
        <v>20</v>
      </c>
      <c r="G441">
        <v>13</v>
      </c>
      <c r="H441">
        <v>3</v>
      </c>
      <c r="I441" s="21">
        <v>4005.42</v>
      </c>
      <c r="J441" t="str">
        <f t="shared" si="31"/>
        <v>tier - 2</v>
      </c>
      <c r="K441" t="s">
        <v>11</v>
      </c>
      <c r="L441" t="str">
        <f t="shared" si="32"/>
        <v>tier - 1</v>
      </c>
      <c r="M441" t="s">
        <v>16</v>
      </c>
      <c r="N441" t="str">
        <f t="shared" si="33"/>
        <v>R1015</v>
      </c>
      <c r="O441" t="s">
        <v>164</v>
      </c>
    </row>
    <row r="442" spans="1:15" x14ac:dyDescent="0.35">
      <c r="A442" t="s">
        <v>471</v>
      </c>
      <c r="C442">
        <f t="shared" si="30"/>
        <v>1992</v>
      </c>
      <c r="D442">
        <v>1992</v>
      </c>
      <c r="E442" t="str">
        <f t="shared" si="34"/>
        <v>Oct</v>
      </c>
      <c r="F442" t="s">
        <v>37</v>
      </c>
      <c r="G442">
        <v>11</v>
      </c>
      <c r="H442">
        <v>1</v>
      </c>
      <c r="I442" s="21">
        <v>4032.24</v>
      </c>
      <c r="J442" t="str">
        <f t="shared" si="31"/>
        <v>tier - 3</v>
      </c>
      <c r="K442" t="s">
        <v>12</v>
      </c>
      <c r="L442" t="str">
        <f t="shared" si="32"/>
        <v>tier - 3</v>
      </c>
      <c r="M442" t="s">
        <v>12</v>
      </c>
      <c r="N442" t="str">
        <f t="shared" si="33"/>
        <v>R1012</v>
      </c>
      <c r="O442" t="s">
        <v>23</v>
      </c>
    </row>
    <row r="443" spans="1:15" x14ac:dyDescent="0.35">
      <c r="A443" t="s">
        <v>472</v>
      </c>
      <c r="C443">
        <f t="shared" si="30"/>
        <v>1984</v>
      </c>
      <c r="D443">
        <v>1984</v>
      </c>
      <c r="E443" t="str">
        <f t="shared" si="34"/>
        <v>Jul</v>
      </c>
      <c r="F443" t="s">
        <v>10</v>
      </c>
      <c r="G443">
        <v>7</v>
      </c>
      <c r="H443">
        <v>3</v>
      </c>
      <c r="I443" s="21">
        <v>4038.41</v>
      </c>
      <c r="J443" t="str">
        <f t="shared" si="31"/>
        <v>tier - 2</v>
      </c>
      <c r="K443" t="s">
        <v>11</v>
      </c>
      <c r="L443" t="str">
        <f t="shared" si="32"/>
        <v>tier - 1</v>
      </c>
      <c r="M443" t="s">
        <v>16</v>
      </c>
      <c r="N443" t="str">
        <f t="shared" si="33"/>
        <v>R1013</v>
      </c>
      <c r="O443" t="s">
        <v>13</v>
      </c>
    </row>
    <row r="444" spans="1:15" x14ac:dyDescent="0.35">
      <c r="A444" t="s">
        <v>473</v>
      </c>
      <c r="C444">
        <f t="shared" si="30"/>
        <v>1983</v>
      </c>
      <c r="D444">
        <v>1983</v>
      </c>
      <c r="E444" t="str">
        <f t="shared" si="34"/>
        <v>Nov</v>
      </c>
      <c r="F444" t="s">
        <v>15</v>
      </c>
      <c r="G444">
        <v>10</v>
      </c>
      <c r="H444">
        <v>3</v>
      </c>
      <c r="I444" s="21">
        <v>4039.9</v>
      </c>
      <c r="J444" t="str">
        <f t="shared" si="31"/>
        <v>tier - 2</v>
      </c>
      <c r="K444" t="s">
        <v>11</v>
      </c>
      <c r="L444" t="str">
        <f t="shared" si="32"/>
        <v>tier - 1</v>
      </c>
      <c r="M444" t="s">
        <v>16</v>
      </c>
      <c r="N444" t="str">
        <f t="shared" si="33"/>
        <v>R1013</v>
      </c>
      <c r="O444" t="s">
        <v>13</v>
      </c>
    </row>
    <row r="445" spans="1:15" x14ac:dyDescent="0.35">
      <c r="A445" t="s">
        <v>474</v>
      </c>
      <c r="C445">
        <f t="shared" si="30"/>
        <v>1993</v>
      </c>
      <c r="D445">
        <v>1993</v>
      </c>
      <c r="E445" t="str">
        <f t="shared" si="34"/>
        <v>Dec</v>
      </c>
      <c r="F445" t="s">
        <v>30</v>
      </c>
      <c r="G445">
        <v>26</v>
      </c>
      <c r="H445">
        <v>1</v>
      </c>
      <c r="I445" s="21">
        <v>4040.56</v>
      </c>
      <c r="J445" t="str">
        <f t="shared" si="31"/>
        <v>tier - 3</v>
      </c>
      <c r="K445" t="s">
        <v>12</v>
      </c>
      <c r="L445" t="str">
        <f t="shared" si="32"/>
        <v>tier - 3</v>
      </c>
      <c r="M445" t="s">
        <v>12</v>
      </c>
      <c r="N445" t="str">
        <f t="shared" si="33"/>
        <v>R1015</v>
      </c>
      <c r="O445" t="s">
        <v>164</v>
      </c>
    </row>
    <row r="446" spans="1:15" x14ac:dyDescent="0.35">
      <c r="A446" t="s">
        <v>475</v>
      </c>
      <c r="C446">
        <f t="shared" si="30"/>
        <v>1988</v>
      </c>
      <c r="D446">
        <v>1988</v>
      </c>
      <c r="E446" t="str">
        <f t="shared" si="34"/>
        <v>Nov</v>
      </c>
      <c r="F446" t="s">
        <v>15</v>
      </c>
      <c r="G446">
        <v>30</v>
      </c>
      <c r="H446">
        <v>3</v>
      </c>
      <c r="I446" s="21">
        <v>4047.94</v>
      </c>
      <c r="J446" t="str">
        <f t="shared" si="31"/>
        <v>tier - 2</v>
      </c>
      <c r="K446" t="s">
        <v>11</v>
      </c>
      <c r="L446" t="str">
        <f t="shared" si="32"/>
        <v>tier - 1</v>
      </c>
      <c r="M446" t="s">
        <v>16</v>
      </c>
      <c r="N446" t="str">
        <f t="shared" si="33"/>
        <v>R1013</v>
      </c>
      <c r="O446" t="s">
        <v>13</v>
      </c>
    </row>
    <row r="447" spans="1:15" x14ac:dyDescent="0.35">
      <c r="A447" t="s">
        <v>476</v>
      </c>
      <c r="C447">
        <f t="shared" si="30"/>
        <v>1993</v>
      </c>
      <c r="D447">
        <v>1993</v>
      </c>
      <c r="E447" t="str">
        <f t="shared" si="34"/>
        <v>Aug</v>
      </c>
      <c r="F447" t="s">
        <v>35</v>
      </c>
      <c r="G447">
        <v>13</v>
      </c>
      <c r="H447">
        <v>2</v>
      </c>
      <c r="I447" s="21">
        <v>4058.12</v>
      </c>
      <c r="J447" t="str">
        <f t="shared" si="31"/>
        <v>tier - 2</v>
      </c>
      <c r="K447" t="s">
        <v>11</v>
      </c>
      <c r="L447" t="str">
        <f t="shared" si="32"/>
        <v>tier - 1</v>
      </c>
      <c r="M447" t="s">
        <v>16</v>
      </c>
      <c r="N447" t="str">
        <f t="shared" si="33"/>
        <v>R1013</v>
      </c>
      <c r="O447" t="s">
        <v>13</v>
      </c>
    </row>
    <row r="448" spans="1:15" x14ac:dyDescent="0.35">
      <c r="A448" t="s">
        <v>477</v>
      </c>
      <c r="C448">
        <f t="shared" si="30"/>
        <v>1995</v>
      </c>
      <c r="D448">
        <v>1995</v>
      </c>
      <c r="E448" t="str">
        <f t="shared" si="34"/>
        <v>Sep</v>
      </c>
      <c r="F448" t="s">
        <v>20</v>
      </c>
      <c r="G448">
        <v>14</v>
      </c>
      <c r="H448">
        <v>2</v>
      </c>
      <c r="I448" s="21">
        <v>4058.71</v>
      </c>
      <c r="J448" t="str">
        <f t="shared" si="31"/>
        <v>tier - 3</v>
      </c>
      <c r="K448" t="s">
        <v>12</v>
      </c>
      <c r="L448" t="str">
        <f t="shared" si="32"/>
        <v>tier - 3</v>
      </c>
      <c r="M448" t="s">
        <v>12</v>
      </c>
      <c r="N448" t="str">
        <f t="shared" si="33"/>
        <v>R1012</v>
      </c>
      <c r="O448" t="s">
        <v>23</v>
      </c>
    </row>
    <row r="449" spans="1:15" x14ac:dyDescent="0.35">
      <c r="A449" t="s">
        <v>478</v>
      </c>
      <c r="C449">
        <f t="shared" si="30"/>
        <v>1983</v>
      </c>
      <c r="D449">
        <v>1983</v>
      </c>
      <c r="E449" t="str">
        <f t="shared" si="34"/>
        <v>Sep</v>
      </c>
      <c r="F449" t="s">
        <v>20</v>
      </c>
      <c r="G449">
        <v>16</v>
      </c>
      <c r="H449">
        <v>3</v>
      </c>
      <c r="I449" s="21">
        <v>4070.42</v>
      </c>
      <c r="J449" t="str">
        <f t="shared" si="31"/>
        <v>tier - 2</v>
      </c>
      <c r="K449" t="s">
        <v>11</v>
      </c>
      <c r="L449" t="str">
        <f t="shared" si="32"/>
        <v>tier - 1</v>
      </c>
      <c r="M449" t="s">
        <v>16</v>
      </c>
      <c r="N449" t="str">
        <f t="shared" si="33"/>
        <v>R1013</v>
      </c>
      <c r="O449" t="s">
        <v>13</v>
      </c>
    </row>
    <row r="450" spans="1:15" x14ac:dyDescent="0.35">
      <c r="A450" t="s">
        <v>479</v>
      </c>
      <c r="C450">
        <f t="shared" si="30"/>
        <v>2002</v>
      </c>
      <c r="D450">
        <v>2002</v>
      </c>
      <c r="E450" t="str">
        <f t="shared" si="34"/>
        <v>Oct</v>
      </c>
      <c r="F450" t="s">
        <v>37</v>
      </c>
      <c r="G450">
        <v>18</v>
      </c>
      <c r="H450">
        <v>0</v>
      </c>
      <c r="I450" s="21">
        <v>4070.51</v>
      </c>
      <c r="J450" t="str">
        <f t="shared" si="31"/>
        <v>tier - 2</v>
      </c>
      <c r="K450" t="s">
        <v>11</v>
      </c>
      <c r="L450" t="str">
        <f t="shared" si="32"/>
        <v>tier - 1</v>
      </c>
      <c r="M450" t="s">
        <v>16</v>
      </c>
      <c r="N450" t="str">
        <f t="shared" si="33"/>
        <v>R1012</v>
      </c>
      <c r="O450" t="s">
        <v>23</v>
      </c>
    </row>
    <row r="451" spans="1:15" x14ac:dyDescent="0.35">
      <c r="A451" t="s">
        <v>480</v>
      </c>
      <c r="C451">
        <f t="shared" ref="C451:C514" si="35">IF(OR(D451="?", ISBLANK(D451)), 1983, D451)</f>
        <v>1990</v>
      </c>
      <c r="D451">
        <v>1990</v>
      </c>
      <c r="E451" t="str">
        <f t="shared" si="34"/>
        <v>Dec</v>
      </c>
      <c r="F451" t="s">
        <v>30</v>
      </c>
      <c r="G451">
        <v>1</v>
      </c>
      <c r="H451">
        <v>1</v>
      </c>
      <c r="I451" s="21">
        <v>4074.45</v>
      </c>
      <c r="J451" t="str">
        <f t="shared" ref="J451:J514" si="36">IF(OR(K451="?", ISBLANK(K451)), "Tier 2", K451)</f>
        <v>tier - 3</v>
      </c>
      <c r="K451" t="s">
        <v>12</v>
      </c>
      <c r="L451" t="str">
        <f t="shared" ref="L451:L514" si="37">IF(OR(M451="?", ISBLANK(M451)), "Tier 2", M451)</f>
        <v>tier - 2</v>
      </c>
      <c r="M451" t="s">
        <v>11</v>
      </c>
      <c r="N451" t="str">
        <f t="shared" ref="N451:N514" si="38">IF(OR(O451="?", ISBLANK(O451)), "Unknown", O451)</f>
        <v>R1013</v>
      </c>
      <c r="O451" t="s">
        <v>13</v>
      </c>
    </row>
    <row r="452" spans="1:15" x14ac:dyDescent="0.35">
      <c r="A452" t="s">
        <v>481</v>
      </c>
      <c r="C452">
        <f t="shared" si="35"/>
        <v>1990</v>
      </c>
      <c r="D452">
        <v>1990</v>
      </c>
      <c r="E452" t="str">
        <f t="shared" ref="E452:E515" si="39">IF(OR(F452="?", ISBLANK(F452)), "Sep", F452)</f>
        <v>Dec</v>
      </c>
      <c r="F452" t="s">
        <v>30</v>
      </c>
      <c r="G452">
        <v>14</v>
      </c>
      <c r="H452">
        <v>1</v>
      </c>
      <c r="I452" s="21">
        <v>4076.5</v>
      </c>
      <c r="J452" t="str">
        <f t="shared" si="36"/>
        <v>tier - 2</v>
      </c>
      <c r="K452" t="s">
        <v>11</v>
      </c>
      <c r="L452" t="str">
        <f t="shared" si="37"/>
        <v>tier - 3</v>
      </c>
      <c r="M452" t="s">
        <v>12</v>
      </c>
      <c r="N452" t="str">
        <f t="shared" si="38"/>
        <v>R1011</v>
      </c>
      <c r="O452" t="s">
        <v>42</v>
      </c>
    </row>
    <row r="453" spans="1:15" x14ac:dyDescent="0.35">
      <c r="A453" t="s">
        <v>482</v>
      </c>
      <c r="C453">
        <f t="shared" si="35"/>
        <v>1994</v>
      </c>
      <c r="D453">
        <v>1994</v>
      </c>
      <c r="E453" t="str">
        <f t="shared" si="39"/>
        <v>Aug</v>
      </c>
      <c r="F453" t="s">
        <v>35</v>
      </c>
      <c r="G453">
        <v>21</v>
      </c>
      <c r="H453">
        <v>1</v>
      </c>
      <c r="I453" s="21">
        <v>4133.6400000000003</v>
      </c>
      <c r="J453" t="str">
        <f t="shared" si="36"/>
        <v>tier - 2</v>
      </c>
      <c r="K453" t="s">
        <v>11</v>
      </c>
      <c r="L453" t="str">
        <f t="shared" si="37"/>
        <v>tier - 3</v>
      </c>
      <c r="M453" t="s">
        <v>12</v>
      </c>
      <c r="N453" t="str">
        <f t="shared" si="38"/>
        <v>R1012</v>
      </c>
      <c r="O453" t="s">
        <v>23</v>
      </c>
    </row>
    <row r="454" spans="1:15" x14ac:dyDescent="0.35">
      <c r="A454" t="s">
        <v>483</v>
      </c>
      <c r="C454">
        <f t="shared" si="35"/>
        <v>1991</v>
      </c>
      <c r="D454">
        <v>1991</v>
      </c>
      <c r="E454" t="str">
        <f t="shared" si="39"/>
        <v>Aug</v>
      </c>
      <c r="F454" t="s">
        <v>35</v>
      </c>
      <c r="G454">
        <v>6</v>
      </c>
      <c r="H454">
        <v>0</v>
      </c>
      <c r="I454" s="21">
        <v>4134.08</v>
      </c>
      <c r="J454" t="str">
        <f t="shared" si="36"/>
        <v>tier - 2</v>
      </c>
      <c r="K454" t="s">
        <v>11</v>
      </c>
      <c r="L454" t="str">
        <f t="shared" si="37"/>
        <v>tier - 1</v>
      </c>
      <c r="M454" t="s">
        <v>16</v>
      </c>
      <c r="N454" t="str">
        <f t="shared" si="38"/>
        <v>R1012</v>
      </c>
      <c r="O454" t="s">
        <v>23</v>
      </c>
    </row>
    <row r="455" spans="1:15" x14ac:dyDescent="0.35">
      <c r="A455" t="s">
        <v>484</v>
      </c>
      <c r="C455">
        <f t="shared" si="35"/>
        <v>1992</v>
      </c>
      <c r="D455">
        <v>1992</v>
      </c>
      <c r="E455" t="str">
        <f t="shared" si="39"/>
        <v>Jun</v>
      </c>
      <c r="F455" t="s">
        <v>18</v>
      </c>
      <c r="G455">
        <v>18</v>
      </c>
      <c r="H455">
        <v>0</v>
      </c>
      <c r="I455" s="21">
        <v>4137.5200000000004</v>
      </c>
      <c r="J455" t="str">
        <f t="shared" si="36"/>
        <v>tier - 2</v>
      </c>
      <c r="K455" t="s">
        <v>11</v>
      </c>
      <c r="L455" t="str">
        <f t="shared" si="37"/>
        <v>tier - 3</v>
      </c>
      <c r="M455" t="s">
        <v>12</v>
      </c>
      <c r="N455" t="str">
        <f t="shared" si="38"/>
        <v>R1024</v>
      </c>
      <c r="O455" t="s">
        <v>247</v>
      </c>
    </row>
    <row r="456" spans="1:15" x14ac:dyDescent="0.35">
      <c r="A456" t="s">
        <v>485</v>
      </c>
      <c r="C456">
        <f t="shared" si="35"/>
        <v>1992</v>
      </c>
      <c r="D456">
        <v>1992</v>
      </c>
      <c r="E456" t="str">
        <f t="shared" si="39"/>
        <v>Jun</v>
      </c>
      <c r="F456" t="s">
        <v>18</v>
      </c>
      <c r="G456">
        <v>28</v>
      </c>
      <c r="H456">
        <v>1</v>
      </c>
      <c r="I456" s="21">
        <v>4149.74</v>
      </c>
      <c r="J456" t="str">
        <f t="shared" si="36"/>
        <v>tier - 2</v>
      </c>
      <c r="K456" t="s">
        <v>11</v>
      </c>
      <c r="L456" t="str">
        <f t="shared" si="37"/>
        <v>tier - 1</v>
      </c>
      <c r="M456" t="s">
        <v>16</v>
      </c>
      <c r="N456" t="str">
        <f t="shared" si="38"/>
        <v>R1011</v>
      </c>
      <c r="O456" t="s">
        <v>42</v>
      </c>
    </row>
    <row r="457" spans="1:15" x14ac:dyDescent="0.35">
      <c r="A457" t="s">
        <v>486</v>
      </c>
      <c r="C457">
        <f t="shared" si="35"/>
        <v>1992</v>
      </c>
      <c r="D457">
        <v>1992</v>
      </c>
      <c r="E457" t="str">
        <f t="shared" si="39"/>
        <v>Aug</v>
      </c>
      <c r="F457" t="s">
        <v>35</v>
      </c>
      <c r="G457">
        <v>4</v>
      </c>
      <c r="H457">
        <v>1</v>
      </c>
      <c r="I457" s="21">
        <v>4151.03</v>
      </c>
      <c r="J457" t="str">
        <f t="shared" si="36"/>
        <v>tier - 2</v>
      </c>
      <c r="K457" t="s">
        <v>11</v>
      </c>
      <c r="L457" t="str">
        <f t="shared" si="37"/>
        <v>tier - 2</v>
      </c>
      <c r="M457" t="s">
        <v>11</v>
      </c>
      <c r="N457" t="str">
        <f t="shared" si="38"/>
        <v>R1013</v>
      </c>
      <c r="O457" t="s">
        <v>13</v>
      </c>
    </row>
    <row r="458" spans="1:15" x14ac:dyDescent="0.35">
      <c r="A458" t="s">
        <v>487</v>
      </c>
      <c r="C458">
        <f t="shared" si="35"/>
        <v>1998</v>
      </c>
      <c r="D458">
        <v>1998</v>
      </c>
      <c r="E458" t="str">
        <f t="shared" si="39"/>
        <v>Nov</v>
      </c>
      <c r="F458" t="s">
        <v>15</v>
      </c>
      <c r="G458">
        <v>26</v>
      </c>
      <c r="H458">
        <v>0</v>
      </c>
      <c r="I458" s="21">
        <v>4154.97</v>
      </c>
      <c r="J458" t="str">
        <f t="shared" si="36"/>
        <v>tier - 2</v>
      </c>
      <c r="K458" t="s">
        <v>11</v>
      </c>
      <c r="L458" t="str">
        <f t="shared" si="37"/>
        <v>tier - 1</v>
      </c>
      <c r="M458" t="s">
        <v>16</v>
      </c>
      <c r="N458" t="str">
        <f t="shared" si="38"/>
        <v>R1012</v>
      </c>
      <c r="O458" t="s">
        <v>23</v>
      </c>
    </row>
    <row r="459" spans="1:15" x14ac:dyDescent="0.35">
      <c r="A459" t="s">
        <v>488</v>
      </c>
      <c r="C459">
        <f t="shared" si="35"/>
        <v>1984</v>
      </c>
      <c r="D459">
        <v>1984</v>
      </c>
      <c r="E459" t="str">
        <f t="shared" si="39"/>
        <v>Sep</v>
      </c>
      <c r="F459" t="s">
        <v>20</v>
      </c>
      <c r="G459">
        <v>16</v>
      </c>
      <c r="H459">
        <v>3</v>
      </c>
      <c r="I459" s="21">
        <v>4163.21</v>
      </c>
      <c r="J459" t="str">
        <f t="shared" si="36"/>
        <v>tier - 2</v>
      </c>
      <c r="K459" t="s">
        <v>11</v>
      </c>
      <c r="L459" t="str">
        <f t="shared" si="37"/>
        <v>tier - 2</v>
      </c>
      <c r="M459" t="s">
        <v>11</v>
      </c>
      <c r="N459" t="str">
        <f t="shared" si="38"/>
        <v>R1012</v>
      </c>
      <c r="O459" t="s">
        <v>23</v>
      </c>
    </row>
    <row r="460" spans="1:15" x14ac:dyDescent="0.35">
      <c r="A460" t="s">
        <v>489</v>
      </c>
      <c r="C460">
        <f t="shared" si="35"/>
        <v>1989</v>
      </c>
      <c r="D460">
        <v>1989</v>
      </c>
      <c r="E460" t="str">
        <f t="shared" si="39"/>
        <v>Jun</v>
      </c>
      <c r="F460" t="s">
        <v>18</v>
      </c>
      <c r="G460">
        <v>25</v>
      </c>
      <c r="H460">
        <v>0</v>
      </c>
      <c r="I460" s="21">
        <v>4185.1000000000004</v>
      </c>
      <c r="J460" t="str">
        <f t="shared" si="36"/>
        <v>tier - 2</v>
      </c>
      <c r="K460" t="s">
        <v>11</v>
      </c>
      <c r="L460" t="str">
        <f t="shared" si="37"/>
        <v>tier - 3</v>
      </c>
      <c r="M460" t="s">
        <v>12</v>
      </c>
      <c r="N460" t="str">
        <f t="shared" si="38"/>
        <v>R1013</v>
      </c>
      <c r="O460" t="s">
        <v>13</v>
      </c>
    </row>
    <row r="461" spans="1:15" x14ac:dyDescent="0.35">
      <c r="A461" t="s">
        <v>490</v>
      </c>
      <c r="C461">
        <f t="shared" si="35"/>
        <v>1995</v>
      </c>
      <c r="D461">
        <v>1995</v>
      </c>
      <c r="E461" t="str">
        <f t="shared" si="39"/>
        <v>Oct</v>
      </c>
      <c r="F461" t="s">
        <v>37</v>
      </c>
      <c r="G461">
        <v>3</v>
      </c>
      <c r="H461">
        <v>0</v>
      </c>
      <c r="I461" s="21">
        <v>4188.7299999999996</v>
      </c>
      <c r="J461" t="str">
        <f t="shared" si="36"/>
        <v>tier - 2</v>
      </c>
      <c r="K461" t="s">
        <v>11</v>
      </c>
      <c r="L461" t="str">
        <f t="shared" si="37"/>
        <v>tier - 2</v>
      </c>
      <c r="M461" t="s">
        <v>11</v>
      </c>
      <c r="N461" t="str">
        <f t="shared" si="38"/>
        <v>R1025</v>
      </c>
      <c r="O461" t="s">
        <v>200</v>
      </c>
    </row>
    <row r="462" spans="1:15" x14ac:dyDescent="0.35">
      <c r="A462" t="s">
        <v>491</v>
      </c>
      <c r="C462">
        <f t="shared" si="35"/>
        <v>1997</v>
      </c>
      <c r="D462">
        <v>1997</v>
      </c>
      <c r="E462" t="str">
        <f t="shared" si="39"/>
        <v>Sep</v>
      </c>
      <c r="F462" t="s">
        <v>20</v>
      </c>
      <c r="G462">
        <v>6</v>
      </c>
      <c r="H462">
        <v>2</v>
      </c>
      <c r="I462" s="21">
        <v>4189.1099999999997</v>
      </c>
      <c r="J462" t="str">
        <f t="shared" si="36"/>
        <v>tier - 2</v>
      </c>
      <c r="K462" t="s">
        <v>11</v>
      </c>
      <c r="L462" t="str">
        <f t="shared" si="37"/>
        <v>tier - 2</v>
      </c>
      <c r="M462" t="s">
        <v>11</v>
      </c>
      <c r="N462" t="str">
        <f t="shared" si="38"/>
        <v>R1012</v>
      </c>
      <c r="O462" t="s">
        <v>23</v>
      </c>
    </row>
    <row r="463" spans="1:15" x14ac:dyDescent="0.35">
      <c r="A463" t="s">
        <v>492</v>
      </c>
      <c r="C463">
        <f t="shared" si="35"/>
        <v>1998</v>
      </c>
      <c r="D463">
        <v>1998</v>
      </c>
      <c r="E463" t="str">
        <f t="shared" si="39"/>
        <v>Dec</v>
      </c>
      <c r="F463" t="s">
        <v>30</v>
      </c>
      <c r="G463">
        <v>14</v>
      </c>
      <c r="H463">
        <v>3</v>
      </c>
      <c r="I463" s="21">
        <v>4234.93</v>
      </c>
      <c r="J463" t="str">
        <f t="shared" si="36"/>
        <v>tier - 2</v>
      </c>
      <c r="K463" t="s">
        <v>11</v>
      </c>
      <c r="L463" t="str">
        <f t="shared" si="37"/>
        <v>tier - 1</v>
      </c>
      <c r="M463" t="s">
        <v>16</v>
      </c>
      <c r="N463" t="str">
        <f t="shared" si="38"/>
        <v>R1011</v>
      </c>
      <c r="O463" t="s">
        <v>42</v>
      </c>
    </row>
    <row r="464" spans="1:15" x14ac:dyDescent="0.35">
      <c r="A464" t="s">
        <v>493</v>
      </c>
      <c r="C464">
        <f t="shared" si="35"/>
        <v>1992</v>
      </c>
      <c r="D464">
        <v>1992</v>
      </c>
      <c r="E464" t="str">
        <f t="shared" si="39"/>
        <v>Jun</v>
      </c>
      <c r="F464" t="s">
        <v>18</v>
      </c>
      <c r="G464">
        <v>27</v>
      </c>
      <c r="H464">
        <v>1</v>
      </c>
      <c r="I464" s="21">
        <v>4237.13</v>
      </c>
      <c r="J464" t="str">
        <f t="shared" si="36"/>
        <v>tier - 3</v>
      </c>
      <c r="K464" t="s">
        <v>12</v>
      </c>
      <c r="L464" t="str">
        <f t="shared" si="37"/>
        <v>tier - 1</v>
      </c>
      <c r="M464" t="s">
        <v>16</v>
      </c>
      <c r="N464" t="str">
        <f t="shared" si="38"/>
        <v>R1016</v>
      </c>
      <c r="O464" t="s">
        <v>168</v>
      </c>
    </row>
    <row r="465" spans="1:15" x14ac:dyDescent="0.35">
      <c r="A465" t="s">
        <v>494</v>
      </c>
      <c r="C465">
        <f t="shared" si="35"/>
        <v>1991</v>
      </c>
      <c r="D465">
        <v>1991</v>
      </c>
      <c r="E465" t="str">
        <f t="shared" si="39"/>
        <v>Nov</v>
      </c>
      <c r="F465" t="s">
        <v>15</v>
      </c>
      <c r="G465">
        <v>3</v>
      </c>
      <c r="H465">
        <v>1</v>
      </c>
      <c r="I465" s="21">
        <v>4239.8900000000003</v>
      </c>
      <c r="J465" t="str">
        <f t="shared" si="36"/>
        <v>tier - 2</v>
      </c>
      <c r="K465" t="s">
        <v>11</v>
      </c>
      <c r="L465" t="str">
        <f t="shared" si="37"/>
        <v>tier - 2</v>
      </c>
      <c r="M465" t="s">
        <v>11</v>
      </c>
      <c r="N465" t="str">
        <f t="shared" si="38"/>
        <v>R1012</v>
      </c>
      <c r="O465" t="s">
        <v>23</v>
      </c>
    </row>
    <row r="466" spans="1:15" x14ac:dyDescent="0.35">
      <c r="A466" t="s">
        <v>495</v>
      </c>
      <c r="C466">
        <f t="shared" si="35"/>
        <v>1991</v>
      </c>
      <c r="D466">
        <v>1991</v>
      </c>
      <c r="E466" t="str">
        <f t="shared" si="39"/>
        <v>Dec</v>
      </c>
      <c r="F466" t="s">
        <v>30</v>
      </c>
      <c r="G466">
        <v>1</v>
      </c>
      <c r="H466">
        <v>1</v>
      </c>
      <c r="I466" s="21">
        <v>4243.59</v>
      </c>
      <c r="J466" t="str">
        <f t="shared" si="36"/>
        <v>tier - 3</v>
      </c>
      <c r="K466" t="s">
        <v>12</v>
      </c>
      <c r="L466" t="str">
        <f t="shared" si="37"/>
        <v>tier - 1</v>
      </c>
      <c r="M466" t="s">
        <v>16</v>
      </c>
      <c r="N466" t="str">
        <f t="shared" si="38"/>
        <v>R1012</v>
      </c>
      <c r="O466" t="s">
        <v>23</v>
      </c>
    </row>
    <row r="467" spans="1:15" x14ac:dyDescent="0.35">
      <c r="A467" t="s">
        <v>496</v>
      </c>
      <c r="C467">
        <f t="shared" si="35"/>
        <v>1982</v>
      </c>
      <c r="D467">
        <v>1982</v>
      </c>
      <c r="E467" t="str">
        <f t="shared" si="39"/>
        <v>Jun</v>
      </c>
      <c r="F467" t="s">
        <v>18</v>
      </c>
      <c r="G467">
        <v>16</v>
      </c>
      <c r="H467">
        <v>3</v>
      </c>
      <c r="I467" s="21">
        <v>4250.24</v>
      </c>
      <c r="J467" t="str">
        <f t="shared" si="36"/>
        <v>tier - 2</v>
      </c>
      <c r="K467" t="s">
        <v>11</v>
      </c>
      <c r="L467" t="str">
        <f t="shared" si="37"/>
        <v>tier - 3</v>
      </c>
      <c r="M467" t="s">
        <v>12</v>
      </c>
      <c r="N467" t="str">
        <f t="shared" si="38"/>
        <v>R1013</v>
      </c>
      <c r="O467" t="s">
        <v>13</v>
      </c>
    </row>
    <row r="468" spans="1:15" x14ac:dyDescent="0.35">
      <c r="A468" t="s">
        <v>497</v>
      </c>
      <c r="C468">
        <f t="shared" si="35"/>
        <v>1995</v>
      </c>
      <c r="D468">
        <v>1995</v>
      </c>
      <c r="E468" t="str">
        <f t="shared" si="39"/>
        <v>Oct</v>
      </c>
      <c r="F468" t="s">
        <v>37</v>
      </c>
      <c r="G468">
        <v>14</v>
      </c>
      <c r="H468">
        <v>3</v>
      </c>
      <c r="I468" s="21">
        <v>4260.74</v>
      </c>
      <c r="J468" t="str">
        <f t="shared" si="36"/>
        <v>tier - 3</v>
      </c>
      <c r="K468" t="s">
        <v>12</v>
      </c>
      <c r="L468" t="str">
        <f t="shared" si="37"/>
        <v>tier - 2</v>
      </c>
      <c r="M468" t="s">
        <v>11</v>
      </c>
      <c r="N468" t="str">
        <f t="shared" si="38"/>
        <v>R1011</v>
      </c>
      <c r="O468" t="s">
        <v>42</v>
      </c>
    </row>
    <row r="469" spans="1:15" x14ac:dyDescent="0.35">
      <c r="A469" t="s">
        <v>498</v>
      </c>
      <c r="C469">
        <f t="shared" si="35"/>
        <v>1983</v>
      </c>
      <c r="D469">
        <v>1983</v>
      </c>
      <c r="E469" t="str">
        <f t="shared" si="39"/>
        <v>Nov</v>
      </c>
      <c r="F469" t="s">
        <v>15</v>
      </c>
      <c r="G469">
        <v>20</v>
      </c>
      <c r="H469">
        <v>3</v>
      </c>
      <c r="I469" s="21">
        <v>4265.01</v>
      </c>
      <c r="J469" t="str">
        <f t="shared" si="36"/>
        <v>tier - 2</v>
      </c>
      <c r="K469" t="s">
        <v>11</v>
      </c>
      <c r="L469" t="str">
        <f t="shared" si="37"/>
        <v>tier - 1</v>
      </c>
      <c r="M469" t="s">
        <v>16</v>
      </c>
      <c r="N469" t="str">
        <f t="shared" si="38"/>
        <v>R1012</v>
      </c>
      <c r="O469" t="s">
        <v>23</v>
      </c>
    </row>
    <row r="470" spans="1:15" x14ac:dyDescent="0.35">
      <c r="A470" t="s">
        <v>499</v>
      </c>
      <c r="C470">
        <f t="shared" si="35"/>
        <v>1992</v>
      </c>
      <c r="D470">
        <v>1992</v>
      </c>
      <c r="E470" t="str">
        <f t="shared" si="39"/>
        <v>Jun</v>
      </c>
      <c r="F470" t="s">
        <v>18</v>
      </c>
      <c r="G470">
        <v>18</v>
      </c>
      <c r="H470">
        <v>2</v>
      </c>
      <c r="I470" s="21">
        <v>4266.17</v>
      </c>
      <c r="J470" t="str">
        <f t="shared" si="36"/>
        <v>tier - 3</v>
      </c>
      <c r="K470" t="s">
        <v>12</v>
      </c>
      <c r="L470" t="str">
        <f t="shared" si="37"/>
        <v>tier - 2</v>
      </c>
      <c r="M470" t="s">
        <v>11</v>
      </c>
      <c r="N470" t="str">
        <f t="shared" si="38"/>
        <v>R1013</v>
      </c>
      <c r="O470" t="s">
        <v>13</v>
      </c>
    </row>
    <row r="471" spans="1:15" x14ac:dyDescent="0.35">
      <c r="A471" t="s">
        <v>500</v>
      </c>
      <c r="C471">
        <f t="shared" si="35"/>
        <v>2003</v>
      </c>
      <c r="D471">
        <v>2003</v>
      </c>
      <c r="E471" t="str">
        <f t="shared" si="39"/>
        <v>Jun</v>
      </c>
      <c r="F471" t="s">
        <v>18</v>
      </c>
      <c r="G471">
        <v>8</v>
      </c>
      <c r="H471">
        <v>0</v>
      </c>
      <c r="I471" s="21">
        <v>4278.55</v>
      </c>
      <c r="J471" t="str">
        <f t="shared" si="36"/>
        <v>tier - 2</v>
      </c>
      <c r="K471" t="s">
        <v>11</v>
      </c>
      <c r="L471" t="str">
        <f t="shared" si="37"/>
        <v>tier - 1</v>
      </c>
      <c r="M471" t="s">
        <v>16</v>
      </c>
      <c r="N471" t="str">
        <f t="shared" si="38"/>
        <v>R1021</v>
      </c>
      <c r="O471" t="s">
        <v>300</v>
      </c>
    </row>
    <row r="472" spans="1:15" x14ac:dyDescent="0.35">
      <c r="A472" t="s">
        <v>501</v>
      </c>
      <c r="C472">
        <f t="shared" si="35"/>
        <v>2000</v>
      </c>
      <c r="D472">
        <v>2000</v>
      </c>
      <c r="E472" t="str">
        <f t="shared" si="39"/>
        <v>Nov</v>
      </c>
      <c r="F472" t="s">
        <v>15</v>
      </c>
      <c r="G472">
        <v>25</v>
      </c>
      <c r="H472">
        <v>3</v>
      </c>
      <c r="I472" s="21">
        <v>4296.2700000000004</v>
      </c>
      <c r="J472" t="str">
        <f t="shared" si="36"/>
        <v>tier - 2</v>
      </c>
      <c r="K472" t="s">
        <v>11</v>
      </c>
      <c r="L472" t="str">
        <f t="shared" si="37"/>
        <v>tier - 3</v>
      </c>
      <c r="M472" t="s">
        <v>12</v>
      </c>
      <c r="N472" t="str">
        <f t="shared" si="38"/>
        <v>R1012</v>
      </c>
      <c r="O472" t="s">
        <v>23</v>
      </c>
    </row>
    <row r="473" spans="1:15" x14ac:dyDescent="0.35">
      <c r="A473" t="s">
        <v>502</v>
      </c>
      <c r="C473">
        <f t="shared" si="35"/>
        <v>1988</v>
      </c>
      <c r="D473">
        <v>1988</v>
      </c>
      <c r="E473" t="str">
        <f t="shared" si="39"/>
        <v>Dec</v>
      </c>
      <c r="F473" t="s">
        <v>30</v>
      </c>
      <c r="G473">
        <v>19</v>
      </c>
      <c r="H473">
        <v>0</v>
      </c>
      <c r="I473" s="21">
        <v>4320.41</v>
      </c>
      <c r="J473" t="str">
        <f t="shared" si="36"/>
        <v>tier - 2</v>
      </c>
      <c r="K473" t="s">
        <v>11</v>
      </c>
      <c r="L473" t="str">
        <f t="shared" si="37"/>
        <v>tier - 1</v>
      </c>
      <c r="M473" t="s">
        <v>16</v>
      </c>
      <c r="N473" t="str">
        <f t="shared" si="38"/>
        <v>R1012</v>
      </c>
      <c r="O473" t="s">
        <v>23</v>
      </c>
    </row>
    <row r="474" spans="1:15" x14ac:dyDescent="0.35">
      <c r="A474" t="s">
        <v>503</v>
      </c>
      <c r="C474">
        <f t="shared" si="35"/>
        <v>1994</v>
      </c>
      <c r="D474">
        <v>1994</v>
      </c>
      <c r="E474" t="str">
        <f t="shared" si="39"/>
        <v>Nov</v>
      </c>
      <c r="F474" t="s">
        <v>15</v>
      </c>
      <c r="G474">
        <v>2</v>
      </c>
      <c r="H474">
        <v>1</v>
      </c>
      <c r="I474" s="21">
        <v>4337.74</v>
      </c>
      <c r="J474" t="str">
        <f t="shared" si="36"/>
        <v>tier - 2</v>
      </c>
      <c r="K474" t="s">
        <v>11</v>
      </c>
      <c r="L474" t="str">
        <f t="shared" si="37"/>
        <v>tier - 1</v>
      </c>
      <c r="M474" t="s">
        <v>16</v>
      </c>
      <c r="N474" t="str">
        <f t="shared" si="38"/>
        <v>R1024</v>
      </c>
      <c r="O474" t="s">
        <v>247</v>
      </c>
    </row>
    <row r="475" spans="1:15" x14ac:dyDescent="0.35">
      <c r="A475" t="s">
        <v>504</v>
      </c>
      <c r="C475">
        <f t="shared" si="35"/>
        <v>1994</v>
      </c>
      <c r="D475">
        <v>1994</v>
      </c>
      <c r="E475" t="str">
        <f t="shared" si="39"/>
        <v>Oct</v>
      </c>
      <c r="F475" t="s">
        <v>37</v>
      </c>
      <c r="G475">
        <v>26</v>
      </c>
      <c r="H475">
        <v>2</v>
      </c>
      <c r="I475" s="21">
        <v>4340.4399999999996</v>
      </c>
      <c r="J475" t="str">
        <f t="shared" si="36"/>
        <v>tier - 2</v>
      </c>
      <c r="K475" t="s">
        <v>11</v>
      </c>
      <c r="L475" t="str">
        <f t="shared" si="37"/>
        <v>tier - 1</v>
      </c>
      <c r="M475" t="s">
        <v>16</v>
      </c>
      <c r="N475" t="str">
        <f t="shared" si="38"/>
        <v>R1013</v>
      </c>
      <c r="O475" t="s">
        <v>13</v>
      </c>
    </row>
    <row r="476" spans="1:15" x14ac:dyDescent="0.35">
      <c r="A476" t="s">
        <v>505</v>
      </c>
      <c r="C476">
        <f t="shared" si="35"/>
        <v>1991</v>
      </c>
      <c r="D476">
        <v>1991</v>
      </c>
      <c r="E476" t="str">
        <f t="shared" si="39"/>
        <v>Jun</v>
      </c>
      <c r="F476" t="s">
        <v>18</v>
      </c>
      <c r="G476">
        <v>1</v>
      </c>
      <c r="H476">
        <v>0</v>
      </c>
      <c r="I476" s="21">
        <v>4347.0200000000004</v>
      </c>
      <c r="J476" t="str">
        <f t="shared" si="36"/>
        <v>tier - 2</v>
      </c>
      <c r="K476" t="s">
        <v>11</v>
      </c>
      <c r="L476" t="str">
        <f t="shared" si="37"/>
        <v>tier - 1</v>
      </c>
      <c r="M476" t="s">
        <v>16</v>
      </c>
      <c r="N476" t="str">
        <f t="shared" si="38"/>
        <v>R1024</v>
      </c>
      <c r="O476" t="s">
        <v>247</v>
      </c>
    </row>
    <row r="477" spans="1:15" x14ac:dyDescent="0.35">
      <c r="A477" t="s">
        <v>506</v>
      </c>
      <c r="C477">
        <f t="shared" si="35"/>
        <v>1994</v>
      </c>
      <c r="D477">
        <v>1994</v>
      </c>
      <c r="E477" t="str">
        <f t="shared" si="39"/>
        <v>Nov</v>
      </c>
      <c r="F477" t="s">
        <v>15</v>
      </c>
      <c r="G477">
        <v>1</v>
      </c>
      <c r="H477">
        <v>2</v>
      </c>
      <c r="I477" s="21">
        <v>4349.46</v>
      </c>
      <c r="J477" t="str">
        <f t="shared" si="36"/>
        <v>tier - 2</v>
      </c>
      <c r="K477" t="s">
        <v>11</v>
      </c>
      <c r="L477" t="str">
        <f t="shared" si="37"/>
        <v>tier - 2</v>
      </c>
      <c r="M477" t="s">
        <v>11</v>
      </c>
      <c r="N477" t="str">
        <f t="shared" si="38"/>
        <v>R1013</v>
      </c>
      <c r="O477" t="s">
        <v>13</v>
      </c>
    </row>
    <row r="478" spans="1:15" x14ac:dyDescent="0.35">
      <c r="A478" t="s">
        <v>507</v>
      </c>
      <c r="C478">
        <f t="shared" si="35"/>
        <v>1991</v>
      </c>
      <c r="D478">
        <v>1991</v>
      </c>
      <c r="E478" t="str">
        <f t="shared" si="39"/>
        <v>Sep</v>
      </c>
      <c r="F478" t="s">
        <v>20</v>
      </c>
      <c r="G478">
        <v>13</v>
      </c>
      <c r="H478">
        <v>1</v>
      </c>
      <c r="I478" s="21">
        <v>4350.51</v>
      </c>
      <c r="J478" t="str">
        <f t="shared" si="36"/>
        <v>tier - 2</v>
      </c>
      <c r="K478" t="s">
        <v>11</v>
      </c>
      <c r="L478" t="str">
        <f t="shared" si="37"/>
        <v>tier - 2</v>
      </c>
      <c r="M478" t="s">
        <v>11</v>
      </c>
      <c r="N478" t="str">
        <f t="shared" si="38"/>
        <v>R1013</v>
      </c>
      <c r="O478" t="s">
        <v>13</v>
      </c>
    </row>
    <row r="479" spans="1:15" x14ac:dyDescent="0.35">
      <c r="A479" t="s">
        <v>508</v>
      </c>
      <c r="C479">
        <f t="shared" si="35"/>
        <v>1990</v>
      </c>
      <c r="D479">
        <v>1990</v>
      </c>
      <c r="E479" t="str">
        <f t="shared" si="39"/>
        <v>Aug</v>
      </c>
      <c r="F479" t="s">
        <v>35</v>
      </c>
      <c r="G479">
        <v>28</v>
      </c>
      <c r="H479">
        <v>0</v>
      </c>
      <c r="I479" s="21">
        <v>4357.04</v>
      </c>
      <c r="J479" t="str">
        <f t="shared" si="36"/>
        <v>tier - 2</v>
      </c>
      <c r="K479" t="s">
        <v>11</v>
      </c>
      <c r="L479" t="str">
        <f t="shared" si="37"/>
        <v>tier - 3</v>
      </c>
      <c r="M479" t="s">
        <v>12</v>
      </c>
      <c r="N479" t="str">
        <f t="shared" si="38"/>
        <v>R1012</v>
      </c>
      <c r="O479" t="s">
        <v>23</v>
      </c>
    </row>
    <row r="480" spans="1:15" x14ac:dyDescent="0.35">
      <c r="A480" t="s">
        <v>509</v>
      </c>
      <c r="C480">
        <f t="shared" si="35"/>
        <v>1997</v>
      </c>
      <c r="D480">
        <v>1997</v>
      </c>
      <c r="E480" t="str">
        <f t="shared" si="39"/>
        <v>Nov</v>
      </c>
      <c r="F480" t="s">
        <v>15</v>
      </c>
      <c r="G480">
        <v>29</v>
      </c>
      <c r="H480">
        <v>3</v>
      </c>
      <c r="I480" s="21">
        <v>4391.6499999999996</v>
      </c>
      <c r="J480" t="str">
        <f t="shared" si="36"/>
        <v>tier - 2</v>
      </c>
      <c r="K480" t="s">
        <v>11</v>
      </c>
      <c r="L480" t="str">
        <f t="shared" si="37"/>
        <v>tier - 2</v>
      </c>
      <c r="M480" t="s">
        <v>11</v>
      </c>
      <c r="N480" t="str">
        <f t="shared" si="38"/>
        <v>R1011</v>
      </c>
      <c r="O480" t="s">
        <v>42</v>
      </c>
    </row>
    <row r="481" spans="1:15" x14ac:dyDescent="0.35">
      <c r="A481" t="s">
        <v>510</v>
      </c>
      <c r="C481">
        <f t="shared" si="35"/>
        <v>1982</v>
      </c>
      <c r="D481">
        <v>1982</v>
      </c>
      <c r="E481" t="str">
        <f t="shared" si="39"/>
        <v>Jun</v>
      </c>
      <c r="F481" t="s">
        <v>18</v>
      </c>
      <c r="G481">
        <v>29</v>
      </c>
      <c r="H481">
        <v>3</v>
      </c>
      <c r="I481" s="21">
        <v>4392.7</v>
      </c>
      <c r="J481" t="str">
        <f t="shared" si="36"/>
        <v>tier - 2</v>
      </c>
      <c r="K481" t="s">
        <v>11</v>
      </c>
      <c r="L481" t="str">
        <f t="shared" si="37"/>
        <v>tier - 2</v>
      </c>
      <c r="M481" t="s">
        <v>11</v>
      </c>
      <c r="N481" t="str">
        <f t="shared" si="38"/>
        <v>R1013</v>
      </c>
      <c r="O481" t="s">
        <v>13</v>
      </c>
    </row>
    <row r="482" spans="1:15" x14ac:dyDescent="0.35">
      <c r="A482" t="s">
        <v>511</v>
      </c>
      <c r="C482">
        <f t="shared" si="35"/>
        <v>1988</v>
      </c>
      <c r="D482">
        <v>1988</v>
      </c>
      <c r="E482" t="str">
        <f t="shared" si="39"/>
        <v>Jul</v>
      </c>
      <c r="F482" t="s">
        <v>10</v>
      </c>
      <c r="G482">
        <v>18</v>
      </c>
      <c r="H482">
        <v>3</v>
      </c>
      <c r="I482" s="21">
        <v>4397.3100000000004</v>
      </c>
      <c r="J482" t="str">
        <f t="shared" si="36"/>
        <v>tier - 2</v>
      </c>
      <c r="K482" t="s">
        <v>11</v>
      </c>
      <c r="L482" t="str">
        <f t="shared" si="37"/>
        <v>tier - 2</v>
      </c>
      <c r="M482" t="s">
        <v>11</v>
      </c>
      <c r="N482" t="str">
        <f t="shared" si="38"/>
        <v>R1013</v>
      </c>
      <c r="O482" t="s">
        <v>13</v>
      </c>
    </row>
    <row r="483" spans="1:15" x14ac:dyDescent="0.35">
      <c r="A483" t="s">
        <v>512</v>
      </c>
      <c r="C483">
        <f t="shared" si="35"/>
        <v>1986</v>
      </c>
      <c r="D483">
        <v>1986</v>
      </c>
      <c r="E483" t="str">
        <f t="shared" si="39"/>
        <v>Aug</v>
      </c>
      <c r="F483" t="s">
        <v>35</v>
      </c>
      <c r="G483">
        <v>11</v>
      </c>
      <c r="H483">
        <v>0</v>
      </c>
      <c r="I483" s="21">
        <v>4399.7299999999996</v>
      </c>
      <c r="J483" t="str">
        <f t="shared" si="36"/>
        <v>tier - 3</v>
      </c>
      <c r="K483" t="s">
        <v>12</v>
      </c>
      <c r="L483" t="str">
        <f t="shared" si="37"/>
        <v>tier - 2</v>
      </c>
      <c r="M483" t="s">
        <v>11</v>
      </c>
      <c r="N483" t="str">
        <f t="shared" si="38"/>
        <v>R1013</v>
      </c>
      <c r="O483" t="s">
        <v>13</v>
      </c>
    </row>
    <row r="484" spans="1:15" x14ac:dyDescent="0.35">
      <c r="A484" t="s">
        <v>513</v>
      </c>
      <c r="C484">
        <f t="shared" si="35"/>
        <v>1986</v>
      </c>
      <c r="D484">
        <v>1986</v>
      </c>
      <c r="E484" t="str">
        <f t="shared" si="39"/>
        <v>Jul</v>
      </c>
      <c r="F484" t="s">
        <v>10</v>
      </c>
      <c r="G484">
        <v>13</v>
      </c>
      <c r="H484">
        <v>0</v>
      </c>
      <c r="I484" s="21">
        <v>4402.2299999999996</v>
      </c>
      <c r="J484" t="str">
        <f t="shared" si="36"/>
        <v>tier - 2</v>
      </c>
      <c r="K484" t="s">
        <v>11</v>
      </c>
      <c r="L484" t="str">
        <f t="shared" si="37"/>
        <v>tier - 2</v>
      </c>
      <c r="M484" t="s">
        <v>11</v>
      </c>
      <c r="N484" t="str">
        <f t="shared" si="38"/>
        <v>R1011</v>
      </c>
      <c r="O484" t="s">
        <v>42</v>
      </c>
    </row>
    <row r="485" spans="1:15" x14ac:dyDescent="0.35">
      <c r="A485" t="s">
        <v>514</v>
      </c>
      <c r="C485">
        <f t="shared" si="35"/>
        <v>1988</v>
      </c>
      <c r="D485">
        <v>1988</v>
      </c>
      <c r="E485" t="str">
        <f t="shared" si="39"/>
        <v>Sep</v>
      </c>
      <c r="F485" t="s">
        <v>20</v>
      </c>
      <c r="G485">
        <v>16</v>
      </c>
      <c r="H485">
        <v>0</v>
      </c>
      <c r="I485" s="21">
        <v>4415.16</v>
      </c>
      <c r="J485" t="str">
        <f t="shared" si="36"/>
        <v>tier - 2</v>
      </c>
      <c r="K485" t="s">
        <v>11</v>
      </c>
      <c r="L485" t="str">
        <f t="shared" si="37"/>
        <v>tier - 1</v>
      </c>
      <c r="M485" t="s">
        <v>16</v>
      </c>
      <c r="N485" t="str">
        <f t="shared" si="38"/>
        <v>R1013</v>
      </c>
      <c r="O485" t="s">
        <v>13</v>
      </c>
    </row>
    <row r="486" spans="1:15" x14ac:dyDescent="0.35">
      <c r="A486" t="s">
        <v>515</v>
      </c>
      <c r="C486">
        <f t="shared" si="35"/>
        <v>1992</v>
      </c>
      <c r="D486">
        <v>1992</v>
      </c>
      <c r="E486" t="str">
        <f t="shared" si="39"/>
        <v>Aug</v>
      </c>
      <c r="F486" t="s">
        <v>35</v>
      </c>
      <c r="G486">
        <v>15</v>
      </c>
      <c r="H486">
        <v>0</v>
      </c>
      <c r="I486" s="21">
        <v>4420.95</v>
      </c>
      <c r="J486" t="str">
        <f t="shared" si="36"/>
        <v>tier - 2</v>
      </c>
      <c r="K486" t="s">
        <v>11</v>
      </c>
      <c r="L486" t="str">
        <f t="shared" si="37"/>
        <v>tier - 3</v>
      </c>
      <c r="M486" t="s">
        <v>12</v>
      </c>
      <c r="N486" t="str">
        <f t="shared" si="38"/>
        <v>R1020</v>
      </c>
      <c r="O486" t="s">
        <v>516</v>
      </c>
    </row>
    <row r="487" spans="1:15" x14ac:dyDescent="0.35">
      <c r="A487" t="s">
        <v>517</v>
      </c>
      <c r="C487">
        <f t="shared" si="35"/>
        <v>1994</v>
      </c>
      <c r="D487">
        <v>1994</v>
      </c>
      <c r="E487" t="str">
        <f t="shared" si="39"/>
        <v>Dec</v>
      </c>
      <c r="F487" t="s">
        <v>30</v>
      </c>
      <c r="G487">
        <v>29</v>
      </c>
      <c r="H487">
        <v>2</v>
      </c>
      <c r="I487" s="21">
        <v>4428.8900000000003</v>
      </c>
      <c r="J487" t="str">
        <f t="shared" si="36"/>
        <v>tier - 3</v>
      </c>
      <c r="K487" t="s">
        <v>12</v>
      </c>
      <c r="L487" t="str">
        <f t="shared" si="37"/>
        <v>tier - 1</v>
      </c>
      <c r="M487" t="s">
        <v>16</v>
      </c>
      <c r="N487" t="str">
        <f t="shared" si="38"/>
        <v>R1017</v>
      </c>
      <c r="O487" t="s">
        <v>356</v>
      </c>
    </row>
    <row r="488" spans="1:15" x14ac:dyDescent="0.35">
      <c r="A488" t="s">
        <v>518</v>
      </c>
      <c r="C488">
        <f t="shared" si="35"/>
        <v>1993</v>
      </c>
      <c r="D488">
        <v>1993</v>
      </c>
      <c r="E488" t="str">
        <f t="shared" si="39"/>
        <v>Sep</v>
      </c>
      <c r="F488" t="s">
        <v>20</v>
      </c>
      <c r="G488">
        <v>4</v>
      </c>
      <c r="H488">
        <v>2</v>
      </c>
      <c r="I488" s="21">
        <v>4433.3900000000003</v>
      </c>
      <c r="J488" t="str">
        <f t="shared" si="36"/>
        <v>tier - 2</v>
      </c>
      <c r="K488" t="s">
        <v>11</v>
      </c>
      <c r="L488" t="str">
        <f t="shared" si="37"/>
        <v>tier - 3</v>
      </c>
      <c r="M488" t="s">
        <v>12</v>
      </c>
      <c r="N488" t="str">
        <f t="shared" si="38"/>
        <v>R1012</v>
      </c>
      <c r="O488" t="s">
        <v>23</v>
      </c>
    </row>
    <row r="489" spans="1:15" x14ac:dyDescent="0.35">
      <c r="A489" t="s">
        <v>519</v>
      </c>
      <c r="C489">
        <f t="shared" si="35"/>
        <v>1993</v>
      </c>
      <c r="D489">
        <v>1993</v>
      </c>
      <c r="E489" t="str">
        <f t="shared" si="39"/>
        <v>Dec</v>
      </c>
      <c r="F489" t="s">
        <v>30</v>
      </c>
      <c r="G489">
        <v>23</v>
      </c>
      <c r="H489">
        <v>2</v>
      </c>
      <c r="I489" s="21">
        <v>4433.92</v>
      </c>
      <c r="J489" t="str">
        <f t="shared" si="36"/>
        <v>tier - 2</v>
      </c>
      <c r="K489" t="s">
        <v>11</v>
      </c>
      <c r="L489" t="str">
        <f t="shared" si="37"/>
        <v>tier - 2</v>
      </c>
      <c r="M489" t="s">
        <v>11</v>
      </c>
      <c r="N489" t="str">
        <f t="shared" si="38"/>
        <v>R1012</v>
      </c>
      <c r="O489" t="s">
        <v>23</v>
      </c>
    </row>
    <row r="490" spans="1:15" x14ac:dyDescent="0.35">
      <c r="A490" t="s">
        <v>520</v>
      </c>
      <c r="C490">
        <f t="shared" si="35"/>
        <v>1994</v>
      </c>
      <c r="D490">
        <v>1994</v>
      </c>
      <c r="E490" t="str">
        <f t="shared" si="39"/>
        <v>Oct</v>
      </c>
      <c r="F490" t="s">
        <v>37</v>
      </c>
      <c r="G490">
        <v>8</v>
      </c>
      <c r="H490">
        <v>2</v>
      </c>
      <c r="I490" s="21">
        <v>4435.09</v>
      </c>
      <c r="J490" t="str">
        <f t="shared" si="36"/>
        <v>tier - 3</v>
      </c>
      <c r="K490" t="s">
        <v>12</v>
      </c>
      <c r="L490" t="str">
        <f t="shared" si="37"/>
        <v>tier - 2</v>
      </c>
      <c r="M490" t="s">
        <v>11</v>
      </c>
      <c r="N490" t="str">
        <f t="shared" si="38"/>
        <v>R1016</v>
      </c>
      <c r="O490" t="s">
        <v>168</v>
      </c>
    </row>
    <row r="491" spans="1:15" x14ac:dyDescent="0.35">
      <c r="A491" t="s">
        <v>521</v>
      </c>
      <c r="C491">
        <f t="shared" si="35"/>
        <v>1994</v>
      </c>
      <c r="D491">
        <v>1994</v>
      </c>
      <c r="E491" t="str">
        <f t="shared" si="39"/>
        <v>Oct</v>
      </c>
      <c r="F491" t="s">
        <v>37</v>
      </c>
      <c r="G491">
        <v>24</v>
      </c>
      <c r="H491">
        <v>2</v>
      </c>
      <c r="I491" s="21">
        <v>4438.26</v>
      </c>
      <c r="J491" t="str">
        <f t="shared" si="36"/>
        <v>tier - 2</v>
      </c>
      <c r="K491" t="s">
        <v>11</v>
      </c>
      <c r="L491" t="str">
        <f t="shared" si="37"/>
        <v>tier - 3</v>
      </c>
      <c r="M491" t="s">
        <v>12</v>
      </c>
      <c r="N491" t="str">
        <f t="shared" si="38"/>
        <v>R1017</v>
      </c>
      <c r="O491" t="s">
        <v>356</v>
      </c>
    </row>
    <row r="492" spans="1:15" x14ac:dyDescent="0.35">
      <c r="A492" t="s">
        <v>522</v>
      </c>
      <c r="C492">
        <f t="shared" si="35"/>
        <v>1991</v>
      </c>
      <c r="D492">
        <v>1991</v>
      </c>
      <c r="E492" t="str">
        <f t="shared" si="39"/>
        <v>Sep</v>
      </c>
      <c r="F492" t="s">
        <v>20</v>
      </c>
      <c r="G492">
        <v>3</v>
      </c>
      <c r="H492">
        <v>1</v>
      </c>
      <c r="I492" s="21">
        <v>4441.21</v>
      </c>
      <c r="J492" t="str">
        <f t="shared" si="36"/>
        <v>tier - 1</v>
      </c>
      <c r="K492" t="s">
        <v>16</v>
      </c>
      <c r="L492" t="str">
        <f t="shared" si="37"/>
        <v>tier - 2</v>
      </c>
      <c r="M492" t="s">
        <v>11</v>
      </c>
      <c r="N492" t="str">
        <f t="shared" si="38"/>
        <v>R1014</v>
      </c>
      <c r="O492" t="s">
        <v>276</v>
      </c>
    </row>
    <row r="493" spans="1:15" x14ac:dyDescent="0.35">
      <c r="A493" t="s">
        <v>523</v>
      </c>
      <c r="C493">
        <f t="shared" si="35"/>
        <v>1994</v>
      </c>
      <c r="D493">
        <v>1994</v>
      </c>
      <c r="E493" t="str">
        <f t="shared" si="39"/>
        <v>Jun</v>
      </c>
      <c r="F493" t="s">
        <v>18</v>
      </c>
      <c r="G493">
        <v>28</v>
      </c>
      <c r="H493">
        <v>3</v>
      </c>
      <c r="I493" s="21">
        <v>4449.46</v>
      </c>
      <c r="J493" t="str">
        <f t="shared" si="36"/>
        <v>tier - 1</v>
      </c>
      <c r="K493" t="s">
        <v>16</v>
      </c>
      <c r="L493" t="str">
        <f t="shared" si="37"/>
        <v>tier - 2</v>
      </c>
      <c r="M493" t="s">
        <v>11</v>
      </c>
      <c r="N493" t="str">
        <f t="shared" si="38"/>
        <v>R1013</v>
      </c>
      <c r="O493" t="s">
        <v>13</v>
      </c>
    </row>
    <row r="494" spans="1:15" x14ac:dyDescent="0.35">
      <c r="A494" t="s">
        <v>524</v>
      </c>
      <c r="C494">
        <f t="shared" si="35"/>
        <v>1990</v>
      </c>
      <c r="D494">
        <v>1990</v>
      </c>
      <c r="E494" t="str">
        <f t="shared" si="39"/>
        <v>Aug</v>
      </c>
      <c r="F494" t="s">
        <v>35</v>
      </c>
      <c r="G494">
        <v>8</v>
      </c>
      <c r="H494">
        <v>1</v>
      </c>
      <c r="I494" s="21">
        <v>4454.3999999999996</v>
      </c>
      <c r="J494" t="str">
        <f t="shared" si="36"/>
        <v>tier - 2</v>
      </c>
      <c r="K494" t="s">
        <v>11</v>
      </c>
      <c r="L494" t="str">
        <f t="shared" si="37"/>
        <v>tier - 3</v>
      </c>
      <c r="M494" t="s">
        <v>12</v>
      </c>
      <c r="N494" t="str">
        <f t="shared" si="38"/>
        <v>R1012</v>
      </c>
      <c r="O494" t="s">
        <v>23</v>
      </c>
    </row>
    <row r="495" spans="1:15" x14ac:dyDescent="0.35">
      <c r="A495" t="s">
        <v>525</v>
      </c>
      <c r="C495">
        <f t="shared" si="35"/>
        <v>1990</v>
      </c>
      <c r="D495">
        <v>1990</v>
      </c>
      <c r="E495" t="str">
        <f t="shared" si="39"/>
        <v>Jul</v>
      </c>
      <c r="F495" t="s">
        <v>10</v>
      </c>
      <c r="G495">
        <v>15</v>
      </c>
      <c r="H495">
        <v>1</v>
      </c>
      <c r="I495" s="21">
        <v>4462.72</v>
      </c>
      <c r="J495" t="str">
        <f t="shared" si="36"/>
        <v>tier - 2</v>
      </c>
      <c r="K495" t="s">
        <v>11</v>
      </c>
      <c r="L495" t="str">
        <f t="shared" si="37"/>
        <v>tier - 3</v>
      </c>
      <c r="M495" t="s">
        <v>12</v>
      </c>
      <c r="N495" t="str">
        <f t="shared" si="38"/>
        <v>R1012</v>
      </c>
      <c r="O495" t="s">
        <v>23</v>
      </c>
    </row>
    <row r="496" spans="1:15" x14ac:dyDescent="0.35">
      <c r="A496" t="s">
        <v>526</v>
      </c>
      <c r="C496">
        <f t="shared" si="35"/>
        <v>1991</v>
      </c>
      <c r="D496">
        <v>1991</v>
      </c>
      <c r="E496" t="str">
        <f t="shared" si="39"/>
        <v>Jul</v>
      </c>
      <c r="F496" t="s">
        <v>10</v>
      </c>
      <c r="G496">
        <v>4</v>
      </c>
      <c r="H496">
        <v>2</v>
      </c>
      <c r="I496" s="21">
        <v>4463.21</v>
      </c>
      <c r="J496" t="str">
        <f t="shared" si="36"/>
        <v>tier - 3</v>
      </c>
      <c r="K496" t="s">
        <v>12</v>
      </c>
      <c r="L496" t="str">
        <f t="shared" si="37"/>
        <v>tier - 3</v>
      </c>
      <c r="M496" t="s">
        <v>12</v>
      </c>
      <c r="N496" t="str">
        <f t="shared" si="38"/>
        <v>R1013</v>
      </c>
      <c r="O496" t="s">
        <v>13</v>
      </c>
    </row>
    <row r="497" spans="1:15" x14ac:dyDescent="0.35">
      <c r="A497" t="s">
        <v>527</v>
      </c>
      <c r="C497">
        <f t="shared" si="35"/>
        <v>1999</v>
      </c>
      <c r="D497">
        <v>1999</v>
      </c>
      <c r="E497" t="str">
        <f t="shared" si="39"/>
        <v>Nov</v>
      </c>
      <c r="F497" t="s">
        <v>15</v>
      </c>
      <c r="G497">
        <v>20</v>
      </c>
      <c r="H497">
        <v>3</v>
      </c>
      <c r="I497" s="21">
        <v>4466.62</v>
      </c>
      <c r="J497" t="str">
        <f t="shared" si="36"/>
        <v>tier - 2</v>
      </c>
      <c r="K497" t="s">
        <v>11</v>
      </c>
      <c r="L497" t="str">
        <f t="shared" si="37"/>
        <v>tier - 2</v>
      </c>
      <c r="M497" t="s">
        <v>11</v>
      </c>
      <c r="N497" t="str">
        <f t="shared" si="38"/>
        <v>R1012</v>
      </c>
      <c r="O497" t="s">
        <v>23</v>
      </c>
    </row>
    <row r="498" spans="1:15" x14ac:dyDescent="0.35">
      <c r="A498" t="s">
        <v>528</v>
      </c>
      <c r="C498">
        <f t="shared" si="35"/>
        <v>2004</v>
      </c>
      <c r="D498">
        <v>2004</v>
      </c>
      <c r="E498" t="str">
        <f t="shared" si="39"/>
        <v>Jul</v>
      </c>
      <c r="F498" t="s">
        <v>10</v>
      </c>
      <c r="G498">
        <v>18</v>
      </c>
      <c r="H498">
        <v>0</v>
      </c>
      <c r="I498" s="21">
        <v>4468.25</v>
      </c>
      <c r="J498" t="str">
        <f t="shared" si="36"/>
        <v>tier - 2</v>
      </c>
      <c r="K498" t="s">
        <v>11</v>
      </c>
      <c r="L498" t="str">
        <f t="shared" si="37"/>
        <v>tier - 2</v>
      </c>
      <c r="M498" t="s">
        <v>11</v>
      </c>
      <c r="N498" t="str">
        <f t="shared" si="38"/>
        <v>R1012</v>
      </c>
      <c r="O498" t="s">
        <v>23</v>
      </c>
    </row>
    <row r="499" spans="1:15" x14ac:dyDescent="0.35">
      <c r="A499" t="s">
        <v>529</v>
      </c>
      <c r="C499">
        <f t="shared" si="35"/>
        <v>1992</v>
      </c>
      <c r="D499">
        <v>1992</v>
      </c>
      <c r="E499" t="str">
        <f t="shared" si="39"/>
        <v>Jul</v>
      </c>
      <c r="F499" t="s">
        <v>10</v>
      </c>
      <c r="G499">
        <v>12</v>
      </c>
      <c r="H499">
        <v>0</v>
      </c>
      <c r="I499" s="21">
        <v>4488.58</v>
      </c>
      <c r="J499" t="str">
        <f t="shared" si="36"/>
        <v>tier - 2</v>
      </c>
      <c r="K499" t="s">
        <v>11</v>
      </c>
      <c r="L499" t="str">
        <f t="shared" si="37"/>
        <v>tier - 3</v>
      </c>
      <c r="M499" t="s">
        <v>12</v>
      </c>
      <c r="N499" t="str">
        <f t="shared" si="38"/>
        <v>R1012</v>
      </c>
      <c r="O499" t="s">
        <v>23</v>
      </c>
    </row>
    <row r="500" spans="1:15" x14ac:dyDescent="0.35">
      <c r="A500" t="s">
        <v>530</v>
      </c>
      <c r="C500">
        <f t="shared" si="35"/>
        <v>1988</v>
      </c>
      <c r="D500">
        <v>1988</v>
      </c>
      <c r="E500" t="str">
        <f t="shared" si="39"/>
        <v>Jun</v>
      </c>
      <c r="F500" t="s">
        <v>18</v>
      </c>
      <c r="G500">
        <v>26</v>
      </c>
      <c r="H500">
        <v>0</v>
      </c>
      <c r="I500" s="21">
        <v>4500.34</v>
      </c>
      <c r="J500" t="str">
        <f t="shared" si="36"/>
        <v>tier - 2</v>
      </c>
      <c r="K500" t="s">
        <v>11</v>
      </c>
      <c r="L500" t="str">
        <f t="shared" si="37"/>
        <v>tier - 1</v>
      </c>
      <c r="M500" t="s">
        <v>16</v>
      </c>
      <c r="N500" t="str">
        <f t="shared" si="38"/>
        <v>R1017</v>
      </c>
      <c r="O500" t="s">
        <v>356</v>
      </c>
    </row>
    <row r="501" spans="1:15" x14ac:dyDescent="0.35">
      <c r="A501" t="s">
        <v>531</v>
      </c>
      <c r="C501">
        <f t="shared" si="35"/>
        <v>1997</v>
      </c>
      <c r="D501">
        <v>1997</v>
      </c>
      <c r="E501" t="str">
        <f t="shared" si="39"/>
        <v>Oct</v>
      </c>
      <c r="F501" t="s">
        <v>37</v>
      </c>
      <c r="G501">
        <v>13</v>
      </c>
      <c r="H501">
        <v>4</v>
      </c>
      <c r="I501" s="21">
        <v>4504.66</v>
      </c>
      <c r="J501" t="str">
        <f t="shared" si="36"/>
        <v>tier - 1</v>
      </c>
      <c r="K501" t="s">
        <v>16</v>
      </c>
      <c r="L501" t="str">
        <f t="shared" si="37"/>
        <v>tier - 2</v>
      </c>
      <c r="M501" t="s">
        <v>11</v>
      </c>
      <c r="N501" t="str">
        <f t="shared" si="38"/>
        <v>R1013</v>
      </c>
      <c r="O501" t="s">
        <v>13</v>
      </c>
    </row>
    <row r="502" spans="1:15" x14ac:dyDescent="0.35">
      <c r="A502" t="s">
        <v>532</v>
      </c>
      <c r="C502">
        <f t="shared" si="35"/>
        <v>1982</v>
      </c>
      <c r="D502">
        <v>1982</v>
      </c>
      <c r="E502" t="str">
        <f t="shared" si="39"/>
        <v>Sep</v>
      </c>
      <c r="F502" t="s">
        <v>20</v>
      </c>
      <c r="G502">
        <v>27</v>
      </c>
      <c r="H502">
        <v>3</v>
      </c>
      <c r="I502" s="21">
        <v>4511.41</v>
      </c>
      <c r="J502" t="str">
        <f t="shared" si="36"/>
        <v>tier - 2</v>
      </c>
      <c r="K502" t="s">
        <v>11</v>
      </c>
      <c r="L502" t="str">
        <f t="shared" si="37"/>
        <v>tier - 3</v>
      </c>
      <c r="M502" t="s">
        <v>12</v>
      </c>
      <c r="N502" t="str">
        <f t="shared" si="38"/>
        <v>R1013</v>
      </c>
      <c r="O502" t="s">
        <v>13</v>
      </c>
    </row>
    <row r="503" spans="1:15" x14ac:dyDescent="0.35">
      <c r="A503" t="s">
        <v>533</v>
      </c>
      <c r="C503">
        <f t="shared" si="35"/>
        <v>1980</v>
      </c>
      <c r="D503">
        <v>1980</v>
      </c>
      <c r="E503" t="str">
        <f t="shared" si="39"/>
        <v>Jun</v>
      </c>
      <c r="F503" t="s">
        <v>18</v>
      </c>
      <c r="G503">
        <v>16</v>
      </c>
      <c r="H503">
        <v>2</v>
      </c>
      <c r="I503" s="21">
        <v>4515.71</v>
      </c>
      <c r="J503" t="str">
        <f t="shared" si="36"/>
        <v>tier - 2</v>
      </c>
      <c r="K503" t="s">
        <v>11</v>
      </c>
      <c r="L503" t="str">
        <f t="shared" si="37"/>
        <v>tier - 3</v>
      </c>
      <c r="M503" t="s">
        <v>12</v>
      </c>
      <c r="N503" t="str">
        <f t="shared" si="38"/>
        <v>R1013</v>
      </c>
      <c r="O503" t="s">
        <v>13</v>
      </c>
    </row>
    <row r="504" spans="1:15" x14ac:dyDescent="0.35">
      <c r="A504" t="s">
        <v>534</v>
      </c>
      <c r="C504">
        <f t="shared" si="35"/>
        <v>2003</v>
      </c>
      <c r="D504">
        <v>2003</v>
      </c>
      <c r="E504" t="str">
        <f t="shared" si="39"/>
        <v>Oct</v>
      </c>
      <c r="F504" t="s">
        <v>37</v>
      </c>
      <c r="G504">
        <v>2</v>
      </c>
      <c r="H504">
        <v>0</v>
      </c>
      <c r="I504" s="21">
        <v>4518.3999999999996</v>
      </c>
      <c r="J504" t="str">
        <f t="shared" si="36"/>
        <v>tier - 2</v>
      </c>
      <c r="K504" t="s">
        <v>11</v>
      </c>
      <c r="L504" t="str">
        <f t="shared" si="37"/>
        <v>tier - 3</v>
      </c>
      <c r="M504" t="s">
        <v>12</v>
      </c>
      <c r="N504" t="str">
        <f t="shared" si="38"/>
        <v>R1026</v>
      </c>
      <c r="O504" t="s">
        <v>535</v>
      </c>
    </row>
    <row r="505" spans="1:15" x14ac:dyDescent="0.35">
      <c r="A505" t="s">
        <v>536</v>
      </c>
      <c r="C505">
        <f t="shared" si="35"/>
        <v>1987</v>
      </c>
      <c r="D505">
        <v>1987</v>
      </c>
      <c r="E505" t="str">
        <f t="shared" si="39"/>
        <v>Dec</v>
      </c>
      <c r="F505" t="s">
        <v>30</v>
      </c>
      <c r="G505">
        <v>5</v>
      </c>
      <c r="H505">
        <v>3</v>
      </c>
      <c r="I505" s="21">
        <v>4518.7700000000004</v>
      </c>
      <c r="J505" t="str">
        <f t="shared" si="36"/>
        <v>tier - 2</v>
      </c>
      <c r="K505" t="s">
        <v>11</v>
      </c>
      <c r="L505" t="str">
        <f t="shared" si="37"/>
        <v>tier - 3</v>
      </c>
      <c r="M505" t="s">
        <v>12</v>
      </c>
      <c r="N505" t="str">
        <f t="shared" si="38"/>
        <v>R1012</v>
      </c>
      <c r="O505" t="s">
        <v>23</v>
      </c>
    </row>
    <row r="506" spans="1:15" x14ac:dyDescent="0.35">
      <c r="A506" t="s">
        <v>537</v>
      </c>
      <c r="C506">
        <f t="shared" si="35"/>
        <v>1988</v>
      </c>
      <c r="D506">
        <v>1988</v>
      </c>
      <c r="E506" t="str">
        <f t="shared" si="39"/>
        <v>Dec</v>
      </c>
      <c r="F506" t="s">
        <v>30</v>
      </c>
      <c r="G506">
        <v>21</v>
      </c>
      <c r="H506">
        <v>0</v>
      </c>
      <c r="I506" s="21">
        <v>4518.83</v>
      </c>
      <c r="J506" t="str">
        <f t="shared" si="36"/>
        <v>tier - 2</v>
      </c>
      <c r="K506" t="s">
        <v>11</v>
      </c>
      <c r="L506" t="str">
        <f t="shared" si="37"/>
        <v>tier - 2</v>
      </c>
      <c r="M506" t="s">
        <v>11</v>
      </c>
      <c r="N506" t="str">
        <f t="shared" si="38"/>
        <v>R1017</v>
      </c>
      <c r="O506" t="s">
        <v>356</v>
      </c>
    </row>
    <row r="507" spans="1:15" x14ac:dyDescent="0.35">
      <c r="A507" t="s">
        <v>538</v>
      </c>
      <c r="C507">
        <f t="shared" si="35"/>
        <v>1992</v>
      </c>
      <c r="D507">
        <v>1992</v>
      </c>
      <c r="E507" t="str">
        <f t="shared" si="39"/>
        <v>Aug</v>
      </c>
      <c r="F507" t="s">
        <v>35</v>
      </c>
      <c r="G507">
        <v>13</v>
      </c>
      <c r="H507">
        <v>1</v>
      </c>
      <c r="I507" s="21">
        <v>4527.18</v>
      </c>
      <c r="J507" t="str">
        <f t="shared" si="36"/>
        <v>tier - 2</v>
      </c>
      <c r="K507" t="s">
        <v>11</v>
      </c>
      <c r="L507" t="str">
        <f t="shared" si="37"/>
        <v>tier - 2</v>
      </c>
      <c r="M507" t="s">
        <v>11</v>
      </c>
      <c r="N507" t="str">
        <f t="shared" si="38"/>
        <v>R1012</v>
      </c>
      <c r="O507" t="s">
        <v>23</v>
      </c>
    </row>
    <row r="508" spans="1:15" x14ac:dyDescent="0.35">
      <c r="A508" t="s">
        <v>539</v>
      </c>
      <c r="C508">
        <f t="shared" si="35"/>
        <v>1993</v>
      </c>
      <c r="D508">
        <v>1993</v>
      </c>
      <c r="E508" t="str">
        <f t="shared" si="39"/>
        <v>Jun</v>
      </c>
      <c r="F508" t="s">
        <v>18</v>
      </c>
      <c r="G508">
        <v>29</v>
      </c>
      <c r="H508">
        <v>2</v>
      </c>
      <c r="I508" s="21">
        <v>4529.4799999999996</v>
      </c>
      <c r="J508" t="str">
        <f t="shared" si="36"/>
        <v>tier - 2</v>
      </c>
      <c r="K508" t="s">
        <v>11</v>
      </c>
      <c r="L508" t="str">
        <f t="shared" si="37"/>
        <v>tier - 1</v>
      </c>
      <c r="M508" t="s">
        <v>16</v>
      </c>
      <c r="N508" t="str">
        <f t="shared" si="38"/>
        <v>R1011</v>
      </c>
      <c r="O508" t="s">
        <v>42</v>
      </c>
    </row>
    <row r="509" spans="1:15" x14ac:dyDescent="0.35">
      <c r="A509" t="s">
        <v>540</v>
      </c>
      <c r="C509">
        <f t="shared" si="35"/>
        <v>1988</v>
      </c>
      <c r="D509">
        <v>1988</v>
      </c>
      <c r="E509" t="str">
        <f t="shared" si="39"/>
        <v>Jun</v>
      </c>
      <c r="F509" t="s">
        <v>18</v>
      </c>
      <c r="G509">
        <v>13</v>
      </c>
      <c r="H509">
        <v>1</v>
      </c>
      <c r="I509" s="21">
        <v>4536.26</v>
      </c>
      <c r="J509" t="str">
        <f t="shared" si="36"/>
        <v>tier - 2</v>
      </c>
      <c r="K509" t="s">
        <v>11</v>
      </c>
      <c r="L509" t="str">
        <f t="shared" si="37"/>
        <v>tier - 2</v>
      </c>
      <c r="M509" t="s">
        <v>11</v>
      </c>
      <c r="N509" t="str">
        <f t="shared" si="38"/>
        <v>R1011</v>
      </c>
      <c r="O509" t="s">
        <v>42</v>
      </c>
    </row>
    <row r="510" spans="1:15" x14ac:dyDescent="0.35">
      <c r="A510" t="s">
        <v>541</v>
      </c>
      <c r="C510">
        <f t="shared" si="35"/>
        <v>1990</v>
      </c>
      <c r="D510">
        <v>1990</v>
      </c>
      <c r="E510" t="str">
        <f t="shared" si="39"/>
        <v>Nov</v>
      </c>
      <c r="F510" t="s">
        <v>15</v>
      </c>
      <c r="G510">
        <v>17</v>
      </c>
      <c r="H510">
        <v>0</v>
      </c>
      <c r="I510" s="21">
        <v>4544.2299999999996</v>
      </c>
      <c r="J510" t="str">
        <f t="shared" si="36"/>
        <v>tier - 2</v>
      </c>
      <c r="K510" t="s">
        <v>11</v>
      </c>
      <c r="L510" t="str">
        <f t="shared" si="37"/>
        <v>tier - 1</v>
      </c>
      <c r="M510" t="s">
        <v>16</v>
      </c>
      <c r="N510" t="str">
        <f t="shared" si="38"/>
        <v>R1024</v>
      </c>
      <c r="O510" t="s">
        <v>247</v>
      </c>
    </row>
    <row r="511" spans="1:15" x14ac:dyDescent="0.35">
      <c r="A511" t="s">
        <v>542</v>
      </c>
      <c r="C511">
        <f t="shared" si="35"/>
        <v>2004</v>
      </c>
      <c r="D511">
        <v>2004</v>
      </c>
      <c r="E511" t="str">
        <f t="shared" si="39"/>
        <v>Dec</v>
      </c>
      <c r="F511" t="s">
        <v>30</v>
      </c>
      <c r="G511">
        <v>22</v>
      </c>
      <c r="H511">
        <v>4</v>
      </c>
      <c r="I511" s="21">
        <v>4561.1899999999996</v>
      </c>
      <c r="J511" t="str">
        <f t="shared" si="36"/>
        <v>tier - 2</v>
      </c>
      <c r="K511" t="s">
        <v>11</v>
      </c>
      <c r="L511" t="str">
        <f t="shared" si="37"/>
        <v>tier - 2</v>
      </c>
      <c r="M511" t="s">
        <v>11</v>
      </c>
      <c r="N511" t="str">
        <f t="shared" si="38"/>
        <v>R1024</v>
      </c>
      <c r="O511" t="s">
        <v>247</v>
      </c>
    </row>
    <row r="512" spans="1:15" x14ac:dyDescent="0.35">
      <c r="A512" t="s">
        <v>543</v>
      </c>
      <c r="C512">
        <f t="shared" si="35"/>
        <v>1990</v>
      </c>
      <c r="D512">
        <v>1990</v>
      </c>
      <c r="E512" t="str">
        <f t="shared" si="39"/>
        <v>Sep</v>
      </c>
      <c r="F512" t="s">
        <v>20</v>
      </c>
      <c r="G512">
        <v>20</v>
      </c>
      <c r="H512">
        <v>1</v>
      </c>
      <c r="I512" s="21">
        <v>4562.84</v>
      </c>
      <c r="J512" t="str">
        <f t="shared" si="36"/>
        <v>tier - 2</v>
      </c>
      <c r="K512" t="s">
        <v>11</v>
      </c>
      <c r="L512" t="str">
        <f t="shared" si="37"/>
        <v>tier - 2</v>
      </c>
      <c r="M512" t="s">
        <v>11</v>
      </c>
      <c r="N512" t="str">
        <f t="shared" si="38"/>
        <v>R1013</v>
      </c>
      <c r="O512" t="s">
        <v>13</v>
      </c>
    </row>
    <row r="513" spans="1:15" x14ac:dyDescent="0.35">
      <c r="A513" t="s">
        <v>544</v>
      </c>
      <c r="C513">
        <f t="shared" si="35"/>
        <v>1996</v>
      </c>
      <c r="D513">
        <v>1996</v>
      </c>
      <c r="E513" t="str">
        <f t="shared" si="39"/>
        <v>Dec</v>
      </c>
      <c r="F513" t="s">
        <v>30</v>
      </c>
      <c r="G513">
        <v>25</v>
      </c>
      <c r="H513">
        <v>2</v>
      </c>
      <c r="I513" s="21">
        <v>4564.1899999999996</v>
      </c>
      <c r="J513" t="str">
        <f t="shared" si="36"/>
        <v>tier - 2</v>
      </c>
      <c r="K513" t="s">
        <v>11</v>
      </c>
      <c r="L513" t="str">
        <f t="shared" si="37"/>
        <v>tier - 2</v>
      </c>
      <c r="M513" t="s">
        <v>11</v>
      </c>
      <c r="N513" t="str">
        <f t="shared" si="38"/>
        <v>R1024</v>
      </c>
      <c r="O513" t="s">
        <v>247</v>
      </c>
    </row>
    <row r="514" spans="1:15" x14ac:dyDescent="0.35">
      <c r="A514" t="s">
        <v>545</v>
      </c>
      <c r="C514">
        <f t="shared" si="35"/>
        <v>1989</v>
      </c>
      <c r="D514">
        <v>1989</v>
      </c>
      <c r="E514" t="str">
        <f t="shared" si="39"/>
        <v>Sep</v>
      </c>
      <c r="F514" t="s">
        <v>20</v>
      </c>
      <c r="G514">
        <v>18</v>
      </c>
      <c r="H514">
        <v>0</v>
      </c>
      <c r="I514" s="21">
        <v>4571.41</v>
      </c>
      <c r="J514" t="str">
        <f t="shared" si="36"/>
        <v>tier - 2</v>
      </c>
      <c r="K514" t="s">
        <v>11</v>
      </c>
      <c r="L514" t="str">
        <f t="shared" si="37"/>
        <v>tier - 2</v>
      </c>
      <c r="M514" t="s">
        <v>11</v>
      </c>
      <c r="N514" t="str">
        <f t="shared" si="38"/>
        <v>R1012</v>
      </c>
      <c r="O514" t="s">
        <v>23</v>
      </c>
    </row>
    <row r="515" spans="1:15" x14ac:dyDescent="0.35">
      <c r="A515" t="s">
        <v>546</v>
      </c>
      <c r="C515">
        <f t="shared" ref="C515:C578" si="40">IF(OR(D515="?", ISBLANK(D515)), 1983, D515)</f>
        <v>2000</v>
      </c>
      <c r="D515">
        <v>2000</v>
      </c>
      <c r="E515" t="str">
        <f t="shared" si="39"/>
        <v>Jul</v>
      </c>
      <c r="F515" t="s">
        <v>10</v>
      </c>
      <c r="G515">
        <v>2</v>
      </c>
      <c r="H515">
        <v>0</v>
      </c>
      <c r="I515" s="21">
        <v>4608.03</v>
      </c>
      <c r="J515" t="str">
        <f t="shared" ref="J515:J578" si="41">IF(OR(K515="?", ISBLANK(K515)), "Tier 2", K515)</f>
        <v>tier - 2</v>
      </c>
      <c r="K515" t="s">
        <v>11</v>
      </c>
      <c r="L515" t="str">
        <f t="shared" ref="L515:L578" si="42">IF(OR(M515="?", ISBLANK(M515)), "Tier 2", M515)</f>
        <v>tier - 3</v>
      </c>
      <c r="M515" t="s">
        <v>12</v>
      </c>
      <c r="N515" t="str">
        <f t="shared" ref="N515:N578" si="43">IF(OR(O515="?", ISBLANK(O515)), "Unknown", O515)</f>
        <v>R1011</v>
      </c>
      <c r="O515" t="s">
        <v>42</v>
      </c>
    </row>
    <row r="516" spans="1:15" x14ac:dyDescent="0.35">
      <c r="A516" t="s">
        <v>547</v>
      </c>
      <c r="C516">
        <f t="shared" si="40"/>
        <v>1998</v>
      </c>
      <c r="D516">
        <v>1998</v>
      </c>
      <c r="E516" t="str">
        <f t="shared" ref="E516:E579" si="44">IF(OR(F516="?", ISBLANK(F516)), "Sep", F516)</f>
        <v>Jun</v>
      </c>
      <c r="F516" t="s">
        <v>18</v>
      </c>
      <c r="G516">
        <v>29</v>
      </c>
      <c r="H516">
        <v>3</v>
      </c>
      <c r="I516" s="21">
        <v>4618.08</v>
      </c>
      <c r="J516" t="str">
        <f t="shared" si="41"/>
        <v>tier - 2</v>
      </c>
      <c r="K516" t="s">
        <v>11</v>
      </c>
      <c r="L516" t="str">
        <f t="shared" si="42"/>
        <v>tier - 1</v>
      </c>
      <c r="M516" t="s">
        <v>16</v>
      </c>
      <c r="N516" t="str">
        <f t="shared" si="43"/>
        <v>R1012</v>
      </c>
      <c r="O516" t="s">
        <v>23</v>
      </c>
    </row>
    <row r="517" spans="1:15" x14ac:dyDescent="0.35">
      <c r="A517" t="s">
        <v>548</v>
      </c>
      <c r="C517">
        <f t="shared" si="40"/>
        <v>1985</v>
      </c>
      <c r="D517">
        <v>1985</v>
      </c>
      <c r="E517" t="str">
        <f t="shared" si="44"/>
        <v>Jun</v>
      </c>
      <c r="F517" t="s">
        <v>18</v>
      </c>
      <c r="G517">
        <v>22</v>
      </c>
      <c r="H517">
        <v>0</v>
      </c>
      <c r="I517" s="21">
        <v>4646.76</v>
      </c>
      <c r="J517" t="str">
        <f t="shared" si="41"/>
        <v>tier - 1</v>
      </c>
      <c r="K517" t="s">
        <v>16</v>
      </c>
      <c r="L517" t="str">
        <f t="shared" si="42"/>
        <v>tier - 1</v>
      </c>
      <c r="M517" t="s">
        <v>16</v>
      </c>
      <c r="N517" t="str">
        <f t="shared" si="43"/>
        <v>R1011</v>
      </c>
      <c r="O517" t="s">
        <v>42</v>
      </c>
    </row>
    <row r="518" spans="1:15" x14ac:dyDescent="0.35">
      <c r="A518" t="s">
        <v>549</v>
      </c>
      <c r="C518">
        <f t="shared" si="40"/>
        <v>1996</v>
      </c>
      <c r="D518">
        <v>1996</v>
      </c>
      <c r="E518" t="str">
        <f t="shared" si="44"/>
        <v>Oct</v>
      </c>
      <c r="F518" t="s">
        <v>37</v>
      </c>
      <c r="G518">
        <v>25</v>
      </c>
      <c r="H518">
        <v>3</v>
      </c>
      <c r="I518" s="21">
        <v>4661.29</v>
      </c>
      <c r="J518" t="str">
        <f t="shared" si="41"/>
        <v>tier - 2</v>
      </c>
      <c r="K518" t="s">
        <v>11</v>
      </c>
      <c r="L518" t="str">
        <f t="shared" si="42"/>
        <v>tier - 1</v>
      </c>
      <c r="M518" t="s">
        <v>16</v>
      </c>
      <c r="N518" t="str">
        <f t="shared" si="43"/>
        <v>R1017</v>
      </c>
      <c r="O518" t="s">
        <v>356</v>
      </c>
    </row>
    <row r="519" spans="1:15" x14ac:dyDescent="0.35">
      <c r="A519" t="s">
        <v>550</v>
      </c>
      <c r="C519">
        <f t="shared" si="40"/>
        <v>1990</v>
      </c>
      <c r="D519">
        <v>1990</v>
      </c>
      <c r="E519" t="str">
        <f t="shared" si="44"/>
        <v>Aug</v>
      </c>
      <c r="F519" t="s">
        <v>35</v>
      </c>
      <c r="G519">
        <v>5</v>
      </c>
      <c r="H519">
        <v>1</v>
      </c>
      <c r="I519" s="21">
        <v>4667.6099999999997</v>
      </c>
      <c r="J519" t="str">
        <f t="shared" si="41"/>
        <v>tier - 3</v>
      </c>
      <c r="K519" t="s">
        <v>12</v>
      </c>
      <c r="L519" t="str">
        <f t="shared" si="42"/>
        <v>tier - 3</v>
      </c>
      <c r="M519" t="s">
        <v>12</v>
      </c>
      <c r="N519" t="str">
        <f t="shared" si="43"/>
        <v>R1016</v>
      </c>
      <c r="O519" t="s">
        <v>168</v>
      </c>
    </row>
    <row r="520" spans="1:15" x14ac:dyDescent="0.35">
      <c r="A520" t="s">
        <v>551</v>
      </c>
      <c r="C520">
        <f t="shared" si="40"/>
        <v>1990</v>
      </c>
      <c r="D520">
        <v>1990</v>
      </c>
      <c r="E520" t="str">
        <f t="shared" si="44"/>
        <v>Sep</v>
      </c>
      <c r="F520" t="s">
        <v>20</v>
      </c>
      <c r="G520">
        <v>26</v>
      </c>
      <c r="H520">
        <v>2</v>
      </c>
      <c r="I520" s="21">
        <v>4670.6400000000003</v>
      </c>
      <c r="J520" t="str">
        <f t="shared" si="41"/>
        <v>tier - 2</v>
      </c>
      <c r="K520" t="s">
        <v>11</v>
      </c>
      <c r="L520" t="str">
        <f t="shared" si="42"/>
        <v>tier - 2</v>
      </c>
      <c r="M520" t="s">
        <v>11</v>
      </c>
      <c r="N520" t="str">
        <f t="shared" si="43"/>
        <v>R1011</v>
      </c>
      <c r="O520" t="s">
        <v>42</v>
      </c>
    </row>
    <row r="521" spans="1:15" x14ac:dyDescent="0.35">
      <c r="A521" t="s">
        <v>552</v>
      </c>
      <c r="C521">
        <f t="shared" si="40"/>
        <v>1990</v>
      </c>
      <c r="D521">
        <v>1990</v>
      </c>
      <c r="E521" t="str">
        <f t="shared" si="44"/>
        <v>Jul</v>
      </c>
      <c r="F521" t="s">
        <v>10</v>
      </c>
      <c r="G521">
        <v>13</v>
      </c>
      <c r="H521">
        <v>2</v>
      </c>
      <c r="I521" s="21">
        <v>4673.3900000000003</v>
      </c>
      <c r="J521" t="str">
        <f t="shared" si="41"/>
        <v>tier - 2</v>
      </c>
      <c r="K521" t="s">
        <v>11</v>
      </c>
      <c r="L521" t="str">
        <f t="shared" si="42"/>
        <v>tier - 1</v>
      </c>
      <c r="M521" t="s">
        <v>16</v>
      </c>
      <c r="N521" t="str">
        <f t="shared" si="43"/>
        <v>R1013</v>
      </c>
      <c r="O521" t="s">
        <v>13</v>
      </c>
    </row>
    <row r="522" spans="1:15" x14ac:dyDescent="0.35">
      <c r="A522" t="s">
        <v>553</v>
      </c>
      <c r="C522">
        <f t="shared" si="40"/>
        <v>1979</v>
      </c>
      <c r="D522">
        <v>1979</v>
      </c>
      <c r="E522" t="str">
        <f t="shared" si="44"/>
        <v>Oct</v>
      </c>
      <c r="F522" t="s">
        <v>37</v>
      </c>
      <c r="G522">
        <v>18</v>
      </c>
      <c r="H522">
        <v>2</v>
      </c>
      <c r="I522" s="21">
        <v>4674.2</v>
      </c>
      <c r="J522" t="str">
        <f t="shared" si="41"/>
        <v>tier - 2</v>
      </c>
      <c r="K522" t="s">
        <v>11</v>
      </c>
      <c r="L522" t="str">
        <f t="shared" si="42"/>
        <v>tier - 1</v>
      </c>
      <c r="M522" t="s">
        <v>16</v>
      </c>
      <c r="N522" t="str">
        <f t="shared" si="43"/>
        <v>R1013</v>
      </c>
      <c r="O522" t="s">
        <v>13</v>
      </c>
    </row>
    <row r="523" spans="1:15" x14ac:dyDescent="0.35">
      <c r="A523" t="s">
        <v>554</v>
      </c>
      <c r="C523">
        <f t="shared" si="40"/>
        <v>2003</v>
      </c>
      <c r="D523">
        <v>2003</v>
      </c>
      <c r="E523" t="str">
        <f t="shared" si="44"/>
        <v>Oct</v>
      </c>
      <c r="F523" t="s">
        <v>37</v>
      </c>
      <c r="G523">
        <v>4</v>
      </c>
      <c r="H523">
        <v>0</v>
      </c>
      <c r="I523" s="21">
        <v>4678.8</v>
      </c>
      <c r="J523" t="str">
        <f t="shared" si="41"/>
        <v>tier - 2</v>
      </c>
      <c r="K523" t="s">
        <v>11</v>
      </c>
      <c r="L523" t="str">
        <f t="shared" si="42"/>
        <v>tier - 1</v>
      </c>
      <c r="M523" t="s">
        <v>16</v>
      </c>
      <c r="N523" t="str">
        <f t="shared" si="43"/>
        <v>R1021</v>
      </c>
      <c r="O523" t="s">
        <v>300</v>
      </c>
    </row>
    <row r="524" spans="1:15" x14ac:dyDescent="0.35">
      <c r="A524" t="s">
        <v>555</v>
      </c>
      <c r="C524">
        <f t="shared" si="40"/>
        <v>1990</v>
      </c>
      <c r="D524">
        <v>1990</v>
      </c>
      <c r="E524" t="str">
        <f t="shared" si="44"/>
        <v>Sep</v>
      </c>
      <c r="F524" t="s">
        <v>20</v>
      </c>
      <c r="G524">
        <v>4</v>
      </c>
      <c r="H524">
        <v>2</v>
      </c>
      <c r="I524" s="21">
        <v>4686.3900000000003</v>
      </c>
      <c r="J524" t="str">
        <f t="shared" si="41"/>
        <v>tier - 3</v>
      </c>
      <c r="K524" t="s">
        <v>12</v>
      </c>
      <c r="L524" t="str">
        <f t="shared" si="42"/>
        <v>tier - 3</v>
      </c>
      <c r="M524" t="s">
        <v>12</v>
      </c>
      <c r="N524" t="str">
        <f t="shared" si="43"/>
        <v>R1013</v>
      </c>
      <c r="O524" t="s">
        <v>13</v>
      </c>
    </row>
    <row r="525" spans="1:15" x14ac:dyDescent="0.35">
      <c r="A525" t="s">
        <v>556</v>
      </c>
      <c r="C525">
        <f t="shared" si="40"/>
        <v>2003</v>
      </c>
      <c r="D525">
        <v>2003</v>
      </c>
      <c r="E525" t="str">
        <f t="shared" si="44"/>
        <v>Jun</v>
      </c>
      <c r="F525" t="s">
        <v>18</v>
      </c>
      <c r="G525">
        <v>22</v>
      </c>
      <c r="H525">
        <v>5</v>
      </c>
      <c r="I525" s="21">
        <v>4687.8</v>
      </c>
      <c r="J525" t="str">
        <f t="shared" si="41"/>
        <v>tier - 2</v>
      </c>
      <c r="K525" t="s">
        <v>11</v>
      </c>
      <c r="L525" t="str">
        <f t="shared" si="42"/>
        <v>tier - 3</v>
      </c>
      <c r="M525" t="s">
        <v>12</v>
      </c>
      <c r="N525" t="str">
        <f t="shared" si="43"/>
        <v>R1011</v>
      </c>
      <c r="O525" t="s">
        <v>42</v>
      </c>
    </row>
    <row r="526" spans="1:15" x14ac:dyDescent="0.35">
      <c r="A526" t="s">
        <v>557</v>
      </c>
      <c r="C526">
        <f t="shared" si="40"/>
        <v>1977</v>
      </c>
      <c r="D526">
        <v>1977</v>
      </c>
      <c r="E526" t="str">
        <f t="shared" si="44"/>
        <v>Dec</v>
      </c>
      <c r="F526" t="s">
        <v>30</v>
      </c>
      <c r="G526">
        <v>4</v>
      </c>
      <c r="H526">
        <v>2</v>
      </c>
      <c r="I526" s="21">
        <v>4699.47</v>
      </c>
      <c r="J526" t="str">
        <f t="shared" si="41"/>
        <v>tier - 2</v>
      </c>
      <c r="K526" t="s">
        <v>11</v>
      </c>
      <c r="L526" t="str">
        <f t="shared" si="42"/>
        <v>tier - 3</v>
      </c>
      <c r="M526" t="s">
        <v>12</v>
      </c>
      <c r="N526" t="str">
        <f t="shared" si="43"/>
        <v>R1013</v>
      </c>
      <c r="O526" t="s">
        <v>13</v>
      </c>
    </row>
    <row r="527" spans="1:15" x14ac:dyDescent="0.35">
      <c r="A527" t="s">
        <v>558</v>
      </c>
      <c r="C527">
        <f t="shared" si="40"/>
        <v>1981</v>
      </c>
      <c r="D527">
        <v>1981</v>
      </c>
      <c r="E527" t="str">
        <f t="shared" si="44"/>
        <v>Aug</v>
      </c>
      <c r="F527" t="s">
        <v>35</v>
      </c>
      <c r="G527">
        <v>12</v>
      </c>
      <c r="H527">
        <v>1</v>
      </c>
      <c r="I527" s="21">
        <v>4712.12</v>
      </c>
      <c r="J527" t="str">
        <f t="shared" si="41"/>
        <v>tier - 2</v>
      </c>
      <c r="K527" t="s">
        <v>11</v>
      </c>
      <c r="L527" t="str">
        <f t="shared" si="42"/>
        <v>tier - 3</v>
      </c>
      <c r="M527" t="s">
        <v>12</v>
      </c>
      <c r="N527" t="str">
        <f t="shared" si="43"/>
        <v>R1011</v>
      </c>
      <c r="O527" t="s">
        <v>42</v>
      </c>
    </row>
    <row r="528" spans="1:15" x14ac:dyDescent="0.35">
      <c r="A528" t="s">
        <v>559</v>
      </c>
      <c r="C528">
        <f t="shared" si="40"/>
        <v>1992</v>
      </c>
      <c r="D528">
        <v>1992</v>
      </c>
      <c r="E528" t="str">
        <f t="shared" si="44"/>
        <v>Oct</v>
      </c>
      <c r="F528" t="s">
        <v>37</v>
      </c>
      <c r="G528">
        <v>9</v>
      </c>
      <c r="H528">
        <v>1</v>
      </c>
      <c r="I528" s="21">
        <v>4718.2</v>
      </c>
      <c r="J528" t="str">
        <f t="shared" si="41"/>
        <v>tier - 2</v>
      </c>
      <c r="K528" t="s">
        <v>11</v>
      </c>
      <c r="L528" t="str">
        <f t="shared" si="42"/>
        <v>tier - 3</v>
      </c>
      <c r="M528" t="s">
        <v>12</v>
      </c>
      <c r="N528" t="str">
        <f t="shared" si="43"/>
        <v>R1024</v>
      </c>
      <c r="O528" t="s">
        <v>247</v>
      </c>
    </row>
    <row r="529" spans="1:15" x14ac:dyDescent="0.35">
      <c r="A529" t="s">
        <v>560</v>
      </c>
      <c r="C529">
        <f t="shared" si="40"/>
        <v>1992</v>
      </c>
      <c r="D529">
        <v>1992</v>
      </c>
      <c r="E529" t="str">
        <f t="shared" si="44"/>
        <v>Sep</v>
      </c>
      <c r="F529" t="s">
        <v>20</v>
      </c>
      <c r="G529">
        <v>28</v>
      </c>
      <c r="H529">
        <v>1</v>
      </c>
      <c r="I529" s="21">
        <v>4719.5200000000004</v>
      </c>
      <c r="J529" t="str">
        <f t="shared" si="41"/>
        <v>tier - 2</v>
      </c>
      <c r="K529" t="s">
        <v>11</v>
      </c>
      <c r="L529" t="str">
        <f t="shared" si="42"/>
        <v>tier - 2</v>
      </c>
      <c r="M529" t="s">
        <v>11</v>
      </c>
      <c r="N529" t="str">
        <f t="shared" si="43"/>
        <v>R1024</v>
      </c>
      <c r="O529" t="s">
        <v>247</v>
      </c>
    </row>
    <row r="530" spans="1:15" x14ac:dyDescent="0.35">
      <c r="A530" t="s">
        <v>561</v>
      </c>
      <c r="C530">
        <f t="shared" si="40"/>
        <v>1994</v>
      </c>
      <c r="D530">
        <v>1994</v>
      </c>
      <c r="E530" t="str">
        <f t="shared" si="44"/>
        <v>Aug</v>
      </c>
      <c r="F530" t="s">
        <v>35</v>
      </c>
      <c r="G530">
        <v>12</v>
      </c>
      <c r="H530">
        <v>2</v>
      </c>
      <c r="I530" s="21">
        <v>4719.74</v>
      </c>
      <c r="J530" t="str">
        <f t="shared" si="41"/>
        <v>tier - 2</v>
      </c>
      <c r="K530" t="s">
        <v>11</v>
      </c>
      <c r="L530" t="str">
        <f t="shared" si="42"/>
        <v>tier - 1</v>
      </c>
      <c r="M530" t="s">
        <v>16</v>
      </c>
      <c r="N530" t="str">
        <f t="shared" si="43"/>
        <v>R1012</v>
      </c>
      <c r="O530" t="s">
        <v>23</v>
      </c>
    </row>
    <row r="531" spans="1:15" x14ac:dyDescent="0.35">
      <c r="A531" t="s">
        <v>562</v>
      </c>
      <c r="C531">
        <f t="shared" si="40"/>
        <v>1980</v>
      </c>
      <c r="D531">
        <v>1980</v>
      </c>
      <c r="E531" t="str">
        <f t="shared" si="44"/>
        <v>Jul</v>
      </c>
      <c r="F531" t="s">
        <v>10</v>
      </c>
      <c r="G531">
        <v>2</v>
      </c>
      <c r="H531">
        <v>2</v>
      </c>
      <c r="I531" s="21">
        <v>4728.71</v>
      </c>
      <c r="J531" t="str">
        <f t="shared" si="41"/>
        <v>tier - 2</v>
      </c>
      <c r="K531" t="s">
        <v>11</v>
      </c>
      <c r="L531" t="str">
        <f t="shared" si="42"/>
        <v>tier - 3</v>
      </c>
      <c r="M531" t="s">
        <v>12</v>
      </c>
      <c r="N531" t="str">
        <f t="shared" si="43"/>
        <v>R1012</v>
      </c>
      <c r="O531" t="s">
        <v>23</v>
      </c>
    </row>
    <row r="532" spans="1:15" x14ac:dyDescent="0.35">
      <c r="A532" t="s">
        <v>563</v>
      </c>
      <c r="C532">
        <f t="shared" si="40"/>
        <v>1986</v>
      </c>
      <c r="D532">
        <v>1986</v>
      </c>
      <c r="E532" t="str">
        <f t="shared" si="44"/>
        <v>Sep</v>
      </c>
      <c r="F532" t="s">
        <v>20</v>
      </c>
      <c r="G532">
        <v>5</v>
      </c>
      <c r="H532">
        <v>3</v>
      </c>
      <c r="I532" s="21">
        <v>4734.6400000000003</v>
      </c>
      <c r="J532" t="str">
        <f t="shared" si="41"/>
        <v>tier - 2</v>
      </c>
      <c r="K532" t="s">
        <v>11</v>
      </c>
      <c r="L532" t="str">
        <f t="shared" si="42"/>
        <v>tier - 1</v>
      </c>
      <c r="M532" t="s">
        <v>16</v>
      </c>
      <c r="N532" t="str">
        <f t="shared" si="43"/>
        <v>R1013</v>
      </c>
      <c r="O532" t="s">
        <v>13</v>
      </c>
    </row>
    <row r="533" spans="1:15" x14ac:dyDescent="0.35">
      <c r="A533" t="s">
        <v>564</v>
      </c>
      <c r="C533">
        <f t="shared" si="40"/>
        <v>1991</v>
      </c>
      <c r="D533">
        <v>1991</v>
      </c>
      <c r="E533" t="str">
        <f t="shared" si="44"/>
        <v>Oct</v>
      </c>
      <c r="F533" t="s">
        <v>37</v>
      </c>
      <c r="G533">
        <v>12</v>
      </c>
      <c r="H533">
        <v>1</v>
      </c>
      <c r="I533" s="21">
        <v>4738.2700000000004</v>
      </c>
      <c r="J533" t="str">
        <f t="shared" si="41"/>
        <v>tier - 2</v>
      </c>
      <c r="K533" t="s">
        <v>11</v>
      </c>
      <c r="L533" t="str">
        <f t="shared" si="42"/>
        <v>tier - 3</v>
      </c>
      <c r="M533" t="s">
        <v>12</v>
      </c>
      <c r="N533" t="str">
        <f t="shared" si="43"/>
        <v>R1012</v>
      </c>
      <c r="O533" t="s">
        <v>23</v>
      </c>
    </row>
    <row r="534" spans="1:15" x14ac:dyDescent="0.35">
      <c r="A534" t="s">
        <v>565</v>
      </c>
      <c r="C534">
        <f t="shared" si="40"/>
        <v>2004</v>
      </c>
      <c r="D534">
        <v>2004</v>
      </c>
      <c r="E534" t="str">
        <f t="shared" si="44"/>
        <v>Nov</v>
      </c>
      <c r="F534" t="s">
        <v>15</v>
      </c>
      <c r="G534">
        <v>24</v>
      </c>
      <c r="H534">
        <v>0</v>
      </c>
      <c r="I534" s="21">
        <v>4740.78</v>
      </c>
      <c r="J534" t="str">
        <f t="shared" si="41"/>
        <v>tier - 2</v>
      </c>
      <c r="K534" t="s">
        <v>11</v>
      </c>
      <c r="L534" t="str">
        <f t="shared" si="42"/>
        <v>tier - 3</v>
      </c>
      <c r="M534" t="s">
        <v>12</v>
      </c>
      <c r="N534" t="str">
        <f t="shared" si="43"/>
        <v>R1021</v>
      </c>
      <c r="O534" t="s">
        <v>300</v>
      </c>
    </row>
    <row r="535" spans="1:15" x14ac:dyDescent="0.35">
      <c r="A535" t="s">
        <v>566</v>
      </c>
      <c r="C535">
        <f t="shared" si="40"/>
        <v>1987</v>
      </c>
      <c r="D535">
        <v>1987</v>
      </c>
      <c r="E535" t="str">
        <f t="shared" si="44"/>
        <v>Jun</v>
      </c>
      <c r="F535" t="s">
        <v>18</v>
      </c>
      <c r="G535">
        <v>5</v>
      </c>
      <c r="H535">
        <v>1</v>
      </c>
      <c r="I535" s="21">
        <v>4746.34</v>
      </c>
      <c r="J535" t="str">
        <f t="shared" si="41"/>
        <v>tier - 2</v>
      </c>
      <c r="K535" t="s">
        <v>11</v>
      </c>
      <c r="L535" t="str">
        <f t="shared" si="42"/>
        <v>tier - 2</v>
      </c>
      <c r="M535" t="s">
        <v>11</v>
      </c>
      <c r="N535" t="str">
        <f t="shared" si="43"/>
        <v>R1011</v>
      </c>
      <c r="O535" t="s">
        <v>42</v>
      </c>
    </row>
    <row r="536" spans="1:15" x14ac:dyDescent="0.35">
      <c r="A536" t="s">
        <v>567</v>
      </c>
      <c r="C536">
        <f t="shared" si="40"/>
        <v>1987</v>
      </c>
      <c r="D536">
        <v>1987</v>
      </c>
      <c r="E536" t="str">
        <f t="shared" si="44"/>
        <v>Sep</v>
      </c>
      <c r="F536" t="s">
        <v>20</v>
      </c>
      <c r="G536">
        <v>2</v>
      </c>
      <c r="H536">
        <v>1</v>
      </c>
      <c r="I536" s="21">
        <v>4747.05</v>
      </c>
      <c r="J536" t="str">
        <f t="shared" si="41"/>
        <v>tier - 2</v>
      </c>
      <c r="K536" t="s">
        <v>11</v>
      </c>
      <c r="L536" t="str">
        <f t="shared" si="42"/>
        <v>tier - 2</v>
      </c>
      <c r="M536" t="s">
        <v>11</v>
      </c>
      <c r="N536" t="str">
        <f t="shared" si="43"/>
        <v>R1013</v>
      </c>
      <c r="O536" t="s">
        <v>13</v>
      </c>
    </row>
    <row r="537" spans="1:15" x14ac:dyDescent="0.35">
      <c r="A537" t="s">
        <v>568</v>
      </c>
      <c r="C537">
        <f t="shared" si="40"/>
        <v>1987</v>
      </c>
      <c r="D537">
        <v>1987</v>
      </c>
      <c r="E537" t="str">
        <f t="shared" si="44"/>
        <v>Nov</v>
      </c>
      <c r="F537" t="s">
        <v>15</v>
      </c>
      <c r="G537">
        <v>22</v>
      </c>
      <c r="H537">
        <v>1</v>
      </c>
      <c r="I537" s="21">
        <v>4751.07</v>
      </c>
      <c r="J537" t="str">
        <f t="shared" si="41"/>
        <v>tier - 3</v>
      </c>
      <c r="K537" t="s">
        <v>12</v>
      </c>
      <c r="L537" t="str">
        <f t="shared" si="42"/>
        <v>tier - 1</v>
      </c>
      <c r="M537" t="s">
        <v>16</v>
      </c>
      <c r="N537" t="str">
        <f t="shared" si="43"/>
        <v>R1011</v>
      </c>
      <c r="O537" t="s">
        <v>42</v>
      </c>
    </row>
    <row r="538" spans="1:15" x14ac:dyDescent="0.35">
      <c r="A538" t="s">
        <v>569</v>
      </c>
      <c r="C538">
        <f t="shared" si="40"/>
        <v>1992</v>
      </c>
      <c r="D538">
        <v>1992</v>
      </c>
      <c r="E538" t="str">
        <f t="shared" si="44"/>
        <v>Aug</v>
      </c>
      <c r="F538" t="s">
        <v>35</v>
      </c>
      <c r="G538">
        <v>16</v>
      </c>
      <c r="H538">
        <v>2</v>
      </c>
      <c r="I538" s="21">
        <v>4753.6400000000003</v>
      </c>
      <c r="J538" t="str">
        <f t="shared" si="41"/>
        <v>tier - 2</v>
      </c>
      <c r="K538" t="s">
        <v>11</v>
      </c>
      <c r="L538" t="str">
        <f t="shared" si="42"/>
        <v>tier - 3</v>
      </c>
      <c r="M538" t="s">
        <v>12</v>
      </c>
      <c r="N538" t="str">
        <f t="shared" si="43"/>
        <v>R1013</v>
      </c>
      <c r="O538" t="s">
        <v>13</v>
      </c>
    </row>
    <row r="539" spans="1:15" x14ac:dyDescent="0.35">
      <c r="A539" t="s">
        <v>570</v>
      </c>
      <c r="C539">
        <f t="shared" si="40"/>
        <v>1987</v>
      </c>
      <c r="D539">
        <v>1987</v>
      </c>
      <c r="E539" t="str">
        <f t="shared" si="44"/>
        <v>Sep</v>
      </c>
      <c r="F539" t="s">
        <v>20</v>
      </c>
      <c r="G539">
        <v>27</v>
      </c>
      <c r="H539">
        <v>1</v>
      </c>
      <c r="I539" s="21">
        <v>4762.33</v>
      </c>
      <c r="J539" t="str">
        <f t="shared" si="41"/>
        <v>tier - 3</v>
      </c>
      <c r="K539" t="s">
        <v>12</v>
      </c>
      <c r="L539" t="str">
        <f t="shared" si="42"/>
        <v>tier - 3</v>
      </c>
      <c r="M539" t="s">
        <v>12</v>
      </c>
      <c r="N539" t="str">
        <f t="shared" si="43"/>
        <v>R1011</v>
      </c>
      <c r="O539" t="s">
        <v>42</v>
      </c>
    </row>
    <row r="540" spans="1:15" x14ac:dyDescent="0.35">
      <c r="A540" t="s">
        <v>571</v>
      </c>
      <c r="C540">
        <f t="shared" si="40"/>
        <v>1989</v>
      </c>
      <c r="D540">
        <v>1989</v>
      </c>
      <c r="E540" t="str">
        <f t="shared" si="44"/>
        <v>Aug</v>
      </c>
      <c r="F540" t="s">
        <v>35</v>
      </c>
      <c r="G540">
        <v>1</v>
      </c>
      <c r="H540">
        <v>1</v>
      </c>
      <c r="I540" s="21">
        <v>4766.0200000000004</v>
      </c>
      <c r="J540" t="str">
        <f t="shared" si="41"/>
        <v>tier - 2</v>
      </c>
      <c r="K540" t="s">
        <v>11</v>
      </c>
      <c r="L540" t="str">
        <f t="shared" si="42"/>
        <v>tier - 3</v>
      </c>
      <c r="M540" t="s">
        <v>12</v>
      </c>
      <c r="N540" t="str">
        <f t="shared" si="43"/>
        <v>R1011</v>
      </c>
      <c r="O540" t="s">
        <v>42</v>
      </c>
    </row>
    <row r="541" spans="1:15" x14ac:dyDescent="0.35">
      <c r="A541" t="s">
        <v>572</v>
      </c>
      <c r="C541">
        <f t="shared" si="40"/>
        <v>1989</v>
      </c>
      <c r="D541">
        <v>1989</v>
      </c>
      <c r="E541" t="str">
        <f t="shared" si="44"/>
        <v>Dec</v>
      </c>
      <c r="F541" t="s">
        <v>30</v>
      </c>
      <c r="G541">
        <v>9</v>
      </c>
      <c r="H541">
        <v>1</v>
      </c>
      <c r="I541" s="21">
        <v>4779.6000000000004</v>
      </c>
      <c r="J541" t="str">
        <f t="shared" si="41"/>
        <v>tier - 2</v>
      </c>
      <c r="K541" t="s">
        <v>11</v>
      </c>
      <c r="L541" t="str">
        <f t="shared" si="42"/>
        <v>tier - 3</v>
      </c>
      <c r="M541" t="s">
        <v>12</v>
      </c>
      <c r="N541" t="str">
        <f t="shared" si="43"/>
        <v>R1013</v>
      </c>
      <c r="O541" t="s">
        <v>13</v>
      </c>
    </row>
    <row r="542" spans="1:15" x14ac:dyDescent="0.35">
      <c r="A542" t="s">
        <v>573</v>
      </c>
      <c r="C542">
        <f t="shared" si="40"/>
        <v>1987</v>
      </c>
      <c r="D542">
        <v>1987</v>
      </c>
      <c r="E542" t="str">
        <f t="shared" si="44"/>
        <v>Jun</v>
      </c>
      <c r="F542" t="s">
        <v>18</v>
      </c>
      <c r="G542">
        <v>22</v>
      </c>
      <c r="H542">
        <v>3</v>
      </c>
      <c r="I542" s="21">
        <v>4787.42</v>
      </c>
      <c r="J542" t="str">
        <f t="shared" si="41"/>
        <v>tier - 2</v>
      </c>
      <c r="K542" t="s">
        <v>11</v>
      </c>
      <c r="L542" t="str">
        <f t="shared" si="42"/>
        <v>tier - 3</v>
      </c>
      <c r="M542" t="s">
        <v>12</v>
      </c>
      <c r="N542" t="str">
        <f t="shared" si="43"/>
        <v>R1013</v>
      </c>
      <c r="O542" t="s">
        <v>13</v>
      </c>
    </row>
    <row r="543" spans="1:15" x14ac:dyDescent="0.35">
      <c r="A543" t="s">
        <v>574</v>
      </c>
      <c r="C543">
        <f t="shared" si="40"/>
        <v>1989</v>
      </c>
      <c r="D543">
        <v>1989</v>
      </c>
      <c r="E543" t="str">
        <f t="shared" si="44"/>
        <v>Dec</v>
      </c>
      <c r="F543" t="s">
        <v>30</v>
      </c>
      <c r="G543">
        <v>16</v>
      </c>
      <c r="H543">
        <v>1</v>
      </c>
      <c r="I543" s="21">
        <v>4795.66</v>
      </c>
      <c r="J543" t="str">
        <f t="shared" si="41"/>
        <v>tier - 2</v>
      </c>
      <c r="K543" t="s">
        <v>11</v>
      </c>
      <c r="L543" t="str">
        <f t="shared" si="42"/>
        <v>tier - 1</v>
      </c>
      <c r="M543" t="s">
        <v>16</v>
      </c>
      <c r="N543" t="str">
        <f t="shared" si="43"/>
        <v>R1013</v>
      </c>
      <c r="O543" t="s">
        <v>13</v>
      </c>
    </row>
    <row r="544" spans="1:15" x14ac:dyDescent="0.35">
      <c r="A544" t="s">
        <v>575</v>
      </c>
      <c r="C544">
        <f t="shared" si="40"/>
        <v>1978</v>
      </c>
      <c r="D544">
        <v>1978</v>
      </c>
      <c r="E544" t="str">
        <f t="shared" si="44"/>
        <v>Oct</v>
      </c>
      <c r="F544" t="s">
        <v>37</v>
      </c>
      <c r="G544">
        <v>3</v>
      </c>
      <c r="H544">
        <v>2</v>
      </c>
      <c r="I544" s="21">
        <v>4812.34</v>
      </c>
      <c r="J544" t="str">
        <f t="shared" si="41"/>
        <v>tier - 2</v>
      </c>
      <c r="K544" t="s">
        <v>11</v>
      </c>
      <c r="L544" t="str">
        <f t="shared" si="42"/>
        <v>tier - 3</v>
      </c>
      <c r="M544" t="s">
        <v>12</v>
      </c>
      <c r="N544" t="str">
        <f t="shared" si="43"/>
        <v>R1013</v>
      </c>
      <c r="O544" t="s">
        <v>13</v>
      </c>
    </row>
    <row r="545" spans="1:15" x14ac:dyDescent="0.35">
      <c r="A545" t="s">
        <v>576</v>
      </c>
      <c r="C545">
        <f t="shared" si="40"/>
        <v>1981</v>
      </c>
      <c r="D545">
        <v>1981</v>
      </c>
      <c r="E545" t="str">
        <f t="shared" si="44"/>
        <v>Jul</v>
      </c>
      <c r="F545" t="s">
        <v>10</v>
      </c>
      <c r="G545">
        <v>3</v>
      </c>
      <c r="H545">
        <v>1</v>
      </c>
      <c r="I545" s="21">
        <v>4827.1000000000004</v>
      </c>
      <c r="J545" t="str">
        <f t="shared" si="41"/>
        <v>tier - 2</v>
      </c>
      <c r="K545" t="s">
        <v>11</v>
      </c>
      <c r="L545" t="str">
        <f t="shared" si="42"/>
        <v>tier - 1</v>
      </c>
      <c r="M545" t="s">
        <v>16</v>
      </c>
      <c r="N545" t="str">
        <f t="shared" si="43"/>
        <v>R1013</v>
      </c>
      <c r="O545" t="s">
        <v>13</v>
      </c>
    </row>
    <row r="546" spans="1:15" x14ac:dyDescent="0.35">
      <c r="A546" t="s">
        <v>577</v>
      </c>
      <c r="C546">
        <f t="shared" si="40"/>
        <v>1995</v>
      </c>
      <c r="D546">
        <v>1995</v>
      </c>
      <c r="E546" t="str">
        <f t="shared" si="44"/>
        <v>Dec</v>
      </c>
      <c r="F546" t="s">
        <v>30</v>
      </c>
      <c r="G546">
        <v>1</v>
      </c>
      <c r="H546">
        <v>3</v>
      </c>
      <c r="I546" s="21">
        <v>4827.8999999999996</v>
      </c>
      <c r="J546" t="str">
        <f t="shared" si="41"/>
        <v>tier - 1</v>
      </c>
      <c r="K546" t="s">
        <v>16</v>
      </c>
      <c r="L546" t="str">
        <f t="shared" si="42"/>
        <v>tier - 2</v>
      </c>
      <c r="M546" t="s">
        <v>11</v>
      </c>
      <c r="N546" t="str">
        <f t="shared" si="43"/>
        <v>Unknown</v>
      </c>
      <c r="O546" t="s">
        <v>31</v>
      </c>
    </row>
    <row r="547" spans="1:15" x14ac:dyDescent="0.35">
      <c r="A547" t="s">
        <v>578</v>
      </c>
      <c r="C547">
        <f t="shared" si="40"/>
        <v>2002</v>
      </c>
      <c r="D547">
        <v>2002</v>
      </c>
      <c r="E547" t="str">
        <f t="shared" si="44"/>
        <v>Jun</v>
      </c>
      <c r="F547" t="s">
        <v>18</v>
      </c>
      <c r="G547">
        <v>27</v>
      </c>
      <c r="H547">
        <v>5</v>
      </c>
      <c r="I547" s="21">
        <v>4830.63</v>
      </c>
      <c r="J547" t="str">
        <f t="shared" si="41"/>
        <v>tier - 2</v>
      </c>
      <c r="K547" t="s">
        <v>11</v>
      </c>
      <c r="L547" t="str">
        <f t="shared" si="42"/>
        <v>tier - 1</v>
      </c>
      <c r="M547" t="s">
        <v>16</v>
      </c>
      <c r="N547" t="str">
        <f t="shared" si="43"/>
        <v>R1011</v>
      </c>
      <c r="O547" t="s">
        <v>42</v>
      </c>
    </row>
    <row r="548" spans="1:15" x14ac:dyDescent="0.35">
      <c r="A548" t="s">
        <v>579</v>
      </c>
      <c r="C548">
        <f t="shared" si="40"/>
        <v>2000</v>
      </c>
      <c r="D548">
        <v>2000</v>
      </c>
      <c r="E548" t="str">
        <f t="shared" si="44"/>
        <v>Dec</v>
      </c>
      <c r="F548" t="s">
        <v>30</v>
      </c>
      <c r="G548">
        <v>11</v>
      </c>
      <c r="H548">
        <v>0</v>
      </c>
      <c r="I548" s="21">
        <v>4835.43</v>
      </c>
      <c r="J548" t="str">
        <f t="shared" si="41"/>
        <v>tier - 2</v>
      </c>
      <c r="K548" t="s">
        <v>11</v>
      </c>
      <c r="L548" t="str">
        <f t="shared" si="42"/>
        <v>tier - 2</v>
      </c>
      <c r="M548" t="s">
        <v>11</v>
      </c>
      <c r="N548" t="str">
        <f t="shared" si="43"/>
        <v>R1021</v>
      </c>
      <c r="O548" t="s">
        <v>300</v>
      </c>
    </row>
    <row r="549" spans="1:15" x14ac:dyDescent="0.35">
      <c r="A549" t="s">
        <v>580</v>
      </c>
      <c r="C549">
        <f t="shared" si="40"/>
        <v>1992</v>
      </c>
      <c r="D549">
        <v>1992</v>
      </c>
      <c r="E549" t="str">
        <f t="shared" si="44"/>
        <v>Sep</v>
      </c>
      <c r="F549" t="s">
        <v>20</v>
      </c>
      <c r="G549">
        <v>10</v>
      </c>
      <c r="H549">
        <v>3</v>
      </c>
      <c r="I549" s="21">
        <v>4837.58</v>
      </c>
      <c r="J549" t="str">
        <f t="shared" si="41"/>
        <v>tier - 3</v>
      </c>
      <c r="K549" t="s">
        <v>12</v>
      </c>
      <c r="L549" t="str">
        <f t="shared" si="42"/>
        <v>tier - 2</v>
      </c>
      <c r="M549" t="s">
        <v>11</v>
      </c>
      <c r="N549" t="str">
        <f t="shared" si="43"/>
        <v>R1013</v>
      </c>
      <c r="O549" t="s">
        <v>13</v>
      </c>
    </row>
    <row r="550" spans="1:15" x14ac:dyDescent="0.35">
      <c r="A550" t="s">
        <v>581</v>
      </c>
      <c r="C550">
        <f t="shared" si="40"/>
        <v>1984</v>
      </c>
      <c r="D550">
        <v>1984</v>
      </c>
      <c r="E550" t="str">
        <f t="shared" si="44"/>
        <v>Oct</v>
      </c>
      <c r="F550" t="s">
        <v>37</v>
      </c>
      <c r="G550">
        <v>15</v>
      </c>
      <c r="H550">
        <v>3</v>
      </c>
      <c r="I550" s="21">
        <v>4839.18</v>
      </c>
      <c r="J550" t="str">
        <f t="shared" si="41"/>
        <v>tier - 2</v>
      </c>
      <c r="K550" t="s">
        <v>11</v>
      </c>
      <c r="L550" t="str">
        <f t="shared" si="42"/>
        <v>tier - 1</v>
      </c>
      <c r="M550" t="s">
        <v>16</v>
      </c>
      <c r="N550" t="str">
        <f t="shared" si="43"/>
        <v>R1012</v>
      </c>
      <c r="O550" t="s">
        <v>23</v>
      </c>
    </row>
    <row r="551" spans="1:15" x14ac:dyDescent="0.35">
      <c r="A551" t="s">
        <v>582</v>
      </c>
      <c r="C551">
        <f t="shared" si="40"/>
        <v>1995</v>
      </c>
      <c r="D551">
        <v>1995</v>
      </c>
      <c r="E551" t="str">
        <f t="shared" si="44"/>
        <v>Sep</v>
      </c>
      <c r="F551" t="s">
        <v>20</v>
      </c>
      <c r="G551">
        <v>29</v>
      </c>
      <c r="H551">
        <v>0</v>
      </c>
      <c r="I551" s="21">
        <v>4840.95</v>
      </c>
      <c r="J551" t="str">
        <f t="shared" si="41"/>
        <v>tier - 2</v>
      </c>
      <c r="K551" t="s">
        <v>11</v>
      </c>
      <c r="L551" t="str">
        <f t="shared" si="42"/>
        <v>tier - 1</v>
      </c>
      <c r="M551" t="s">
        <v>16</v>
      </c>
      <c r="N551" t="str">
        <f t="shared" si="43"/>
        <v>R1021</v>
      </c>
      <c r="O551" t="s">
        <v>300</v>
      </c>
    </row>
    <row r="552" spans="1:15" x14ac:dyDescent="0.35">
      <c r="A552" t="s">
        <v>583</v>
      </c>
      <c r="C552">
        <f t="shared" si="40"/>
        <v>1979</v>
      </c>
      <c r="D552">
        <v>1979</v>
      </c>
      <c r="E552" t="str">
        <f t="shared" si="44"/>
        <v>Dec</v>
      </c>
      <c r="F552" t="s">
        <v>30</v>
      </c>
      <c r="G552">
        <v>13</v>
      </c>
      <c r="H552">
        <v>2</v>
      </c>
      <c r="I552" s="21">
        <v>4843.79</v>
      </c>
      <c r="J552" t="str">
        <f t="shared" si="41"/>
        <v>tier - 2</v>
      </c>
      <c r="K552" t="s">
        <v>11</v>
      </c>
      <c r="L552" t="str">
        <f t="shared" si="42"/>
        <v>tier - 3</v>
      </c>
      <c r="M552" t="s">
        <v>12</v>
      </c>
      <c r="N552" t="str">
        <f t="shared" si="43"/>
        <v>R1013</v>
      </c>
      <c r="O552" t="s">
        <v>13</v>
      </c>
    </row>
    <row r="553" spans="1:15" x14ac:dyDescent="0.35">
      <c r="A553" t="s">
        <v>584</v>
      </c>
      <c r="C553">
        <f t="shared" si="40"/>
        <v>1974</v>
      </c>
      <c r="D553">
        <v>1974</v>
      </c>
      <c r="E553" t="str">
        <f t="shared" si="44"/>
        <v>Sep</v>
      </c>
      <c r="F553" t="s">
        <v>20</v>
      </c>
      <c r="G553">
        <v>11</v>
      </c>
      <c r="H553">
        <v>0</v>
      </c>
      <c r="I553" s="21">
        <v>4844.67</v>
      </c>
      <c r="J553" t="str">
        <f t="shared" si="41"/>
        <v>tier - 2</v>
      </c>
      <c r="K553" t="s">
        <v>11</v>
      </c>
      <c r="L553" t="str">
        <f t="shared" si="42"/>
        <v>tier - 2</v>
      </c>
      <c r="M553" t="s">
        <v>11</v>
      </c>
      <c r="N553" t="str">
        <f t="shared" si="43"/>
        <v>R1013</v>
      </c>
      <c r="O553" t="s">
        <v>13</v>
      </c>
    </row>
    <row r="554" spans="1:15" x14ac:dyDescent="0.35">
      <c r="A554" t="s">
        <v>585</v>
      </c>
      <c r="C554">
        <f t="shared" si="40"/>
        <v>2001</v>
      </c>
      <c r="D554">
        <v>2001</v>
      </c>
      <c r="E554" t="str">
        <f t="shared" si="44"/>
        <v>Jun</v>
      </c>
      <c r="F554" t="s">
        <v>18</v>
      </c>
      <c r="G554">
        <v>7</v>
      </c>
      <c r="H554">
        <v>0</v>
      </c>
      <c r="I554" s="21">
        <v>4846.53</v>
      </c>
      <c r="J554" t="str">
        <f t="shared" si="41"/>
        <v>tier - 2</v>
      </c>
      <c r="K554" t="s">
        <v>11</v>
      </c>
      <c r="L554" t="str">
        <f t="shared" si="42"/>
        <v>tier - 3</v>
      </c>
      <c r="M554" t="s">
        <v>12</v>
      </c>
      <c r="N554" t="str">
        <f t="shared" si="43"/>
        <v>R1021</v>
      </c>
      <c r="O554" t="s">
        <v>300</v>
      </c>
    </row>
    <row r="555" spans="1:15" x14ac:dyDescent="0.35">
      <c r="A555" t="s">
        <v>586</v>
      </c>
      <c r="C555">
        <f t="shared" si="40"/>
        <v>1995</v>
      </c>
      <c r="D555">
        <v>1995</v>
      </c>
      <c r="E555" t="str">
        <f t="shared" si="44"/>
        <v>Dec</v>
      </c>
      <c r="F555" t="s">
        <v>30</v>
      </c>
      <c r="G555">
        <v>27</v>
      </c>
      <c r="H555">
        <v>3</v>
      </c>
      <c r="I555" s="21">
        <v>4846.92</v>
      </c>
      <c r="J555" t="str">
        <f t="shared" si="41"/>
        <v>tier - 2</v>
      </c>
      <c r="K555" t="s">
        <v>11</v>
      </c>
      <c r="L555" t="str">
        <f t="shared" si="42"/>
        <v>tier - 3</v>
      </c>
      <c r="M555" t="s">
        <v>12</v>
      </c>
      <c r="N555" t="str">
        <f t="shared" si="43"/>
        <v>R1017</v>
      </c>
      <c r="O555" t="s">
        <v>356</v>
      </c>
    </row>
    <row r="556" spans="1:15" x14ac:dyDescent="0.35">
      <c r="A556" t="s">
        <v>587</v>
      </c>
      <c r="C556">
        <f t="shared" si="40"/>
        <v>1989</v>
      </c>
      <c r="D556">
        <v>1989</v>
      </c>
      <c r="E556" t="str">
        <f t="shared" si="44"/>
        <v>Sep</v>
      </c>
      <c r="F556" t="s">
        <v>20</v>
      </c>
      <c r="G556">
        <v>1</v>
      </c>
      <c r="H556">
        <v>3</v>
      </c>
      <c r="I556" s="21">
        <v>4859.8900000000003</v>
      </c>
      <c r="J556" t="str">
        <f t="shared" si="41"/>
        <v>tier - 2</v>
      </c>
      <c r="K556" t="s">
        <v>11</v>
      </c>
      <c r="L556" t="str">
        <f t="shared" si="42"/>
        <v>tier - 3</v>
      </c>
      <c r="M556" t="s">
        <v>12</v>
      </c>
      <c r="N556" t="str">
        <f t="shared" si="43"/>
        <v>R1011</v>
      </c>
      <c r="O556" t="s">
        <v>42</v>
      </c>
    </row>
    <row r="557" spans="1:15" x14ac:dyDescent="0.35">
      <c r="A557" t="s">
        <v>588</v>
      </c>
      <c r="C557">
        <f t="shared" si="40"/>
        <v>1997</v>
      </c>
      <c r="D557">
        <v>1997</v>
      </c>
      <c r="E557" t="str">
        <f t="shared" si="44"/>
        <v>Sep</v>
      </c>
      <c r="F557" t="s">
        <v>20</v>
      </c>
      <c r="G557">
        <v>29</v>
      </c>
      <c r="H557">
        <v>4</v>
      </c>
      <c r="I557" s="21">
        <v>4877.9799999999996</v>
      </c>
      <c r="J557" t="str">
        <f t="shared" si="41"/>
        <v>tier - 2</v>
      </c>
      <c r="K557" t="s">
        <v>11</v>
      </c>
      <c r="L557" t="str">
        <f t="shared" si="42"/>
        <v>tier - 3</v>
      </c>
      <c r="M557" t="s">
        <v>12</v>
      </c>
      <c r="N557" t="str">
        <f t="shared" si="43"/>
        <v>R1012</v>
      </c>
      <c r="O557" t="s">
        <v>23</v>
      </c>
    </row>
    <row r="558" spans="1:15" x14ac:dyDescent="0.35">
      <c r="A558" t="s">
        <v>589</v>
      </c>
      <c r="C558">
        <f t="shared" si="40"/>
        <v>1986</v>
      </c>
      <c r="D558">
        <v>1986</v>
      </c>
      <c r="E558" t="str">
        <f t="shared" si="44"/>
        <v>Dec</v>
      </c>
      <c r="F558" t="s">
        <v>30</v>
      </c>
      <c r="G558">
        <v>23</v>
      </c>
      <c r="H558">
        <v>0</v>
      </c>
      <c r="I558" s="21">
        <v>4883.87</v>
      </c>
      <c r="J558" t="str">
        <f t="shared" si="41"/>
        <v>tier - 2</v>
      </c>
      <c r="K558" t="s">
        <v>11</v>
      </c>
      <c r="L558" t="str">
        <f t="shared" si="42"/>
        <v>tier - 1</v>
      </c>
      <c r="M558" t="s">
        <v>16</v>
      </c>
      <c r="N558" t="str">
        <f t="shared" si="43"/>
        <v>R1011</v>
      </c>
      <c r="O558" t="s">
        <v>42</v>
      </c>
    </row>
    <row r="559" spans="1:15" x14ac:dyDescent="0.35">
      <c r="A559" t="s">
        <v>590</v>
      </c>
      <c r="C559">
        <f t="shared" si="40"/>
        <v>1986</v>
      </c>
      <c r="D559">
        <v>1986</v>
      </c>
      <c r="E559" t="str">
        <f t="shared" si="44"/>
        <v>Oct</v>
      </c>
      <c r="F559" t="s">
        <v>37</v>
      </c>
      <c r="G559">
        <v>27</v>
      </c>
      <c r="H559">
        <v>0</v>
      </c>
      <c r="I559" s="21">
        <v>4889.04</v>
      </c>
      <c r="J559" t="str">
        <f t="shared" si="41"/>
        <v>tier - 2</v>
      </c>
      <c r="K559" t="s">
        <v>11</v>
      </c>
      <c r="L559" t="str">
        <f t="shared" si="42"/>
        <v>tier - 1</v>
      </c>
      <c r="M559" t="s">
        <v>16</v>
      </c>
      <c r="N559" t="str">
        <f t="shared" si="43"/>
        <v>R1013</v>
      </c>
      <c r="O559" t="s">
        <v>13</v>
      </c>
    </row>
    <row r="560" spans="1:15" x14ac:dyDescent="0.35">
      <c r="A560" t="s">
        <v>591</v>
      </c>
      <c r="C560">
        <f t="shared" si="40"/>
        <v>1989</v>
      </c>
      <c r="D560">
        <v>1989</v>
      </c>
      <c r="E560" t="str">
        <f t="shared" si="44"/>
        <v>Jul</v>
      </c>
      <c r="F560" t="s">
        <v>10</v>
      </c>
      <c r="G560">
        <v>10</v>
      </c>
      <c r="H560">
        <v>2</v>
      </c>
      <c r="I560" s="21">
        <v>4890</v>
      </c>
      <c r="J560" t="str">
        <f t="shared" si="41"/>
        <v>tier - 3</v>
      </c>
      <c r="K560" t="s">
        <v>12</v>
      </c>
      <c r="L560" t="str">
        <f t="shared" si="42"/>
        <v>tier - 2</v>
      </c>
      <c r="M560" t="s">
        <v>11</v>
      </c>
      <c r="N560" t="str">
        <f t="shared" si="43"/>
        <v>R1013</v>
      </c>
      <c r="O560" t="s">
        <v>13</v>
      </c>
    </row>
    <row r="561" spans="1:15" x14ac:dyDescent="0.35">
      <c r="A561" t="s">
        <v>592</v>
      </c>
      <c r="C561">
        <f t="shared" si="40"/>
        <v>1990</v>
      </c>
      <c r="D561">
        <v>1990</v>
      </c>
      <c r="E561" t="str">
        <f t="shared" si="44"/>
        <v>Nov</v>
      </c>
      <c r="F561" t="s">
        <v>15</v>
      </c>
      <c r="G561">
        <v>28</v>
      </c>
      <c r="H561">
        <v>3</v>
      </c>
      <c r="I561" s="21">
        <v>4894.3900000000003</v>
      </c>
      <c r="J561" t="str">
        <f t="shared" si="41"/>
        <v>tier - 2</v>
      </c>
      <c r="K561" t="s">
        <v>11</v>
      </c>
      <c r="L561" t="str">
        <f t="shared" si="42"/>
        <v>tier - 3</v>
      </c>
      <c r="M561" t="s">
        <v>12</v>
      </c>
      <c r="N561" t="str">
        <f t="shared" si="43"/>
        <v>R1013</v>
      </c>
      <c r="O561" t="s">
        <v>13</v>
      </c>
    </row>
    <row r="562" spans="1:15" x14ac:dyDescent="0.35">
      <c r="A562" t="s">
        <v>593</v>
      </c>
      <c r="C562">
        <f t="shared" si="40"/>
        <v>1988</v>
      </c>
      <c r="D562">
        <v>1988</v>
      </c>
      <c r="E562" t="str">
        <f t="shared" si="44"/>
        <v>Sep</v>
      </c>
      <c r="F562" t="s">
        <v>20</v>
      </c>
      <c r="G562">
        <v>23</v>
      </c>
      <c r="H562">
        <v>1</v>
      </c>
      <c r="I562" s="21">
        <v>4894.75</v>
      </c>
      <c r="J562" t="str">
        <f t="shared" si="41"/>
        <v>tier - 3</v>
      </c>
      <c r="K562" t="s">
        <v>12</v>
      </c>
      <c r="L562" t="str">
        <f t="shared" si="42"/>
        <v>tier - 3</v>
      </c>
      <c r="M562" t="s">
        <v>12</v>
      </c>
      <c r="N562" t="str">
        <f t="shared" si="43"/>
        <v>R1012</v>
      </c>
      <c r="O562" t="s">
        <v>23</v>
      </c>
    </row>
    <row r="563" spans="1:15" x14ac:dyDescent="0.35">
      <c r="A563" t="s">
        <v>594</v>
      </c>
      <c r="C563">
        <f t="shared" si="40"/>
        <v>1993</v>
      </c>
      <c r="D563">
        <v>1993</v>
      </c>
      <c r="E563" t="str">
        <f t="shared" si="44"/>
        <v>Jul</v>
      </c>
      <c r="F563" t="s">
        <v>10</v>
      </c>
      <c r="G563">
        <v>10</v>
      </c>
      <c r="H563">
        <v>2</v>
      </c>
      <c r="I563" s="21">
        <v>4906.41</v>
      </c>
      <c r="J563" t="str">
        <f t="shared" si="41"/>
        <v>tier - 2</v>
      </c>
      <c r="K563" t="s">
        <v>11</v>
      </c>
      <c r="L563" t="str">
        <f t="shared" si="42"/>
        <v>tier - 1</v>
      </c>
      <c r="M563" t="s">
        <v>16</v>
      </c>
      <c r="N563" t="str">
        <f t="shared" si="43"/>
        <v>R1012</v>
      </c>
      <c r="O563" t="s">
        <v>23</v>
      </c>
    </row>
    <row r="564" spans="1:15" x14ac:dyDescent="0.35">
      <c r="A564" t="s">
        <v>595</v>
      </c>
      <c r="C564">
        <f t="shared" si="40"/>
        <v>1981</v>
      </c>
      <c r="D564">
        <v>1981</v>
      </c>
      <c r="E564" t="str">
        <f t="shared" si="44"/>
        <v>Oct</v>
      </c>
      <c r="F564" t="s">
        <v>37</v>
      </c>
      <c r="G564">
        <v>18</v>
      </c>
      <c r="H564">
        <v>1</v>
      </c>
      <c r="I564" s="21">
        <v>4911.8900000000003</v>
      </c>
      <c r="J564" t="str">
        <f t="shared" si="41"/>
        <v>tier - 2</v>
      </c>
      <c r="K564" t="s">
        <v>11</v>
      </c>
      <c r="L564" t="str">
        <f t="shared" si="42"/>
        <v>tier - 3</v>
      </c>
      <c r="M564" t="s">
        <v>12</v>
      </c>
      <c r="N564" t="str">
        <f t="shared" si="43"/>
        <v>R1013</v>
      </c>
      <c r="O564" t="s">
        <v>13</v>
      </c>
    </row>
    <row r="565" spans="1:15" x14ac:dyDescent="0.35">
      <c r="A565" t="s">
        <v>596</v>
      </c>
      <c r="C565">
        <f t="shared" si="40"/>
        <v>2002</v>
      </c>
      <c r="D565">
        <v>2002</v>
      </c>
      <c r="E565" t="str">
        <f t="shared" si="44"/>
        <v>Aug</v>
      </c>
      <c r="F565" t="s">
        <v>35</v>
      </c>
      <c r="G565">
        <v>21</v>
      </c>
      <c r="H565">
        <v>5</v>
      </c>
      <c r="I565" s="21">
        <v>4915.0600000000004</v>
      </c>
      <c r="J565" t="str">
        <f t="shared" si="41"/>
        <v>tier - 2</v>
      </c>
      <c r="K565" t="s">
        <v>11</v>
      </c>
      <c r="L565" t="str">
        <f t="shared" si="42"/>
        <v>tier - 1</v>
      </c>
      <c r="M565" t="s">
        <v>16</v>
      </c>
      <c r="N565" t="str">
        <f t="shared" si="43"/>
        <v>R1017</v>
      </c>
      <c r="O565" t="s">
        <v>356</v>
      </c>
    </row>
    <row r="566" spans="1:15" x14ac:dyDescent="0.35">
      <c r="A566" t="s">
        <v>597</v>
      </c>
      <c r="C566">
        <f t="shared" si="40"/>
        <v>1993</v>
      </c>
      <c r="D566">
        <v>1993</v>
      </c>
      <c r="E566" t="str">
        <f t="shared" si="44"/>
        <v>Aug</v>
      </c>
      <c r="F566" t="s">
        <v>35</v>
      </c>
      <c r="G566">
        <v>10</v>
      </c>
      <c r="H566">
        <v>2</v>
      </c>
      <c r="I566" s="21">
        <v>4922.92</v>
      </c>
      <c r="J566" t="str">
        <f t="shared" si="41"/>
        <v>tier - 2</v>
      </c>
      <c r="K566" t="s">
        <v>11</v>
      </c>
      <c r="L566" t="str">
        <f t="shared" si="42"/>
        <v>tier - 2</v>
      </c>
      <c r="M566" t="s">
        <v>11</v>
      </c>
      <c r="N566" t="str">
        <f t="shared" si="43"/>
        <v>R1012</v>
      </c>
      <c r="O566" t="s">
        <v>23</v>
      </c>
    </row>
    <row r="567" spans="1:15" x14ac:dyDescent="0.35">
      <c r="A567" t="s">
        <v>598</v>
      </c>
      <c r="C567">
        <f t="shared" si="40"/>
        <v>1991</v>
      </c>
      <c r="D567">
        <v>1991</v>
      </c>
      <c r="E567" t="str">
        <f t="shared" si="44"/>
        <v>Aug</v>
      </c>
      <c r="F567" t="s">
        <v>35</v>
      </c>
      <c r="G567">
        <v>23</v>
      </c>
      <c r="H567">
        <v>2</v>
      </c>
      <c r="I567" s="21">
        <v>4931.6499999999996</v>
      </c>
      <c r="J567" t="str">
        <f t="shared" si="41"/>
        <v>tier - 2</v>
      </c>
      <c r="K567" t="s">
        <v>11</v>
      </c>
      <c r="L567" t="str">
        <f t="shared" si="42"/>
        <v>tier - 3</v>
      </c>
      <c r="M567" t="s">
        <v>12</v>
      </c>
      <c r="N567" t="str">
        <f t="shared" si="43"/>
        <v>R1011</v>
      </c>
      <c r="O567" t="s">
        <v>42</v>
      </c>
    </row>
    <row r="568" spans="1:15" x14ac:dyDescent="0.35">
      <c r="A568" t="s">
        <v>599</v>
      </c>
      <c r="C568">
        <f t="shared" si="40"/>
        <v>1991</v>
      </c>
      <c r="D568">
        <v>1991</v>
      </c>
      <c r="E568" t="str">
        <f t="shared" si="44"/>
        <v>Nov</v>
      </c>
      <c r="F568" t="s">
        <v>15</v>
      </c>
      <c r="G568">
        <v>27</v>
      </c>
      <c r="H568">
        <v>2</v>
      </c>
      <c r="I568" s="21">
        <v>4934.71</v>
      </c>
      <c r="J568" t="str">
        <f t="shared" si="41"/>
        <v>tier - 2</v>
      </c>
      <c r="K568" t="s">
        <v>11</v>
      </c>
      <c r="L568" t="str">
        <f t="shared" si="42"/>
        <v>tier - 3</v>
      </c>
      <c r="M568" t="s">
        <v>12</v>
      </c>
      <c r="N568" t="str">
        <f t="shared" si="43"/>
        <v>R1011</v>
      </c>
      <c r="O568" t="s">
        <v>42</v>
      </c>
    </row>
    <row r="569" spans="1:15" x14ac:dyDescent="0.35">
      <c r="A569" t="s">
        <v>600</v>
      </c>
      <c r="C569">
        <f t="shared" si="40"/>
        <v>1974</v>
      </c>
      <c r="D569">
        <v>1974</v>
      </c>
      <c r="E569" t="str">
        <f t="shared" si="44"/>
        <v>Jun</v>
      </c>
      <c r="F569" t="s">
        <v>18</v>
      </c>
      <c r="G569">
        <v>26</v>
      </c>
      <c r="H569">
        <v>0</v>
      </c>
      <c r="I569" s="21">
        <v>4942.0600000000004</v>
      </c>
      <c r="J569" t="str">
        <f t="shared" si="41"/>
        <v>tier - 2</v>
      </c>
      <c r="K569" t="s">
        <v>11</v>
      </c>
      <c r="L569" t="str">
        <f t="shared" si="42"/>
        <v>tier - 2</v>
      </c>
      <c r="M569" t="s">
        <v>11</v>
      </c>
      <c r="N569" t="str">
        <f t="shared" si="43"/>
        <v>R1013</v>
      </c>
      <c r="O569" t="s">
        <v>13</v>
      </c>
    </row>
    <row r="570" spans="1:15" x14ac:dyDescent="0.35">
      <c r="A570" t="s">
        <v>601</v>
      </c>
      <c r="C570">
        <f t="shared" si="40"/>
        <v>1991</v>
      </c>
      <c r="D570">
        <v>1991</v>
      </c>
      <c r="E570" t="str">
        <f t="shared" si="44"/>
        <v>Aug</v>
      </c>
      <c r="F570" t="s">
        <v>35</v>
      </c>
      <c r="G570">
        <v>30</v>
      </c>
      <c r="H570">
        <v>2</v>
      </c>
      <c r="I570" s="21">
        <v>4949.76</v>
      </c>
      <c r="J570" t="str">
        <f t="shared" si="41"/>
        <v>tier - 2</v>
      </c>
      <c r="K570" t="s">
        <v>11</v>
      </c>
      <c r="L570" t="str">
        <f t="shared" si="42"/>
        <v>tier - 1</v>
      </c>
      <c r="M570" t="s">
        <v>16</v>
      </c>
      <c r="N570" t="str">
        <f t="shared" si="43"/>
        <v>R1013</v>
      </c>
      <c r="O570" t="s">
        <v>13</v>
      </c>
    </row>
    <row r="571" spans="1:15" x14ac:dyDescent="0.35">
      <c r="A571" t="s">
        <v>602</v>
      </c>
      <c r="C571">
        <f t="shared" si="40"/>
        <v>1973</v>
      </c>
      <c r="D571">
        <v>1973</v>
      </c>
      <c r="E571" t="str">
        <f t="shared" si="44"/>
        <v>Nov</v>
      </c>
      <c r="F571" t="s">
        <v>15</v>
      </c>
      <c r="G571">
        <v>7</v>
      </c>
      <c r="H571">
        <v>0</v>
      </c>
      <c r="I571" s="21">
        <v>4985.22</v>
      </c>
      <c r="J571" t="str">
        <f t="shared" si="41"/>
        <v>tier - 2</v>
      </c>
      <c r="K571" t="s">
        <v>11</v>
      </c>
      <c r="L571" t="str">
        <f t="shared" si="42"/>
        <v>tier - 3</v>
      </c>
      <c r="M571" t="s">
        <v>12</v>
      </c>
      <c r="N571" t="str">
        <f t="shared" si="43"/>
        <v>R1013</v>
      </c>
      <c r="O571" t="s">
        <v>13</v>
      </c>
    </row>
    <row r="572" spans="1:15" x14ac:dyDescent="0.35">
      <c r="A572" t="s">
        <v>603</v>
      </c>
      <c r="C572">
        <f t="shared" si="40"/>
        <v>1988</v>
      </c>
      <c r="D572">
        <v>1988</v>
      </c>
      <c r="E572" t="str">
        <f t="shared" si="44"/>
        <v>Jun</v>
      </c>
      <c r="F572" t="s">
        <v>18</v>
      </c>
      <c r="G572">
        <v>24</v>
      </c>
      <c r="H572">
        <v>0</v>
      </c>
      <c r="I572" s="21">
        <v>4992.38</v>
      </c>
      <c r="J572" t="str">
        <f t="shared" si="41"/>
        <v>tier - 2</v>
      </c>
      <c r="K572" t="s">
        <v>11</v>
      </c>
      <c r="L572" t="str">
        <f t="shared" si="42"/>
        <v>tier - 3</v>
      </c>
      <c r="M572" t="s">
        <v>12</v>
      </c>
      <c r="N572" t="str">
        <f t="shared" si="43"/>
        <v>R1024</v>
      </c>
      <c r="O572" t="s">
        <v>247</v>
      </c>
    </row>
    <row r="573" spans="1:15" x14ac:dyDescent="0.35">
      <c r="A573" t="s">
        <v>604</v>
      </c>
      <c r="C573">
        <f t="shared" si="40"/>
        <v>2001</v>
      </c>
      <c r="D573">
        <v>2001</v>
      </c>
      <c r="E573" t="str">
        <f t="shared" si="44"/>
        <v>Oct</v>
      </c>
      <c r="F573" t="s">
        <v>37</v>
      </c>
      <c r="G573">
        <v>5</v>
      </c>
      <c r="H573">
        <v>0</v>
      </c>
      <c r="I573" s="21">
        <v>4999.04</v>
      </c>
      <c r="J573" t="str">
        <f t="shared" si="41"/>
        <v>tier - 2</v>
      </c>
      <c r="K573" t="s">
        <v>11</v>
      </c>
      <c r="L573" t="str">
        <f t="shared" si="42"/>
        <v>tier - 2</v>
      </c>
      <c r="M573" t="s">
        <v>11</v>
      </c>
      <c r="N573" t="str">
        <f t="shared" si="43"/>
        <v>R1011</v>
      </c>
      <c r="O573" t="s">
        <v>42</v>
      </c>
    </row>
    <row r="574" spans="1:15" x14ac:dyDescent="0.35">
      <c r="A574" t="s">
        <v>605</v>
      </c>
      <c r="C574">
        <f t="shared" si="40"/>
        <v>1988</v>
      </c>
      <c r="D574">
        <v>1988</v>
      </c>
      <c r="E574" t="str">
        <f t="shared" si="44"/>
        <v>Sep</v>
      </c>
      <c r="F574" t="s">
        <v>20</v>
      </c>
      <c r="G574">
        <v>4</v>
      </c>
      <c r="H574">
        <v>1</v>
      </c>
      <c r="I574" s="21">
        <v>5002.78</v>
      </c>
      <c r="J574" t="str">
        <f t="shared" si="41"/>
        <v>tier - 2</v>
      </c>
      <c r="K574" t="s">
        <v>11</v>
      </c>
      <c r="L574" t="str">
        <f t="shared" si="42"/>
        <v>tier - 2</v>
      </c>
      <c r="M574" t="s">
        <v>11</v>
      </c>
      <c r="N574" t="str">
        <f t="shared" si="43"/>
        <v>R1013</v>
      </c>
      <c r="O574" t="s">
        <v>13</v>
      </c>
    </row>
    <row r="575" spans="1:15" x14ac:dyDescent="0.35">
      <c r="A575" t="s">
        <v>606</v>
      </c>
      <c r="C575">
        <f t="shared" si="40"/>
        <v>1977</v>
      </c>
      <c r="D575">
        <v>1977</v>
      </c>
      <c r="E575" t="str">
        <f t="shared" si="44"/>
        <v>Jun</v>
      </c>
      <c r="F575" t="s">
        <v>18</v>
      </c>
      <c r="G575">
        <v>9</v>
      </c>
      <c r="H575">
        <v>2</v>
      </c>
      <c r="I575" s="21">
        <v>5003.7700000000004</v>
      </c>
      <c r="J575" t="str">
        <f t="shared" si="41"/>
        <v>tier - 2</v>
      </c>
      <c r="K575" t="s">
        <v>11</v>
      </c>
      <c r="L575" t="str">
        <f t="shared" si="42"/>
        <v>tier - 3</v>
      </c>
      <c r="M575" t="s">
        <v>12</v>
      </c>
      <c r="N575" t="str">
        <f t="shared" si="43"/>
        <v>R1013</v>
      </c>
      <c r="O575" t="s">
        <v>13</v>
      </c>
    </row>
    <row r="576" spans="1:15" x14ac:dyDescent="0.35">
      <c r="A576" t="s">
        <v>607</v>
      </c>
      <c r="C576">
        <f t="shared" si="40"/>
        <v>1988</v>
      </c>
      <c r="D576">
        <v>1988</v>
      </c>
      <c r="E576" t="str">
        <f t="shared" si="44"/>
        <v>Jul</v>
      </c>
      <c r="F576" t="s">
        <v>10</v>
      </c>
      <c r="G576">
        <v>8</v>
      </c>
      <c r="H576">
        <v>1</v>
      </c>
      <c r="I576" s="21">
        <v>5003.8500000000004</v>
      </c>
      <c r="J576" t="str">
        <f t="shared" si="41"/>
        <v>tier - 2</v>
      </c>
      <c r="K576" t="s">
        <v>11</v>
      </c>
      <c r="L576" t="str">
        <f t="shared" si="42"/>
        <v>tier - 3</v>
      </c>
      <c r="M576" t="s">
        <v>12</v>
      </c>
      <c r="N576" t="str">
        <f t="shared" si="43"/>
        <v>R1011</v>
      </c>
      <c r="O576" t="s">
        <v>42</v>
      </c>
    </row>
    <row r="577" spans="1:15" x14ac:dyDescent="0.35">
      <c r="A577" t="s">
        <v>608</v>
      </c>
      <c r="C577">
        <f t="shared" si="40"/>
        <v>1988</v>
      </c>
      <c r="D577">
        <v>1988</v>
      </c>
      <c r="E577" t="str">
        <f t="shared" si="44"/>
        <v>Nov</v>
      </c>
      <c r="F577" t="s">
        <v>15</v>
      </c>
      <c r="G577">
        <v>9</v>
      </c>
      <c r="H577">
        <v>1</v>
      </c>
      <c r="I577" s="21">
        <v>5012.47</v>
      </c>
      <c r="J577" t="str">
        <f t="shared" si="41"/>
        <v>tier - 2</v>
      </c>
      <c r="K577" t="s">
        <v>11</v>
      </c>
      <c r="L577" t="str">
        <f t="shared" si="42"/>
        <v>tier - 3</v>
      </c>
      <c r="M577" t="s">
        <v>12</v>
      </c>
      <c r="N577" t="str">
        <f t="shared" si="43"/>
        <v>R1011</v>
      </c>
      <c r="O577" t="s">
        <v>42</v>
      </c>
    </row>
    <row r="578" spans="1:15" x14ac:dyDescent="0.35">
      <c r="A578" t="s">
        <v>609</v>
      </c>
      <c r="C578">
        <f t="shared" si="40"/>
        <v>1985</v>
      </c>
      <c r="D578">
        <v>1985</v>
      </c>
      <c r="E578" t="str">
        <f t="shared" si="44"/>
        <v>Dec</v>
      </c>
      <c r="F578" t="s">
        <v>30</v>
      </c>
      <c r="G578">
        <v>28</v>
      </c>
      <c r="H578">
        <v>0</v>
      </c>
      <c r="I578" s="21">
        <v>5028.1499999999996</v>
      </c>
      <c r="J578" t="str">
        <f t="shared" si="41"/>
        <v>tier - 1</v>
      </c>
      <c r="K578" t="s">
        <v>16</v>
      </c>
      <c r="L578" t="str">
        <f t="shared" si="42"/>
        <v>tier - 2</v>
      </c>
      <c r="M578" t="s">
        <v>11</v>
      </c>
      <c r="N578" t="str">
        <f t="shared" si="43"/>
        <v>R1012</v>
      </c>
      <c r="O578" t="s">
        <v>23</v>
      </c>
    </row>
    <row r="579" spans="1:15" x14ac:dyDescent="0.35">
      <c r="A579" t="s">
        <v>610</v>
      </c>
      <c r="C579">
        <f t="shared" ref="C579:C642" si="45">IF(OR(D579="?", ISBLANK(D579)), 1983, D579)</f>
        <v>1991</v>
      </c>
      <c r="D579">
        <v>1991</v>
      </c>
      <c r="E579" t="str">
        <f t="shared" si="44"/>
        <v>Sep</v>
      </c>
      <c r="F579" t="s">
        <v>20</v>
      </c>
      <c r="G579">
        <v>10</v>
      </c>
      <c r="H579">
        <v>2</v>
      </c>
      <c r="I579" s="21">
        <v>5031.2700000000004</v>
      </c>
      <c r="J579" t="str">
        <f t="shared" ref="J579:J642" si="46">IF(OR(K579="?", ISBLANK(K579)), "Tier 2", K579)</f>
        <v>tier - 3</v>
      </c>
      <c r="K579" t="s">
        <v>12</v>
      </c>
      <c r="L579" t="str">
        <f t="shared" ref="L579:L642" si="47">IF(OR(M579="?", ISBLANK(M579)), "Tier 2", M579)</f>
        <v>tier - 1</v>
      </c>
      <c r="M579" t="s">
        <v>16</v>
      </c>
      <c r="N579" t="str">
        <f t="shared" ref="N579:N642" si="48">IF(OR(O579="?", ISBLANK(O579)), "Unknown", O579)</f>
        <v>R1016</v>
      </c>
      <c r="O579" t="s">
        <v>168</v>
      </c>
    </row>
    <row r="580" spans="1:15" x14ac:dyDescent="0.35">
      <c r="A580" t="s">
        <v>611</v>
      </c>
      <c r="C580">
        <f t="shared" si="45"/>
        <v>1986</v>
      </c>
      <c r="D580">
        <v>1986</v>
      </c>
      <c r="E580" t="str">
        <f t="shared" ref="E580:E643" si="49">IF(OR(F580="?", ISBLANK(F580)), "Sep", F580)</f>
        <v>Jun</v>
      </c>
      <c r="F580" t="s">
        <v>18</v>
      </c>
      <c r="G580">
        <v>29</v>
      </c>
      <c r="H580">
        <v>3</v>
      </c>
      <c r="I580" s="21">
        <v>5034.1000000000004</v>
      </c>
      <c r="J580" t="str">
        <f t="shared" si="46"/>
        <v>tier - 2</v>
      </c>
      <c r="K580" t="s">
        <v>11</v>
      </c>
      <c r="L580" t="str">
        <f t="shared" si="47"/>
        <v>tier - 2</v>
      </c>
      <c r="M580" t="s">
        <v>11</v>
      </c>
      <c r="N580" t="str">
        <f t="shared" si="48"/>
        <v>R1013</v>
      </c>
      <c r="O580" t="s">
        <v>13</v>
      </c>
    </row>
    <row r="581" spans="1:15" x14ac:dyDescent="0.35">
      <c r="A581" t="s">
        <v>612</v>
      </c>
      <c r="C581">
        <f t="shared" si="45"/>
        <v>1997</v>
      </c>
      <c r="D581">
        <v>1997</v>
      </c>
      <c r="E581" t="str">
        <f t="shared" si="49"/>
        <v>Dec</v>
      </c>
      <c r="F581" t="s">
        <v>30</v>
      </c>
      <c r="G581">
        <v>4</v>
      </c>
      <c r="H581">
        <v>0</v>
      </c>
      <c r="I581" s="21">
        <v>5038.57</v>
      </c>
      <c r="J581" t="str">
        <f t="shared" si="46"/>
        <v>tier - 2</v>
      </c>
      <c r="K581" t="s">
        <v>11</v>
      </c>
      <c r="L581" t="str">
        <f t="shared" si="47"/>
        <v>tier - 2</v>
      </c>
      <c r="M581" t="s">
        <v>11</v>
      </c>
      <c r="N581" t="str">
        <f t="shared" si="48"/>
        <v>R1025</v>
      </c>
      <c r="O581" t="s">
        <v>200</v>
      </c>
    </row>
    <row r="582" spans="1:15" x14ac:dyDescent="0.35">
      <c r="A582" t="s">
        <v>613</v>
      </c>
      <c r="C582">
        <f t="shared" si="45"/>
        <v>2001</v>
      </c>
      <c r="D582">
        <v>2001</v>
      </c>
      <c r="E582" t="str">
        <f t="shared" si="49"/>
        <v>Oct</v>
      </c>
      <c r="F582" t="s">
        <v>37</v>
      </c>
      <c r="G582">
        <v>16</v>
      </c>
      <c r="H582">
        <v>0</v>
      </c>
      <c r="I582" s="21">
        <v>5043.13</v>
      </c>
      <c r="J582" t="str">
        <f t="shared" si="46"/>
        <v>tier - 2</v>
      </c>
      <c r="K582" t="s">
        <v>11</v>
      </c>
      <c r="L582" t="str">
        <f t="shared" si="47"/>
        <v>tier - 3</v>
      </c>
      <c r="M582" t="s">
        <v>12</v>
      </c>
      <c r="N582" t="str">
        <f t="shared" si="48"/>
        <v>R1011</v>
      </c>
      <c r="O582" t="s">
        <v>42</v>
      </c>
    </row>
    <row r="583" spans="1:15" x14ac:dyDescent="0.35">
      <c r="A583" t="s">
        <v>614</v>
      </c>
      <c r="C583">
        <f t="shared" si="45"/>
        <v>1997</v>
      </c>
      <c r="D583">
        <v>1997</v>
      </c>
      <c r="E583" t="str">
        <f t="shared" si="49"/>
        <v>Jul</v>
      </c>
      <c r="F583" t="s">
        <v>10</v>
      </c>
      <c r="G583">
        <v>29</v>
      </c>
      <c r="H583">
        <v>0</v>
      </c>
      <c r="I583" s="21">
        <v>5045.1499999999996</v>
      </c>
      <c r="J583" t="str">
        <f t="shared" si="46"/>
        <v>tier - 2</v>
      </c>
      <c r="K583" t="s">
        <v>11</v>
      </c>
      <c r="L583" t="str">
        <f t="shared" si="47"/>
        <v>tier - 2</v>
      </c>
      <c r="M583" t="s">
        <v>11</v>
      </c>
      <c r="N583" t="str">
        <f t="shared" si="48"/>
        <v>R1012</v>
      </c>
      <c r="O583" t="s">
        <v>23</v>
      </c>
    </row>
    <row r="584" spans="1:15" x14ac:dyDescent="0.35">
      <c r="A584" t="s">
        <v>615</v>
      </c>
      <c r="C584">
        <f t="shared" si="45"/>
        <v>1980</v>
      </c>
      <c r="D584">
        <v>1980</v>
      </c>
      <c r="E584" t="str">
        <f t="shared" si="49"/>
        <v>Sep</v>
      </c>
      <c r="F584" t="s">
        <v>20</v>
      </c>
      <c r="G584">
        <v>7</v>
      </c>
      <c r="H584">
        <v>2</v>
      </c>
      <c r="I584" s="21">
        <v>5054.05</v>
      </c>
      <c r="J584" t="str">
        <f t="shared" si="46"/>
        <v>tier - 2</v>
      </c>
      <c r="K584" t="s">
        <v>11</v>
      </c>
      <c r="L584" t="str">
        <f t="shared" si="47"/>
        <v>tier - 2</v>
      </c>
      <c r="M584" t="s">
        <v>11</v>
      </c>
      <c r="N584" t="str">
        <f t="shared" si="48"/>
        <v>R1013</v>
      </c>
      <c r="O584" t="s">
        <v>13</v>
      </c>
    </row>
    <row r="585" spans="1:15" x14ac:dyDescent="0.35">
      <c r="A585" t="s">
        <v>616</v>
      </c>
      <c r="C585">
        <f t="shared" si="45"/>
        <v>1993</v>
      </c>
      <c r="D585">
        <v>1993</v>
      </c>
      <c r="E585" t="str">
        <f t="shared" si="49"/>
        <v>Jun</v>
      </c>
      <c r="F585" t="s">
        <v>18</v>
      </c>
      <c r="G585">
        <v>11</v>
      </c>
      <c r="H585">
        <v>0</v>
      </c>
      <c r="I585" s="21">
        <v>5059.5600000000004</v>
      </c>
      <c r="J585" t="str">
        <f t="shared" si="46"/>
        <v>tier - 2</v>
      </c>
      <c r="K585" t="s">
        <v>11</v>
      </c>
      <c r="L585" t="str">
        <f t="shared" si="47"/>
        <v>tier - 1</v>
      </c>
      <c r="M585" t="s">
        <v>16</v>
      </c>
      <c r="N585" t="str">
        <f t="shared" si="48"/>
        <v>R1021</v>
      </c>
      <c r="O585" t="s">
        <v>300</v>
      </c>
    </row>
    <row r="586" spans="1:15" x14ac:dyDescent="0.35">
      <c r="A586" t="s">
        <v>617</v>
      </c>
      <c r="C586">
        <f t="shared" si="45"/>
        <v>1978</v>
      </c>
      <c r="D586">
        <v>1978</v>
      </c>
      <c r="E586" t="str">
        <f t="shared" si="49"/>
        <v>Nov</v>
      </c>
      <c r="F586" t="s">
        <v>15</v>
      </c>
      <c r="G586">
        <v>22</v>
      </c>
      <c r="H586">
        <v>2</v>
      </c>
      <c r="I586" s="21">
        <v>5077.1899999999996</v>
      </c>
      <c r="J586" t="str">
        <f t="shared" si="46"/>
        <v>tier - 2</v>
      </c>
      <c r="K586" t="s">
        <v>11</v>
      </c>
      <c r="L586" t="str">
        <f t="shared" si="47"/>
        <v>tier - 3</v>
      </c>
      <c r="M586" t="s">
        <v>12</v>
      </c>
      <c r="N586" t="str">
        <f t="shared" si="48"/>
        <v>R1012</v>
      </c>
      <c r="O586" t="s">
        <v>23</v>
      </c>
    </row>
    <row r="587" spans="1:15" x14ac:dyDescent="0.35">
      <c r="A587" t="s">
        <v>618</v>
      </c>
      <c r="C587">
        <f t="shared" si="45"/>
        <v>1997</v>
      </c>
      <c r="D587">
        <v>1997</v>
      </c>
      <c r="E587" t="str">
        <f t="shared" si="49"/>
        <v>Jul</v>
      </c>
      <c r="F587" t="s">
        <v>10</v>
      </c>
      <c r="G587">
        <v>14</v>
      </c>
      <c r="H587">
        <v>5</v>
      </c>
      <c r="I587" s="21">
        <v>5080.1000000000004</v>
      </c>
      <c r="J587" t="str">
        <f t="shared" si="46"/>
        <v>tier - 3</v>
      </c>
      <c r="K587" t="s">
        <v>12</v>
      </c>
      <c r="L587" t="str">
        <f t="shared" si="47"/>
        <v>tier - 2</v>
      </c>
      <c r="M587" t="s">
        <v>11</v>
      </c>
      <c r="N587" t="str">
        <f t="shared" si="48"/>
        <v>R1011</v>
      </c>
      <c r="O587" t="s">
        <v>42</v>
      </c>
    </row>
    <row r="588" spans="1:15" x14ac:dyDescent="0.35">
      <c r="A588" t="s">
        <v>619</v>
      </c>
      <c r="C588">
        <f t="shared" si="45"/>
        <v>1999</v>
      </c>
      <c r="D588">
        <v>1999</v>
      </c>
      <c r="E588" t="str">
        <f t="shared" si="49"/>
        <v>Jun</v>
      </c>
      <c r="F588" t="s">
        <v>18</v>
      </c>
      <c r="G588">
        <v>19</v>
      </c>
      <c r="H588">
        <v>0</v>
      </c>
      <c r="I588" s="21">
        <v>5087.92</v>
      </c>
      <c r="J588" t="str">
        <f t="shared" si="46"/>
        <v>tier - 2</v>
      </c>
      <c r="K588" t="s">
        <v>11</v>
      </c>
      <c r="L588" t="str">
        <f t="shared" si="47"/>
        <v>tier - 2</v>
      </c>
      <c r="M588" t="s">
        <v>11</v>
      </c>
      <c r="N588" t="str">
        <f t="shared" si="48"/>
        <v>R1026</v>
      </c>
      <c r="O588" t="s">
        <v>535</v>
      </c>
    </row>
    <row r="589" spans="1:15" x14ac:dyDescent="0.35">
      <c r="A589" t="s">
        <v>620</v>
      </c>
      <c r="C589">
        <f t="shared" si="45"/>
        <v>1987</v>
      </c>
      <c r="D589">
        <v>1987</v>
      </c>
      <c r="E589" t="str">
        <f t="shared" si="49"/>
        <v>Nov</v>
      </c>
      <c r="F589" t="s">
        <v>15</v>
      </c>
      <c r="G589">
        <v>18</v>
      </c>
      <c r="H589">
        <v>1</v>
      </c>
      <c r="I589" s="21">
        <v>5116.5</v>
      </c>
      <c r="J589" t="str">
        <f t="shared" si="46"/>
        <v>tier - 2</v>
      </c>
      <c r="K589" t="s">
        <v>11</v>
      </c>
      <c r="L589" t="str">
        <f t="shared" si="47"/>
        <v>tier - 2</v>
      </c>
      <c r="M589" t="s">
        <v>11</v>
      </c>
      <c r="N589" t="str">
        <f t="shared" si="48"/>
        <v>R1012</v>
      </c>
      <c r="O589" t="s">
        <v>23</v>
      </c>
    </row>
    <row r="590" spans="1:15" x14ac:dyDescent="0.35">
      <c r="A590" t="s">
        <v>621</v>
      </c>
      <c r="C590">
        <f t="shared" si="45"/>
        <v>1988</v>
      </c>
      <c r="D590">
        <v>1988</v>
      </c>
      <c r="E590" t="str">
        <f t="shared" si="49"/>
        <v>Nov</v>
      </c>
      <c r="F590" t="s">
        <v>15</v>
      </c>
      <c r="G590">
        <v>1</v>
      </c>
      <c r="H590">
        <v>2</v>
      </c>
      <c r="I590" s="21">
        <v>5124.1899999999996</v>
      </c>
      <c r="J590" t="str">
        <f t="shared" si="46"/>
        <v>tier - 2</v>
      </c>
      <c r="K590" t="s">
        <v>11</v>
      </c>
      <c r="L590" t="str">
        <f t="shared" si="47"/>
        <v>tier - 3</v>
      </c>
      <c r="M590" t="s">
        <v>12</v>
      </c>
      <c r="N590" t="str">
        <f t="shared" si="48"/>
        <v>R1013</v>
      </c>
      <c r="O590" t="s">
        <v>13</v>
      </c>
    </row>
    <row r="591" spans="1:15" x14ac:dyDescent="0.35">
      <c r="A591" t="s">
        <v>622</v>
      </c>
      <c r="C591">
        <f t="shared" si="45"/>
        <v>1987</v>
      </c>
      <c r="D591">
        <v>1987</v>
      </c>
      <c r="E591" t="str">
        <f t="shared" si="49"/>
        <v>Sep</v>
      </c>
      <c r="F591" t="s">
        <v>20</v>
      </c>
      <c r="G591">
        <v>13</v>
      </c>
      <c r="H591">
        <v>1</v>
      </c>
      <c r="I591" s="21">
        <v>5125.22</v>
      </c>
      <c r="J591" t="str">
        <f t="shared" si="46"/>
        <v>tier - 1</v>
      </c>
      <c r="K591" t="s">
        <v>16</v>
      </c>
      <c r="L591" t="str">
        <f t="shared" si="47"/>
        <v>tier - 2</v>
      </c>
      <c r="M591" t="s">
        <v>11</v>
      </c>
      <c r="N591" t="str">
        <f t="shared" si="48"/>
        <v>R1012</v>
      </c>
      <c r="O591" t="s">
        <v>23</v>
      </c>
    </row>
    <row r="592" spans="1:15" x14ac:dyDescent="0.35">
      <c r="A592" t="s">
        <v>623</v>
      </c>
      <c r="C592">
        <f t="shared" si="45"/>
        <v>1988</v>
      </c>
      <c r="D592">
        <v>1988</v>
      </c>
      <c r="E592" t="str">
        <f t="shared" si="49"/>
        <v>Sep</v>
      </c>
      <c r="F592" t="s">
        <v>20</v>
      </c>
      <c r="G592">
        <v>15</v>
      </c>
      <c r="H592">
        <v>3</v>
      </c>
      <c r="I592" s="21">
        <v>5136.75</v>
      </c>
      <c r="J592" t="str">
        <f t="shared" si="46"/>
        <v>tier - 2</v>
      </c>
      <c r="K592" t="s">
        <v>11</v>
      </c>
      <c r="L592" t="str">
        <f t="shared" si="47"/>
        <v>tier - 1</v>
      </c>
      <c r="M592" t="s">
        <v>16</v>
      </c>
      <c r="N592" t="str">
        <f t="shared" si="48"/>
        <v>R1013</v>
      </c>
      <c r="O592" t="s">
        <v>13</v>
      </c>
    </row>
    <row r="593" spans="1:15" x14ac:dyDescent="0.35">
      <c r="A593" t="s">
        <v>624</v>
      </c>
      <c r="C593">
        <f t="shared" si="45"/>
        <v>1993</v>
      </c>
      <c r="D593">
        <v>1993</v>
      </c>
      <c r="E593" t="str">
        <f t="shared" si="49"/>
        <v>Dec</v>
      </c>
      <c r="F593" t="s">
        <v>30</v>
      </c>
      <c r="G593">
        <v>10</v>
      </c>
      <c r="H593">
        <v>3</v>
      </c>
      <c r="I593" s="21">
        <v>5138.26</v>
      </c>
      <c r="J593" t="str">
        <f t="shared" si="46"/>
        <v>tier - 2</v>
      </c>
      <c r="K593" t="s">
        <v>11</v>
      </c>
      <c r="L593" t="str">
        <f t="shared" si="47"/>
        <v>tier - 2</v>
      </c>
      <c r="M593" t="s">
        <v>11</v>
      </c>
      <c r="N593" t="str">
        <f t="shared" si="48"/>
        <v>R1013</v>
      </c>
      <c r="O593" t="s">
        <v>13</v>
      </c>
    </row>
    <row r="594" spans="1:15" x14ac:dyDescent="0.35">
      <c r="A594" t="s">
        <v>625</v>
      </c>
      <c r="C594">
        <f t="shared" si="45"/>
        <v>1984</v>
      </c>
      <c r="D594">
        <v>1984</v>
      </c>
      <c r="E594" t="str">
        <f t="shared" si="49"/>
        <v>Aug</v>
      </c>
      <c r="F594" t="s">
        <v>35</v>
      </c>
      <c r="G594">
        <v>22</v>
      </c>
      <c r="H594">
        <v>3</v>
      </c>
      <c r="I594" s="21">
        <v>5144.18</v>
      </c>
      <c r="J594" t="str">
        <f t="shared" si="46"/>
        <v>tier - 2</v>
      </c>
      <c r="K594" t="s">
        <v>11</v>
      </c>
      <c r="L594" t="str">
        <f t="shared" si="47"/>
        <v>tier - 1</v>
      </c>
      <c r="M594" t="s">
        <v>16</v>
      </c>
      <c r="N594" t="str">
        <f t="shared" si="48"/>
        <v>R1013</v>
      </c>
      <c r="O594" t="s">
        <v>13</v>
      </c>
    </row>
    <row r="595" spans="1:15" x14ac:dyDescent="0.35">
      <c r="A595" t="s">
        <v>626</v>
      </c>
      <c r="C595">
        <f t="shared" si="45"/>
        <v>1990</v>
      </c>
      <c r="D595">
        <v>1990</v>
      </c>
      <c r="E595" t="str">
        <f t="shared" si="49"/>
        <v>Aug</v>
      </c>
      <c r="F595" t="s">
        <v>35</v>
      </c>
      <c r="G595">
        <v>22</v>
      </c>
      <c r="H595">
        <v>1</v>
      </c>
      <c r="I595" s="21">
        <v>5148.55</v>
      </c>
      <c r="J595" t="str">
        <f t="shared" si="46"/>
        <v>tier - 2</v>
      </c>
      <c r="K595" t="s">
        <v>11</v>
      </c>
      <c r="L595" t="str">
        <f t="shared" si="47"/>
        <v>tier - 2</v>
      </c>
      <c r="M595" t="s">
        <v>11</v>
      </c>
      <c r="N595" t="str">
        <f t="shared" si="48"/>
        <v>R1024</v>
      </c>
      <c r="O595" t="s">
        <v>247</v>
      </c>
    </row>
    <row r="596" spans="1:15" x14ac:dyDescent="0.35">
      <c r="A596" t="s">
        <v>627</v>
      </c>
      <c r="C596">
        <f t="shared" si="45"/>
        <v>1990</v>
      </c>
      <c r="D596">
        <v>1990</v>
      </c>
      <c r="E596" t="str">
        <f t="shared" si="49"/>
        <v>Oct</v>
      </c>
      <c r="F596" t="s">
        <v>37</v>
      </c>
      <c r="G596">
        <v>9</v>
      </c>
      <c r="H596">
        <v>2</v>
      </c>
      <c r="I596" s="21">
        <v>5152.13</v>
      </c>
      <c r="J596" t="str">
        <f t="shared" si="46"/>
        <v>tier - 2</v>
      </c>
      <c r="K596" t="s">
        <v>11</v>
      </c>
      <c r="L596" t="str">
        <f t="shared" si="47"/>
        <v>tier - 2</v>
      </c>
      <c r="M596" t="s">
        <v>11</v>
      </c>
      <c r="N596" t="str">
        <f t="shared" si="48"/>
        <v>R1011</v>
      </c>
      <c r="O596" t="s">
        <v>42</v>
      </c>
    </row>
    <row r="597" spans="1:15" x14ac:dyDescent="0.35">
      <c r="A597" t="s">
        <v>628</v>
      </c>
      <c r="C597">
        <f t="shared" si="45"/>
        <v>1991</v>
      </c>
      <c r="D597">
        <v>1991</v>
      </c>
      <c r="E597" t="str">
        <f t="shared" si="49"/>
        <v>Aug</v>
      </c>
      <c r="F597" t="s">
        <v>35</v>
      </c>
      <c r="G597">
        <v>29</v>
      </c>
      <c r="H597">
        <v>3</v>
      </c>
      <c r="I597" s="21">
        <v>5166.96</v>
      </c>
      <c r="J597" t="str">
        <f t="shared" si="46"/>
        <v>tier - 2</v>
      </c>
      <c r="K597" t="s">
        <v>11</v>
      </c>
      <c r="L597" t="str">
        <f t="shared" si="47"/>
        <v>tier - 2</v>
      </c>
      <c r="M597" t="s">
        <v>11</v>
      </c>
      <c r="N597" t="str">
        <f t="shared" si="48"/>
        <v>R1012</v>
      </c>
      <c r="O597" t="s">
        <v>23</v>
      </c>
    </row>
    <row r="598" spans="1:15" x14ac:dyDescent="0.35">
      <c r="A598" t="s">
        <v>629</v>
      </c>
      <c r="C598">
        <f t="shared" si="45"/>
        <v>1984</v>
      </c>
      <c r="D598">
        <v>1984</v>
      </c>
      <c r="E598" t="str">
        <f t="shared" si="49"/>
        <v>Oct</v>
      </c>
      <c r="F598" t="s">
        <v>37</v>
      </c>
      <c r="G598">
        <v>16</v>
      </c>
      <c r="H598">
        <v>3</v>
      </c>
      <c r="I598" s="21">
        <v>5177.12</v>
      </c>
      <c r="J598" t="str">
        <f t="shared" si="46"/>
        <v>tier - 2</v>
      </c>
      <c r="K598" t="s">
        <v>11</v>
      </c>
      <c r="L598" t="str">
        <f t="shared" si="47"/>
        <v>tier - 1</v>
      </c>
      <c r="M598" t="s">
        <v>16</v>
      </c>
      <c r="N598" t="str">
        <f t="shared" si="48"/>
        <v>R1013</v>
      </c>
      <c r="O598" t="s">
        <v>13</v>
      </c>
    </row>
    <row r="599" spans="1:15" x14ac:dyDescent="0.35">
      <c r="A599" t="s">
        <v>630</v>
      </c>
      <c r="C599">
        <f t="shared" si="45"/>
        <v>1979</v>
      </c>
      <c r="D599">
        <v>1979</v>
      </c>
      <c r="E599" t="str">
        <f t="shared" si="49"/>
        <v>Sep</v>
      </c>
      <c r="F599" t="s">
        <v>20</v>
      </c>
      <c r="G599">
        <v>12</v>
      </c>
      <c r="H599">
        <v>2</v>
      </c>
      <c r="I599" s="21">
        <v>5195.58</v>
      </c>
      <c r="J599" t="str">
        <f t="shared" si="46"/>
        <v>tier - 2</v>
      </c>
      <c r="K599" t="s">
        <v>11</v>
      </c>
      <c r="L599" t="str">
        <f t="shared" si="47"/>
        <v>tier - 2</v>
      </c>
      <c r="M599" t="s">
        <v>11</v>
      </c>
      <c r="N599" t="str">
        <f t="shared" si="48"/>
        <v>R1013</v>
      </c>
      <c r="O599" t="s">
        <v>13</v>
      </c>
    </row>
    <row r="600" spans="1:15" x14ac:dyDescent="0.35">
      <c r="A600" t="s">
        <v>631</v>
      </c>
      <c r="C600">
        <f t="shared" si="45"/>
        <v>2004</v>
      </c>
      <c r="D600">
        <v>2004</v>
      </c>
      <c r="E600" t="str">
        <f t="shared" si="49"/>
        <v>Jun</v>
      </c>
      <c r="F600" t="s">
        <v>18</v>
      </c>
      <c r="G600">
        <v>6</v>
      </c>
      <c r="H600">
        <v>0</v>
      </c>
      <c r="I600" s="21">
        <v>5198.6899999999996</v>
      </c>
      <c r="J600" t="str">
        <f t="shared" si="46"/>
        <v>tier - 2</v>
      </c>
      <c r="K600" t="s">
        <v>11</v>
      </c>
      <c r="L600" t="str">
        <f t="shared" si="47"/>
        <v>tier - 2</v>
      </c>
      <c r="M600" t="s">
        <v>11</v>
      </c>
      <c r="N600" t="str">
        <f t="shared" si="48"/>
        <v>R1022</v>
      </c>
      <c r="O600" t="s">
        <v>632</v>
      </c>
    </row>
    <row r="601" spans="1:15" x14ac:dyDescent="0.35">
      <c r="A601" t="s">
        <v>633</v>
      </c>
      <c r="C601">
        <f t="shared" si="45"/>
        <v>1983</v>
      </c>
      <c r="D601">
        <v>1983</v>
      </c>
      <c r="E601" t="str">
        <f t="shared" si="49"/>
        <v>Oct</v>
      </c>
      <c r="F601" t="s">
        <v>37</v>
      </c>
      <c r="G601">
        <v>24</v>
      </c>
      <c r="H601">
        <v>3</v>
      </c>
      <c r="I601" s="21">
        <v>5207.97</v>
      </c>
      <c r="J601" t="str">
        <f t="shared" si="46"/>
        <v>tier - 2</v>
      </c>
      <c r="K601" t="s">
        <v>11</v>
      </c>
      <c r="L601" t="str">
        <f t="shared" si="47"/>
        <v>tier - 2</v>
      </c>
      <c r="M601" t="s">
        <v>11</v>
      </c>
      <c r="N601" t="str">
        <f t="shared" si="48"/>
        <v>R1012</v>
      </c>
      <c r="O601" t="s">
        <v>23</v>
      </c>
    </row>
    <row r="602" spans="1:15" x14ac:dyDescent="0.35">
      <c r="A602" t="s">
        <v>634</v>
      </c>
      <c r="C602">
        <f t="shared" si="45"/>
        <v>1993</v>
      </c>
      <c r="D602">
        <v>1993</v>
      </c>
      <c r="E602" t="str">
        <f t="shared" si="49"/>
        <v>Jun</v>
      </c>
      <c r="F602" t="s">
        <v>18</v>
      </c>
      <c r="G602">
        <v>17</v>
      </c>
      <c r="H602">
        <v>3</v>
      </c>
      <c r="I602" s="21">
        <v>5209.58</v>
      </c>
      <c r="J602" t="str">
        <f t="shared" si="46"/>
        <v>tier - 3</v>
      </c>
      <c r="K602" t="s">
        <v>12</v>
      </c>
      <c r="L602" t="str">
        <f t="shared" si="47"/>
        <v>tier - 3</v>
      </c>
      <c r="M602" t="s">
        <v>12</v>
      </c>
      <c r="N602" t="str">
        <f t="shared" si="48"/>
        <v>R1017</v>
      </c>
      <c r="O602" t="s">
        <v>356</v>
      </c>
    </row>
    <row r="603" spans="1:15" x14ac:dyDescent="0.35">
      <c r="A603" t="s">
        <v>635</v>
      </c>
      <c r="C603">
        <f t="shared" si="45"/>
        <v>1999</v>
      </c>
      <c r="D603">
        <v>1999</v>
      </c>
      <c r="E603" t="str">
        <f t="shared" si="49"/>
        <v>Dec</v>
      </c>
      <c r="F603" t="s">
        <v>30</v>
      </c>
      <c r="G603">
        <v>1</v>
      </c>
      <c r="H603">
        <v>0</v>
      </c>
      <c r="I603" s="21">
        <v>5213.22</v>
      </c>
      <c r="J603" t="str">
        <f t="shared" si="46"/>
        <v>tier - 2</v>
      </c>
      <c r="K603" t="s">
        <v>11</v>
      </c>
      <c r="L603" t="str">
        <f t="shared" si="47"/>
        <v>tier - 1</v>
      </c>
      <c r="M603" t="s">
        <v>16</v>
      </c>
      <c r="N603" t="str">
        <f t="shared" si="48"/>
        <v>R1012</v>
      </c>
      <c r="O603" t="s">
        <v>23</v>
      </c>
    </row>
    <row r="604" spans="1:15" x14ac:dyDescent="0.35">
      <c r="A604" t="s">
        <v>636</v>
      </c>
      <c r="C604">
        <f t="shared" si="45"/>
        <v>1995</v>
      </c>
      <c r="D604">
        <v>1995</v>
      </c>
      <c r="E604" t="str">
        <f t="shared" si="49"/>
        <v>Jun</v>
      </c>
      <c r="F604" t="s">
        <v>18</v>
      </c>
      <c r="G604">
        <v>6</v>
      </c>
      <c r="H604">
        <v>0</v>
      </c>
      <c r="I604" s="21">
        <v>5216.4799999999996</v>
      </c>
      <c r="J604" t="str">
        <f t="shared" si="46"/>
        <v>tier - 2</v>
      </c>
      <c r="K604" t="s">
        <v>11</v>
      </c>
      <c r="L604" t="str">
        <f t="shared" si="47"/>
        <v>tier - 2</v>
      </c>
      <c r="M604" t="s">
        <v>11</v>
      </c>
      <c r="N604" t="str">
        <f t="shared" si="48"/>
        <v>R1025</v>
      </c>
      <c r="O604" t="s">
        <v>200</v>
      </c>
    </row>
    <row r="605" spans="1:15" x14ac:dyDescent="0.35">
      <c r="A605" t="s">
        <v>637</v>
      </c>
      <c r="C605">
        <f t="shared" si="45"/>
        <v>1987</v>
      </c>
      <c r="D605">
        <v>1987</v>
      </c>
      <c r="E605" t="str">
        <f t="shared" si="49"/>
        <v>Jun</v>
      </c>
      <c r="F605" t="s">
        <v>18</v>
      </c>
      <c r="G605">
        <v>29</v>
      </c>
      <c r="H605">
        <v>0</v>
      </c>
      <c r="I605" s="21">
        <v>5227.99</v>
      </c>
      <c r="J605" t="str">
        <f t="shared" si="46"/>
        <v>tier - 2</v>
      </c>
      <c r="K605" t="s">
        <v>11</v>
      </c>
      <c r="L605" t="str">
        <f t="shared" si="47"/>
        <v>tier - 1</v>
      </c>
      <c r="M605" t="s">
        <v>16</v>
      </c>
      <c r="N605" t="str">
        <f t="shared" si="48"/>
        <v>R1024</v>
      </c>
      <c r="O605" t="s">
        <v>247</v>
      </c>
    </row>
    <row r="606" spans="1:15" x14ac:dyDescent="0.35">
      <c r="A606" t="s">
        <v>638</v>
      </c>
      <c r="C606">
        <f t="shared" si="45"/>
        <v>1987</v>
      </c>
      <c r="D606">
        <v>1987</v>
      </c>
      <c r="E606" t="str">
        <f t="shared" si="49"/>
        <v>Dec</v>
      </c>
      <c r="F606" t="s">
        <v>30</v>
      </c>
      <c r="G606">
        <v>26</v>
      </c>
      <c r="H606">
        <v>1</v>
      </c>
      <c r="I606" s="21">
        <v>5240.7700000000004</v>
      </c>
      <c r="J606" t="str">
        <f t="shared" si="46"/>
        <v>tier - 2</v>
      </c>
      <c r="K606" t="s">
        <v>11</v>
      </c>
      <c r="L606" t="str">
        <f t="shared" si="47"/>
        <v>tier - 2</v>
      </c>
      <c r="M606" t="s">
        <v>11</v>
      </c>
      <c r="N606" t="str">
        <f t="shared" si="48"/>
        <v>R1011</v>
      </c>
      <c r="O606" t="s">
        <v>42</v>
      </c>
    </row>
    <row r="607" spans="1:15" x14ac:dyDescent="0.35">
      <c r="A607" t="s">
        <v>639</v>
      </c>
      <c r="C607">
        <f t="shared" si="45"/>
        <v>1987</v>
      </c>
      <c r="D607">
        <v>1987</v>
      </c>
      <c r="E607" t="str">
        <f t="shared" si="49"/>
        <v>Jul</v>
      </c>
      <c r="F607" t="s">
        <v>10</v>
      </c>
      <c r="G607">
        <v>5</v>
      </c>
      <c r="H607">
        <v>1</v>
      </c>
      <c r="I607" s="21">
        <v>5245.23</v>
      </c>
      <c r="J607" t="str">
        <f t="shared" si="46"/>
        <v>tier - 2</v>
      </c>
      <c r="K607" t="s">
        <v>11</v>
      </c>
      <c r="L607" t="str">
        <f t="shared" si="47"/>
        <v>tier - 2</v>
      </c>
      <c r="M607" t="s">
        <v>11</v>
      </c>
      <c r="N607" t="str">
        <f t="shared" si="48"/>
        <v>R1013</v>
      </c>
      <c r="O607" t="s">
        <v>13</v>
      </c>
    </row>
    <row r="608" spans="1:15" x14ac:dyDescent="0.35">
      <c r="A608" t="s">
        <v>640</v>
      </c>
      <c r="C608">
        <f t="shared" si="45"/>
        <v>1987</v>
      </c>
      <c r="D608">
        <v>1987</v>
      </c>
      <c r="E608" t="str">
        <f t="shared" si="49"/>
        <v>Sep</v>
      </c>
      <c r="F608" t="s">
        <v>20</v>
      </c>
      <c r="G608">
        <v>9</v>
      </c>
      <c r="H608">
        <v>1</v>
      </c>
      <c r="I608" s="21">
        <v>5246.05</v>
      </c>
      <c r="J608" t="str">
        <f t="shared" si="46"/>
        <v>tier - 2</v>
      </c>
      <c r="K608" t="s">
        <v>11</v>
      </c>
      <c r="L608" t="str">
        <f t="shared" si="47"/>
        <v>tier - 3</v>
      </c>
      <c r="M608" t="s">
        <v>12</v>
      </c>
      <c r="N608" t="str">
        <f t="shared" si="48"/>
        <v>R1011</v>
      </c>
      <c r="O608" t="s">
        <v>42</v>
      </c>
    </row>
    <row r="609" spans="1:15" x14ac:dyDescent="0.35">
      <c r="A609" t="s">
        <v>641</v>
      </c>
      <c r="C609">
        <f t="shared" si="45"/>
        <v>1990</v>
      </c>
      <c r="D609">
        <v>1990</v>
      </c>
      <c r="E609" t="str">
        <f t="shared" si="49"/>
        <v>Jul</v>
      </c>
      <c r="F609" t="s">
        <v>10</v>
      </c>
      <c r="G609">
        <v>6</v>
      </c>
      <c r="H609">
        <v>3</v>
      </c>
      <c r="I609" s="21">
        <v>5253.52</v>
      </c>
      <c r="J609" t="str">
        <f t="shared" si="46"/>
        <v>tier - 3</v>
      </c>
      <c r="K609" t="s">
        <v>12</v>
      </c>
      <c r="L609" t="str">
        <f t="shared" si="47"/>
        <v>tier - 3</v>
      </c>
      <c r="M609" t="s">
        <v>12</v>
      </c>
      <c r="N609" t="str">
        <f t="shared" si="48"/>
        <v>R1011</v>
      </c>
      <c r="O609" t="s">
        <v>42</v>
      </c>
    </row>
    <row r="610" spans="1:15" x14ac:dyDescent="0.35">
      <c r="A610" t="s">
        <v>642</v>
      </c>
      <c r="C610">
        <f t="shared" si="45"/>
        <v>1989</v>
      </c>
      <c r="D610">
        <v>1989</v>
      </c>
      <c r="E610" t="str">
        <f t="shared" si="49"/>
        <v>Nov</v>
      </c>
      <c r="F610" t="s">
        <v>15</v>
      </c>
      <c r="G610">
        <v>25</v>
      </c>
      <c r="H610">
        <v>2</v>
      </c>
      <c r="I610" s="21">
        <v>5257.51</v>
      </c>
      <c r="J610" t="str">
        <f t="shared" si="46"/>
        <v>tier - 2</v>
      </c>
      <c r="K610" t="s">
        <v>11</v>
      </c>
      <c r="L610" t="str">
        <f t="shared" si="47"/>
        <v>tier - 2</v>
      </c>
      <c r="M610" t="s">
        <v>11</v>
      </c>
      <c r="N610" t="str">
        <f t="shared" si="48"/>
        <v>R1012</v>
      </c>
      <c r="O610" t="s">
        <v>23</v>
      </c>
    </row>
    <row r="611" spans="1:15" x14ac:dyDescent="0.35">
      <c r="A611" t="s">
        <v>643</v>
      </c>
      <c r="C611">
        <f t="shared" si="45"/>
        <v>1989</v>
      </c>
      <c r="D611">
        <v>1989</v>
      </c>
      <c r="E611" t="str">
        <f t="shared" si="49"/>
        <v>Jul</v>
      </c>
      <c r="F611" t="s">
        <v>10</v>
      </c>
      <c r="G611">
        <v>19</v>
      </c>
      <c r="H611">
        <v>2</v>
      </c>
      <c r="I611" s="21">
        <v>5261.47</v>
      </c>
      <c r="J611" t="str">
        <f t="shared" si="46"/>
        <v>tier - 2</v>
      </c>
      <c r="K611" t="s">
        <v>11</v>
      </c>
      <c r="L611" t="str">
        <f t="shared" si="47"/>
        <v>tier - 2</v>
      </c>
      <c r="M611" t="s">
        <v>11</v>
      </c>
      <c r="N611" t="str">
        <f t="shared" si="48"/>
        <v>R1012</v>
      </c>
      <c r="O611" t="s">
        <v>23</v>
      </c>
    </row>
    <row r="612" spans="1:15" x14ac:dyDescent="0.35">
      <c r="A612" t="s">
        <v>644</v>
      </c>
      <c r="C612">
        <f t="shared" si="45"/>
        <v>1986</v>
      </c>
      <c r="D612">
        <v>1986</v>
      </c>
      <c r="E612" t="str">
        <f t="shared" si="49"/>
        <v>Oct</v>
      </c>
      <c r="F612" t="s">
        <v>37</v>
      </c>
      <c r="G612">
        <v>25</v>
      </c>
      <c r="H612">
        <v>0</v>
      </c>
      <c r="I612" s="21">
        <v>5266.37</v>
      </c>
      <c r="J612" t="str">
        <f t="shared" si="46"/>
        <v>tier - 2</v>
      </c>
      <c r="K612" t="s">
        <v>11</v>
      </c>
      <c r="L612" t="str">
        <f t="shared" si="47"/>
        <v>tier - 2</v>
      </c>
      <c r="M612" t="s">
        <v>11</v>
      </c>
      <c r="N612" t="str">
        <f t="shared" si="48"/>
        <v>R1012</v>
      </c>
      <c r="O612" t="s">
        <v>23</v>
      </c>
    </row>
    <row r="613" spans="1:15" x14ac:dyDescent="0.35">
      <c r="A613" t="s">
        <v>645</v>
      </c>
      <c r="C613">
        <f t="shared" si="45"/>
        <v>1986</v>
      </c>
      <c r="D613">
        <v>1986</v>
      </c>
      <c r="E613" t="str">
        <f t="shared" si="49"/>
        <v>Sep</v>
      </c>
      <c r="F613" t="s">
        <v>20</v>
      </c>
      <c r="G613">
        <v>20</v>
      </c>
      <c r="H613">
        <v>0</v>
      </c>
      <c r="I613" s="21">
        <v>5267.82</v>
      </c>
      <c r="J613" t="str">
        <f t="shared" si="46"/>
        <v>tier - 2</v>
      </c>
      <c r="K613" t="s">
        <v>11</v>
      </c>
      <c r="L613" t="str">
        <f t="shared" si="47"/>
        <v>tier - 2</v>
      </c>
      <c r="M613" t="s">
        <v>11</v>
      </c>
      <c r="N613" t="str">
        <f t="shared" si="48"/>
        <v>R1012</v>
      </c>
      <c r="O613" t="s">
        <v>23</v>
      </c>
    </row>
    <row r="614" spans="1:15" x14ac:dyDescent="0.35">
      <c r="A614" t="s">
        <v>646</v>
      </c>
      <c r="C614">
        <f t="shared" si="45"/>
        <v>1986</v>
      </c>
      <c r="D614">
        <v>1986</v>
      </c>
      <c r="E614" t="str">
        <f t="shared" si="49"/>
        <v>Oct</v>
      </c>
      <c r="F614" t="s">
        <v>37</v>
      </c>
      <c r="G614">
        <v>20</v>
      </c>
      <c r="H614">
        <v>0</v>
      </c>
      <c r="I614" s="21">
        <v>5272.18</v>
      </c>
      <c r="J614" t="str">
        <f t="shared" si="46"/>
        <v>tier - 2</v>
      </c>
      <c r="K614" t="s">
        <v>11</v>
      </c>
      <c r="L614" t="str">
        <f t="shared" si="47"/>
        <v>tier - 3</v>
      </c>
      <c r="M614" t="s">
        <v>12</v>
      </c>
      <c r="N614" t="str">
        <f t="shared" si="48"/>
        <v>R1012</v>
      </c>
      <c r="O614" t="s">
        <v>23</v>
      </c>
    </row>
    <row r="615" spans="1:15" x14ac:dyDescent="0.35">
      <c r="A615" t="s">
        <v>647</v>
      </c>
      <c r="C615">
        <f t="shared" si="45"/>
        <v>1987</v>
      </c>
      <c r="D615">
        <v>1987</v>
      </c>
      <c r="E615" t="str">
        <f t="shared" si="49"/>
        <v>Sep</v>
      </c>
      <c r="F615" t="s">
        <v>20</v>
      </c>
      <c r="G615">
        <v>1</v>
      </c>
      <c r="H615">
        <v>3</v>
      </c>
      <c r="I615" s="21">
        <v>5275.86</v>
      </c>
      <c r="J615" t="str">
        <f t="shared" si="46"/>
        <v>tier - 2</v>
      </c>
      <c r="K615" t="s">
        <v>11</v>
      </c>
      <c r="L615" t="str">
        <f t="shared" si="47"/>
        <v>tier - 2</v>
      </c>
      <c r="M615" t="s">
        <v>11</v>
      </c>
      <c r="N615" t="str">
        <f t="shared" si="48"/>
        <v>R1013</v>
      </c>
      <c r="O615" t="s">
        <v>13</v>
      </c>
    </row>
    <row r="616" spans="1:15" x14ac:dyDescent="0.35">
      <c r="A616" t="s">
        <v>648</v>
      </c>
      <c r="C616">
        <f t="shared" si="45"/>
        <v>1974</v>
      </c>
      <c r="D616">
        <v>1974</v>
      </c>
      <c r="E616" t="str">
        <f t="shared" si="49"/>
        <v>Nov</v>
      </c>
      <c r="F616" t="s">
        <v>15</v>
      </c>
      <c r="G616">
        <v>12</v>
      </c>
      <c r="H616">
        <v>0</v>
      </c>
      <c r="I616" s="21">
        <v>5291.71</v>
      </c>
      <c r="J616" t="str">
        <f t="shared" si="46"/>
        <v>tier - 2</v>
      </c>
      <c r="K616" t="s">
        <v>11</v>
      </c>
      <c r="L616" t="str">
        <f t="shared" si="47"/>
        <v>tier - 2</v>
      </c>
      <c r="M616" t="s">
        <v>11</v>
      </c>
      <c r="N616" t="str">
        <f t="shared" si="48"/>
        <v>R1012</v>
      </c>
      <c r="O616" t="s">
        <v>23</v>
      </c>
    </row>
    <row r="617" spans="1:15" x14ac:dyDescent="0.35">
      <c r="A617" t="s">
        <v>649</v>
      </c>
      <c r="C617">
        <f t="shared" si="45"/>
        <v>2004</v>
      </c>
      <c r="D617">
        <v>2004</v>
      </c>
      <c r="E617" t="str">
        <f t="shared" si="49"/>
        <v>Aug</v>
      </c>
      <c r="F617" t="s">
        <v>35</v>
      </c>
      <c r="G617">
        <v>22</v>
      </c>
      <c r="H617">
        <v>0</v>
      </c>
      <c r="I617" s="21">
        <v>5293.67</v>
      </c>
      <c r="J617" t="str">
        <f t="shared" si="46"/>
        <v>tier - 2</v>
      </c>
      <c r="K617" t="s">
        <v>11</v>
      </c>
      <c r="L617" t="str">
        <f t="shared" si="47"/>
        <v>tier - 2</v>
      </c>
      <c r="M617" t="s">
        <v>11</v>
      </c>
      <c r="N617" t="str">
        <f t="shared" si="48"/>
        <v>R1022</v>
      </c>
      <c r="O617" t="s">
        <v>632</v>
      </c>
    </row>
    <row r="618" spans="1:15" x14ac:dyDescent="0.35">
      <c r="A618" t="s">
        <v>650</v>
      </c>
      <c r="C618">
        <f t="shared" si="45"/>
        <v>2000</v>
      </c>
      <c r="D618">
        <v>2000</v>
      </c>
      <c r="E618" t="str">
        <f t="shared" si="49"/>
        <v>Sep</v>
      </c>
      <c r="F618" t="s">
        <v>20</v>
      </c>
      <c r="G618">
        <v>9</v>
      </c>
      <c r="H618">
        <v>0</v>
      </c>
      <c r="I618" s="21">
        <v>5306.7</v>
      </c>
      <c r="J618" t="str">
        <f t="shared" si="46"/>
        <v>tier - 2</v>
      </c>
      <c r="K618" t="s">
        <v>11</v>
      </c>
      <c r="L618" t="str">
        <f t="shared" si="47"/>
        <v>tier - 3</v>
      </c>
      <c r="M618" t="s">
        <v>12</v>
      </c>
      <c r="N618" t="str">
        <f t="shared" si="48"/>
        <v>R1012</v>
      </c>
      <c r="O618" t="s">
        <v>23</v>
      </c>
    </row>
    <row r="619" spans="1:15" x14ac:dyDescent="0.35">
      <c r="A619" t="s">
        <v>651</v>
      </c>
      <c r="C619">
        <f t="shared" si="45"/>
        <v>1994</v>
      </c>
      <c r="D619">
        <v>1994</v>
      </c>
      <c r="E619" t="str">
        <f t="shared" si="49"/>
        <v>Nov</v>
      </c>
      <c r="F619" t="s">
        <v>15</v>
      </c>
      <c r="G619">
        <v>13</v>
      </c>
      <c r="H619">
        <v>3</v>
      </c>
      <c r="I619" s="21">
        <v>5312.17</v>
      </c>
      <c r="J619" t="str">
        <f t="shared" si="46"/>
        <v>tier - 2</v>
      </c>
      <c r="K619" t="s">
        <v>11</v>
      </c>
      <c r="L619" t="str">
        <f t="shared" si="47"/>
        <v>tier - 2</v>
      </c>
      <c r="M619" t="s">
        <v>11</v>
      </c>
      <c r="N619" t="str">
        <f t="shared" si="48"/>
        <v>R1012</v>
      </c>
      <c r="O619" t="s">
        <v>23</v>
      </c>
    </row>
    <row r="620" spans="1:15" x14ac:dyDescent="0.35">
      <c r="A620" t="s">
        <v>652</v>
      </c>
      <c r="C620">
        <f t="shared" si="45"/>
        <v>1974</v>
      </c>
      <c r="D620">
        <v>1974</v>
      </c>
      <c r="E620" t="str">
        <f t="shared" si="49"/>
        <v>Sep</v>
      </c>
      <c r="F620" t="s">
        <v>20</v>
      </c>
      <c r="G620">
        <v>2</v>
      </c>
      <c r="H620">
        <v>0</v>
      </c>
      <c r="I620" s="21">
        <v>5322.24</v>
      </c>
      <c r="J620" t="str">
        <f t="shared" si="46"/>
        <v>tier - 2</v>
      </c>
      <c r="K620" t="s">
        <v>11</v>
      </c>
      <c r="L620" t="str">
        <f t="shared" si="47"/>
        <v>tier - 1</v>
      </c>
      <c r="M620" t="s">
        <v>16</v>
      </c>
      <c r="N620" t="str">
        <f t="shared" si="48"/>
        <v>R1012</v>
      </c>
      <c r="O620" t="s">
        <v>23</v>
      </c>
    </row>
    <row r="621" spans="1:15" x14ac:dyDescent="0.35">
      <c r="A621" t="s">
        <v>653</v>
      </c>
      <c r="C621">
        <f t="shared" si="45"/>
        <v>1992</v>
      </c>
      <c r="D621">
        <v>1992</v>
      </c>
      <c r="E621" t="str">
        <f t="shared" si="49"/>
        <v>Jun</v>
      </c>
      <c r="F621" t="s">
        <v>18</v>
      </c>
      <c r="G621">
        <v>18</v>
      </c>
      <c r="H621">
        <v>3</v>
      </c>
      <c r="I621" s="21">
        <v>5325.65</v>
      </c>
      <c r="J621" t="str">
        <f t="shared" si="46"/>
        <v>tier - 2</v>
      </c>
      <c r="K621" t="s">
        <v>11</v>
      </c>
      <c r="L621" t="str">
        <f t="shared" si="47"/>
        <v>tier - 1</v>
      </c>
      <c r="M621" t="s">
        <v>16</v>
      </c>
      <c r="N621" t="str">
        <f t="shared" si="48"/>
        <v>R1011</v>
      </c>
      <c r="O621" t="s">
        <v>42</v>
      </c>
    </row>
    <row r="622" spans="1:15" x14ac:dyDescent="0.35">
      <c r="A622" t="s">
        <v>654</v>
      </c>
      <c r="C622">
        <f t="shared" si="45"/>
        <v>1991</v>
      </c>
      <c r="D622">
        <v>1991</v>
      </c>
      <c r="E622" t="str">
        <f t="shared" si="49"/>
        <v>Aug</v>
      </c>
      <c r="F622" t="s">
        <v>35</v>
      </c>
      <c r="G622">
        <v>28</v>
      </c>
      <c r="H622">
        <v>2</v>
      </c>
      <c r="I622" s="21">
        <v>5327.4</v>
      </c>
      <c r="J622" t="str">
        <f t="shared" si="46"/>
        <v>tier - 2</v>
      </c>
      <c r="K622" t="s">
        <v>11</v>
      </c>
      <c r="L622" t="str">
        <f t="shared" si="47"/>
        <v>tier - 1</v>
      </c>
      <c r="M622" t="s">
        <v>16</v>
      </c>
      <c r="N622" t="str">
        <f t="shared" si="48"/>
        <v>R1012</v>
      </c>
      <c r="O622" t="s">
        <v>23</v>
      </c>
    </row>
    <row r="623" spans="1:15" x14ac:dyDescent="0.35">
      <c r="A623" t="s">
        <v>655</v>
      </c>
      <c r="C623">
        <f t="shared" si="45"/>
        <v>1972</v>
      </c>
      <c r="D623">
        <v>1972</v>
      </c>
      <c r="E623" t="str">
        <f t="shared" si="49"/>
        <v>Dec</v>
      </c>
      <c r="F623" t="s">
        <v>30</v>
      </c>
      <c r="G623">
        <v>15</v>
      </c>
      <c r="H623">
        <v>0</v>
      </c>
      <c r="I623" s="21">
        <v>5344.81</v>
      </c>
      <c r="J623" t="str">
        <f t="shared" si="46"/>
        <v>tier - 2</v>
      </c>
      <c r="K623" t="s">
        <v>11</v>
      </c>
      <c r="L623" t="str">
        <f t="shared" si="47"/>
        <v>tier - 3</v>
      </c>
      <c r="M623" t="s">
        <v>12</v>
      </c>
      <c r="N623" t="str">
        <f t="shared" si="48"/>
        <v>R1013</v>
      </c>
      <c r="O623" t="s">
        <v>13</v>
      </c>
    </row>
    <row r="624" spans="1:15" x14ac:dyDescent="0.35">
      <c r="A624" t="s">
        <v>656</v>
      </c>
      <c r="C624">
        <f t="shared" si="45"/>
        <v>1989</v>
      </c>
      <c r="D624">
        <v>1989</v>
      </c>
      <c r="E624" t="str">
        <f t="shared" si="49"/>
        <v>Nov</v>
      </c>
      <c r="F624" t="s">
        <v>15</v>
      </c>
      <c r="G624">
        <v>7</v>
      </c>
      <c r="H624">
        <v>1</v>
      </c>
      <c r="I624" s="21">
        <v>5354.07</v>
      </c>
      <c r="J624" t="str">
        <f t="shared" si="46"/>
        <v>tier - 2</v>
      </c>
      <c r="K624" t="s">
        <v>11</v>
      </c>
      <c r="L624" t="str">
        <f t="shared" si="47"/>
        <v>tier - 3</v>
      </c>
      <c r="M624" t="s">
        <v>12</v>
      </c>
      <c r="N624" t="str">
        <f t="shared" si="48"/>
        <v>R1024</v>
      </c>
      <c r="O624" t="s">
        <v>247</v>
      </c>
    </row>
    <row r="625" spans="1:15" x14ac:dyDescent="0.35">
      <c r="A625" t="s">
        <v>657</v>
      </c>
      <c r="C625">
        <f t="shared" si="45"/>
        <v>1994</v>
      </c>
      <c r="D625">
        <v>1994</v>
      </c>
      <c r="E625" t="str">
        <f t="shared" si="49"/>
        <v>Dec</v>
      </c>
      <c r="F625" t="s">
        <v>30</v>
      </c>
      <c r="G625">
        <v>7</v>
      </c>
      <c r="H625">
        <v>0</v>
      </c>
      <c r="I625" s="21">
        <v>5364.66</v>
      </c>
      <c r="J625" t="str">
        <f t="shared" si="46"/>
        <v>tier - 2</v>
      </c>
      <c r="K625" t="s">
        <v>11</v>
      </c>
      <c r="L625" t="str">
        <f t="shared" si="47"/>
        <v>tier - 1</v>
      </c>
      <c r="M625" t="s">
        <v>16</v>
      </c>
      <c r="N625" t="str">
        <f t="shared" si="48"/>
        <v>R1011</v>
      </c>
      <c r="O625" t="s">
        <v>42</v>
      </c>
    </row>
    <row r="626" spans="1:15" x14ac:dyDescent="0.35">
      <c r="A626" t="s">
        <v>658</v>
      </c>
      <c r="C626">
        <f t="shared" si="45"/>
        <v>1986</v>
      </c>
      <c r="D626">
        <v>1986</v>
      </c>
      <c r="E626" t="str">
        <f t="shared" si="49"/>
        <v>Jun</v>
      </c>
      <c r="F626" t="s">
        <v>18</v>
      </c>
      <c r="G626">
        <v>1</v>
      </c>
      <c r="H626">
        <v>1</v>
      </c>
      <c r="I626" s="21">
        <v>5373.36</v>
      </c>
      <c r="J626" t="str">
        <f t="shared" si="46"/>
        <v>tier - 2</v>
      </c>
      <c r="K626" t="s">
        <v>11</v>
      </c>
      <c r="L626" t="str">
        <f t="shared" si="47"/>
        <v>tier - 2</v>
      </c>
      <c r="M626" t="s">
        <v>11</v>
      </c>
      <c r="N626" t="str">
        <f t="shared" si="48"/>
        <v>R1012</v>
      </c>
      <c r="O626" t="s">
        <v>23</v>
      </c>
    </row>
    <row r="627" spans="1:15" x14ac:dyDescent="0.35">
      <c r="A627" t="s">
        <v>659</v>
      </c>
      <c r="C627">
        <f t="shared" si="45"/>
        <v>1989</v>
      </c>
      <c r="D627">
        <v>1989</v>
      </c>
      <c r="E627" t="str">
        <f t="shared" si="49"/>
        <v>Nov</v>
      </c>
      <c r="F627" t="s">
        <v>15</v>
      </c>
      <c r="G627">
        <v>18</v>
      </c>
      <c r="H627">
        <v>2</v>
      </c>
      <c r="I627" s="21">
        <v>5375.04</v>
      </c>
      <c r="J627" t="str">
        <f t="shared" si="46"/>
        <v>tier - 2</v>
      </c>
      <c r="K627" t="s">
        <v>11</v>
      </c>
      <c r="L627" t="str">
        <f t="shared" si="47"/>
        <v>tier - 1</v>
      </c>
      <c r="M627" t="s">
        <v>16</v>
      </c>
      <c r="N627" t="str">
        <f t="shared" si="48"/>
        <v>R1011</v>
      </c>
      <c r="O627" t="s">
        <v>42</v>
      </c>
    </row>
    <row r="628" spans="1:15" x14ac:dyDescent="0.35">
      <c r="A628" t="s">
        <v>660</v>
      </c>
      <c r="C628">
        <f t="shared" si="45"/>
        <v>1986</v>
      </c>
      <c r="D628">
        <v>1986</v>
      </c>
      <c r="E628" t="str">
        <f t="shared" si="49"/>
        <v>Jul</v>
      </c>
      <c r="F628" t="s">
        <v>10</v>
      </c>
      <c r="G628">
        <v>22</v>
      </c>
      <c r="H628">
        <v>1</v>
      </c>
      <c r="I628" s="21">
        <v>5377.46</v>
      </c>
      <c r="J628" t="str">
        <f t="shared" si="46"/>
        <v>tier - 2</v>
      </c>
      <c r="K628" t="s">
        <v>11</v>
      </c>
      <c r="L628" t="str">
        <f t="shared" si="47"/>
        <v>tier - 3</v>
      </c>
      <c r="M628" t="s">
        <v>12</v>
      </c>
      <c r="N628" t="str">
        <f t="shared" si="48"/>
        <v>R1012</v>
      </c>
      <c r="O628" t="s">
        <v>23</v>
      </c>
    </row>
    <row r="629" spans="1:15" x14ac:dyDescent="0.35">
      <c r="A629" t="s">
        <v>661</v>
      </c>
      <c r="C629">
        <f t="shared" si="45"/>
        <v>1984</v>
      </c>
      <c r="D629">
        <v>1984</v>
      </c>
      <c r="E629" t="str">
        <f t="shared" si="49"/>
        <v>Jun</v>
      </c>
      <c r="F629" t="s">
        <v>18</v>
      </c>
      <c r="G629">
        <v>1</v>
      </c>
      <c r="H629">
        <v>0</v>
      </c>
      <c r="I629" s="21">
        <v>5383.54</v>
      </c>
      <c r="J629" t="str">
        <f t="shared" si="46"/>
        <v>tier - 2</v>
      </c>
      <c r="K629" t="s">
        <v>11</v>
      </c>
      <c r="L629" t="str">
        <f t="shared" si="47"/>
        <v>tier - 3</v>
      </c>
      <c r="M629" t="s">
        <v>12</v>
      </c>
      <c r="N629" t="str">
        <f t="shared" si="48"/>
        <v>R1011</v>
      </c>
      <c r="O629" t="s">
        <v>42</v>
      </c>
    </row>
    <row r="630" spans="1:15" x14ac:dyDescent="0.35">
      <c r="A630" t="s">
        <v>662</v>
      </c>
      <c r="C630">
        <f t="shared" si="45"/>
        <v>1988</v>
      </c>
      <c r="D630">
        <v>1988</v>
      </c>
      <c r="E630" t="str">
        <f t="shared" si="49"/>
        <v>Aug</v>
      </c>
      <c r="F630" t="s">
        <v>35</v>
      </c>
      <c r="G630">
        <v>8</v>
      </c>
      <c r="H630">
        <v>1</v>
      </c>
      <c r="I630" s="21">
        <v>5385.34</v>
      </c>
      <c r="J630" t="str">
        <f t="shared" si="46"/>
        <v>tier - 2</v>
      </c>
      <c r="K630" t="s">
        <v>11</v>
      </c>
      <c r="L630" t="str">
        <f t="shared" si="47"/>
        <v>tier - 3</v>
      </c>
      <c r="M630" t="s">
        <v>12</v>
      </c>
      <c r="N630" t="str">
        <f t="shared" si="48"/>
        <v>R1012</v>
      </c>
      <c r="O630" t="s">
        <v>23</v>
      </c>
    </row>
    <row r="631" spans="1:15" x14ac:dyDescent="0.35">
      <c r="A631" t="s">
        <v>663</v>
      </c>
      <c r="C631">
        <f t="shared" si="45"/>
        <v>1989</v>
      </c>
      <c r="D631">
        <v>1989</v>
      </c>
      <c r="E631" t="str">
        <f t="shared" si="49"/>
        <v>Nov</v>
      </c>
      <c r="F631" t="s">
        <v>15</v>
      </c>
      <c r="G631">
        <v>6</v>
      </c>
      <c r="H631">
        <v>3</v>
      </c>
      <c r="I631" s="21">
        <v>5396.44</v>
      </c>
      <c r="J631" t="str">
        <f t="shared" si="46"/>
        <v>tier - 2</v>
      </c>
      <c r="K631" t="s">
        <v>11</v>
      </c>
      <c r="L631" t="str">
        <f t="shared" si="47"/>
        <v>tier - 3</v>
      </c>
      <c r="M631" t="s">
        <v>12</v>
      </c>
      <c r="N631" t="str">
        <f t="shared" si="48"/>
        <v>R1013</v>
      </c>
      <c r="O631" t="s">
        <v>13</v>
      </c>
    </row>
    <row r="632" spans="1:15" x14ac:dyDescent="0.35">
      <c r="A632" t="s">
        <v>664</v>
      </c>
      <c r="C632">
        <f t="shared" si="45"/>
        <v>1984</v>
      </c>
      <c r="D632">
        <v>1984</v>
      </c>
      <c r="E632" t="str">
        <f t="shared" si="49"/>
        <v>Sep</v>
      </c>
      <c r="F632" t="s">
        <v>20</v>
      </c>
      <c r="G632">
        <v>3</v>
      </c>
      <c r="H632">
        <v>0</v>
      </c>
      <c r="I632" s="21">
        <v>5397.62</v>
      </c>
      <c r="J632" t="str">
        <f t="shared" si="46"/>
        <v>tier - 2</v>
      </c>
      <c r="K632" t="s">
        <v>11</v>
      </c>
      <c r="L632" t="str">
        <f t="shared" si="47"/>
        <v>tier - 2</v>
      </c>
      <c r="M632" t="s">
        <v>11</v>
      </c>
      <c r="N632" t="str">
        <f t="shared" si="48"/>
        <v>R1013</v>
      </c>
      <c r="O632" t="s">
        <v>13</v>
      </c>
    </row>
    <row r="633" spans="1:15" x14ac:dyDescent="0.35">
      <c r="A633" t="s">
        <v>665</v>
      </c>
      <c r="C633">
        <f t="shared" si="45"/>
        <v>1984</v>
      </c>
      <c r="D633">
        <v>1984</v>
      </c>
      <c r="E633" t="str">
        <f t="shared" si="49"/>
        <v>Aug</v>
      </c>
      <c r="F633" t="s">
        <v>35</v>
      </c>
      <c r="G633">
        <v>1</v>
      </c>
      <c r="H633">
        <v>0</v>
      </c>
      <c r="I633" s="21">
        <v>5400.98</v>
      </c>
      <c r="J633" t="str">
        <f t="shared" si="46"/>
        <v>tier - 2</v>
      </c>
      <c r="K633" t="s">
        <v>11</v>
      </c>
      <c r="L633" t="str">
        <f t="shared" si="47"/>
        <v>tier - 2</v>
      </c>
      <c r="M633" t="s">
        <v>11</v>
      </c>
      <c r="N633" t="str">
        <f t="shared" si="48"/>
        <v>R1013</v>
      </c>
      <c r="O633" t="s">
        <v>13</v>
      </c>
    </row>
    <row r="634" spans="1:15" x14ac:dyDescent="0.35">
      <c r="A634" t="s">
        <v>666</v>
      </c>
      <c r="C634">
        <f t="shared" si="45"/>
        <v>1985</v>
      </c>
      <c r="D634">
        <v>1985</v>
      </c>
      <c r="E634" t="str">
        <f t="shared" si="49"/>
        <v>Dec</v>
      </c>
      <c r="F634" t="s">
        <v>30</v>
      </c>
      <c r="G634">
        <v>23</v>
      </c>
      <c r="H634">
        <v>3</v>
      </c>
      <c r="I634" s="21">
        <v>5402.89</v>
      </c>
      <c r="J634" t="str">
        <f t="shared" si="46"/>
        <v>tier - 2</v>
      </c>
      <c r="K634" t="s">
        <v>11</v>
      </c>
      <c r="L634" t="str">
        <f t="shared" si="47"/>
        <v>tier - 1</v>
      </c>
      <c r="M634" t="s">
        <v>16</v>
      </c>
      <c r="N634" t="str">
        <f t="shared" si="48"/>
        <v>R1013</v>
      </c>
      <c r="O634" t="s">
        <v>13</v>
      </c>
    </row>
    <row r="635" spans="1:15" x14ac:dyDescent="0.35">
      <c r="A635" t="s">
        <v>667</v>
      </c>
      <c r="C635">
        <f t="shared" si="45"/>
        <v>1975</v>
      </c>
      <c r="D635">
        <v>1975</v>
      </c>
      <c r="E635" t="str">
        <f t="shared" si="49"/>
        <v>Sep</v>
      </c>
      <c r="F635" t="s">
        <v>20</v>
      </c>
      <c r="G635">
        <v>27</v>
      </c>
      <c r="H635">
        <v>1</v>
      </c>
      <c r="I635" s="21">
        <v>5411.99</v>
      </c>
      <c r="J635" t="str">
        <f t="shared" si="46"/>
        <v>tier - 2</v>
      </c>
      <c r="K635" t="s">
        <v>11</v>
      </c>
      <c r="L635" t="str">
        <f t="shared" si="47"/>
        <v>tier - 3</v>
      </c>
      <c r="M635" t="s">
        <v>12</v>
      </c>
      <c r="N635" t="str">
        <f t="shared" si="48"/>
        <v>R1012</v>
      </c>
      <c r="O635" t="s">
        <v>23</v>
      </c>
    </row>
    <row r="636" spans="1:15" x14ac:dyDescent="0.35">
      <c r="A636" t="s">
        <v>668</v>
      </c>
      <c r="C636">
        <f t="shared" si="45"/>
        <v>1982</v>
      </c>
      <c r="D636">
        <v>1982</v>
      </c>
      <c r="E636" t="str">
        <f t="shared" si="49"/>
        <v>Sep</v>
      </c>
      <c r="F636" t="s">
        <v>20</v>
      </c>
      <c r="G636">
        <v>27</v>
      </c>
      <c r="H636">
        <v>0</v>
      </c>
      <c r="I636" s="21">
        <v>5415.66</v>
      </c>
      <c r="J636" t="str">
        <f t="shared" si="46"/>
        <v>tier - 2</v>
      </c>
      <c r="K636" t="s">
        <v>11</v>
      </c>
      <c r="L636" t="str">
        <f t="shared" si="47"/>
        <v>tier - 3</v>
      </c>
      <c r="M636" t="s">
        <v>12</v>
      </c>
      <c r="N636" t="str">
        <f t="shared" si="48"/>
        <v>R1013</v>
      </c>
      <c r="O636" t="s">
        <v>13</v>
      </c>
    </row>
    <row r="637" spans="1:15" x14ac:dyDescent="0.35">
      <c r="A637" t="s">
        <v>669</v>
      </c>
      <c r="C637">
        <f t="shared" si="45"/>
        <v>1991</v>
      </c>
      <c r="D637">
        <v>1991</v>
      </c>
      <c r="E637" t="str">
        <f t="shared" si="49"/>
        <v>Jul</v>
      </c>
      <c r="F637" t="s">
        <v>10</v>
      </c>
      <c r="G637">
        <v>6</v>
      </c>
      <c r="H637">
        <v>3</v>
      </c>
      <c r="I637" s="21">
        <v>5425.02</v>
      </c>
      <c r="J637" t="str">
        <f t="shared" si="46"/>
        <v>tier - 2</v>
      </c>
      <c r="K637" t="s">
        <v>11</v>
      </c>
      <c r="L637" t="str">
        <f t="shared" si="47"/>
        <v>tier - 1</v>
      </c>
      <c r="M637" t="s">
        <v>16</v>
      </c>
      <c r="N637" t="str">
        <f t="shared" si="48"/>
        <v>R1012</v>
      </c>
      <c r="O637" t="s">
        <v>23</v>
      </c>
    </row>
    <row r="638" spans="1:15" x14ac:dyDescent="0.35">
      <c r="A638" t="s">
        <v>670</v>
      </c>
      <c r="C638">
        <f t="shared" si="45"/>
        <v>1992</v>
      </c>
      <c r="D638">
        <v>1992</v>
      </c>
      <c r="E638" t="str">
        <f t="shared" si="49"/>
        <v>Sep</v>
      </c>
      <c r="F638" t="s">
        <v>20</v>
      </c>
      <c r="G638">
        <v>17</v>
      </c>
      <c r="H638">
        <v>3</v>
      </c>
      <c r="I638" s="21">
        <v>5428.73</v>
      </c>
      <c r="J638" t="str">
        <f t="shared" si="46"/>
        <v>tier - 3</v>
      </c>
      <c r="K638" t="s">
        <v>12</v>
      </c>
      <c r="L638" t="str">
        <f t="shared" si="47"/>
        <v>tier - 1</v>
      </c>
      <c r="M638" t="s">
        <v>16</v>
      </c>
      <c r="N638" t="str">
        <f t="shared" si="48"/>
        <v>R1017</v>
      </c>
      <c r="O638" t="s">
        <v>356</v>
      </c>
    </row>
    <row r="639" spans="1:15" x14ac:dyDescent="0.35">
      <c r="A639" t="s">
        <v>671</v>
      </c>
      <c r="C639">
        <f t="shared" si="45"/>
        <v>1978</v>
      </c>
      <c r="D639">
        <v>1978</v>
      </c>
      <c r="E639" t="str">
        <f t="shared" si="49"/>
        <v>Jun</v>
      </c>
      <c r="F639" t="s">
        <v>18</v>
      </c>
      <c r="G639">
        <v>8</v>
      </c>
      <c r="H639">
        <v>2</v>
      </c>
      <c r="I639" s="21">
        <v>5428.98</v>
      </c>
      <c r="J639" t="str">
        <f t="shared" si="46"/>
        <v>tier - 2</v>
      </c>
      <c r="K639" t="s">
        <v>11</v>
      </c>
      <c r="L639" t="str">
        <f t="shared" si="47"/>
        <v>tier - 2</v>
      </c>
      <c r="M639" t="s">
        <v>11</v>
      </c>
      <c r="N639" t="str">
        <f t="shared" si="48"/>
        <v>R1012</v>
      </c>
      <c r="O639" t="s">
        <v>23</v>
      </c>
    </row>
    <row r="640" spans="1:15" x14ac:dyDescent="0.35">
      <c r="A640" t="s">
        <v>672</v>
      </c>
      <c r="C640">
        <f t="shared" si="45"/>
        <v>1982</v>
      </c>
      <c r="D640">
        <v>1982</v>
      </c>
      <c r="E640" t="str">
        <f t="shared" si="49"/>
        <v>Aug</v>
      </c>
      <c r="F640" t="s">
        <v>35</v>
      </c>
      <c r="G640">
        <v>25</v>
      </c>
      <c r="H640">
        <v>0</v>
      </c>
      <c r="I640" s="21">
        <v>5438.75</v>
      </c>
      <c r="J640" t="str">
        <f t="shared" si="46"/>
        <v>tier - 3</v>
      </c>
      <c r="K640" t="s">
        <v>12</v>
      </c>
      <c r="L640" t="str">
        <f t="shared" si="47"/>
        <v>tier - 2</v>
      </c>
      <c r="M640" t="s">
        <v>11</v>
      </c>
      <c r="N640" t="str">
        <f t="shared" si="48"/>
        <v>R1013</v>
      </c>
      <c r="O640" t="s">
        <v>13</v>
      </c>
    </row>
    <row r="641" spans="1:15" x14ac:dyDescent="0.35">
      <c r="A641" t="s">
        <v>673</v>
      </c>
      <c r="C641">
        <f t="shared" si="45"/>
        <v>1986</v>
      </c>
      <c r="D641">
        <v>1986</v>
      </c>
      <c r="E641" t="str">
        <f t="shared" si="49"/>
        <v>Dec</v>
      </c>
      <c r="F641" t="s">
        <v>30</v>
      </c>
      <c r="G641">
        <v>25</v>
      </c>
      <c r="H641">
        <v>0</v>
      </c>
      <c r="I641" s="21">
        <v>5458.05</v>
      </c>
      <c r="J641" t="str">
        <f t="shared" si="46"/>
        <v>tier - 2</v>
      </c>
      <c r="K641" t="s">
        <v>11</v>
      </c>
      <c r="L641" t="str">
        <f t="shared" si="47"/>
        <v>tier - 2</v>
      </c>
      <c r="M641" t="s">
        <v>11</v>
      </c>
      <c r="N641" t="str">
        <f t="shared" si="48"/>
        <v>R1024</v>
      </c>
      <c r="O641" t="s">
        <v>247</v>
      </c>
    </row>
    <row r="642" spans="1:15" x14ac:dyDescent="0.35">
      <c r="A642" t="s">
        <v>674</v>
      </c>
      <c r="C642">
        <f t="shared" si="45"/>
        <v>1973</v>
      </c>
      <c r="D642">
        <v>1973</v>
      </c>
      <c r="E642" t="str">
        <f t="shared" si="49"/>
        <v>Oct</v>
      </c>
      <c r="F642" t="s">
        <v>37</v>
      </c>
      <c r="G642">
        <v>24</v>
      </c>
      <c r="H642">
        <v>0</v>
      </c>
      <c r="I642" s="21">
        <v>5466.88</v>
      </c>
      <c r="J642" t="str">
        <f t="shared" si="46"/>
        <v>tier - 2</v>
      </c>
      <c r="K642" t="s">
        <v>11</v>
      </c>
      <c r="L642" t="str">
        <f t="shared" si="47"/>
        <v>tier - 2</v>
      </c>
      <c r="M642" t="s">
        <v>11</v>
      </c>
      <c r="N642" t="str">
        <f t="shared" si="48"/>
        <v>R1013</v>
      </c>
      <c r="O642" t="s">
        <v>13</v>
      </c>
    </row>
    <row r="643" spans="1:15" x14ac:dyDescent="0.35">
      <c r="A643" t="s">
        <v>675</v>
      </c>
      <c r="C643">
        <f t="shared" ref="C643:C706" si="50">IF(OR(D643="?", ISBLANK(D643)), 1983, D643)</f>
        <v>1986</v>
      </c>
      <c r="D643">
        <v>1986</v>
      </c>
      <c r="E643" t="str">
        <f t="shared" si="49"/>
        <v>Dec</v>
      </c>
      <c r="F643" t="s">
        <v>30</v>
      </c>
      <c r="G643">
        <v>2</v>
      </c>
      <c r="H643">
        <v>0</v>
      </c>
      <c r="I643" s="21">
        <v>5469.01</v>
      </c>
      <c r="J643" t="str">
        <f t="shared" ref="J643:J706" si="51">IF(OR(K643="?", ISBLANK(K643)), "Tier 2", K643)</f>
        <v>tier - 2</v>
      </c>
      <c r="K643" t="s">
        <v>11</v>
      </c>
      <c r="L643" t="str">
        <f t="shared" ref="L643:L706" si="52">IF(OR(M643="?", ISBLANK(M643)), "Tier 2", M643)</f>
        <v>tier - 2</v>
      </c>
      <c r="M643" t="s">
        <v>11</v>
      </c>
      <c r="N643" t="str">
        <f t="shared" ref="N643:N706" si="53">IF(OR(O643="?", ISBLANK(O643)), "Unknown", O643)</f>
        <v>R1024</v>
      </c>
      <c r="O643" t="s">
        <v>247</v>
      </c>
    </row>
    <row r="644" spans="1:15" x14ac:dyDescent="0.35">
      <c r="A644" t="s">
        <v>676</v>
      </c>
      <c r="C644">
        <f t="shared" si="50"/>
        <v>1986</v>
      </c>
      <c r="D644">
        <v>1986</v>
      </c>
      <c r="E644" t="str">
        <f t="shared" ref="E644:E707" si="54">IF(OR(F644="?", ISBLANK(F644)), "Sep", F644)</f>
        <v>Jul</v>
      </c>
      <c r="F644" t="s">
        <v>10</v>
      </c>
      <c r="G644">
        <v>12</v>
      </c>
      <c r="H644">
        <v>1</v>
      </c>
      <c r="I644" s="21">
        <v>5472.45</v>
      </c>
      <c r="J644" t="str">
        <f t="shared" si="51"/>
        <v>tier - 2</v>
      </c>
      <c r="K644" t="s">
        <v>11</v>
      </c>
      <c r="L644" t="str">
        <f t="shared" si="52"/>
        <v>tier - 3</v>
      </c>
      <c r="M644" t="s">
        <v>12</v>
      </c>
      <c r="N644" t="str">
        <f t="shared" si="53"/>
        <v>R1011</v>
      </c>
      <c r="O644" t="s">
        <v>42</v>
      </c>
    </row>
    <row r="645" spans="1:15" x14ac:dyDescent="0.35">
      <c r="A645" t="s">
        <v>677</v>
      </c>
      <c r="C645">
        <f t="shared" si="50"/>
        <v>1986</v>
      </c>
      <c r="D645">
        <v>1986</v>
      </c>
      <c r="E645" t="str">
        <f t="shared" si="54"/>
        <v>Sep</v>
      </c>
      <c r="F645" t="s">
        <v>20</v>
      </c>
      <c r="G645">
        <v>30</v>
      </c>
      <c r="H645">
        <v>1</v>
      </c>
      <c r="I645" s="21">
        <v>5478.04</v>
      </c>
      <c r="J645" t="str">
        <f t="shared" si="51"/>
        <v>tier - 2</v>
      </c>
      <c r="K645" t="s">
        <v>11</v>
      </c>
      <c r="L645" t="str">
        <f t="shared" si="52"/>
        <v>tier - 3</v>
      </c>
      <c r="M645" t="s">
        <v>12</v>
      </c>
      <c r="N645" t="str">
        <f t="shared" si="53"/>
        <v>R1013</v>
      </c>
      <c r="O645" t="s">
        <v>13</v>
      </c>
    </row>
    <row r="646" spans="1:15" x14ac:dyDescent="0.35">
      <c r="A646" t="s">
        <v>678</v>
      </c>
      <c r="C646">
        <f t="shared" si="50"/>
        <v>1984</v>
      </c>
      <c r="D646">
        <v>1984</v>
      </c>
      <c r="E646" t="str">
        <f t="shared" si="54"/>
        <v>Aug</v>
      </c>
      <c r="F646" t="s">
        <v>35</v>
      </c>
      <c r="G646">
        <v>26</v>
      </c>
      <c r="H646">
        <v>1</v>
      </c>
      <c r="I646" s="21">
        <v>5484.47</v>
      </c>
      <c r="J646" t="str">
        <f t="shared" si="51"/>
        <v>tier - 2</v>
      </c>
      <c r="K646" t="s">
        <v>11</v>
      </c>
      <c r="L646" t="str">
        <f t="shared" si="52"/>
        <v>tier - 2</v>
      </c>
      <c r="M646" t="s">
        <v>11</v>
      </c>
      <c r="N646" t="str">
        <f t="shared" si="53"/>
        <v>R1013</v>
      </c>
      <c r="O646" t="s">
        <v>13</v>
      </c>
    </row>
    <row r="647" spans="1:15" x14ac:dyDescent="0.35">
      <c r="A647" t="s">
        <v>679</v>
      </c>
      <c r="C647">
        <f t="shared" si="50"/>
        <v>1984</v>
      </c>
      <c r="D647">
        <v>1984</v>
      </c>
      <c r="E647" t="str">
        <f t="shared" si="54"/>
        <v>Aug</v>
      </c>
      <c r="F647" t="s">
        <v>35</v>
      </c>
      <c r="G647">
        <v>17</v>
      </c>
      <c r="H647">
        <v>1</v>
      </c>
      <c r="I647" s="21">
        <v>5488.26</v>
      </c>
      <c r="J647" t="str">
        <f t="shared" si="51"/>
        <v>tier - 2</v>
      </c>
      <c r="K647" t="s">
        <v>11</v>
      </c>
      <c r="L647" t="str">
        <f t="shared" si="52"/>
        <v>tier - 3</v>
      </c>
      <c r="M647" t="s">
        <v>12</v>
      </c>
      <c r="N647" t="str">
        <f t="shared" si="53"/>
        <v>R1011</v>
      </c>
      <c r="O647" t="s">
        <v>42</v>
      </c>
    </row>
    <row r="648" spans="1:15" x14ac:dyDescent="0.35">
      <c r="A648" t="s">
        <v>680</v>
      </c>
      <c r="C648">
        <f t="shared" si="50"/>
        <v>1988</v>
      </c>
      <c r="D648">
        <v>1988</v>
      </c>
      <c r="E648" t="str">
        <f t="shared" si="54"/>
        <v>Jul</v>
      </c>
      <c r="F648" t="s">
        <v>10</v>
      </c>
      <c r="G648">
        <v>29</v>
      </c>
      <c r="H648">
        <v>3</v>
      </c>
      <c r="I648" s="21">
        <v>5503.36</v>
      </c>
      <c r="J648" t="str">
        <f t="shared" si="51"/>
        <v>tier - 2</v>
      </c>
      <c r="K648" t="s">
        <v>11</v>
      </c>
      <c r="L648" t="str">
        <f t="shared" si="52"/>
        <v>tier - 2</v>
      </c>
      <c r="M648" t="s">
        <v>11</v>
      </c>
      <c r="N648" t="str">
        <f t="shared" si="53"/>
        <v>R1012</v>
      </c>
      <c r="O648" t="s">
        <v>23</v>
      </c>
    </row>
    <row r="649" spans="1:15" x14ac:dyDescent="0.35">
      <c r="A649" t="s">
        <v>681</v>
      </c>
      <c r="C649">
        <f t="shared" si="50"/>
        <v>1981</v>
      </c>
      <c r="D649">
        <v>1981</v>
      </c>
      <c r="E649" t="str">
        <f t="shared" si="54"/>
        <v>Nov</v>
      </c>
      <c r="F649" t="s">
        <v>15</v>
      </c>
      <c r="G649">
        <v>7</v>
      </c>
      <c r="H649">
        <v>1</v>
      </c>
      <c r="I649" s="21">
        <v>5539.4</v>
      </c>
      <c r="J649" t="str">
        <f t="shared" si="51"/>
        <v>tier - 2</v>
      </c>
      <c r="K649" t="s">
        <v>11</v>
      </c>
      <c r="L649" t="str">
        <f t="shared" si="52"/>
        <v>tier - 2</v>
      </c>
      <c r="M649" t="s">
        <v>11</v>
      </c>
      <c r="N649" t="str">
        <f t="shared" si="53"/>
        <v>R1013</v>
      </c>
      <c r="O649" t="s">
        <v>13</v>
      </c>
    </row>
    <row r="650" spans="1:15" x14ac:dyDescent="0.35">
      <c r="A650" t="s">
        <v>682</v>
      </c>
      <c r="C650">
        <f t="shared" si="50"/>
        <v>1980</v>
      </c>
      <c r="D650">
        <v>1980</v>
      </c>
      <c r="E650" t="str">
        <f t="shared" si="54"/>
        <v>Dec</v>
      </c>
      <c r="F650" t="s">
        <v>30</v>
      </c>
      <c r="G650">
        <v>7</v>
      </c>
      <c r="H650">
        <v>2</v>
      </c>
      <c r="I650" s="21">
        <v>5540.35</v>
      </c>
      <c r="J650" t="str">
        <f t="shared" si="51"/>
        <v>tier - 2</v>
      </c>
      <c r="K650" t="s">
        <v>11</v>
      </c>
      <c r="L650" t="str">
        <f t="shared" si="52"/>
        <v>tier - 2</v>
      </c>
      <c r="M650" t="s">
        <v>11</v>
      </c>
      <c r="N650" t="str">
        <f t="shared" si="53"/>
        <v>R1012</v>
      </c>
      <c r="O650" t="s">
        <v>23</v>
      </c>
    </row>
    <row r="651" spans="1:15" x14ac:dyDescent="0.35">
      <c r="A651" t="s">
        <v>683</v>
      </c>
      <c r="C651">
        <f t="shared" si="50"/>
        <v>1999</v>
      </c>
      <c r="D651">
        <v>1999</v>
      </c>
      <c r="E651" t="str">
        <f t="shared" si="54"/>
        <v>Sep</v>
      </c>
      <c r="F651" t="s">
        <v>20</v>
      </c>
      <c r="G651">
        <v>22</v>
      </c>
      <c r="H651">
        <v>0</v>
      </c>
      <c r="I651" s="21">
        <v>5552.61</v>
      </c>
      <c r="J651" t="str">
        <f t="shared" si="51"/>
        <v>tier - 2</v>
      </c>
      <c r="K651" t="s">
        <v>11</v>
      </c>
      <c r="L651" t="str">
        <f t="shared" si="52"/>
        <v>tier - 3</v>
      </c>
      <c r="M651" t="s">
        <v>12</v>
      </c>
      <c r="N651" t="str">
        <f t="shared" si="53"/>
        <v>R1026</v>
      </c>
      <c r="O651" t="s">
        <v>535</v>
      </c>
    </row>
    <row r="652" spans="1:15" x14ac:dyDescent="0.35">
      <c r="A652" t="s">
        <v>684</v>
      </c>
      <c r="C652">
        <f t="shared" si="50"/>
        <v>1974</v>
      </c>
      <c r="D652">
        <v>1974</v>
      </c>
      <c r="E652" t="str">
        <f t="shared" si="54"/>
        <v>Sep</v>
      </c>
      <c r="F652" t="s">
        <v>20</v>
      </c>
      <c r="G652">
        <v>18</v>
      </c>
      <c r="H652">
        <v>0</v>
      </c>
      <c r="I652" s="21">
        <v>5576.35</v>
      </c>
      <c r="J652" t="str">
        <f t="shared" si="51"/>
        <v>tier - 2</v>
      </c>
      <c r="K652" t="s">
        <v>11</v>
      </c>
      <c r="L652" t="str">
        <f t="shared" si="52"/>
        <v>tier - 3</v>
      </c>
      <c r="M652" t="s">
        <v>12</v>
      </c>
      <c r="N652" t="str">
        <f t="shared" si="53"/>
        <v>R1013</v>
      </c>
      <c r="O652" t="s">
        <v>13</v>
      </c>
    </row>
    <row r="653" spans="1:15" x14ac:dyDescent="0.35">
      <c r="A653" t="s">
        <v>685</v>
      </c>
      <c r="C653">
        <f t="shared" si="50"/>
        <v>1985</v>
      </c>
      <c r="D653">
        <v>1985</v>
      </c>
      <c r="E653" t="str">
        <f t="shared" si="54"/>
        <v>Sep</v>
      </c>
      <c r="F653" t="s">
        <v>20</v>
      </c>
      <c r="G653">
        <v>5</v>
      </c>
      <c r="H653">
        <v>3</v>
      </c>
      <c r="I653" s="21">
        <v>5582.95</v>
      </c>
      <c r="J653" t="str">
        <f t="shared" si="51"/>
        <v>tier - 2</v>
      </c>
      <c r="K653" t="s">
        <v>11</v>
      </c>
      <c r="L653" t="str">
        <f t="shared" si="52"/>
        <v>tier - 1</v>
      </c>
      <c r="M653" t="s">
        <v>16</v>
      </c>
      <c r="N653" t="str">
        <f t="shared" si="53"/>
        <v>R1012</v>
      </c>
      <c r="O653" t="s">
        <v>23</v>
      </c>
    </row>
    <row r="654" spans="1:15" x14ac:dyDescent="0.35">
      <c r="A654" t="s">
        <v>686</v>
      </c>
      <c r="C654">
        <f t="shared" si="50"/>
        <v>1986</v>
      </c>
      <c r="D654">
        <v>1986</v>
      </c>
      <c r="E654" t="str">
        <f t="shared" si="54"/>
        <v>Nov</v>
      </c>
      <c r="F654" t="s">
        <v>15</v>
      </c>
      <c r="G654">
        <v>21</v>
      </c>
      <c r="H654">
        <v>2</v>
      </c>
      <c r="I654" s="21">
        <v>5584.31</v>
      </c>
      <c r="J654" t="str">
        <f t="shared" si="51"/>
        <v>tier - 3</v>
      </c>
      <c r="K654" t="s">
        <v>12</v>
      </c>
      <c r="L654" t="str">
        <f t="shared" si="52"/>
        <v>tier - 1</v>
      </c>
      <c r="M654" t="s">
        <v>16</v>
      </c>
      <c r="N654" t="str">
        <f t="shared" si="53"/>
        <v>R1013</v>
      </c>
      <c r="O654" t="s">
        <v>13</v>
      </c>
    </row>
    <row r="655" spans="1:15" x14ac:dyDescent="0.35">
      <c r="A655" t="s">
        <v>687</v>
      </c>
      <c r="C655">
        <f t="shared" si="50"/>
        <v>1983</v>
      </c>
      <c r="D655">
        <v>1983</v>
      </c>
      <c r="E655" t="str">
        <f t="shared" si="54"/>
        <v>Oct</v>
      </c>
      <c r="F655" t="s">
        <v>37</v>
      </c>
      <c r="G655">
        <v>3</v>
      </c>
      <c r="H655">
        <v>3</v>
      </c>
      <c r="I655" s="21">
        <v>5587.59</v>
      </c>
      <c r="J655" t="str">
        <f t="shared" si="51"/>
        <v>tier - 2</v>
      </c>
      <c r="K655" t="s">
        <v>11</v>
      </c>
      <c r="L655" t="str">
        <f t="shared" si="52"/>
        <v>tier - 1</v>
      </c>
      <c r="M655" t="s">
        <v>16</v>
      </c>
      <c r="N655" t="str">
        <f t="shared" si="53"/>
        <v>R1013</v>
      </c>
      <c r="O655" t="s">
        <v>13</v>
      </c>
    </row>
    <row r="656" spans="1:15" x14ac:dyDescent="0.35">
      <c r="A656" t="s">
        <v>688</v>
      </c>
      <c r="C656">
        <f t="shared" si="50"/>
        <v>1988</v>
      </c>
      <c r="D656">
        <v>1988</v>
      </c>
      <c r="E656" t="str">
        <f t="shared" si="54"/>
        <v>Nov</v>
      </c>
      <c r="F656" t="s">
        <v>15</v>
      </c>
      <c r="G656">
        <v>18</v>
      </c>
      <c r="H656">
        <v>1</v>
      </c>
      <c r="I656" s="21">
        <v>5594.85</v>
      </c>
      <c r="J656" t="str">
        <f t="shared" si="51"/>
        <v>tier - 2</v>
      </c>
      <c r="K656" t="s">
        <v>11</v>
      </c>
      <c r="L656" t="str">
        <f t="shared" si="52"/>
        <v>tier - 3</v>
      </c>
      <c r="M656" t="s">
        <v>12</v>
      </c>
      <c r="N656" t="str">
        <f t="shared" si="53"/>
        <v>R1024</v>
      </c>
      <c r="O656" t="s">
        <v>247</v>
      </c>
    </row>
    <row r="657" spans="1:15" x14ac:dyDescent="0.35">
      <c r="A657" t="s">
        <v>689</v>
      </c>
      <c r="C657">
        <f t="shared" si="50"/>
        <v>1978</v>
      </c>
      <c r="D657">
        <v>1978</v>
      </c>
      <c r="E657" t="str">
        <f t="shared" si="54"/>
        <v>Sep</v>
      </c>
      <c r="F657" t="s">
        <v>20</v>
      </c>
      <c r="G657">
        <v>11</v>
      </c>
      <c r="H657">
        <v>2</v>
      </c>
      <c r="I657" s="21">
        <v>5612.83</v>
      </c>
      <c r="J657" t="str">
        <f t="shared" si="51"/>
        <v>tier - 2</v>
      </c>
      <c r="K657" t="s">
        <v>11</v>
      </c>
      <c r="L657" t="str">
        <f t="shared" si="52"/>
        <v>tier - 3</v>
      </c>
      <c r="M657" t="s">
        <v>12</v>
      </c>
      <c r="N657" t="str">
        <f t="shared" si="53"/>
        <v>R1013</v>
      </c>
      <c r="O657" t="s">
        <v>13</v>
      </c>
    </row>
    <row r="658" spans="1:15" x14ac:dyDescent="0.35">
      <c r="A658" t="s">
        <v>690</v>
      </c>
      <c r="C658">
        <f t="shared" si="50"/>
        <v>1994</v>
      </c>
      <c r="D658">
        <v>1994</v>
      </c>
      <c r="E658" t="str">
        <f t="shared" si="54"/>
        <v>Nov</v>
      </c>
      <c r="F658" t="s">
        <v>15</v>
      </c>
      <c r="G658">
        <v>15</v>
      </c>
      <c r="H658">
        <v>5</v>
      </c>
      <c r="I658" s="21">
        <v>5615.37</v>
      </c>
      <c r="J658" t="str">
        <f t="shared" si="51"/>
        <v>tier - 2</v>
      </c>
      <c r="K658" t="s">
        <v>11</v>
      </c>
      <c r="L658" t="str">
        <f t="shared" si="52"/>
        <v>tier - 3</v>
      </c>
      <c r="M658" t="s">
        <v>12</v>
      </c>
      <c r="N658" t="str">
        <f t="shared" si="53"/>
        <v>R1011</v>
      </c>
      <c r="O658" t="s">
        <v>42</v>
      </c>
    </row>
    <row r="659" spans="1:15" x14ac:dyDescent="0.35">
      <c r="A659" t="s">
        <v>691</v>
      </c>
      <c r="C659">
        <f t="shared" si="50"/>
        <v>1987</v>
      </c>
      <c r="D659">
        <v>1987</v>
      </c>
      <c r="E659" t="str">
        <f t="shared" si="54"/>
        <v>Dec</v>
      </c>
      <c r="F659" t="s">
        <v>30</v>
      </c>
      <c r="G659">
        <v>9</v>
      </c>
      <c r="H659">
        <v>1</v>
      </c>
      <c r="I659" s="21">
        <v>5630.46</v>
      </c>
      <c r="J659" t="str">
        <f t="shared" si="51"/>
        <v>tier - 2</v>
      </c>
      <c r="K659" t="s">
        <v>11</v>
      </c>
      <c r="L659" t="str">
        <f t="shared" si="52"/>
        <v>tier - 3</v>
      </c>
      <c r="M659" t="s">
        <v>12</v>
      </c>
      <c r="N659" t="str">
        <f t="shared" si="53"/>
        <v>R1012</v>
      </c>
      <c r="O659" t="s">
        <v>23</v>
      </c>
    </row>
    <row r="660" spans="1:15" x14ac:dyDescent="0.35">
      <c r="A660" t="s">
        <v>692</v>
      </c>
      <c r="C660">
        <f t="shared" si="50"/>
        <v>1983</v>
      </c>
      <c r="D660">
        <v>1983</v>
      </c>
      <c r="E660" t="str">
        <f t="shared" si="54"/>
        <v>Jun</v>
      </c>
      <c r="F660" t="s">
        <v>18</v>
      </c>
      <c r="G660">
        <v>8</v>
      </c>
      <c r="H660">
        <v>0</v>
      </c>
      <c r="I660" s="21">
        <v>5649.72</v>
      </c>
      <c r="J660" t="str">
        <f t="shared" si="51"/>
        <v>tier - 2</v>
      </c>
      <c r="K660" t="s">
        <v>11</v>
      </c>
      <c r="L660" t="str">
        <f t="shared" si="52"/>
        <v>tier - 3</v>
      </c>
      <c r="M660" t="s">
        <v>12</v>
      </c>
      <c r="N660" t="str">
        <f t="shared" si="53"/>
        <v>R1011</v>
      </c>
      <c r="O660" t="s">
        <v>42</v>
      </c>
    </row>
    <row r="661" spans="1:15" x14ac:dyDescent="0.35">
      <c r="A661" t="s">
        <v>693</v>
      </c>
      <c r="C661">
        <f t="shared" si="50"/>
        <v>1978</v>
      </c>
      <c r="D661">
        <v>1978</v>
      </c>
      <c r="E661" t="str">
        <f t="shared" si="54"/>
        <v>Sep</v>
      </c>
      <c r="F661" t="s">
        <v>20</v>
      </c>
      <c r="G661">
        <v>27</v>
      </c>
      <c r="H661">
        <v>2</v>
      </c>
      <c r="I661" s="21">
        <v>5650.14</v>
      </c>
      <c r="J661" t="str">
        <f t="shared" si="51"/>
        <v>tier - 2</v>
      </c>
      <c r="K661" t="s">
        <v>11</v>
      </c>
      <c r="L661" t="str">
        <f t="shared" si="52"/>
        <v>tier - 1</v>
      </c>
      <c r="M661" t="s">
        <v>16</v>
      </c>
      <c r="N661" t="str">
        <f t="shared" si="53"/>
        <v>R1013</v>
      </c>
      <c r="O661" t="s">
        <v>13</v>
      </c>
    </row>
    <row r="662" spans="1:15" x14ac:dyDescent="0.35">
      <c r="A662" t="s">
        <v>694</v>
      </c>
      <c r="C662">
        <f t="shared" si="50"/>
        <v>1983</v>
      </c>
      <c r="D662">
        <v>1983</v>
      </c>
      <c r="E662" t="str">
        <f t="shared" si="54"/>
        <v>Sep</v>
      </c>
      <c r="F662" t="s">
        <v>20</v>
      </c>
      <c r="G662">
        <v>3</v>
      </c>
      <c r="H662">
        <v>0</v>
      </c>
      <c r="I662" s="21">
        <v>5662.23</v>
      </c>
      <c r="J662" t="str">
        <f t="shared" si="51"/>
        <v>tier - 2</v>
      </c>
      <c r="K662" t="s">
        <v>11</v>
      </c>
      <c r="L662" t="str">
        <f t="shared" si="52"/>
        <v>tier - 1</v>
      </c>
      <c r="M662" t="s">
        <v>16</v>
      </c>
      <c r="N662" t="str">
        <f t="shared" si="53"/>
        <v>R1013</v>
      </c>
      <c r="O662" t="s">
        <v>13</v>
      </c>
    </row>
    <row r="663" spans="1:15" x14ac:dyDescent="0.35">
      <c r="A663" t="s">
        <v>695</v>
      </c>
      <c r="C663">
        <f t="shared" si="50"/>
        <v>1984</v>
      </c>
      <c r="D663">
        <v>1984</v>
      </c>
      <c r="E663" t="str">
        <f t="shared" si="54"/>
        <v>Aug</v>
      </c>
      <c r="F663" t="s">
        <v>35</v>
      </c>
      <c r="G663">
        <v>12</v>
      </c>
      <c r="H663">
        <v>3</v>
      </c>
      <c r="I663" s="21">
        <v>5679.13</v>
      </c>
      <c r="J663" t="str">
        <f t="shared" si="51"/>
        <v>tier - 2</v>
      </c>
      <c r="K663" t="s">
        <v>11</v>
      </c>
      <c r="L663" t="str">
        <f t="shared" si="52"/>
        <v>tier - 2</v>
      </c>
      <c r="M663" t="s">
        <v>11</v>
      </c>
      <c r="N663" t="str">
        <f t="shared" si="53"/>
        <v>R1013</v>
      </c>
      <c r="O663" t="s">
        <v>13</v>
      </c>
    </row>
    <row r="664" spans="1:15" x14ac:dyDescent="0.35">
      <c r="A664" t="s">
        <v>696</v>
      </c>
      <c r="C664">
        <f t="shared" si="50"/>
        <v>1972</v>
      </c>
      <c r="D664">
        <v>1972</v>
      </c>
      <c r="E664" t="str">
        <f t="shared" si="54"/>
        <v>Oct</v>
      </c>
      <c r="F664" t="s">
        <v>37</v>
      </c>
      <c r="G664">
        <v>28</v>
      </c>
      <c r="H664">
        <v>0</v>
      </c>
      <c r="I664" s="21">
        <v>5690.79</v>
      </c>
      <c r="J664" t="str">
        <f t="shared" si="51"/>
        <v>tier - 2</v>
      </c>
      <c r="K664" t="s">
        <v>11</v>
      </c>
      <c r="L664" t="str">
        <f t="shared" si="52"/>
        <v>tier - 1</v>
      </c>
      <c r="M664" t="s">
        <v>16</v>
      </c>
      <c r="N664" t="str">
        <f t="shared" si="53"/>
        <v>R1013</v>
      </c>
      <c r="O664" t="s">
        <v>13</v>
      </c>
    </row>
    <row r="665" spans="1:15" x14ac:dyDescent="0.35">
      <c r="A665" t="s">
        <v>697</v>
      </c>
      <c r="C665">
        <f t="shared" si="50"/>
        <v>1992</v>
      </c>
      <c r="D665">
        <v>1992</v>
      </c>
      <c r="E665" t="str">
        <f t="shared" si="54"/>
        <v>Nov</v>
      </c>
      <c r="F665" t="s">
        <v>15</v>
      </c>
      <c r="G665">
        <v>3</v>
      </c>
      <c r="H665">
        <v>3</v>
      </c>
      <c r="I665" s="21">
        <v>5693.43</v>
      </c>
      <c r="J665" t="str">
        <f t="shared" si="51"/>
        <v>tier - 2</v>
      </c>
      <c r="K665" t="s">
        <v>11</v>
      </c>
      <c r="L665" t="str">
        <f t="shared" si="52"/>
        <v>tier - 3</v>
      </c>
      <c r="M665" t="s">
        <v>12</v>
      </c>
      <c r="N665" t="str">
        <f t="shared" si="53"/>
        <v>R1012</v>
      </c>
      <c r="O665" t="s">
        <v>23</v>
      </c>
    </row>
    <row r="666" spans="1:15" x14ac:dyDescent="0.35">
      <c r="A666" t="s">
        <v>698</v>
      </c>
      <c r="C666">
        <f t="shared" si="50"/>
        <v>1974</v>
      </c>
      <c r="D666">
        <v>1974</v>
      </c>
      <c r="E666" t="str">
        <f t="shared" si="54"/>
        <v>Jul</v>
      </c>
      <c r="F666" t="s">
        <v>10</v>
      </c>
      <c r="G666">
        <v>6</v>
      </c>
      <c r="H666">
        <v>0</v>
      </c>
      <c r="I666" s="21">
        <v>5698.74</v>
      </c>
      <c r="J666" t="str">
        <f t="shared" si="51"/>
        <v>tier - 2</v>
      </c>
      <c r="K666" t="s">
        <v>11</v>
      </c>
      <c r="L666" t="str">
        <f t="shared" si="52"/>
        <v>tier - 2</v>
      </c>
      <c r="M666" t="s">
        <v>11</v>
      </c>
      <c r="N666" t="str">
        <f t="shared" si="53"/>
        <v>R1012</v>
      </c>
      <c r="O666" t="s">
        <v>23</v>
      </c>
    </row>
    <row r="667" spans="1:15" x14ac:dyDescent="0.35">
      <c r="A667" t="s">
        <v>699</v>
      </c>
      <c r="C667">
        <f t="shared" si="50"/>
        <v>1981</v>
      </c>
      <c r="D667">
        <v>1981</v>
      </c>
      <c r="E667" t="str">
        <f t="shared" si="54"/>
        <v>Jun</v>
      </c>
      <c r="F667" t="s">
        <v>18</v>
      </c>
      <c r="G667">
        <v>15</v>
      </c>
      <c r="H667">
        <v>0</v>
      </c>
      <c r="I667" s="21">
        <v>5699.84</v>
      </c>
      <c r="J667" t="str">
        <f t="shared" si="51"/>
        <v>tier - 2</v>
      </c>
      <c r="K667" t="s">
        <v>11</v>
      </c>
      <c r="L667" t="str">
        <f t="shared" si="52"/>
        <v>tier - 3</v>
      </c>
      <c r="M667" t="s">
        <v>12</v>
      </c>
      <c r="N667" t="str">
        <f t="shared" si="53"/>
        <v>R1013</v>
      </c>
      <c r="O667" t="s">
        <v>13</v>
      </c>
    </row>
    <row r="668" spans="1:15" x14ac:dyDescent="0.35">
      <c r="A668" t="s">
        <v>700</v>
      </c>
      <c r="C668">
        <f t="shared" si="50"/>
        <v>1993</v>
      </c>
      <c r="D668">
        <v>1993</v>
      </c>
      <c r="E668" t="str">
        <f t="shared" si="54"/>
        <v>Nov</v>
      </c>
      <c r="F668" t="s">
        <v>15</v>
      </c>
      <c r="G668">
        <v>3</v>
      </c>
      <c r="H668">
        <v>4</v>
      </c>
      <c r="I668" s="21">
        <v>5708.87</v>
      </c>
      <c r="J668" t="str">
        <f t="shared" si="51"/>
        <v>tier - 2</v>
      </c>
      <c r="K668" t="s">
        <v>11</v>
      </c>
      <c r="L668" t="str">
        <f t="shared" si="52"/>
        <v>tier - 1</v>
      </c>
      <c r="M668" t="s">
        <v>16</v>
      </c>
      <c r="N668" t="str">
        <f t="shared" si="53"/>
        <v>R1011</v>
      </c>
      <c r="O668" t="s">
        <v>42</v>
      </c>
    </row>
    <row r="669" spans="1:15" x14ac:dyDescent="0.35">
      <c r="A669" t="s">
        <v>701</v>
      </c>
      <c r="C669">
        <f t="shared" si="50"/>
        <v>1981</v>
      </c>
      <c r="D669">
        <v>1981</v>
      </c>
      <c r="E669" t="str">
        <f t="shared" si="54"/>
        <v>Aug</v>
      </c>
      <c r="F669" t="s">
        <v>35</v>
      </c>
      <c r="G669">
        <v>30</v>
      </c>
      <c r="H669">
        <v>0</v>
      </c>
      <c r="I669" s="21">
        <v>5709.16</v>
      </c>
      <c r="J669" t="str">
        <f t="shared" si="51"/>
        <v>tier - 3</v>
      </c>
      <c r="K669" t="s">
        <v>12</v>
      </c>
      <c r="L669" t="str">
        <f t="shared" si="52"/>
        <v>tier - 3</v>
      </c>
      <c r="M669" t="s">
        <v>12</v>
      </c>
      <c r="N669" t="str">
        <f t="shared" si="53"/>
        <v>R1013</v>
      </c>
      <c r="O669" t="s">
        <v>13</v>
      </c>
    </row>
    <row r="670" spans="1:15" x14ac:dyDescent="0.35">
      <c r="A670" t="s">
        <v>702</v>
      </c>
      <c r="C670">
        <f t="shared" si="50"/>
        <v>1971</v>
      </c>
      <c r="D670">
        <v>1971</v>
      </c>
      <c r="E670" t="str">
        <f t="shared" si="54"/>
        <v>Dec</v>
      </c>
      <c r="F670" t="s">
        <v>30</v>
      </c>
      <c r="G670">
        <v>18</v>
      </c>
      <c r="H670">
        <v>0</v>
      </c>
      <c r="I670" s="21">
        <v>5720.38</v>
      </c>
      <c r="J670" t="str">
        <f t="shared" si="51"/>
        <v>tier - 2</v>
      </c>
      <c r="K670" t="s">
        <v>11</v>
      </c>
      <c r="L670" t="str">
        <f t="shared" si="52"/>
        <v>tier - 1</v>
      </c>
      <c r="M670" t="s">
        <v>16</v>
      </c>
      <c r="N670" t="str">
        <f t="shared" si="53"/>
        <v>R1013</v>
      </c>
      <c r="O670" t="s">
        <v>13</v>
      </c>
    </row>
    <row r="671" spans="1:15" x14ac:dyDescent="0.35">
      <c r="A671" t="s">
        <v>703</v>
      </c>
      <c r="C671">
        <f t="shared" si="50"/>
        <v>1987</v>
      </c>
      <c r="D671">
        <v>1987</v>
      </c>
      <c r="E671" t="str">
        <f t="shared" si="54"/>
        <v>Oct</v>
      </c>
      <c r="F671" t="s">
        <v>37</v>
      </c>
      <c r="G671">
        <v>19</v>
      </c>
      <c r="H671">
        <v>2</v>
      </c>
      <c r="I671" s="21">
        <v>5729.01</v>
      </c>
      <c r="J671" t="str">
        <f t="shared" si="51"/>
        <v>tier - 1</v>
      </c>
      <c r="K671" t="s">
        <v>16</v>
      </c>
      <c r="L671" t="str">
        <f t="shared" si="52"/>
        <v>tier - 2</v>
      </c>
      <c r="M671" t="s">
        <v>11</v>
      </c>
      <c r="N671" t="str">
        <f t="shared" si="53"/>
        <v>R1012</v>
      </c>
      <c r="O671" t="s">
        <v>23</v>
      </c>
    </row>
    <row r="672" spans="1:15" x14ac:dyDescent="0.35">
      <c r="A672" t="s">
        <v>704</v>
      </c>
      <c r="C672">
        <f t="shared" si="50"/>
        <v>1972</v>
      </c>
      <c r="D672">
        <v>1972</v>
      </c>
      <c r="E672" t="str">
        <f t="shared" si="54"/>
        <v>Aug</v>
      </c>
      <c r="F672" t="s">
        <v>35</v>
      </c>
      <c r="G672">
        <v>21</v>
      </c>
      <c r="H672">
        <v>0</v>
      </c>
      <c r="I672" s="21">
        <v>5741.67</v>
      </c>
      <c r="J672" t="str">
        <f t="shared" si="51"/>
        <v>tier - 2</v>
      </c>
      <c r="K672" t="s">
        <v>11</v>
      </c>
      <c r="L672" t="str">
        <f t="shared" si="52"/>
        <v>tier - 3</v>
      </c>
      <c r="M672" t="s">
        <v>12</v>
      </c>
      <c r="N672" t="str">
        <f t="shared" si="53"/>
        <v>R1013</v>
      </c>
      <c r="O672" t="s">
        <v>13</v>
      </c>
    </row>
    <row r="673" spans="1:15" x14ac:dyDescent="0.35">
      <c r="A673" t="s">
        <v>705</v>
      </c>
      <c r="C673">
        <f t="shared" si="50"/>
        <v>1993</v>
      </c>
      <c r="D673">
        <v>1993</v>
      </c>
      <c r="E673" t="str">
        <f t="shared" si="54"/>
        <v>Jun</v>
      </c>
      <c r="F673" t="s">
        <v>18</v>
      </c>
      <c r="G673">
        <v>10</v>
      </c>
      <c r="H673">
        <v>0</v>
      </c>
      <c r="I673" s="21">
        <v>5748.13</v>
      </c>
      <c r="J673" t="str">
        <f t="shared" si="51"/>
        <v>tier - 2</v>
      </c>
      <c r="K673" t="s">
        <v>11</v>
      </c>
      <c r="L673" t="str">
        <f t="shared" si="52"/>
        <v>tier - 1</v>
      </c>
      <c r="M673" t="s">
        <v>16</v>
      </c>
      <c r="N673" t="str">
        <f t="shared" si="53"/>
        <v>R1021</v>
      </c>
      <c r="O673" t="s">
        <v>300</v>
      </c>
    </row>
    <row r="674" spans="1:15" x14ac:dyDescent="0.35">
      <c r="A674" t="s">
        <v>706</v>
      </c>
      <c r="C674">
        <f t="shared" si="50"/>
        <v>1983</v>
      </c>
      <c r="D674">
        <v>1983</v>
      </c>
      <c r="E674" t="str">
        <f t="shared" si="54"/>
        <v>Aug</v>
      </c>
      <c r="F674" t="s">
        <v>35</v>
      </c>
      <c r="G674">
        <v>30</v>
      </c>
      <c r="H674">
        <v>0</v>
      </c>
      <c r="I674" s="21">
        <v>5757.41</v>
      </c>
      <c r="J674" t="str">
        <f t="shared" si="51"/>
        <v>tier - 2</v>
      </c>
      <c r="K674" t="s">
        <v>11</v>
      </c>
      <c r="L674" t="str">
        <f t="shared" si="52"/>
        <v>tier - 3</v>
      </c>
      <c r="M674" t="s">
        <v>12</v>
      </c>
      <c r="N674" t="str">
        <f t="shared" si="53"/>
        <v>R1019</v>
      </c>
      <c r="O674" t="s">
        <v>166</v>
      </c>
    </row>
    <row r="675" spans="1:15" x14ac:dyDescent="0.35">
      <c r="A675" t="s">
        <v>707</v>
      </c>
      <c r="C675">
        <f t="shared" si="50"/>
        <v>2004</v>
      </c>
      <c r="D675">
        <v>2004</v>
      </c>
      <c r="E675" t="str">
        <f t="shared" si="54"/>
        <v>Nov</v>
      </c>
      <c r="F675" t="s">
        <v>15</v>
      </c>
      <c r="G675">
        <v>1</v>
      </c>
      <c r="H675">
        <v>0</v>
      </c>
      <c r="I675" s="21">
        <v>5778.71</v>
      </c>
      <c r="J675" t="str">
        <f t="shared" si="51"/>
        <v>tier - 2</v>
      </c>
      <c r="K675" t="s">
        <v>11</v>
      </c>
      <c r="L675" t="str">
        <f t="shared" si="52"/>
        <v>tier - 3</v>
      </c>
      <c r="M675" t="s">
        <v>12</v>
      </c>
      <c r="N675" t="str">
        <f t="shared" si="53"/>
        <v>R1022</v>
      </c>
      <c r="O675" t="s">
        <v>632</v>
      </c>
    </row>
    <row r="676" spans="1:15" x14ac:dyDescent="0.35">
      <c r="A676" t="s">
        <v>708</v>
      </c>
      <c r="C676">
        <f t="shared" si="50"/>
        <v>1980</v>
      </c>
      <c r="D676">
        <v>1980</v>
      </c>
      <c r="E676" t="str">
        <f t="shared" si="54"/>
        <v>Sep</v>
      </c>
      <c r="F676" t="s">
        <v>20</v>
      </c>
      <c r="G676">
        <v>18</v>
      </c>
      <c r="H676">
        <v>2</v>
      </c>
      <c r="I676" s="21">
        <v>5807.06</v>
      </c>
      <c r="J676" t="str">
        <f t="shared" si="51"/>
        <v>tier - 2</v>
      </c>
      <c r="K676" t="s">
        <v>11</v>
      </c>
      <c r="L676" t="str">
        <f t="shared" si="52"/>
        <v>tier - 3</v>
      </c>
      <c r="M676" t="s">
        <v>12</v>
      </c>
      <c r="N676" t="str">
        <f t="shared" si="53"/>
        <v>R1013</v>
      </c>
      <c r="O676" t="s">
        <v>13</v>
      </c>
    </row>
    <row r="677" spans="1:15" x14ac:dyDescent="0.35">
      <c r="A677" t="s">
        <v>709</v>
      </c>
      <c r="C677">
        <f t="shared" si="50"/>
        <v>1972</v>
      </c>
      <c r="D677">
        <v>1972</v>
      </c>
      <c r="E677" t="str">
        <f t="shared" si="54"/>
        <v>Nov</v>
      </c>
      <c r="F677" t="s">
        <v>15</v>
      </c>
      <c r="G677">
        <v>2</v>
      </c>
      <c r="H677">
        <v>0</v>
      </c>
      <c r="I677" s="21">
        <v>5812.9</v>
      </c>
      <c r="J677" t="str">
        <f t="shared" si="51"/>
        <v>tier - 2</v>
      </c>
      <c r="K677" t="s">
        <v>11</v>
      </c>
      <c r="L677" t="str">
        <f t="shared" si="52"/>
        <v>tier - 2</v>
      </c>
      <c r="M677" t="s">
        <v>11</v>
      </c>
      <c r="N677" t="str">
        <f t="shared" si="53"/>
        <v>R1013</v>
      </c>
      <c r="O677" t="s">
        <v>13</v>
      </c>
    </row>
    <row r="678" spans="1:15" x14ac:dyDescent="0.35">
      <c r="A678" t="s">
        <v>710</v>
      </c>
      <c r="C678">
        <f t="shared" si="50"/>
        <v>2002</v>
      </c>
      <c r="D678">
        <v>2002</v>
      </c>
      <c r="E678" t="str">
        <f t="shared" si="54"/>
        <v>Jul</v>
      </c>
      <c r="F678" t="s">
        <v>10</v>
      </c>
      <c r="G678">
        <v>22</v>
      </c>
      <c r="H678">
        <v>0</v>
      </c>
      <c r="I678" s="21">
        <v>5816.58</v>
      </c>
      <c r="J678" t="str">
        <f t="shared" si="51"/>
        <v>tier - 2</v>
      </c>
      <c r="K678" t="s">
        <v>11</v>
      </c>
      <c r="L678" t="str">
        <f t="shared" si="52"/>
        <v>tier - 2</v>
      </c>
      <c r="M678" t="s">
        <v>11</v>
      </c>
      <c r="N678" t="str">
        <f t="shared" si="53"/>
        <v>R1026</v>
      </c>
      <c r="O678" t="s">
        <v>535</v>
      </c>
    </row>
    <row r="679" spans="1:15" x14ac:dyDescent="0.35">
      <c r="A679" t="s">
        <v>711</v>
      </c>
      <c r="C679">
        <f t="shared" si="50"/>
        <v>1971</v>
      </c>
      <c r="D679">
        <v>1971</v>
      </c>
      <c r="E679" t="str">
        <f t="shared" si="54"/>
        <v>Sep</v>
      </c>
      <c r="F679" t="s">
        <v>20</v>
      </c>
      <c r="G679">
        <v>27</v>
      </c>
      <c r="H679">
        <v>0</v>
      </c>
      <c r="I679" s="21">
        <v>5832.6</v>
      </c>
      <c r="J679" t="str">
        <f t="shared" si="51"/>
        <v>tier - 2</v>
      </c>
      <c r="K679" t="s">
        <v>11</v>
      </c>
      <c r="L679" t="str">
        <f t="shared" si="52"/>
        <v>tier - 3</v>
      </c>
      <c r="M679" t="s">
        <v>12</v>
      </c>
      <c r="N679" t="str">
        <f t="shared" si="53"/>
        <v>R1012</v>
      </c>
      <c r="O679" t="s">
        <v>23</v>
      </c>
    </row>
    <row r="680" spans="1:15" x14ac:dyDescent="0.35">
      <c r="A680" t="s">
        <v>712</v>
      </c>
      <c r="C680">
        <f t="shared" si="50"/>
        <v>1987</v>
      </c>
      <c r="D680">
        <v>1987</v>
      </c>
      <c r="E680" t="str">
        <f t="shared" si="54"/>
        <v>Jul</v>
      </c>
      <c r="F680" t="s">
        <v>10</v>
      </c>
      <c r="G680">
        <v>27</v>
      </c>
      <c r="H680">
        <v>2</v>
      </c>
      <c r="I680" s="21">
        <v>5836.52</v>
      </c>
      <c r="J680" t="str">
        <f t="shared" si="51"/>
        <v>tier - 2</v>
      </c>
      <c r="K680" t="s">
        <v>11</v>
      </c>
      <c r="L680" t="str">
        <f t="shared" si="52"/>
        <v>tier - 3</v>
      </c>
      <c r="M680" t="s">
        <v>12</v>
      </c>
      <c r="N680" t="str">
        <f t="shared" si="53"/>
        <v>R1013</v>
      </c>
      <c r="O680" t="s">
        <v>13</v>
      </c>
    </row>
    <row r="681" spans="1:15" x14ac:dyDescent="0.35">
      <c r="A681" t="s">
        <v>713</v>
      </c>
      <c r="C681">
        <f t="shared" si="50"/>
        <v>1995</v>
      </c>
      <c r="D681">
        <v>1995</v>
      </c>
      <c r="E681" t="str">
        <f t="shared" si="54"/>
        <v>Aug</v>
      </c>
      <c r="F681" t="s">
        <v>35</v>
      </c>
      <c r="G681">
        <v>20</v>
      </c>
      <c r="H681">
        <v>0</v>
      </c>
      <c r="I681" s="21">
        <v>5843.99</v>
      </c>
      <c r="J681" t="str">
        <f t="shared" si="51"/>
        <v>tier - 2</v>
      </c>
      <c r="K681" t="s">
        <v>11</v>
      </c>
      <c r="L681" t="str">
        <f t="shared" si="52"/>
        <v>tier - 2</v>
      </c>
      <c r="M681" t="s">
        <v>11</v>
      </c>
      <c r="N681" t="str">
        <f t="shared" si="53"/>
        <v>R1025</v>
      </c>
      <c r="O681" t="s">
        <v>200</v>
      </c>
    </row>
    <row r="682" spans="1:15" x14ac:dyDescent="0.35">
      <c r="A682" t="s">
        <v>714</v>
      </c>
      <c r="C682">
        <f t="shared" si="50"/>
        <v>1987</v>
      </c>
      <c r="D682">
        <v>1987</v>
      </c>
      <c r="E682" t="str">
        <f t="shared" si="54"/>
        <v>Sep</v>
      </c>
      <c r="F682" t="s">
        <v>20</v>
      </c>
      <c r="G682">
        <v>30</v>
      </c>
      <c r="H682">
        <v>2</v>
      </c>
      <c r="I682" s="21">
        <v>5846.92</v>
      </c>
      <c r="J682" t="str">
        <f t="shared" si="51"/>
        <v>tier - 2</v>
      </c>
      <c r="K682" t="s">
        <v>11</v>
      </c>
      <c r="L682" t="str">
        <f t="shared" si="52"/>
        <v>tier - 2</v>
      </c>
      <c r="M682" t="s">
        <v>11</v>
      </c>
      <c r="N682" t="str">
        <f t="shared" si="53"/>
        <v>R1013</v>
      </c>
      <c r="O682" t="s">
        <v>13</v>
      </c>
    </row>
    <row r="683" spans="1:15" x14ac:dyDescent="0.35">
      <c r="A683" t="s">
        <v>715</v>
      </c>
      <c r="C683">
        <f t="shared" si="50"/>
        <v>1985</v>
      </c>
      <c r="D683">
        <v>1985</v>
      </c>
      <c r="E683" t="str">
        <f t="shared" si="54"/>
        <v>Jun</v>
      </c>
      <c r="F683" t="s">
        <v>18</v>
      </c>
      <c r="G683">
        <v>18</v>
      </c>
      <c r="H683">
        <v>3</v>
      </c>
      <c r="I683" s="21">
        <v>5847.24</v>
      </c>
      <c r="J683" t="str">
        <f t="shared" si="51"/>
        <v>tier - 2</v>
      </c>
      <c r="K683" t="s">
        <v>11</v>
      </c>
      <c r="L683" t="str">
        <f t="shared" si="52"/>
        <v>tier - 1</v>
      </c>
      <c r="M683" t="s">
        <v>16</v>
      </c>
      <c r="N683" t="str">
        <f t="shared" si="53"/>
        <v>R1013</v>
      </c>
      <c r="O683" t="s">
        <v>13</v>
      </c>
    </row>
    <row r="684" spans="1:15" x14ac:dyDescent="0.35">
      <c r="A684" t="s">
        <v>716</v>
      </c>
      <c r="C684">
        <f t="shared" si="50"/>
        <v>1984</v>
      </c>
      <c r="D684">
        <v>1984</v>
      </c>
      <c r="E684" t="str">
        <f t="shared" si="54"/>
        <v>Nov</v>
      </c>
      <c r="F684" t="s">
        <v>15</v>
      </c>
      <c r="G684">
        <v>22</v>
      </c>
      <c r="H684">
        <v>1</v>
      </c>
      <c r="I684" s="21">
        <v>5855.9</v>
      </c>
      <c r="J684" t="str">
        <f t="shared" si="51"/>
        <v>tier - 2</v>
      </c>
      <c r="K684" t="s">
        <v>11</v>
      </c>
      <c r="L684" t="str">
        <f t="shared" si="52"/>
        <v>tier - 3</v>
      </c>
      <c r="M684" t="s">
        <v>12</v>
      </c>
      <c r="N684" t="str">
        <f t="shared" si="53"/>
        <v>R1012</v>
      </c>
      <c r="O684" t="s">
        <v>23</v>
      </c>
    </row>
    <row r="685" spans="1:15" x14ac:dyDescent="0.35">
      <c r="A685" t="s">
        <v>717</v>
      </c>
      <c r="C685">
        <f t="shared" si="50"/>
        <v>1993</v>
      </c>
      <c r="D685">
        <v>1993</v>
      </c>
      <c r="E685" t="str">
        <f t="shared" si="54"/>
        <v>Oct</v>
      </c>
      <c r="F685" t="s">
        <v>37</v>
      </c>
      <c r="G685">
        <v>19</v>
      </c>
      <c r="H685">
        <v>0</v>
      </c>
      <c r="I685" s="21">
        <v>5877.02</v>
      </c>
      <c r="J685" t="str">
        <f t="shared" si="51"/>
        <v>tier - 2</v>
      </c>
      <c r="K685" t="s">
        <v>11</v>
      </c>
      <c r="L685" t="str">
        <f t="shared" si="52"/>
        <v>tier - 2</v>
      </c>
      <c r="M685" t="s">
        <v>11</v>
      </c>
      <c r="N685" t="str">
        <f t="shared" si="53"/>
        <v>R1021</v>
      </c>
      <c r="O685" t="s">
        <v>300</v>
      </c>
    </row>
    <row r="686" spans="1:15" x14ac:dyDescent="0.35">
      <c r="A686" t="s">
        <v>718</v>
      </c>
      <c r="C686">
        <f t="shared" si="50"/>
        <v>1982</v>
      </c>
      <c r="D686">
        <v>1982</v>
      </c>
      <c r="E686" t="str">
        <f t="shared" si="54"/>
        <v>Jul</v>
      </c>
      <c r="F686" t="s">
        <v>10</v>
      </c>
      <c r="G686">
        <v>8</v>
      </c>
      <c r="H686">
        <v>0</v>
      </c>
      <c r="I686" s="21">
        <v>5910.94</v>
      </c>
      <c r="J686" t="str">
        <f t="shared" si="51"/>
        <v>tier - 2</v>
      </c>
      <c r="K686" t="s">
        <v>11</v>
      </c>
      <c r="L686" t="str">
        <f t="shared" si="52"/>
        <v>tier - 1</v>
      </c>
      <c r="M686" t="s">
        <v>16</v>
      </c>
      <c r="N686" t="str">
        <f t="shared" si="53"/>
        <v>R1011</v>
      </c>
      <c r="O686" t="s">
        <v>42</v>
      </c>
    </row>
    <row r="687" spans="1:15" x14ac:dyDescent="0.35">
      <c r="A687" t="s">
        <v>719</v>
      </c>
      <c r="C687">
        <f t="shared" si="50"/>
        <v>1982</v>
      </c>
      <c r="D687">
        <v>1982</v>
      </c>
      <c r="E687" t="str">
        <f t="shared" si="54"/>
        <v>Dec</v>
      </c>
      <c r="F687" t="s">
        <v>30</v>
      </c>
      <c r="G687">
        <v>21</v>
      </c>
      <c r="H687">
        <v>0</v>
      </c>
      <c r="I687" s="21">
        <v>5920.1</v>
      </c>
      <c r="J687" t="str">
        <f t="shared" si="51"/>
        <v>tier - 2</v>
      </c>
      <c r="K687" t="s">
        <v>11</v>
      </c>
      <c r="L687" t="str">
        <f t="shared" si="52"/>
        <v>tier - 1</v>
      </c>
      <c r="M687" t="s">
        <v>16</v>
      </c>
      <c r="N687" t="str">
        <f t="shared" si="53"/>
        <v>R1013</v>
      </c>
      <c r="O687" t="s">
        <v>13</v>
      </c>
    </row>
    <row r="688" spans="1:15" x14ac:dyDescent="0.35">
      <c r="A688" t="s">
        <v>720</v>
      </c>
      <c r="C688">
        <f t="shared" si="50"/>
        <v>1987</v>
      </c>
      <c r="D688">
        <v>1987</v>
      </c>
      <c r="E688" t="str">
        <f t="shared" si="54"/>
        <v>Jul</v>
      </c>
      <c r="F688" t="s">
        <v>10</v>
      </c>
      <c r="G688">
        <v>29</v>
      </c>
      <c r="H688">
        <v>3</v>
      </c>
      <c r="I688" s="21">
        <v>5926.85</v>
      </c>
      <c r="J688" t="str">
        <f t="shared" si="51"/>
        <v>tier - 3</v>
      </c>
      <c r="K688" t="s">
        <v>12</v>
      </c>
      <c r="L688" t="str">
        <f t="shared" si="52"/>
        <v>tier - 3</v>
      </c>
      <c r="M688" t="s">
        <v>12</v>
      </c>
      <c r="N688" t="str">
        <f t="shared" si="53"/>
        <v>R1011</v>
      </c>
      <c r="O688" t="s">
        <v>42</v>
      </c>
    </row>
    <row r="689" spans="1:15" x14ac:dyDescent="0.35">
      <c r="A689" t="s">
        <v>721</v>
      </c>
      <c r="C689">
        <f t="shared" si="50"/>
        <v>1993</v>
      </c>
      <c r="D689">
        <v>1993</v>
      </c>
      <c r="E689" t="str">
        <f t="shared" si="54"/>
        <v>Aug</v>
      </c>
      <c r="F689" t="s">
        <v>35</v>
      </c>
      <c r="G689">
        <v>13</v>
      </c>
      <c r="H689">
        <v>0</v>
      </c>
      <c r="I689" s="21">
        <v>5926.93</v>
      </c>
      <c r="J689" t="str">
        <f t="shared" si="51"/>
        <v>tier - 2</v>
      </c>
      <c r="K689" t="s">
        <v>11</v>
      </c>
      <c r="L689" t="str">
        <f t="shared" si="52"/>
        <v>tier - 2</v>
      </c>
      <c r="M689" t="s">
        <v>11</v>
      </c>
      <c r="N689" t="str">
        <f t="shared" si="53"/>
        <v>R1025</v>
      </c>
      <c r="O689" t="s">
        <v>200</v>
      </c>
    </row>
    <row r="690" spans="1:15" x14ac:dyDescent="0.35">
      <c r="A690" t="s">
        <v>722</v>
      </c>
      <c r="C690">
        <f t="shared" si="50"/>
        <v>1994</v>
      </c>
      <c r="D690">
        <v>1994</v>
      </c>
      <c r="E690" t="str">
        <f t="shared" si="54"/>
        <v>Jul</v>
      </c>
      <c r="F690" t="s">
        <v>10</v>
      </c>
      <c r="G690">
        <v>30</v>
      </c>
      <c r="H690">
        <v>0</v>
      </c>
      <c r="I690" s="21">
        <v>5927.65</v>
      </c>
      <c r="J690" t="str">
        <f t="shared" si="51"/>
        <v>tier - 2</v>
      </c>
      <c r="K690" t="s">
        <v>11</v>
      </c>
      <c r="L690" t="str">
        <f t="shared" si="52"/>
        <v>tier - 1</v>
      </c>
      <c r="M690" t="s">
        <v>16</v>
      </c>
      <c r="N690" t="str">
        <f t="shared" si="53"/>
        <v>R1012</v>
      </c>
      <c r="O690" t="s">
        <v>23</v>
      </c>
    </row>
    <row r="691" spans="1:15" x14ac:dyDescent="0.35">
      <c r="A691" t="s">
        <v>723</v>
      </c>
      <c r="C691">
        <f t="shared" si="50"/>
        <v>1987</v>
      </c>
      <c r="D691">
        <v>1987</v>
      </c>
      <c r="E691" t="str">
        <f t="shared" si="54"/>
        <v>Jul</v>
      </c>
      <c r="F691" t="s">
        <v>10</v>
      </c>
      <c r="G691">
        <v>14</v>
      </c>
      <c r="H691">
        <v>3</v>
      </c>
      <c r="I691" s="21">
        <v>5934.38</v>
      </c>
      <c r="J691" t="str">
        <f t="shared" si="51"/>
        <v>tier - 3</v>
      </c>
      <c r="K691" t="s">
        <v>12</v>
      </c>
      <c r="L691" t="str">
        <f t="shared" si="52"/>
        <v>tier - 2</v>
      </c>
      <c r="M691" t="s">
        <v>11</v>
      </c>
      <c r="N691" t="str">
        <f t="shared" si="53"/>
        <v>R1013</v>
      </c>
      <c r="O691" t="s">
        <v>13</v>
      </c>
    </row>
    <row r="692" spans="1:15" x14ac:dyDescent="0.35">
      <c r="A692" t="s">
        <v>724</v>
      </c>
      <c r="C692">
        <f t="shared" si="50"/>
        <v>2003</v>
      </c>
      <c r="D692">
        <v>2003</v>
      </c>
      <c r="E692" t="str">
        <f t="shared" si="54"/>
        <v>Aug</v>
      </c>
      <c r="F692" t="s">
        <v>35</v>
      </c>
      <c r="G692">
        <v>13</v>
      </c>
      <c r="H692">
        <v>0</v>
      </c>
      <c r="I692" s="21">
        <v>5957.35</v>
      </c>
      <c r="J692" t="str">
        <f t="shared" si="51"/>
        <v>tier - 2</v>
      </c>
      <c r="K692" t="s">
        <v>11</v>
      </c>
      <c r="L692" t="str">
        <f t="shared" si="52"/>
        <v>tier - 2</v>
      </c>
      <c r="M692" t="s">
        <v>11</v>
      </c>
      <c r="N692" t="str">
        <f t="shared" si="53"/>
        <v>R1012</v>
      </c>
      <c r="O692" t="s">
        <v>23</v>
      </c>
    </row>
    <row r="693" spans="1:15" x14ac:dyDescent="0.35">
      <c r="A693" t="s">
        <v>725</v>
      </c>
      <c r="C693">
        <f t="shared" si="50"/>
        <v>2004</v>
      </c>
      <c r="D693">
        <v>2004</v>
      </c>
      <c r="E693" t="str">
        <f t="shared" si="54"/>
        <v>Jul</v>
      </c>
      <c r="F693" t="s">
        <v>10</v>
      </c>
      <c r="G693">
        <v>15</v>
      </c>
      <c r="H693">
        <v>0</v>
      </c>
      <c r="I693" s="21">
        <v>5960.91</v>
      </c>
      <c r="J693" t="str">
        <f t="shared" si="51"/>
        <v>tier - 2</v>
      </c>
      <c r="K693" t="s">
        <v>11</v>
      </c>
      <c r="L693" t="str">
        <f t="shared" si="52"/>
        <v>tier - 1</v>
      </c>
      <c r="M693" t="s">
        <v>16</v>
      </c>
      <c r="N693" t="str">
        <f t="shared" si="53"/>
        <v>R1026</v>
      </c>
      <c r="O693" t="s">
        <v>535</v>
      </c>
    </row>
    <row r="694" spans="1:15" x14ac:dyDescent="0.35">
      <c r="A694" t="s">
        <v>726</v>
      </c>
      <c r="C694">
        <f t="shared" si="50"/>
        <v>1980</v>
      </c>
      <c r="D694">
        <v>1980</v>
      </c>
      <c r="E694" t="str">
        <f t="shared" si="54"/>
        <v>Aug</v>
      </c>
      <c r="F694" t="s">
        <v>35</v>
      </c>
      <c r="G694">
        <v>5</v>
      </c>
      <c r="H694">
        <v>0</v>
      </c>
      <c r="I694" s="21">
        <v>5966.89</v>
      </c>
      <c r="J694" t="str">
        <f t="shared" si="51"/>
        <v>tier - 2</v>
      </c>
      <c r="K694" t="s">
        <v>11</v>
      </c>
      <c r="L694" t="str">
        <f t="shared" si="52"/>
        <v>tier - 3</v>
      </c>
      <c r="M694" t="s">
        <v>12</v>
      </c>
      <c r="N694" t="str">
        <f t="shared" si="53"/>
        <v>R1013</v>
      </c>
      <c r="O694" t="s">
        <v>13</v>
      </c>
    </row>
    <row r="695" spans="1:15" x14ac:dyDescent="0.35">
      <c r="A695" t="s">
        <v>727</v>
      </c>
      <c r="C695">
        <f t="shared" si="50"/>
        <v>1980</v>
      </c>
      <c r="D695">
        <v>1980</v>
      </c>
      <c r="E695" t="str">
        <f t="shared" si="54"/>
        <v>Jul</v>
      </c>
      <c r="F695" t="s">
        <v>10</v>
      </c>
      <c r="G695">
        <v>21</v>
      </c>
      <c r="H695">
        <v>0</v>
      </c>
      <c r="I695" s="21">
        <v>5969.72</v>
      </c>
      <c r="J695" t="str">
        <f t="shared" si="51"/>
        <v>tier - 3</v>
      </c>
      <c r="K695" t="s">
        <v>12</v>
      </c>
      <c r="L695" t="str">
        <f t="shared" si="52"/>
        <v>tier - 3</v>
      </c>
      <c r="M695" t="s">
        <v>12</v>
      </c>
      <c r="N695" t="str">
        <f t="shared" si="53"/>
        <v>R1011</v>
      </c>
      <c r="O695" t="s">
        <v>42</v>
      </c>
    </row>
    <row r="696" spans="1:15" x14ac:dyDescent="0.35">
      <c r="A696" t="s">
        <v>728</v>
      </c>
      <c r="C696">
        <f t="shared" si="50"/>
        <v>1989</v>
      </c>
      <c r="D696">
        <v>1989</v>
      </c>
      <c r="E696" t="str">
        <f t="shared" si="54"/>
        <v>Jul</v>
      </c>
      <c r="F696" t="s">
        <v>10</v>
      </c>
      <c r="G696">
        <v>22</v>
      </c>
      <c r="H696">
        <v>3</v>
      </c>
      <c r="I696" s="21">
        <v>5972.38</v>
      </c>
      <c r="J696" t="str">
        <f t="shared" si="51"/>
        <v>tier - 2</v>
      </c>
      <c r="K696" t="s">
        <v>11</v>
      </c>
      <c r="L696" t="str">
        <f t="shared" si="52"/>
        <v>tier - 2</v>
      </c>
      <c r="M696" t="s">
        <v>11</v>
      </c>
      <c r="N696" t="str">
        <f t="shared" si="53"/>
        <v>R1011</v>
      </c>
      <c r="O696" t="s">
        <v>42</v>
      </c>
    </row>
    <row r="697" spans="1:15" x14ac:dyDescent="0.35">
      <c r="A697" t="s">
        <v>729</v>
      </c>
      <c r="C697">
        <f t="shared" si="50"/>
        <v>1984</v>
      </c>
      <c r="D697">
        <v>1984</v>
      </c>
      <c r="E697" t="str">
        <f t="shared" si="54"/>
        <v>Sep</v>
      </c>
      <c r="F697" t="s">
        <v>20</v>
      </c>
      <c r="G697">
        <v>19</v>
      </c>
      <c r="H697">
        <v>1</v>
      </c>
      <c r="I697" s="21">
        <v>5974.38</v>
      </c>
      <c r="J697" t="str">
        <f t="shared" si="51"/>
        <v>tier - 2</v>
      </c>
      <c r="K697" t="s">
        <v>11</v>
      </c>
      <c r="L697" t="str">
        <f t="shared" si="52"/>
        <v>tier - 3</v>
      </c>
      <c r="M697" t="s">
        <v>12</v>
      </c>
      <c r="N697" t="str">
        <f t="shared" si="53"/>
        <v>R1013</v>
      </c>
      <c r="O697" t="s">
        <v>13</v>
      </c>
    </row>
    <row r="698" spans="1:15" x14ac:dyDescent="0.35">
      <c r="A698" t="s">
        <v>730</v>
      </c>
      <c r="C698">
        <f t="shared" si="50"/>
        <v>1984</v>
      </c>
      <c r="D698">
        <v>1984</v>
      </c>
      <c r="E698" t="str">
        <f t="shared" si="54"/>
        <v>Nov</v>
      </c>
      <c r="F698" t="s">
        <v>15</v>
      </c>
      <c r="G698">
        <v>11</v>
      </c>
      <c r="H698">
        <v>1</v>
      </c>
      <c r="I698" s="21">
        <v>5976.83</v>
      </c>
      <c r="J698" t="str">
        <f t="shared" si="51"/>
        <v>tier - 2</v>
      </c>
      <c r="K698" t="s">
        <v>11</v>
      </c>
      <c r="L698" t="str">
        <f t="shared" si="52"/>
        <v>tier - 2</v>
      </c>
      <c r="M698" t="s">
        <v>11</v>
      </c>
      <c r="N698" t="str">
        <f t="shared" si="53"/>
        <v>R1013</v>
      </c>
      <c r="O698" t="s">
        <v>13</v>
      </c>
    </row>
    <row r="699" spans="1:15" x14ac:dyDescent="0.35">
      <c r="A699" t="s">
        <v>731</v>
      </c>
      <c r="C699">
        <f t="shared" si="50"/>
        <v>1970</v>
      </c>
      <c r="D699">
        <v>1970</v>
      </c>
      <c r="E699" t="str">
        <f t="shared" si="54"/>
        <v>Jun</v>
      </c>
      <c r="F699" t="s">
        <v>18</v>
      </c>
      <c r="G699">
        <v>25</v>
      </c>
      <c r="H699">
        <v>0</v>
      </c>
      <c r="I699" s="21">
        <v>5979.66</v>
      </c>
      <c r="J699" t="str">
        <f t="shared" si="51"/>
        <v>tier - 2</v>
      </c>
      <c r="K699" t="s">
        <v>11</v>
      </c>
      <c r="L699" t="str">
        <f t="shared" si="52"/>
        <v>tier - 3</v>
      </c>
      <c r="M699" t="s">
        <v>12</v>
      </c>
      <c r="N699" t="str">
        <f t="shared" si="53"/>
        <v>R1013</v>
      </c>
      <c r="O699" t="s">
        <v>13</v>
      </c>
    </row>
    <row r="700" spans="1:15" x14ac:dyDescent="0.35">
      <c r="A700" t="s">
        <v>732</v>
      </c>
      <c r="C700">
        <f t="shared" si="50"/>
        <v>1980</v>
      </c>
      <c r="D700">
        <v>1980</v>
      </c>
      <c r="E700" t="str">
        <f t="shared" si="54"/>
        <v>Oct</v>
      </c>
      <c r="F700" t="s">
        <v>37</v>
      </c>
      <c r="G700">
        <v>10</v>
      </c>
      <c r="H700">
        <v>0</v>
      </c>
      <c r="I700" s="21">
        <v>5979.73</v>
      </c>
      <c r="J700" t="str">
        <f t="shared" si="51"/>
        <v>tier - 2</v>
      </c>
      <c r="K700" t="s">
        <v>11</v>
      </c>
      <c r="L700" t="str">
        <f t="shared" si="52"/>
        <v>tier - 2</v>
      </c>
      <c r="M700" t="s">
        <v>11</v>
      </c>
      <c r="N700" t="str">
        <f t="shared" si="53"/>
        <v>R1011</v>
      </c>
      <c r="O700" t="s">
        <v>42</v>
      </c>
    </row>
    <row r="701" spans="1:15" x14ac:dyDescent="0.35">
      <c r="A701" t="s">
        <v>733</v>
      </c>
      <c r="C701">
        <f t="shared" si="50"/>
        <v>1974</v>
      </c>
      <c r="D701">
        <v>1974</v>
      </c>
      <c r="E701" t="str">
        <f t="shared" si="54"/>
        <v>Oct</v>
      </c>
      <c r="F701" t="s">
        <v>37</v>
      </c>
      <c r="G701">
        <v>11</v>
      </c>
      <c r="H701">
        <v>0</v>
      </c>
      <c r="I701" s="21">
        <v>5979.99</v>
      </c>
      <c r="J701" t="str">
        <f t="shared" si="51"/>
        <v>tier - 2</v>
      </c>
      <c r="K701" t="s">
        <v>11</v>
      </c>
      <c r="L701" t="str">
        <f t="shared" si="52"/>
        <v>tier - 3</v>
      </c>
      <c r="M701" t="s">
        <v>12</v>
      </c>
      <c r="N701" t="str">
        <f t="shared" si="53"/>
        <v>R1013</v>
      </c>
      <c r="O701" t="s">
        <v>13</v>
      </c>
    </row>
    <row r="702" spans="1:15" x14ac:dyDescent="0.35">
      <c r="A702" t="s">
        <v>734</v>
      </c>
      <c r="C702">
        <f t="shared" si="50"/>
        <v>1988</v>
      </c>
      <c r="D702">
        <v>1988</v>
      </c>
      <c r="E702" t="str">
        <f t="shared" si="54"/>
        <v>Jun</v>
      </c>
      <c r="F702" t="s">
        <v>18</v>
      </c>
      <c r="G702">
        <v>10</v>
      </c>
      <c r="H702">
        <v>2</v>
      </c>
      <c r="I702" s="21">
        <v>5989.52</v>
      </c>
      <c r="J702" t="str">
        <f t="shared" si="51"/>
        <v>tier - 2</v>
      </c>
      <c r="K702" t="s">
        <v>11</v>
      </c>
      <c r="L702" t="str">
        <f t="shared" si="52"/>
        <v>tier - 1</v>
      </c>
      <c r="M702" t="s">
        <v>16</v>
      </c>
      <c r="N702" t="str">
        <f t="shared" si="53"/>
        <v>R1012</v>
      </c>
      <c r="O702" t="s">
        <v>23</v>
      </c>
    </row>
    <row r="703" spans="1:15" x14ac:dyDescent="0.35">
      <c r="A703" t="s">
        <v>735</v>
      </c>
      <c r="C703">
        <f t="shared" si="50"/>
        <v>1974</v>
      </c>
      <c r="D703">
        <v>1974</v>
      </c>
      <c r="E703" t="str">
        <f t="shared" si="54"/>
        <v>Aug</v>
      </c>
      <c r="F703" t="s">
        <v>35</v>
      </c>
      <c r="G703">
        <v>17</v>
      </c>
      <c r="H703">
        <v>0</v>
      </c>
      <c r="I703" s="21">
        <v>5990.17</v>
      </c>
      <c r="J703" t="str">
        <f t="shared" si="51"/>
        <v>tier - 2</v>
      </c>
      <c r="K703" t="s">
        <v>11</v>
      </c>
      <c r="L703" t="str">
        <f t="shared" si="52"/>
        <v>tier - 2</v>
      </c>
      <c r="M703" t="s">
        <v>11</v>
      </c>
      <c r="N703" t="str">
        <f t="shared" si="53"/>
        <v>R1013</v>
      </c>
      <c r="O703" t="s">
        <v>13</v>
      </c>
    </row>
    <row r="704" spans="1:15" x14ac:dyDescent="0.35">
      <c r="A704" t="s">
        <v>736</v>
      </c>
      <c r="C704">
        <f t="shared" si="50"/>
        <v>1980</v>
      </c>
      <c r="D704">
        <v>1980</v>
      </c>
      <c r="E704" t="str">
        <f t="shared" si="54"/>
        <v>Aug</v>
      </c>
      <c r="F704" t="s">
        <v>35</v>
      </c>
      <c r="G704">
        <v>8</v>
      </c>
      <c r="H704">
        <v>2</v>
      </c>
      <c r="I704" s="21">
        <v>5993.62</v>
      </c>
      <c r="J704" t="str">
        <f t="shared" si="51"/>
        <v>tier - 2</v>
      </c>
      <c r="K704" t="s">
        <v>11</v>
      </c>
      <c r="L704" t="str">
        <f t="shared" si="52"/>
        <v>tier - 3</v>
      </c>
      <c r="M704" t="s">
        <v>12</v>
      </c>
      <c r="N704" t="str">
        <f t="shared" si="53"/>
        <v>R1013</v>
      </c>
      <c r="O704" t="s">
        <v>13</v>
      </c>
    </row>
    <row r="705" spans="1:15" x14ac:dyDescent="0.35">
      <c r="A705" t="s">
        <v>737</v>
      </c>
      <c r="C705">
        <f t="shared" si="50"/>
        <v>1989</v>
      </c>
      <c r="D705">
        <v>1989</v>
      </c>
      <c r="E705" t="str">
        <f t="shared" si="54"/>
        <v>Aug</v>
      </c>
      <c r="F705" t="s">
        <v>35</v>
      </c>
      <c r="G705">
        <v>16</v>
      </c>
      <c r="H705">
        <v>4</v>
      </c>
      <c r="I705" s="21">
        <v>6059.17</v>
      </c>
      <c r="J705" t="str">
        <f t="shared" si="51"/>
        <v>tier - 2</v>
      </c>
      <c r="K705" t="s">
        <v>11</v>
      </c>
      <c r="L705" t="str">
        <f t="shared" si="52"/>
        <v>tier - 1</v>
      </c>
      <c r="M705" t="s">
        <v>16</v>
      </c>
      <c r="N705" t="str">
        <f t="shared" si="53"/>
        <v>R1011</v>
      </c>
      <c r="O705" t="s">
        <v>42</v>
      </c>
    </row>
    <row r="706" spans="1:15" x14ac:dyDescent="0.35">
      <c r="A706" t="s">
        <v>738</v>
      </c>
      <c r="C706">
        <f t="shared" si="50"/>
        <v>1996</v>
      </c>
      <c r="D706">
        <v>1996</v>
      </c>
      <c r="E706" t="str">
        <f t="shared" si="54"/>
        <v>Jul</v>
      </c>
      <c r="F706" t="s">
        <v>10</v>
      </c>
      <c r="G706">
        <v>28</v>
      </c>
      <c r="H706">
        <v>0</v>
      </c>
      <c r="I706" s="21">
        <v>6061.8</v>
      </c>
      <c r="J706" t="str">
        <f t="shared" si="51"/>
        <v>tier - 2</v>
      </c>
      <c r="K706" t="s">
        <v>11</v>
      </c>
      <c r="L706" t="str">
        <f t="shared" si="52"/>
        <v>tier - 3</v>
      </c>
      <c r="M706" t="s">
        <v>12</v>
      </c>
      <c r="N706" t="str">
        <f t="shared" si="53"/>
        <v>R1012</v>
      </c>
      <c r="O706" t="s">
        <v>23</v>
      </c>
    </row>
    <row r="707" spans="1:15" x14ac:dyDescent="0.35">
      <c r="A707" t="s">
        <v>739</v>
      </c>
      <c r="C707">
        <f t="shared" ref="C707:C770" si="55">IF(OR(D707="?", ISBLANK(D707)), 1983, D707)</f>
        <v>1994</v>
      </c>
      <c r="D707">
        <v>1994</v>
      </c>
      <c r="E707" t="str">
        <f t="shared" si="54"/>
        <v>Nov</v>
      </c>
      <c r="F707" t="s">
        <v>15</v>
      </c>
      <c r="G707">
        <v>8</v>
      </c>
      <c r="H707">
        <v>0</v>
      </c>
      <c r="I707" s="21">
        <v>6064.37</v>
      </c>
      <c r="J707" t="str">
        <f t="shared" ref="J707:J770" si="56">IF(OR(K707="?", ISBLANK(K707)), "Tier 2", K707)</f>
        <v>tier - 2</v>
      </c>
      <c r="K707" t="s">
        <v>11</v>
      </c>
      <c r="L707" t="str">
        <f t="shared" ref="L707:L770" si="57">IF(OR(M707="?", ISBLANK(M707)), "Tier 2", M707)</f>
        <v>tier - 2</v>
      </c>
      <c r="M707" t="s">
        <v>11</v>
      </c>
      <c r="N707" t="str">
        <f t="shared" ref="N707:N770" si="58">IF(OR(O707="?", ISBLANK(O707)), "Unknown", O707)</f>
        <v>R1011</v>
      </c>
      <c r="O707" t="s">
        <v>42</v>
      </c>
    </row>
    <row r="708" spans="1:15" x14ac:dyDescent="0.35">
      <c r="A708" t="s">
        <v>740</v>
      </c>
      <c r="C708">
        <f t="shared" si="55"/>
        <v>1984</v>
      </c>
      <c r="D708">
        <v>1984</v>
      </c>
      <c r="E708" t="str">
        <f t="shared" ref="E708:E771" si="59">IF(OR(F708="?", ISBLANK(F708)), "Sep", F708)</f>
        <v>Sep</v>
      </c>
      <c r="F708" t="s">
        <v>20</v>
      </c>
      <c r="G708">
        <v>21</v>
      </c>
      <c r="H708">
        <v>1</v>
      </c>
      <c r="I708" s="21">
        <v>6067.13</v>
      </c>
      <c r="J708" t="str">
        <f t="shared" si="56"/>
        <v>tier - 3</v>
      </c>
      <c r="K708" t="s">
        <v>12</v>
      </c>
      <c r="L708" t="str">
        <f t="shared" si="57"/>
        <v>tier - 1</v>
      </c>
      <c r="M708" t="s">
        <v>16</v>
      </c>
      <c r="N708" t="str">
        <f t="shared" si="58"/>
        <v>R1016</v>
      </c>
      <c r="O708" t="s">
        <v>168</v>
      </c>
    </row>
    <row r="709" spans="1:15" x14ac:dyDescent="0.35">
      <c r="A709" t="s">
        <v>741</v>
      </c>
      <c r="C709">
        <f t="shared" si="55"/>
        <v>1979</v>
      </c>
      <c r="D709">
        <v>1979</v>
      </c>
      <c r="E709" t="str">
        <f t="shared" si="59"/>
        <v>Aug</v>
      </c>
      <c r="F709" t="s">
        <v>35</v>
      </c>
      <c r="G709">
        <v>8</v>
      </c>
      <c r="H709">
        <v>2</v>
      </c>
      <c r="I709" s="21">
        <v>6074.37</v>
      </c>
      <c r="J709" t="str">
        <f t="shared" si="56"/>
        <v>tier - 2</v>
      </c>
      <c r="K709" t="s">
        <v>11</v>
      </c>
      <c r="L709" t="str">
        <f t="shared" si="57"/>
        <v>tier - 2</v>
      </c>
      <c r="M709" t="s">
        <v>11</v>
      </c>
      <c r="N709" t="str">
        <f t="shared" si="58"/>
        <v>R1012</v>
      </c>
      <c r="O709" t="s">
        <v>23</v>
      </c>
    </row>
    <row r="710" spans="1:15" x14ac:dyDescent="0.35">
      <c r="A710" t="s">
        <v>742</v>
      </c>
      <c r="C710">
        <f t="shared" si="55"/>
        <v>1984</v>
      </c>
      <c r="D710">
        <v>1984</v>
      </c>
      <c r="E710" t="str">
        <f t="shared" si="59"/>
        <v>Oct</v>
      </c>
      <c r="F710" t="s">
        <v>37</v>
      </c>
      <c r="G710">
        <v>14</v>
      </c>
      <c r="H710">
        <v>1</v>
      </c>
      <c r="I710" s="21">
        <v>6079.67</v>
      </c>
      <c r="J710" t="str">
        <f t="shared" si="56"/>
        <v>tier - 1</v>
      </c>
      <c r="K710" t="s">
        <v>16</v>
      </c>
      <c r="L710" t="str">
        <f t="shared" si="57"/>
        <v>tier - 1</v>
      </c>
      <c r="M710" t="s">
        <v>16</v>
      </c>
      <c r="N710" t="str">
        <f t="shared" si="58"/>
        <v>R1014</v>
      </c>
      <c r="O710" t="s">
        <v>276</v>
      </c>
    </row>
    <row r="711" spans="1:15" x14ac:dyDescent="0.35">
      <c r="A711" t="s">
        <v>743</v>
      </c>
      <c r="C711">
        <f t="shared" si="55"/>
        <v>1984</v>
      </c>
      <c r="D711">
        <v>1984</v>
      </c>
      <c r="E711" t="str">
        <f t="shared" si="59"/>
        <v>Jul</v>
      </c>
      <c r="F711" t="s">
        <v>10</v>
      </c>
      <c r="G711">
        <v>25</v>
      </c>
      <c r="H711">
        <v>2</v>
      </c>
      <c r="I711" s="21">
        <v>6082.41</v>
      </c>
      <c r="J711" t="str">
        <f t="shared" si="56"/>
        <v>tier - 1</v>
      </c>
      <c r="K711" t="s">
        <v>16</v>
      </c>
      <c r="L711" t="str">
        <f t="shared" si="57"/>
        <v>tier - 2</v>
      </c>
      <c r="M711" t="s">
        <v>11</v>
      </c>
      <c r="N711" t="str">
        <f t="shared" si="58"/>
        <v>R1011</v>
      </c>
      <c r="O711" t="s">
        <v>42</v>
      </c>
    </row>
    <row r="712" spans="1:15" x14ac:dyDescent="0.35">
      <c r="A712" t="s">
        <v>744</v>
      </c>
      <c r="C712">
        <f t="shared" si="55"/>
        <v>1970</v>
      </c>
      <c r="D712">
        <v>1970</v>
      </c>
      <c r="E712" t="str">
        <f t="shared" si="59"/>
        <v>Jun</v>
      </c>
      <c r="F712" t="s">
        <v>18</v>
      </c>
      <c r="G712">
        <v>9</v>
      </c>
      <c r="H712">
        <v>0</v>
      </c>
      <c r="I712" s="21">
        <v>6098.38</v>
      </c>
      <c r="J712" t="str">
        <f t="shared" si="56"/>
        <v>tier - 2</v>
      </c>
      <c r="K712" t="s">
        <v>11</v>
      </c>
      <c r="L712" t="str">
        <f t="shared" si="57"/>
        <v>tier - 2</v>
      </c>
      <c r="M712" t="s">
        <v>11</v>
      </c>
      <c r="N712" t="str">
        <f t="shared" si="58"/>
        <v>R1013</v>
      </c>
      <c r="O712" t="s">
        <v>13</v>
      </c>
    </row>
    <row r="713" spans="1:15" x14ac:dyDescent="0.35">
      <c r="A713" t="s">
        <v>745</v>
      </c>
      <c r="C713">
        <f t="shared" si="55"/>
        <v>1995</v>
      </c>
      <c r="D713">
        <v>1995</v>
      </c>
      <c r="E713" t="str">
        <f t="shared" si="59"/>
        <v>Sep</v>
      </c>
      <c r="F713" t="s">
        <v>20</v>
      </c>
      <c r="G713">
        <v>9</v>
      </c>
      <c r="H713">
        <v>0</v>
      </c>
      <c r="I713" s="21">
        <v>6111.95</v>
      </c>
      <c r="J713" t="str">
        <f t="shared" si="56"/>
        <v>tier - 2</v>
      </c>
      <c r="K713" t="s">
        <v>11</v>
      </c>
      <c r="L713" t="str">
        <f t="shared" si="57"/>
        <v>tier - 3</v>
      </c>
      <c r="M713" t="s">
        <v>12</v>
      </c>
      <c r="N713" t="str">
        <f t="shared" si="58"/>
        <v>R1026</v>
      </c>
      <c r="O713" t="s">
        <v>535</v>
      </c>
    </row>
    <row r="714" spans="1:15" x14ac:dyDescent="0.35">
      <c r="A714" t="s">
        <v>746</v>
      </c>
      <c r="C714">
        <f t="shared" si="55"/>
        <v>1985</v>
      </c>
      <c r="D714">
        <v>1985</v>
      </c>
      <c r="E714" t="str">
        <f t="shared" si="59"/>
        <v>Jul</v>
      </c>
      <c r="F714" t="s">
        <v>10</v>
      </c>
      <c r="G714">
        <v>21</v>
      </c>
      <c r="H714">
        <v>1</v>
      </c>
      <c r="I714" s="21">
        <v>6112.35</v>
      </c>
      <c r="J714" t="str">
        <f t="shared" si="56"/>
        <v>tier - 2</v>
      </c>
      <c r="K714" t="s">
        <v>11</v>
      </c>
      <c r="L714" t="str">
        <f t="shared" si="57"/>
        <v>tier - 1</v>
      </c>
      <c r="M714" t="s">
        <v>16</v>
      </c>
      <c r="N714" t="str">
        <f t="shared" si="58"/>
        <v>R1012</v>
      </c>
      <c r="O714" t="s">
        <v>23</v>
      </c>
    </row>
    <row r="715" spans="1:15" x14ac:dyDescent="0.35">
      <c r="A715" t="s">
        <v>747</v>
      </c>
      <c r="C715">
        <f t="shared" si="55"/>
        <v>1991</v>
      </c>
      <c r="D715">
        <v>1991</v>
      </c>
      <c r="E715" t="str">
        <f t="shared" si="59"/>
        <v>Jul</v>
      </c>
      <c r="F715" t="s">
        <v>10</v>
      </c>
      <c r="G715">
        <v>25</v>
      </c>
      <c r="H715">
        <v>3</v>
      </c>
      <c r="I715" s="21">
        <v>6113.23</v>
      </c>
      <c r="J715" t="str">
        <f t="shared" si="56"/>
        <v>tier - 2</v>
      </c>
      <c r="K715" t="s">
        <v>11</v>
      </c>
      <c r="L715" t="str">
        <f t="shared" si="57"/>
        <v>tier - 2</v>
      </c>
      <c r="M715" t="s">
        <v>11</v>
      </c>
      <c r="N715" t="str">
        <f t="shared" si="58"/>
        <v>R1024</v>
      </c>
      <c r="O715" t="s">
        <v>247</v>
      </c>
    </row>
    <row r="716" spans="1:15" x14ac:dyDescent="0.35">
      <c r="A716" t="s">
        <v>748</v>
      </c>
      <c r="C716">
        <f t="shared" si="55"/>
        <v>1983</v>
      </c>
      <c r="D716">
        <v>1983</v>
      </c>
      <c r="E716" t="str">
        <f t="shared" si="59"/>
        <v>Aug</v>
      </c>
      <c r="F716" t="s">
        <v>35</v>
      </c>
      <c r="G716">
        <v>11</v>
      </c>
      <c r="H716">
        <v>1</v>
      </c>
      <c r="I716" s="21">
        <v>6117.49</v>
      </c>
      <c r="J716" t="str">
        <f t="shared" si="56"/>
        <v>tier - 2</v>
      </c>
      <c r="K716" t="s">
        <v>11</v>
      </c>
      <c r="L716" t="str">
        <f t="shared" si="57"/>
        <v>tier - 3</v>
      </c>
      <c r="M716" t="s">
        <v>12</v>
      </c>
      <c r="N716" t="str">
        <f t="shared" si="58"/>
        <v>R1012</v>
      </c>
      <c r="O716" t="s">
        <v>23</v>
      </c>
    </row>
    <row r="717" spans="1:15" x14ac:dyDescent="0.35">
      <c r="A717" t="s">
        <v>749</v>
      </c>
      <c r="C717">
        <f t="shared" si="55"/>
        <v>1983</v>
      </c>
      <c r="D717">
        <v>1983</v>
      </c>
      <c r="E717" t="str">
        <f t="shared" si="59"/>
        <v>Nov</v>
      </c>
      <c r="F717" t="s">
        <v>15</v>
      </c>
      <c r="G717">
        <v>16</v>
      </c>
      <c r="H717">
        <v>1</v>
      </c>
      <c r="I717" s="21">
        <v>6123.57</v>
      </c>
      <c r="J717" t="str">
        <f t="shared" si="56"/>
        <v>tier - 3</v>
      </c>
      <c r="K717" t="s">
        <v>12</v>
      </c>
      <c r="L717" t="str">
        <f t="shared" si="57"/>
        <v>tier - 2</v>
      </c>
      <c r="M717" t="s">
        <v>11</v>
      </c>
      <c r="N717" t="str">
        <f t="shared" si="58"/>
        <v>R1012</v>
      </c>
      <c r="O717" t="s">
        <v>23</v>
      </c>
    </row>
    <row r="718" spans="1:15" x14ac:dyDescent="0.35">
      <c r="A718" t="s">
        <v>750</v>
      </c>
      <c r="C718">
        <f t="shared" si="55"/>
        <v>1990</v>
      </c>
      <c r="D718">
        <v>1990</v>
      </c>
      <c r="E718" t="str">
        <f t="shared" si="59"/>
        <v>Aug</v>
      </c>
      <c r="F718" t="s">
        <v>35</v>
      </c>
      <c r="G718">
        <v>18</v>
      </c>
      <c r="H718">
        <v>3</v>
      </c>
      <c r="I718" s="21">
        <v>6128.8</v>
      </c>
      <c r="J718" t="str">
        <f t="shared" si="56"/>
        <v>tier - 2</v>
      </c>
      <c r="K718" t="s">
        <v>11</v>
      </c>
      <c r="L718" t="str">
        <f t="shared" si="57"/>
        <v>tier - 3</v>
      </c>
      <c r="M718" t="s">
        <v>12</v>
      </c>
      <c r="N718" t="str">
        <f t="shared" si="58"/>
        <v>R1012</v>
      </c>
      <c r="O718" t="s">
        <v>23</v>
      </c>
    </row>
    <row r="719" spans="1:15" x14ac:dyDescent="0.35">
      <c r="A719" t="s">
        <v>751</v>
      </c>
      <c r="C719">
        <f t="shared" si="55"/>
        <v>1969</v>
      </c>
      <c r="D719">
        <v>1969</v>
      </c>
      <c r="E719" t="str">
        <f t="shared" si="59"/>
        <v>Nov</v>
      </c>
      <c r="F719" t="s">
        <v>15</v>
      </c>
      <c r="G719">
        <v>9</v>
      </c>
      <c r="H719">
        <v>0</v>
      </c>
      <c r="I719" s="21">
        <v>6138.5</v>
      </c>
      <c r="J719" t="str">
        <f t="shared" si="56"/>
        <v>tier - 2</v>
      </c>
      <c r="K719" t="s">
        <v>11</v>
      </c>
      <c r="L719" t="str">
        <f t="shared" si="57"/>
        <v>tier - 2</v>
      </c>
      <c r="M719" t="s">
        <v>11</v>
      </c>
      <c r="N719" t="str">
        <f t="shared" si="58"/>
        <v>R1011</v>
      </c>
      <c r="O719" t="s">
        <v>42</v>
      </c>
    </row>
    <row r="720" spans="1:15" x14ac:dyDescent="0.35">
      <c r="A720" t="s">
        <v>752</v>
      </c>
      <c r="C720">
        <f t="shared" si="55"/>
        <v>1978</v>
      </c>
      <c r="D720">
        <v>1978</v>
      </c>
      <c r="E720" t="str">
        <f t="shared" si="59"/>
        <v>Sep</v>
      </c>
      <c r="F720" t="s">
        <v>20</v>
      </c>
      <c r="G720">
        <v>5</v>
      </c>
      <c r="H720">
        <v>2</v>
      </c>
      <c r="I720" s="21">
        <v>6138.58</v>
      </c>
      <c r="J720" t="str">
        <f t="shared" si="56"/>
        <v>tier - 2</v>
      </c>
      <c r="K720" t="s">
        <v>11</v>
      </c>
      <c r="L720" t="str">
        <f t="shared" si="57"/>
        <v>tier - 1</v>
      </c>
      <c r="M720" t="s">
        <v>16</v>
      </c>
      <c r="N720" t="str">
        <f t="shared" si="58"/>
        <v>R1013</v>
      </c>
      <c r="O720" t="s">
        <v>13</v>
      </c>
    </row>
    <row r="721" spans="1:15" x14ac:dyDescent="0.35">
      <c r="A721" t="s">
        <v>753</v>
      </c>
      <c r="C721">
        <f t="shared" si="55"/>
        <v>1976</v>
      </c>
      <c r="D721">
        <v>1976</v>
      </c>
      <c r="E721" t="str">
        <f t="shared" si="59"/>
        <v>Dec</v>
      </c>
      <c r="F721" t="s">
        <v>30</v>
      </c>
      <c r="G721">
        <v>12</v>
      </c>
      <c r="H721">
        <v>2</v>
      </c>
      <c r="I721" s="21">
        <v>6139.14</v>
      </c>
      <c r="J721" t="str">
        <f t="shared" si="56"/>
        <v>tier - 2</v>
      </c>
      <c r="K721" t="s">
        <v>11</v>
      </c>
      <c r="L721" t="str">
        <f t="shared" si="57"/>
        <v>tier - 3</v>
      </c>
      <c r="M721" t="s">
        <v>12</v>
      </c>
      <c r="N721" t="str">
        <f t="shared" si="58"/>
        <v>R1013</v>
      </c>
      <c r="O721" t="s">
        <v>13</v>
      </c>
    </row>
    <row r="722" spans="1:15" x14ac:dyDescent="0.35">
      <c r="A722" t="s">
        <v>754</v>
      </c>
      <c r="C722">
        <f t="shared" si="55"/>
        <v>1970</v>
      </c>
      <c r="D722">
        <v>1970</v>
      </c>
      <c r="E722" t="str">
        <f t="shared" si="59"/>
        <v>Oct</v>
      </c>
      <c r="F722" t="s">
        <v>37</v>
      </c>
      <c r="G722">
        <v>14</v>
      </c>
      <c r="H722">
        <v>0</v>
      </c>
      <c r="I722" s="21">
        <v>6147.12</v>
      </c>
      <c r="J722" t="str">
        <f t="shared" si="56"/>
        <v>tier - 2</v>
      </c>
      <c r="K722" t="s">
        <v>11</v>
      </c>
      <c r="L722" t="str">
        <f t="shared" si="57"/>
        <v>tier - 3</v>
      </c>
      <c r="M722" t="s">
        <v>12</v>
      </c>
      <c r="N722" t="str">
        <f t="shared" si="58"/>
        <v>R1012</v>
      </c>
      <c r="O722" t="s">
        <v>23</v>
      </c>
    </row>
    <row r="723" spans="1:15" x14ac:dyDescent="0.35">
      <c r="A723" t="s">
        <v>755</v>
      </c>
      <c r="C723">
        <f t="shared" si="55"/>
        <v>1973</v>
      </c>
      <c r="D723">
        <v>1973</v>
      </c>
      <c r="E723" t="str">
        <f t="shared" si="59"/>
        <v>Nov</v>
      </c>
      <c r="F723" t="s">
        <v>15</v>
      </c>
      <c r="G723">
        <v>6</v>
      </c>
      <c r="H723">
        <v>0</v>
      </c>
      <c r="I723" s="21">
        <v>6152.05</v>
      </c>
      <c r="J723" t="str">
        <f t="shared" si="56"/>
        <v>tier - 2</v>
      </c>
      <c r="K723" t="s">
        <v>11</v>
      </c>
      <c r="L723" t="str">
        <f t="shared" si="57"/>
        <v>tier - 3</v>
      </c>
      <c r="M723" t="s">
        <v>12</v>
      </c>
      <c r="N723" t="str">
        <f t="shared" si="58"/>
        <v>R1013</v>
      </c>
      <c r="O723" t="s">
        <v>13</v>
      </c>
    </row>
    <row r="724" spans="1:15" x14ac:dyDescent="0.35">
      <c r="A724" t="s">
        <v>756</v>
      </c>
      <c r="C724">
        <f t="shared" si="55"/>
        <v>1985</v>
      </c>
      <c r="D724">
        <v>1985</v>
      </c>
      <c r="E724" t="str">
        <f t="shared" si="59"/>
        <v>Oct</v>
      </c>
      <c r="F724" t="s">
        <v>37</v>
      </c>
      <c r="G724">
        <v>15</v>
      </c>
      <c r="H724">
        <v>3</v>
      </c>
      <c r="I724" s="21">
        <v>6159.57</v>
      </c>
      <c r="J724" t="str">
        <f t="shared" si="56"/>
        <v>tier - 2</v>
      </c>
      <c r="K724" t="s">
        <v>11</v>
      </c>
      <c r="L724" t="str">
        <f t="shared" si="57"/>
        <v>tier - 1</v>
      </c>
      <c r="M724" t="s">
        <v>16</v>
      </c>
      <c r="N724" t="str">
        <f t="shared" si="58"/>
        <v>R1012</v>
      </c>
      <c r="O724" t="s">
        <v>23</v>
      </c>
    </row>
    <row r="725" spans="1:15" x14ac:dyDescent="0.35">
      <c r="A725" t="s">
        <v>757</v>
      </c>
      <c r="C725">
        <f t="shared" si="55"/>
        <v>1984</v>
      </c>
      <c r="D725">
        <v>1984</v>
      </c>
      <c r="E725" t="str">
        <f t="shared" si="59"/>
        <v>Oct</v>
      </c>
      <c r="F725" t="s">
        <v>37</v>
      </c>
      <c r="G725">
        <v>6</v>
      </c>
      <c r="H725">
        <v>3</v>
      </c>
      <c r="I725" s="21">
        <v>6170.96</v>
      </c>
      <c r="J725" t="str">
        <f t="shared" si="56"/>
        <v>tier - 2</v>
      </c>
      <c r="K725" t="s">
        <v>11</v>
      </c>
      <c r="L725" t="str">
        <f t="shared" si="57"/>
        <v>tier - 1</v>
      </c>
      <c r="M725" t="s">
        <v>16</v>
      </c>
      <c r="N725" t="str">
        <f t="shared" si="58"/>
        <v>R1013</v>
      </c>
      <c r="O725" t="s">
        <v>13</v>
      </c>
    </row>
    <row r="726" spans="1:15" x14ac:dyDescent="0.35">
      <c r="A726" t="s">
        <v>758</v>
      </c>
      <c r="C726">
        <f t="shared" si="55"/>
        <v>1985</v>
      </c>
      <c r="D726">
        <v>1985</v>
      </c>
      <c r="E726" t="str">
        <f t="shared" si="59"/>
        <v>Aug</v>
      </c>
      <c r="F726" t="s">
        <v>35</v>
      </c>
      <c r="G726">
        <v>9</v>
      </c>
      <c r="H726">
        <v>3</v>
      </c>
      <c r="I726" s="21">
        <v>6183.32</v>
      </c>
      <c r="J726" t="str">
        <f t="shared" si="56"/>
        <v>tier - 2</v>
      </c>
      <c r="K726" t="s">
        <v>11</v>
      </c>
      <c r="L726" t="str">
        <f t="shared" si="57"/>
        <v>tier - 2</v>
      </c>
      <c r="M726" t="s">
        <v>11</v>
      </c>
      <c r="N726" t="str">
        <f t="shared" si="58"/>
        <v>R1012</v>
      </c>
      <c r="O726" t="s">
        <v>23</v>
      </c>
    </row>
    <row r="727" spans="1:15" x14ac:dyDescent="0.35">
      <c r="A727" t="s">
        <v>759</v>
      </c>
      <c r="C727">
        <f t="shared" si="55"/>
        <v>1970</v>
      </c>
      <c r="D727">
        <v>1970</v>
      </c>
      <c r="E727" t="str">
        <f t="shared" si="59"/>
        <v>Oct</v>
      </c>
      <c r="F727" t="s">
        <v>37</v>
      </c>
      <c r="G727">
        <v>5</v>
      </c>
      <c r="H727">
        <v>0</v>
      </c>
      <c r="I727" s="21">
        <v>6183.46</v>
      </c>
      <c r="J727" t="str">
        <f t="shared" si="56"/>
        <v>tier - 2</v>
      </c>
      <c r="K727" t="s">
        <v>11</v>
      </c>
      <c r="L727" t="str">
        <f t="shared" si="57"/>
        <v>tier - 2</v>
      </c>
      <c r="M727" t="s">
        <v>11</v>
      </c>
      <c r="N727" t="str">
        <f t="shared" si="58"/>
        <v>R1012</v>
      </c>
      <c r="O727" t="s">
        <v>23</v>
      </c>
    </row>
    <row r="728" spans="1:15" x14ac:dyDescent="0.35">
      <c r="A728" t="s">
        <v>760</v>
      </c>
      <c r="C728">
        <f t="shared" si="55"/>
        <v>1988</v>
      </c>
      <c r="D728">
        <v>1988</v>
      </c>
      <c r="E728" t="str">
        <f t="shared" si="59"/>
        <v>Nov</v>
      </c>
      <c r="F728" t="s">
        <v>15</v>
      </c>
      <c r="G728">
        <v>1</v>
      </c>
      <c r="H728">
        <v>3</v>
      </c>
      <c r="I728" s="21">
        <v>6184.3</v>
      </c>
      <c r="J728" t="str">
        <f t="shared" si="56"/>
        <v>tier - 2</v>
      </c>
      <c r="K728" t="s">
        <v>11</v>
      </c>
      <c r="L728" t="str">
        <f t="shared" si="57"/>
        <v>tier - 3</v>
      </c>
      <c r="M728" t="s">
        <v>12</v>
      </c>
      <c r="N728" t="str">
        <f t="shared" si="58"/>
        <v>R1013</v>
      </c>
      <c r="O728" t="s">
        <v>13</v>
      </c>
    </row>
    <row r="729" spans="1:15" x14ac:dyDescent="0.35">
      <c r="A729" t="s">
        <v>761</v>
      </c>
      <c r="C729">
        <f t="shared" si="55"/>
        <v>1981</v>
      </c>
      <c r="D729">
        <v>1981</v>
      </c>
      <c r="E729" t="str">
        <f t="shared" si="59"/>
        <v>Nov</v>
      </c>
      <c r="F729" t="s">
        <v>15</v>
      </c>
      <c r="G729">
        <v>22</v>
      </c>
      <c r="H729">
        <v>0</v>
      </c>
      <c r="I729" s="21">
        <v>6185.32</v>
      </c>
      <c r="J729" t="str">
        <f t="shared" si="56"/>
        <v>tier - 2</v>
      </c>
      <c r="K729" t="s">
        <v>11</v>
      </c>
      <c r="L729" t="str">
        <f t="shared" si="57"/>
        <v>tier - 1</v>
      </c>
      <c r="M729" t="s">
        <v>16</v>
      </c>
      <c r="N729" t="str">
        <f t="shared" si="58"/>
        <v>R1013</v>
      </c>
      <c r="O729" t="s">
        <v>13</v>
      </c>
    </row>
    <row r="730" spans="1:15" x14ac:dyDescent="0.35">
      <c r="A730" t="s">
        <v>762</v>
      </c>
      <c r="C730">
        <f t="shared" si="55"/>
        <v>1981</v>
      </c>
      <c r="D730">
        <v>1981</v>
      </c>
      <c r="E730" t="str">
        <f t="shared" si="59"/>
        <v>Oct</v>
      </c>
      <c r="F730" t="s">
        <v>37</v>
      </c>
      <c r="G730">
        <v>1</v>
      </c>
      <c r="H730">
        <v>0</v>
      </c>
      <c r="I730" s="21">
        <v>6186.13</v>
      </c>
      <c r="J730" t="str">
        <f t="shared" si="56"/>
        <v>tier - 2</v>
      </c>
      <c r="K730" t="s">
        <v>11</v>
      </c>
      <c r="L730" t="str">
        <f t="shared" si="57"/>
        <v>tier - 3</v>
      </c>
      <c r="M730" t="s">
        <v>12</v>
      </c>
      <c r="N730" t="str">
        <f t="shared" si="58"/>
        <v>R1011</v>
      </c>
      <c r="O730" t="s">
        <v>42</v>
      </c>
    </row>
    <row r="731" spans="1:15" x14ac:dyDescent="0.35">
      <c r="A731" t="s">
        <v>763</v>
      </c>
      <c r="C731">
        <f t="shared" si="55"/>
        <v>1988</v>
      </c>
      <c r="D731">
        <v>1988</v>
      </c>
      <c r="E731" t="str">
        <f t="shared" si="59"/>
        <v>Oct</v>
      </c>
      <c r="F731" t="s">
        <v>37</v>
      </c>
      <c r="G731">
        <v>23</v>
      </c>
      <c r="H731">
        <v>3</v>
      </c>
      <c r="I731" s="21">
        <v>6196.45</v>
      </c>
      <c r="J731" t="str">
        <f t="shared" si="56"/>
        <v>tier - 2</v>
      </c>
      <c r="K731" t="s">
        <v>11</v>
      </c>
      <c r="L731" t="str">
        <f t="shared" si="57"/>
        <v>tier - 1</v>
      </c>
      <c r="M731" t="s">
        <v>16</v>
      </c>
      <c r="N731" t="str">
        <f t="shared" si="58"/>
        <v>R1011</v>
      </c>
      <c r="O731" t="s">
        <v>42</v>
      </c>
    </row>
    <row r="732" spans="1:15" x14ac:dyDescent="0.35">
      <c r="A732" t="s">
        <v>764</v>
      </c>
      <c r="C732">
        <f t="shared" si="55"/>
        <v>1985</v>
      </c>
      <c r="D732">
        <v>1985</v>
      </c>
      <c r="E732" t="str">
        <f t="shared" si="59"/>
        <v>Jul</v>
      </c>
      <c r="F732" t="s">
        <v>10</v>
      </c>
      <c r="G732">
        <v>22</v>
      </c>
      <c r="H732">
        <v>2</v>
      </c>
      <c r="I732" s="21">
        <v>6198.75</v>
      </c>
      <c r="J732" t="str">
        <f t="shared" si="56"/>
        <v>tier - 2</v>
      </c>
      <c r="K732" t="s">
        <v>11</v>
      </c>
      <c r="L732" t="str">
        <f t="shared" si="57"/>
        <v>tier - 1</v>
      </c>
      <c r="M732" t="s">
        <v>16</v>
      </c>
      <c r="N732" t="str">
        <f t="shared" si="58"/>
        <v>R1012</v>
      </c>
      <c r="O732" t="s">
        <v>23</v>
      </c>
    </row>
    <row r="733" spans="1:15" x14ac:dyDescent="0.35">
      <c r="A733" t="s">
        <v>31</v>
      </c>
      <c r="C733">
        <f t="shared" si="55"/>
        <v>1985</v>
      </c>
      <c r="D733">
        <v>1985</v>
      </c>
      <c r="E733" t="str">
        <f t="shared" si="59"/>
        <v>Dec</v>
      </c>
      <c r="F733" t="s">
        <v>30</v>
      </c>
      <c r="G733">
        <v>20</v>
      </c>
      <c r="H733">
        <v>2</v>
      </c>
      <c r="I733" s="21">
        <v>6203.9</v>
      </c>
      <c r="J733" t="str">
        <f t="shared" si="56"/>
        <v>tier - 1</v>
      </c>
      <c r="K733" t="s">
        <v>16</v>
      </c>
      <c r="L733" t="str">
        <f t="shared" si="57"/>
        <v>tier - 2</v>
      </c>
      <c r="M733" t="s">
        <v>11</v>
      </c>
      <c r="N733" t="str">
        <f t="shared" si="58"/>
        <v>R1012</v>
      </c>
      <c r="O733" t="s">
        <v>23</v>
      </c>
    </row>
    <row r="734" spans="1:15" x14ac:dyDescent="0.35">
      <c r="A734" t="s">
        <v>765</v>
      </c>
      <c r="C734">
        <f t="shared" si="55"/>
        <v>1985</v>
      </c>
      <c r="D734">
        <v>1985</v>
      </c>
      <c r="E734" t="str">
        <f t="shared" si="59"/>
        <v>Sep</v>
      </c>
      <c r="F734" t="s">
        <v>20</v>
      </c>
      <c r="G734">
        <v>22</v>
      </c>
      <c r="H734">
        <v>2</v>
      </c>
      <c r="I734" s="21">
        <v>6203.9</v>
      </c>
      <c r="J734" t="str">
        <f t="shared" si="56"/>
        <v>tier - 2</v>
      </c>
      <c r="K734" t="s">
        <v>11</v>
      </c>
      <c r="L734" t="str">
        <f t="shared" si="57"/>
        <v>tier - 2</v>
      </c>
      <c r="M734" t="s">
        <v>11</v>
      </c>
      <c r="N734" t="str">
        <f t="shared" si="58"/>
        <v>R1012</v>
      </c>
      <c r="O734" t="s">
        <v>23</v>
      </c>
    </row>
    <row r="735" spans="1:15" x14ac:dyDescent="0.35">
      <c r="A735" t="s">
        <v>766</v>
      </c>
      <c r="C735">
        <f t="shared" si="55"/>
        <v>1999</v>
      </c>
      <c r="D735">
        <v>1999</v>
      </c>
      <c r="E735" t="str">
        <f t="shared" si="59"/>
        <v>Sep</v>
      </c>
      <c r="F735" t="s">
        <v>20</v>
      </c>
      <c r="G735">
        <v>10</v>
      </c>
      <c r="H735">
        <v>0</v>
      </c>
      <c r="I735" s="21">
        <v>6207.26</v>
      </c>
      <c r="J735" t="str">
        <f t="shared" si="56"/>
        <v>tier - 2</v>
      </c>
      <c r="K735" t="s">
        <v>11</v>
      </c>
      <c r="L735" t="str">
        <f t="shared" si="57"/>
        <v>tier - 2</v>
      </c>
      <c r="M735" t="s">
        <v>11</v>
      </c>
      <c r="N735" t="str">
        <f t="shared" si="58"/>
        <v>R1026</v>
      </c>
      <c r="O735" t="s">
        <v>535</v>
      </c>
    </row>
    <row r="736" spans="1:15" x14ac:dyDescent="0.35">
      <c r="A736" t="s">
        <v>767</v>
      </c>
      <c r="C736">
        <f t="shared" si="55"/>
        <v>1992</v>
      </c>
      <c r="D736">
        <v>1992</v>
      </c>
      <c r="E736" t="str">
        <f t="shared" si="59"/>
        <v>Aug</v>
      </c>
      <c r="F736" t="s">
        <v>35</v>
      </c>
      <c r="G736">
        <v>12</v>
      </c>
      <c r="H736">
        <v>0</v>
      </c>
      <c r="I736" s="21">
        <v>6208.5</v>
      </c>
      <c r="J736" t="str">
        <f t="shared" si="56"/>
        <v>tier - 2</v>
      </c>
      <c r="K736" t="s">
        <v>11</v>
      </c>
      <c r="L736" t="str">
        <f t="shared" si="57"/>
        <v>tier - 1</v>
      </c>
      <c r="M736" t="s">
        <v>16</v>
      </c>
      <c r="N736" t="str">
        <f t="shared" si="58"/>
        <v>R1021</v>
      </c>
      <c r="O736" t="s">
        <v>300</v>
      </c>
    </row>
    <row r="737" spans="1:15" x14ac:dyDescent="0.35">
      <c r="A737" t="s">
        <v>768</v>
      </c>
      <c r="C737">
        <f t="shared" si="55"/>
        <v>1972</v>
      </c>
      <c r="D737">
        <v>1972</v>
      </c>
      <c r="E737" t="str">
        <f t="shared" si="59"/>
        <v>Jun</v>
      </c>
      <c r="F737" t="s">
        <v>18</v>
      </c>
      <c r="G737">
        <v>29</v>
      </c>
      <c r="H737">
        <v>0</v>
      </c>
      <c r="I737" s="21">
        <v>6219.93</v>
      </c>
      <c r="J737" t="str">
        <f t="shared" si="56"/>
        <v>tier - 2</v>
      </c>
      <c r="K737" t="s">
        <v>11</v>
      </c>
      <c r="L737" t="str">
        <f t="shared" si="57"/>
        <v>tier - 2</v>
      </c>
      <c r="M737" t="s">
        <v>11</v>
      </c>
      <c r="N737" t="str">
        <f t="shared" si="58"/>
        <v>R1013</v>
      </c>
      <c r="O737" t="s">
        <v>13</v>
      </c>
    </row>
    <row r="738" spans="1:15" x14ac:dyDescent="0.35">
      <c r="A738" t="s">
        <v>769</v>
      </c>
      <c r="C738">
        <f t="shared" si="55"/>
        <v>1978</v>
      </c>
      <c r="D738">
        <v>1978</v>
      </c>
      <c r="E738" t="str">
        <f t="shared" si="59"/>
        <v>Sep</v>
      </c>
      <c r="F738" t="s">
        <v>20</v>
      </c>
      <c r="G738">
        <v>19</v>
      </c>
      <c r="H738">
        <v>2</v>
      </c>
      <c r="I738" s="21">
        <v>6236.95</v>
      </c>
      <c r="J738" t="str">
        <f t="shared" si="56"/>
        <v>tier - 2</v>
      </c>
      <c r="K738" t="s">
        <v>11</v>
      </c>
      <c r="L738" t="str">
        <f t="shared" si="57"/>
        <v>tier - 2</v>
      </c>
      <c r="M738" t="s">
        <v>11</v>
      </c>
      <c r="N738" t="str">
        <f t="shared" si="58"/>
        <v>R1013</v>
      </c>
      <c r="O738" t="s">
        <v>13</v>
      </c>
    </row>
    <row r="739" spans="1:15" x14ac:dyDescent="0.35">
      <c r="A739" t="s">
        <v>770</v>
      </c>
      <c r="C739">
        <f t="shared" si="55"/>
        <v>1983</v>
      </c>
      <c r="D739">
        <v>1983</v>
      </c>
      <c r="E739" t="str">
        <f t="shared" si="59"/>
        <v>Aug</v>
      </c>
      <c r="F739" t="s">
        <v>35</v>
      </c>
      <c r="G739">
        <v>11</v>
      </c>
      <c r="H739">
        <v>1</v>
      </c>
      <c r="I739" s="21">
        <v>6238.3</v>
      </c>
      <c r="J739" t="str">
        <f t="shared" si="56"/>
        <v>tier - 2</v>
      </c>
      <c r="K739" t="s">
        <v>11</v>
      </c>
      <c r="L739" t="str">
        <f t="shared" si="57"/>
        <v>tier - 1</v>
      </c>
      <c r="M739" t="s">
        <v>16</v>
      </c>
      <c r="N739" t="str">
        <f t="shared" si="58"/>
        <v>R1011</v>
      </c>
      <c r="O739" t="s">
        <v>42</v>
      </c>
    </row>
    <row r="740" spans="1:15" x14ac:dyDescent="0.35">
      <c r="A740" t="s">
        <v>771</v>
      </c>
      <c r="C740">
        <f t="shared" si="55"/>
        <v>1979</v>
      </c>
      <c r="D740">
        <v>1979</v>
      </c>
      <c r="E740" t="str">
        <f t="shared" si="59"/>
        <v>Oct</v>
      </c>
      <c r="F740" t="s">
        <v>37</v>
      </c>
      <c r="G740">
        <v>10</v>
      </c>
      <c r="H740">
        <v>0</v>
      </c>
      <c r="I740" s="21">
        <v>6250.44</v>
      </c>
      <c r="J740" t="str">
        <f t="shared" si="56"/>
        <v>tier - 2</v>
      </c>
      <c r="K740" t="s">
        <v>11</v>
      </c>
      <c r="L740" t="str">
        <f t="shared" si="57"/>
        <v>tier - 1</v>
      </c>
      <c r="M740" t="s">
        <v>16</v>
      </c>
      <c r="N740" t="str">
        <f t="shared" si="58"/>
        <v>R1011</v>
      </c>
      <c r="O740" t="s">
        <v>42</v>
      </c>
    </row>
    <row r="741" spans="1:15" x14ac:dyDescent="0.35">
      <c r="A741" t="s">
        <v>772</v>
      </c>
      <c r="C741">
        <f t="shared" si="55"/>
        <v>1972</v>
      </c>
      <c r="D741">
        <v>1972</v>
      </c>
      <c r="E741" t="str">
        <f t="shared" si="59"/>
        <v>Nov</v>
      </c>
      <c r="F741" t="s">
        <v>15</v>
      </c>
      <c r="G741">
        <v>11</v>
      </c>
      <c r="H741">
        <v>0</v>
      </c>
      <c r="I741" s="21">
        <v>6253.85</v>
      </c>
      <c r="J741" t="str">
        <f t="shared" si="56"/>
        <v>tier - 2</v>
      </c>
      <c r="K741" t="s">
        <v>11</v>
      </c>
      <c r="L741" t="str">
        <f t="shared" si="57"/>
        <v>tier - 2</v>
      </c>
      <c r="M741" t="s">
        <v>11</v>
      </c>
      <c r="N741" t="str">
        <f t="shared" si="58"/>
        <v>R1013</v>
      </c>
      <c r="O741" t="s">
        <v>13</v>
      </c>
    </row>
    <row r="742" spans="1:15" x14ac:dyDescent="0.35">
      <c r="A742" t="s">
        <v>773</v>
      </c>
      <c r="C742">
        <f t="shared" si="55"/>
        <v>1972</v>
      </c>
      <c r="D742">
        <v>1972</v>
      </c>
      <c r="E742" t="str">
        <f t="shared" si="59"/>
        <v>Sep</v>
      </c>
      <c r="F742" t="s">
        <v>20</v>
      </c>
      <c r="G742">
        <v>8</v>
      </c>
      <c r="H742">
        <v>0</v>
      </c>
      <c r="I742" s="21">
        <v>6254.13</v>
      </c>
      <c r="J742" t="str">
        <f t="shared" si="56"/>
        <v>tier - 2</v>
      </c>
      <c r="K742" t="s">
        <v>11</v>
      </c>
      <c r="L742" t="str">
        <f t="shared" si="57"/>
        <v>tier - 2</v>
      </c>
      <c r="M742" t="s">
        <v>11</v>
      </c>
      <c r="N742" t="str">
        <f t="shared" si="58"/>
        <v>R1012</v>
      </c>
      <c r="O742" t="s">
        <v>23</v>
      </c>
    </row>
    <row r="743" spans="1:15" x14ac:dyDescent="0.35">
      <c r="A743" t="s">
        <v>774</v>
      </c>
      <c r="C743">
        <f t="shared" si="55"/>
        <v>1970</v>
      </c>
      <c r="D743">
        <v>1970</v>
      </c>
      <c r="E743" t="str">
        <f t="shared" si="59"/>
        <v>Oct</v>
      </c>
      <c r="F743" t="s">
        <v>37</v>
      </c>
      <c r="G743">
        <v>11</v>
      </c>
      <c r="H743">
        <v>0</v>
      </c>
      <c r="I743" s="21">
        <v>6255.38</v>
      </c>
      <c r="J743" t="str">
        <f t="shared" si="56"/>
        <v>tier - 2</v>
      </c>
      <c r="K743" t="s">
        <v>11</v>
      </c>
      <c r="L743" t="str">
        <f t="shared" si="57"/>
        <v>tier - 2</v>
      </c>
      <c r="M743" t="s">
        <v>11</v>
      </c>
      <c r="N743" t="str">
        <f t="shared" si="58"/>
        <v>R1013</v>
      </c>
      <c r="O743" t="s">
        <v>13</v>
      </c>
    </row>
    <row r="744" spans="1:15" x14ac:dyDescent="0.35">
      <c r="A744" t="s">
        <v>775</v>
      </c>
      <c r="C744">
        <f t="shared" si="55"/>
        <v>1995</v>
      </c>
      <c r="D744">
        <v>1995</v>
      </c>
      <c r="E744" t="str">
        <f t="shared" si="59"/>
        <v>Oct</v>
      </c>
      <c r="F744" t="s">
        <v>37</v>
      </c>
      <c r="G744">
        <v>17</v>
      </c>
      <c r="H744">
        <v>0</v>
      </c>
      <c r="I744" s="21">
        <v>6261.2</v>
      </c>
      <c r="J744" t="str">
        <f t="shared" si="56"/>
        <v>tier - 2</v>
      </c>
      <c r="K744" t="s">
        <v>11</v>
      </c>
      <c r="L744" t="str">
        <f t="shared" si="57"/>
        <v>tier - 1</v>
      </c>
      <c r="M744" t="s">
        <v>16</v>
      </c>
      <c r="N744" t="str">
        <f t="shared" si="58"/>
        <v>R1026</v>
      </c>
      <c r="O744" t="s">
        <v>535</v>
      </c>
    </row>
    <row r="745" spans="1:15" x14ac:dyDescent="0.35">
      <c r="A745" t="s">
        <v>776</v>
      </c>
      <c r="C745">
        <f t="shared" si="55"/>
        <v>1984</v>
      </c>
      <c r="D745">
        <v>1984</v>
      </c>
      <c r="E745" t="str">
        <f t="shared" si="59"/>
        <v>Sep</v>
      </c>
      <c r="F745" t="s">
        <v>20</v>
      </c>
      <c r="G745">
        <v>25</v>
      </c>
      <c r="H745">
        <v>3</v>
      </c>
      <c r="I745" s="21">
        <v>6269.33</v>
      </c>
      <c r="J745" t="str">
        <f t="shared" si="56"/>
        <v>tier - 2</v>
      </c>
      <c r="K745" t="s">
        <v>11</v>
      </c>
      <c r="L745" t="str">
        <f t="shared" si="57"/>
        <v>tier - 1</v>
      </c>
      <c r="M745" t="s">
        <v>16</v>
      </c>
      <c r="N745" t="str">
        <f t="shared" si="58"/>
        <v>R1013</v>
      </c>
      <c r="O745" t="s">
        <v>13</v>
      </c>
    </row>
    <row r="746" spans="1:15" x14ac:dyDescent="0.35">
      <c r="A746" t="s">
        <v>777</v>
      </c>
      <c r="C746">
        <f t="shared" si="55"/>
        <v>1981</v>
      </c>
      <c r="D746">
        <v>1981</v>
      </c>
      <c r="E746" t="str">
        <f t="shared" si="59"/>
        <v>Jun</v>
      </c>
      <c r="F746" t="s">
        <v>18</v>
      </c>
      <c r="G746">
        <v>30</v>
      </c>
      <c r="H746">
        <v>1</v>
      </c>
      <c r="I746" s="21">
        <v>6272.48</v>
      </c>
      <c r="J746" t="str">
        <f t="shared" si="56"/>
        <v>tier - 1</v>
      </c>
      <c r="K746" t="s">
        <v>16</v>
      </c>
      <c r="L746" t="str">
        <f t="shared" si="57"/>
        <v>tier - 3</v>
      </c>
      <c r="M746" t="s">
        <v>12</v>
      </c>
      <c r="N746" t="str">
        <f t="shared" si="58"/>
        <v>R1013</v>
      </c>
      <c r="O746" t="s">
        <v>13</v>
      </c>
    </row>
    <row r="747" spans="1:15" x14ac:dyDescent="0.35">
      <c r="A747" t="s">
        <v>778</v>
      </c>
      <c r="C747">
        <f t="shared" si="55"/>
        <v>1993</v>
      </c>
      <c r="D747">
        <v>1993</v>
      </c>
      <c r="E747" t="str">
        <f t="shared" si="59"/>
        <v>Oct</v>
      </c>
      <c r="F747" t="s">
        <v>37</v>
      </c>
      <c r="G747">
        <v>16</v>
      </c>
      <c r="H747">
        <v>0</v>
      </c>
      <c r="I747" s="21">
        <v>6276.3</v>
      </c>
      <c r="J747" t="str">
        <f t="shared" si="56"/>
        <v>tier - 2</v>
      </c>
      <c r="K747" t="s">
        <v>11</v>
      </c>
      <c r="L747" t="str">
        <f t="shared" si="57"/>
        <v>tier - 1</v>
      </c>
      <c r="M747" t="s">
        <v>16</v>
      </c>
      <c r="N747" t="str">
        <f t="shared" si="58"/>
        <v>R1025</v>
      </c>
      <c r="O747" t="s">
        <v>200</v>
      </c>
    </row>
    <row r="748" spans="1:15" x14ac:dyDescent="0.35">
      <c r="A748" t="s">
        <v>779</v>
      </c>
      <c r="C748">
        <f t="shared" si="55"/>
        <v>1981</v>
      </c>
      <c r="D748">
        <v>1981</v>
      </c>
      <c r="E748" t="str">
        <f t="shared" si="59"/>
        <v>Nov</v>
      </c>
      <c r="F748" t="s">
        <v>15</v>
      </c>
      <c r="G748">
        <v>24</v>
      </c>
      <c r="H748">
        <v>1</v>
      </c>
      <c r="I748" s="21">
        <v>6282.24</v>
      </c>
      <c r="J748" t="str">
        <f t="shared" si="56"/>
        <v>tier - 2</v>
      </c>
      <c r="K748" t="s">
        <v>11</v>
      </c>
      <c r="L748" t="str">
        <f t="shared" si="57"/>
        <v>tier - 1</v>
      </c>
      <c r="M748" t="s">
        <v>16</v>
      </c>
      <c r="N748" t="str">
        <f t="shared" si="58"/>
        <v>R1011</v>
      </c>
      <c r="O748" t="s">
        <v>42</v>
      </c>
    </row>
    <row r="749" spans="1:15" x14ac:dyDescent="0.35">
      <c r="A749" t="s">
        <v>780</v>
      </c>
      <c r="C749">
        <f t="shared" si="55"/>
        <v>1981</v>
      </c>
      <c r="D749">
        <v>1981</v>
      </c>
      <c r="E749" t="str">
        <f t="shared" si="59"/>
        <v>Aug</v>
      </c>
      <c r="F749" t="s">
        <v>35</v>
      </c>
      <c r="G749">
        <v>26</v>
      </c>
      <c r="H749">
        <v>1</v>
      </c>
      <c r="I749" s="21">
        <v>6289.75</v>
      </c>
      <c r="J749" t="str">
        <f t="shared" si="56"/>
        <v>tier - 2</v>
      </c>
      <c r="K749" t="s">
        <v>11</v>
      </c>
      <c r="L749" t="str">
        <f t="shared" si="57"/>
        <v>tier - 3</v>
      </c>
      <c r="M749" t="s">
        <v>12</v>
      </c>
      <c r="N749" t="str">
        <f t="shared" si="58"/>
        <v>R1013</v>
      </c>
      <c r="O749" t="s">
        <v>13</v>
      </c>
    </row>
    <row r="750" spans="1:15" x14ac:dyDescent="0.35">
      <c r="A750" t="s">
        <v>781</v>
      </c>
      <c r="C750">
        <f t="shared" si="55"/>
        <v>1996</v>
      </c>
      <c r="D750">
        <v>1996</v>
      </c>
      <c r="E750" t="str">
        <f t="shared" si="59"/>
        <v>Jul</v>
      </c>
      <c r="F750" t="s">
        <v>10</v>
      </c>
      <c r="G750">
        <v>4</v>
      </c>
      <c r="H750">
        <v>0</v>
      </c>
      <c r="I750" s="21">
        <v>6293.63</v>
      </c>
      <c r="J750" t="str">
        <f t="shared" si="56"/>
        <v>tier - 2</v>
      </c>
      <c r="K750" t="s">
        <v>11</v>
      </c>
      <c r="L750" t="str">
        <f t="shared" si="57"/>
        <v>tier - 3</v>
      </c>
      <c r="M750" t="s">
        <v>12</v>
      </c>
      <c r="N750" t="str">
        <f t="shared" si="58"/>
        <v>R1021</v>
      </c>
      <c r="O750" t="s">
        <v>300</v>
      </c>
    </row>
    <row r="751" spans="1:15" x14ac:dyDescent="0.35">
      <c r="A751" t="s">
        <v>782</v>
      </c>
      <c r="C751">
        <f t="shared" si="55"/>
        <v>1974</v>
      </c>
      <c r="D751">
        <v>1974</v>
      </c>
      <c r="E751" t="str">
        <f t="shared" si="59"/>
        <v>Sep</v>
      </c>
      <c r="F751" t="s">
        <v>20</v>
      </c>
      <c r="G751">
        <v>17</v>
      </c>
      <c r="H751">
        <v>0</v>
      </c>
      <c r="I751" s="21">
        <v>6302.23</v>
      </c>
      <c r="J751" t="str">
        <f t="shared" si="56"/>
        <v>tier - 2</v>
      </c>
      <c r="K751" t="s">
        <v>11</v>
      </c>
      <c r="L751" t="str">
        <f t="shared" si="57"/>
        <v>tier - 1</v>
      </c>
      <c r="M751" t="s">
        <v>16</v>
      </c>
      <c r="N751" t="str">
        <f t="shared" si="58"/>
        <v>R1013</v>
      </c>
      <c r="O751" t="s">
        <v>13</v>
      </c>
    </row>
    <row r="752" spans="1:15" x14ac:dyDescent="0.35">
      <c r="A752" t="s">
        <v>783</v>
      </c>
      <c r="C752">
        <f t="shared" si="55"/>
        <v>1969</v>
      </c>
      <c r="D752">
        <v>1969</v>
      </c>
      <c r="E752" t="str">
        <f t="shared" si="59"/>
        <v>Sep</v>
      </c>
      <c r="F752" t="s">
        <v>20</v>
      </c>
      <c r="G752">
        <v>4</v>
      </c>
      <c r="H752">
        <v>0</v>
      </c>
      <c r="I752" s="21">
        <v>6305.61</v>
      </c>
      <c r="J752" t="str">
        <f t="shared" si="56"/>
        <v>tier - 2</v>
      </c>
      <c r="K752" t="s">
        <v>11</v>
      </c>
      <c r="L752" t="str">
        <f t="shared" si="57"/>
        <v>tier - 2</v>
      </c>
      <c r="M752" t="s">
        <v>11</v>
      </c>
      <c r="N752" t="str">
        <f t="shared" si="58"/>
        <v>R1012</v>
      </c>
      <c r="O752" t="s">
        <v>23</v>
      </c>
    </row>
    <row r="753" spans="1:15" x14ac:dyDescent="0.35">
      <c r="A753" t="s">
        <v>784</v>
      </c>
      <c r="C753">
        <f t="shared" si="55"/>
        <v>2004</v>
      </c>
      <c r="D753">
        <v>2004</v>
      </c>
      <c r="E753" t="str">
        <f t="shared" si="59"/>
        <v>Jul</v>
      </c>
      <c r="F753" t="s">
        <v>10</v>
      </c>
      <c r="G753">
        <v>27</v>
      </c>
      <c r="H753">
        <v>0</v>
      </c>
      <c r="I753" s="21">
        <v>6311.11</v>
      </c>
      <c r="J753" t="str">
        <f t="shared" si="56"/>
        <v>tier - 2</v>
      </c>
      <c r="K753" t="s">
        <v>11</v>
      </c>
      <c r="L753" t="str">
        <f t="shared" si="57"/>
        <v>tier - 2</v>
      </c>
      <c r="M753" t="s">
        <v>11</v>
      </c>
      <c r="N753" t="str">
        <f t="shared" si="58"/>
        <v>R1011</v>
      </c>
      <c r="O753" t="s">
        <v>42</v>
      </c>
    </row>
    <row r="754" spans="1:15" x14ac:dyDescent="0.35">
      <c r="A754" t="s">
        <v>785</v>
      </c>
      <c r="C754">
        <f t="shared" si="55"/>
        <v>1985</v>
      </c>
      <c r="D754">
        <v>1985</v>
      </c>
      <c r="E754" t="str">
        <f t="shared" si="59"/>
        <v>Nov</v>
      </c>
      <c r="F754" t="s">
        <v>15</v>
      </c>
      <c r="G754">
        <v>19</v>
      </c>
      <c r="H754">
        <v>2</v>
      </c>
      <c r="I754" s="21">
        <v>6311.95</v>
      </c>
      <c r="J754" t="str">
        <f t="shared" si="56"/>
        <v>tier - 2</v>
      </c>
      <c r="K754" t="s">
        <v>11</v>
      </c>
      <c r="L754" t="str">
        <f t="shared" si="57"/>
        <v>tier - 1</v>
      </c>
      <c r="M754" t="s">
        <v>16</v>
      </c>
      <c r="N754" t="str">
        <f t="shared" si="58"/>
        <v>R1011</v>
      </c>
      <c r="O754" t="s">
        <v>42</v>
      </c>
    </row>
    <row r="755" spans="1:15" x14ac:dyDescent="0.35">
      <c r="A755" t="s">
        <v>786</v>
      </c>
      <c r="C755">
        <f t="shared" si="55"/>
        <v>1985</v>
      </c>
      <c r="D755">
        <v>1985</v>
      </c>
      <c r="E755" t="str">
        <f t="shared" si="59"/>
        <v>Dec</v>
      </c>
      <c r="F755" t="s">
        <v>30</v>
      </c>
      <c r="G755">
        <v>15</v>
      </c>
      <c r="H755">
        <v>2</v>
      </c>
      <c r="I755" s="21">
        <v>6313.76</v>
      </c>
      <c r="J755" t="str">
        <f t="shared" si="56"/>
        <v>tier - 2</v>
      </c>
      <c r="K755" t="s">
        <v>11</v>
      </c>
      <c r="L755" t="str">
        <f t="shared" si="57"/>
        <v>tier - 1</v>
      </c>
      <c r="M755" t="s">
        <v>16</v>
      </c>
      <c r="N755" t="str">
        <f t="shared" si="58"/>
        <v>R1013</v>
      </c>
      <c r="O755" t="s">
        <v>13</v>
      </c>
    </row>
    <row r="756" spans="1:15" x14ac:dyDescent="0.35">
      <c r="A756" t="s">
        <v>787</v>
      </c>
      <c r="C756">
        <f t="shared" si="55"/>
        <v>1990</v>
      </c>
      <c r="D756">
        <v>1990</v>
      </c>
      <c r="E756" t="str">
        <f t="shared" si="59"/>
        <v>Aug</v>
      </c>
      <c r="F756" t="s">
        <v>35</v>
      </c>
      <c r="G756">
        <v>13</v>
      </c>
      <c r="H756">
        <v>3</v>
      </c>
      <c r="I756" s="21">
        <v>6334.34</v>
      </c>
      <c r="J756" t="str">
        <f t="shared" si="56"/>
        <v>tier - 2</v>
      </c>
      <c r="K756" t="s">
        <v>11</v>
      </c>
      <c r="L756" t="str">
        <f t="shared" si="57"/>
        <v>tier - 2</v>
      </c>
      <c r="M756" t="s">
        <v>11</v>
      </c>
      <c r="N756" t="str">
        <f t="shared" si="58"/>
        <v>R1024</v>
      </c>
      <c r="O756" t="s">
        <v>247</v>
      </c>
    </row>
    <row r="757" spans="1:15" x14ac:dyDescent="0.35">
      <c r="A757" t="s">
        <v>788</v>
      </c>
      <c r="C757">
        <f t="shared" si="55"/>
        <v>1986</v>
      </c>
      <c r="D757">
        <v>1986</v>
      </c>
      <c r="E757" t="str">
        <f t="shared" si="59"/>
        <v>Sep</v>
      </c>
      <c r="F757" t="s">
        <v>20</v>
      </c>
      <c r="G757">
        <v>25</v>
      </c>
      <c r="H757">
        <v>3</v>
      </c>
      <c r="I757" s="21">
        <v>6335.64</v>
      </c>
      <c r="J757" t="str">
        <f t="shared" si="56"/>
        <v>tier - 2</v>
      </c>
      <c r="K757" t="s">
        <v>11</v>
      </c>
      <c r="L757" t="str">
        <f t="shared" si="57"/>
        <v>tier - 2</v>
      </c>
      <c r="M757" t="s">
        <v>11</v>
      </c>
      <c r="N757" t="str">
        <f t="shared" si="58"/>
        <v>R1013</v>
      </c>
      <c r="O757" t="s">
        <v>13</v>
      </c>
    </row>
    <row r="758" spans="1:15" x14ac:dyDescent="0.35">
      <c r="A758" t="s">
        <v>789</v>
      </c>
      <c r="C758">
        <f t="shared" si="55"/>
        <v>1983</v>
      </c>
      <c r="D758">
        <v>1983</v>
      </c>
      <c r="E758" t="str">
        <f t="shared" si="59"/>
        <v>Oct</v>
      </c>
      <c r="F758" t="s">
        <v>37</v>
      </c>
      <c r="G758">
        <v>21</v>
      </c>
      <c r="H758">
        <v>2</v>
      </c>
      <c r="I758" s="21">
        <v>6338.08</v>
      </c>
      <c r="J758" t="str">
        <f t="shared" si="56"/>
        <v>tier - 2</v>
      </c>
      <c r="K758" t="s">
        <v>11</v>
      </c>
      <c r="L758" t="str">
        <f t="shared" si="57"/>
        <v>tier - 1</v>
      </c>
      <c r="M758" t="s">
        <v>16</v>
      </c>
      <c r="N758" t="str">
        <f t="shared" si="58"/>
        <v>R1013</v>
      </c>
      <c r="O758" t="s">
        <v>13</v>
      </c>
    </row>
    <row r="759" spans="1:15" x14ac:dyDescent="0.35">
      <c r="A759" t="s">
        <v>790</v>
      </c>
      <c r="C759">
        <f t="shared" si="55"/>
        <v>1983</v>
      </c>
      <c r="D759">
        <v>1983</v>
      </c>
      <c r="E759" t="str">
        <f t="shared" si="59"/>
        <v>Aug</v>
      </c>
      <c r="F759" t="s">
        <v>35</v>
      </c>
      <c r="G759">
        <v>19</v>
      </c>
      <c r="H759">
        <v>2</v>
      </c>
      <c r="I759" s="21">
        <v>6356.27</v>
      </c>
      <c r="J759" t="str">
        <f t="shared" si="56"/>
        <v>tier - 3</v>
      </c>
      <c r="K759" t="s">
        <v>12</v>
      </c>
      <c r="L759" t="str">
        <f t="shared" si="57"/>
        <v>tier - 2</v>
      </c>
      <c r="M759" t="s">
        <v>11</v>
      </c>
      <c r="N759" t="str">
        <f t="shared" si="58"/>
        <v>R1013</v>
      </c>
      <c r="O759" t="s">
        <v>13</v>
      </c>
    </row>
    <row r="760" spans="1:15" x14ac:dyDescent="0.35">
      <c r="A760" t="s">
        <v>791</v>
      </c>
      <c r="C760">
        <f t="shared" si="55"/>
        <v>1980</v>
      </c>
      <c r="D760">
        <v>1980</v>
      </c>
      <c r="E760" t="str">
        <f t="shared" si="59"/>
        <v>Oct</v>
      </c>
      <c r="F760" t="s">
        <v>37</v>
      </c>
      <c r="G760">
        <v>30</v>
      </c>
      <c r="H760">
        <v>0</v>
      </c>
      <c r="I760" s="21">
        <v>6358.78</v>
      </c>
      <c r="J760" t="str">
        <f t="shared" si="56"/>
        <v>tier - 2</v>
      </c>
      <c r="K760" t="s">
        <v>11</v>
      </c>
      <c r="L760" t="str">
        <f t="shared" si="57"/>
        <v>tier - 1</v>
      </c>
      <c r="M760" t="s">
        <v>16</v>
      </c>
      <c r="N760" t="str">
        <f t="shared" si="58"/>
        <v>R1012</v>
      </c>
      <c r="O760" t="s">
        <v>23</v>
      </c>
    </row>
    <row r="761" spans="1:15" x14ac:dyDescent="0.35">
      <c r="A761" t="s">
        <v>792</v>
      </c>
      <c r="C761">
        <f t="shared" si="55"/>
        <v>1989</v>
      </c>
      <c r="D761">
        <v>1989</v>
      </c>
      <c r="E761" t="str">
        <f t="shared" si="59"/>
        <v>Jun</v>
      </c>
      <c r="F761" t="s">
        <v>18</v>
      </c>
      <c r="G761">
        <v>24</v>
      </c>
      <c r="H761">
        <v>3</v>
      </c>
      <c r="I761" s="21">
        <v>6360.99</v>
      </c>
      <c r="J761" t="str">
        <f t="shared" si="56"/>
        <v>tier - 2</v>
      </c>
      <c r="K761" t="s">
        <v>11</v>
      </c>
      <c r="L761" t="str">
        <f t="shared" si="57"/>
        <v>tier - 2</v>
      </c>
      <c r="M761" t="s">
        <v>11</v>
      </c>
      <c r="N761" t="str">
        <f t="shared" si="58"/>
        <v>R1012</v>
      </c>
      <c r="O761" t="s">
        <v>23</v>
      </c>
    </row>
    <row r="762" spans="1:15" x14ac:dyDescent="0.35">
      <c r="A762" t="s">
        <v>793</v>
      </c>
      <c r="C762">
        <f t="shared" si="55"/>
        <v>1996</v>
      </c>
      <c r="D762">
        <v>1996</v>
      </c>
      <c r="E762" t="str">
        <f t="shared" si="59"/>
        <v>Jul</v>
      </c>
      <c r="F762" t="s">
        <v>10</v>
      </c>
      <c r="G762">
        <v>7</v>
      </c>
      <c r="H762">
        <v>0</v>
      </c>
      <c r="I762" s="21">
        <v>6361.47</v>
      </c>
      <c r="J762" t="str">
        <f t="shared" si="56"/>
        <v>tier - 2</v>
      </c>
      <c r="K762" t="s">
        <v>11</v>
      </c>
      <c r="L762" t="str">
        <f t="shared" si="57"/>
        <v>tier - 3</v>
      </c>
      <c r="M762" t="s">
        <v>12</v>
      </c>
      <c r="N762" t="str">
        <f t="shared" si="58"/>
        <v>R1021</v>
      </c>
      <c r="O762" t="s">
        <v>300</v>
      </c>
    </row>
    <row r="763" spans="1:15" x14ac:dyDescent="0.35">
      <c r="A763" t="s">
        <v>794</v>
      </c>
      <c r="C763">
        <f t="shared" si="55"/>
        <v>1970</v>
      </c>
      <c r="D763">
        <v>1970</v>
      </c>
      <c r="E763" t="str">
        <f t="shared" si="59"/>
        <v>Nov</v>
      </c>
      <c r="F763" t="s">
        <v>15</v>
      </c>
      <c r="G763">
        <v>9</v>
      </c>
      <c r="H763">
        <v>0</v>
      </c>
      <c r="I763" s="21">
        <v>6367.31</v>
      </c>
      <c r="J763" t="str">
        <f t="shared" si="56"/>
        <v>tier - 2</v>
      </c>
      <c r="K763" t="s">
        <v>11</v>
      </c>
      <c r="L763" t="str">
        <f t="shared" si="57"/>
        <v>tier - 1</v>
      </c>
      <c r="M763" t="s">
        <v>16</v>
      </c>
      <c r="N763" t="str">
        <f t="shared" si="58"/>
        <v>R1013</v>
      </c>
      <c r="O763" t="s">
        <v>13</v>
      </c>
    </row>
    <row r="764" spans="1:15" x14ac:dyDescent="0.35">
      <c r="A764" t="s">
        <v>795</v>
      </c>
      <c r="C764">
        <f t="shared" si="55"/>
        <v>1984</v>
      </c>
      <c r="D764">
        <v>1984</v>
      </c>
      <c r="E764" t="str">
        <f t="shared" si="59"/>
        <v>Aug</v>
      </c>
      <c r="F764" t="s">
        <v>35</v>
      </c>
      <c r="G764">
        <v>13</v>
      </c>
      <c r="H764">
        <v>1</v>
      </c>
      <c r="I764" s="21">
        <v>6373.56</v>
      </c>
      <c r="J764" t="str">
        <f t="shared" si="56"/>
        <v>tier - 2</v>
      </c>
      <c r="K764" t="s">
        <v>11</v>
      </c>
      <c r="L764" t="str">
        <f t="shared" si="57"/>
        <v>tier - 1</v>
      </c>
      <c r="M764" t="s">
        <v>16</v>
      </c>
      <c r="N764" t="str">
        <f t="shared" si="58"/>
        <v>R1012</v>
      </c>
      <c r="O764" t="s">
        <v>23</v>
      </c>
    </row>
    <row r="765" spans="1:15" x14ac:dyDescent="0.35">
      <c r="A765" t="s">
        <v>796</v>
      </c>
      <c r="C765">
        <f t="shared" si="55"/>
        <v>1976</v>
      </c>
      <c r="D765">
        <v>1976</v>
      </c>
      <c r="E765" t="str">
        <f t="shared" si="59"/>
        <v>Nov</v>
      </c>
      <c r="F765" t="s">
        <v>15</v>
      </c>
      <c r="G765">
        <v>18</v>
      </c>
      <c r="H765">
        <v>2</v>
      </c>
      <c r="I765" s="21">
        <v>6374.16</v>
      </c>
      <c r="J765" t="str">
        <f t="shared" si="56"/>
        <v>tier - 2</v>
      </c>
      <c r="K765" t="s">
        <v>11</v>
      </c>
      <c r="L765" t="str">
        <f t="shared" si="57"/>
        <v>tier - 2</v>
      </c>
      <c r="M765" t="s">
        <v>11</v>
      </c>
      <c r="N765" t="str">
        <f t="shared" si="58"/>
        <v>R1013</v>
      </c>
      <c r="O765" t="s">
        <v>13</v>
      </c>
    </row>
    <row r="766" spans="1:15" x14ac:dyDescent="0.35">
      <c r="A766" t="s">
        <v>797</v>
      </c>
      <c r="C766">
        <f t="shared" si="55"/>
        <v>1982</v>
      </c>
      <c r="D766">
        <v>1982</v>
      </c>
      <c r="E766" t="str">
        <f t="shared" si="59"/>
        <v>Aug</v>
      </c>
      <c r="F766" t="s">
        <v>35</v>
      </c>
      <c r="G766">
        <v>6</v>
      </c>
      <c r="H766">
        <v>1</v>
      </c>
      <c r="I766" s="21">
        <v>6389.38</v>
      </c>
      <c r="J766" t="str">
        <f t="shared" si="56"/>
        <v>tier - 1</v>
      </c>
      <c r="K766" t="s">
        <v>16</v>
      </c>
      <c r="L766" t="str">
        <f t="shared" si="57"/>
        <v>tier - 2</v>
      </c>
      <c r="M766" t="s">
        <v>11</v>
      </c>
      <c r="N766" t="str">
        <f t="shared" si="58"/>
        <v>R1012</v>
      </c>
      <c r="O766" t="s">
        <v>23</v>
      </c>
    </row>
    <row r="767" spans="1:15" x14ac:dyDescent="0.35">
      <c r="A767" t="s">
        <v>798</v>
      </c>
      <c r="C767">
        <f t="shared" si="55"/>
        <v>1997</v>
      </c>
      <c r="D767">
        <v>1997</v>
      </c>
      <c r="E767" t="str">
        <f t="shared" si="59"/>
        <v>Aug</v>
      </c>
      <c r="F767" t="s">
        <v>35</v>
      </c>
      <c r="G767">
        <v>16</v>
      </c>
      <c r="H767">
        <v>0</v>
      </c>
      <c r="I767" s="21">
        <v>6389.53</v>
      </c>
      <c r="J767" t="str">
        <f t="shared" si="56"/>
        <v>tier - 2</v>
      </c>
      <c r="K767" t="s">
        <v>11</v>
      </c>
      <c r="L767" t="str">
        <f t="shared" si="57"/>
        <v>tier - 2</v>
      </c>
      <c r="M767" t="s">
        <v>11</v>
      </c>
      <c r="N767" t="str">
        <f t="shared" si="58"/>
        <v>R1021</v>
      </c>
      <c r="O767" t="s">
        <v>300</v>
      </c>
    </row>
    <row r="768" spans="1:15" x14ac:dyDescent="0.35">
      <c r="A768" t="s">
        <v>799</v>
      </c>
      <c r="C768">
        <f t="shared" si="55"/>
        <v>1982</v>
      </c>
      <c r="D768">
        <v>1982</v>
      </c>
      <c r="E768" t="str">
        <f t="shared" si="59"/>
        <v>Oct</v>
      </c>
      <c r="F768" t="s">
        <v>37</v>
      </c>
      <c r="G768">
        <v>28</v>
      </c>
      <c r="H768">
        <v>1</v>
      </c>
      <c r="I768" s="21">
        <v>6393.6</v>
      </c>
      <c r="J768" t="str">
        <f t="shared" si="56"/>
        <v>tier - 2</v>
      </c>
      <c r="K768" t="s">
        <v>11</v>
      </c>
      <c r="L768" t="str">
        <f t="shared" si="57"/>
        <v>tier - 1</v>
      </c>
      <c r="M768" t="s">
        <v>16</v>
      </c>
      <c r="N768" t="str">
        <f t="shared" si="58"/>
        <v>R1012</v>
      </c>
      <c r="O768" t="s">
        <v>23</v>
      </c>
    </row>
    <row r="769" spans="1:15" x14ac:dyDescent="0.35">
      <c r="A769" t="s">
        <v>800</v>
      </c>
      <c r="C769">
        <f t="shared" si="55"/>
        <v>1987</v>
      </c>
      <c r="D769">
        <v>1987</v>
      </c>
      <c r="E769" t="str">
        <f t="shared" si="59"/>
        <v>Sep</v>
      </c>
      <c r="F769" t="s">
        <v>20</v>
      </c>
      <c r="G769">
        <v>9</v>
      </c>
      <c r="H769">
        <v>2</v>
      </c>
      <c r="I769" s="21">
        <v>6402.29</v>
      </c>
      <c r="J769" t="str">
        <f t="shared" si="56"/>
        <v>tier - 2</v>
      </c>
      <c r="K769" t="s">
        <v>11</v>
      </c>
      <c r="L769" t="str">
        <f t="shared" si="57"/>
        <v>tier - 3</v>
      </c>
      <c r="M769" t="s">
        <v>12</v>
      </c>
      <c r="N769" t="str">
        <f t="shared" si="58"/>
        <v>R1024</v>
      </c>
      <c r="O769" t="s">
        <v>247</v>
      </c>
    </row>
    <row r="770" spans="1:15" x14ac:dyDescent="0.35">
      <c r="A770" t="s">
        <v>801</v>
      </c>
      <c r="C770">
        <f t="shared" si="55"/>
        <v>1985</v>
      </c>
      <c r="D770">
        <v>1985</v>
      </c>
      <c r="E770" t="str">
        <f t="shared" si="59"/>
        <v>Dec</v>
      </c>
      <c r="F770" t="s">
        <v>30</v>
      </c>
      <c r="G770">
        <v>10</v>
      </c>
      <c r="H770">
        <v>2</v>
      </c>
      <c r="I770" s="21">
        <v>6406.41</v>
      </c>
      <c r="J770" t="str">
        <f t="shared" si="56"/>
        <v>tier - 1</v>
      </c>
      <c r="K770" t="s">
        <v>16</v>
      </c>
      <c r="L770" t="str">
        <f t="shared" si="57"/>
        <v>tier - 3</v>
      </c>
      <c r="M770" t="s">
        <v>12</v>
      </c>
      <c r="N770" t="str">
        <f t="shared" si="58"/>
        <v>R1014</v>
      </c>
      <c r="O770" t="s">
        <v>276</v>
      </c>
    </row>
    <row r="771" spans="1:15" x14ac:dyDescent="0.35">
      <c r="A771" t="s">
        <v>802</v>
      </c>
      <c r="C771">
        <f t="shared" ref="C771:C834" si="60">IF(OR(D771="?", ISBLANK(D771)), 1983, D771)</f>
        <v>1970</v>
      </c>
      <c r="D771">
        <v>1970</v>
      </c>
      <c r="E771" t="str">
        <f t="shared" si="59"/>
        <v>Aug</v>
      </c>
      <c r="F771" t="s">
        <v>35</v>
      </c>
      <c r="G771">
        <v>20</v>
      </c>
      <c r="H771">
        <v>0</v>
      </c>
      <c r="I771" s="21">
        <v>6407.05</v>
      </c>
      <c r="J771" t="str">
        <f t="shared" ref="J771:J834" si="61">IF(OR(K771="?", ISBLANK(K771)), "Tier 2", K771)</f>
        <v>tier - 2</v>
      </c>
      <c r="K771" t="s">
        <v>11</v>
      </c>
      <c r="L771" t="str">
        <f t="shared" ref="L771:L834" si="62">IF(OR(M771="?", ISBLANK(M771)), "Tier 2", M771)</f>
        <v>tier - 1</v>
      </c>
      <c r="M771" t="s">
        <v>16</v>
      </c>
      <c r="N771" t="str">
        <f t="shared" ref="N771:N834" si="63">IF(OR(O771="?", ISBLANK(O771)), "Unknown", O771)</f>
        <v>R1013</v>
      </c>
      <c r="O771" t="s">
        <v>13</v>
      </c>
    </row>
    <row r="772" spans="1:15" x14ac:dyDescent="0.35">
      <c r="A772" t="s">
        <v>803</v>
      </c>
      <c r="C772">
        <f t="shared" si="60"/>
        <v>1971</v>
      </c>
      <c r="D772">
        <v>1971</v>
      </c>
      <c r="E772" t="str">
        <f t="shared" ref="E772:E835" si="64">IF(OR(F772="?", ISBLANK(F772)), "Sep", F772)</f>
        <v>Aug</v>
      </c>
      <c r="F772" t="s">
        <v>35</v>
      </c>
      <c r="G772">
        <v>22</v>
      </c>
      <c r="H772">
        <v>0</v>
      </c>
      <c r="I772" s="21">
        <v>6412.34</v>
      </c>
      <c r="J772" t="str">
        <f t="shared" si="61"/>
        <v>tier - 2</v>
      </c>
      <c r="K772" t="s">
        <v>11</v>
      </c>
      <c r="L772" t="str">
        <f t="shared" si="62"/>
        <v>tier - 3</v>
      </c>
      <c r="M772" t="s">
        <v>12</v>
      </c>
      <c r="N772" t="str">
        <f t="shared" si="63"/>
        <v>R1013</v>
      </c>
      <c r="O772" t="s">
        <v>13</v>
      </c>
    </row>
    <row r="773" spans="1:15" x14ac:dyDescent="0.35">
      <c r="A773" t="s">
        <v>804</v>
      </c>
      <c r="C773">
        <f t="shared" si="60"/>
        <v>1987</v>
      </c>
      <c r="D773">
        <v>1987</v>
      </c>
      <c r="E773" t="str">
        <f t="shared" si="64"/>
        <v>Sep</v>
      </c>
      <c r="F773" t="s">
        <v>20</v>
      </c>
      <c r="G773">
        <v>4</v>
      </c>
      <c r="H773">
        <v>3</v>
      </c>
      <c r="I773" s="21">
        <v>6414.18</v>
      </c>
      <c r="J773" t="str">
        <f t="shared" si="61"/>
        <v>tier - 2</v>
      </c>
      <c r="K773" t="s">
        <v>11</v>
      </c>
      <c r="L773" t="str">
        <f t="shared" si="62"/>
        <v>tier - 2</v>
      </c>
      <c r="M773" t="s">
        <v>11</v>
      </c>
      <c r="N773" t="str">
        <f t="shared" si="63"/>
        <v>R1011</v>
      </c>
      <c r="O773" t="s">
        <v>42</v>
      </c>
    </row>
    <row r="774" spans="1:15" x14ac:dyDescent="0.35">
      <c r="A774" t="s">
        <v>805</v>
      </c>
      <c r="C774">
        <f t="shared" si="60"/>
        <v>1976</v>
      </c>
      <c r="D774">
        <v>1976</v>
      </c>
      <c r="E774" t="str">
        <f t="shared" si="64"/>
        <v>Dec</v>
      </c>
      <c r="F774" t="s">
        <v>30</v>
      </c>
      <c r="G774">
        <v>30</v>
      </c>
      <c r="H774">
        <v>2</v>
      </c>
      <c r="I774" s="21">
        <v>6417.28</v>
      </c>
      <c r="J774" t="str">
        <f t="shared" si="61"/>
        <v>tier - 2</v>
      </c>
      <c r="K774" t="s">
        <v>11</v>
      </c>
      <c r="L774" t="str">
        <f t="shared" si="62"/>
        <v>tier - 3</v>
      </c>
      <c r="M774" t="s">
        <v>12</v>
      </c>
      <c r="N774" t="str">
        <f t="shared" si="63"/>
        <v>R1013</v>
      </c>
      <c r="O774" t="s">
        <v>13</v>
      </c>
    </row>
    <row r="775" spans="1:15" x14ac:dyDescent="0.35">
      <c r="A775" t="s">
        <v>806</v>
      </c>
      <c r="C775">
        <f t="shared" si="60"/>
        <v>1975</v>
      </c>
      <c r="D775">
        <v>1975</v>
      </c>
      <c r="E775" t="str">
        <f t="shared" si="64"/>
        <v>Aug</v>
      </c>
      <c r="F775" t="s">
        <v>35</v>
      </c>
      <c r="G775">
        <v>5</v>
      </c>
      <c r="H775">
        <v>1</v>
      </c>
      <c r="I775" s="21">
        <v>6423.48</v>
      </c>
      <c r="J775" t="str">
        <f t="shared" si="61"/>
        <v>tier - 2</v>
      </c>
      <c r="K775" t="s">
        <v>11</v>
      </c>
      <c r="L775" t="str">
        <f t="shared" si="62"/>
        <v>tier - 3</v>
      </c>
      <c r="M775" t="s">
        <v>12</v>
      </c>
      <c r="N775" t="str">
        <f t="shared" si="63"/>
        <v>R1013</v>
      </c>
      <c r="O775" t="s">
        <v>13</v>
      </c>
    </row>
    <row r="776" spans="1:15" x14ac:dyDescent="0.35">
      <c r="A776" t="s">
        <v>807</v>
      </c>
      <c r="C776">
        <f t="shared" si="60"/>
        <v>1985</v>
      </c>
      <c r="D776">
        <v>1985</v>
      </c>
      <c r="E776" t="str">
        <f t="shared" si="64"/>
        <v>Jul</v>
      </c>
      <c r="F776" t="s">
        <v>10</v>
      </c>
      <c r="G776">
        <v>22</v>
      </c>
      <c r="H776">
        <v>3</v>
      </c>
      <c r="I776" s="21">
        <v>6435.62</v>
      </c>
      <c r="J776" t="str">
        <f t="shared" si="61"/>
        <v>tier - 3</v>
      </c>
      <c r="K776" t="s">
        <v>12</v>
      </c>
      <c r="L776" t="str">
        <f t="shared" si="62"/>
        <v>tier - 2</v>
      </c>
      <c r="M776" t="s">
        <v>11</v>
      </c>
      <c r="N776" t="str">
        <f t="shared" si="63"/>
        <v>R1013</v>
      </c>
      <c r="O776" t="s">
        <v>13</v>
      </c>
    </row>
    <row r="777" spans="1:15" x14ac:dyDescent="0.35">
      <c r="A777" t="s">
        <v>808</v>
      </c>
      <c r="C777">
        <f t="shared" si="60"/>
        <v>1984</v>
      </c>
      <c r="D777">
        <v>1984</v>
      </c>
      <c r="E777" t="str">
        <f t="shared" si="64"/>
        <v>Aug</v>
      </c>
      <c r="F777" t="s">
        <v>35</v>
      </c>
      <c r="G777">
        <v>26</v>
      </c>
      <c r="H777">
        <v>2</v>
      </c>
      <c r="I777" s="21">
        <v>6455.86</v>
      </c>
      <c r="J777" t="str">
        <f t="shared" si="61"/>
        <v>tier - 3</v>
      </c>
      <c r="K777" t="s">
        <v>12</v>
      </c>
      <c r="L777" t="str">
        <f t="shared" si="62"/>
        <v>tier - 3</v>
      </c>
      <c r="M777" t="s">
        <v>12</v>
      </c>
      <c r="N777" t="str">
        <f t="shared" si="63"/>
        <v>R1012</v>
      </c>
      <c r="O777" t="s">
        <v>23</v>
      </c>
    </row>
    <row r="778" spans="1:15" x14ac:dyDescent="0.35">
      <c r="A778" t="s">
        <v>809</v>
      </c>
      <c r="C778">
        <f t="shared" si="60"/>
        <v>1984</v>
      </c>
      <c r="D778">
        <v>1984</v>
      </c>
      <c r="E778" t="str">
        <f t="shared" si="64"/>
        <v>Nov</v>
      </c>
      <c r="F778" t="s">
        <v>15</v>
      </c>
      <c r="G778">
        <v>1</v>
      </c>
      <c r="H778">
        <v>2</v>
      </c>
      <c r="I778" s="21">
        <v>6457.84</v>
      </c>
      <c r="J778" t="str">
        <f t="shared" si="61"/>
        <v>tier - 2</v>
      </c>
      <c r="K778" t="s">
        <v>11</v>
      </c>
      <c r="L778" t="str">
        <f t="shared" si="62"/>
        <v>tier - 3</v>
      </c>
      <c r="M778" t="s">
        <v>12</v>
      </c>
      <c r="N778" t="str">
        <f t="shared" si="63"/>
        <v>R1012</v>
      </c>
      <c r="O778" t="s">
        <v>23</v>
      </c>
    </row>
    <row r="779" spans="1:15" x14ac:dyDescent="0.35">
      <c r="A779" t="s">
        <v>810</v>
      </c>
      <c r="C779">
        <f t="shared" si="60"/>
        <v>1981</v>
      </c>
      <c r="D779">
        <v>1981</v>
      </c>
      <c r="E779" t="str">
        <f t="shared" si="64"/>
        <v>Jul</v>
      </c>
      <c r="F779" t="s">
        <v>10</v>
      </c>
      <c r="G779">
        <v>27</v>
      </c>
      <c r="H779">
        <v>1</v>
      </c>
      <c r="I779" s="21">
        <v>6473.15</v>
      </c>
      <c r="J779" t="str">
        <f t="shared" si="61"/>
        <v>tier - 2</v>
      </c>
      <c r="K779" t="s">
        <v>11</v>
      </c>
      <c r="L779" t="str">
        <f t="shared" si="62"/>
        <v>tier - 2</v>
      </c>
      <c r="M779" t="s">
        <v>11</v>
      </c>
      <c r="N779" t="str">
        <f t="shared" si="63"/>
        <v>R1013</v>
      </c>
      <c r="O779" t="s">
        <v>13</v>
      </c>
    </row>
    <row r="780" spans="1:15" x14ac:dyDescent="0.35">
      <c r="A780" t="s">
        <v>811</v>
      </c>
      <c r="C780">
        <f t="shared" si="60"/>
        <v>1980</v>
      </c>
      <c r="D780">
        <v>1980</v>
      </c>
      <c r="E780" t="str">
        <f t="shared" si="64"/>
        <v>Jun</v>
      </c>
      <c r="F780" t="s">
        <v>18</v>
      </c>
      <c r="G780">
        <v>8</v>
      </c>
      <c r="H780">
        <v>0</v>
      </c>
      <c r="I780" s="21">
        <v>6474.01</v>
      </c>
      <c r="J780" t="str">
        <f t="shared" si="61"/>
        <v>tier - 2</v>
      </c>
      <c r="K780" t="s">
        <v>11</v>
      </c>
      <c r="L780" t="str">
        <f t="shared" si="62"/>
        <v>tier - 3</v>
      </c>
      <c r="M780" t="s">
        <v>12</v>
      </c>
      <c r="N780" t="str">
        <f t="shared" si="63"/>
        <v>R1011</v>
      </c>
      <c r="O780" t="s">
        <v>42</v>
      </c>
    </row>
    <row r="781" spans="1:15" x14ac:dyDescent="0.35">
      <c r="A781" t="s">
        <v>812</v>
      </c>
      <c r="C781">
        <f t="shared" si="60"/>
        <v>1970</v>
      </c>
      <c r="D781">
        <v>1970</v>
      </c>
      <c r="E781" t="str">
        <f t="shared" si="64"/>
        <v>Dec</v>
      </c>
      <c r="F781" t="s">
        <v>30</v>
      </c>
      <c r="G781">
        <v>1</v>
      </c>
      <c r="H781">
        <v>0</v>
      </c>
      <c r="I781" s="21">
        <v>6481.67</v>
      </c>
      <c r="J781" t="str">
        <f t="shared" si="61"/>
        <v>tier - 2</v>
      </c>
      <c r="K781" t="s">
        <v>11</v>
      </c>
      <c r="L781" t="str">
        <f t="shared" si="62"/>
        <v>tier - 2</v>
      </c>
      <c r="M781" t="s">
        <v>11</v>
      </c>
      <c r="N781" t="str">
        <f t="shared" si="63"/>
        <v>R1013</v>
      </c>
      <c r="O781" t="s">
        <v>13</v>
      </c>
    </row>
    <row r="782" spans="1:15" x14ac:dyDescent="0.35">
      <c r="A782" t="s">
        <v>813</v>
      </c>
      <c r="C782">
        <f t="shared" si="60"/>
        <v>1982</v>
      </c>
      <c r="D782">
        <v>1982</v>
      </c>
      <c r="E782" t="str">
        <f t="shared" si="64"/>
        <v>Oct</v>
      </c>
      <c r="F782" t="s">
        <v>37</v>
      </c>
      <c r="G782">
        <v>9</v>
      </c>
      <c r="H782">
        <v>1</v>
      </c>
      <c r="I782" s="21">
        <v>6496.89</v>
      </c>
      <c r="J782" t="str">
        <f t="shared" si="61"/>
        <v>tier - 2</v>
      </c>
      <c r="K782" t="s">
        <v>11</v>
      </c>
      <c r="L782" t="str">
        <f t="shared" si="62"/>
        <v>tier - 3</v>
      </c>
      <c r="M782" t="s">
        <v>12</v>
      </c>
      <c r="N782" t="str">
        <f t="shared" si="63"/>
        <v>R1011</v>
      </c>
      <c r="O782" t="s">
        <v>42</v>
      </c>
    </row>
    <row r="783" spans="1:15" x14ac:dyDescent="0.35">
      <c r="A783" t="s">
        <v>814</v>
      </c>
      <c r="C783">
        <f t="shared" si="60"/>
        <v>1982</v>
      </c>
      <c r="D783">
        <v>1982</v>
      </c>
      <c r="E783" t="str">
        <f t="shared" si="64"/>
        <v>Aug</v>
      </c>
      <c r="F783" t="s">
        <v>35</v>
      </c>
      <c r="G783">
        <v>28</v>
      </c>
      <c r="H783">
        <v>1</v>
      </c>
      <c r="I783" s="21">
        <v>6500.24</v>
      </c>
      <c r="J783" t="str">
        <f t="shared" si="61"/>
        <v>tier - 2</v>
      </c>
      <c r="K783" t="s">
        <v>11</v>
      </c>
      <c r="L783" t="str">
        <f t="shared" si="62"/>
        <v>tier - 2</v>
      </c>
      <c r="M783" t="s">
        <v>11</v>
      </c>
      <c r="N783" t="str">
        <f t="shared" si="63"/>
        <v>R1013</v>
      </c>
      <c r="O783" t="s">
        <v>13</v>
      </c>
    </row>
    <row r="784" spans="1:15" x14ac:dyDescent="0.35">
      <c r="A784" t="s">
        <v>815</v>
      </c>
      <c r="C784">
        <f t="shared" si="60"/>
        <v>1994</v>
      </c>
      <c r="D784">
        <v>1994</v>
      </c>
      <c r="E784" t="str">
        <f t="shared" si="64"/>
        <v>Jul</v>
      </c>
      <c r="F784" t="s">
        <v>10</v>
      </c>
      <c r="G784">
        <v>7</v>
      </c>
      <c r="H784">
        <v>0</v>
      </c>
      <c r="I784" s="21">
        <v>6512.24</v>
      </c>
      <c r="J784" t="str">
        <f t="shared" si="61"/>
        <v>tier - 2</v>
      </c>
      <c r="K784" t="s">
        <v>11</v>
      </c>
      <c r="L784" t="str">
        <f t="shared" si="62"/>
        <v>tier - 1</v>
      </c>
      <c r="M784" t="s">
        <v>16</v>
      </c>
      <c r="N784" t="str">
        <f t="shared" si="63"/>
        <v>R1021</v>
      </c>
      <c r="O784" t="s">
        <v>300</v>
      </c>
    </row>
    <row r="785" spans="1:15" x14ac:dyDescent="0.35">
      <c r="A785" t="s">
        <v>816</v>
      </c>
      <c r="C785">
        <f t="shared" si="60"/>
        <v>1976</v>
      </c>
      <c r="D785">
        <v>1976</v>
      </c>
      <c r="E785" t="str">
        <f t="shared" si="64"/>
        <v>Oct</v>
      </c>
      <c r="F785" t="s">
        <v>37</v>
      </c>
      <c r="G785">
        <v>23</v>
      </c>
      <c r="H785">
        <v>2</v>
      </c>
      <c r="I785" s="21">
        <v>6529.21</v>
      </c>
      <c r="J785" t="str">
        <f t="shared" si="61"/>
        <v>tier - 2</v>
      </c>
      <c r="K785" t="s">
        <v>11</v>
      </c>
      <c r="L785" t="str">
        <f t="shared" si="62"/>
        <v>tier - 1</v>
      </c>
      <c r="M785" t="s">
        <v>16</v>
      </c>
      <c r="N785" t="str">
        <f t="shared" si="63"/>
        <v>R1013</v>
      </c>
      <c r="O785" t="s">
        <v>13</v>
      </c>
    </row>
    <row r="786" spans="1:15" x14ac:dyDescent="0.35">
      <c r="A786" t="s">
        <v>817</v>
      </c>
      <c r="C786">
        <f t="shared" si="60"/>
        <v>1982</v>
      </c>
      <c r="D786">
        <v>1982</v>
      </c>
      <c r="E786" t="str">
        <f t="shared" si="64"/>
        <v>Aug</v>
      </c>
      <c r="F786" t="s">
        <v>35</v>
      </c>
      <c r="G786">
        <v>12</v>
      </c>
      <c r="H786">
        <v>3</v>
      </c>
      <c r="I786" s="21">
        <v>6532.04</v>
      </c>
      <c r="J786" t="str">
        <f t="shared" si="61"/>
        <v>tier - 2</v>
      </c>
      <c r="K786" t="s">
        <v>11</v>
      </c>
      <c r="L786" t="str">
        <f t="shared" si="62"/>
        <v>tier - 1</v>
      </c>
      <c r="M786" t="s">
        <v>16</v>
      </c>
      <c r="N786" t="str">
        <f t="shared" si="63"/>
        <v>R1013</v>
      </c>
      <c r="O786" t="s">
        <v>13</v>
      </c>
    </row>
    <row r="787" spans="1:15" x14ac:dyDescent="0.35">
      <c r="A787" t="s">
        <v>818</v>
      </c>
      <c r="C787">
        <f t="shared" si="60"/>
        <v>1982</v>
      </c>
      <c r="D787">
        <v>1982</v>
      </c>
      <c r="E787" t="str">
        <f t="shared" si="64"/>
        <v>Oct</v>
      </c>
      <c r="F787" t="s">
        <v>37</v>
      </c>
      <c r="G787">
        <v>2</v>
      </c>
      <c r="H787">
        <v>3</v>
      </c>
      <c r="I787" s="21">
        <v>6536.68</v>
      </c>
      <c r="J787" t="str">
        <f t="shared" si="61"/>
        <v>tier - 2</v>
      </c>
      <c r="K787" t="s">
        <v>11</v>
      </c>
      <c r="L787" t="str">
        <f t="shared" si="62"/>
        <v>tier - 2</v>
      </c>
      <c r="M787" t="s">
        <v>11</v>
      </c>
      <c r="N787" t="str">
        <f t="shared" si="63"/>
        <v>R1012</v>
      </c>
      <c r="O787" t="s">
        <v>23</v>
      </c>
    </row>
    <row r="788" spans="1:15" x14ac:dyDescent="0.35">
      <c r="A788" t="s">
        <v>819</v>
      </c>
      <c r="C788">
        <f t="shared" si="60"/>
        <v>1969</v>
      </c>
      <c r="D788">
        <v>1969</v>
      </c>
      <c r="E788" t="str">
        <f t="shared" si="64"/>
        <v>Dec</v>
      </c>
      <c r="F788" t="s">
        <v>30</v>
      </c>
      <c r="G788">
        <v>3</v>
      </c>
      <c r="H788">
        <v>0</v>
      </c>
      <c r="I788" s="21">
        <v>6546.16</v>
      </c>
      <c r="J788" t="str">
        <f t="shared" si="61"/>
        <v>tier - 2</v>
      </c>
      <c r="K788" t="s">
        <v>11</v>
      </c>
      <c r="L788" t="str">
        <f t="shared" si="62"/>
        <v>tier - 3</v>
      </c>
      <c r="M788" t="s">
        <v>12</v>
      </c>
      <c r="N788" t="str">
        <f t="shared" si="63"/>
        <v>R1013</v>
      </c>
      <c r="O788" t="s">
        <v>13</v>
      </c>
    </row>
    <row r="789" spans="1:15" x14ac:dyDescent="0.35">
      <c r="A789" t="s">
        <v>820</v>
      </c>
      <c r="C789">
        <f t="shared" si="60"/>
        <v>1986</v>
      </c>
      <c r="D789">
        <v>1986</v>
      </c>
      <c r="E789" t="str">
        <f t="shared" si="64"/>
        <v>Dec</v>
      </c>
      <c r="F789" t="s">
        <v>30</v>
      </c>
      <c r="G789">
        <v>18</v>
      </c>
      <c r="H789">
        <v>3</v>
      </c>
      <c r="I789" s="21">
        <v>6548.2</v>
      </c>
      <c r="J789" t="str">
        <f t="shared" si="61"/>
        <v>tier - 2</v>
      </c>
      <c r="K789" t="s">
        <v>11</v>
      </c>
      <c r="L789" t="str">
        <f t="shared" si="62"/>
        <v>tier - 3</v>
      </c>
      <c r="M789" t="s">
        <v>12</v>
      </c>
      <c r="N789" t="str">
        <f t="shared" si="63"/>
        <v>R1012</v>
      </c>
      <c r="O789" t="s">
        <v>23</v>
      </c>
    </row>
    <row r="790" spans="1:15" x14ac:dyDescent="0.35">
      <c r="A790" t="s">
        <v>821</v>
      </c>
      <c r="C790">
        <f t="shared" si="60"/>
        <v>1989</v>
      </c>
      <c r="D790">
        <v>1989</v>
      </c>
      <c r="E790" t="str">
        <f t="shared" si="64"/>
        <v>Aug</v>
      </c>
      <c r="F790" t="s">
        <v>35</v>
      </c>
      <c r="G790">
        <v>6</v>
      </c>
      <c r="H790">
        <v>3</v>
      </c>
      <c r="I790" s="21">
        <v>6551.75</v>
      </c>
      <c r="J790" t="str">
        <f t="shared" si="61"/>
        <v>tier - 2</v>
      </c>
      <c r="K790" t="s">
        <v>11</v>
      </c>
      <c r="L790" t="str">
        <f t="shared" si="62"/>
        <v>tier - 2</v>
      </c>
      <c r="M790" t="s">
        <v>11</v>
      </c>
      <c r="N790" t="str">
        <f t="shared" si="63"/>
        <v>R1024</v>
      </c>
      <c r="O790" t="s">
        <v>247</v>
      </c>
    </row>
    <row r="791" spans="1:15" x14ac:dyDescent="0.35">
      <c r="A791" t="s">
        <v>822</v>
      </c>
      <c r="C791">
        <f t="shared" si="60"/>
        <v>1968</v>
      </c>
      <c r="D791">
        <v>1968</v>
      </c>
      <c r="E791" t="str">
        <f t="shared" si="64"/>
        <v>Dec</v>
      </c>
      <c r="F791" t="s">
        <v>30</v>
      </c>
      <c r="G791">
        <v>11</v>
      </c>
      <c r="H791">
        <v>0</v>
      </c>
      <c r="I791" s="21">
        <v>6552.01</v>
      </c>
      <c r="J791" t="str">
        <f t="shared" si="61"/>
        <v>tier - 3</v>
      </c>
      <c r="K791" t="s">
        <v>12</v>
      </c>
      <c r="L791" t="str">
        <f t="shared" si="62"/>
        <v>tier - 2</v>
      </c>
      <c r="M791" t="s">
        <v>11</v>
      </c>
      <c r="N791" t="str">
        <f t="shared" si="63"/>
        <v>R1013</v>
      </c>
      <c r="O791" t="s">
        <v>13</v>
      </c>
    </row>
    <row r="792" spans="1:15" x14ac:dyDescent="0.35">
      <c r="A792" t="s">
        <v>823</v>
      </c>
      <c r="C792">
        <f t="shared" si="60"/>
        <v>1984</v>
      </c>
      <c r="D792">
        <v>1984</v>
      </c>
      <c r="E792" t="str">
        <f t="shared" si="64"/>
        <v>Sep</v>
      </c>
      <c r="F792" t="s">
        <v>20</v>
      </c>
      <c r="G792">
        <v>20</v>
      </c>
      <c r="H792">
        <v>1</v>
      </c>
      <c r="I792" s="21">
        <v>6555.07</v>
      </c>
      <c r="J792" t="str">
        <f t="shared" si="61"/>
        <v>tier - 2</v>
      </c>
      <c r="K792" t="s">
        <v>11</v>
      </c>
      <c r="L792" t="str">
        <f t="shared" si="62"/>
        <v>tier - 2</v>
      </c>
      <c r="M792" t="s">
        <v>11</v>
      </c>
      <c r="N792" t="str">
        <f t="shared" si="63"/>
        <v>R1024</v>
      </c>
      <c r="O792" t="s">
        <v>247</v>
      </c>
    </row>
    <row r="793" spans="1:15" x14ac:dyDescent="0.35">
      <c r="A793" t="s">
        <v>824</v>
      </c>
      <c r="C793">
        <f t="shared" si="60"/>
        <v>1981</v>
      </c>
      <c r="D793">
        <v>1981</v>
      </c>
      <c r="E793" t="str">
        <f t="shared" si="64"/>
        <v>Jul</v>
      </c>
      <c r="F793" t="s">
        <v>10</v>
      </c>
      <c r="G793">
        <v>20</v>
      </c>
      <c r="H793">
        <v>0</v>
      </c>
      <c r="I793" s="21">
        <v>6571.02</v>
      </c>
      <c r="J793" t="str">
        <f t="shared" si="61"/>
        <v>tier - 2</v>
      </c>
      <c r="K793" t="s">
        <v>11</v>
      </c>
      <c r="L793" t="str">
        <f t="shared" si="62"/>
        <v>tier - 1</v>
      </c>
      <c r="M793" t="s">
        <v>16</v>
      </c>
      <c r="N793" t="str">
        <f t="shared" si="63"/>
        <v>R1012</v>
      </c>
      <c r="O793" t="s">
        <v>23</v>
      </c>
    </row>
    <row r="794" spans="1:15" x14ac:dyDescent="0.35">
      <c r="A794" t="s">
        <v>825</v>
      </c>
      <c r="C794">
        <f t="shared" si="60"/>
        <v>1984</v>
      </c>
      <c r="D794">
        <v>1984</v>
      </c>
      <c r="E794" t="str">
        <f t="shared" si="64"/>
        <v>Oct</v>
      </c>
      <c r="F794" t="s">
        <v>37</v>
      </c>
      <c r="G794">
        <v>5</v>
      </c>
      <c r="H794">
        <v>2</v>
      </c>
      <c r="I794" s="21">
        <v>6571.54</v>
      </c>
      <c r="J794" t="str">
        <f t="shared" si="61"/>
        <v>tier - 2</v>
      </c>
      <c r="K794" t="s">
        <v>11</v>
      </c>
      <c r="L794" t="str">
        <f t="shared" si="62"/>
        <v>tier - 3</v>
      </c>
      <c r="M794" t="s">
        <v>12</v>
      </c>
      <c r="N794" t="str">
        <f t="shared" si="63"/>
        <v>R1011</v>
      </c>
      <c r="O794" t="s">
        <v>42</v>
      </c>
    </row>
    <row r="795" spans="1:15" x14ac:dyDescent="0.35">
      <c r="A795" t="s">
        <v>826</v>
      </c>
      <c r="C795">
        <f t="shared" si="60"/>
        <v>1982</v>
      </c>
      <c r="D795">
        <v>1982</v>
      </c>
      <c r="E795" t="str">
        <f t="shared" si="64"/>
        <v>Nov</v>
      </c>
      <c r="F795" t="s">
        <v>15</v>
      </c>
      <c r="G795">
        <v>22</v>
      </c>
      <c r="H795">
        <v>2</v>
      </c>
      <c r="I795" s="21">
        <v>6593.51</v>
      </c>
      <c r="J795" t="str">
        <f t="shared" si="61"/>
        <v>tier - 2</v>
      </c>
      <c r="K795" t="s">
        <v>11</v>
      </c>
      <c r="L795" t="str">
        <f t="shared" si="62"/>
        <v>tier - 1</v>
      </c>
      <c r="M795" t="s">
        <v>16</v>
      </c>
      <c r="N795" t="str">
        <f t="shared" si="63"/>
        <v>R1013</v>
      </c>
      <c r="O795" t="s">
        <v>13</v>
      </c>
    </row>
    <row r="796" spans="1:15" x14ac:dyDescent="0.35">
      <c r="A796" t="s">
        <v>827</v>
      </c>
      <c r="C796">
        <f t="shared" si="60"/>
        <v>1982</v>
      </c>
      <c r="D796">
        <v>1982</v>
      </c>
      <c r="E796" t="str">
        <f t="shared" si="64"/>
        <v>Dec</v>
      </c>
      <c r="F796" t="s">
        <v>30</v>
      </c>
      <c r="G796">
        <v>29</v>
      </c>
      <c r="H796">
        <v>1</v>
      </c>
      <c r="I796" s="21">
        <v>6600.21</v>
      </c>
      <c r="J796" t="str">
        <f t="shared" si="61"/>
        <v>tier - 3</v>
      </c>
      <c r="K796" t="s">
        <v>12</v>
      </c>
      <c r="L796" t="str">
        <f t="shared" si="62"/>
        <v>tier - 2</v>
      </c>
      <c r="M796" t="s">
        <v>11</v>
      </c>
      <c r="N796" t="str">
        <f t="shared" si="63"/>
        <v>R1016</v>
      </c>
      <c r="O796" t="s">
        <v>168</v>
      </c>
    </row>
    <row r="797" spans="1:15" x14ac:dyDescent="0.35">
      <c r="A797" t="s">
        <v>828</v>
      </c>
      <c r="C797">
        <f t="shared" si="60"/>
        <v>1982</v>
      </c>
      <c r="D797">
        <v>1982</v>
      </c>
      <c r="E797" t="str">
        <f t="shared" si="64"/>
        <v>Nov</v>
      </c>
      <c r="F797" t="s">
        <v>15</v>
      </c>
      <c r="G797">
        <v>7</v>
      </c>
      <c r="H797">
        <v>2</v>
      </c>
      <c r="I797" s="21">
        <v>6600.36</v>
      </c>
      <c r="J797" t="str">
        <f t="shared" si="61"/>
        <v>tier - 2</v>
      </c>
      <c r="K797" t="s">
        <v>11</v>
      </c>
      <c r="L797" t="str">
        <f t="shared" si="62"/>
        <v>tier - 3</v>
      </c>
      <c r="M797" t="s">
        <v>12</v>
      </c>
      <c r="N797" t="str">
        <f t="shared" si="63"/>
        <v>R1011</v>
      </c>
      <c r="O797" t="s">
        <v>42</v>
      </c>
    </row>
    <row r="798" spans="1:15" x14ac:dyDescent="0.35">
      <c r="A798" t="s">
        <v>829</v>
      </c>
      <c r="C798">
        <f t="shared" si="60"/>
        <v>1982</v>
      </c>
      <c r="D798">
        <v>1982</v>
      </c>
      <c r="E798" t="str">
        <f t="shared" si="64"/>
        <v>Aug</v>
      </c>
      <c r="F798" t="s">
        <v>35</v>
      </c>
      <c r="G798">
        <v>28</v>
      </c>
      <c r="H798">
        <v>1</v>
      </c>
      <c r="I798" s="21">
        <v>6610.11</v>
      </c>
      <c r="J798" t="str">
        <f t="shared" si="61"/>
        <v>tier - 3</v>
      </c>
      <c r="K798" t="s">
        <v>12</v>
      </c>
      <c r="L798" t="str">
        <f t="shared" si="62"/>
        <v>tier - 2</v>
      </c>
      <c r="M798" t="s">
        <v>11</v>
      </c>
      <c r="N798" t="str">
        <f t="shared" si="63"/>
        <v>R1015</v>
      </c>
      <c r="O798" t="s">
        <v>164</v>
      </c>
    </row>
    <row r="799" spans="1:15" x14ac:dyDescent="0.35">
      <c r="A799" t="s">
        <v>830</v>
      </c>
      <c r="C799">
        <f t="shared" si="60"/>
        <v>1973</v>
      </c>
      <c r="D799">
        <v>1973</v>
      </c>
      <c r="E799" t="str">
        <f t="shared" si="64"/>
        <v>Aug</v>
      </c>
      <c r="F799" t="s">
        <v>35</v>
      </c>
      <c r="G799">
        <v>29</v>
      </c>
      <c r="H799">
        <v>0</v>
      </c>
      <c r="I799" s="21">
        <v>6630.31</v>
      </c>
      <c r="J799" t="str">
        <f t="shared" si="61"/>
        <v>tier - 2</v>
      </c>
      <c r="K799" t="s">
        <v>11</v>
      </c>
      <c r="L799" t="str">
        <f t="shared" si="62"/>
        <v>tier - 1</v>
      </c>
      <c r="M799" t="s">
        <v>16</v>
      </c>
      <c r="N799" t="str">
        <f t="shared" si="63"/>
        <v>R1013</v>
      </c>
      <c r="O799" t="s">
        <v>13</v>
      </c>
    </row>
    <row r="800" spans="1:15" x14ac:dyDescent="0.35">
      <c r="A800" t="s">
        <v>831</v>
      </c>
      <c r="C800">
        <f t="shared" si="60"/>
        <v>2003</v>
      </c>
      <c r="D800">
        <v>2003</v>
      </c>
      <c r="E800" t="str">
        <f t="shared" si="64"/>
        <v>Sep</v>
      </c>
      <c r="F800" t="s">
        <v>20</v>
      </c>
      <c r="G800">
        <v>4</v>
      </c>
      <c r="H800">
        <v>0</v>
      </c>
      <c r="I800" s="21">
        <v>6638.16</v>
      </c>
      <c r="J800" t="str">
        <f t="shared" si="61"/>
        <v>tier - 2</v>
      </c>
      <c r="K800" t="s">
        <v>11</v>
      </c>
      <c r="L800" t="str">
        <f t="shared" si="62"/>
        <v>tier - 1</v>
      </c>
      <c r="M800" t="s">
        <v>16</v>
      </c>
      <c r="N800" t="str">
        <f t="shared" si="63"/>
        <v>R1012</v>
      </c>
      <c r="O800" t="s">
        <v>23</v>
      </c>
    </row>
    <row r="801" spans="1:15" x14ac:dyDescent="0.35">
      <c r="A801" t="s">
        <v>832</v>
      </c>
      <c r="C801">
        <f t="shared" si="60"/>
        <v>1990</v>
      </c>
      <c r="D801">
        <v>1990</v>
      </c>
      <c r="E801" t="str">
        <f t="shared" si="64"/>
        <v>Jun</v>
      </c>
      <c r="F801" t="s">
        <v>18</v>
      </c>
      <c r="G801">
        <v>6</v>
      </c>
      <c r="H801">
        <v>3</v>
      </c>
      <c r="I801" s="21">
        <v>6639.3</v>
      </c>
      <c r="J801" t="str">
        <f t="shared" si="61"/>
        <v>tier - 2</v>
      </c>
      <c r="K801" t="s">
        <v>11</v>
      </c>
      <c r="L801" t="str">
        <f t="shared" si="62"/>
        <v>tier - 2</v>
      </c>
      <c r="M801" t="s">
        <v>11</v>
      </c>
      <c r="N801" t="str">
        <f t="shared" si="63"/>
        <v>R1021</v>
      </c>
      <c r="O801" t="s">
        <v>300</v>
      </c>
    </row>
    <row r="802" spans="1:15" x14ac:dyDescent="0.35">
      <c r="A802" t="s">
        <v>833</v>
      </c>
      <c r="C802">
        <f t="shared" si="60"/>
        <v>1984</v>
      </c>
      <c r="D802">
        <v>1984</v>
      </c>
      <c r="E802" t="str">
        <f t="shared" si="64"/>
        <v>Dec</v>
      </c>
      <c r="F802" t="s">
        <v>30</v>
      </c>
      <c r="G802">
        <v>8</v>
      </c>
      <c r="H802">
        <v>2</v>
      </c>
      <c r="I802" s="21">
        <v>6640.54</v>
      </c>
      <c r="J802" t="str">
        <f t="shared" si="61"/>
        <v>tier - 2</v>
      </c>
      <c r="K802" t="s">
        <v>11</v>
      </c>
      <c r="L802" t="str">
        <f t="shared" si="62"/>
        <v>tier - 3</v>
      </c>
      <c r="M802" t="s">
        <v>12</v>
      </c>
      <c r="N802" t="str">
        <f t="shared" si="63"/>
        <v>R1019</v>
      </c>
      <c r="O802" t="s">
        <v>166</v>
      </c>
    </row>
    <row r="803" spans="1:15" x14ac:dyDescent="0.35">
      <c r="A803" t="s">
        <v>834</v>
      </c>
      <c r="C803">
        <f t="shared" si="60"/>
        <v>1970</v>
      </c>
      <c r="D803">
        <v>1970</v>
      </c>
      <c r="E803" t="str">
        <f t="shared" si="64"/>
        <v>Nov</v>
      </c>
      <c r="F803" t="s">
        <v>15</v>
      </c>
      <c r="G803">
        <v>8</v>
      </c>
      <c r="H803">
        <v>0</v>
      </c>
      <c r="I803" s="21">
        <v>6651.26</v>
      </c>
      <c r="J803" t="str">
        <f t="shared" si="61"/>
        <v>tier - 2</v>
      </c>
      <c r="K803" t="s">
        <v>11</v>
      </c>
      <c r="L803" t="str">
        <f t="shared" si="62"/>
        <v>tier - 3</v>
      </c>
      <c r="M803" t="s">
        <v>12</v>
      </c>
      <c r="N803" t="str">
        <f t="shared" si="63"/>
        <v>R1013</v>
      </c>
      <c r="O803" t="s">
        <v>13</v>
      </c>
    </row>
    <row r="804" spans="1:15" x14ac:dyDescent="0.35">
      <c r="A804" t="s">
        <v>835</v>
      </c>
      <c r="C804">
        <f t="shared" si="60"/>
        <v>1984</v>
      </c>
      <c r="D804">
        <v>1984</v>
      </c>
      <c r="E804" t="str">
        <f t="shared" si="64"/>
        <v>Jul</v>
      </c>
      <c r="F804" t="s">
        <v>10</v>
      </c>
      <c r="G804">
        <v>1</v>
      </c>
      <c r="H804">
        <v>3</v>
      </c>
      <c r="I804" s="21">
        <v>6652.53</v>
      </c>
      <c r="J804" t="str">
        <f t="shared" si="61"/>
        <v>tier - 3</v>
      </c>
      <c r="K804" t="s">
        <v>12</v>
      </c>
      <c r="L804" t="str">
        <f t="shared" si="62"/>
        <v>tier - 2</v>
      </c>
      <c r="M804" t="s">
        <v>11</v>
      </c>
      <c r="N804" t="str">
        <f t="shared" si="63"/>
        <v>R1013</v>
      </c>
      <c r="O804" t="s">
        <v>13</v>
      </c>
    </row>
    <row r="805" spans="1:15" x14ac:dyDescent="0.35">
      <c r="A805" t="s">
        <v>836</v>
      </c>
      <c r="C805">
        <f t="shared" si="60"/>
        <v>1989</v>
      </c>
      <c r="D805">
        <v>1989</v>
      </c>
      <c r="E805" t="str">
        <f t="shared" si="64"/>
        <v>Nov</v>
      </c>
      <c r="F805" t="s">
        <v>15</v>
      </c>
      <c r="G805">
        <v>19</v>
      </c>
      <c r="H805">
        <v>5</v>
      </c>
      <c r="I805" s="21">
        <v>6653.79</v>
      </c>
      <c r="J805" t="str">
        <f t="shared" si="61"/>
        <v>tier - 2</v>
      </c>
      <c r="K805" t="s">
        <v>11</v>
      </c>
      <c r="L805" t="str">
        <f t="shared" si="62"/>
        <v>tier - 1</v>
      </c>
      <c r="M805" t="s">
        <v>16</v>
      </c>
      <c r="N805" t="str">
        <f t="shared" si="63"/>
        <v>R1013</v>
      </c>
      <c r="O805" t="s">
        <v>13</v>
      </c>
    </row>
    <row r="806" spans="1:15" x14ac:dyDescent="0.35">
      <c r="A806" t="s">
        <v>837</v>
      </c>
      <c r="C806">
        <f t="shared" si="60"/>
        <v>1982</v>
      </c>
      <c r="D806">
        <v>1982</v>
      </c>
      <c r="E806" t="str">
        <f t="shared" si="64"/>
        <v>Sep</v>
      </c>
      <c r="F806" t="s">
        <v>20</v>
      </c>
      <c r="G806">
        <v>27</v>
      </c>
      <c r="H806">
        <v>3</v>
      </c>
      <c r="I806" s="21">
        <v>6664.32</v>
      </c>
      <c r="J806" t="str">
        <f t="shared" si="61"/>
        <v>tier - 2</v>
      </c>
      <c r="K806" t="s">
        <v>11</v>
      </c>
      <c r="L806" t="str">
        <f t="shared" si="62"/>
        <v>tier - 2</v>
      </c>
      <c r="M806" t="s">
        <v>11</v>
      </c>
      <c r="N806" t="str">
        <f t="shared" si="63"/>
        <v>R1013</v>
      </c>
      <c r="O806" t="s">
        <v>13</v>
      </c>
    </row>
    <row r="807" spans="1:15" x14ac:dyDescent="0.35">
      <c r="A807" t="s">
        <v>838</v>
      </c>
      <c r="C807">
        <f t="shared" si="60"/>
        <v>1981</v>
      </c>
      <c r="D807">
        <v>1981</v>
      </c>
      <c r="E807" t="str">
        <f t="shared" si="64"/>
        <v>Sep</v>
      </c>
      <c r="F807" t="s">
        <v>20</v>
      </c>
      <c r="G807">
        <v>17</v>
      </c>
      <c r="H807">
        <v>1</v>
      </c>
      <c r="I807" s="21">
        <v>6664.69</v>
      </c>
      <c r="J807" t="str">
        <f t="shared" si="61"/>
        <v>tier - 3</v>
      </c>
      <c r="K807" t="s">
        <v>12</v>
      </c>
      <c r="L807" t="str">
        <f t="shared" si="62"/>
        <v>tier - 1</v>
      </c>
      <c r="M807" t="s">
        <v>16</v>
      </c>
      <c r="N807" t="str">
        <f t="shared" si="63"/>
        <v>R1012</v>
      </c>
      <c r="O807" t="s">
        <v>23</v>
      </c>
    </row>
    <row r="808" spans="1:15" x14ac:dyDescent="0.35">
      <c r="A808" t="s">
        <v>839</v>
      </c>
      <c r="C808">
        <f t="shared" si="60"/>
        <v>1989</v>
      </c>
      <c r="D808">
        <v>1989</v>
      </c>
      <c r="E808" t="str">
        <f t="shared" si="64"/>
        <v>Oct</v>
      </c>
      <c r="F808" t="s">
        <v>37</v>
      </c>
      <c r="G808">
        <v>20</v>
      </c>
      <c r="H808">
        <v>5</v>
      </c>
      <c r="I808" s="21">
        <v>6666.24</v>
      </c>
      <c r="J808" t="str">
        <f t="shared" si="61"/>
        <v>tier - 3</v>
      </c>
      <c r="K808" t="s">
        <v>12</v>
      </c>
      <c r="L808" t="str">
        <f t="shared" si="62"/>
        <v>tier - 1</v>
      </c>
      <c r="M808" t="s">
        <v>16</v>
      </c>
      <c r="N808" t="str">
        <f t="shared" si="63"/>
        <v>R1011</v>
      </c>
      <c r="O808" t="s">
        <v>42</v>
      </c>
    </row>
    <row r="809" spans="1:15" x14ac:dyDescent="0.35">
      <c r="A809" t="s">
        <v>840</v>
      </c>
      <c r="C809">
        <f t="shared" si="60"/>
        <v>1985</v>
      </c>
      <c r="D809">
        <v>1985</v>
      </c>
      <c r="E809" t="str">
        <f t="shared" si="64"/>
        <v>Jul</v>
      </c>
      <c r="F809" t="s">
        <v>10</v>
      </c>
      <c r="G809">
        <v>9</v>
      </c>
      <c r="H809">
        <v>2</v>
      </c>
      <c r="I809" s="21">
        <v>6686.43</v>
      </c>
      <c r="J809" t="str">
        <f t="shared" si="61"/>
        <v>tier - 2</v>
      </c>
      <c r="K809" t="s">
        <v>11</v>
      </c>
      <c r="L809" t="str">
        <f t="shared" si="62"/>
        <v>tier - 3</v>
      </c>
      <c r="M809" t="s">
        <v>12</v>
      </c>
      <c r="N809" t="str">
        <f t="shared" si="63"/>
        <v>R1012</v>
      </c>
      <c r="O809" t="s">
        <v>23</v>
      </c>
    </row>
    <row r="810" spans="1:15" x14ac:dyDescent="0.35">
      <c r="A810" t="s">
        <v>841</v>
      </c>
      <c r="C810">
        <f t="shared" si="60"/>
        <v>1968</v>
      </c>
      <c r="D810">
        <v>1968</v>
      </c>
      <c r="E810" t="str">
        <f t="shared" si="64"/>
        <v>Jul</v>
      </c>
      <c r="F810" t="s">
        <v>10</v>
      </c>
      <c r="G810">
        <v>13</v>
      </c>
      <c r="H810">
        <v>0</v>
      </c>
      <c r="I810" s="21">
        <v>6700.56</v>
      </c>
      <c r="J810" t="str">
        <f t="shared" si="61"/>
        <v>tier - 3</v>
      </c>
      <c r="K810" t="s">
        <v>12</v>
      </c>
      <c r="L810" t="str">
        <f t="shared" si="62"/>
        <v>tier - 1</v>
      </c>
      <c r="M810" t="s">
        <v>16</v>
      </c>
      <c r="N810" t="str">
        <f t="shared" si="63"/>
        <v>R1012</v>
      </c>
      <c r="O810" t="s">
        <v>23</v>
      </c>
    </row>
    <row r="811" spans="1:15" x14ac:dyDescent="0.35">
      <c r="A811" t="s">
        <v>842</v>
      </c>
      <c r="C811">
        <f t="shared" si="60"/>
        <v>1971</v>
      </c>
      <c r="D811">
        <v>1971</v>
      </c>
      <c r="E811" t="str">
        <f t="shared" si="64"/>
        <v>Dec</v>
      </c>
      <c r="F811" t="s">
        <v>30</v>
      </c>
      <c r="G811">
        <v>12</v>
      </c>
      <c r="H811">
        <v>0</v>
      </c>
      <c r="I811" s="21">
        <v>6706.47</v>
      </c>
      <c r="J811" t="str">
        <f t="shared" si="61"/>
        <v>tier - 2</v>
      </c>
      <c r="K811" t="s">
        <v>11</v>
      </c>
      <c r="L811" t="str">
        <f t="shared" si="62"/>
        <v>tier - 1</v>
      </c>
      <c r="M811" t="s">
        <v>16</v>
      </c>
      <c r="N811" t="str">
        <f t="shared" si="63"/>
        <v>R1013</v>
      </c>
      <c r="O811" t="s">
        <v>13</v>
      </c>
    </row>
    <row r="812" spans="1:15" x14ac:dyDescent="0.35">
      <c r="A812" t="s">
        <v>843</v>
      </c>
      <c r="C812">
        <f t="shared" si="60"/>
        <v>1983</v>
      </c>
      <c r="D812">
        <v>1983</v>
      </c>
      <c r="E812" t="str">
        <f t="shared" si="64"/>
        <v>Jun</v>
      </c>
      <c r="F812" t="s">
        <v>18</v>
      </c>
      <c r="G812">
        <v>12</v>
      </c>
      <c r="H812">
        <v>2</v>
      </c>
      <c r="I812" s="21">
        <v>6710.19</v>
      </c>
      <c r="J812" t="str">
        <f t="shared" si="61"/>
        <v>tier - 3</v>
      </c>
      <c r="K812" t="s">
        <v>12</v>
      </c>
      <c r="L812" t="str">
        <f t="shared" si="62"/>
        <v>tier - 3</v>
      </c>
      <c r="M812" t="s">
        <v>12</v>
      </c>
      <c r="N812" t="str">
        <f t="shared" si="63"/>
        <v>R1012</v>
      </c>
      <c r="O812" t="s">
        <v>23</v>
      </c>
    </row>
    <row r="813" spans="1:15" x14ac:dyDescent="0.35">
      <c r="A813" t="s">
        <v>844</v>
      </c>
      <c r="C813">
        <f t="shared" si="60"/>
        <v>1994</v>
      </c>
      <c r="D813">
        <v>1994</v>
      </c>
      <c r="E813" t="str">
        <f t="shared" si="64"/>
        <v>Jun</v>
      </c>
      <c r="F813" t="s">
        <v>18</v>
      </c>
      <c r="G813">
        <v>13</v>
      </c>
      <c r="H813">
        <v>0</v>
      </c>
      <c r="I813" s="21">
        <v>6721.37</v>
      </c>
      <c r="J813" t="str">
        <f t="shared" si="61"/>
        <v>tier - 2</v>
      </c>
      <c r="K813" t="s">
        <v>11</v>
      </c>
      <c r="L813" t="str">
        <f t="shared" si="62"/>
        <v>tier - 1</v>
      </c>
      <c r="M813" t="s">
        <v>16</v>
      </c>
      <c r="N813" t="str">
        <f t="shared" si="63"/>
        <v>R1012</v>
      </c>
      <c r="O813" t="s">
        <v>23</v>
      </c>
    </row>
    <row r="814" spans="1:15" x14ac:dyDescent="0.35">
      <c r="A814" t="s">
        <v>845</v>
      </c>
      <c r="C814">
        <f t="shared" si="60"/>
        <v>1978</v>
      </c>
      <c r="D814">
        <v>1978</v>
      </c>
      <c r="E814" t="str">
        <f t="shared" si="64"/>
        <v>Oct</v>
      </c>
      <c r="F814" t="s">
        <v>37</v>
      </c>
      <c r="G814">
        <v>21</v>
      </c>
      <c r="H814">
        <v>2</v>
      </c>
      <c r="I814" s="21">
        <v>6737.98</v>
      </c>
      <c r="J814" t="str">
        <f t="shared" si="61"/>
        <v>tier - 2</v>
      </c>
      <c r="K814" t="s">
        <v>11</v>
      </c>
      <c r="L814" t="str">
        <f t="shared" si="62"/>
        <v>tier - 3</v>
      </c>
      <c r="M814" t="s">
        <v>12</v>
      </c>
      <c r="N814" t="str">
        <f t="shared" si="63"/>
        <v>R1013</v>
      </c>
      <c r="O814" t="s">
        <v>13</v>
      </c>
    </row>
    <row r="815" spans="1:15" x14ac:dyDescent="0.35">
      <c r="A815" t="s">
        <v>846</v>
      </c>
      <c r="C815">
        <f t="shared" si="60"/>
        <v>1968</v>
      </c>
      <c r="D815">
        <v>1968</v>
      </c>
      <c r="E815" t="str">
        <f t="shared" si="64"/>
        <v>Jul</v>
      </c>
      <c r="F815" t="s">
        <v>10</v>
      </c>
      <c r="G815">
        <v>18</v>
      </c>
      <c r="H815">
        <v>0</v>
      </c>
      <c r="I815" s="21">
        <v>6738.84</v>
      </c>
      <c r="J815" t="str">
        <f t="shared" si="61"/>
        <v>tier - 3</v>
      </c>
      <c r="K815" t="s">
        <v>12</v>
      </c>
      <c r="L815" t="str">
        <f t="shared" si="62"/>
        <v>tier - 1</v>
      </c>
      <c r="M815" t="s">
        <v>16</v>
      </c>
      <c r="N815" t="str">
        <f t="shared" si="63"/>
        <v>R1012</v>
      </c>
      <c r="O815" t="s">
        <v>23</v>
      </c>
    </row>
    <row r="816" spans="1:15" x14ac:dyDescent="0.35">
      <c r="A816" t="s">
        <v>847</v>
      </c>
      <c r="C816">
        <f t="shared" si="60"/>
        <v>1986</v>
      </c>
      <c r="D816">
        <v>1986</v>
      </c>
      <c r="E816" t="str">
        <f t="shared" si="64"/>
        <v>Aug</v>
      </c>
      <c r="F816" t="s">
        <v>35</v>
      </c>
      <c r="G816">
        <v>7</v>
      </c>
      <c r="H816">
        <v>3</v>
      </c>
      <c r="I816" s="21">
        <v>6746.74</v>
      </c>
      <c r="J816" t="str">
        <f t="shared" si="61"/>
        <v>tier - 3</v>
      </c>
      <c r="K816" t="s">
        <v>12</v>
      </c>
      <c r="L816" t="str">
        <f t="shared" si="62"/>
        <v>tier - 2</v>
      </c>
      <c r="M816" t="s">
        <v>11</v>
      </c>
      <c r="N816" t="str">
        <f t="shared" si="63"/>
        <v>R1016</v>
      </c>
      <c r="O816" t="s">
        <v>168</v>
      </c>
    </row>
    <row r="817" spans="1:15" x14ac:dyDescent="0.35">
      <c r="A817" t="s">
        <v>848</v>
      </c>
      <c r="C817">
        <f t="shared" si="60"/>
        <v>1986</v>
      </c>
      <c r="D817">
        <v>1986</v>
      </c>
      <c r="E817" t="str">
        <f t="shared" si="64"/>
        <v>Jun</v>
      </c>
      <c r="F817" t="s">
        <v>18</v>
      </c>
      <c r="G817">
        <v>5</v>
      </c>
      <c r="H817">
        <v>3</v>
      </c>
      <c r="I817" s="21">
        <v>6748.59</v>
      </c>
      <c r="J817" t="str">
        <f t="shared" si="61"/>
        <v>tier - 3</v>
      </c>
      <c r="K817" t="s">
        <v>12</v>
      </c>
      <c r="L817" t="str">
        <f t="shared" si="62"/>
        <v>tier - 1</v>
      </c>
      <c r="M817" t="s">
        <v>16</v>
      </c>
      <c r="N817" t="str">
        <f t="shared" si="63"/>
        <v>R1016</v>
      </c>
      <c r="O817" t="s">
        <v>168</v>
      </c>
    </row>
    <row r="818" spans="1:15" x14ac:dyDescent="0.35">
      <c r="A818" t="s">
        <v>849</v>
      </c>
      <c r="C818">
        <f t="shared" si="60"/>
        <v>1970</v>
      </c>
      <c r="D818">
        <v>1970</v>
      </c>
      <c r="E818" t="str">
        <f t="shared" si="64"/>
        <v>Jun</v>
      </c>
      <c r="F818" t="s">
        <v>18</v>
      </c>
      <c r="G818">
        <v>17</v>
      </c>
      <c r="H818">
        <v>0</v>
      </c>
      <c r="I818" s="21">
        <v>6749.63</v>
      </c>
      <c r="J818" t="str">
        <f t="shared" si="61"/>
        <v>tier - 2</v>
      </c>
      <c r="K818" t="s">
        <v>11</v>
      </c>
      <c r="L818" t="str">
        <f t="shared" si="62"/>
        <v>tier - 1</v>
      </c>
      <c r="M818" t="s">
        <v>16</v>
      </c>
      <c r="N818" t="str">
        <f t="shared" si="63"/>
        <v>R1013</v>
      </c>
      <c r="O818" t="s">
        <v>13</v>
      </c>
    </row>
    <row r="819" spans="1:15" x14ac:dyDescent="0.35">
      <c r="A819" t="s">
        <v>850</v>
      </c>
      <c r="C819">
        <f t="shared" si="60"/>
        <v>1966</v>
      </c>
      <c r="D819">
        <v>1966</v>
      </c>
      <c r="E819" t="str">
        <f t="shared" si="64"/>
        <v>Dec</v>
      </c>
      <c r="F819" t="s">
        <v>30</v>
      </c>
      <c r="G819">
        <v>9</v>
      </c>
      <c r="H819">
        <v>0</v>
      </c>
      <c r="I819" s="21">
        <v>6750.27</v>
      </c>
      <c r="J819" t="str">
        <f t="shared" si="61"/>
        <v>tier - 3</v>
      </c>
      <c r="K819" t="s">
        <v>12</v>
      </c>
      <c r="L819" t="str">
        <f t="shared" si="62"/>
        <v>tier - 2</v>
      </c>
      <c r="M819" t="s">
        <v>11</v>
      </c>
      <c r="N819" t="str">
        <f t="shared" si="63"/>
        <v>R1013</v>
      </c>
      <c r="O819" t="s">
        <v>13</v>
      </c>
    </row>
    <row r="820" spans="1:15" x14ac:dyDescent="0.35">
      <c r="A820" t="s">
        <v>851</v>
      </c>
      <c r="C820">
        <f t="shared" si="60"/>
        <v>1988</v>
      </c>
      <c r="D820">
        <v>1988</v>
      </c>
      <c r="E820" t="str">
        <f t="shared" si="64"/>
        <v>Oct</v>
      </c>
      <c r="F820" t="s">
        <v>37</v>
      </c>
      <c r="G820">
        <v>10</v>
      </c>
      <c r="H820">
        <v>3</v>
      </c>
      <c r="I820" s="21">
        <v>6753.04</v>
      </c>
      <c r="J820" t="str">
        <f t="shared" si="61"/>
        <v>tier - 2</v>
      </c>
      <c r="K820" t="s">
        <v>11</v>
      </c>
      <c r="L820" t="str">
        <f t="shared" si="62"/>
        <v>tier - 2</v>
      </c>
      <c r="M820" t="s">
        <v>11</v>
      </c>
      <c r="N820" t="str">
        <f t="shared" si="63"/>
        <v>R1024</v>
      </c>
      <c r="O820" t="s">
        <v>247</v>
      </c>
    </row>
    <row r="821" spans="1:15" x14ac:dyDescent="0.35">
      <c r="A821" t="s">
        <v>852</v>
      </c>
      <c r="C821">
        <f t="shared" si="60"/>
        <v>1981</v>
      </c>
      <c r="D821">
        <v>1981</v>
      </c>
      <c r="E821" t="str">
        <f t="shared" si="64"/>
        <v>Sep</v>
      </c>
      <c r="F821" t="s">
        <v>20</v>
      </c>
      <c r="G821">
        <v>21</v>
      </c>
      <c r="H821">
        <v>1</v>
      </c>
      <c r="I821" s="21">
        <v>6770.19</v>
      </c>
      <c r="J821" t="str">
        <f t="shared" si="61"/>
        <v>tier - 2</v>
      </c>
      <c r="K821" t="s">
        <v>11</v>
      </c>
      <c r="L821" t="str">
        <f t="shared" si="62"/>
        <v>tier - 3</v>
      </c>
      <c r="M821" t="s">
        <v>12</v>
      </c>
      <c r="N821" t="str">
        <f t="shared" si="63"/>
        <v>R1013</v>
      </c>
      <c r="O821" t="s">
        <v>13</v>
      </c>
    </row>
    <row r="822" spans="1:15" x14ac:dyDescent="0.35">
      <c r="A822" t="s">
        <v>853</v>
      </c>
      <c r="C822">
        <f t="shared" si="60"/>
        <v>1981</v>
      </c>
      <c r="D822">
        <v>1981</v>
      </c>
      <c r="E822" t="str">
        <f t="shared" si="64"/>
        <v>Sep</v>
      </c>
      <c r="F822" t="s">
        <v>20</v>
      </c>
      <c r="G822">
        <v>3</v>
      </c>
      <c r="H822">
        <v>1</v>
      </c>
      <c r="I822" s="21">
        <v>6775.96</v>
      </c>
      <c r="J822" t="str">
        <f t="shared" si="61"/>
        <v>tier - 2</v>
      </c>
      <c r="K822" t="s">
        <v>11</v>
      </c>
      <c r="L822" t="str">
        <f t="shared" si="62"/>
        <v>tier - 3</v>
      </c>
      <c r="M822" t="s">
        <v>12</v>
      </c>
      <c r="N822" t="str">
        <f t="shared" si="63"/>
        <v>R1011</v>
      </c>
      <c r="O822" t="s">
        <v>42</v>
      </c>
    </row>
    <row r="823" spans="1:15" x14ac:dyDescent="0.35">
      <c r="A823" t="s">
        <v>854</v>
      </c>
      <c r="C823">
        <f t="shared" si="60"/>
        <v>1981</v>
      </c>
      <c r="D823">
        <v>1981</v>
      </c>
      <c r="E823" t="str">
        <f t="shared" si="64"/>
        <v>Oct</v>
      </c>
      <c r="F823" t="s">
        <v>37</v>
      </c>
      <c r="G823">
        <v>8</v>
      </c>
      <c r="H823">
        <v>1</v>
      </c>
      <c r="I823" s="21">
        <v>6781.35</v>
      </c>
      <c r="J823" t="str">
        <f t="shared" si="61"/>
        <v>tier - 2</v>
      </c>
      <c r="K823" t="s">
        <v>11</v>
      </c>
      <c r="L823" t="str">
        <f t="shared" si="62"/>
        <v>tier - 1</v>
      </c>
      <c r="M823" t="s">
        <v>16</v>
      </c>
      <c r="N823" t="str">
        <f t="shared" si="63"/>
        <v>R1013</v>
      </c>
      <c r="O823" t="s">
        <v>13</v>
      </c>
    </row>
    <row r="824" spans="1:15" x14ac:dyDescent="0.35">
      <c r="A824" t="s">
        <v>855</v>
      </c>
      <c r="C824">
        <f t="shared" si="60"/>
        <v>1980</v>
      </c>
      <c r="D824">
        <v>1980</v>
      </c>
      <c r="E824" t="str">
        <f t="shared" si="64"/>
        <v>Nov</v>
      </c>
      <c r="F824" t="s">
        <v>15</v>
      </c>
      <c r="G824">
        <v>23</v>
      </c>
      <c r="H824">
        <v>2</v>
      </c>
      <c r="I824" s="21">
        <v>6781.52</v>
      </c>
      <c r="J824" t="str">
        <f t="shared" si="61"/>
        <v>tier - 2</v>
      </c>
      <c r="K824" t="s">
        <v>11</v>
      </c>
      <c r="L824" t="str">
        <f t="shared" si="62"/>
        <v>tier - 2</v>
      </c>
      <c r="M824" t="s">
        <v>11</v>
      </c>
      <c r="N824" t="str">
        <f t="shared" si="63"/>
        <v>R1013</v>
      </c>
      <c r="O824" t="s">
        <v>13</v>
      </c>
    </row>
    <row r="825" spans="1:15" x14ac:dyDescent="0.35">
      <c r="A825" t="s">
        <v>856</v>
      </c>
      <c r="C825">
        <f t="shared" si="60"/>
        <v>1985</v>
      </c>
      <c r="D825">
        <v>1985</v>
      </c>
      <c r="E825" t="str">
        <f t="shared" si="64"/>
        <v>Dec</v>
      </c>
      <c r="F825" t="s">
        <v>30</v>
      </c>
      <c r="G825">
        <v>24</v>
      </c>
      <c r="H825">
        <v>3</v>
      </c>
      <c r="I825" s="21">
        <v>6796.86</v>
      </c>
      <c r="J825" t="str">
        <f t="shared" si="61"/>
        <v>tier - 3</v>
      </c>
      <c r="K825" t="s">
        <v>12</v>
      </c>
      <c r="L825" t="str">
        <f t="shared" si="62"/>
        <v>tier - 3</v>
      </c>
      <c r="M825" t="s">
        <v>12</v>
      </c>
      <c r="N825" t="str">
        <f t="shared" si="63"/>
        <v>R1012</v>
      </c>
      <c r="O825" t="s">
        <v>23</v>
      </c>
    </row>
    <row r="826" spans="1:15" x14ac:dyDescent="0.35">
      <c r="A826" t="s">
        <v>857</v>
      </c>
      <c r="C826">
        <f t="shared" si="60"/>
        <v>1991</v>
      </c>
      <c r="D826">
        <v>1991</v>
      </c>
      <c r="E826" t="str">
        <f t="shared" si="64"/>
        <v>Jun</v>
      </c>
      <c r="F826" t="s">
        <v>18</v>
      </c>
      <c r="G826">
        <v>29</v>
      </c>
      <c r="H826">
        <v>5</v>
      </c>
      <c r="I826" s="21">
        <v>6799.46</v>
      </c>
      <c r="J826" t="str">
        <f t="shared" si="61"/>
        <v>tier - 1</v>
      </c>
      <c r="K826" t="s">
        <v>16</v>
      </c>
      <c r="L826" t="str">
        <f t="shared" si="62"/>
        <v>tier - 2</v>
      </c>
      <c r="M826" t="s">
        <v>11</v>
      </c>
      <c r="N826" t="str">
        <f t="shared" si="63"/>
        <v>R1014</v>
      </c>
      <c r="O826" t="s">
        <v>276</v>
      </c>
    </row>
    <row r="827" spans="1:15" x14ac:dyDescent="0.35">
      <c r="A827" t="s">
        <v>858</v>
      </c>
      <c r="C827">
        <f t="shared" si="60"/>
        <v>1975</v>
      </c>
      <c r="D827">
        <v>1975</v>
      </c>
      <c r="E827" t="str">
        <f t="shared" si="64"/>
        <v>Aug</v>
      </c>
      <c r="F827" t="s">
        <v>35</v>
      </c>
      <c r="G827">
        <v>17</v>
      </c>
      <c r="H827">
        <v>1</v>
      </c>
      <c r="I827" s="21">
        <v>6809.46</v>
      </c>
      <c r="J827" t="str">
        <f t="shared" si="61"/>
        <v>tier - 2</v>
      </c>
      <c r="K827" t="s">
        <v>11</v>
      </c>
      <c r="L827" t="str">
        <f t="shared" si="62"/>
        <v>tier - 1</v>
      </c>
      <c r="M827" t="s">
        <v>16</v>
      </c>
      <c r="N827" t="str">
        <f t="shared" si="63"/>
        <v>R1012</v>
      </c>
      <c r="O827" t="s">
        <v>23</v>
      </c>
    </row>
    <row r="828" spans="1:15" x14ac:dyDescent="0.35">
      <c r="A828" t="s">
        <v>859</v>
      </c>
      <c r="C828">
        <f t="shared" si="60"/>
        <v>1994</v>
      </c>
      <c r="D828">
        <v>1994</v>
      </c>
      <c r="E828" t="str">
        <f t="shared" si="64"/>
        <v>Jul</v>
      </c>
      <c r="F828" t="s">
        <v>10</v>
      </c>
      <c r="G828">
        <v>8</v>
      </c>
      <c r="H828">
        <v>0</v>
      </c>
      <c r="I828" s="21">
        <v>6827.69</v>
      </c>
      <c r="J828" t="str">
        <f t="shared" si="61"/>
        <v>tier - 2</v>
      </c>
      <c r="K828" t="s">
        <v>11</v>
      </c>
      <c r="L828" t="str">
        <f t="shared" si="62"/>
        <v>tier - 2</v>
      </c>
      <c r="M828" t="s">
        <v>11</v>
      </c>
      <c r="N828" t="str">
        <f t="shared" si="63"/>
        <v>R1021</v>
      </c>
      <c r="O828" t="s">
        <v>300</v>
      </c>
    </row>
    <row r="829" spans="1:15" x14ac:dyDescent="0.35">
      <c r="A829" t="s">
        <v>860</v>
      </c>
      <c r="C829">
        <f t="shared" si="60"/>
        <v>1979</v>
      </c>
      <c r="D829">
        <v>1979</v>
      </c>
      <c r="E829" t="str">
        <f t="shared" si="64"/>
        <v>Jul</v>
      </c>
      <c r="F829" t="s">
        <v>10</v>
      </c>
      <c r="G829">
        <v>15</v>
      </c>
      <c r="H829">
        <v>0</v>
      </c>
      <c r="I829" s="21">
        <v>6837.37</v>
      </c>
      <c r="J829" t="str">
        <f t="shared" si="61"/>
        <v>tier - 3</v>
      </c>
      <c r="K829" t="s">
        <v>12</v>
      </c>
      <c r="L829" t="str">
        <f t="shared" si="62"/>
        <v>tier - 1</v>
      </c>
      <c r="M829" t="s">
        <v>16</v>
      </c>
      <c r="N829" t="str">
        <f t="shared" si="63"/>
        <v>R1016</v>
      </c>
      <c r="O829" t="s">
        <v>168</v>
      </c>
    </row>
    <row r="830" spans="1:15" x14ac:dyDescent="0.35">
      <c r="A830" t="s">
        <v>861</v>
      </c>
      <c r="C830">
        <f t="shared" si="60"/>
        <v>2000</v>
      </c>
      <c r="D830">
        <v>2000</v>
      </c>
      <c r="E830" t="str">
        <f t="shared" si="64"/>
        <v>Nov</v>
      </c>
      <c r="F830" t="s">
        <v>15</v>
      </c>
      <c r="G830">
        <v>30</v>
      </c>
      <c r="H830">
        <v>0</v>
      </c>
      <c r="I830" s="21">
        <v>6842.28</v>
      </c>
      <c r="J830" t="str">
        <f t="shared" si="61"/>
        <v>tier - 2</v>
      </c>
      <c r="K830" t="s">
        <v>11</v>
      </c>
      <c r="L830" t="str">
        <f t="shared" si="62"/>
        <v>tier - 1</v>
      </c>
      <c r="M830" t="s">
        <v>16</v>
      </c>
      <c r="N830" t="str">
        <f t="shared" si="63"/>
        <v>R1012</v>
      </c>
      <c r="O830" t="s">
        <v>23</v>
      </c>
    </row>
    <row r="831" spans="1:15" x14ac:dyDescent="0.35">
      <c r="A831" t="s">
        <v>862</v>
      </c>
      <c r="C831">
        <f t="shared" si="60"/>
        <v>1977</v>
      </c>
      <c r="D831">
        <v>1977</v>
      </c>
      <c r="E831" t="str">
        <f t="shared" si="64"/>
        <v>Jun</v>
      </c>
      <c r="F831" t="s">
        <v>18</v>
      </c>
      <c r="G831">
        <v>15</v>
      </c>
      <c r="H831">
        <v>2</v>
      </c>
      <c r="I831" s="21">
        <v>6843.17</v>
      </c>
      <c r="J831" t="str">
        <f t="shared" si="61"/>
        <v>tier - 2</v>
      </c>
      <c r="K831" t="s">
        <v>11</v>
      </c>
      <c r="L831" t="str">
        <f t="shared" si="62"/>
        <v>tier - 1</v>
      </c>
      <c r="M831" t="s">
        <v>16</v>
      </c>
      <c r="N831" t="str">
        <f t="shared" si="63"/>
        <v>R1013</v>
      </c>
      <c r="O831" t="s">
        <v>13</v>
      </c>
    </row>
    <row r="832" spans="1:15" x14ac:dyDescent="0.35">
      <c r="A832" t="s">
        <v>863</v>
      </c>
      <c r="C832">
        <f t="shared" si="60"/>
        <v>1979</v>
      </c>
      <c r="D832">
        <v>1979</v>
      </c>
      <c r="E832" t="str">
        <f t="shared" si="64"/>
        <v>Nov</v>
      </c>
      <c r="F832" t="s">
        <v>15</v>
      </c>
      <c r="G832">
        <v>4</v>
      </c>
      <c r="H832">
        <v>1</v>
      </c>
      <c r="I832" s="21">
        <v>6849.03</v>
      </c>
      <c r="J832" t="str">
        <f t="shared" si="61"/>
        <v>tier - 2</v>
      </c>
      <c r="K832" t="s">
        <v>11</v>
      </c>
      <c r="L832" t="str">
        <f t="shared" si="62"/>
        <v>tier - 2</v>
      </c>
      <c r="M832" t="s">
        <v>11</v>
      </c>
      <c r="N832" t="str">
        <f t="shared" si="63"/>
        <v>R1011</v>
      </c>
      <c r="O832" t="s">
        <v>42</v>
      </c>
    </row>
    <row r="833" spans="1:15" x14ac:dyDescent="0.35">
      <c r="A833" t="s">
        <v>864</v>
      </c>
      <c r="C833">
        <f t="shared" si="60"/>
        <v>1981</v>
      </c>
      <c r="D833">
        <v>1981</v>
      </c>
      <c r="E833" t="str">
        <f t="shared" si="64"/>
        <v>Jun</v>
      </c>
      <c r="F833" t="s">
        <v>18</v>
      </c>
      <c r="G833">
        <v>19</v>
      </c>
      <c r="H833">
        <v>1</v>
      </c>
      <c r="I833" s="21">
        <v>6858.48</v>
      </c>
      <c r="J833" t="str">
        <f t="shared" si="61"/>
        <v>tier - 2</v>
      </c>
      <c r="K833" t="s">
        <v>11</v>
      </c>
      <c r="L833" t="str">
        <f t="shared" si="62"/>
        <v>tier - 2</v>
      </c>
      <c r="M833" t="s">
        <v>11</v>
      </c>
      <c r="N833" t="str">
        <f t="shared" si="63"/>
        <v>R1019</v>
      </c>
      <c r="O833" t="s">
        <v>166</v>
      </c>
    </row>
    <row r="834" spans="1:15" x14ac:dyDescent="0.35">
      <c r="A834" t="s">
        <v>865</v>
      </c>
      <c r="C834">
        <f t="shared" si="60"/>
        <v>1978</v>
      </c>
      <c r="D834">
        <v>1978</v>
      </c>
      <c r="E834" t="str">
        <f t="shared" si="64"/>
        <v>Aug</v>
      </c>
      <c r="F834" t="s">
        <v>35</v>
      </c>
      <c r="G834">
        <v>5</v>
      </c>
      <c r="H834">
        <v>2</v>
      </c>
      <c r="I834" s="21">
        <v>6863.49</v>
      </c>
      <c r="J834" t="str">
        <f t="shared" si="61"/>
        <v>tier - 2</v>
      </c>
      <c r="K834" t="s">
        <v>11</v>
      </c>
      <c r="L834" t="str">
        <f t="shared" si="62"/>
        <v>tier - 1</v>
      </c>
      <c r="M834" t="s">
        <v>16</v>
      </c>
      <c r="N834" t="str">
        <f t="shared" si="63"/>
        <v>R1013</v>
      </c>
      <c r="O834" t="s">
        <v>13</v>
      </c>
    </row>
    <row r="835" spans="1:15" x14ac:dyDescent="0.35">
      <c r="A835" t="s">
        <v>866</v>
      </c>
      <c r="C835">
        <f t="shared" ref="C835:C898" si="65">IF(OR(D835="?", ISBLANK(D835)), 1983, D835)</f>
        <v>1969</v>
      </c>
      <c r="D835">
        <v>1969</v>
      </c>
      <c r="E835" t="str">
        <f t="shared" si="64"/>
        <v>Oct</v>
      </c>
      <c r="F835" t="s">
        <v>37</v>
      </c>
      <c r="G835">
        <v>23</v>
      </c>
      <c r="H835">
        <v>0</v>
      </c>
      <c r="I835" s="21">
        <v>6868.39</v>
      </c>
      <c r="J835" t="str">
        <f t="shared" ref="J835:J898" si="66">IF(OR(K835="?", ISBLANK(K835)), "Tier 2", K835)</f>
        <v>tier - 2</v>
      </c>
      <c r="K835" t="s">
        <v>11</v>
      </c>
      <c r="L835" t="str">
        <f t="shared" ref="L835:L898" si="67">IF(OR(M835="?", ISBLANK(M835)), "Tier 2", M835)</f>
        <v>tier - 2</v>
      </c>
      <c r="M835" t="s">
        <v>11</v>
      </c>
      <c r="N835" t="str">
        <f t="shared" ref="N835:N898" si="68">IF(OR(O835="?", ISBLANK(O835)), "Unknown", O835)</f>
        <v>R1013</v>
      </c>
      <c r="O835" t="s">
        <v>13</v>
      </c>
    </row>
    <row r="836" spans="1:15" x14ac:dyDescent="0.35">
      <c r="A836" t="s">
        <v>867</v>
      </c>
      <c r="C836">
        <f t="shared" si="65"/>
        <v>1981</v>
      </c>
      <c r="D836">
        <v>1981</v>
      </c>
      <c r="E836" t="str">
        <f t="shared" ref="E836:E899" si="69">IF(OR(F836="?", ISBLANK(F836)), "Sep", F836)</f>
        <v>Jun</v>
      </c>
      <c r="F836" t="s">
        <v>18</v>
      </c>
      <c r="G836">
        <v>23</v>
      </c>
      <c r="H836">
        <v>2</v>
      </c>
      <c r="I836" s="21">
        <v>6875.96</v>
      </c>
      <c r="J836" t="str">
        <f t="shared" si="66"/>
        <v>tier - 2</v>
      </c>
      <c r="K836" t="s">
        <v>11</v>
      </c>
      <c r="L836" t="str">
        <f t="shared" si="67"/>
        <v>tier - 2</v>
      </c>
      <c r="M836" t="s">
        <v>11</v>
      </c>
      <c r="N836" t="str">
        <f t="shared" si="68"/>
        <v>R1011</v>
      </c>
      <c r="O836" t="s">
        <v>42</v>
      </c>
    </row>
    <row r="837" spans="1:15" x14ac:dyDescent="0.35">
      <c r="A837" t="s">
        <v>868</v>
      </c>
      <c r="C837">
        <f t="shared" si="65"/>
        <v>2004</v>
      </c>
      <c r="D837">
        <v>2004</v>
      </c>
      <c r="E837" t="str">
        <f t="shared" si="69"/>
        <v>Dec</v>
      </c>
      <c r="F837" t="s">
        <v>30</v>
      </c>
      <c r="G837">
        <v>24</v>
      </c>
      <c r="H837">
        <v>0</v>
      </c>
      <c r="I837" s="21">
        <v>6876.53</v>
      </c>
      <c r="J837" t="str">
        <f t="shared" si="66"/>
        <v>tier - 2</v>
      </c>
      <c r="K837" t="s">
        <v>11</v>
      </c>
      <c r="L837" t="str">
        <f t="shared" si="67"/>
        <v>tier - 1</v>
      </c>
      <c r="M837" t="s">
        <v>16</v>
      </c>
      <c r="N837" t="str">
        <f t="shared" si="68"/>
        <v>R1012</v>
      </c>
      <c r="O837" t="s">
        <v>23</v>
      </c>
    </row>
    <row r="838" spans="1:15" x14ac:dyDescent="0.35">
      <c r="A838" t="s">
        <v>869</v>
      </c>
      <c r="C838">
        <f t="shared" si="65"/>
        <v>1985</v>
      </c>
      <c r="D838">
        <v>1985</v>
      </c>
      <c r="E838" t="str">
        <f t="shared" si="69"/>
        <v>Sep</v>
      </c>
      <c r="F838" t="s">
        <v>20</v>
      </c>
      <c r="G838">
        <v>10</v>
      </c>
      <c r="H838">
        <v>2</v>
      </c>
      <c r="I838" s="21">
        <v>6877.98</v>
      </c>
      <c r="J838" t="str">
        <f t="shared" si="66"/>
        <v>tier - 2</v>
      </c>
      <c r="K838" t="s">
        <v>11</v>
      </c>
      <c r="L838" t="str">
        <f t="shared" si="67"/>
        <v>tier - 1</v>
      </c>
      <c r="M838" t="s">
        <v>16</v>
      </c>
      <c r="N838" t="str">
        <f t="shared" si="68"/>
        <v>R1024</v>
      </c>
      <c r="O838" t="s">
        <v>247</v>
      </c>
    </row>
    <row r="839" spans="1:15" x14ac:dyDescent="0.35">
      <c r="A839" t="s">
        <v>870</v>
      </c>
      <c r="C839">
        <f t="shared" si="65"/>
        <v>1989</v>
      </c>
      <c r="D839">
        <v>1989</v>
      </c>
      <c r="E839" t="str">
        <f t="shared" si="69"/>
        <v>Dec</v>
      </c>
      <c r="F839" t="s">
        <v>30</v>
      </c>
      <c r="G839">
        <v>21</v>
      </c>
      <c r="H839">
        <v>3</v>
      </c>
      <c r="I839" s="21">
        <v>6895.19</v>
      </c>
      <c r="J839" t="str">
        <f t="shared" si="66"/>
        <v>tier - 2</v>
      </c>
      <c r="K839" t="s">
        <v>11</v>
      </c>
      <c r="L839" t="str">
        <f t="shared" si="67"/>
        <v>tier - 3</v>
      </c>
      <c r="M839" t="s">
        <v>12</v>
      </c>
      <c r="N839" t="str">
        <f t="shared" si="68"/>
        <v>R1024</v>
      </c>
      <c r="O839" t="s">
        <v>247</v>
      </c>
    </row>
    <row r="840" spans="1:15" x14ac:dyDescent="0.35">
      <c r="A840" t="s">
        <v>871</v>
      </c>
      <c r="C840">
        <f t="shared" si="65"/>
        <v>1984</v>
      </c>
      <c r="D840">
        <v>1984</v>
      </c>
      <c r="E840" t="str">
        <f t="shared" si="69"/>
        <v>Sep</v>
      </c>
      <c r="F840" t="s">
        <v>20</v>
      </c>
      <c r="G840">
        <v>5</v>
      </c>
      <c r="H840">
        <v>2</v>
      </c>
      <c r="I840" s="21">
        <v>6933.24</v>
      </c>
      <c r="J840" t="str">
        <f t="shared" si="66"/>
        <v>tier - 2</v>
      </c>
      <c r="K840" t="s">
        <v>11</v>
      </c>
      <c r="L840" t="str">
        <f t="shared" si="67"/>
        <v>tier - 3</v>
      </c>
      <c r="M840" t="s">
        <v>12</v>
      </c>
      <c r="N840" t="str">
        <f t="shared" si="68"/>
        <v>R1012</v>
      </c>
      <c r="O840" t="s">
        <v>23</v>
      </c>
    </row>
    <row r="841" spans="1:15" x14ac:dyDescent="0.35">
      <c r="A841" t="s">
        <v>872</v>
      </c>
      <c r="C841">
        <f t="shared" si="65"/>
        <v>1978</v>
      </c>
      <c r="D841">
        <v>1978</v>
      </c>
      <c r="E841" t="str">
        <f t="shared" si="69"/>
        <v>Nov</v>
      </c>
      <c r="F841" t="s">
        <v>15</v>
      </c>
      <c r="G841">
        <v>29</v>
      </c>
      <c r="H841">
        <v>2</v>
      </c>
      <c r="I841" s="21">
        <v>6938.11</v>
      </c>
      <c r="J841" t="str">
        <f t="shared" si="66"/>
        <v>tier - 2</v>
      </c>
      <c r="K841" t="s">
        <v>11</v>
      </c>
      <c r="L841" t="str">
        <f t="shared" si="67"/>
        <v>tier - 2</v>
      </c>
      <c r="M841" t="s">
        <v>11</v>
      </c>
      <c r="N841" t="str">
        <f t="shared" si="68"/>
        <v>R1013</v>
      </c>
      <c r="O841" t="s">
        <v>13</v>
      </c>
    </row>
    <row r="842" spans="1:15" x14ac:dyDescent="0.35">
      <c r="A842" t="s">
        <v>873</v>
      </c>
      <c r="C842">
        <f t="shared" si="65"/>
        <v>1980</v>
      </c>
      <c r="D842">
        <v>1980</v>
      </c>
      <c r="E842" t="str">
        <f t="shared" si="69"/>
        <v>Aug</v>
      </c>
      <c r="F842" t="s">
        <v>35</v>
      </c>
      <c r="G842">
        <v>30</v>
      </c>
      <c r="H842">
        <v>1</v>
      </c>
      <c r="I842" s="21">
        <v>6940.91</v>
      </c>
      <c r="J842" t="str">
        <f t="shared" si="66"/>
        <v>tier - 2</v>
      </c>
      <c r="K842" t="s">
        <v>11</v>
      </c>
      <c r="L842" t="str">
        <f t="shared" si="67"/>
        <v>tier - 2</v>
      </c>
      <c r="M842" t="s">
        <v>11</v>
      </c>
      <c r="N842" t="str">
        <f t="shared" si="68"/>
        <v>R1012</v>
      </c>
      <c r="O842" t="s">
        <v>23</v>
      </c>
    </row>
    <row r="843" spans="1:15" x14ac:dyDescent="0.35">
      <c r="A843" t="s">
        <v>874</v>
      </c>
      <c r="C843">
        <f t="shared" si="65"/>
        <v>1980</v>
      </c>
      <c r="D843">
        <v>1980</v>
      </c>
      <c r="E843" t="str">
        <f t="shared" si="69"/>
        <v>Oct</v>
      </c>
      <c r="F843" t="s">
        <v>37</v>
      </c>
      <c r="G843">
        <v>5</v>
      </c>
      <c r="H843">
        <v>2</v>
      </c>
      <c r="I843" s="21">
        <v>6940.94</v>
      </c>
      <c r="J843" t="str">
        <f t="shared" si="66"/>
        <v>tier - 2</v>
      </c>
      <c r="K843" t="s">
        <v>11</v>
      </c>
      <c r="L843" t="str">
        <f t="shared" si="67"/>
        <v>tier - 3</v>
      </c>
      <c r="M843" t="s">
        <v>12</v>
      </c>
      <c r="N843" t="str">
        <f t="shared" si="68"/>
        <v>R1013</v>
      </c>
      <c r="O843" t="s">
        <v>13</v>
      </c>
    </row>
    <row r="844" spans="1:15" x14ac:dyDescent="0.35">
      <c r="A844" t="s">
        <v>875</v>
      </c>
      <c r="C844">
        <f t="shared" si="65"/>
        <v>1978</v>
      </c>
      <c r="D844">
        <v>1978</v>
      </c>
      <c r="E844" t="str">
        <f t="shared" si="69"/>
        <v>Dec</v>
      </c>
      <c r="F844" t="s">
        <v>30</v>
      </c>
      <c r="G844">
        <v>15</v>
      </c>
      <c r="H844">
        <v>0</v>
      </c>
      <c r="I844" s="21">
        <v>6948.7</v>
      </c>
      <c r="J844" t="str">
        <f t="shared" si="66"/>
        <v>tier - 1</v>
      </c>
      <c r="K844" t="s">
        <v>16</v>
      </c>
      <c r="L844" t="str">
        <f t="shared" si="67"/>
        <v>tier - 2</v>
      </c>
      <c r="M844" t="s">
        <v>11</v>
      </c>
      <c r="N844" t="str">
        <f t="shared" si="68"/>
        <v>R1012</v>
      </c>
      <c r="O844" t="s">
        <v>23</v>
      </c>
    </row>
    <row r="845" spans="1:15" x14ac:dyDescent="0.35">
      <c r="A845" t="s">
        <v>876</v>
      </c>
      <c r="C845">
        <f t="shared" si="65"/>
        <v>1980</v>
      </c>
      <c r="D845">
        <v>1980</v>
      </c>
      <c r="E845" t="str">
        <f t="shared" si="69"/>
        <v>Aug</v>
      </c>
      <c r="F845" t="s">
        <v>35</v>
      </c>
      <c r="G845">
        <v>18</v>
      </c>
      <c r="H845">
        <v>2</v>
      </c>
      <c r="I845" s="21">
        <v>6951.12</v>
      </c>
      <c r="J845" t="str">
        <f t="shared" si="66"/>
        <v>tier - 2</v>
      </c>
      <c r="K845" t="s">
        <v>11</v>
      </c>
      <c r="L845" t="str">
        <f t="shared" si="67"/>
        <v>tier - 2</v>
      </c>
      <c r="M845" t="s">
        <v>11</v>
      </c>
      <c r="N845" t="str">
        <f t="shared" si="68"/>
        <v>R1013</v>
      </c>
      <c r="O845" t="s">
        <v>13</v>
      </c>
    </row>
    <row r="846" spans="1:15" x14ac:dyDescent="0.35">
      <c r="A846" t="s">
        <v>877</v>
      </c>
      <c r="C846">
        <f t="shared" si="65"/>
        <v>1975</v>
      </c>
      <c r="D846">
        <v>1975</v>
      </c>
      <c r="E846" t="str">
        <f t="shared" si="69"/>
        <v>Jun</v>
      </c>
      <c r="F846" t="s">
        <v>18</v>
      </c>
      <c r="G846">
        <v>3</v>
      </c>
      <c r="H846">
        <v>1</v>
      </c>
      <c r="I846" s="21">
        <v>6965.21</v>
      </c>
      <c r="J846" t="str">
        <f t="shared" si="66"/>
        <v>tier - 2</v>
      </c>
      <c r="K846" t="s">
        <v>11</v>
      </c>
      <c r="L846" t="str">
        <f t="shared" si="67"/>
        <v>tier - 3</v>
      </c>
      <c r="M846" t="s">
        <v>12</v>
      </c>
      <c r="N846" t="str">
        <f t="shared" si="68"/>
        <v>R1013</v>
      </c>
      <c r="O846" t="s">
        <v>13</v>
      </c>
    </row>
    <row r="847" spans="1:15" x14ac:dyDescent="0.35">
      <c r="A847" t="s">
        <v>878</v>
      </c>
      <c r="C847">
        <f t="shared" si="65"/>
        <v>1985</v>
      </c>
      <c r="D847">
        <v>1985</v>
      </c>
      <c r="E847" t="str">
        <f t="shared" si="69"/>
        <v>Dec</v>
      </c>
      <c r="F847" t="s">
        <v>30</v>
      </c>
      <c r="G847">
        <v>10</v>
      </c>
      <c r="H847">
        <v>3</v>
      </c>
      <c r="I847" s="21">
        <v>6985.51</v>
      </c>
      <c r="J847" t="str">
        <f t="shared" si="66"/>
        <v>tier - 2</v>
      </c>
      <c r="K847" t="s">
        <v>11</v>
      </c>
      <c r="L847" t="str">
        <f t="shared" si="67"/>
        <v>tier - 2</v>
      </c>
      <c r="M847" t="s">
        <v>11</v>
      </c>
      <c r="N847" t="str">
        <f t="shared" si="68"/>
        <v>R1019</v>
      </c>
      <c r="O847" t="s">
        <v>166</v>
      </c>
    </row>
    <row r="848" spans="1:15" x14ac:dyDescent="0.35">
      <c r="A848" t="s">
        <v>879</v>
      </c>
      <c r="C848">
        <f t="shared" si="65"/>
        <v>1982</v>
      </c>
      <c r="D848">
        <v>1982</v>
      </c>
      <c r="E848" t="str">
        <f t="shared" si="69"/>
        <v>Oct</v>
      </c>
      <c r="F848" t="s">
        <v>37</v>
      </c>
      <c r="G848">
        <v>18</v>
      </c>
      <c r="H848">
        <v>2</v>
      </c>
      <c r="I848" s="21">
        <v>6986.7</v>
      </c>
      <c r="J848" t="str">
        <f t="shared" si="66"/>
        <v>tier - 3</v>
      </c>
      <c r="K848" t="s">
        <v>12</v>
      </c>
      <c r="L848" t="str">
        <f t="shared" si="67"/>
        <v>tier - 1</v>
      </c>
      <c r="M848" t="s">
        <v>16</v>
      </c>
      <c r="N848" t="str">
        <f t="shared" si="68"/>
        <v>R1012</v>
      </c>
      <c r="O848" t="s">
        <v>23</v>
      </c>
    </row>
    <row r="849" spans="1:15" x14ac:dyDescent="0.35">
      <c r="A849" t="s">
        <v>880</v>
      </c>
      <c r="C849">
        <f t="shared" si="65"/>
        <v>1982</v>
      </c>
      <c r="D849">
        <v>1982</v>
      </c>
      <c r="E849" t="str">
        <f t="shared" si="69"/>
        <v>Sep</v>
      </c>
      <c r="F849" t="s">
        <v>20</v>
      </c>
      <c r="G849">
        <v>1</v>
      </c>
      <c r="H849">
        <v>3</v>
      </c>
      <c r="I849" s="21">
        <v>6989.95</v>
      </c>
      <c r="J849" t="str">
        <f t="shared" si="66"/>
        <v>tier - 2</v>
      </c>
      <c r="K849" t="s">
        <v>11</v>
      </c>
      <c r="L849" t="str">
        <f t="shared" si="67"/>
        <v>tier - 1</v>
      </c>
      <c r="M849" t="s">
        <v>16</v>
      </c>
      <c r="N849" t="str">
        <f t="shared" si="68"/>
        <v>R1013</v>
      </c>
      <c r="O849" t="s">
        <v>13</v>
      </c>
    </row>
    <row r="850" spans="1:15" x14ac:dyDescent="0.35">
      <c r="A850" t="s">
        <v>881</v>
      </c>
      <c r="C850">
        <f t="shared" si="65"/>
        <v>1969</v>
      </c>
      <c r="D850">
        <v>1969</v>
      </c>
      <c r="E850" t="str">
        <f t="shared" si="69"/>
        <v>Jul</v>
      </c>
      <c r="F850" t="s">
        <v>10</v>
      </c>
      <c r="G850">
        <v>6</v>
      </c>
      <c r="H850">
        <v>0</v>
      </c>
      <c r="I850" s="21">
        <v>7003.1</v>
      </c>
      <c r="J850" t="str">
        <f t="shared" si="66"/>
        <v>tier - 2</v>
      </c>
      <c r="K850" t="s">
        <v>11</v>
      </c>
      <c r="L850" t="str">
        <f t="shared" si="67"/>
        <v>tier - 3</v>
      </c>
      <c r="M850" t="s">
        <v>12</v>
      </c>
      <c r="N850" t="str">
        <f t="shared" si="68"/>
        <v>R1013</v>
      </c>
      <c r="O850" t="s">
        <v>13</v>
      </c>
    </row>
    <row r="851" spans="1:15" x14ac:dyDescent="0.35">
      <c r="A851" t="s">
        <v>882</v>
      </c>
      <c r="C851">
        <f t="shared" si="65"/>
        <v>1978</v>
      </c>
      <c r="D851">
        <v>1978</v>
      </c>
      <c r="E851" t="str">
        <f t="shared" si="69"/>
        <v>Jun</v>
      </c>
      <c r="F851" t="s">
        <v>18</v>
      </c>
      <c r="G851">
        <v>2</v>
      </c>
      <c r="H851">
        <v>2</v>
      </c>
      <c r="I851" s="21">
        <v>7033.08</v>
      </c>
      <c r="J851" t="str">
        <f t="shared" si="66"/>
        <v>tier - 2</v>
      </c>
      <c r="K851" t="s">
        <v>11</v>
      </c>
      <c r="L851" t="str">
        <f t="shared" si="67"/>
        <v>tier - 2</v>
      </c>
      <c r="M851" t="s">
        <v>11</v>
      </c>
      <c r="N851" t="str">
        <f t="shared" si="68"/>
        <v>R1013</v>
      </c>
      <c r="O851" t="s">
        <v>13</v>
      </c>
    </row>
    <row r="852" spans="1:15" x14ac:dyDescent="0.35">
      <c r="A852" t="s">
        <v>883</v>
      </c>
      <c r="C852">
        <f t="shared" si="65"/>
        <v>1995</v>
      </c>
      <c r="D852">
        <v>1995</v>
      </c>
      <c r="E852" t="str">
        <f t="shared" si="69"/>
        <v>Oct</v>
      </c>
      <c r="F852" t="s">
        <v>37</v>
      </c>
      <c r="G852">
        <v>29</v>
      </c>
      <c r="H852">
        <v>0</v>
      </c>
      <c r="I852" s="21">
        <v>7042.11</v>
      </c>
      <c r="J852" t="str">
        <f t="shared" si="66"/>
        <v>tier - 2</v>
      </c>
      <c r="K852" t="s">
        <v>11</v>
      </c>
      <c r="L852" t="str">
        <f t="shared" si="67"/>
        <v>tier - 3</v>
      </c>
      <c r="M852" t="s">
        <v>12</v>
      </c>
      <c r="N852" t="str">
        <f t="shared" si="68"/>
        <v>R1012</v>
      </c>
      <c r="O852" t="s">
        <v>23</v>
      </c>
    </row>
    <row r="853" spans="1:15" x14ac:dyDescent="0.35">
      <c r="A853" t="s">
        <v>884</v>
      </c>
      <c r="C853">
        <f t="shared" si="65"/>
        <v>1980</v>
      </c>
      <c r="D853">
        <v>1980</v>
      </c>
      <c r="E853" t="str">
        <f t="shared" si="69"/>
        <v>Jul</v>
      </c>
      <c r="F853" t="s">
        <v>10</v>
      </c>
      <c r="G853">
        <v>26</v>
      </c>
      <c r="H853">
        <v>1</v>
      </c>
      <c r="I853" s="21">
        <v>7045.5</v>
      </c>
      <c r="J853" t="str">
        <f t="shared" si="66"/>
        <v>tier - 2</v>
      </c>
      <c r="K853" t="s">
        <v>11</v>
      </c>
      <c r="L853" t="str">
        <f t="shared" si="67"/>
        <v>tier - 1</v>
      </c>
      <c r="M853" t="s">
        <v>16</v>
      </c>
      <c r="N853" t="str">
        <f t="shared" si="68"/>
        <v>R1011</v>
      </c>
      <c r="O853" t="s">
        <v>42</v>
      </c>
    </row>
    <row r="854" spans="1:15" x14ac:dyDescent="0.35">
      <c r="A854" t="s">
        <v>885</v>
      </c>
      <c r="C854">
        <f t="shared" si="65"/>
        <v>1980</v>
      </c>
      <c r="D854">
        <v>1980</v>
      </c>
      <c r="E854" t="str">
        <f t="shared" si="69"/>
        <v>Oct</v>
      </c>
      <c r="F854" t="s">
        <v>37</v>
      </c>
      <c r="G854">
        <v>22</v>
      </c>
      <c r="H854">
        <v>1</v>
      </c>
      <c r="I854" s="21">
        <v>7046.72</v>
      </c>
      <c r="J854" t="str">
        <f t="shared" si="66"/>
        <v>tier - 2</v>
      </c>
      <c r="K854" t="s">
        <v>11</v>
      </c>
      <c r="L854" t="str">
        <f t="shared" si="67"/>
        <v>tier - 3</v>
      </c>
      <c r="M854" t="s">
        <v>12</v>
      </c>
      <c r="N854" t="str">
        <f t="shared" si="68"/>
        <v>R1013</v>
      </c>
      <c r="O854" t="s">
        <v>13</v>
      </c>
    </row>
    <row r="855" spans="1:15" x14ac:dyDescent="0.35">
      <c r="A855" t="s">
        <v>886</v>
      </c>
      <c r="C855">
        <f t="shared" si="65"/>
        <v>1980</v>
      </c>
      <c r="D855">
        <v>1980</v>
      </c>
      <c r="E855" t="str">
        <f t="shared" si="69"/>
        <v>Jul</v>
      </c>
      <c r="F855" t="s">
        <v>10</v>
      </c>
      <c r="G855">
        <v>21</v>
      </c>
      <c r="H855">
        <v>0</v>
      </c>
      <c r="I855" s="21">
        <v>7050.02</v>
      </c>
      <c r="J855" t="str">
        <f t="shared" si="66"/>
        <v>tier - 2</v>
      </c>
      <c r="K855" t="s">
        <v>11</v>
      </c>
      <c r="L855" t="str">
        <f t="shared" si="67"/>
        <v>tier - 1</v>
      </c>
      <c r="M855" t="s">
        <v>16</v>
      </c>
      <c r="N855" t="str">
        <f t="shared" si="68"/>
        <v>R1024</v>
      </c>
      <c r="O855" t="s">
        <v>247</v>
      </c>
    </row>
    <row r="856" spans="1:15" x14ac:dyDescent="0.35">
      <c r="A856" t="s">
        <v>887</v>
      </c>
      <c r="C856">
        <f t="shared" si="65"/>
        <v>1980</v>
      </c>
      <c r="D856">
        <v>1980</v>
      </c>
      <c r="E856" t="str">
        <f t="shared" si="69"/>
        <v>Jun</v>
      </c>
      <c r="F856" t="s">
        <v>18</v>
      </c>
      <c r="G856">
        <v>28</v>
      </c>
      <c r="H856">
        <v>1</v>
      </c>
      <c r="I856" s="21">
        <v>7050.64</v>
      </c>
      <c r="J856" t="str">
        <f t="shared" si="66"/>
        <v>tier - 2</v>
      </c>
      <c r="K856" t="s">
        <v>11</v>
      </c>
      <c r="L856" t="str">
        <f t="shared" si="67"/>
        <v>tier - 3</v>
      </c>
      <c r="M856" t="s">
        <v>12</v>
      </c>
      <c r="N856" t="str">
        <f t="shared" si="68"/>
        <v>R1011</v>
      </c>
      <c r="O856" t="s">
        <v>42</v>
      </c>
    </row>
    <row r="857" spans="1:15" x14ac:dyDescent="0.35">
      <c r="A857" t="s">
        <v>888</v>
      </c>
      <c r="C857">
        <f t="shared" si="65"/>
        <v>1978</v>
      </c>
      <c r="D857">
        <v>1978</v>
      </c>
      <c r="E857" t="str">
        <f t="shared" si="69"/>
        <v>Jun</v>
      </c>
      <c r="F857" t="s">
        <v>18</v>
      </c>
      <c r="G857">
        <v>24</v>
      </c>
      <c r="H857">
        <v>2</v>
      </c>
      <c r="I857" s="21">
        <v>7054.41</v>
      </c>
      <c r="J857" t="str">
        <f t="shared" si="66"/>
        <v>tier - 2</v>
      </c>
      <c r="K857" t="s">
        <v>11</v>
      </c>
      <c r="L857" t="str">
        <f t="shared" si="67"/>
        <v>tier - 2</v>
      </c>
      <c r="M857" t="s">
        <v>11</v>
      </c>
      <c r="N857" t="str">
        <f t="shared" si="68"/>
        <v>R1013</v>
      </c>
      <c r="O857" t="s">
        <v>13</v>
      </c>
    </row>
    <row r="858" spans="1:15" x14ac:dyDescent="0.35">
      <c r="A858" t="s">
        <v>889</v>
      </c>
      <c r="C858">
        <f t="shared" si="65"/>
        <v>1982</v>
      </c>
      <c r="D858">
        <v>1982</v>
      </c>
      <c r="E858" t="str">
        <f t="shared" si="69"/>
        <v>Oct</v>
      </c>
      <c r="F858" t="s">
        <v>37</v>
      </c>
      <c r="G858">
        <v>6</v>
      </c>
      <c r="H858">
        <v>1</v>
      </c>
      <c r="I858" s="21">
        <v>7077.19</v>
      </c>
      <c r="J858" t="str">
        <f t="shared" si="66"/>
        <v>tier - 2</v>
      </c>
      <c r="K858" t="s">
        <v>11</v>
      </c>
      <c r="L858" t="str">
        <f t="shared" si="67"/>
        <v>tier - 3</v>
      </c>
      <c r="M858" t="s">
        <v>12</v>
      </c>
      <c r="N858" t="str">
        <f t="shared" si="68"/>
        <v>R1024</v>
      </c>
      <c r="O858" t="s">
        <v>247</v>
      </c>
    </row>
    <row r="859" spans="1:15" x14ac:dyDescent="0.35">
      <c r="A859" t="s">
        <v>890</v>
      </c>
      <c r="C859">
        <f t="shared" si="65"/>
        <v>1992</v>
      </c>
      <c r="D859">
        <v>1992</v>
      </c>
      <c r="E859" t="str">
        <f t="shared" si="69"/>
        <v>Jun</v>
      </c>
      <c r="F859" t="s">
        <v>18</v>
      </c>
      <c r="G859">
        <v>18</v>
      </c>
      <c r="H859">
        <v>0</v>
      </c>
      <c r="I859" s="21">
        <v>7096.98</v>
      </c>
      <c r="J859" t="str">
        <f t="shared" si="66"/>
        <v>tier - 2</v>
      </c>
      <c r="K859" t="s">
        <v>11</v>
      </c>
      <c r="L859" t="str">
        <f t="shared" si="67"/>
        <v>tier - 2</v>
      </c>
      <c r="M859" t="s">
        <v>11</v>
      </c>
      <c r="N859" t="str">
        <f t="shared" si="68"/>
        <v>R1012</v>
      </c>
      <c r="O859" t="s">
        <v>23</v>
      </c>
    </row>
    <row r="860" spans="1:15" x14ac:dyDescent="0.35">
      <c r="A860" t="s">
        <v>891</v>
      </c>
      <c r="C860">
        <f t="shared" si="65"/>
        <v>1987</v>
      </c>
      <c r="D860">
        <v>1987</v>
      </c>
      <c r="E860" t="str">
        <f t="shared" si="69"/>
        <v>Aug</v>
      </c>
      <c r="F860" t="s">
        <v>35</v>
      </c>
      <c r="G860">
        <v>11</v>
      </c>
      <c r="H860">
        <v>3</v>
      </c>
      <c r="I860" s="21">
        <v>7106.81</v>
      </c>
      <c r="J860" t="str">
        <f t="shared" si="66"/>
        <v>tier - 2</v>
      </c>
      <c r="K860" t="s">
        <v>11</v>
      </c>
      <c r="L860" t="str">
        <f t="shared" si="67"/>
        <v>tier - 1</v>
      </c>
      <c r="M860" t="s">
        <v>16</v>
      </c>
      <c r="N860" t="str">
        <f t="shared" si="68"/>
        <v>R1012</v>
      </c>
      <c r="O860" t="s">
        <v>23</v>
      </c>
    </row>
    <row r="861" spans="1:15" x14ac:dyDescent="0.35">
      <c r="A861" t="s">
        <v>892</v>
      </c>
      <c r="C861">
        <f t="shared" si="65"/>
        <v>1968</v>
      </c>
      <c r="D861">
        <v>1968</v>
      </c>
      <c r="E861" t="str">
        <f t="shared" si="69"/>
        <v>Jun</v>
      </c>
      <c r="F861" t="s">
        <v>18</v>
      </c>
      <c r="G861">
        <v>29</v>
      </c>
      <c r="H861">
        <v>0</v>
      </c>
      <c r="I861" s="21">
        <v>7125.25</v>
      </c>
      <c r="J861" t="str">
        <f t="shared" si="66"/>
        <v>tier - 3</v>
      </c>
      <c r="K861" t="s">
        <v>12</v>
      </c>
      <c r="L861" t="str">
        <f t="shared" si="67"/>
        <v>tier - 2</v>
      </c>
      <c r="M861" t="s">
        <v>11</v>
      </c>
      <c r="N861" t="str">
        <f t="shared" si="68"/>
        <v>R1013</v>
      </c>
      <c r="O861" t="s">
        <v>13</v>
      </c>
    </row>
    <row r="862" spans="1:15" x14ac:dyDescent="0.35">
      <c r="A862" t="s">
        <v>893</v>
      </c>
      <c r="C862">
        <f t="shared" si="65"/>
        <v>1993</v>
      </c>
      <c r="D862">
        <v>1993</v>
      </c>
      <c r="E862" t="str">
        <f t="shared" si="69"/>
        <v>Aug</v>
      </c>
      <c r="F862" t="s">
        <v>35</v>
      </c>
      <c r="G862">
        <v>1</v>
      </c>
      <c r="H862">
        <v>0</v>
      </c>
      <c r="I862" s="21">
        <v>7128.64</v>
      </c>
      <c r="J862" t="str">
        <f t="shared" si="66"/>
        <v>tier - 2</v>
      </c>
      <c r="K862" t="s">
        <v>11</v>
      </c>
      <c r="L862" t="str">
        <f t="shared" si="67"/>
        <v>tier - 2</v>
      </c>
      <c r="M862" t="s">
        <v>11</v>
      </c>
      <c r="N862" t="str">
        <f t="shared" si="68"/>
        <v>R1021</v>
      </c>
      <c r="O862" t="s">
        <v>300</v>
      </c>
    </row>
    <row r="863" spans="1:15" x14ac:dyDescent="0.35">
      <c r="A863" t="s">
        <v>894</v>
      </c>
      <c r="C863">
        <f t="shared" si="65"/>
        <v>1984</v>
      </c>
      <c r="D863">
        <v>1984</v>
      </c>
      <c r="E863" t="str">
        <f t="shared" si="69"/>
        <v>Jul</v>
      </c>
      <c r="F863" t="s">
        <v>10</v>
      </c>
      <c r="G863">
        <v>7</v>
      </c>
      <c r="H863">
        <v>2</v>
      </c>
      <c r="I863" s="21">
        <v>7133.9</v>
      </c>
      <c r="J863" t="str">
        <f t="shared" si="66"/>
        <v>tier - 2</v>
      </c>
      <c r="K863" t="s">
        <v>11</v>
      </c>
      <c r="L863" t="str">
        <f t="shared" si="67"/>
        <v>tier - 1</v>
      </c>
      <c r="M863" t="s">
        <v>16</v>
      </c>
      <c r="N863" t="str">
        <f t="shared" si="68"/>
        <v>R1024</v>
      </c>
      <c r="O863" t="s">
        <v>247</v>
      </c>
    </row>
    <row r="864" spans="1:15" x14ac:dyDescent="0.35">
      <c r="A864" t="s">
        <v>895</v>
      </c>
      <c r="C864">
        <f t="shared" si="65"/>
        <v>1999</v>
      </c>
      <c r="D864">
        <v>1999</v>
      </c>
      <c r="E864" t="str">
        <f t="shared" si="69"/>
        <v>Aug</v>
      </c>
      <c r="F864" t="s">
        <v>35</v>
      </c>
      <c r="G864">
        <v>8</v>
      </c>
      <c r="H864">
        <v>0</v>
      </c>
      <c r="I864" s="21">
        <v>7144.4</v>
      </c>
      <c r="J864" t="str">
        <f t="shared" si="66"/>
        <v>tier - 2</v>
      </c>
      <c r="K864" t="s">
        <v>11</v>
      </c>
      <c r="L864" t="str">
        <f t="shared" si="67"/>
        <v>tier - 1</v>
      </c>
      <c r="M864" t="s">
        <v>16</v>
      </c>
      <c r="N864" t="str">
        <f t="shared" si="68"/>
        <v>R1022</v>
      </c>
      <c r="O864" t="s">
        <v>632</v>
      </c>
    </row>
    <row r="865" spans="1:15" x14ac:dyDescent="0.35">
      <c r="A865" t="s">
        <v>896</v>
      </c>
      <c r="C865">
        <f t="shared" si="65"/>
        <v>1984</v>
      </c>
      <c r="D865">
        <v>1984</v>
      </c>
      <c r="E865" t="str">
        <f t="shared" si="69"/>
        <v>Nov</v>
      </c>
      <c r="F865" t="s">
        <v>15</v>
      </c>
      <c r="G865">
        <v>21</v>
      </c>
      <c r="H865">
        <v>2</v>
      </c>
      <c r="I865" s="21">
        <v>7144.86</v>
      </c>
      <c r="J865" t="str">
        <f t="shared" si="66"/>
        <v>tier - 2</v>
      </c>
      <c r="K865" t="s">
        <v>11</v>
      </c>
      <c r="L865" t="str">
        <f t="shared" si="67"/>
        <v>tier - 2</v>
      </c>
      <c r="M865" t="s">
        <v>11</v>
      </c>
      <c r="N865" t="str">
        <f t="shared" si="68"/>
        <v>R1024</v>
      </c>
      <c r="O865" t="s">
        <v>247</v>
      </c>
    </row>
    <row r="866" spans="1:15" x14ac:dyDescent="0.35">
      <c r="A866" t="s">
        <v>897</v>
      </c>
      <c r="C866">
        <f t="shared" si="65"/>
        <v>1976</v>
      </c>
      <c r="D866">
        <v>1976</v>
      </c>
      <c r="E866" t="str">
        <f t="shared" si="69"/>
        <v>Jun</v>
      </c>
      <c r="F866" t="s">
        <v>18</v>
      </c>
      <c r="G866">
        <v>24</v>
      </c>
      <c r="H866">
        <v>0</v>
      </c>
      <c r="I866" s="21">
        <v>7147.11</v>
      </c>
      <c r="J866" t="str">
        <f t="shared" si="66"/>
        <v>tier - 3</v>
      </c>
      <c r="K866" t="s">
        <v>12</v>
      </c>
      <c r="L866" t="str">
        <f t="shared" si="67"/>
        <v>tier - 2</v>
      </c>
      <c r="M866" t="s">
        <v>11</v>
      </c>
      <c r="N866" t="str">
        <f t="shared" si="68"/>
        <v>R1011</v>
      </c>
      <c r="O866" t="s">
        <v>42</v>
      </c>
    </row>
    <row r="867" spans="1:15" x14ac:dyDescent="0.35">
      <c r="A867" t="s">
        <v>898</v>
      </c>
      <c r="C867">
        <f t="shared" si="65"/>
        <v>1978</v>
      </c>
      <c r="D867">
        <v>1978</v>
      </c>
      <c r="E867" t="str">
        <f t="shared" si="69"/>
        <v>Jul</v>
      </c>
      <c r="F867" t="s">
        <v>10</v>
      </c>
      <c r="G867">
        <v>30</v>
      </c>
      <c r="H867">
        <v>1</v>
      </c>
      <c r="I867" s="21">
        <v>7147.47</v>
      </c>
      <c r="J867" t="str">
        <f t="shared" si="66"/>
        <v>tier - 2</v>
      </c>
      <c r="K867" t="s">
        <v>11</v>
      </c>
      <c r="L867" t="str">
        <f t="shared" si="67"/>
        <v>tier - 3</v>
      </c>
      <c r="M867" t="s">
        <v>12</v>
      </c>
      <c r="N867" t="str">
        <f t="shared" si="68"/>
        <v>R1013</v>
      </c>
      <c r="O867" t="s">
        <v>13</v>
      </c>
    </row>
    <row r="868" spans="1:15" x14ac:dyDescent="0.35">
      <c r="A868" t="s">
        <v>899</v>
      </c>
      <c r="C868">
        <f t="shared" si="65"/>
        <v>1984</v>
      </c>
      <c r="D868">
        <v>1984</v>
      </c>
      <c r="E868" t="str">
        <f t="shared" si="69"/>
        <v>Jun</v>
      </c>
      <c r="F868" t="s">
        <v>18</v>
      </c>
      <c r="G868">
        <v>29</v>
      </c>
      <c r="H868">
        <v>3</v>
      </c>
      <c r="I868" s="21">
        <v>7151.09</v>
      </c>
      <c r="J868" t="str">
        <f t="shared" si="66"/>
        <v>tier - 2</v>
      </c>
      <c r="K868" t="s">
        <v>11</v>
      </c>
      <c r="L868" t="str">
        <f t="shared" si="67"/>
        <v>tier - 2</v>
      </c>
      <c r="M868" t="s">
        <v>11</v>
      </c>
      <c r="N868" t="str">
        <f t="shared" si="68"/>
        <v>R1011</v>
      </c>
      <c r="O868" t="s">
        <v>42</v>
      </c>
    </row>
    <row r="869" spans="1:15" x14ac:dyDescent="0.35">
      <c r="A869" t="s">
        <v>900</v>
      </c>
      <c r="C869">
        <f t="shared" si="65"/>
        <v>1978</v>
      </c>
      <c r="D869">
        <v>1978</v>
      </c>
      <c r="E869" t="str">
        <f t="shared" si="69"/>
        <v>Sep</v>
      </c>
      <c r="F869" t="s">
        <v>20</v>
      </c>
      <c r="G869">
        <v>6</v>
      </c>
      <c r="H869">
        <v>1</v>
      </c>
      <c r="I869" s="21">
        <v>7152.67</v>
      </c>
      <c r="J869" t="str">
        <f t="shared" si="66"/>
        <v>tier - 3</v>
      </c>
      <c r="K869" t="s">
        <v>12</v>
      </c>
      <c r="L869" t="str">
        <f t="shared" si="67"/>
        <v>tier - 2</v>
      </c>
      <c r="M869" t="s">
        <v>11</v>
      </c>
      <c r="N869" t="str">
        <f t="shared" si="68"/>
        <v>R1013</v>
      </c>
      <c r="O869" t="s">
        <v>13</v>
      </c>
    </row>
    <row r="870" spans="1:15" x14ac:dyDescent="0.35">
      <c r="A870" t="s">
        <v>901</v>
      </c>
      <c r="C870">
        <f t="shared" si="65"/>
        <v>1981</v>
      </c>
      <c r="D870">
        <v>1981</v>
      </c>
      <c r="E870" t="str">
        <f t="shared" si="69"/>
        <v>Jul</v>
      </c>
      <c r="F870" t="s">
        <v>10</v>
      </c>
      <c r="G870">
        <v>17</v>
      </c>
      <c r="H870">
        <v>1</v>
      </c>
      <c r="I870" s="21">
        <v>7153.55</v>
      </c>
      <c r="J870" t="str">
        <f t="shared" si="66"/>
        <v>tier - 2</v>
      </c>
      <c r="K870" t="s">
        <v>11</v>
      </c>
      <c r="L870" t="str">
        <f t="shared" si="67"/>
        <v>tier - 1</v>
      </c>
      <c r="M870" t="s">
        <v>16</v>
      </c>
      <c r="N870" t="str">
        <f t="shared" si="68"/>
        <v>R1012</v>
      </c>
      <c r="O870" t="s">
        <v>23</v>
      </c>
    </row>
    <row r="871" spans="1:15" x14ac:dyDescent="0.35">
      <c r="A871" t="s">
        <v>902</v>
      </c>
      <c r="C871">
        <f t="shared" si="65"/>
        <v>1980</v>
      </c>
      <c r="D871">
        <v>1980</v>
      </c>
      <c r="E871" t="str">
        <f t="shared" si="69"/>
        <v>Jun</v>
      </c>
      <c r="F871" t="s">
        <v>18</v>
      </c>
      <c r="G871">
        <v>22</v>
      </c>
      <c r="H871">
        <v>2</v>
      </c>
      <c r="I871" s="21">
        <v>7160.09</v>
      </c>
      <c r="J871" t="str">
        <f t="shared" si="66"/>
        <v>tier - 2</v>
      </c>
      <c r="K871" t="s">
        <v>11</v>
      </c>
      <c r="L871" t="str">
        <f t="shared" si="67"/>
        <v>tier - 2</v>
      </c>
      <c r="M871" t="s">
        <v>11</v>
      </c>
      <c r="N871" t="str">
        <f t="shared" si="68"/>
        <v>R1011</v>
      </c>
      <c r="O871" t="s">
        <v>42</v>
      </c>
    </row>
    <row r="872" spans="1:15" x14ac:dyDescent="0.35">
      <c r="A872" t="s">
        <v>903</v>
      </c>
      <c r="C872">
        <f t="shared" si="65"/>
        <v>1980</v>
      </c>
      <c r="D872">
        <v>1980</v>
      </c>
      <c r="E872" t="str">
        <f t="shared" si="69"/>
        <v>Oct</v>
      </c>
      <c r="F872" t="s">
        <v>37</v>
      </c>
      <c r="G872">
        <v>7</v>
      </c>
      <c r="H872">
        <v>2</v>
      </c>
      <c r="I872" s="21">
        <v>7160.33</v>
      </c>
      <c r="J872" t="str">
        <f t="shared" si="66"/>
        <v>tier - 2</v>
      </c>
      <c r="K872" t="s">
        <v>11</v>
      </c>
      <c r="L872" t="str">
        <f t="shared" si="67"/>
        <v>tier - 1</v>
      </c>
      <c r="M872" t="s">
        <v>16</v>
      </c>
      <c r="N872" t="str">
        <f t="shared" si="68"/>
        <v>R1013</v>
      </c>
      <c r="O872" t="s">
        <v>13</v>
      </c>
    </row>
    <row r="873" spans="1:15" x14ac:dyDescent="0.35">
      <c r="A873" t="s">
        <v>904</v>
      </c>
      <c r="C873">
        <f t="shared" si="65"/>
        <v>1980</v>
      </c>
      <c r="D873">
        <v>1980</v>
      </c>
      <c r="E873" t="str">
        <f t="shared" si="69"/>
        <v>Sep</v>
      </c>
      <c r="F873" t="s">
        <v>20</v>
      </c>
      <c r="G873">
        <v>30</v>
      </c>
      <c r="H873">
        <v>2</v>
      </c>
      <c r="I873" s="21">
        <v>7162.01</v>
      </c>
      <c r="J873" t="str">
        <f t="shared" si="66"/>
        <v>tier - 2</v>
      </c>
      <c r="K873" t="s">
        <v>11</v>
      </c>
      <c r="L873" t="str">
        <f t="shared" si="67"/>
        <v>tier - 3</v>
      </c>
      <c r="M873" t="s">
        <v>12</v>
      </c>
      <c r="N873" t="str">
        <f t="shared" si="68"/>
        <v>R1013</v>
      </c>
      <c r="O873" t="s">
        <v>13</v>
      </c>
    </row>
    <row r="874" spans="1:15" x14ac:dyDescent="0.35">
      <c r="A874" t="s">
        <v>905</v>
      </c>
      <c r="C874">
        <f t="shared" si="65"/>
        <v>1982</v>
      </c>
      <c r="D874">
        <v>1982</v>
      </c>
      <c r="E874" t="str">
        <f t="shared" si="69"/>
        <v>Aug</v>
      </c>
      <c r="F874" t="s">
        <v>35</v>
      </c>
      <c r="G874">
        <v>16</v>
      </c>
      <c r="H874">
        <v>2</v>
      </c>
      <c r="I874" s="21">
        <v>7173.36</v>
      </c>
      <c r="J874" t="str">
        <f t="shared" si="66"/>
        <v>tier - 3</v>
      </c>
      <c r="K874" t="s">
        <v>12</v>
      </c>
      <c r="L874" t="str">
        <f t="shared" si="67"/>
        <v>tier - 2</v>
      </c>
      <c r="M874" t="s">
        <v>11</v>
      </c>
      <c r="N874" t="str">
        <f t="shared" si="68"/>
        <v>R1016</v>
      </c>
      <c r="O874" t="s">
        <v>168</v>
      </c>
    </row>
    <row r="875" spans="1:15" x14ac:dyDescent="0.35">
      <c r="A875" t="s">
        <v>906</v>
      </c>
      <c r="C875">
        <f t="shared" si="65"/>
        <v>1975</v>
      </c>
      <c r="D875">
        <v>1975</v>
      </c>
      <c r="E875" t="str">
        <f t="shared" si="69"/>
        <v>Jul</v>
      </c>
      <c r="F875" t="s">
        <v>10</v>
      </c>
      <c r="G875">
        <v>19</v>
      </c>
      <c r="H875">
        <v>1</v>
      </c>
      <c r="I875" s="21">
        <v>7175.51</v>
      </c>
      <c r="J875" t="str">
        <f t="shared" si="66"/>
        <v>tier - 2</v>
      </c>
      <c r="K875" t="s">
        <v>11</v>
      </c>
      <c r="L875" t="str">
        <f t="shared" si="67"/>
        <v>tier - 3</v>
      </c>
      <c r="M875" t="s">
        <v>12</v>
      </c>
      <c r="N875" t="str">
        <f t="shared" si="68"/>
        <v>R1013</v>
      </c>
      <c r="O875" t="s">
        <v>13</v>
      </c>
    </row>
    <row r="876" spans="1:15" x14ac:dyDescent="0.35">
      <c r="A876" t="s">
        <v>907</v>
      </c>
      <c r="C876">
        <f t="shared" si="65"/>
        <v>1968</v>
      </c>
      <c r="D876">
        <v>1968</v>
      </c>
      <c r="E876" t="str">
        <f t="shared" si="69"/>
        <v>Aug</v>
      </c>
      <c r="F876" t="s">
        <v>35</v>
      </c>
      <c r="G876">
        <v>26</v>
      </c>
      <c r="H876">
        <v>0</v>
      </c>
      <c r="I876" s="21">
        <v>7179.52</v>
      </c>
      <c r="J876" t="str">
        <f t="shared" si="66"/>
        <v>tier - 3</v>
      </c>
      <c r="K876" t="s">
        <v>12</v>
      </c>
      <c r="L876" t="str">
        <f t="shared" si="67"/>
        <v>tier - 3</v>
      </c>
      <c r="M876" t="s">
        <v>12</v>
      </c>
      <c r="N876" t="str">
        <f t="shared" si="68"/>
        <v>R1013</v>
      </c>
      <c r="O876" t="s">
        <v>13</v>
      </c>
    </row>
    <row r="877" spans="1:15" x14ac:dyDescent="0.35">
      <c r="A877" t="s">
        <v>908</v>
      </c>
      <c r="C877">
        <f t="shared" si="65"/>
        <v>1982</v>
      </c>
      <c r="D877">
        <v>1982</v>
      </c>
      <c r="E877" t="str">
        <f t="shared" si="69"/>
        <v>Sep</v>
      </c>
      <c r="F877" t="s">
        <v>20</v>
      </c>
      <c r="G877">
        <v>14</v>
      </c>
      <c r="H877">
        <v>3</v>
      </c>
      <c r="I877" s="21">
        <v>7196.87</v>
      </c>
      <c r="J877" t="str">
        <f t="shared" si="66"/>
        <v>tier - 3</v>
      </c>
      <c r="K877" t="s">
        <v>12</v>
      </c>
      <c r="L877" t="str">
        <f t="shared" si="67"/>
        <v>tier - 2</v>
      </c>
      <c r="M877" t="s">
        <v>11</v>
      </c>
      <c r="N877" t="str">
        <f t="shared" si="68"/>
        <v>R1011</v>
      </c>
      <c r="O877" t="s">
        <v>42</v>
      </c>
    </row>
    <row r="878" spans="1:15" x14ac:dyDescent="0.35">
      <c r="A878" t="s">
        <v>909</v>
      </c>
      <c r="C878">
        <f t="shared" si="65"/>
        <v>1983</v>
      </c>
      <c r="D878">
        <v>1983</v>
      </c>
      <c r="E878" t="str">
        <f t="shared" si="69"/>
        <v>Aug</v>
      </c>
      <c r="F878" t="s">
        <v>35</v>
      </c>
      <c r="G878">
        <v>11</v>
      </c>
      <c r="H878">
        <v>2</v>
      </c>
      <c r="I878" s="21">
        <v>7201.7</v>
      </c>
      <c r="J878" t="str">
        <f t="shared" si="66"/>
        <v>tier - 2</v>
      </c>
      <c r="K878" t="s">
        <v>11</v>
      </c>
      <c r="L878" t="str">
        <f t="shared" si="67"/>
        <v>tier - 3</v>
      </c>
      <c r="M878" t="s">
        <v>12</v>
      </c>
      <c r="N878" t="str">
        <f t="shared" si="68"/>
        <v>R1012</v>
      </c>
      <c r="O878" t="s">
        <v>23</v>
      </c>
    </row>
    <row r="879" spans="1:15" x14ac:dyDescent="0.35">
      <c r="A879" t="s">
        <v>910</v>
      </c>
      <c r="C879">
        <f t="shared" si="65"/>
        <v>1983</v>
      </c>
      <c r="D879">
        <v>1983</v>
      </c>
      <c r="E879" t="str">
        <f t="shared" si="69"/>
        <v>Nov</v>
      </c>
      <c r="F879" t="s">
        <v>15</v>
      </c>
      <c r="G879">
        <v>21</v>
      </c>
      <c r="H879">
        <v>2</v>
      </c>
      <c r="I879" s="21">
        <v>7209.49</v>
      </c>
      <c r="J879" t="str">
        <f t="shared" si="66"/>
        <v>tier - 2</v>
      </c>
      <c r="K879" t="s">
        <v>11</v>
      </c>
      <c r="L879" t="str">
        <f t="shared" si="67"/>
        <v>tier - 3</v>
      </c>
      <c r="M879" t="s">
        <v>12</v>
      </c>
      <c r="N879" t="str">
        <f t="shared" si="68"/>
        <v>R1012</v>
      </c>
      <c r="O879" t="s">
        <v>23</v>
      </c>
    </row>
    <row r="880" spans="1:15" x14ac:dyDescent="0.35">
      <c r="A880" t="s">
        <v>911</v>
      </c>
      <c r="C880">
        <f t="shared" si="65"/>
        <v>1991</v>
      </c>
      <c r="D880">
        <v>1991</v>
      </c>
      <c r="E880" t="str">
        <f t="shared" si="69"/>
        <v>Jun</v>
      </c>
      <c r="F880" t="s">
        <v>18</v>
      </c>
      <c r="G880">
        <v>28</v>
      </c>
      <c r="H880">
        <v>3</v>
      </c>
      <c r="I880" s="21">
        <v>7220.25</v>
      </c>
      <c r="J880" t="str">
        <f t="shared" si="66"/>
        <v>tier - 2</v>
      </c>
      <c r="K880" t="s">
        <v>11</v>
      </c>
      <c r="L880" t="str">
        <f t="shared" si="67"/>
        <v>tier - 2</v>
      </c>
      <c r="M880" t="s">
        <v>11</v>
      </c>
      <c r="N880" t="str">
        <f t="shared" si="68"/>
        <v>R1021</v>
      </c>
      <c r="O880" t="s">
        <v>300</v>
      </c>
    </row>
    <row r="881" spans="1:15" x14ac:dyDescent="0.35">
      <c r="A881" t="s">
        <v>912</v>
      </c>
      <c r="C881">
        <f t="shared" si="65"/>
        <v>1977</v>
      </c>
      <c r="D881">
        <v>1977</v>
      </c>
      <c r="E881" t="str">
        <f t="shared" si="69"/>
        <v>Sep</v>
      </c>
      <c r="F881" t="s">
        <v>20</v>
      </c>
      <c r="G881">
        <v>15</v>
      </c>
      <c r="H881">
        <v>0</v>
      </c>
      <c r="I881" s="21">
        <v>7222.79</v>
      </c>
      <c r="J881" t="str">
        <f t="shared" si="66"/>
        <v>tier - 3</v>
      </c>
      <c r="K881" t="s">
        <v>12</v>
      </c>
      <c r="L881" t="str">
        <f t="shared" si="67"/>
        <v>tier - 3</v>
      </c>
      <c r="M881" t="s">
        <v>12</v>
      </c>
      <c r="N881" t="str">
        <f t="shared" si="68"/>
        <v>R1012</v>
      </c>
      <c r="O881" t="s">
        <v>23</v>
      </c>
    </row>
    <row r="882" spans="1:15" x14ac:dyDescent="0.35">
      <c r="A882" t="s">
        <v>913</v>
      </c>
      <c r="C882">
        <f t="shared" si="65"/>
        <v>1986</v>
      </c>
      <c r="D882">
        <v>1986</v>
      </c>
      <c r="E882" t="str">
        <f t="shared" si="69"/>
        <v>Jul</v>
      </c>
      <c r="F882" t="s">
        <v>10</v>
      </c>
      <c r="G882">
        <v>13</v>
      </c>
      <c r="H882">
        <v>3</v>
      </c>
      <c r="I882" s="21">
        <v>7228.22</v>
      </c>
      <c r="J882" t="str">
        <f t="shared" si="66"/>
        <v>tier - 2</v>
      </c>
      <c r="K882" t="s">
        <v>11</v>
      </c>
      <c r="L882" t="str">
        <f t="shared" si="67"/>
        <v>tier - 1</v>
      </c>
      <c r="M882" t="s">
        <v>16</v>
      </c>
      <c r="N882" t="str">
        <f t="shared" si="68"/>
        <v>R1024</v>
      </c>
      <c r="O882" t="s">
        <v>247</v>
      </c>
    </row>
    <row r="883" spans="1:15" x14ac:dyDescent="0.35">
      <c r="A883" t="s">
        <v>914</v>
      </c>
      <c r="C883">
        <f t="shared" si="65"/>
        <v>1986</v>
      </c>
      <c r="D883">
        <v>1986</v>
      </c>
      <c r="E883" t="str">
        <f t="shared" si="69"/>
        <v>Sep</v>
      </c>
      <c r="F883" t="s">
        <v>20</v>
      </c>
      <c r="G883">
        <v>2</v>
      </c>
      <c r="H883">
        <v>4</v>
      </c>
      <c r="I883" s="21">
        <v>7243.81</v>
      </c>
      <c r="J883" t="str">
        <f t="shared" si="66"/>
        <v>tier - 2</v>
      </c>
      <c r="K883" t="s">
        <v>11</v>
      </c>
      <c r="L883" t="str">
        <f t="shared" si="67"/>
        <v>tier - 3</v>
      </c>
      <c r="M883" t="s">
        <v>12</v>
      </c>
      <c r="N883" t="str">
        <f t="shared" si="68"/>
        <v>R1013</v>
      </c>
      <c r="O883" t="s">
        <v>13</v>
      </c>
    </row>
    <row r="884" spans="1:15" x14ac:dyDescent="0.35">
      <c r="A884" t="s">
        <v>915</v>
      </c>
      <c r="C884">
        <f t="shared" si="65"/>
        <v>1982</v>
      </c>
      <c r="D884">
        <v>1982</v>
      </c>
      <c r="E884" t="str">
        <f t="shared" si="69"/>
        <v>Jul</v>
      </c>
      <c r="F884" t="s">
        <v>10</v>
      </c>
      <c r="G884">
        <v>24</v>
      </c>
      <c r="H884">
        <v>3</v>
      </c>
      <c r="I884" s="21">
        <v>7248.71</v>
      </c>
      <c r="J884" t="str">
        <f t="shared" si="66"/>
        <v>tier - 2</v>
      </c>
      <c r="K884" t="s">
        <v>11</v>
      </c>
      <c r="L884" t="str">
        <f t="shared" si="67"/>
        <v>tier - 1</v>
      </c>
      <c r="M884" t="s">
        <v>16</v>
      </c>
      <c r="N884" t="str">
        <f t="shared" si="68"/>
        <v>R1013</v>
      </c>
      <c r="O884" t="s">
        <v>13</v>
      </c>
    </row>
    <row r="885" spans="1:15" x14ac:dyDescent="0.35">
      <c r="A885" t="s">
        <v>916</v>
      </c>
      <c r="C885">
        <f t="shared" si="65"/>
        <v>1981</v>
      </c>
      <c r="D885">
        <v>1981</v>
      </c>
      <c r="E885" t="str">
        <f t="shared" si="69"/>
        <v>Aug</v>
      </c>
      <c r="F885" t="s">
        <v>35</v>
      </c>
      <c r="G885">
        <v>14</v>
      </c>
      <c r="H885">
        <v>2</v>
      </c>
      <c r="I885" s="21">
        <v>7256.72</v>
      </c>
      <c r="J885" t="str">
        <f t="shared" si="66"/>
        <v>tier - 3</v>
      </c>
      <c r="K885" t="s">
        <v>12</v>
      </c>
      <c r="L885" t="str">
        <f t="shared" si="67"/>
        <v>tier - 2</v>
      </c>
      <c r="M885" t="s">
        <v>11</v>
      </c>
      <c r="N885" t="str">
        <f t="shared" si="68"/>
        <v>R1012</v>
      </c>
      <c r="O885" t="s">
        <v>23</v>
      </c>
    </row>
    <row r="886" spans="1:15" x14ac:dyDescent="0.35">
      <c r="A886" t="s">
        <v>917</v>
      </c>
      <c r="C886">
        <f t="shared" si="65"/>
        <v>1981</v>
      </c>
      <c r="D886">
        <v>1981</v>
      </c>
      <c r="E886" t="str">
        <f t="shared" si="69"/>
        <v>Jun</v>
      </c>
      <c r="F886" t="s">
        <v>18</v>
      </c>
      <c r="G886">
        <v>13</v>
      </c>
      <c r="H886">
        <v>2</v>
      </c>
      <c r="I886" s="21">
        <v>7261.74</v>
      </c>
      <c r="J886" t="str">
        <f t="shared" si="66"/>
        <v>tier - 3</v>
      </c>
      <c r="K886" t="s">
        <v>12</v>
      </c>
      <c r="L886" t="str">
        <f t="shared" si="67"/>
        <v>tier - 3</v>
      </c>
      <c r="M886" t="s">
        <v>12</v>
      </c>
      <c r="N886" t="str">
        <f t="shared" si="68"/>
        <v>R1012</v>
      </c>
      <c r="O886" t="s">
        <v>23</v>
      </c>
    </row>
    <row r="887" spans="1:15" x14ac:dyDescent="0.35">
      <c r="A887" t="s">
        <v>918</v>
      </c>
      <c r="C887">
        <f t="shared" si="65"/>
        <v>1973</v>
      </c>
      <c r="D887">
        <v>1973</v>
      </c>
      <c r="E887" t="str">
        <f t="shared" si="69"/>
        <v>Oct</v>
      </c>
      <c r="F887" t="s">
        <v>37</v>
      </c>
      <c r="G887">
        <v>25</v>
      </c>
      <c r="H887">
        <v>0</v>
      </c>
      <c r="I887" s="21">
        <v>7265.58</v>
      </c>
      <c r="J887" t="str">
        <f t="shared" si="66"/>
        <v>tier - 2</v>
      </c>
      <c r="K887" t="s">
        <v>11</v>
      </c>
      <c r="L887" t="str">
        <f t="shared" si="67"/>
        <v>tier - 2</v>
      </c>
      <c r="M887" t="s">
        <v>11</v>
      </c>
      <c r="N887" t="str">
        <f t="shared" si="68"/>
        <v>R1013</v>
      </c>
      <c r="O887" t="s">
        <v>13</v>
      </c>
    </row>
    <row r="888" spans="1:15" x14ac:dyDescent="0.35">
      <c r="A888" t="s">
        <v>919</v>
      </c>
      <c r="C888">
        <f t="shared" si="65"/>
        <v>1981</v>
      </c>
      <c r="D888">
        <v>1981</v>
      </c>
      <c r="E888" t="str">
        <f t="shared" si="69"/>
        <v>Aug</v>
      </c>
      <c r="F888" t="s">
        <v>35</v>
      </c>
      <c r="G888">
        <v>4</v>
      </c>
      <c r="H888">
        <v>2</v>
      </c>
      <c r="I888" s="21">
        <v>7265.7</v>
      </c>
      <c r="J888" t="str">
        <f t="shared" si="66"/>
        <v>tier - 3</v>
      </c>
      <c r="K888" t="s">
        <v>12</v>
      </c>
      <c r="L888" t="str">
        <f t="shared" si="67"/>
        <v>tier - 3</v>
      </c>
      <c r="M888" t="s">
        <v>12</v>
      </c>
      <c r="N888" t="str">
        <f t="shared" si="68"/>
        <v>R1012</v>
      </c>
      <c r="O888" t="s">
        <v>23</v>
      </c>
    </row>
    <row r="889" spans="1:15" x14ac:dyDescent="0.35">
      <c r="A889" t="s">
        <v>920</v>
      </c>
      <c r="C889">
        <f t="shared" si="65"/>
        <v>1976</v>
      </c>
      <c r="D889">
        <v>1976</v>
      </c>
      <c r="E889" t="str">
        <f t="shared" si="69"/>
        <v>Dec</v>
      </c>
      <c r="F889" t="s">
        <v>30</v>
      </c>
      <c r="G889">
        <v>18</v>
      </c>
      <c r="H889">
        <v>2</v>
      </c>
      <c r="I889" s="21">
        <v>7273.02</v>
      </c>
      <c r="J889" t="str">
        <f t="shared" si="66"/>
        <v>tier - 2</v>
      </c>
      <c r="K889" t="s">
        <v>11</v>
      </c>
      <c r="L889" t="str">
        <f t="shared" si="67"/>
        <v>tier - 1</v>
      </c>
      <c r="M889" t="s">
        <v>16</v>
      </c>
      <c r="N889" t="str">
        <f t="shared" si="68"/>
        <v>R1013</v>
      </c>
      <c r="O889" t="s">
        <v>13</v>
      </c>
    </row>
    <row r="890" spans="1:15" x14ac:dyDescent="0.35">
      <c r="A890" t="s">
        <v>921</v>
      </c>
      <c r="C890">
        <f t="shared" si="65"/>
        <v>1985</v>
      </c>
      <c r="D890">
        <v>1985</v>
      </c>
      <c r="E890" t="str">
        <f t="shared" si="69"/>
        <v>Nov</v>
      </c>
      <c r="F890" t="s">
        <v>15</v>
      </c>
      <c r="G890">
        <v>2</v>
      </c>
      <c r="H890">
        <v>3</v>
      </c>
      <c r="I890" s="21">
        <v>7281.51</v>
      </c>
      <c r="J890" t="str">
        <f t="shared" si="66"/>
        <v>tier - 2</v>
      </c>
      <c r="K890" t="s">
        <v>11</v>
      </c>
      <c r="L890" t="str">
        <f t="shared" si="67"/>
        <v>tier - 1</v>
      </c>
      <c r="M890" t="s">
        <v>16</v>
      </c>
      <c r="N890" t="str">
        <f t="shared" si="68"/>
        <v>R1012</v>
      </c>
      <c r="O890" t="s">
        <v>23</v>
      </c>
    </row>
    <row r="891" spans="1:15" x14ac:dyDescent="0.35">
      <c r="A891" t="s">
        <v>922</v>
      </c>
      <c r="C891">
        <f t="shared" si="65"/>
        <v>1966</v>
      </c>
      <c r="D891">
        <v>1966</v>
      </c>
      <c r="E891" t="str">
        <f t="shared" si="69"/>
        <v>Dec</v>
      </c>
      <c r="F891" t="s">
        <v>30</v>
      </c>
      <c r="G891">
        <v>26</v>
      </c>
      <c r="H891">
        <v>0</v>
      </c>
      <c r="I891" s="21">
        <v>7302.46</v>
      </c>
      <c r="J891" t="str">
        <f t="shared" si="66"/>
        <v>tier - 3</v>
      </c>
      <c r="K891" t="s">
        <v>12</v>
      </c>
      <c r="L891" t="str">
        <f t="shared" si="67"/>
        <v>tier - 1</v>
      </c>
      <c r="M891" t="s">
        <v>16</v>
      </c>
      <c r="N891" t="str">
        <f t="shared" si="68"/>
        <v>R1012</v>
      </c>
      <c r="O891" t="s">
        <v>23</v>
      </c>
    </row>
    <row r="892" spans="1:15" x14ac:dyDescent="0.35">
      <c r="A892" t="s">
        <v>923</v>
      </c>
      <c r="C892">
        <f t="shared" si="65"/>
        <v>1965</v>
      </c>
      <c r="D892">
        <v>1965</v>
      </c>
      <c r="E892" t="str">
        <f t="shared" si="69"/>
        <v>Jun</v>
      </c>
      <c r="F892" t="s">
        <v>18</v>
      </c>
      <c r="G892">
        <v>6</v>
      </c>
      <c r="H892">
        <v>0</v>
      </c>
      <c r="I892" s="21">
        <v>7304.65</v>
      </c>
      <c r="J892" t="str">
        <f t="shared" si="66"/>
        <v>tier - 3</v>
      </c>
      <c r="K892" t="s">
        <v>12</v>
      </c>
      <c r="L892" t="str">
        <f t="shared" si="67"/>
        <v>tier - 3</v>
      </c>
      <c r="M892" t="s">
        <v>12</v>
      </c>
      <c r="N892" t="str">
        <f t="shared" si="68"/>
        <v>R1013</v>
      </c>
      <c r="O892" t="s">
        <v>13</v>
      </c>
    </row>
    <row r="893" spans="1:15" x14ac:dyDescent="0.35">
      <c r="A893" t="s">
        <v>924</v>
      </c>
      <c r="C893">
        <f t="shared" si="65"/>
        <v>1965</v>
      </c>
      <c r="D893">
        <v>1965</v>
      </c>
      <c r="E893" t="str">
        <f t="shared" si="69"/>
        <v>Jun</v>
      </c>
      <c r="F893" t="s">
        <v>18</v>
      </c>
      <c r="G893">
        <v>25</v>
      </c>
      <c r="H893">
        <v>0</v>
      </c>
      <c r="I893" s="21">
        <v>7318.21</v>
      </c>
      <c r="J893" t="str">
        <f t="shared" si="66"/>
        <v>tier - 3</v>
      </c>
      <c r="K893" t="s">
        <v>12</v>
      </c>
      <c r="L893" t="str">
        <f t="shared" si="67"/>
        <v>tier - 1</v>
      </c>
      <c r="M893" t="s">
        <v>16</v>
      </c>
      <c r="N893" t="str">
        <f t="shared" si="68"/>
        <v>R1013</v>
      </c>
      <c r="O893" t="s">
        <v>13</v>
      </c>
    </row>
    <row r="894" spans="1:15" x14ac:dyDescent="0.35">
      <c r="A894" t="s">
        <v>925</v>
      </c>
      <c r="C894">
        <f t="shared" si="65"/>
        <v>1972</v>
      </c>
      <c r="D894">
        <v>1972</v>
      </c>
      <c r="E894" t="str">
        <f t="shared" si="69"/>
        <v>Aug</v>
      </c>
      <c r="F894" t="s">
        <v>35</v>
      </c>
      <c r="G894">
        <v>11</v>
      </c>
      <c r="H894">
        <v>0</v>
      </c>
      <c r="I894" s="21">
        <v>7318.22</v>
      </c>
      <c r="J894" t="str">
        <f t="shared" si="66"/>
        <v>tier - 2</v>
      </c>
      <c r="K894" t="s">
        <v>11</v>
      </c>
      <c r="L894" t="str">
        <f t="shared" si="67"/>
        <v>tier - 3</v>
      </c>
      <c r="M894" t="s">
        <v>12</v>
      </c>
      <c r="N894" t="str">
        <f t="shared" si="68"/>
        <v>R1012</v>
      </c>
      <c r="O894" t="s">
        <v>23</v>
      </c>
    </row>
    <row r="895" spans="1:15" x14ac:dyDescent="0.35">
      <c r="A895" t="s">
        <v>926</v>
      </c>
      <c r="C895">
        <f t="shared" si="65"/>
        <v>1965</v>
      </c>
      <c r="D895">
        <v>1965</v>
      </c>
      <c r="E895" t="str">
        <f t="shared" si="69"/>
        <v>Jul</v>
      </c>
      <c r="F895" t="s">
        <v>10</v>
      </c>
      <c r="G895">
        <v>11</v>
      </c>
      <c r="H895">
        <v>0</v>
      </c>
      <c r="I895" s="21">
        <v>7322.86</v>
      </c>
      <c r="J895" t="str">
        <f t="shared" si="66"/>
        <v>tier - 3</v>
      </c>
      <c r="K895" t="s">
        <v>12</v>
      </c>
      <c r="L895" t="str">
        <f t="shared" si="67"/>
        <v>tier - 3</v>
      </c>
      <c r="M895" t="s">
        <v>12</v>
      </c>
      <c r="N895" t="str">
        <f t="shared" si="68"/>
        <v>R1012</v>
      </c>
      <c r="O895" t="s">
        <v>23</v>
      </c>
    </row>
    <row r="896" spans="1:15" x14ac:dyDescent="0.35">
      <c r="A896" t="s">
        <v>927</v>
      </c>
      <c r="C896">
        <f t="shared" si="65"/>
        <v>2004</v>
      </c>
      <c r="D896">
        <v>2004</v>
      </c>
      <c r="E896" t="str">
        <f t="shared" si="69"/>
        <v>Nov</v>
      </c>
      <c r="F896" t="s">
        <v>15</v>
      </c>
      <c r="G896">
        <v>15</v>
      </c>
      <c r="H896">
        <v>0</v>
      </c>
      <c r="I896" s="21">
        <v>7323.73</v>
      </c>
      <c r="J896" t="str">
        <f t="shared" si="66"/>
        <v>tier - 2</v>
      </c>
      <c r="K896" t="s">
        <v>11</v>
      </c>
      <c r="L896" t="str">
        <f t="shared" si="67"/>
        <v>tier - 2</v>
      </c>
      <c r="M896" t="s">
        <v>11</v>
      </c>
      <c r="N896" t="str">
        <f t="shared" si="68"/>
        <v>R1024</v>
      </c>
      <c r="O896" t="s">
        <v>247</v>
      </c>
    </row>
    <row r="897" spans="1:15" x14ac:dyDescent="0.35">
      <c r="A897" t="s">
        <v>928</v>
      </c>
      <c r="C897">
        <f t="shared" si="65"/>
        <v>1979</v>
      </c>
      <c r="D897">
        <v>1979</v>
      </c>
      <c r="E897" t="str">
        <f t="shared" si="69"/>
        <v>Jun</v>
      </c>
      <c r="F897" t="s">
        <v>18</v>
      </c>
      <c r="G897">
        <v>19</v>
      </c>
      <c r="H897">
        <v>0</v>
      </c>
      <c r="I897" s="21">
        <v>7325.05</v>
      </c>
      <c r="J897" t="str">
        <f t="shared" si="66"/>
        <v>tier - 2</v>
      </c>
      <c r="K897" t="s">
        <v>11</v>
      </c>
      <c r="L897" t="str">
        <f t="shared" si="67"/>
        <v>tier - 3</v>
      </c>
      <c r="M897" t="s">
        <v>12</v>
      </c>
      <c r="N897" t="str">
        <f t="shared" si="68"/>
        <v>R1024</v>
      </c>
      <c r="O897" t="s">
        <v>247</v>
      </c>
    </row>
    <row r="898" spans="1:15" x14ac:dyDescent="0.35">
      <c r="A898" t="s">
        <v>929</v>
      </c>
      <c r="C898">
        <f t="shared" si="65"/>
        <v>1984</v>
      </c>
      <c r="D898">
        <v>1984</v>
      </c>
      <c r="E898" t="str">
        <f t="shared" si="69"/>
        <v>Jul</v>
      </c>
      <c r="F898" t="s">
        <v>10</v>
      </c>
      <c r="G898">
        <v>25</v>
      </c>
      <c r="H898">
        <v>3</v>
      </c>
      <c r="I898" s="21">
        <v>7325.47</v>
      </c>
      <c r="J898" t="str">
        <f t="shared" si="66"/>
        <v>tier - 2</v>
      </c>
      <c r="K898" t="s">
        <v>11</v>
      </c>
      <c r="L898" t="str">
        <f t="shared" si="67"/>
        <v>tier - 1</v>
      </c>
      <c r="M898" t="s">
        <v>16</v>
      </c>
      <c r="N898" t="str">
        <f t="shared" si="68"/>
        <v>R1012</v>
      </c>
      <c r="O898" t="s">
        <v>23</v>
      </c>
    </row>
    <row r="899" spans="1:15" x14ac:dyDescent="0.35">
      <c r="A899" t="s">
        <v>930</v>
      </c>
      <c r="C899">
        <f t="shared" ref="C899:C962" si="70">IF(OR(D899="?", ISBLANK(D899)), 1983, D899)</f>
        <v>1979</v>
      </c>
      <c r="D899">
        <v>1979</v>
      </c>
      <c r="E899" t="str">
        <f t="shared" si="69"/>
        <v>Sep</v>
      </c>
      <c r="F899" t="s">
        <v>20</v>
      </c>
      <c r="G899">
        <v>19</v>
      </c>
      <c r="H899">
        <v>1</v>
      </c>
      <c r="I899" s="21">
        <v>7337.75</v>
      </c>
      <c r="J899" t="str">
        <f t="shared" ref="J899:J962" si="71">IF(OR(K899="?", ISBLANK(K899)), "Tier 2", K899)</f>
        <v>tier - 2</v>
      </c>
      <c r="K899" t="s">
        <v>11</v>
      </c>
      <c r="L899" t="str">
        <f t="shared" ref="L899:L962" si="72">IF(OR(M899="?", ISBLANK(M899)), "Tier 2", M899)</f>
        <v>tier - 3</v>
      </c>
      <c r="M899" t="s">
        <v>12</v>
      </c>
      <c r="N899" t="str">
        <f t="shared" ref="N899:N962" si="73">IF(OR(O899="?", ISBLANK(O899)), "Unknown", O899)</f>
        <v>R1011</v>
      </c>
      <c r="O899" t="s">
        <v>42</v>
      </c>
    </row>
    <row r="900" spans="1:15" x14ac:dyDescent="0.35">
      <c r="A900" t="s">
        <v>931</v>
      </c>
      <c r="C900">
        <f t="shared" si="70"/>
        <v>1986</v>
      </c>
      <c r="D900">
        <v>1986</v>
      </c>
      <c r="E900" t="str">
        <f t="shared" ref="E900:E963" si="74">IF(OR(F900="?", ISBLANK(F900)), "Sep", F900)</f>
        <v>Jun</v>
      </c>
      <c r="F900" t="s">
        <v>18</v>
      </c>
      <c r="G900">
        <v>15</v>
      </c>
      <c r="H900">
        <v>3</v>
      </c>
      <c r="I900" s="21">
        <v>7339.93</v>
      </c>
      <c r="J900" t="str">
        <f t="shared" si="71"/>
        <v>tier - 2</v>
      </c>
      <c r="K900" t="s">
        <v>11</v>
      </c>
      <c r="L900" t="str">
        <f t="shared" si="72"/>
        <v>tier - 2</v>
      </c>
      <c r="M900" t="s">
        <v>11</v>
      </c>
      <c r="N900" t="str">
        <f t="shared" si="73"/>
        <v>R1012</v>
      </c>
      <c r="O900" t="s">
        <v>23</v>
      </c>
    </row>
    <row r="901" spans="1:15" x14ac:dyDescent="0.35">
      <c r="A901" t="s">
        <v>932</v>
      </c>
      <c r="C901">
        <f t="shared" si="70"/>
        <v>1977</v>
      </c>
      <c r="D901">
        <v>1977</v>
      </c>
      <c r="E901" t="str">
        <f t="shared" si="74"/>
        <v>Dec</v>
      </c>
      <c r="F901" t="s">
        <v>30</v>
      </c>
      <c r="G901">
        <v>18</v>
      </c>
      <c r="H901">
        <v>0</v>
      </c>
      <c r="I901" s="21">
        <v>7345.08</v>
      </c>
      <c r="J901" t="str">
        <f t="shared" si="71"/>
        <v>tier - 2</v>
      </c>
      <c r="K901" t="s">
        <v>11</v>
      </c>
      <c r="L901" t="str">
        <f t="shared" si="72"/>
        <v>tier - 1</v>
      </c>
      <c r="M901" t="s">
        <v>16</v>
      </c>
      <c r="N901" t="str">
        <f t="shared" si="73"/>
        <v>R1011</v>
      </c>
      <c r="O901" t="s">
        <v>42</v>
      </c>
    </row>
    <row r="902" spans="1:15" x14ac:dyDescent="0.35">
      <c r="A902" t="s">
        <v>933</v>
      </c>
      <c r="C902">
        <f t="shared" si="70"/>
        <v>1979</v>
      </c>
      <c r="D902">
        <v>1979</v>
      </c>
      <c r="E902" t="str">
        <f t="shared" si="74"/>
        <v>Jun</v>
      </c>
      <c r="F902" t="s">
        <v>18</v>
      </c>
      <c r="G902">
        <v>26</v>
      </c>
      <c r="H902">
        <v>1</v>
      </c>
      <c r="I902" s="21">
        <v>7345.73</v>
      </c>
      <c r="J902" t="str">
        <f t="shared" si="71"/>
        <v>tier - 2</v>
      </c>
      <c r="K902" t="s">
        <v>11</v>
      </c>
      <c r="L902" t="str">
        <f t="shared" si="72"/>
        <v>tier - 1</v>
      </c>
      <c r="M902" t="s">
        <v>16</v>
      </c>
      <c r="N902" t="str">
        <f t="shared" si="73"/>
        <v>R1013</v>
      </c>
      <c r="O902" t="s">
        <v>13</v>
      </c>
    </row>
    <row r="903" spans="1:15" x14ac:dyDescent="0.35">
      <c r="A903" t="s">
        <v>934</v>
      </c>
      <c r="C903">
        <f t="shared" si="70"/>
        <v>1977</v>
      </c>
      <c r="D903">
        <v>1977</v>
      </c>
      <c r="E903" t="str">
        <f t="shared" si="74"/>
        <v>Dec</v>
      </c>
      <c r="F903" t="s">
        <v>30</v>
      </c>
      <c r="G903">
        <v>1</v>
      </c>
      <c r="H903">
        <v>0</v>
      </c>
      <c r="I903" s="21">
        <v>7348.14</v>
      </c>
      <c r="J903" t="str">
        <f t="shared" si="71"/>
        <v>tier - 2</v>
      </c>
      <c r="K903" t="s">
        <v>11</v>
      </c>
      <c r="L903" t="str">
        <f t="shared" si="72"/>
        <v>tier - 1</v>
      </c>
      <c r="M903" t="s">
        <v>16</v>
      </c>
      <c r="N903" t="str">
        <f t="shared" si="73"/>
        <v>R1011</v>
      </c>
      <c r="O903" t="s">
        <v>42</v>
      </c>
    </row>
    <row r="904" spans="1:15" x14ac:dyDescent="0.35">
      <c r="A904" t="s">
        <v>935</v>
      </c>
      <c r="C904">
        <f t="shared" si="70"/>
        <v>1993</v>
      </c>
      <c r="D904">
        <v>1993</v>
      </c>
      <c r="E904" t="str">
        <f t="shared" si="74"/>
        <v>Oct</v>
      </c>
      <c r="F904" t="s">
        <v>37</v>
      </c>
      <c r="G904">
        <v>5</v>
      </c>
      <c r="H904">
        <v>0</v>
      </c>
      <c r="I904" s="21">
        <v>7349.12</v>
      </c>
      <c r="J904" t="str">
        <f t="shared" si="71"/>
        <v>tier - 2</v>
      </c>
      <c r="K904" t="s">
        <v>11</v>
      </c>
      <c r="L904" t="str">
        <f t="shared" si="72"/>
        <v>tier - 2</v>
      </c>
      <c r="M904" t="s">
        <v>11</v>
      </c>
      <c r="N904" t="str">
        <f t="shared" si="73"/>
        <v>R1021</v>
      </c>
      <c r="O904" t="s">
        <v>300</v>
      </c>
    </row>
    <row r="905" spans="1:15" x14ac:dyDescent="0.35">
      <c r="A905" t="s">
        <v>936</v>
      </c>
      <c r="C905">
        <f t="shared" si="70"/>
        <v>1983</v>
      </c>
      <c r="D905">
        <v>1983</v>
      </c>
      <c r="E905" t="str">
        <f t="shared" si="74"/>
        <v>Jun</v>
      </c>
      <c r="F905" t="s">
        <v>18</v>
      </c>
      <c r="G905">
        <v>21</v>
      </c>
      <c r="H905">
        <v>3</v>
      </c>
      <c r="I905" s="21">
        <v>7357.49</v>
      </c>
      <c r="J905" t="str">
        <f t="shared" si="71"/>
        <v>tier - 2</v>
      </c>
      <c r="K905" t="s">
        <v>11</v>
      </c>
      <c r="L905" t="str">
        <f t="shared" si="72"/>
        <v>tier - 2</v>
      </c>
      <c r="M905" t="s">
        <v>11</v>
      </c>
      <c r="N905" t="str">
        <f t="shared" si="73"/>
        <v>R1012</v>
      </c>
      <c r="O905" t="s">
        <v>23</v>
      </c>
    </row>
    <row r="906" spans="1:15" x14ac:dyDescent="0.35">
      <c r="A906" t="s">
        <v>937</v>
      </c>
      <c r="C906">
        <f t="shared" si="70"/>
        <v>1981</v>
      </c>
      <c r="D906">
        <v>1981</v>
      </c>
      <c r="E906" t="str">
        <f t="shared" si="74"/>
        <v>Jul</v>
      </c>
      <c r="F906" t="s">
        <v>10</v>
      </c>
      <c r="G906">
        <v>16</v>
      </c>
      <c r="H906">
        <v>1</v>
      </c>
      <c r="I906" s="21">
        <v>7358.18</v>
      </c>
      <c r="J906" t="str">
        <f t="shared" si="71"/>
        <v>tier - 2</v>
      </c>
      <c r="K906" t="s">
        <v>11</v>
      </c>
      <c r="L906" t="str">
        <f t="shared" si="72"/>
        <v>tier - 3</v>
      </c>
      <c r="M906" t="s">
        <v>12</v>
      </c>
      <c r="N906" t="str">
        <f t="shared" si="73"/>
        <v>R1024</v>
      </c>
      <c r="O906" t="s">
        <v>247</v>
      </c>
    </row>
    <row r="907" spans="1:15" x14ac:dyDescent="0.35">
      <c r="A907" t="s">
        <v>938</v>
      </c>
      <c r="C907">
        <f t="shared" si="70"/>
        <v>1965</v>
      </c>
      <c r="D907">
        <v>1965</v>
      </c>
      <c r="E907" t="str">
        <f t="shared" si="74"/>
        <v>Dec</v>
      </c>
      <c r="F907" t="s">
        <v>30</v>
      </c>
      <c r="G907">
        <v>9</v>
      </c>
      <c r="H907">
        <v>0</v>
      </c>
      <c r="I907" s="21">
        <v>7362.31</v>
      </c>
      <c r="J907" t="str">
        <f t="shared" si="71"/>
        <v>tier - 3</v>
      </c>
      <c r="K907" t="s">
        <v>12</v>
      </c>
      <c r="L907" t="str">
        <f t="shared" si="72"/>
        <v>tier - 3</v>
      </c>
      <c r="M907" t="s">
        <v>12</v>
      </c>
      <c r="N907" t="str">
        <f t="shared" si="73"/>
        <v>R1013</v>
      </c>
      <c r="O907" t="s">
        <v>13</v>
      </c>
    </row>
    <row r="908" spans="1:15" x14ac:dyDescent="0.35">
      <c r="A908" t="s">
        <v>939</v>
      </c>
      <c r="C908">
        <f t="shared" si="70"/>
        <v>1981</v>
      </c>
      <c r="D908">
        <v>1981</v>
      </c>
      <c r="E908" t="str">
        <f t="shared" si="74"/>
        <v>Nov</v>
      </c>
      <c r="F908" t="s">
        <v>15</v>
      </c>
      <c r="G908">
        <v>24</v>
      </c>
      <c r="H908">
        <v>2</v>
      </c>
      <c r="I908" s="21">
        <v>7371.77</v>
      </c>
      <c r="J908" t="str">
        <f t="shared" si="71"/>
        <v>tier - 2</v>
      </c>
      <c r="K908" t="s">
        <v>11</v>
      </c>
      <c r="L908" t="str">
        <f t="shared" si="72"/>
        <v>tier - 1</v>
      </c>
      <c r="M908" t="s">
        <v>16</v>
      </c>
      <c r="N908" t="str">
        <f t="shared" si="73"/>
        <v>R1011</v>
      </c>
      <c r="O908" t="s">
        <v>42</v>
      </c>
    </row>
    <row r="909" spans="1:15" x14ac:dyDescent="0.35">
      <c r="A909" t="s">
        <v>940</v>
      </c>
      <c r="C909">
        <f t="shared" si="70"/>
        <v>1993</v>
      </c>
      <c r="D909">
        <v>1993</v>
      </c>
      <c r="E909" t="str">
        <f t="shared" si="74"/>
        <v>Jul</v>
      </c>
      <c r="F909" t="s">
        <v>10</v>
      </c>
      <c r="G909">
        <v>22</v>
      </c>
      <c r="H909">
        <v>0</v>
      </c>
      <c r="I909" s="21">
        <v>7388.85</v>
      </c>
      <c r="J909" t="str">
        <f t="shared" si="71"/>
        <v>tier - 2</v>
      </c>
      <c r="K909" t="s">
        <v>11</v>
      </c>
      <c r="L909" t="str">
        <f t="shared" si="72"/>
        <v>tier - 2</v>
      </c>
      <c r="M909" t="s">
        <v>11</v>
      </c>
      <c r="N909" t="str">
        <f t="shared" si="73"/>
        <v>R1026</v>
      </c>
      <c r="O909" t="s">
        <v>535</v>
      </c>
    </row>
    <row r="910" spans="1:15" x14ac:dyDescent="0.35">
      <c r="A910" t="s">
        <v>941</v>
      </c>
      <c r="C910">
        <f t="shared" si="70"/>
        <v>1965</v>
      </c>
      <c r="D910">
        <v>1965</v>
      </c>
      <c r="E910" t="str">
        <f t="shared" si="74"/>
        <v>Dec</v>
      </c>
      <c r="F910" t="s">
        <v>30</v>
      </c>
      <c r="G910">
        <v>5</v>
      </c>
      <c r="H910">
        <v>0</v>
      </c>
      <c r="I910" s="21">
        <v>7403.98</v>
      </c>
      <c r="J910" t="str">
        <f t="shared" si="71"/>
        <v>tier - 3</v>
      </c>
      <c r="K910" t="s">
        <v>12</v>
      </c>
      <c r="L910" t="str">
        <f t="shared" si="72"/>
        <v>tier - 2</v>
      </c>
      <c r="M910" t="s">
        <v>11</v>
      </c>
      <c r="N910" t="str">
        <f t="shared" si="73"/>
        <v>R1013</v>
      </c>
      <c r="O910" t="s">
        <v>13</v>
      </c>
    </row>
    <row r="911" spans="1:15" x14ac:dyDescent="0.35">
      <c r="A911" t="s">
        <v>942</v>
      </c>
      <c r="C911">
        <f t="shared" si="70"/>
        <v>1983</v>
      </c>
      <c r="D911">
        <v>1983</v>
      </c>
      <c r="E911" t="str">
        <f t="shared" si="74"/>
        <v>Sep</v>
      </c>
      <c r="F911" t="s">
        <v>20</v>
      </c>
      <c r="G911">
        <v>19</v>
      </c>
      <c r="H911">
        <v>3</v>
      </c>
      <c r="I911" s="21">
        <v>7418.52</v>
      </c>
      <c r="J911" t="str">
        <f t="shared" si="71"/>
        <v>tier - 2</v>
      </c>
      <c r="K911" t="s">
        <v>11</v>
      </c>
      <c r="L911" t="str">
        <f t="shared" si="72"/>
        <v>tier - 2</v>
      </c>
      <c r="M911" t="s">
        <v>11</v>
      </c>
      <c r="N911" t="str">
        <f t="shared" si="73"/>
        <v>R1011</v>
      </c>
      <c r="O911" t="s">
        <v>42</v>
      </c>
    </row>
    <row r="912" spans="1:15" x14ac:dyDescent="0.35">
      <c r="A912" t="s">
        <v>943</v>
      </c>
      <c r="C912">
        <f t="shared" si="70"/>
        <v>1978</v>
      </c>
      <c r="D912">
        <v>1978</v>
      </c>
      <c r="E912" t="str">
        <f t="shared" si="74"/>
        <v>Nov</v>
      </c>
      <c r="F912" t="s">
        <v>15</v>
      </c>
      <c r="G912">
        <v>12</v>
      </c>
      <c r="H912">
        <v>0</v>
      </c>
      <c r="I912" s="21">
        <v>7419.48</v>
      </c>
      <c r="J912" t="str">
        <f t="shared" si="71"/>
        <v>tier - 2</v>
      </c>
      <c r="K912" t="s">
        <v>11</v>
      </c>
      <c r="L912" t="str">
        <f t="shared" si="72"/>
        <v>tier - 2</v>
      </c>
      <c r="M912" t="s">
        <v>11</v>
      </c>
      <c r="N912" t="str">
        <f t="shared" si="73"/>
        <v>R1012</v>
      </c>
      <c r="O912" t="s">
        <v>23</v>
      </c>
    </row>
    <row r="913" spans="1:15" x14ac:dyDescent="0.35">
      <c r="A913" t="s">
        <v>944</v>
      </c>
      <c r="C913">
        <f t="shared" si="70"/>
        <v>1978</v>
      </c>
      <c r="D913">
        <v>1978</v>
      </c>
      <c r="E913" t="str">
        <f t="shared" si="74"/>
        <v>Dec</v>
      </c>
      <c r="F913" t="s">
        <v>30</v>
      </c>
      <c r="G913">
        <v>2</v>
      </c>
      <c r="H913">
        <v>0</v>
      </c>
      <c r="I913" s="21">
        <v>7421.19</v>
      </c>
      <c r="J913" t="str">
        <f t="shared" si="71"/>
        <v>tier - 2</v>
      </c>
      <c r="K913" t="s">
        <v>11</v>
      </c>
      <c r="L913" t="str">
        <f t="shared" si="72"/>
        <v>tier - 3</v>
      </c>
      <c r="M913" t="s">
        <v>12</v>
      </c>
      <c r="N913" t="str">
        <f t="shared" si="73"/>
        <v>R1012</v>
      </c>
      <c r="O913" t="s">
        <v>23</v>
      </c>
    </row>
    <row r="914" spans="1:15" x14ac:dyDescent="0.35">
      <c r="A914" t="s">
        <v>945</v>
      </c>
      <c r="C914">
        <f t="shared" si="70"/>
        <v>1977</v>
      </c>
      <c r="D914">
        <v>1977</v>
      </c>
      <c r="E914" t="str">
        <f t="shared" si="74"/>
        <v>Aug</v>
      </c>
      <c r="F914" t="s">
        <v>35</v>
      </c>
      <c r="G914">
        <v>25</v>
      </c>
      <c r="H914">
        <v>1</v>
      </c>
      <c r="I914" s="21">
        <v>7441.05</v>
      </c>
      <c r="J914" t="str">
        <f t="shared" si="71"/>
        <v>tier - 3</v>
      </c>
      <c r="K914" t="s">
        <v>12</v>
      </c>
      <c r="L914" t="str">
        <f t="shared" si="72"/>
        <v>tier - 2</v>
      </c>
      <c r="M914" t="s">
        <v>11</v>
      </c>
      <c r="N914" t="str">
        <f t="shared" si="73"/>
        <v>R1011</v>
      </c>
      <c r="O914" t="s">
        <v>42</v>
      </c>
    </row>
    <row r="915" spans="1:15" x14ac:dyDescent="0.35">
      <c r="A915" t="s">
        <v>946</v>
      </c>
      <c r="C915">
        <f t="shared" si="70"/>
        <v>1979</v>
      </c>
      <c r="D915">
        <v>1979</v>
      </c>
      <c r="E915" t="str">
        <f t="shared" si="74"/>
        <v>Sep</v>
      </c>
      <c r="F915" t="s">
        <v>20</v>
      </c>
      <c r="G915">
        <v>1</v>
      </c>
      <c r="H915">
        <v>2</v>
      </c>
      <c r="I915" s="21">
        <v>7441.5</v>
      </c>
      <c r="J915" t="str">
        <f t="shared" si="71"/>
        <v>tier - 3</v>
      </c>
      <c r="K915" t="s">
        <v>12</v>
      </c>
      <c r="L915" t="str">
        <f t="shared" si="72"/>
        <v>tier - 2</v>
      </c>
      <c r="M915" t="s">
        <v>11</v>
      </c>
      <c r="N915" t="str">
        <f t="shared" si="73"/>
        <v>R1011</v>
      </c>
      <c r="O915" t="s">
        <v>42</v>
      </c>
    </row>
    <row r="916" spans="1:15" x14ac:dyDescent="0.35">
      <c r="A916" t="s">
        <v>947</v>
      </c>
      <c r="C916">
        <f t="shared" si="70"/>
        <v>1980</v>
      </c>
      <c r="D916">
        <v>1980</v>
      </c>
      <c r="E916" t="str">
        <f t="shared" si="74"/>
        <v>Jul</v>
      </c>
      <c r="F916" t="s">
        <v>10</v>
      </c>
      <c r="G916">
        <v>7</v>
      </c>
      <c r="H916">
        <v>1</v>
      </c>
      <c r="I916" s="21">
        <v>7443.64</v>
      </c>
      <c r="J916" t="str">
        <f t="shared" si="71"/>
        <v>tier - 2</v>
      </c>
      <c r="K916" t="s">
        <v>11</v>
      </c>
      <c r="L916" t="str">
        <f t="shared" si="72"/>
        <v>tier - 3</v>
      </c>
      <c r="M916" t="s">
        <v>12</v>
      </c>
      <c r="N916" t="str">
        <f t="shared" si="73"/>
        <v>R1012</v>
      </c>
      <c r="O916" t="s">
        <v>23</v>
      </c>
    </row>
    <row r="917" spans="1:15" x14ac:dyDescent="0.35">
      <c r="A917" t="s">
        <v>948</v>
      </c>
      <c r="C917">
        <f t="shared" si="70"/>
        <v>1977</v>
      </c>
      <c r="D917">
        <v>1977</v>
      </c>
      <c r="E917" t="str">
        <f t="shared" si="74"/>
        <v>Sep</v>
      </c>
      <c r="F917" t="s">
        <v>20</v>
      </c>
      <c r="G917">
        <v>25</v>
      </c>
      <c r="H917">
        <v>1</v>
      </c>
      <c r="I917" s="21">
        <v>7445.92</v>
      </c>
      <c r="J917" t="str">
        <f t="shared" si="71"/>
        <v>tier - 3</v>
      </c>
      <c r="K917" t="s">
        <v>12</v>
      </c>
      <c r="L917" t="str">
        <f t="shared" si="72"/>
        <v>tier - 1</v>
      </c>
      <c r="M917" t="s">
        <v>16</v>
      </c>
      <c r="N917" t="str">
        <f t="shared" si="73"/>
        <v>R1011</v>
      </c>
      <c r="O917" t="s">
        <v>42</v>
      </c>
    </row>
    <row r="918" spans="1:15" x14ac:dyDescent="0.35">
      <c r="A918" t="s">
        <v>949</v>
      </c>
      <c r="C918">
        <f t="shared" si="70"/>
        <v>1977</v>
      </c>
      <c r="D918">
        <v>1977</v>
      </c>
      <c r="E918" t="str">
        <f t="shared" si="74"/>
        <v>Sep</v>
      </c>
      <c r="F918" t="s">
        <v>20</v>
      </c>
      <c r="G918">
        <v>30</v>
      </c>
      <c r="H918">
        <v>0</v>
      </c>
      <c r="I918" s="21">
        <v>7448.4</v>
      </c>
      <c r="J918" t="str">
        <f t="shared" si="71"/>
        <v>tier - 3</v>
      </c>
      <c r="K918" t="s">
        <v>12</v>
      </c>
      <c r="L918" t="str">
        <f t="shared" si="72"/>
        <v>tier - 3</v>
      </c>
      <c r="M918" t="s">
        <v>12</v>
      </c>
      <c r="N918" t="str">
        <f t="shared" si="73"/>
        <v>R1017</v>
      </c>
      <c r="O918" t="s">
        <v>356</v>
      </c>
    </row>
    <row r="919" spans="1:15" x14ac:dyDescent="0.35">
      <c r="A919" t="s">
        <v>950</v>
      </c>
      <c r="C919">
        <f t="shared" si="70"/>
        <v>2001</v>
      </c>
      <c r="D919">
        <v>2001</v>
      </c>
      <c r="E919" t="str">
        <f t="shared" si="74"/>
        <v>Jun</v>
      </c>
      <c r="F919" t="s">
        <v>18</v>
      </c>
      <c r="G919">
        <v>1</v>
      </c>
      <c r="H919">
        <v>0</v>
      </c>
      <c r="I919" s="21">
        <v>7450.36</v>
      </c>
      <c r="J919" t="str">
        <f t="shared" si="71"/>
        <v>tier - 2</v>
      </c>
      <c r="K919" t="s">
        <v>11</v>
      </c>
      <c r="L919" t="str">
        <f t="shared" si="72"/>
        <v>tier - 2</v>
      </c>
      <c r="M919" t="s">
        <v>11</v>
      </c>
      <c r="N919" t="str">
        <f t="shared" si="73"/>
        <v>R1012</v>
      </c>
      <c r="O919" t="s">
        <v>23</v>
      </c>
    </row>
    <row r="920" spans="1:15" x14ac:dyDescent="0.35">
      <c r="A920" t="s">
        <v>951</v>
      </c>
      <c r="C920">
        <f t="shared" si="70"/>
        <v>1967</v>
      </c>
      <c r="D920">
        <v>1967</v>
      </c>
      <c r="E920" t="str">
        <f t="shared" si="74"/>
        <v>Aug</v>
      </c>
      <c r="F920" t="s">
        <v>35</v>
      </c>
      <c r="G920">
        <v>4</v>
      </c>
      <c r="H920">
        <v>0</v>
      </c>
      <c r="I920" s="21">
        <v>7463.51</v>
      </c>
      <c r="J920" t="str">
        <f t="shared" si="71"/>
        <v>tier - 3</v>
      </c>
      <c r="K920" t="s">
        <v>12</v>
      </c>
      <c r="L920" t="str">
        <f t="shared" si="72"/>
        <v>tier - 3</v>
      </c>
      <c r="M920" t="s">
        <v>12</v>
      </c>
      <c r="N920" t="str">
        <f t="shared" si="73"/>
        <v>R1013</v>
      </c>
      <c r="O920" t="s">
        <v>13</v>
      </c>
    </row>
    <row r="921" spans="1:15" x14ac:dyDescent="0.35">
      <c r="A921" t="s">
        <v>952</v>
      </c>
      <c r="C921">
        <f t="shared" si="70"/>
        <v>1996</v>
      </c>
      <c r="D921">
        <v>1996</v>
      </c>
      <c r="E921" t="str">
        <f t="shared" si="74"/>
        <v>Jun</v>
      </c>
      <c r="F921" t="s">
        <v>18</v>
      </c>
      <c r="G921">
        <v>14</v>
      </c>
      <c r="H921">
        <v>0</v>
      </c>
      <c r="I921" s="21">
        <v>7487.38</v>
      </c>
      <c r="J921" t="str">
        <f t="shared" si="71"/>
        <v>tier - 2</v>
      </c>
      <c r="K921" t="s">
        <v>11</v>
      </c>
      <c r="L921" t="str">
        <f t="shared" si="72"/>
        <v>tier - 3</v>
      </c>
      <c r="M921" t="s">
        <v>12</v>
      </c>
      <c r="N921" t="str">
        <f t="shared" si="73"/>
        <v>R1012</v>
      </c>
      <c r="O921" t="s">
        <v>23</v>
      </c>
    </row>
    <row r="922" spans="1:15" x14ac:dyDescent="0.35">
      <c r="A922" t="s">
        <v>953</v>
      </c>
      <c r="C922">
        <f t="shared" si="70"/>
        <v>1988</v>
      </c>
      <c r="D922">
        <v>1988</v>
      </c>
      <c r="E922" t="str">
        <f t="shared" si="74"/>
        <v>Dec</v>
      </c>
      <c r="F922" t="s">
        <v>30</v>
      </c>
      <c r="G922">
        <v>15</v>
      </c>
      <c r="H922">
        <v>3</v>
      </c>
      <c r="I922" s="21">
        <v>7494.63</v>
      </c>
      <c r="J922" t="str">
        <f t="shared" si="71"/>
        <v>tier - 2</v>
      </c>
      <c r="K922" t="s">
        <v>11</v>
      </c>
      <c r="L922" t="str">
        <f t="shared" si="72"/>
        <v>tier - 3</v>
      </c>
      <c r="M922" t="s">
        <v>12</v>
      </c>
      <c r="N922" t="str">
        <f t="shared" si="73"/>
        <v>R1025</v>
      </c>
      <c r="O922" t="s">
        <v>200</v>
      </c>
    </row>
    <row r="923" spans="1:15" x14ac:dyDescent="0.35">
      <c r="A923" t="s">
        <v>954</v>
      </c>
      <c r="C923">
        <f t="shared" si="70"/>
        <v>1997</v>
      </c>
      <c r="D923">
        <v>1997</v>
      </c>
      <c r="E923" t="str">
        <f t="shared" si="74"/>
        <v>Oct</v>
      </c>
      <c r="F923" t="s">
        <v>37</v>
      </c>
      <c r="G923">
        <v>28</v>
      </c>
      <c r="H923">
        <v>0</v>
      </c>
      <c r="I923" s="21">
        <v>7504.3</v>
      </c>
      <c r="J923" t="str">
        <f t="shared" si="71"/>
        <v>tier - 2</v>
      </c>
      <c r="K923" t="s">
        <v>11</v>
      </c>
      <c r="L923" t="str">
        <f t="shared" si="72"/>
        <v>tier - 1</v>
      </c>
      <c r="M923" t="s">
        <v>16</v>
      </c>
      <c r="N923" t="str">
        <f t="shared" si="73"/>
        <v>R1012</v>
      </c>
      <c r="O923" t="s">
        <v>23</v>
      </c>
    </row>
    <row r="924" spans="1:15" x14ac:dyDescent="0.35">
      <c r="A924" t="s">
        <v>955</v>
      </c>
      <c r="C924">
        <f t="shared" si="70"/>
        <v>1983</v>
      </c>
      <c r="D924">
        <v>1983</v>
      </c>
      <c r="E924" t="str">
        <f t="shared" si="74"/>
        <v>Jul</v>
      </c>
      <c r="F924" t="s">
        <v>10</v>
      </c>
      <c r="G924">
        <v>10</v>
      </c>
      <c r="H924">
        <v>4</v>
      </c>
      <c r="I924" s="21">
        <v>7512.27</v>
      </c>
      <c r="J924" t="str">
        <f t="shared" si="71"/>
        <v>tier - 3</v>
      </c>
      <c r="K924" t="s">
        <v>12</v>
      </c>
      <c r="L924" t="str">
        <f t="shared" si="72"/>
        <v>tier - 2</v>
      </c>
      <c r="M924" t="s">
        <v>11</v>
      </c>
      <c r="N924" t="str">
        <f t="shared" si="73"/>
        <v>R1011</v>
      </c>
      <c r="O924" t="s">
        <v>42</v>
      </c>
    </row>
    <row r="925" spans="1:15" x14ac:dyDescent="0.35">
      <c r="A925" t="s">
        <v>956</v>
      </c>
      <c r="C925">
        <f t="shared" si="70"/>
        <v>1978</v>
      </c>
      <c r="D925">
        <v>1978</v>
      </c>
      <c r="E925" t="str">
        <f t="shared" si="74"/>
        <v>Oct</v>
      </c>
      <c r="F925" t="s">
        <v>37</v>
      </c>
      <c r="G925">
        <v>18</v>
      </c>
      <c r="H925">
        <v>1</v>
      </c>
      <c r="I925" s="21">
        <v>7518.03</v>
      </c>
      <c r="J925" t="str">
        <f t="shared" si="71"/>
        <v>tier - 2</v>
      </c>
      <c r="K925" t="s">
        <v>11</v>
      </c>
      <c r="L925" t="str">
        <f t="shared" si="72"/>
        <v>tier - 3</v>
      </c>
      <c r="M925" t="s">
        <v>12</v>
      </c>
      <c r="N925" t="str">
        <f t="shared" si="73"/>
        <v>R1012</v>
      </c>
      <c r="O925" t="s">
        <v>23</v>
      </c>
    </row>
    <row r="926" spans="1:15" x14ac:dyDescent="0.35">
      <c r="A926" t="s">
        <v>957</v>
      </c>
      <c r="C926">
        <f t="shared" si="70"/>
        <v>1976</v>
      </c>
      <c r="D926">
        <v>1976</v>
      </c>
      <c r="E926" t="str">
        <f t="shared" si="74"/>
        <v>Oct</v>
      </c>
      <c r="F926" t="s">
        <v>37</v>
      </c>
      <c r="G926">
        <v>10</v>
      </c>
      <c r="H926">
        <v>0</v>
      </c>
      <c r="I926" s="21">
        <v>7526.71</v>
      </c>
      <c r="J926" t="str">
        <f t="shared" si="71"/>
        <v>tier - 3</v>
      </c>
      <c r="K926" t="s">
        <v>12</v>
      </c>
      <c r="L926" t="str">
        <f t="shared" si="72"/>
        <v>tier - 1</v>
      </c>
      <c r="M926" t="s">
        <v>16</v>
      </c>
      <c r="N926" t="str">
        <f t="shared" si="73"/>
        <v>R1012</v>
      </c>
      <c r="O926" t="s">
        <v>23</v>
      </c>
    </row>
    <row r="927" spans="1:15" x14ac:dyDescent="0.35">
      <c r="A927" t="s">
        <v>958</v>
      </c>
      <c r="C927">
        <f t="shared" si="70"/>
        <v>1978</v>
      </c>
      <c r="D927">
        <v>1978</v>
      </c>
      <c r="E927" t="str">
        <f t="shared" si="74"/>
        <v>Dec</v>
      </c>
      <c r="F927" t="s">
        <v>30</v>
      </c>
      <c r="G927">
        <v>14</v>
      </c>
      <c r="H927">
        <v>2</v>
      </c>
      <c r="I927" s="21">
        <v>7531.7</v>
      </c>
      <c r="J927" t="str">
        <f t="shared" si="71"/>
        <v>tier - 2</v>
      </c>
      <c r="K927" t="s">
        <v>11</v>
      </c>
      <c r="L927" t="str">
        <f t="shared" si="72"/>
        <v>tier - 1</v>
      </c>
      <c r="M927" t="s">
        <v>16</v>
      </c>
      <c r="N927" t="str">
        <f t="shared" si="73"/>
        <v>R1013</v>
      </c>
      <c r="O927" t="s">
        <v>13</v>
      </c>
    </row>
    <row r="928" spans="1:15" x14ac:dyDescent="0.35">
      <c r="A928" t="s">
        <v>959</v>
      </c>
      <c r="C928">
        <f t="shared" si="70"/>
        <v>1984</v>
      </c>
      <c r="D928">
        <v>1984</v>
      </c>
      <c r="E928" t="str">
        <f t="shared" si="74"/>
        <v>Aug</v>
      </c>
      <c r="F928" t="s">
        <v>35</v>
      </c>
      <c r="G928">
        <v>22</v>
      </c>
      <c r="H928">
        <v>3</v>
      </c>
      <c r="I928" s="21">
        <v>7537.16</v>
      </c>
      <c r="J928" t="str">
        <f t="shared" si="71"/>
        <v>tier - 2</v>
      </c>
      <c r="K928" t="s">
        <v>11</v>
      </c>
      <c r="L928" t="str">
        <f t="shared" si="72"/>
        <v>tier - 2</v>
      </c>
      <c r="M928" t="s">
        <v>11</v>
      </c>
      <c r="N928" t="str">
        <f t="shared" si="73"/>
        <v>R1012</v>
      </c>
      <c r="O928" t="s">
        <v>23</v>
      </c>
    </row>
    <row r="929" spans="1:15" x14ac:dyDescent="0.35">
      <c r="A929" t="s">
        <v>960</v>
      </c>
      <c r="C929">
        <f t="shared" si="70"/>
        <v>1988</v>
      </c>
      <c r="D929">
        <v>1988</v>
      </c>
      <c r="E929" t="str">
        <f t="shared" si="74"/>
        <v>Dec</v>
      </c>
      <c r="F929" t="s">
        <v>30</v>
      </c>
      <c r="G929">
        <v>15</v>
      </c>
      <c r="H929">
        <v>3</v>
      </c>
      <c r="I929" s="21">
        <v>7538.52</v>
      </c>
      <c r="J929" t="str">
        <f t="shared" si="71"/>
        <v>tier - 2</v>
      </c>
      <c r="K929" t="s">
        <v>11</v>
      </c>
      <c r="L929" t="str">
        <f t="shared" si="72"/>
        <v>tier - 2</v>
      </c>
      <c r="M929" t="s">
        <v>11</v>
      </c>
      <c r="N929" t="str">
        <f t="shared" si="73"/>
        <v>R1012</v>
      </c>
      <c r="O929" t="s">
        <v>23</v>
      </c>
    </row>
    <row r="930" spans="1:15" x14ac:dyDescent="0.35">
      <c r="A930" t="s">
        <v>961</v>
      </c>
      <c r="C930">
        <f t="shared" si="70"/>
        <v>1994</v>
      </c>
      <c r="D930">
        <v>1994</v>
      </c>
      <c r="E930" t="str">
        <f t="shared" si="74"/>
        <v>Aug</v>
      </c>
      <c r="F930" t="s">
        <v>35</v>
      </c>
      <c r="G930">
        <v>14</v>
      </c>
      <c r="H930">
        <v>0</v>
      </c>
      <c r="I930" s="21">
        <v>7567.13</v>
      </c>
      <c r="J930" t="str">
        <f t="shared" si="71"/>
        <v>tier - 2</v>
      </c>
      <c r="K930" t="s">
        <v>11</v>
      </c>
      <c r="L930" t="str">
        <f t="shared" si="72"/>
        <v>tier - 2</v>
      </c>
      <c r="M930" t="s">
        <v>11</v>
      </c>
      <c r="N930" t="str">
        <f t="shared" si="73"/>
        <v>R1021</v>
      </c>
      <c r="O930" t="s">
        <v>300</v>
      </c>
    </row>
    <row r="931" spans="1:15" x14ac:dyDescent="0.35">
      <c r="A931" t="s">
        <v>962</v>
      </c>
      <c r="C931">
        <f t="shared" si="70"/>
        <v>1967</v>
      </c>
      <c r="D931">
        <v>1967</v>
      </c>
      <c r="E931" t="str">
        <f t="shared" si="74"/>
        <v>Jul</v>
      </c>
      <c r="F931" t="s">
        <v>10</v>
      </c>
      <c r="G931">
        <v>17</v>
      </c>
      <c r="H931">
        <v>0</v>
      </c>
      <c r="I931" s="21">
        <v>7585.62</v>
      </c>
      <c r="J931" t="str">
        <f t="shared" si="71"/>
        <v>tier - 3</v>
      </c>
      <c r="K931" t="s">
        <v>12</v>
      </c>
      <c r="L931" t="str">
        <f t="shared" si="72"/>
        <v>tier - 2</v>
      </c>
      <c r="M931" t="s">
        <v>11</v>
      </c>
      <c r="N931" t="str">
        <f t="shared" si="73"/>
        <v>R1013</v>
      </c>
      <c r="O931" t="s">
        <v>13</v>
      </c>
    </row>
    <row r="932" spans="1:15" x14ac:dyDescent="0.35">
      <c r="A932" t="s">
        <v>963</v>
      </c>
      <c r="C932">
        <f t="shared" si="70"/>
        <v>1997</v>
      </c>
      <c r="D932">
        <v>1997</v>
      </c>
      <c r="E932" t="str">
        <f t="shared" si="74"/>
        <v>Sep</v>
      </c>
      <c r="F932" t="s">
        <v>20</v>
      </c>
      <c r="G932">
        <v>30</v>
      </c>
      <c r="H932">
        <v>0</v>
      </c>
      <c r="I932" s="21">
        <v>7607.03</v>
      </c>
      <c r="J932" t="str">
        <f t="shared" si="71"/>
        <v>tier - 2</v>
      </c>
      <c r="K932" t="s">
        <v>11</v>
      </c>
      <c r="L932" t="str">
        <f t="shared" si="72"/>
        <v>tier - 2</v>
      </c>
      <c r="M932" t="s">
        <v>11</v>
      </c>
      <c r="N932" t="str">
        <f t="shared" si="73"/>
        <v>R1012</v>
      </c>
      <c r="O932" t="s">
        <v>23</v>
      </c>
    </row>
    <row r="933" spans="1:15" x14ac:dyDescent="0.35">
      <c r="A933" t="s">
        <v>964</v>
      </c>
      <c r="C933">
        <f t="shared" si="70"/>
        <v>1968</v>
      </c>
      <c r="D933">
        <v>1968</v>
      </c>
      <c r="E933" t="str">
        <f t="shared" si="74"/>
        <v>Jul</v>
      </c>
      <c r="F933" t="s">
        <v>10</v>
      </c>
      <c r="G933">
        <v>3</v>
      </c>
      <c r="H933">
        <v>0</v>
      </c>
      <c r="I933" s="21">
        <v>7609.6</v>
      </c>
      <c r="J933" t="str">
        <f t="shared" si="71"/>
        <v>tier - 3</v>
      </c>
      <c r="K933" t="s">
        <v>12</v>
      </c>
      <c r="L933" t="str">
        <f t="shared" si="72"/>
        <v>tier - 2</v>
      </c>
      <c r="M933" t="s">
        <v>11</v>
      </c>
      <c r="N933" t="str">
        <f t="shared" si="73"/>
        <v>R1012</v>
      </c>
      <c r="O933" t="s">
        <v>23</v>
      </c>
    </row>
    <row r="934" spans="1:15" x14ac:dyDescent="0.35">
      <c r="A934" t="s">
        <v>965</v>
      </c>
      <c r="C934">
        <f t="shared" si="70"/>
        <v>1996</v>
      </c>
      <c r="D934">
        <v>1996</v>
      </c>
      <c r="E934" t="str">
        <f t="shared" si="74"/>
        <v>Sep</v>
      </c>
      <c r="F934" t="s">
        <v>20</v>
      </c>
      <c r="G934">
        <v>17</v>
      </c>
      <c r="H934">
        <v>0</v>
      </c>
      <c r="I934" s="21">
        <v>7623.13</v>
      </c>
      <c r="J934" t="str">
        <f t="shared" si="71"/>
        <v>tier - 2</v>
      </c>
      <c r="K934" t="s">
        <v>11</v>
      </c>
      <c r="L934" t="str">
        <f t="shared" si="72"/>
        <v>tier - 3</v>
      </c>
      <c r="M934" t="s">
        <v>12</v>
      </c>
      <c r="N934" t="str">
        <f t="shared" si="73"/>
        <v>R1011</v>
      </c>
      <c r="O934" t="s">
        <v>42</v>
      </c>
    </row>
    <row r="935" spans="1:15" x14ac:dyDescent="0.35">
      <c r="A935" t="s">
        <v>966</v>
      </c>
      <c r="C935">
        <f t="shared" si="70"/>
        <v>1978</v>
      </c>
      <c r="D935">
        <v>1978</v>
      </c>
      <c r="E935" t="str">
        <f t="shared" si="74"/>
        <v>Nov</v>
      </c>
      <c r="F935" t="s">
        <v>15</v>
      </c>
      <c r="G935">
        <v>28</v>
      </c>
      <c r="H935">
        <v>1</v>
      </c>
      <c r="I935" s="21">
        <v>7623.52</v>
      </c>
      <c r="J935" t="str">
        <f t="shared" si="71"/>
        <v>tier - 2</v>
      </c>
      <c r="K935" t="s">
        <v>11</v>
      </c>
      <c r="L935" t="str">
        <f t="shared" si="72"/>
        <v>tier - 1</v>
      </c>
      <c r="M935" t="s">
        <v>16</v>
      </c>
      <c r="N935" t="str">
        <f t="shared" si="73"/>
        <v>R1011</v>
      </c>
      <c r="O935" t="s">
        <v>42</v>
      </c>
    </row>
    <row r="936" spans="1:15" x14ac:dyDescent="0.35">
      <c r="A936" t="s">
        <v>967</v>
      </c>
      <c r="C936">
        <f t="shared" si="70"/>
        <v>1978</v>
      </c>
      <c r="D936">
        <v>1978</v>
      </c>
      <c r="E936" t="str">
        <f t="shared" si="74"/>
        <v>Nov</v>
      </c>
      <c r="F936" t="s">
        <v>15</v>
      </c>
      <c r="G936">
        <v>6</v>
      </c>
      <c r="H936">
        <v>1</v>
      </c>
      <c r="I936" s="21">
        <v>7624.63</v>
      </c>
      <c r="J936" t="str">
        <f t="shared" si="71"/>
        <v>tier - 2</v>
      </c>
      <c r="K936" t="s">
        <v>11</v>
      </c>
      <c r="L936" t="str">
        <f t="shared" si="72"/>
        <v>tier - 1</v>
      </c>
      <c r="M936" t="s">
        <v>16</v>
      </c>
      <c r="N936" t="str">
        <f t="shared" si="73"/>
        <v>R1011</v>
      </c>
      <c r="O936" t="s">
        <v>42</v>
      </c>
    </row>
    <row r="937" spans="1:15" x14ac:dyDescent="0.35">
      <c r="A937" t="s">
        <v>968</v>
      </c>
      <c r="C937">
        <f t="shared" si="70"/>
        <v>1978</v>
      </c>
      <c r="D937">
        <v>1978</v>
      </c>
      <c r="E937" t="str">
        <f t="shared" si="74"/>
        <v>Nov</v>
      </c>
      <c r="F937" t="s">
        <v>15</v>
      </c>
      <c r="G937">
        <v>29</v>
      </c>
      <c r="H937">
        <v>1</v>
      </c>
      <c r="I937" s="21">
        <v>7626.99</v>
      </c>
      <c r="J937" t="str">
        <f t="shared" si="71"/>
        <v>tier - 2</v>
      </c>
      <c r="K937" t="s">
        <v>11</v>
      </c>
      <c r="L937" t="str">
        <f t="shared" si="72"/>
        <v>tier - 2</v>
      </c>
      <c r="M937" t="s">
        <v>11</v>
      </c>
      <c r="N937" t="str">
        <f t="shared" si="73"/>
        <v>R1011</v>
      </c>
      <c r="O937" t="s">
        <v>42</v>
      </c>
    </row>
    <row r="938" spans="1:15" x14ac:dyDescent="0.35">
      <c r="A938" t="s">
        <v>969</v>
      </c>
      <c r="C938">
        <f t="shared" si="70"/>
        <v>1978</v>
      </c>
      <c r="D938">
        <v>1978</v>
      </c>
      <c r="E938" t="str">
        <f t="shared" si="74"/>
        <v>Aug</v>
      </c>
      <c r="F938" t="s">
        <v>35</v>
      </c>
      <c r="G938">
        <v>24</v>
      </c>
      <c r="H938">
        <v>1</v>
      </c>
      <c r="I938" s="21">
        <v>7633.72</v>
      </c>
      <c r="J938" t="str">
        <f t="shared" si="71"/>
        <v>tier - 2</v>
      </c>
      <c r="K938" t="s">
        <v>11</v>
      </c>
      <c r="L938" t="str">
        <f t="shared" si="72"/>
        <v>tier - 1</v>
      </c>
      <c r="M938" t="s">
        <v>16</v>
      </c>
      <c r="N938" t="str">
        <f t="shared" si="73"/>
        <v>R1013</v>
      </c>
      <c r="O938" t="s">
        <v>13</v>
      </c>
    </row>
    <row r="939" spans="1:15" x14ac:dyDescent="0.35">
      <c r="A939" t="s">
        <v>970</v>
      </c>
      <c r="C939">
        <f t="shared" si="70"/>
        <v>2001</v>
      </c>
      <c r="D939">
        <v>2001</v>
      </c>
      <c r="E939" t="str">
        <f t="shared" si="74"/>
        <v>Dec</v>
      </c>
      <c r="F939" t="s">
        <v>30</v>
      </c>
      <c r="G939">
        <v>13</v>
      </c>
      <c r="H939">
        <v>0</v>
      </c>
      <c r="I939" s="21">
        <v>7636.92</v>
      </c>
      <c r="J939" t="str">
        <f t="shared" si="71"/>
        <v>tier - 2</v>
      </c>
      <c r="K939" t="s">
        <v>11</v>
      </c>
      <c r="L939" t="str">
        <f t="shared" si="72"/>
        <v>tier - 3</v>
      </c>
      <c r="M939" t="s">
        <v>12</v>
      </c>
      <c r="N939" t="str">
        <f t="shared" si="73"/>
        <v>R1012</v>
      </c>
      <c r="O939" t="s">
        <v>23</v>
      </c>
    </row>
    <row r="940" spans="1:15" x14ac:dyDescent="0.35">
      <c r="A940" t="s">
        <v>971</v>
      </c>
      <c r="C940">
        <f t="shared" si="70"/>
        <v>1980</v>
      </c>
      <c r="D940">
        <v>1980</v>
      </c>
      <c r="E940" t="str">
        <f t="shared" si="74"/>
        <v>Jun</v>
      </c>
      <c r="F940" t="s">
        <v>18</v>
      </c>
      <c r="G940">
        <v>20</v>
      </c>
      <c r="H940">
        <v>1</v>
      </c>
      <c r="I940" s="21">
        <v>7639.42</v>
      </c>
      <c r="J940" t="str">
        <f t="shared" si="71"/>
        <v>tier - 2</v>
      </c>
      <c r="K940" t="s">
        <v>11</v>
      </c>
      <c r="L940" t="str">
        <f t="shared" si="72"/>
        <v>tier - 2</v>
      </c>
      <c r="M940" t="s">
        <v>11</v>
      </c>
      <c r="N940" t="str">
        <f t="shared" si="73"/>
        <v>R1024</v>
      </c>
      <c r="O940" t="s">
        <v>247</v>
      </c>
    </row>
    <row r="941" spans="1:15" x14ac:dyDescent="0.35">
      <c r="A941" t="s">
        <v>972</v>
      </c>
      <c r="C941">
        <f t="shared" si="70"/>
        <v>1980</v>
      </c>
      <c r="D941">
        <v>1980</v>
      </c>
      <c r="E941" t="str">
        <f t="shared" si="74"/>
        <v>Jul</v>
      </c>
      <c r="F941" t="s">
        <v>10</v>
      </c>
      <c r="G941">
        <v>24</v>
      </c>
      <c r="H941">
        <v>2</v>
      </c>
      <c r="I941" s="21">
        <v>7640.31</v>
      </c>
      <c r="J941" t="str">
        <f t="shared" si="71"/>
        <v>tier - 2</v>
      </c>
      <c r="K941" t="s">
        <v>11</v>
      </c>
      <c r="L941" t="str">
        <f t="shared" si="72"/>
        <v>tier - 1</v>
      </c>
      <c r="M941" t="s">
        <v>16</v>
      </c>
      <c r="N941" t="str">
        <f t="shared" si="73"/>
        <v>R1013</v>
      </c>
      <c r="O941" t="s">
        <v>13</v>
      </c>
    </row>
    <row r="942" spans="1:15" x14ac:dyDescent="0.35">
      <c r="A942" t="s">
        <v>973</v>
      </c>
      <c r="C942">
        <f t="shared" si="70"/>
        <v>1999</v>
      </c>
      <c r="D942">
        <v>1999</v>
      </c>
      <c r="E942" t="str">
        <f t="shared" si="74"/>
        <v>Jun</v>
      </c>
      <c r="F942" t="s">
        <v>18</v>
      </c>
      <c r="G942">
        <v>15</v>
      </c>
      <c r="H942">
        <v>0</v>
      </c>
      <c r="I942" s="21">
        <v>7642.05</v>
      </c>
      <c r="J942" t="str">
        <f t="shared" si="71"/>
        <v>tier - 2</v>
      </c>
      <c r="K942" t="s">
        <v>11</v>
      </c>
      <c r="L942" t="str">
        <f t="shared" si="72"/>
        <v>tier - 2</v>
      </c>
      <c r="M942" t="s">
        <v>11</v>
      </c>
      <c r="N942" t="str">
        <f t="shared" si="73"/>
        <v>R1026</v>
      </c>
      <c r="O942" t="s">
        <v>535</v>
      </c>
    </row>
    <row r="943" spans="1:15" x14ac:dyDescent="0.35">
      <c r="A943" t="s">
        <v>974</v>
      </c>
      <c r="C943">
        <f t="shared" si="70"/>
        <v>1980</v>
      </c>
      <c r="D943">
        <v>1980</v>
      </c>
      <c r="E943" t="str">
        <f t="shared" si="74"/>
        <v>Oct</v>
      </c>
      <c r="F943" t="s">
        <v>37</v>
      </c>
      <c r="G943">
        <v>16</v>
      </c>
      <c r="H943">
        <v>1</v>
      </c>
      <c r="I943" s="21">
        <v>7650.77</v>
      </c>
      <c r="J943" t="str">
        <f t="shared" si="71"/>
        <v>tier - 2</v>
      </c>
      <c r="K943" t="s">
        <v>11</v>
      </c>
      <c r="L943" t="str">
        <f t="shared" si="72"/>
        <v>tier - 2</v>
      </c>
      <c r="M943" t="s">
        <v>11</v>
      </c>
      <c r="N943" t="str">
        <f t="shared" si="73"/>
        <v>R1024</v>
      </c>
      <c r="O943" t="s">
        <v>247</v>
      </c>
    </row>
    <row r="944" spans="1:15" x14ac:dyDescent="0.35">
      <c r="A944" t="s">
        <v>975</v>
      </c>
      <c r="C944">
        <f t="shared" si="70"/>
        <v>1993</v>
      </c>
      <c r="D944">
        <v>1993</v>
      </c>
      <c r="E944" t="str">
        <f t="shared" si="74"/>
        <v>Aug</v>
      </c>
      <c r="F944" t="s">
        <v>35</v>
      </c>
      <c r="G944">
        <v>10</v>
      </c>
      <c r="H944">
        <v>0</v>
      </c>
      <c r="I944" s="21">
        <v>7650.8</v>
      </c>
      <c r="J944" t="str">
        <f t="shared" si="71"/>
        <v>tier - 2</v>
      </c>
      <c r="K944" t="s">
        <v>11</v>
      </c>
      <c r="L944" t="str">
        <f t="shared" si="72"/>
        <v>tier - 2</v>
      </c>
      <c r="M944" t="s">
        <v>11</v>
      </c>
      <c r="N944" t="str">
        <f t="shared" si="73"/>
        <v>R1012</v>
      </c>
      <c r="O944" t="s">
        <v>23</v>
      </c>
    </row>
    <row r="945" spans="1:15" x14ac:dyDescent="0.35">
      <c r="A945" t="s">
        <v>976</v>
      </c>
      <c r="C945">
        <f t="shared" si="70"/>
        <v>1998</v>
      </c>
      <c r="D945">
        <v>1998</v>
      </c>
      <c r="E945" t="str">
        <f t="shared" si="74"/>
        <v>Sep</v>
      </c>
      <c r="F945" t="s">
        <v>20</v>
      </c>
      <c r="G945">
        <v>30</v>
      </c>
      <c r="H945">
        <v>0</v>
      </c>
      <c r="I945" s="21">
        <v>7652.26</v>
      </c>
      <c r="J945" t="str">
        <f t="shared" si="71"/>
        <v>tier - 2</v>
      </c>
      <c r="K945" t="s">
        <v>11</v>
      </c>
      <c r="L945" t="str">
        <f t="shared" si="72"/>
        <v>tier - 3</v>
      </c>
      <c r="M945" t="s">
        <v>12</v>
      </c>
      <c r="N945" t="str">
        <f t="shared" si="73"/>
        <v>R1023</v>
      </c>
      <c r="O945" t="s">
        <v>249</v>
      </c>
    </row>
    <row r="946" spans="1:15" x14ac:dyDescent="0.35">
      <c r="A946" t="s">
        <v>977</v>
      </c>
      <c r="C946">
        <f t="shared" si="70"/>
        <v>1965</v>
      </c>
      <c r="D946">
        <v>1965</v>
      </c>
      <c r="E946" t="str">
        <f t="shared" si="74"/>
        <v>Dec</v>
      </c>
      <c r="F946" t="s">
        <v>30</v>
      </c>
      <c r="G946">
        <v>27</v>
      </c>
      <c r="H946">
        <v>0</v>
      </c>
      <c r="I946" s="21">
        <v>7657.69</v>
      </c>
      <c r="J946" t="str">
        <f t="shared" si="71"/>
        <v>tier - 3</v>
      </c>
      <c r="K946" t="s">
        <v>12</v>
      </c>
      <c r="L946" t="str">
        <f t="shared" si="72"/>
        <v>tier - 3</v>
      </c>
      <c r="M946" t="s">
        <v>12</v>
      </c>
      <c r="N946" t="str">
        <f t="shared" si="73"/>
        <v>R1012</v>
      </c>
      <c r="O946" t="s">
        <v>23</v>
      </c>
    </row>
    <row r="947" spans="1:15" x14ac:dyDescent="0.35">
      <c r="A947" t="s">
        <v>978</v>
      </c>
      <c r="C947">
        <f t="shared" si="70"/>
        <v>1976</v>
      </c>
      <c r="D947">
        <v>1976</v>
      </c>
      <c r="E947" t="str">
        <f t="shared" si="74"/>
        <v>Oct</v>
      </c>
      <c r="F947" t="s">
        <v>37</v>
      </c>
      <c r="G947">
        <v>9</v>
      </c>
      <c r="H947">
        <v>2</v>
      </c>
      <c r="I947" s="21">
        <v>7662.47</v>
      </c>
      <c r="J947" t="str">
        <f t="shared" si="71"/>
        <v>tier - 2</v>
      </c>
      <c r="K947" t="s">
        <v>11</v>
      </c>
      <c r="L947" t="str">
        <f t="shared" si="72"/>
        <v>tier - 1</v>
      </c>
      <c r="M947" t="s">
        <v>16</v>
      </c>
      <c r="N947" t="str">
        <f t="shared" si="73"/>
        <v>R1011</v>
      </c>
      <c r="O947" t="s">
        <v>42</v>
      </c>
    </row>
    <row r="948" spans="1:15" x14ac:dyDescent="0.35">
      <c r="A948" t="s">
        <v>979</v>
      </c>
      <c r="C948">
        <f t="shared" si="70"/>
        <v>1996</v>
      </c>
      <c r="D948">
        <v>1996</v>
      </c>
      <c r="E948" t="str">
        <f t="shared" si="74"/>
        <v>Nov</v>
      </c>
      <c r="F948" t="s">
        <v>15</v>
      </c>
      <c r="G948">
        <v>24</v>
      </c>
      <c r="H948">
        <v>0</v>
      </c>
      <c r="I948" s="21">
        <v>7670.75</v>
      </c>
      <c r="J948" t="str">
        <f t="shared" si="71"/>
        <v>tier - 2</v>
      </c>
      <c r="K948" t="s">
        <v>11</v>
      </c>
      <c r="L948" t="str">
        <f t="shared" si="72"/>
        <v>tier - 2</v>
      </c>
      <c r="M948" t="s">
        <v>11</v>
      </c>
      <c r="N948" t="str">
        <f t="shared" si="73"/>
        <v>R1022</v>
      </c>
      <c r="O948" t="s">
        <v>632</v>
      </c>
    </row>
    <row r="949" spans="1:15" x14ac:dyDescent="0.35">
      <c r="A949" t="s">
        <v>980</v>
      </c>
      <c r="C949">
        <f t="shared" si="70"/>
        <v>1995</v>
      </c>
      <c r="D949">
        <v>1995</v>
      </c>
      <c r="E949" t="str">
        <f t="shared" si="74"/>
        <v>Sep</v>
      </c>
      <c r="F949" t="s">
        <v>20</v>
      </c>
      <c r="G949">
        <v>13</v>
      </c>
      <c r="H949">
        <v>0</v>
      </c>
      <c r="I949" s="21">
        <v>7676.4</v>
      </c>
      <c r="J949" t="str">
        <f t="shared" si="71"/>
        <v>tier - 2</v>
      </c>
      <c r="K949" t="s">
        <v>11</v>
      </c>
      <c r="L949" t="str">
        <f t="shared" si="72"/>
        <v>tier - 1</v>
      </c>
      <c r="M949" t="s">
        <v>16</v>
      </c>
      <c r="N949" t="str">
        <f t="shared" si="73"/>
        <v>R1012</v>
      </c>
      <c r="O949" t="s">
        <v>23</v>
      </c>
    </row>
    <row r="950" spans="1:15" x14ac:dyDescent="0.35">
      <c r="A950" t="s">
        <v>981</v>
      </c>
      <c r="C950">
        <f t="shared" si="70"/>
        <v>1971</v>
      </c>
      <c r="D950">
        <v>1971</v>
      </c>
      <c r="E950" t="str">
        <f t="shared" si="74"/>
        <v>Oct</v>
      </c>
      <c r="F950" t="s">
        <v>37</v>
      </c>
      <c r="G950">
        <v>11</v>
      </c>
      <c r="H950">
        <v>0</v>
      </c>
      <c r="I950" s="21">
        <v>7680.92</v>
      </c>
      <c r="J950" t="str">
        <f t="shared" si="71"/>
        <v>tier - 2</v>
      </c>
      <c r="K950" t="s">
        <v>11</v>
      </c>
      <c r="L950" t="str">
        <f t="shared" si="72"/>
        <v>tier - 1</v>
      </c>
      <c r="M950" t="s">
        <v>16</v>
      </c>
      <c r="N950" t="str">
        <f t="shared" si="73"/>
        <v>R1013</v>
      </c>
      <c r="O950" t="s">
        <v>13</v>
      </c>
    </row>
    <row r="951" spans="1:15" x14ac:dyDescent="0.35">
      <c r="A951" t="s">
        <v>982</v>
      </c>
      <c r="C951">
        <f t="shared" si="70"/>
        <v>1981</v>
      </c>
      <c r="D951">
        <v>1981</v>
      </c>
      <c r="E951" t="str">
        <f t="shared" si="74"/>
        <v>Dec</v>
      </c>
      <c r="F951" t="s">
        <v>30</v>
      </c>
      <c r="G951">
        <v>19</v>
      </c>
      <c r="H951">
        <v>1</v>
      </c>
      <c r="I951" s="21">
        <v>7681.17</v>
      </c>
      <c r="J951" t="str">
        <f t="shared" si="71"/>
        <v>tier - 2</v>
      </c>
      <c r="K951" t="s">
        <v>11</v>
      </c>
      <c r="L951" t="str">
        <f t="shared" si="72"/>
        <v>tier - 2</v>
      </c>
      <c r="M951" t="s">
        <v>11</v>
      </c>
      <c r="N951" t="str">
        <f t="shared" si="73"/>
        <v>R1020</v>
      </c>
      <c r="O951" t="s">
        <v>516</v>
      </c>
    </row>
    <row r="952" spans="1:15" x14ac:dyDescent="0.35">
      <c r="A952" t="s">
        <v>983</v>
      </c>
      <c r="C952">
        <f t="shared" si="70"/>
        <v>1982</v>
      </c>
      <c r="D952">
        <v>1982</v>
      </c>
      <c r="E952" t="str">
        <f t="shared" si="74"/>
        <v>Dec</v>
      </c>
      <c r="F952" t="s">
        <v>30</v>
      </c>
      <c r="G952">
        <v>18</v>
      </c>
      <c r="H952">
        <v>3</v>
      </c>
      <c r="I952" s="21">
        <v>7682.67</v>
      </c>
      <c r="J952" t="str">
        <f t="shared" si="71"/>
        <v>tier - 2</v>
      </c>
      <c r="K952" t="s">
        <v>11</v>
      </c>
      <c r="L952" t="str">
        <f t="shared" si="72"/>
        <v>tier - 1</v>
      </c>
      <c r="M952" t="s">
        <v>16</v>
      </c>
      <c r="N952" t="str">
        <f t="shared" si="73"/>
        <v>R1013</v>
      </c>
      <c r="O952" t="s">
        <v>13</v>
      </c>
    </row>
    <row r="953" spans="1:15" x14ac:dyDescent="0.35">
      <c r="A953" t="s">
        <v>984</v>
      </c>
      <c r="C953">
        <f t="shared" si="70"/>
        <v>1987</v>
      </c>
      <c r="D953">
        <v>1987</v>
      </c>
      <c r="E953" t="str">
        <f t="shared" si="74"/>
        <v>Jul</v>
      </c>
      <c r="F953" t="s">
        <v>10</v>
      </c>
      <c r="G953">
        <v>12</v>
      </c>
      <c r="H953">
        <v>3</v>
      </c>
      <c r="I953" s="21">
        <v>7684.62</v>
      </c>
      <c r="J953" t="str">
        <f t="shared" si="71"/>
        <v>tier - 2</v>
      </c>
      <c r="K953" t="s">
        <v>11</v>
      </c>
      <c r="L953" t="str">
        <f t="shared" si="72"/>
        <v>tier - 3</v>
      </c>
      <c r="M953" t="s">
        <v>12</v>
      </c>
      <c r="N953" t="str">
        <f t="shared" si="73"/>
        <v>R1021</v>
      </c>
      <c r="O953" t="s">
        <v>300</v>
      </c>
    </row>
    <row r="954" spans="1:15" x14ac:dyDescent="0.35">
      <c r="A954" t="s">
        <v>985</v>
      </c>
      <c r="C954">
        <f t="shared" si="70"/>
        <v>1978</v>
      </c>
      <c r="D954">
        <v>1978</v>
      </c>
      <c r="E954" t="str">
        <f t="shared" si="74"/>
        <v>Dec</v>
      </c>
      <c r="F954" t="s">
        <v>30</v>
      </c>
      <c r="G954">
        <v>29</v>
      </c>
      <c r="H954">
        <v>2</v>
      </c>
      <c r="I954" s="21">
        <v>7726.85</v>
      </c>
      <c r="J954" t="str">
        <f t="shared" si="71"/>
        <v>tier - 1</v>
      </c>
      <c r="K954" t="s">
        <v>16</v>
      </c>
      <c r="L954" t="str">
        <f t="shared" si="72"/>
        <v>tier - 2</v>
      </c>
      <c r="M954" t="s">
        <v>11</v>
      </c>
      <c r="N954" t="str">
        <f t="shared" si="73"/>
        <v>R1011</v>
      </c>
      <c r="O954" t="s">
        <v>42</v>
      </c>
    </row>
    <row r="955" spans="1:15" x14ac:dyDescent="0.35">
      <c r="A955" t="s">
        <v>986</v>
      </c>
      <c r="C955">
        <f t="shared" si="70"/>
        <v>1979</v>
      </c>
      <c r="D955">
        <v>1979</v>
      </c>
      <c r="E955" t="str">
        <f t="shared" si="74"/>
        <v>Jun</v>
      </c>
      <c r="F955" t="s">
        <v>18</v>
      </c>
      <c r="G955">
        <v>2</v>
      </c>
      <c r="H955">
        <v>1</v>
      </c>
      <c r="I955" s="21">
        <v>7727.25</v>
      </c>
      <c r="J955" t="str">
        <f t="shared" si="71"/>
        <v>tier - 2</v>
      </c>
      <c r="K955" t="s">
        <v>11</v>
      </c>
      <c r="L955" t="str">
        <f t="shared" si="72"/>
        <v>tier - 3</v>
      </c>
      <c r="M955" t="s">
        <v>12</v>
      </c>
      <c r="N955" t="str">
        <f t="shared" si="73"/>
        <v>R1012</v>
      </c>
      <c r="O955" t="s">
        <v>23</v>
      </c>
    </row>
    <row r="956" spans="1:15" x14ac:dyDescent="0.35">
      <c r="A956" t="s">
        <v>987</v>
      </c>
      <c r="C956">
        <f t="shared" si="70"/>
        <v>1980</v>
      </c>
      <c r="D956">
        <v>1980</v>
      </c>
      <c r="E956" t="str">
        <f t="shared" si="74"/>
        <v>Sep</v>
      </c>
      <c r="F956" t="s">
        <v>20</v>
      </c>
      <c r="G956">
        <v>10</v>
      </c>
      <c r="H956">
        <v>2</v>
      </c>
      <c r="I956" s="21">
        <v>7729.65</v>
      </c>
      <c r="J956" t="str">
        <f t="shared" si="71"/>
        <v>tier - 3</v>
      </c>
      <c r="K956" t="s">
        <v>12</v>
      </c>
      <c r="L956" t="str">
        <f t="shared" si="72"/>
        <v>tier - 1</v>
      </c>
      <c r="M956" t="s">
        <v>16</v>
      </c>
      <c r="N956" t="str">
        <f t="shared" si="73"/>
        <v>R1016</v>
      </c>
      <c r="O956" t="s">
        <v>168</v>
      </c>
    </row>
    <row r="957" spans="1:15" x14ac:dyDescent="0.35">
      <c r="A957" t="s">
        <v>988</v>
      </c>
      <c r="C957">
        <f t="shared" si="70"/>
        <v>1978</v>
      </c>
      <c r="D957">
        <v>1978</v>
      </c>
      <c r="E957" t="str">
        <f t="shared" si="74"/>
        <v>Dec</v>
      </c>
      <c r="F957" t="s">
        <v>30</v>
      </c>
      <c r="G957">
        <v>4</v>
      </c>
      <c r="H957">
        <v>2</v>
      </c>
      <c r="I957" s="21">
        <v>7731.43</v>
      </c>
      <c r="J957" t="str">
        <f t="shared" si="71"/>
        <v>tier - 3</v>
      </c>
      <c r="K957" t="s">
        <v>12</v>
      </c>
      <c r="L957" t="str">
        <f t="shared" si="72"/>
        <v>tier - 2</v>
      </c>
      <c r="M957" t="s">
        <v>11</v>
      </c>
      <c r="N957" t="str">
        <f t="shared" si="73"/>
        <v>R1013</v>
      </c>
      <c r="O957" t="s">
        <v>13</v>
      </c>
    </row>
    <row r="958" spans="1:15" x14ac:dyDescent="0.35">
      <c r="A958" t="s">
        <v>989</v>
      </c>
      <c r="C958">
        <f t="shared" si="70"/>
        <v>1977</v>
      </c>
      <c r="D958">
        <v>1977</v>
      </c>
      <c r="E958" t="str">
        <f t="shared" si="74"/>
        <v>Aug</v>
      </c>
      <c r="F958" t="s">
        <v>35</v>
      </c>
      <c r="G958">
        <v>29</v>
      </c>
      <c r="H958">
        <v>0</v>
      </c>
      <c r="I958" s="21">
        <v>7731.86</v>
      </c>
      <c r="J958" t="str">
        <f t="shared" si="71"/>
        <v>tier - 2</v>
      </c>
      <c r="K958" t="s">
        <v>11</v>
      </c>
      <c r="L958" t="str">
        <f t="shared" si="72"/>
        <v>tier - 3</v>
      </c>
      <c r="M958" t="s">
        <v>12</v>
      </c>
      <c r="N958" t="str">
        <f t="shared" si="73"/>
        <v>R1012</v>
      </c>
      <c r="O958" t="s">
        <v>23</v>
      </c>
    </row>
    <row r="959" spans="1:15" x14ac:dyDescent="0.35">
      <c r="A959" t="s">
        <v>990</v>
      </c>
      <c r="C959">
        <f t="shared" si="70"/>
        <v>1965</v>
      </c>
      <c r="D959">
        <v>1965</v>
      </c>
      <c r="E959" t="str">
        <f t="shared" si="74"/>
        <v>Jul</v>
      </c>
      <c r="F959" t="s">
        <v>10</v>
      </c>
      <c r="G959">
        <v>18</v>
      </c>
      <c r="H959">
        <v>0</v>
      </c>
      <c r="I959" s="21">
        <v>7736.39</v>
      </c>
      <c r="J959" t="str">
        <f t="shared" si="71"/>
        <v>tier - 3</v>
      </c>
      <c r="K959" t="s">
        <v>12</v>
      </c>
      <c r="L959" t="str">
        <f t="shared" si="72"/>
        <v>tier - 2</v>
      </c>
      <c r="M959" t="s">
        <v>11</v>
      </c>
      <c r="N959" t="str">
        <f t="shared" si="73"/>
        <v>R1013</v>
      </c>
      <c r="O959" t="s">
        <v>13</v>
      </c>
    </row>
    <row r="960" spans="1:15" x14ac:dyDescent="0.35">
      <c r="A960" t="s">
        <v>991</v>
      </c>
      <c r="C960">
        <f t="shared" si="70"/>
        <v>1978</v>
      </c>
      <c r="D960">
        <v>1978</v>
      </c>
      <c r="E960" t="str">
        <f t="shared" si="74"/>
        <v>Sep</v>
      </c>
      <c r="F960" t="s">
        <v>20</v>
      </c>
      <c r="G960">
        <v>4</v>
      </c>
      <c r="H960">
        <v>2</v>
      </c>
      <c r="I960" s="21">
        <v>7740.34</v>
      </c>
      <c r="J960" t="str">
        <f t="shared" si="71"/>
        <v>tier - 1</v>
      </c>
      <c r="K960" t="s">
        <v>16</v>
      </c>
      <c r="L960" t="str">
        <f t="shared" si="72"/>
        <v>tier - 1</v>
      </c>
      <c r="M960" t="s">
        <v>16</v>
      </c>
      <c r="N960" t="str">
        <f t="shared" si="73"/>
        <v>R1011</v>
      </c>
      <c r="O960" t="s">
        <v>42</v>
      </c>
    </row>
    <row r="961" spans="1:15" x14ac:dyDescent="0.35">
      <c r="A961" t="s">
        <v>992</v>
      </c>
      <c r="C961">
        <f t="shared" si="70"/>
        <v>1976</v>
      </c>
      <c r="D961">
        <v>1976</v>
      </c>
      <c r="E961" t="str">
        <f t="shared" si="74"/>
        <v>Dec</v>
      </c>
      <c r="F961" t="s">
        <v>30</v>
      </c>
      <c r="G961">
        <v>12</v>
      </c>
      <c r="H961">
        <v>1</v>
      </c>
      <c r="I961" s="21">
        <v>7742.11</v>
      </c>
      <c r="J961" t="str">
        <f t="shared" si="71"/>
        <v>tier - 3</v>
      </c>
      <c r="K961" t="s">
        <v>12</v>
      </c>
      <c r="L961" t="str">
        <f t="shared" si="72"/>
        <v>tier - 2</v>
      </c>
      <c r="M961" t="s">
        <v>11</v>
      </c>
      <c r="N961" t="str">
        <f t="shared" si="73"/>
        <v>R1013</v>
      </c>
      <c r="O961" t="s">
        <v>13</v>
      </c>
    </row>
    <row r="962" spans="1:15" x14ac:dyDescent="0.35">
      <c r="A962" t="s">
        <v>993</v>
      </c>
      <c r="C962">
        <f t="shared" si="70"/>
        <v>1981</v>
      </c>
      <c r="D962">
        <v>1981</v>
      </c>
      <c r="E962" t="str">
        <f t="shared" si="74"/>
        <v>Jun</v>
      </c>
      <c r="F962" t="s">
        <v>18</v>
      </c>
      <c r="G962">
        <v>30</v>
      </c>
      <c r="H962">
        <v>2</v>
      </c>
      <c r="I962" s="21">
        <v>7749.16</v>
      </c>
      <c r="J962" t="str">
        <f t="shared" si="71"/>
        <v>tier - 2</v>
      </c>
      <c r="K962" t="s">
        <v>11</v>
      </c>
      <c r="L962" t="str">
        <f t="shared" si="72"/>
        <v>tier - 1</v>
      </c>
      <c r="M962" t="s">
        <v>16</v>
      </c>
      <c r="N962" t="str">
        <f t="shared" si="73"/>
        <v>R1012</v>
      </c>
      <c r="O962" t="s">
        <v>23</v>
      </c>
    </row>
    <row r="963" spans="1:15" x14ac:dyDescent="0.35">
      <c r="A963" t="s">
        <v>994</v>
      </c>
      <c r="C963">
        <f t="shared" ref="C963:C1026" si="75">IF(OR(D963="?", ISBLANK(D963)), 1983, D963)</f>
        <v>1997</v>
      </c>
      <c r="D963">
        <v>1997</v>
      </c>
      <c r="E963" t="str">
        <f t="shared" si="74"/>
        <v>Dec</v>
      </c>
      <c r="F963" t="s">
        <v>30</v>
      </c>
      <c r="G963">
        <v>21</v>
      </c>
      <c r="H963">
        <v>0</v>
      </c>
      <c r="I963" s="21">
        <v>7763.06</v>
      </c>
      <c r="J963" t="str">
        <f t="shared" ref="J963:J1026" si="76">IF(OR(K963="?", ISBLANK(K963)), "Tier 2", K963)</f>
        <v>tier - 2</v>
      </c>
      <c r="K963" t="s">
        <v>11</v>
      </c>
      <c r="L963" t="str">
        <f t="shared" ref="L963:L1026" si="77">IF(OR(M963="?", ISBLANK(M963)), "Tier 2", M963)</f>
        <v>tier - 1</v>
      </c>
      <c r="M963" t="s">
        <v>16</v>
      </c>
      <c r="N963" t="str">
        <f t="shared" ref="N963:N1026" si="78">IF(OR(O963="?", ISBLANK(O963)), "Unknown", O963)</f>
        <v>R1012</v>
      </c>
      <c r="O963" t="s">
        <v>23</v>
      </c>
    </row>
    <row r="964" spans="1:15" x14ac:dyDescent="0.35">
      <c r="A964" t="s">
        <v>995</v>
      </c>
      <c r="C964">
        <f t="shared" si="75"/>
        <v>1974</v>
      </c>
      <c r="D964">
        <v>1974</v>
      </c>
      <c r="E964" t="str">
        <f t="shared" ref="E964:E1027" si="79">IF(OR(F964="?", ISBLANK(F964)), "Sep", F964)</f>
        <v>Dec</v>
      </c>
      <c r="F964" t="s">
        <v>30</v>
      </c>
      <c r="G964">
        <v>6</v>
      </c>
      <c r="H964">
        <v>0</v>
      </c>
      <c r="I964" s="21">
        <v>7789.64</v>
      </c>
      <c r="J964" t="str">
        <f t="shared" si="76"/>
        <v>tier - 1</v>
      </c>
      <c r="K964" t="s">
        <v>16</v>
      </c>
      <c r="L964" t="str">
        <f t="shared" si="77"/>
        <v>tier - 3</v>
      </c>
      <c r="M964" t="s">
        <v>12</v>
      </c>
      <c r="N964" t="str">
        <f t="shared" si="78"/>
        <v>R1013</v>
      </c>
      <c r="O964" t="s">
        <v>13</v>
      </c>
    </row>
    <row r="965" spans="1:15" x14ac:dyDescent="0.35">
      <c r="A965" t="s">
        <v>996</v>
      </c>
      <c r="C965">
        <f t="shared" si="75"/>
        <v>1999</v>
      </c>
      <c r="D965">
        <v>1999</v>
      </c>
      <c r="E965" t="str">
        <f t="shared" si="79"/>
        <v>Dec</v>
      </c>
      <c r="F965" t="s">
        <v>30</v>
      </c>
      <c r="G965">
        <v>25</v>
      </c>
      <c r="H965">
        <v>0</v>
      </c>
      <c r="I965" s="21">
        <v>7794.68</v>
      </c>
      <c r="J965" t="str">
        <f t="shared" si="76"/>
        <v>tier - 2</v>
      </c>
      <c r="K965" t="s">
        <v>11</v>
      </c>
      <c r="L965" t="str">
        <f t="shared" si="77"/>
        <v>tier - 2</v>
      </c>
      <c r="M965" t="s">
        <v>11</v>
      </c>
      <c r="N965" t="str">
        <f t="shared" si="78"/>
        <v>R1026</v>
      </c>
      <c r="O965" t="s">
        <v>535</v>
      </c>
    </row>
    <row r="966" spans="1:15" x14ac:dyDescent="0.35">
      <c r="A966" t="s">
        <v>997</v>
      </c>
      <c r="C966">
        <f t="shared" si="75"/>
        <v>1997</v>
      </c>
      <c r="D966">
        <v>1997</v>
      </c>
      <c r="E966" t="str">
        <f t="shared" si="79"/>
        <v>Dec</v>
      </c>
      <c r="F966" t="s">
        <v>30</v>
      </c>
      <c r="G966">
        <v>2</v>
      </c>
      <c r="H966">
        <v>0</v>
      </c>
      <c r="I966" s="21">
        <v>7803.77</v>
      </c>
      <c r="J966" t="str">
        <f t="shared" si="76"/>
        <v>tier - 2</v>
      </c>
      <c r="K966" t="s">
        <v>11</v>
      </c>
      <c r="L966" t="str">
        <f t="shared" si="77"/>
        <v>tier - 3</v>
      </c>
      <c r="M966" t="s">
        <v>12</v>
      </c>
      <c r="N966" t="str">
        <f t="shared" si="78"/>
        <v>R1012</v>
      </c>
      <c r="O966" t="s">
        <v>23</v>
      </c>
    </row>
    <row r="967" spans="1:15" x14ac:dyDescent="0.35">
      <c r="A967" t="s">
        <v>998</v>
      </c>
      <c r="C967">
        <f t="shared" si="75"/>
        <v>1974</v>
      </c>
      <c r="D967">
        <v>1974</v>
      </c>
      <c r="E967" t="str">
        <f t="shared" si="79"/>
        <v>Nov</v>
      </c>
      <c r="F967" t="s">
        <v>15</v>
      </c>
      <c r="G967">
        <v>9</v>
      </c>
      <c r="H967">
        <v>0</v>
      </c>
      <c r="I967" s="21">
        <v>7804.16</v>
      </c>
      <c r="J967" t="str">
        <f t="shared" si="76"/>
        <v>tier - 2</v>
      </c>
      <c r="K967" t="s">
        <v>11</v>
      </c>
      <c r="L967" t="str">
        <f t="shared" si="77"/>
        <v>tier - 3</v>
      </c>
      <c r="M967" t="s">
        <v>12</v>
      </c>
      <c r="N967" t="str">
        <f t="shared" si="78"/>
        <v>R1013</v>
      </c>
      <c r="O967" t="s">
        <v>13</v>
      </c>
    </row>
    <row r="968" spans="1:15" x14ac:dyDescent="0.35">
      <c r="A968" t="s">
        <v>999</v>
      </c>
      <c r="C968">
        <f t="shared" si="75"/>
        <v>1991</v>
      </c>
      <c r="D968">
        <v>1991</v>
      </c>
      <c r="E968" t="str">
        <f t="shared" si="79"/>
        <v>Dec</v>
      </c>
      <c r="F968" t="s">
        <v>30</v>
      </c>
      <c r="G968">
        <v>21</v>
      </c>
      <c r="H968">
        <v>3</v>
      </c>
      <c r="I968" s="21">
        <v>7812.67</v>
      </c>
      <c r="J968" t="str">
        <f t="shared" si="76"/>
        <v>tier - 2</v>
      </c>
      <c r="K968" t="s">
        <v>11</v>
      </c>
      <c r="L968" t="str">
        <f t="shared" si="77"/>
        <v>tier - 1</v>
      </c>
      <c r="M968" t="s">
        <v>16</v>
      </c>
      <c r="N968" t="str">
        <f t="shared" si="78"/>
        <v>R1012</v>
      </c>
      <c r="O968" t="s">
        <v>23</v>
      </c>
    </row>
    <row r="969" spans="1:15" x14ac:dyDescent="0.35">
      <c r="A969" t="s">
        <v>1000</v>
      </c>
      <c r="C969">
        <f t="shared" si="75"/>
        <v>1989</v>
      </c>
      <c r="D969">
        <v>1989</v>
      </c>
      <c r="E969" t="str">
        <f t="shared" si="79"/>
        <v>Oct</v>
      </c>
      <c r="F969" t="s">
        <v>37</v>
      </c>
      <c r="G969">
        <v>12</v>
      </c>
      <c r="H969">
        <v>3</v>
      </c>
      <c r="I969" s="21">
        <v>7824.37</v>
      </c>
      <c r="J969" t="str">
        <f t="shared" si="76"/>
        <v>tier - 2</v>
      </c>
      <c r="K969" t="s">
        <v>11</v>
      </c>
      <c r="L969" t="str">
        <f t="shared" si="77"/>
        <v>tier - 2</v>
      </c>
      <c r="M969" t="s">
        <v>11</v>
      </c>
      <c r="N969" t="str">
        <f t="shared" si="78"/>
        <v>R1012</v>
      </c>
      <c r="O969" t="s">
        <v>23</v>
      </c>
    </row>
    <row r="970" spans="1:15" x14ac:dyDescent="0.35">
      <c r="A970" t="s">
        <v>1001</v>
      </c>
      <c r="C970">
        <f t="shared" si="75"/>
        <v>2001</v>
      </c>
      <c r="D970">
        <v>2001</v>
      </c>
      <c r="E970" t="str">
        <f t="shared" si="79"/>
        <v>Oct</v>
      </c>
      <c r="F970" t="s">
        <v>37</v>
      </c>
      <c r="G970">
        <v>5</v>
      </c>
      <c r="H970">
        <v>0</v>
      </c>
      <c r="I970" s="21">
        <v>7844.8</v>
      </c>
      <c r="J970" t="str">
        <f t="shared" si="76"/>
        <v>tier - 2</v>
      </c>
      <c r="K970" t="s">
        <v>11</v>
      </c>
      <c r="L970" t="str">
        <f t="shared" si="77"/>
        <v>tier - 2</v>
      </c>
      <c r="M970" t="s">
        <v>11</v>
      </c>
      <c r="N970" t="str">
        <f t="shared" si="78"/>
        <v>R1012</v>
      </c>
      <c r="O970" t="s">
        <v>23</v>
      </c>
    </row>
    <row r="971" spans="1:15" x14ac:dyDescent="0.35">
      <c r="A971" t="s">
        <v>1002</v>
      </c>
      <c r="C971">
        <f t="shared" si="75"/>
        <v>1994</v>
      </c>
      <c r="D971">
        <v>1994</v>
      </c>
      <c r="E971" t="str">
        <f t="shared" si="79"/>
        <v>Nov</v>
      </c>
      <c r="F971" t="s">
        <v>15</v>
      </c>
      <c r="G971">
        <v>17</v>
      </c>
      <c r="H971">
        <v>0</v>
      </c>
      <c r="I971" s="21">
        <v>7851.85</v>
      </c>
      <c r="J971" t="str">
        <f t="shared" si="76"/>
        <v>tier - 2</v>
      </c>
      <c r="K971" t="s">
        <v>11</v>
      </c>
      <c r="L971" t="str">
        <f t="shared" si="77"/>
        <v>tier - 3</v>
      </c>
      <c r="M971" t="s">
        <v>12</v>
      </c>
      <c r="N971" t="str">
        <f t="shared" si="78"/>
        <v>R1012</v>
      </c>
      <c r="O971" t="s">
        <v>23</v>
      </c>
    </row>
    <row r="972" spans="1:15" x14ac:dyDescent="0.35">
      <c r="A972" t="s">
        <v>1003</v>
      </c>
      <c r="C972">
        <f t="shared" si="75"/>
        <v>1962</v>
      </c>
      <c r="D972">
        <v>1962</v>
      </c>
      <c r="E972" t="str">
        <f t="shared" si="79"/>
        <v>Oct</v>
      </c>
      <c r="F972" t="s">
        <v>37</v>
      </c>
      <c r="G972">
        <v>10</v>
      </c>
      <c r="H972">
        <v>0</v>
      </c>
      <c r="I972" s="21">
        <v>7896.41</v>
      </c>
      <c r="J972" t="str">
        <f t="shared" si="76"/>
        <v>tier - 3</v>
      </c>
      <c r="K972" t="s">
        <v>12</v>
      </c>
      <c r="L972" t="str">
        <f t="shared" si="77"/>
        <v>tier - 2</v>
      </c>
      <c r="M972" t="s">
        <v>11</v>
      </c>
      <c r="N972" t="str">
        <f t="shared" si="78"/>
        <v>R1013</v>
      </c>
      <c r="O972" t="s">
        <v>13</v>
      </c>
    </row>
    <row r="973" spans="1:15" x14ac:dyDescent="0.35">
      <c r="A973" t="s">
        <v>1004</v>
      </c>
      <c r="C973">
        <f t="shared" si="75"/>
        <v>1977</v>
      </c>
      <c r="D973">
        <v>1977</v>
      </c>
      <c r="E973" t="str">
        <f t="shared" si="79"/>
        <v>Jul</v>
      </c>
      <c r="F973" t="s">
        <v>10</v>
      </c>
      <c r="G973">
        <v>20</v>
      </c>
      <c r="H973">
        <v>0</v>
      </c>
      <c r="I973" s="21">
        <v>7935.29</v>
      </c>
      <c r="J973" t="str">
        <f t="shared" si="76"/>
        <v>tier - 2</v>
      </c>
      <c r="K973" t="s">
        <v>11</v>
      </c>
      <c r="L973" t="str">
        <f t="shared" si="77"/>
        <v>tier - 1</v>
      </c>
      <c r="M973" t="s">
        <v>16</v>
      </c>
      <c r="N973" t="str">
        <f t="shared" si="78"/>
        <v>R1024</v>
      </c>
      <c r="O973" t="s">
        <v>247</v>
      </c>
    </row>
    <row r="974" spans="1:15" x14ac:dyDescent="0.35">
      <c r="A974" t="s">
        <v>1005</v>
      </c>
      <c r="C974">
        <f t="shared" si="75"/>
        <v>1987</v>
      </c>
      <c r="D974">
        <v>1987</v>
      </c>
      <c r="E974" t="str">
        <f t="shared" si="79"/>
        <v>Oct</v>
      </c>
      <c r="F974" t="s">
        <v>37</v>
      </c>
      <c r="G974">
        <v>29</v>
      </c>
      <c r="H974">
        <v>3</v>
      </c>
      <c r="I974" s="21">
        <v>7948.22</v>
      </c>
      <c r="J974" t="str">
        <f t="shared" si="76"/>
        <v>tier - 2</v>
      </c>
      <c r="K974" t="s">
        <v>11</v>
      </c>
      <c r="L974" t="str">
        <f t="shared" si="77"/>
        <v>tier - 3</v>
      </c>
      <c r="M974" t="s">
        <v>12</v>
      </c>
      <c r="N974" t="str">
        <f t="shared" si="78"/>
        <v>R1025</v>
      </c>
      <c r="O974" t="s">
        <v>200</v>
      </c>
    </row>
    <row r="975" spans="1:15" x14ac:dyDescent="0.35">
      <c r="A975" t="s">
        <v>1006</v>
      </c>
      <c r="C975">
        <f t="shared" si="75"/>
        <v>1966</v>
      </c>
      <c r="D975">
        <v>1966</v>
      </c>
      <c r="E975" t="str">
        <f t="shared" si="79"/>
        <v>Jul</v>
      </c>
      <c r="F975" t="s">
        <v>10</v>
      </c>
      <c r="G975">
        <v>9</v>
      </c>
      <c r="H975">
        <v>0</v>
      </c>
      <c r="I975" s="21">
        <v>7953.72</v>
      </c>
      <c r="J975" t="str">
        <f t="shared" si="76"/>
        <v>tier - 3</v>
      </c>
      <c r="K975" t="s">
        <v>12</v>
      </c>
      <c r="L975" t="str">
        <f t="shared" si="77"/>
        <v>tier - 3</v>
      </c>
      <c r="M975" t="s">
        <v>12</v>
      </c>
      <c r="N975" t="str">
        <f t="shared" si="78"/>
        <v>R1012</v>
      </c>
      <c r="O975" t="s">
        <v>23</v>
      </c>
    </row>
    <row r="976" spans="1:15" x14ac:dyDescent="0.35">
      <c r="A976" t="s">
        <v>1007</v>
      </c>
      <c r="C976">
        <f t="shared" si="75"/>
        <v>1981</v>
      </c>
      <c r="D976">
        <v>1981</v>
      </c>
      <c r="E976" t="str">
        <f t="shared" si="79"/>
        <v>Dec</v>
      </c>
      <c r="F976" t="s">
        <v>30</v>
      </c>
      <c r="G976">
        <v>28</v>
      </c>
      <c r="H976">
        <v>3</v>
      </c>
      <c r="I976" s="21">
        <v>7954.52</v>
      </c>
      <c r="J976" t="str">
        <f t="shared" si="76"/>
        <v>tier - 2</v>
      </c>
      <c r="K976" t="s">
        <v>11</v>
      </c>
      <c r="L976" t="str">
        <f t="shared" si="77"/>
        <v>tier - 2</v>
      </c>
      <c r="M976" t="s">
        <v>11</v>
      </c>
      <c r="N976" t="str">
        <f t="shared" si="78"/>
        <v>R1011</v>
      </c>
      <c r="O976" t="s">
        <v>42</v>
      </c>
    </row>
    <row r="977" spans="1:15" x14ac:dyDescent="0.35">
      <c r="A977" t="s">
        <v>1008</v>
      </c>
      <c r="C977">
        <f t="shared" si="75"/>
        <v>1970</v>
      </c>
      <c r="D977">
        <v>1970</v>
      </c>
      <c r="E977" t="str">
        <f t="shared" si="79"/>
        <v>Jun</v>
      </c>
      <c r="F977" t="s">
        <v>18</v>
      </c>
      <c r="G977">
        <v>19</v>
      </c>
      <c r="H977">
        <v>0</v>
      </c>
      <c r="I977" s="21">
        <v>7958.13</v>
      </c>
      <c r="J977" t="str">
        <f t="shared" si="76"/>
        <v>tier - 2</v>
      </c>
      <c r="K977" t="s">
        <v>11</v>
      </c>
      <c r="L977" t="str">
        <f t="shared" si="77"/>
        <v>tier - 2</v>
      </c>
      <c r="M977" t="s">
        <v>11</v>
      </c>
      <c r="N977" t="str">
        <f t="shared" si="78"/>
        <v>R1013</v>
      </c>
      <c r="O977" t="s">
        <v>13</v>
      </c>
    </row>
    <row r="978" spans="1:15" x14ac:dyDescent="0.35">
      <c r="A978" t="s">
        <v>1009</v>
      </c>
      <c r="C978">
        <f t="shared" si="75"/>
        <v>1975</v>
      </c>
      <c r="D978">
        <v>1975</v>
      </c>
      <c r="E978" t="str">
        <f t="shared" si="79"/>
        <v>Aug</v>
      </c>
      <c r="F978" t="s">
        <v>35</v>
      </c>
      <c r="G978">
        <v>10</v>
      </c>
      <c r="H978">
        <v>1</v>
      </c>
      <c r="I978" s="21">
        <v>7966.81</v>
      </c>
      <c r="J978" t="str">
        <f t="shared" si="76"/>
        <v>tier - 2</v>
      </c>
      <c r="K978" t="s">
        <v>11</v>
      </c>
      <c r="L978" t="str">
        <f t="shared" si="77"/>
        <v>tier - 2</v>
      </c>
      <c r="M978" t="s">
        <v>11</v>
      </c>
      <c r="N978" t="str">
        <f t="shared" si="78"/>
        <v>R1013</v>
      </c>
      <c r="O978" t="s">
        <v>13</v>
      </c>
    </row>
    <row r="979" spans="1:15" x14ac:dyDescent="0.35">
      <c r="A979" t="s">
        <v>1010</v>
      </c>
      <c r="C979">
        <f t="shared" si="75"/>
        <v>1972</v>
      </c>
      <c r="D979">
        <v>1972</v>
      </c>
      <c r="E979" t="str">
        <f t="shared" si="79"/>
        <v>Nov</v>
      </c>
      <c r="F979" t="s">
        <v>15</v>
      </c>
      <c r="G979">
        <v>23</v>
      </c>
      <c r="H979">
        <v>0</v>
      </c>
      <c r="I979" s="21">
        <v>7980.34</v>
      </c>
      <c r="J979" t="str">
        <f t="shared" si="76"/>
        <v>tier - 2</v>
      </c>
      <c r="K979" t="s">
        <v>11</v>
      </c>
      <c r="L979" t="str">
        <f t="shared" si="77"/>
        <v>tier - 2</v>
      </c>
      <c r="M979" t="s">
        <v>11</v>
      </c>
      <c r="N979" t="str">
        <f t="shared" si="78"/>
        <v>R1013</v>
      </c>
      <c r="O979" t="s">
        <v>13</v>
      </c>
    </row>
    <row r="980" spans="1:15" x14ac:dyDescent="0.35">
      <c r="A980" t="s">
        <v>1011</v>
      </c>
      <c r="C980">
        <f t="shared" si="75"/>
        <v>1983</v>
      </c>
      <c r="D980">
        <v>1983</v>
      </c>
      <c r="E980" t="str">
        <f t="shared" si="79"/>
        <v>Aug</v>
      </c>
      <c r="F980" t="s">
        <v>35</v>
      </c>
      <c r="G980">
        <v>28</v>
      </c>
      <c r="H980">
        <v>3</v>
      </c>
      <c r="I980" s="21">
        <v>7985.82</v>
      </c>
      <c r="J980" t="str">
        <f t="shared" si="76"/>
        <v>tier - 2</v>
      </c>
      <c r="K980" t="s">
        <v>11</v>
      </c>
      <c r="L980" t="str">
        <f t="shared" si="77"/>
        <v>tier - 1</v>
      </c>
      <c r="M980" t="s">
        <v>16</v>
      </c>
      <c r="N980" t="str">
        <f t="shared" si="78"/>
        <v>R1024</v>
      </c>
      <c r="O980" t="s">
        <v>247</v>
      </c>
    </row>
    <row r="981" spans="1:15" x14ac:dyDescent="0.35">
      <c r="A981" t="s">
        <v>1012</v>
      </c>
      <c r="C981">
        <f t="shared" si="75"/>
        <v>1983</v>
      </c>
      <c r="D981">
        <v>1983</v>
      </c>
      <c r="E981" t="str">
        <f t="shared" si="79"/>
        <v>Aug</v>
      </c>
      <c r="F981" t="s">
        <v>35</v>
      </c>
      <c r="G981">
        <v>20</v>
      </c>
      <c r="H981">
        <v>3</v>
      </c>
      <c r="I981" s="21">
        <v>7986.48</v>
      </c>
      <c r="J981" t="str">
        <f t="shared" si="76"/>
        <v>tier - 2</v>
      </c>
      <c r="K981" t="s">
        <v>11</v>
      </c>
      <c r="L981" t="str">
        <f t="shared" si="77"/>
        <v>tier - 3</v>
      </c>
      <c r="M981" t="s">
        <v>12</v>
      </c>
      <c r="N981" t="str">
        <f t="shared" si="78"/>
        <v>R1024</v>
      </c>
      <c r="O981" t="s">
        <v>247</v>
      </c>
    </row>
    <row r="982" spans="1:15" x14ac:dyDescent="0.35">
      <c r="A982" t="s">
        <v>1013</v>
      </c>
      <c r="C982">
        <f t="shared" si="75"/>
        <v>1962</v>
      </c>
      <c r="D982">
        <v>1962</v>
      </c>
      <c r="E982" t="str">
        <f t="shared" si="79"/>
        <v>Aug</v>
      </c>
      <c r="F982" t="s">
        <v>35</v>
      </c>
      <c r="G982">
        <v>22</v>
      </c>
      <c r="H982">
        <v>0</v>
      </c>
      <c r="I982" s="21">
        <v>8004.96</v>
      </c>
      <c r="J982" t="str">
        <f t="shared" si="76"/>
        <v>tier - 3</v>
      </c>
      <c r="K982" t="s">
        <v>12</v>
      </c>
      <c r="L982" t="str">
        <f t="shared" si="77"/>
        <v>tier - 1</v>
      </c>
      <c r="M982" t="s">
        <v>16</v>
      </c>
      <c r="N982" t="str">
        <f t="shared" si="78"/>
        <v>R1013</v>
      </c>
      <c r="O982" t="s">
        <v>13</v>
      </c>
    </row>
    <row r="983" spans="1:15" x14ac:dyDescent="0.35">
      <c r="A983" t="s">
        <v>1014</v>
      </c>
      <c r="C983">
        <f t="shared" si="75"/>
        <v>1995</v>
      </c>
      <c r="D983">
        <v>1995</v>
      </c>
      <c r="E983" t="str">
        <f t="shared" si="79"/>
        <v>Sep</v>
      </c>
      <c r="F983" t="s">
        <v>20</v>
      </c>
      <c r="G983">
        <v>18</v>
      </c>
      <c r="H983">
        <v>0</v>
      </c>
      <c r="I983" s="21">
        <v>8014.62</v>
      </c>
      <c r="J983" t="str">
        <f t="shared" si="76"/>
        <v>tier - 2</v>
      </c>
      <c r="K983" t="s">
        <v>11</v>
      </c>
      <c r="L983" t="str">
        <f t="shared" si="77"/>
        <v>tier - 3</v>
      </c>
      <c r="M983" t="s">
        <v>12</v>
      </c>
      <c r="N983" t="str">
        <f t="shared" si="78"/>
        <v>R1012</v>
      </c>
      <c r="O983" t="s">
        <v>23</v>
      </c>
    </row>
    <row r="984" spans="1:15" x14ac:dyDescent="0.35">
      <c r="A984" t="s">
        <v>1015</v>
      </c>
      <c r="C984">
        <f t="shared" si="75"/>
        <v>1980</v>
      </c>
      <c r="D984">
        <v>1980</v>
      </c>
      <c r="E984" t="str">
        <f t="shared" si="79"/>
        <v>Nov</v>
      </c>
      <c r="F984" t="s">
        <v>15</v>
      </c>
      <c r="G984">
        <v>8</v>
      </c>
      <c r="H984">
        <v>2</v>
      </c>
      <c r="I984" s="21">
        <v>8017.06</v>
      </c>
      <c r="J984" t="str">
        <f t="shared" si="76"/>
        <v>tier - 2</v>
      </c>
      <c r="K984" t="s">
        <v>11</v>
      </c>
      <c r="L984" t="str">
        <f t="shared" si="77"/>
        <v>tier - 2</v>
      </c>
      <c r="M984" t="s">
        <v>11</v>
      </c>
      <c r="N984" t="str">
        <f t="shared" si="78"/>
        <v>R1012</v>
      </c>
      <c r="O984" t="s">
        <v>23</v>
      </c>
    </row>
    <row r="985" spans="1:15" x14ac:dyDescent="0.35">
      <c r="A985" t="s">
        <v>1016</v>
      </c>
      <c r="C985">
        <f t="shared" si="75"/>
        <v>1989</v>
      </c>
      <c r="D985">
        <v>1989</v>
      </c>
      <c r="E985" t="str">
        <f t="shared" si="79"/>
        <v>Nov</v>
      </c>
      <c r="F985" t="s">
        <v>15</v>
      </c>
      <c r="G985">
        <v>3</v>
      </c>
      <c r="H985">
        <v>3</v>
      </c>
      <c r="I985" s="21">
        <v>8021.11</v>
      </c>
      <c r="J985" t="str">
        <f t="shared" si="76"/>
        <v>tier - 2</v>
      </c>
      <c r="K985" t="s">
        <v>11</v>
      </c>
      <c r="L985" t="str">
        <f t="shared" si="77"/>
        <v>tier - 1</v>
      </c>
      <c r="M985" t="s">
        <v>16</v>
      </c>
      <c r="N985" t="str">
        <f t="shared" si="78"/>
        <v>R1012</v>
      </c>
      <c r="O985" t="s">
        <v>23</v>
      </c>
    </row>
    <row r="986" spans="1:15" x14ac:dyDescent="0.35">
      <c r="A986" t="s">
        <v>1017</v>
      </c>
      <c r="C986">
        <f t="shared" si="75"/>
        <v>1978</v>
      </c>
      <c r="D986">
        <v>1978</v>
      </c>
      <c r="E986" t="str">
        <f t="shared" si="79"/>
        <v>Jul</v>
      </c>
      <c r="F986" t="s">
        <v>10</v>
      </c>
      <c r="G986">
        <v>17</v>
      </c>
      <c r="H986">
        <v>1</v>
      </c>
      <c r="I986" s="21">
        <v>8023.14</v>
      </c>
      <c r="J986" t="str">
        <f t="shared" si="76"/>
        <v>tier - 2</v>
      </c>
      <c r="K986" t="s">
        <v>11</v>
      </c>
      <c r="L986" t="str">
        <f t="shared" si="77"/>
        <v>tier - 3</v>
      </c>
      <c r="M986" t="s">
        <v>12</v>
      </c>
      <c r="N986" t="str">
        <f t="shared" si="78"/>
        <v>R1012</v>
      </c>
      <c r="O986" t="s">
        <v>23</v>
      </c>
    </row>
    <row r="987" spans="1:15" x14ac:dyDescent="0.35">
      <c r="A987" t="s">
        <v>1018</v>
      </c>
      <c r="C987">
        <f t="shared" si="75"/>
        <v>1976</v>
      </c>
      <c r="D987">
        <v>1976</v>
      </c>
      <c r="E987" t="str">
        <f t="shared" si="79"/>
        <v>Dec</v>
      </c>
      <c r="F987" t="s">
        <v>30</v>
      </c>
      <c r="G987">
        <v>20</v>
      </c>
      <c r="H987">
        <v>0</v>
      </c>
      <c r="I987" s="21">
        <v>8026.67</v>
      </c>
      <c r="J987" t="str">
        <f t="shared" si="76"/>
        <v>tier - 2</v>
      </c>
      <c r="K987" t="s">
        <v>11</v>
      </c>
      <c r="L987" t="str">
        <f t="shared" si="77"/>
        <v>tier - 2</v>
      </c>
      <c r="M987" t="s">
        <v>11</v>
      </c>
      <c r="N987" t="str">
        <f t="shared" si="78"/>
        <v>R1012</v>
      </c>
      <c r="O987" t="s">
        <v>23</v>
      </c>
    </row>
    <row r="988" spans="1:15" x14ac:dyDescent="0.35">
      <c r="A988" t="s">
        <v>1019</v>
      </c>
      <c r="C988">
        <f t="shared" si="75"/>
        <v>1977</v>
      </c>
      <c r="D988">
        <v>1977</v>
      </c>
      <c r="E988" t="str">
        <f t="shared" si="79"/>
        <v>Nov</v>
      </c>
      <c r="F988" t="s">
        <v>15</v>
      </c>
      <c r="G988">
        <v>6</v>
      </c>
      <c r="H988">
        <v>2</v>
      </c>
      <c r="I988" s="21">
        <v>8027.97</v>
      </c>
      <c r="J988" t="str">
        <f t="shared" si="76"/>
        <v>tier - 3</v>
      </c>
      <c r="K988" t="s">
        <v>12</v>
      </c>
      <c r="L988" t="str">
        <f t="shared" si="77"/>
        <v>tier - 2</v>
      </c>
      <c r="M988" t="s">
        <v>11</v>
      </c>
      <c r="N988" t="str">
        <f t="shared" si="78"/>
        <v>R1011</v>
      </c>
      <c r="O988" t="s">
        <v>42</v>
      </c>
    </row>
    <row r="989" spans="1:15" x14ac:dyDescent="0.35">
      <c r="A989" t="s">
        <v>1020</v>
      </c>
      <c r="C989">
        <f t="shared" si="75"/>
        <v>2003</v>
      </c>
      <c r="D989">
        <v>2003</v>
      </c>
      <c r="E989" t="str">
        <f t="shared" si="79"/>
        <v>Dec</v>
      </c>
      <c r="F989" t="s">
        <v>30</v>
      </c>
      <c r="G989">
        <v>12</v>
      </c>
      <c r="H989">
        <v>0</v>
      </c>
      <c r="I989" s="21">
        <v>8035.64</v>
      </c>
      <c r="J989" t="str">
        <f t="shared" si="76"/>
        <v>tier - 2</v>
      </c>
      <c r="K989" t="s">
        <v>11</v>
      </c>
      <c r="L989" t="str">
        <f t="shared" si="77"/>
        <v>tier - 2</v>
      </c>
      <c r="M989" t="s">
        <v>11</v>
      </c>
      <c r="N989" t="str">
        <f t="shared" si="78"/>
        <v>R1012</v>
      </c>
      <c r="O989" t="s">
        <v>23</v>
      </c>
    </row>
    <row r="990" spans="1:15" x14ac:dyDescent="0.35">
      <c r="A990" t="s">
        <v>1021</v>
      </c>
      <c r="C990">
        <f t="shared" si="75"/>
        <v>1985</v>
      </c>
      <c r="D990">
        <v>1985</v>
      </c>
      <c r="E990" t="str">
        <f t="shared" si="79"/>
        <v>Nov</v>
      </c>
      <c r="F990" t="s">
        <v>15</v>
      </c>
      <c r="G990">
        <v>28</v>
      </c>
      <c r="H990">
        <v>3</v>
      </c>
      <c r="I990" s="21">
        <v>8059.06</v>
      </c>
      <c r="J990" t="str">
        <f t="shared" si="76"/>
        <v>tier - 2</v>
      </c>
      <c r="K990" t="s">
        <v>11</v>
      </c>
      <c r="L990" t="str">
        <f t="shared" si="77"/>
        <v>tier - 3</v>
      </c>
      <c r="M990" t="s">
        <v>12</v>
      </c>
      <c r="N990" t="str">
        <f t="shared" si="78"/>
        <v>R1012</v>
      </c>
      <c r="O990" t="s">
        <v>23</v>
      </c>
    </row>
    <row r="991" spans="1:15" x14ac:dyDescent="0.35">
      <c r="A991" t="s">
        <v>1022</v>
      </c>
      <c r="C991">
        <f t="shared" si="75"/>
        <v>1982</v>
      </c>
      <c r="D991">
        <v>1982</v>
      </c>
      <c r="E991" t="str">
        <f t="shared" si="79"/>
        <v>Dec</v>
      </c>
      <c r="F991" t="s">
        <v>30</v>
      </c>
      <c r="G991">
        <v>27</v>
      </c>
      <c r="H991">
        <v>3</v>
      </c>
      <c r="I991" s="21">
        <v>8059.68</v>
      </c>
      <c r="J991" t="str">
        <f t="shared" si="76"/>
        <v>tier - 2</v>
      </c>
      <c r="K991" t="s">
        <v>11</v>
      </c>
      <c r="L991" t="str">
        <f t="shared" si="77"/>
        <v>tier - 3</v>
      </c>
      <c r="M991" t="s">
        <v>12</v>
      </c>
      <c r="N991" t="str">
        <f t="shared" si="78"/>
        <v>R1012</v>
      </c>
      <c r="O991" t="s">
        <v>23</v>
      </c>
    </row>
    <row r="992" spans="1:15" x14ac:dyDescent="0.35">
      <c r="A992" t="s">
        <v>1023</v>
      </c>
      <c r="C992">
        <f t="shared" si="75"/>
        <v>1970</v>
      </c>
      <c r="D992">
        <v>1970</v>
      </c>
      <c r="E992" t="str">
        <f t="shared" si="79"/>
        <v>Dec</v>
      </c>
      <c r="F992" t="s">
        <v>30</v>
      </c>
      <c r="G992">
        <v>12</v>
      </c>
      <c r="H992">
        <v>0</v>
      </c>
      <c r="I992" s="21">
        <v>8062.31</v>
      </c>
      <c r="J992" t="str">
        <f t="shared" si="76"/>
        <v>tier - 2</v>
      </c>
      <c r="K992" t="s">
        <v>11</v>
      </c>
      <c r="L992" t="str">
        <f t="shared" si="77"/>
        <v>tier - 1</v>
      </c>
      <c r="M992" t="s">
        <v>16</v>
      </c>
      <c r="N992" t="str">
        <f t="shared" si="78"/>
        <v>R1013</v>
      </c>
      <c r="O992" t="s">
        <v>13</v>
      </c>
    </row>
    <row r="993" spans="1:15" x14ac:dyDescent="0.35">
      <c r="A993" t="s">
        <v>1024</v>
      </c>
      <c r="C993">
        <f t="shared" si="75"/>
        <v>1975</v>
      </c>
      <c r="D993">
        <v>1975</v>
      </c>
      <c r="E993" t="str">
        <f t="shared" si="79"/>
        <v>Jun</v>
      </c>
      <c r="F993" t="s">
        <v>18</v>
      </c>
      <c r="G993">
        <v>28</v>
      </c>
      <c r="H993">
        <v>1</v>
      </c>
      <c r="I993" s="21">
        <v>8062.76</v>
      </c>
      <c r="J993" t="str">
        <f t="shared" si="76"/>
        <v>tier - 3</v>
      </c>
      <c r="K993" t="s">
        <v>12</v>
      </c>
      <c r="L993" t="str">
        <f t="shared" si="77"/>
        <v>tier - 3</v>
      </c>
      <c r="M993" t="s">
        <v>12</v>
      </c>
      <c r="N993" t="str">
        <f t="shared" si="78"/>
        <v>R1011</v>
      </c>
      <c r="O993" t="s">
        <v>42</v>
      </c>
    </row>
    <row r="994" spans="1:15" x14ac:dyDescent="0.35">
      <c r="A994" t="s">
        <v>1025</v>
      </c>
      <c r="C994">
        <f t="shared" si="75"/>
        <v>1965</v>
      </c>
      <c r="D994">
        <v>1965</v>
      </c>
      <c r="E994" t="str">
        <f t="shared" si="79"/>
        <v>Aug</v>
      </c>
      <c r="F994" t="s">
        <v>35</v>
      </c>
      <c r="G994">
        <v>11</v>
      </c>
      <c r="H994">
        <v>0</v>
      </c>
      <c r="I994" s="21">
        <v>8067.83</v>
      </c>
      <c r="J994" t="str">
        <f t="shared" si="76"/>
        <v>tier - 3</v>
      </c>
      <c r="K994" t="s">
        <v>12</v>
      </c>
      <c r="L994" t="str">
        <f t="shared" si="77"/>
        <v>tier - 1</v>
      </c>
      <c r="M994" t="s">
        <v>16</v>
      </c>
      <c r="N994" t="str">
        <f t="shared" si="78"/>
        <v>R1013</v>
      </c>
      <c r="O994" t="s">
        <v>13</v>
      </c>
    </row>
    <row r="995" spans="1:15" x14ac:dyDescent="0.35">
      <c r="A995" t="s">
        <v>1026</v>
      </c>
      <c r="C995">
        <f t="shared" si="75"/>
        <v>1975</v>
      </c>
      <c r="D995">
        <v>1975</v>
      </c>
      <c r="E995" t="str">
        <f t="shared" si="79"/>
        <v>Dec</v>
      </c>
      <c r="F995" t="s">
        <v>30</v>
      </c>
      <c r="G995">
        <v>15</v>
      </c>
      <c r="H995">
        <v>1</v>
      </c>
      <c r="I995" s="21">
        <v>8068.19</v>
      </c>
      <c r="J995" t="str">
        <f t="shared" si="76"/>
        <v>tier - 3</v>
      </c>
      <c r="K995" t="s">
        <v>12</v>
      </c>
      <c r="L995" t="str">
        <f t="shared" si="77"/>
        <v>tier - 2</v>
      </c>
      <c r="M995" t="s">
        <v>11</v>
      </c>
      <c r="N995" t="str">
        <f t="shared" si="78"/>
        <v>R1011</v>
      </c>
      <c r="O995" t="s">
        <v>42</v>
      </c>
    </row>
    <row r="996" spans="1:15" x14ac:dyDescent="0.35">
      <c r="A996" t="s">
        <v>1027</v>
      </c>
      <c r="C996">
        <f t="shared" si="75"/>
        <v>1965</v>
      </c>
      <c r="D996">
        <v>1965</v>
      </c>
      <c r="E996" t="str">
        <f t="shared" si="79"/>
        <v>Oct</v>
      </c>
      <c r="F996" t="s">
        <v>37</v>
      </c>
      <c r="G996">
        <v>21</v>
      </c>
      <c r="H996">
        <v>0</v>
      </c>
      <c r="I996" s="21">
        <v>8071.57</v>
      </c>
      <c r="J996" t="str">
        <f t="shared" si="76"/>
        <v>tier - 3</v>
      </c>
      <c r="K996" t="s">
        <v>12</v>
      </c>
      <c r="L996" t="str">
        <f t="shared" si="77"/>
        <v>tier - 1</v>
      </c>
      <c r="M996" t="s">
        <v>16</v>
      </c>
      <c r="N996" t="str">
        <f t="shared" si="78"/>
        <v>R1011</v>
      </c>
      <c r="O996" t="s">
        <v>42</v>
      </c>
    </row>
    <row r="997" spans="1:15" x14ac:dyDescent="0.35">
      <c r="A997" t="s">
        <v>1028</v>
      </c>
      <c r="C997">
        <f t="shared" si="75"/>
        <v>1993</v>
      </c>
      <c r="D997">
        <v>1993</v>
      </c>
      <c r="E997" t="str">
        <f t="shared" si="79"/>
        <v>Nov</v>
      </c>
      <c r="F997" t="s">
        <v>15</v>
      </c>
      <c r="G997">
        <v>7</v>
      </c>
      <c r="H997">
        <v>0</v>
      </c>
      <c r="I997" s="21">
        <v>8077.41</v>
      </c>
      <c r="J997" t="str">
        <f t="shared" si="76"/>
        <v>tier - 2</v>
      </c>
      <c r="K997" t="s">
        <v>11</v>
      </c>
      <c r="L997" t="str">
        <f t="shared" si="77"/>
        <v>tier - 1</v>
      </c>
      <c r="M997" t="s">
        <v>16</v>
      </c>
      <c r="N997" t="str">
        <f t="shared" si="78"/>
        <v>R1026</v>
      </c>
      <c r="O997" t="s">
        <v>535</v>
      </c>
    </row>
    <row r="998" spans="1:15" x14ac:dyDescent="0.35">
      <c r="A998" t="s">
        <v>1029</v>
      </c>
      <c r="C998">
        <f t="shared" si="75"/>
        <v>2001</v>
      </c>
      <c r="D998">
        <v>2001</v>
      </c>
      <c r="E998" t="str">
        <f t="shared" si="79"/>
        <v>Aug</v>
      </c>
      <c r="F998" t="s">
        <v>35</v>
      </c>
      <c r="G998">
        <v>28</v>
      </c>
      <c r="H998">
        <v>0</v>
      </c>
      <c r="I998" s="21">
        <v>8081.26</v>
      </c>
      <c r="J998" t="str">
        <f t="shared" si="76"/>
        <v>tier - 2</v>
      </c>
      <c r="K998" t="s">
        <v>11</v>
      </c>
      <c r="L998" t="str">
        <f t="shared" si="77"/>
        <v>tier - 2</v>
      </c>
      <c r="M998" t="s">
        <v>11</v>
      </c>
      <c r="N998" t="str">
        <f t="shared" si="78"/>
        <v>R1012</v>
      </c>
      <c r="O998" t="s">
        <v>23</v>
      </c>
    </row>
    <row r="999" spans="1:15" x14ac:dyDescent="0.35">
      <c r="A999" t="s">
        <v>1030</v>
      </c>
      <c r="C999">
        <f t="shared" si="75"/>
        <v>1994</v>
      </c>
      <c r="D999">
        <v>1994</v>
      </c>
      <c r="E999" t="str">
        <f t="shared" si="79"/>
        <v>Oct</v>
      </c>
      <c r="F999" t="s">
        <v>37</v>
      </c>
      <c r="G999">
        <v>12</v>
      </c>
      <c r="H999">
        <v>0</v>
      </c>
      <c r="I999" s="21">
        <v>8081.74</v>
      </c>
      <c r="J999" t="str">
        <f t="shared" si="76"/>
        <v>tier - 2</v>
      </c>
      <c r="K999" t="s">
        <v>11</v>
      </c>
      <c r="L999" t="str">
        <f t="shared" si="77"/>
        <v>tier - 2</v>
      </c>
      <c r="M999" t="s">
        <v>11</v>
      </c>
      <c r="N999" t="str">
        <f t="shared" si="78"/>
        <v>R1026</v>
      </c>
      <c r="O999" t="s">
        <v>535</v>
      </c>
    </row>
    <row r="1000" spans="1:15" x14ac:dyDescent="0.35">
      <c r="A1000" t="s">
        <v>1031</v>
      </c>
      <c r="C1000">
        <f t="shared" si="75"/>
        <v>1975</v>
      </c>
      <c r="D1000">
        <v>1975</v>
      </c>
      <c r="E1000" t="str">
        <f t="shared" si="79"/>
        <v>Dec</v>
      </c>
      <c r="F1000" t="s">
        <v>30</v>
      </c>
      <c r="G1000">
        <v>21</v>
      </c>
      <c r="H1000">
        <v>1</v>
      </c>
      <c r="I1000" s="21">
        <v>8083.92</v>
      </c>
      <c r="J1000" t="str">
        <f t="shared" si="76"/>
        <v>tier - 3</v>
      </c>
      <c r="K1000" t="s">
        <v>12</v>
      </c>
      <c r="L1000" t="str">
        <f t="shared" si="77"/>
        <v>tier - 3</v>
      </c>
      <c r="M1000" t="s">
        <v>12</v>
      </c>
      <c r="N1000" t="str">
        <f t="shared" si="78"/>
        <v>R1013</v>
      </c>
      <c r="O1000" t="s">
        <v>13</v>
      </c>
    </row>
    <row r="1001" spans="1:15" x14ac:dyDescent="0.35">
      <c r="A1001" t="s">
        <v>1032</v>
      </c>
      <c r="C1001">
        <f t="shared" si="75"/>
        <v>1967</v>
      </c>
      <c r="D1001">
        <v>1967</v>
      </c>
      <c r="E1001" t="str">
        <f t="shared" si="79"/>
        <v>Jun</v>
      </c>
      <c r="F1001" t="s">
        <v>18</v>
      </c>
      <c r="G1001">
        <v>10</v>
      </c>
      <c r="H1001">
        <v>0</v>
      </c>
      <c r="I1001" s="21">
        <v>8091.3</v>
      </c>
      <c r="J1001" t="str">
        <f t="shared" si="76"/>
        <v>tier - 3</v>
      </c>
      <c r="K1001" t="s">
        <v>12</v>
      </c>
      <c r="L1001" t="str">
        <f t="shared" si="77"/>
        <v>tier - 1</v>
      </c>
      <c r="M1001" t="s">
        <v>16</v>
      </c>
      <c r="N1001" t="str">
        <f t="shared" si="78"/>
        <v>R1012</v>
      </c>
      <c r="O1001" t="s">
        <v>23</v>
      </c>
    </row>
    <row r="1002" spans="1:15" x14ac:dyDescent="0.35">
      <c r="A1002" t="s">
        <v>1033</v>
      </c>
      <c r="C1002">
        <f t="shared" si="75"/>
        <v>1973</v>
      </c>
      <c r="D1002">
        <v>1973</v>
      </c>
      <c r="E1002" t="str">
        <f t="shared" si="79"/>
        <v>Oct</v>
      </c>
      <c r="F1002" t="s">
        <v>37</v>
      </c>
      <c r="G1002">
        <v>11</v>
      </c>
      <c r="H1002">
        <v>0</v>
      </c>
      <c r="I1002" s="21">
        <v>8112.59</v>
      </c>
      <c r="J1002" t="str">
        <f t="shared" si="76"/>
        <v>tier - 2</v>
      </c>
      <c r="K1002" t="s">
        <v>11</v>
      </c>
      <c r="L1002" t="str">
        <f t="shared" si="77"/>
        <v>tier - 2</v>
      </c>
      <c r="M1002" t="s">
        <v>11</v>
      </c>
      <c r="N1002" t="str">
        <f t="shared" si="78"/>
        <v>R1013</v>
      </c>
      <c r="O1002" t="s">
        <v>13</v>
      </c>
    </row>
    <row r="1003" spans="1:15" x14ac:dyDescent="0.35">
      <c r="A1003" t="s">
        <v>1034</v>
      </c>
      <c r="C1003">
        <f t="shared" si="75"/>
        <v>1978</v>
      </c>
      <c r="D1003">
        <v>1978</v>
      </c>
      <c r="E1003" t="str">
        <f t="shared" si="79"/>
        <v>Sep</v>
      </c>
      <c r="F1003" t="s">
        <v>20</v>
      </c>
      <c r="G1003">
        <v>1</v>
      </c>
      <c r="H1003">
        <v>2</v>
      </c>
      <c r="I1003" s="21">
        <v>8116.27</v>
      </c>
      <c r="J1003" t="str">
        <f t="shared" si="76"/>
        <v>tier - 3</v>
      </c>
      <c r="K1003" t="s">
        <v>12</v>
      </c>
      <c r="L1003" t="str">
        <f t="shared" si="77"/>
        <v>tier - 1</v>
      </c>
      <c r="M1003" t="s">
        <v>16</v>
      </c>
      <c r="N1003" t="str">
        <f t="shared" si="78"/>
        <v>R1012</v>
      </c>
      <c r="O1003" t="s">
        <v>23</v>
      </c>
    </row>
    <row r="1004" spans="1:15" x14ac:dyDescent="0.35">
      <c r="A1004" t="s">
        <v>1035</v>
      </c>
      <c r="C1004">
        <f t="shared" si="75"/>
        <v>1973</v>
      </c>
      <c r="D1004">
        <v>1973</v>
      </c>
      <c r="E1004" t="str">
        <f t="shared" si="79"/>
        <v>Dec</v>
      </c>
      <c r="F1004" t="s">
        <v>30</v>
      </c>
      <c r="G1004">
        <v>16</v>
      </c>
      <c r="H1004">
        <v>0</v>
      </c>
      <c r="I1004" s="21">
        <v>8116.68</v>
      </c>
      <c r="J1004" t="str">
        <f t="shared" si="76"/>
        <v>tier - 3</v>
      </c>
      <c r="K1004" t="s">
        <v>12</v>
      </c>
      <c r="L1004" t="str">
        <f t="shared" si="77"/>
        <v>tier - 1</v>
      </c>
      <c r="M1004" t="s">
        <v>16</v>
      </c>
      <c r="N1004" t="str">
        <f t="shared" si="78"/>
        <v>R1011</v>
      </c>
      <c r="O1004" t="s">
        <v>42</v>
      </c>
    </row>
    <row r="1005" spans="1:15" x14ac:dyDescent="0.35">
      <c r="A1005" t="s">
        <v>1036</v>
      </c>
      <c r="C1005">
        <f t="shared" si="75"/>
        <v>1973</v>
      </c>
      <c r="D1005">
        <v>1973</v>
      </c>
      <c r="E1005" t="str">
        <f t="shared" si="79"/>
        <v>Aug</v>
      </c>
      <c r="F1005" t="s">
        <v>35</v>
      </c>
      <c r="G1005">
        <v>30</v>
      </c>
      <c r="H1005">
        <v>0</v>
      </c>
      <c r="I1005" s="21">
        <v>8124.41</v>
      </c>
      <c r="J1005" t="str">
        <f t="shared" si="76"/>
        <v>tier - 3</v>
      </c>
      <c r="K1005" t="s">
        <v>12</v>
      </c>
      <c r="L1005" t="str">
        <f t="shared" si="77"/>
        <v>tier - 1</v>
      </c>
      <c r="M1005" t="s">
        <v>16</v>
      </c>
      <c r="N1005" t="str">
        <f t="shared" si="78"/>
        <v>R1013</v>
      </c>
      <c r="O1005" t="s">
        <v>13</v>
      </c>
    </row>
    <row r="1006" spans="1:15" x14ac:dyDescent="0.35">
      <c r="A1006" t="s">
        <v>1037</v>
      </c>
      <c r="C1006">
        <f t="shared" si="75"/>
        <v>1973</v>
      </c>
      <c r="D1006">
        <v>1973</v>
      </c>
      <c r="E1006" t="str">
        <f t="shared" si="79"/>
        <v>Sep</v>
      </c>
      <c r="F1006" t="s">
        <v>20</v>
      </c>
      <c r="G1006">
        <v>3</v>
      </c>
      <c r="H1006">
        <v>0</v>
      </c>
      <c r="I1006" s="21">
        <v>8125.78</v>
      </c>
      <c r="J1006" t="str">
        <f t="shared" si="76"/>
        <v>tier - 2</v>
      </c>
      <c r="K1006" t="s">
        <v>11</v>
      </c>
      <c r="L1006" t="str">
        <f t="shared" si="77"/>
        <v>tier - 2</v>
      </c>
      <c r="M1006" t="s">
        <v>11</v>
      </c>
      <c r="N1006" t="str">
        <f t="shared" si="78"/>
        <v>R1013</v>
      </c>
      <c r="O1006" t="s">
        <v>13</v>
      </c>
    </row>
    <row r="1007" spans="1:15" x14ac:dyDescent="0.35">
      <c r="A1007" t="s">
        <v>1038</v>
      </c>
      <c r="C1007">
        <f t="shared" si="75"/>
        <v>1990</v>
      </c>
      <c r="D1007">
        <v>1990</v>
      </c>
      <c r="E1007" t="str">
        <f t="shared" si="79"/>
        <v>Jun</v>
      </c>
      <c r="F1007" t="s">
        <v>18</v>
      </c>
      <c r="G1007">
        <v>21</v>
      </c>
      <c r="H1007">
        <v>3</v>
      </c>
      <c r="I1007" s="21">
        <v>8157.92</v>
      </c>
      <c r="J1007" t="str">
        <f t="shared" si="76"/>
        <v>tier - 2</v>
      </c>
      <c r="K1007" t="s">
        <v>11</v>
      </c>
      <c r="L1007" t="str">
        <f t="shared" si="77"/>
        <v>tier - 3</v>
      </c>
      <c r="M1007" t="s">
        <v>12</v>
      </c>
      <c r="N1007" t="str">
        <f t="shared" si="78"/>
        <v>R1025</v>
      </c>
      <c r="O1007" t="s">
        <v>200</v>
      </c>
    </row>
    <row r="1008" spans="1:15" x14ac:dyDescent="0.35">
      <c r="A1008" t="s">
        <v>1039</v>
      </c>
      <c r="C1008">
        <f t="shared" si="75"/>
        <v>1982</v>
      </c>
      <c r="D1008">
        <v>1982</v>
      </c>
      <c r="E1008" t="str">
        <f t="shared" si="79"/>
        <v>Jun</v>
      </c>
      <c r="F1008" t="s">
        <v>18</v>
      </c>
      <c r="G1008">
        <v>28</v>
      </c>
      <c r="H1008">
        <v>4</v>
      </c>
      <c r="I1008" s="21">
        <v>8162.72</v>
      </c>
      <c r="J1008" t="str">
        <f t="shared" si="76"/>
        <v>tier - 3</v>
      </c>
      <c r="K1008" t="s">
        <v>12</v>
      </c>
      <c r="L1008" t="str">
        <f t="shared" si="77"/>
        <v>tier - 3</v>
      </c>
      <c r="M1008" t="s">
        <v>12</v>
      </c>
      <c r="N1008" t="str">
        <f t="shared" si="78"/>
        <v>R1012</v>
      </c>
      <c r="O1008" t="s">
        <v>23</v>
      </c>
    </row>
    <row r="1009" spans="1:15" x14ac:dyDescent="0.35">
      <c r="A1009" t="s">
        <v>1040</v>
      </c>
      <c r="C1009">
        <f t="shared" si="75"/>
        <v>1963</v>
      </c>
      <c r="D1009">
        <v>1963</v>
      </c>
      <c r="E1009" t="str">
        <f t="shared" si="79"/>
        <v>Nov</v>
      </c>
      <c r="F1009" t="s">
        <v>15</v>
      </c>
      <c r="G1009">
        <v>5</v>
      </c>
      <c r="H1009">
        <v>0</v>
      </c>
      <c r="I1009" s="21">
        <v>8177.9</v>
      </c>
      <c r="J1009" t="str">
        <f t="shared" si="76"/>
        <v>tier - 3</v>
      </c>
      <c r="K1009" t="s">
        <v>12</v>
      </c>
      <c r="L1009" t="str">
        <f t="shared" si="77"/>
        <v>tier - 1</v>
      </c>
      <c r="M1009" t="s">
        <v>16</v>
      </c>
      <c r="N1009" t="str">
        <f t="shared" si="78"/>
        <v>R1013</v>
      </c>
      <c r="O1009" t="s">
        <v>13</v>
      </c>
    </row>
    <row r="1010" spans="1:15" x14ac:dyDescent="0.35">
      <c r="A1010" t="s">
        <v>1041</v>
      </c>
      <c r="C1010">
        <f t="shared" si="75"/>
        <v>1983</v>
      </c>
      <c r="D1010">
        <v>1983</v>
      </c>
      <c r="E1010" t="str">
        <f t="shared" si="79"/>
        <v>Jun</v>
      </c>
      <c r="F1010" t="s">
        <v>18</v>
      </c>
      <c r="G1010">
        <v>8</v>
      </c>
      <c r="H1010">
        <v>3</v>
      </c>
      <c r="I1010" s="21">
        <v>8179.51</v>
      </c>
      <c r="J1010" t="str">
        <f t="shared" si="76"/>
        <v>tier - 2</v>
      </c>
      <c r="K1010" t="s">
        <v>11</v>
      </c>
      <c r="L1010" t="str">
        <f t="shared" si="77"/>
        <v>tier - 2</v>
      </c>
      <c r="M1010" t="s">
        <v>11</v>
      </c>
      <c r="N1010" t="str">
        <f t="shared" si="78"/>
        <v>R1020</v>
      </c>
      <c r="O1010" t="s">
        <v>516</v>
      </c>
    </row>
    <row r="1011" spans="1:15" x14ac:dyDescent="0.35">
      <c r="A1011" t="s">
        <v>1042</v>
      </c>
      <c r="C1011">
        <f t="shared" si="75"/>
        <v>1997</v>
      </c>
      <c r="D1011">
        <v>1997</v>
      </c>
      <c r="E1011" t="str">
        <f t="shared" si="79"/>
        <v>Oct</v>
      </c>
      <c r="F1011" t="s">
        <v>37</v>
      </c>
      <c r="G1011">
        <v>21</v>
      </c>
      <c r="H1011">
        <v>0</v>
      </c>
      <c r="I1011" s="21">
        <v>8182.89</v>
      </c>
      <c r="J1011" t="str">
        <f t="shared" si="76"/>
        <v>tier - 2</v>
      </c>
      <c r="K1011" t="s">
        <v>11</v>
      </c>
      <c r="L1011" t="str">
        <f t="shared" si="77"/>
        <v>tier - 1</v>
      </c>
      <c r="M1011" t="s">
        <v>16</v>
      </c>
      <c r="N1011" t="str">
        <f t="shared" si="78"/>
        <v>R1026</v>
      </c>
      <c r="O1011" t="s">
        <v>535</v>
      </c>
    </row>
    <row r="1012" spans="1:15" x14ac:dyDescent="0.35">
      <c r="A1012" t="s">
        <v>1043</v>
      </c>
      <c r="C1012">
        <f t="shared" si="75"/>
        <v>1962</v>
      </c>
      <c r="D1012">
        <v>1962</v>
      </c>
      <c r="E1012" t="str">
        <f t="shared" si="79"/>
        <v>Nov</v>
      </c>
      <c r="F1012" t="s">
        <v>15</v>
      </c>
      <c r="G1012">
        <v>23</v>
      </c>
      <c r="H1012">
        <v>0</v>
      </c>
      <c r="I1012" s="21">
        <v>8188.12</v>
      </c>
      <c r="J1012" t="str">
        <f t="shared" si="76"/>
        <v>tier - 3</v>
      </c>
      <c r="K1012" t="s">
        <v>12</v>
      </c>
      <c r="L1012" t="str">
        <f t="shared" si="77"/>
        <v>tier - 3</v>
      </c>
      <c r="M1012" t="s">
        <v>12</v>
      </c>
      <c r="N1012" t="str">
        <f t="shared" si="78"/>
        <v>R1013</v>
      </c>
      <c r="O1012" t="s">
        <v>13</v>
      </c>
    </row>
    <row r="1013" spans="1:15" x14ac:dyDescent="0.35">
      <c r="A1013" t="s">
        <v>1044</v>
      </c>
      <c r="C1013">
        <f t="shared" si="75"/>
        <v>1978</v>
      </c>
      <c r="D1013">
        <v>1978</v>
      </c>
      <c r="E1013" t="str">
        <f t="shared" si="79"/>
        <v>Oct</v>
      </c>
      <c r="F1013" t="s">
        <v>37</v>
      </c>
      <c r="G1013">
        <v>24</v>
      </c>
      <c r="H1013">
        <v>2</v>
      </c>
      <c r="I1013" s="21">
        <v>8211.1</v>
      </c>
      <c r="J1013" t="str">
        <f t="shared" si="76"/>
        <v>tier - 2</v>
      </c>
      <c r="K1013" t="s">
        <v>11</v>
      </c>
      <c r="L1013" t="str">
        <f t="shared" si="77"/>
        <v>tier - 3</v>
      </c>
      <c r="M1013" t="s">
        <v>12</v>
      </c>
      <c r="N1013" t="str">
        <f t="shared" si="78"/>
        <v>R1013</v>
      </c>
      <c r="O1013" t="s">
        <v>13</v>
      </c>
    </row>
    <row r="1014" spans="1:15" x14ac:dyDescent="0.35">
      <c r="A1014" t="s">
        <v>1045</v>
      </c>
      <c r="C1014">
        <f t="shared" si="75"/>
        <v>1978</v>
      </c>
      <c r="D1014">
        <v>1978</v>
      </c>
      <c r="E1014" t="str">
        <f t="shared" si="79"/>
        <v>Jun</v>
      </c>
      <c r="F1014" t="s">
        <v>18</v>
      </c>
      <c r="G1014">
        <v>30</v>
      </c>
      <c r="H1014">
        <v>2</v>
      </c>
      <c r="I1014" s="21">
        <v>8219.2000000000007</v>
      </c>
      <c r="J1014" t="str">
        <f t="shared" si="76"/>
        <v>tier - 2</v>
      </c>
      <c r="K1014" t="s">
        <v>11</v>
      </c>
      <c r="L1014" t="str">
        <f t="shared" si="77"/>
        <v>tier - 2</v>
      </c>
      <c r="M1014" t="s">
        <v>11</v>
      </c>
      <c r="N1014" t="str">
        <f t="shared" si="78"/>
        <v>R1013</v>
      </c>
      <c r="O1014" t="s">
        <v>13</v>
      </c>
    </row>
    <row r="1015" spans="1:15" x14ac:dyDescent="0.35">
      <c r="A1015" t="s">
        <v>1046</v>
      </c>
      <c r="C1015">
        <f t="shared" si="75"/>
        <v>1976</v>
      </c>
      <c r="D1015">
        <v>1976</v>
      </c>
      <c r="E1015" t="str">
        <f t="shared" si="79"/>
        <v>Sep</v>
      </c>
      <c r="F1015" t="s">
        <v>20</v>
      </c>
      <c r="G1015">
        <v>3</v>
      </c>
      <c r="H1015">
        <v>1</v>
      </c>
      <c r="I1015" s="21">
        <v>8232.64</v>
      </c>
      <c r="J1015" t="str">
        <f t="shared" si="76"/>
        <v>tier - 2</v>
      </c>
      <c r="K1015" t="s">
        <v>11</v>
      </c>
      <c r="L1015" t="str">
        <f t="shared" si="77"/>
        <v>tier - 3</v>
      </c>
      <c r="M1015" t="s">
        <v>12</v>
      </c>
      <c r="N1015" t="str">
        <f t="shared" si="78"/>
        <v>R1013</v>
      </c>
      <c r="O1015" t="s">
        <v>13</v>
      </c>
    </row>
    <row r="1016" spans="1:15" x14ac:dyDescent="0.35">
      <c r="A1016" t="s">
        <v>1047</v>
      </c>
      <c r="C1016">
        <f t="shared" si="75"/>
        <v>1976</v>
      </c>
      <c r="D1016">
        <v>1976</v>
      </c>
      <c r="E1016" t="str">
        <f t="shared" si="79"/>
        <v>Jun</v>
      </c>
      <c r="F1016" t="s">
        <v>18</v>
      </c>
      <c r="G1016">
        <v>30</v>
      </c>
      <c r="H1016">
        <v>1</v>
      </c>
      <c r="I1016" s="21">
        <v>8233.1</v>
      </c>
      <c r="J1016" t="str">
        <f t="shared" si="76"/>
        <v>tier - 2</v>
      </c>
      <c r="K1016" t="s">
        <v>11</v>
      </c>
      <c r="L1016" t="str">
        <f t="shared" si="77"/>
        <v>tier - 2</v>
      </c>
      <c r="M1016" t="s">
        <v>11</v>
      </c>
      <c r="N1016" t="str">
        <f t="shared" si="78"/>
        <v>R1013</v>
      </c>
      <c r="O1016" t="s">
        <v>13</v>
      </c>
    </row>
    <row r="1017" spans="1:15" x14ac:dyDescent="0.35">
      <c r="A1017" t="s">
        <v>1048</v>
      </c>
      <c r="C1017">
        <f t="shared" si="75"/>
        <v>1976</v>
      </c>
      <c r="D1017">
        <v>1976</v>
      </c>
      <c r="E1017" t="str">
        <f t="shared" si="79"/>
        <v>Sep</v>
      </c>
      <c r="F1017" t="s">
        <v>20</v>
      </c>
      <c r="G1017">
        <v>2</v>
      </c>
      <c r="H1017">
        <v>1</v>
      </c>
      <c r="I1017" s="21">
        <v>8240.59</v>
      </c>
      <c r="J1017" t="str">
        <f t="shared" si="76"/>
        <v>tier - 2</v>
      </c>
      <c r="K1017" t="s">
        <v>11</v>
      </c>
      <c r="L1017" t="str">
        <f t="shared" si="77"/>
        <v>tier - 2</v>
      </c>
      <c r="M1017" t="s">
        <v>11</v>
      </c>
      <c r="N1017" t="str">
        <f t="shared" si="78"/>
        <v>R1013</v>
      </c>
      <c r="O1017" t="s">
        <v>13</v>
      </c>
    </row>
    <row r="1018" spans="1:15" x14ac:dyDescent="0.35">
      <c r="A1018" t="s">
        <v>1049</v>
      </c>
      <c r="C1018">
        <f t="shared" si="75"/>
        <v>1982</v>
      </c>
      <c r="D1018">
        <v>1982</v>
      </c>
      <c r="E1018" t="str">
        <f t="shared" si="79"/>
        <v>Sep</v>
      </c>
      <c r="F1018" t="s">
        <v>20</v>
      </c>
      <c r="G1018">
        <v>27</v>
      </c>
      <c r="H1018">
        <v>3</v>
      </c>
      <c r="I1018" s="21">
        <v>8252.2800000000007</v>
      </c>
      <c r="J1018" t="str">
        <f t="shared" si="76"/>
        <v>tier - 2</v>
      </c>
      <c r="K1018" t="s">
        <v>11</v>
      </c>
      <c r="L1018" t="str">
        <f t="shared" si="77"/>
        <v>tier - 2</v>
      </c>
      <c r="M1018" t="s">
        <v>11</v>
      </c>
      <c r="N1018" t="str">
        <f t="shared" si="78"/>
        <v>R1024</v>
      </c>
      <c r="O1018" t="s">
        <v>247</v>
      </c>
    </row>
    <row r="1019" spans="1:15" x14ac:dyDescent="0.35">
      <c r="A1019" t="s">
        <v>1050</v>
      </c>
      <c r="C1019">
        <f t="shared" si="75"/>
        <v>1964</v>
      </c>
      <c r="D1019">
        <v>1964</v>
      </c>
      <c r="E1019" t="str">
        <f t="shared" si="79"/>
        <v>Sep</v>
      </c>
      <c r="F1019" t="s">
        <v>20</v>
      </c>
      <c r="G1019">
        <v>5</v>
      </c>
      <c r="H1019">
        <v>0</v>
      </c>
      <c r="I1019" s="21">
        <v>8268</v>
      </c>
      <c r="J1019" t="str">
        <f t="shared" si="76"/>
        <v>tier - 3</v>
      </c>
      <c r="K1019" t="s">
        <v>12</v>
      </c>
      <c r="L1019" t="str">
        <f t="shared" si="77"/>
        <v>tier - 3</v>
      </c>
      <c r="M1019" t="s">
        <v>12</v>
      </c>
      <c r="N1019" t="str">
        <f t="shared" si="78"/>
        <v>R1013</v>
      </c>
      <c r="O1019" t="s">
        <v>13</v>
      </c>
    </row>
    <row r="1020" spans="1:15" x14ac:dyDescent="0.35">
      <c r="A1020" t="s">
        <v>1051</v>
      </c>
      <c r="C1020">
        <f t="shared" si="75"/>
        <v>1974</v>
      </c>
      <c r="D1020">
        <v>1974</v>
      </c>
      <c r="E1020" t="str">
        <f t="shared" si="79"/>
        <v>Aug</v>
      </c>
      <c r="F1020" t="s">
        <v>35</v>
      </c>
      <c r="G1020">
        <v>5</v>
      </c>
      <c r="H1020">
        <v>0</v>
      </c>
      <c r="I1020" s="21">
        <v>8269.0400000000009</v>
      </c>
      <c r="J1020" t="str">
        <f t="shared" si="76"/>
        <v>tier - 2</v>
      </c>
      <c r="K1020" t="s">
        <v>11</v>
      </c>
      <c r="L1020" t="str">
        <f t="shared" si="77"/>
        <v>tier - 1</v>
      </c>
      <c r="M1020" t="s">
        <v>16</v>
      </c>
      <c r="N1020" t="str">
        <f t="shared" si="78"/>
        <v>R1011</v>
      </c>
      <c r="O1020" t="s">
        <v>42</v>
      </c>
    </row>
    <row r="1021" spans="1:15" x14ac:dyDescent="0.35">
      <c r="A1021" t="s">
        <v>1052</v>
      </c>
      <c r="C1021">
        <f t="shared" si="75"/>
        <v>2000</v>
      </c>
      <c r="D1021">
        <v>2000</v>
      </c>
      <c r="E1021" t="str">
        <f t="shared" si="79"/>
        <v>Nov</v>
      </c>
      <c r="F1021" t="s">
        <v>15</v>
      </c>
      <c r="G1021">
        <v>28</v>
      </c>
      <c r="H1021">
        <v>0</v>
      </c>
      <c r="I1021" s="21">
        <v>8271.4599999999991</v>
      </c>
      <c r="J1021" t="str">
        <f t="shared" si="76"/>
        <v>tier - 2</v>
      </c>
      <c r="K1021" t="s">
        <v>11</v>
      </c>
      <c r="L1021" t="str">
        <f t="shared" si="77"/>
        <v>tier - 1</v>
      </c>
      <c r="M1021" t="s">
        <v>16</v>
      </c>
      <c r="N1021" t="str">
        <f t="shared" si="78"/>
        <v>R1023</v>
      </c>
      <c r="O1021" t="s">
        <v>249</v>
      </c>
    </row>
    <row r="1022" spans="1:15" x14ac:dyDescent="0.35">
      <c r="A1022" t="s">
        <v>1053</v>
      </c>
      <c r="C1022">
        <f t="shared" si="75"/>
        <v>1974</v>
      </c>
      <c r="D1022">
        <v>1974</v>
      </c>
      <c r="E1022" t="str">
        <f t="shared" si="79"/>
        <v>Sep</v>
      </c>
      <c r="F1022" t="s">
        <v>20</v>
      </c>
      <c r="G1022">
        <v>26</v>
      </c>
      <c r="H1022">
        <v>0</v>
      </c>
      <c r="I1022" s="21">
        <v>8277.52</v>
      </c>
      <c r="J1022" t="str">
        <f t="shared" si="76"/>
        <v>tier - 2</v>
      </c>
      <c r="K1022" t="s">
        <v>11</v>
      </c>
      <c r="L1022" t="str">
        <f t="shared" si="77"/>
        <v>tier - 2</v>
      </c>
      <c r="M1022" t="s">
        <v>11</v>
      </c>
      <c r="N1022" t="str">
        <f t="shared" si="78"/>
        <v>R1011</v>
      </c>
      <c r="O1022" t="s">
        <v>42</v>
      </c>
    </row>
    <row r="1023" spans="1:15" x14ac:dyDescent="0.35">
      <c r="A1023" t="s">
        <v>1054</v>
      </c>
      <c r="C1023">
        <f t="shared" si="75"/>
        <v>1974</v>
      </c>
      <c r="D1023">
        <v>1974</v>
      </c>
      <c r="E1023" t="str">
        <f t="shared" si="79"/>
        <v>Dec</v>
      </c>
      <c r="F1023" t="s">
        <v>30</v>
      </c>
      <c r="G1023">
        <v>22</v>
      </c>
      <c r="H1023">
        <v>0</v>
      </c>
      <c r="I1023" s="21">
        <v>8280.6200000000008</v>
      </c>
      <c r="J1023" t="str">
        <f t="shared" si="76"/>
        <v>tier - 2</v>
      </c>
      <c r="K1023" t="s">
        <v>11</v>
      </c>
      <c r="L1023" t="str">
        <f t="shared" si="77"/>
        <v>tier - 2</v>
      </c>
      <c r="M1023" t="s">
        <v>11</v>
      </c>
      <c r="N1023" t="str">
        <f t="shared" si="78"/>
        <v>R1013</v>
      </c>
      <c r="O1023" t="s">
        <v>13</v>
      </c>
    </row>
    <row r="1024" spans="1:15" x14ac:dyDescent="0.35">
      <c r="A1024" t="s">
        <v>1055</v>
      </c>
      <c r="C1024">
        <f t="shared" si="75"/>
        <v>1974</v>
      </c>
      <c r="D1024">
        <v>1974</v>
      </c>
      <c r="E1024" t="str">
        <f t="shared" si="79"/>
        <v>Jun</v>
      </c>
      <c r="F1024" t="s">
        <v>18</v>
      </c>
      <c r="G1024">
        <v>6</v>
      </c>
      <c r="H1024">
        <v>0</v>
      </c>
      <c r="I1024" s="21">
        <v>8283.68</v>
      </c>
      <c r="J1024" t="str">
        <f t="shared" si="76"/>
        <v>tier - 2</v>
      </c>
      <c r="K1024" t="s">
        <v>11</v>
      </c>
      <c r="L1024" t="str">
        <f t="shared" si="77"/>
        <v>tier - 3</v>
      </c>
      <c r="M1024" t="s">
        <v>12</v>
      </c>
      <c r="N1024" t="str">
        <f t="shared" si="78"/>
        <v>R1013</v>
      </c>
      <c r="O1024" t="s">
        <v>13</v>
      </c>
    </row>
    <row r="1025" spans="1:15" x14ac:dyDescent="0.35">
      <c r="A1025" t="s">
        <v>1056</v>
      </c>
      <c r="C1025">
        <f t="shared" si="75"/>
        <v>1978</v>
      </c>
      <c r="D1025">
        <v>1978</v>
      </c>
      <c r="E1025" t="str">
        <f t="shared" si="79"/>
        <v>Jun</v>
      </c>
      <c r="F1025" t="s">
        <v>18</v>
      </c>
      <c r="G1025">
        <v>26</v>
      </c>
      <c r="H1025">
        <v>2</v>
      </c>
      <c r="I1025" s="21">
        <v>8302.5400000000009</v>
      </c>
      <c r="J1025" t="str">
        <f t="shared" si="76"/>
        <v>tier - 3</v>
      </c>
      <c r="K1025" t="s">
        <v>12</v>
      </c>
      <c r="L1025" t="str">
        <f t="shared" si="77"/>
        <v>tier - 3</v>
      </c>
      <c r="M1025" t="s">
        <v>12</v>
      </c>
      <c r="N1025" t="str">
        <f t="shared" si="78"/>
        <v>R1016</v>
      </c>
      <c r="O1025" t="s">
        <v>168</v>
      </c>
    </row>
    <row r="1026" spans="1:15" x14ac:dyDescent="0.35">
      <c r="A1026" t="s">
        <v>1057</v>
      </c>
      <c r="C1026">
        <f t="shared" si="75"/>
        <v>1979</v>
      </c>
      <c r="D1026">
        <v>1979</v>
      </c>
      <c r="E1026" t="str">
        <f t="shared" si="79"/>
        <v>Aug</v>
      </c>
      <c r="F1026" t="s">
        <v>35</v>
      </c>
      <c r="G1026">
        <v>7</v>
      </c>
      <c r="H1026">
        <v>2</v>
      </c>
      <c r="I1026" s="21">
        <v>8310.84</v>
      </c>
      <c r="J1026" t="str">
        <f t="shared" si="76"/>
        <v>tier - 2</v>
      </c>
      <c r="K1026" t="s">
        <v>11</v>
      </c>
      <c r="L1026" t="str">
        <f t="shared" si="77"/>
        <v>tier - 2</v>
      </c>
      <c r="M1026" t="s">
        <v>11</v>
      </c>
      <c r="N1026" t="str">
        <f t="shared" si="78"/>
        <v>R1012</v>
      </c>
      <c r="O1026" t="s">
        <v>23</v>
      </c>
    </row>
    <row r="1027" spans="1:15" x14ac:dyDescent="0.35">
      <c r="A1027" t="s">
        <v>1058</v>
      </c>
      <c r="C1027">
        <f t="shared" ref="C1027:C1090" si="80">IF(OR(D1027="?", ISBLANK(D1027)), 1983, D1027)</f>
        <v>1993</v>
      </c>
      <c r="D1027">
        <v>1993</v>
      </c>
      <c r="E1027" t="str">
        <f t="shared" si="79"/>
        <v>Jun</v>
      </c>
      <c r="F1027" t="s">
        <v>18</v>
      </c>
      <c r="G1027">
        <v>22</v>
      </c>
      <c r="H1027">
        <v>0</v>
      </c>
      <c r="I1027" s="21">
        <v>8314.65</v>
      </c>
      <c r="J1027" t="str">
        <f t="shared" ref="J1027:J1090" si="81">IF(OR(K1027="?", ISBLANK(K1027)), "Tier 2", K1027)</f>
        <v>tier - 2</v>
      </c>
      <c r="K1027" t="s">
        <v>11</v>
      </c>
      <c r="L1027" t="str">
        <f t="shared" ref="L1027:L1090" si="82">IF(OR(M1027="?", ISBLANK(M1027)), "Tier 2", M1027)</f>
        <v>tier - 1</v>
      </c>
      <c r="M1027" t="s">
        <v>16</v>
      </c>
      <c r="N1027" t="str">
        <f t="shared" ref="N1027:N1090" si="83">IF(OR(O1027="?", ISBLANK(O1027)), "Unknown", O1027)</f>
        <v>R1012</v>
      </c>
      <c r="O1027" t="s">
        <v>23</v>
      </c>
    </row>
    <row r="1028" spans="1:15" x14ac:dyDescent="0.35">
      <c r="A1028" t="s">
        <v>1059</v>
      </c>
      <c r="C1028">
        <f t="shared" si="80"/>
        <v>1976</v>
      </c>
      <c r="D1028">
        <v>1976</v>
      </c>
      <c r="E1028" t="str">
        <f t="shared" ref="E1028:E1091" si="84">IF(OR(F1028="?", ISBLANK(F1028)), "Sep", F1028)</f>
        <v>Jul</v>
      </c>
      <c r="F1028" t="s">
        <v>10</v>
      </c>
      <c r="G1028">
        <v>12</v>
      </c>
      <c r="H1028">
        <v>1</v>
      </c>
      <c r="I1028" s="21">
        <v>8334.4599999999991</v>
      </c>
      <c r="J1028" t="str">
        <f t="shared" si="81"/>
        <v>tier - 3</v>
      </c>
      <c r="K1028" t="s">
        <v>12</v>
      </c>
      <c r="L1028" t="str">
        <f t="shared" si="82"/>
        <v>tier - 2</v>
      </c>
      <c r="M1028" t="s">
        <v>11</v>
      </c>
      <c r="N1028" t="str">
        <f t="shared" si="83"/>
        <v>R1016</v>
      </c>
      <c r="O1028" t="s">
        <v>168</v>
      </c>
    </row>
    <row r="1029" spans="1:15" x14ac:dyDescent="0.35">
      <c r="A1029" t="s">
        <v>1060</v>
      </c>
      <c r="C1029">
        <f t="shared" si="80"/>
        <v>1976</v>
      </c>
      <c r="D1029">
        <v>1976</v>
      </c>
      <c r="E1029" t="str">
        <f t="shared" si="84"/>
        <v>Jul</v>
      </c>
      <c r="F1029" t="s">
        <v>10</v>
      </c>
      <c r="G1029">
        <v>20</v>
      </c>
      <c r="H1029">
        <v>1</v>
      </c>
      <c r="I1029" s="21">
        <v>8334.59</v>
      </c>
      <c r="J1029" t="str">
        <f t="shared" si="81"/>
        <v>tier - 3</v>
      </c>
      <c r="K1029" t="s">
        <v>12</v>
      </c>
      <c r="L1029" t="str">
        <f t="shared" si="82"/>
        <v>tier - 2</v>
      </c>
      <c r="M1029" t="s">
        <v>11</v>
      </c>
      <c r="N1029" t="str">
        <f t="shared" si="83"/>
        <v>R1016</v>
      </c>
      <c r="O1029" t="s">
        <v>168</v>
      </c>
    </row>
    <row r="1030" spans="1:15" x14ac:dyDescent="0.35">
      <c r="A1030" t="s">
        <v>1061</v>
      </c>
      <c r="C1030">
        <f t="shared" si="80"/>
        <v>1976</v>
      </c>
      <c r="D1030">
        <v>1976</v>
      </c>
      <c r="E1030" t="str">
        <f t="shared" si="84"/>
        <v>Jul</v>
      </c>
      <c r="F1030" t="s">
        <v>10</v>
      </c>
      <c r="G1030">
        <v>7</v>
      </c>
      <c r="H1030">
        <v>1</v>
      </c>
      <c r="I1030" s="21">
        <v>8342.91</v>
      </c>
      <c r="J1030" t="str">
        <f t="shared" si="81"/>
        <v>tier - 3</v>
      </c>
      <c r="K1030" t="s">
        <v>12</v>
      </c>
      <c r="L1030" t="str">
        <f t="shared" si="82"/>
        <v>tier - 1</v>
      </c>
      <c r="M1030" t="s">
        <v>16</v>
      </c>
      <c r="N1030" t="str">
        <f t="shared" si="83"/>
        <v>R1016</v>
      </c>
      <c r="O1030" t="s">
        <v>168</v>
      </c>
    </row>
    <row r="1031" spans="1:15" x14ac:dyDescent="0.35">
      <c r="A1031" t="s">
        <v>1062</v>
      </c>
      <c r="C1031">
        <f t="shared" si="80"/>
        <v>1976</v>
      </c>
      <c r="D1031">
        <v>1976</v>
      </c>
      <c r="E1031" t="str">
        <f t="shared" si="84"/>
        <v>Jun</v>
      </c>
      <c r="F1031" t="s">
        <v>18</v>
      </c>
      <c r="G1031">
        <v>12</v>
      </c>
      <c r="H1031">
        <v>2</v>
      </c>
      <c r="I1031" s="21">
        <v>8347.16</v>
      </c>
      <c r="J1031" t="str">
        <f t="shared" si="81"/>
        <v>tier - 2</v>
      </c>
      <c r="K1031" t="s">
        <v>11</v>
      </c>
      <c r="L1031" t="str">
        <f t="shared" si="82"/>
        <v>tier - 1</v>
      </c>
      <c r="M1031" t="s">
        <v>16</v>
      </c>
      <c r="N1031" t="str">
        <f t="shared" si="83"/>
        <v>R1013</v>
      </c>
      <c r="O1031" t="s">
        <v>13</v>
      </c>
    </row>
    <row r="1032" spans="1:15" x14ac:dyDescent="0.35">
      <c r="A1032" t="s">
        <v>1063</v>
      </c>
      <c r="C1032">
        <f t="shared" si="80"/>
        <v>1963</v>
      </c>
      <c r="D1032">
        <v>1963</v>
      </c>
      <c r="E1032" t="str">
        <f t="shared" si="84"/>
        <v>Sep</v>
      </c>
      <c r="F1032" t="s">
        <v>20</v>
      </c>
      <c r="G1032">
        <v>21</v>
      </c>
      <c r="H1032">
        <v>0</v>
      </c>
      <c r="I1032" s="21">
        <v>8355.5400000000009</v>
      </c>
      <c r="J1032" t="str">
        <f t="shared" si="81"/>
        <v>tier - 3</v>
      </c>
      <c r="K1032" t="s">
        <v>12</v>
      </c>
      <c r="L1032" t="str">
        <f t="shared" si="82"/>
        <v>tier - 3</v>
      </c>
      <c r="M1032" t="s">
        <v>12</v>
      </c>
      <c r="N1032" t="str">
        <f t="shared" si="83"/>
        <v>R1012</v>
      </c>
      <c r="O1032" t="s">
        <v>23</v>
      </c>
    </row>
    <row r="1033" spans="1:15" x14ac:dyDescent="0.35">
      <c r="A1033" t="s">
        <v>1064</v>
      </c>
      <c r="C1033">
        <f t="shared" si="80"/>
        <v>1971</v>
      </c>
      <c r="D1033">
        <v>1971</v>
      </c>
      <c r="E1033" t="str">
        <f t="shared" si="84"/>
        <v>Sep</v>
      </c>
      <c r="F1033" t="s">
        <v>20</v>
      </c>
      <c r="G1033">
        <v>4</v>
      </c>
      <c r="H1033">
        <v>0</v>
      </c>
      <c r="I1033" s="21">
        <v>8396.6200000000008</v>
      </c>
      <c r="J1033" t="str">
        <f t="shared" si="81"/>
        <v>tier - 2</v>
      </c>
      <c r="K1033" t="s">
        <v>11</v>
      </c>
      <c r="L1033" t="str">
        <f t="shared" si="82"/>
        <v>tier - 3</v>
      </c>
      <c r="M1033" t="s">
        <v>12</v>
      </c>
      <c r="N1033" t="str">
        <f t="shared" si="83"/>
        <v>R1013</v>
      </c>
      <c r="O1033" t="s">
        <v>13</v>
      </c>
    </row>
    <row r="1034" spans="1:15" x14ac:dyDescent="0.35">
      <c r="A1034" t="s">
        <v>1065</v>
      </c>
      <c r="C1034">
        <f t="shared" si="80"/>
        <v>1971</v>
      </c>
      <c r="D1034">
        <v>1971</v>
      </c>
      <c r="E1034" t="str">
        <f t="shared" si="84"/>
        <v>Sep</v>
      </c>
      <c r="F1034" t="s">
        <v>20</v>
      </c>
      <c r="G1034">
        <v>18</v>
      </c>
      <c r="H1034">
        <v>0</v>
      </c>
      <c r="I1034" s="21">
        <v>8400.01</v>
      </c>
      <c r="J1034" t="str">
        <f t="shared" si="81"/>
        <v>tier - 2</v>
      </c>
      <c r="K1034" t="s">
        <v>11</v>
      </c>
      <c r="L1034" t="str">
        <f t="shared" si="82"/>
        <v>tier - 3</v>
      </c>
      <c r="M1034" t="s">
        <v>12</v>
      </c>
      <c r="N1034" t="str">
        <f t="shared" si="83"/>
        <v>R1013</v>
      </c>
      <c r="O1034" t="s">
        <v>13</v>
      </c>
    </row>
    <row r="1035" spans="1:15" x14ac:dyDescent="0.35">
      <c r="A1035" t="s">
        <v>1066</v>
      </c>
      <c r="C1035">
        <f t="shared" si="80"/>
        <v>1979</v>
      </c>
      <c r="D1035">
        <v>1979</v>
      </c>
      <c r="E1035" t="str">
        <f t="shared" si="84"/>
        <v>Jun</v>
      </c>
      <c r="F1035" t="s">
        <v>18</v>
      </c>
      <c r="G1035">
        <v>11</v>
      </c>
      <c r="H1035">
        <v>3</v>
      </c>
      <c r="I1035" s="21">
        <v>8410.0499999999993</v>
      </c>
      <c r="J1035" t="str">
        <f t="shared" si="81"/>
        <v>tier - 2</v>
      </c>
      <c r="K1035" t="s">
        <v>11</v>
      </c>
      <c r="L1035" t="str">
        <f t="shared" si="82"/>
        <v>tier - 2</v>
      </c>
      <c r="M1035" t="s">
        <v>11</v>
      </c>
      <c r="N1035" t="str">
        <f t="shared" si="83"/>
        <v>R1012</v>
      </c>
      <c r="O1035" t="s">
        <v>23</v>
      </c>
    </row>
    <row r="1036" spans="1:15" x14ac:dyDescent="0.35">
      <c r="A1036" t="s">
        <v>1067</v>
      </c>
      <c r="C1036">
        <f t="shared" si="80"/>
        <v>1977</v>
      </c>
      <c r="D1036">
        <v>1977</v>
      </c>
      <c r="E1036" t="str">
        <f t="shared" si="84"/>
        <v>Sep</v>
      </c>
      <c r="F1036" t="s">
        <v>20</v>
      </c>
      <c r="G1036">
        <v>4</v>
      </c>
      <c r="H1036">
        <v>2</v>
      </c>
      <c r="I1036" s="21">
        <v>8413.4599999999991</v>
      </c>
      <c r="J1036" t="str">
        <f t="shared" si="81"/>
        <v>tier - 3</v>
      </c>
      <c r="K1036" t="s">
        <v>12</v>
      </c>
      <c r="L1036" t="str">
        <f t="shared" si="82"/>
        <v>tier - 1</v>
      </c>
      <c r="M1036" t="s">
        <v>16</v>
      </c>
      <c r="N1036" t="str">
        <f t="shared" si="83"/>
        <v>R1012</v>
      </c>
      <c r="O1036" t="s">
        <v>23</v>
      </c>
    </row>
    <row r="1037" spans="1:15" x14ac:dyDescent="0.35">
      <c r="A1037" t="s">
        <v>1068</v>
      </c>
      <c r="C1037">
        <f t="shared" si="80"/>
        <v>1975</v>
      </c>
      <c r="D1037">
        <v>1975</v>
      </c>
      <c r="E1037" t="str">
        <f t="shared" si="84"/>
        <v>Sep</v>
      </c>
      <c r="F1037" t="s">
        <v>20</v>
      </c>
      <c r="G1037">
        <v>28</v>
      </c>
      <c r="H1037">
        <v>1</v>
      </c>
      <c r="I1037" s="21">
        <v>8428.07</v>
      </c>
      <c r="J1037" t="str">
        <f t="shared" si="81"/>
        <v>tier - 3</v>
      </c>
      <c r="K1037" t="s">
        <v>12</v>
      </c>
      <c r="L1037" t="str">
        <f t="shared" si="82"/>
        <v>tier - 2</v>
      </c>
      <c r="M1037" t="s">
        <v>11</v>
      </c>
      <c r="N1037" t="str">
        <f t="shared" si="83"/>
        <v>R1012</v>
      </c>
      <c r="O1037" t="s">
        <v>23</v>
      </c>
    </row>
    <row r="1038" spans="1:15" x14ac:dyDescent="0.35">
      <c r="A1038" t="s">
        <v>1069</v>
      </c>
      <c r="C1038">
        <f t="shared" si="80"/>
        <v>1963</v>
      </c>
      <c r="D1038">
        <v>1963</v>
      </c>
      <c r="E1038" t="str">
        <f t="shared" si="84"/>
        <v>Sep</v>
      </c>
      <c r="F1038" t="s">
        <v>20</v>
      </c>
      <c r="G1038">
        <v>24</v>
      </c>
      <c r="H1038">
        <v>0</v>
      </c>
      <c r="I1038" s="21">
        <v>8440.0499999999993</v>
      </c>
      <c r="J1038" t="str">
        <f t="shared" si="81"/>
        <v>tier - 3</v>
      </c>
      <c r="K1038" t="s">
        <v>12</v>
      </c>
      <c r="L1038" t="str">
        <f t="shared" si="82"/>
        <v>tier - 2</v>
      </c>
      <c r="M1038" t="s">
        <v>11</v>
      </c>
      <c r="N1038" t="str">
        <f t="shared" si="83"/>
        <v>R1013</v>
      </c>
      <c r="O1038" t="s">
        <v>13</v>
      </c>
    </row>
    <row r="1039" spans="1:15" x14ac:dyDescent="0.35">
      <c r="A1039" t="s">
        <v>1070</v>
      </c>
      <c r="C1039">
        <f t="shared" si="80"/>
        <v>1972</v>
      </c>
      <c r="D1039">
        <v>1972</v>
      </c>
      <c r="E1039" t="str">
        <f t="shared" si="84"/>
        <v>Sep</v>
      </c>
      <c r="F1039" t="s">
        <v>20</v>
      </c>
      <c r="G1039">
        <v>9</v>
      </c>
      <c r="H1039">
        <v>0</v>
      </c>
      <c r="I1039" s="21">
        <v>8442.67</v>
      </c>
      <c r="J1039" t="str">
        <f t="shared" si="81"/>
        <v>tier - 2</v>
      </c>
      <c r="K1039" t="s">
        <v>11</v>
      </c>
      <c r="L1039" t="str">
        <f t="shared" si="82"/>
        <v>tier - 3</v>
      </c>
      <c r="M1039" t="s">
        <v>12</v>
      </c>
      <c r="N1039" t="str">
        <f t="shared" si="83"/>
        <v>R1013</v>
      </c>
      <c r="O1039" t="s">
        <v>13</v>
      </c>
    </row>
    <row r="1040" spans="1:15" x14ac:dyDescent="0.35">
      <c r="A1040" t="s">
        <v>1071</v>
      </c>
      <c r="C1040">
        <f t="shared" si="80"/>
        <v>1972</v>
      </c>
      <c r="D1040">
        <v>1972</v>
      </c>
      <c r="E1040" t="str">
        <f t="shared" si="84"/>
        <v>Sep</v>
      </c>
      <c r="F1040" t="s">
        <v>20</v>
      </c>
      <c r="G1040">
        <v>4</v>
      </c>
      <c r="H1040">
        <v>0</v>
      </c>
      <c r="I1040" s="21">
        <v>8444.4699999999993</v>
      </c>
      <c r="J1040" t="str">
        <f t="shared" si="81"/>
        <v>tier - 3</v>
      </c>
      <c r="K1040" t="s">
        <v>12</v>
      </c>
      <c r="L1040" t="str">
        <f t="shared" si="82"/>
        <v>tier - 1</v>
      </c>
      <c r="M1040" t="s">
        <v>16</v>
      </c>
      <c r="N1040" t="str">
        <f t="shared" si="83"/>
        <v>R1011</v>
      </c>
      <c r="O1040" t="s">
        <v>42</v>
      </c>
    </row>
    <row r="1041" spans="1:15" x14ac:dyDescent="0.35">
      <c r="A1041" t="s">
        <v>1072</v>
      </c>
      <c r="C1041">
        <f t="shared" si="80"/>
        <v>1966</v>
      </c>
      <c r="D1041">
        <v>1966</v>
      </c>
      <c r="E1041" t="str">
        <f t="shared" si="84"/>
        <v>Jun</v>
      </c>
      <c r="F1041" t="s">
        <v>18</v>
      </c>
      <c r="G1041">
        <v>12</v>
      </c>
      <c r="H1041">
        <v>0</v>
      </c>
      <c r="I1041" s="21">
        <v>8448.66</v>
      </c>
      <c r="J1041" t="str">
        <f t="shared" si="81"/>
        <v>tier - 3</v>
      </c>
      <c r="K1041" t="s">
        <v>12</v>
      </c>
      <c r="L1041" t="str">
        <f t="shared" si="82"/>
        <v>tier - 1</v>
      </c>
      <c r="M1041" t="s">
        <v>16</v>
      </c>
      <c r="N1041" t="str">
        <f t="shared" si="83"/>
        <v>R1013</v>
      </c>
      <c r="O1041" t="s">
        <v>13</v>
      </c>
    </row>
    <row r="1042" spans="1:15" x14ac:dyDescent="0.35">
      <c r="A1042" t="s">
        <v>1073</v>
      </c>
      <c r="C1042">
        <f t="shared" si="80"/>
        <v>1984</v>
      </c>
      <c r="D1042">
        <v>1984</v>
      </c>
      <c r="E1042" t="str">
        <f t="shared" si="84"/>
        <v>Jun</v>
      </c>
      <c r="F1042" t="s">
        <v>18</v>
      </c>
      <c r="G1042">
        <v>19</v>
      </c>
      <c r="H1042">
        <v>3</v>
      </c>
      <c r="I1042" s="21">
        <v>8450.82</v>
      </c>
      <c r="J1042" t="str">
        <f t="shared" si="81"/>
        <v>tier - 2</v>
      </c>
      <c r="K1042" t="s">
        <v>11</v>
      </c>
      <c r="L1042" t="str">
        <f t="shared" si="82"/>
        <v>tier - 2</v>
      </c>
      <c r="M1042" t="s">
        <v>11</v>
      </c>
      <c r="N1042" t="str">
        <f t="shared" si="83"/>
        <v>R1025</v>
      </c>
      <c r="O1042" t="s">
        <v>200</v>
      </c>
    </row>
    <row r="1043" spans="1:15" x14ac:dyDescent="0.35">
      <c r="A1043" t="s">
        <v>1074</v>
      </c>
      <c r="C1043">
        <f t="shared" si="80"/>
        <v>1972</v>
      </c>
      <c r="D1043">
        <v>1972</v>
      </c>
      <c r="E1043" t="str">
        <f t="shared" si="84"/>
        <v>Dec</v>
      </c>
      <c r="F1043" t="s">
        <v>30</v>
      </c>
      <c r="G1043">
        <v>26</v>
      </c>
      <c r="H1043">
        <v>0</v>
      </c>
      <c r="I1043" s="21">
        <v>8457.82</v>
      </c>
      <c r="J1043" t="str">
        <f t="shared" si="81"/>
        <v>tier - 2</v>
      </c>
      <c r="K1043" t="s">
        <v>11</v>
      </c>
      <c r="L1043" t="str">
        <f t="shared" si="82"/>
        <v>tier - 3</v>
      </c>
      <c r="M1043" t="s">
        <v>12</v>
      </c>
      <c r="N1043" t="str">
        <f t="shared" si="83"/>
        <v>R1011</v>
      </c>
      <c r="O1043" t="s">
        <v>42</v>
      </c>
    </row>
    <row r="1044" spans="1:15" x14ac:dyDescent="0.35">
      <c r="A1044" t="s">
        <v>1075</v>
      </c>
      <c r="C1044">
        <f t="shared" si="80"/>
        <v>1992</v>
      </c>
      <c r="D1044">
        <v>1992</v>
      </c>
      <c r="E1044" t="str">
        <f t="shared" si="84"/>
        <v>Sep</v>
      </c>
      <c r="F1044" t="s">
        <v>20</v>
      </c>
      <c r="G1044">
        <v>9</v>
      </c>
      <c r="H1044">
        <v>0</v>
      </c>
      <c r="I1044" s="21">
        <v>8466.35</v>
      </c>
      <c r="J1044" t="str">
        <f t="shared" si="81"/>
        <v>tier - 2</v>
      </c>
      <c r="K1044" t="s">
        <v>11</v>
      </c>
      <c r="L1044" t="str">
        <f t="shared" si="82"/>
        <v>tier - 2</v>
      </c>
      <c r="M1044" t="s">
        <v>11</v>
      </c>
      <c r="N1044" t="str">
        <f t="shared" si="83"/>
        <v>R1012</v>
      </c>
      <c r="O1044" t="s">
        <v>23</v>
      </c>
    </row>
    <row r="1045" spans="1:15" x14ac:dyDescent="0.35">
      <c r="A1045" t="s">
        <v>1076</v>
      </c>
      <c r="C1045">
        <f t="shared" si="80"/>
        <v>1993</v>
      </c>
      <c r="D1045">
        <v>1993</v>
      </c>
      <c r="E1045" t="str">
        <f t="shared" si="84"/>
        <v>Nov</v>
      </c>
      <c r="F1045" t="s">
        <v>15</v>
      </c>
      <c r="G1045">
        <v>10</v>
      </c>
      <c r="H1045">
        <v>0</v>
      </c>
      <c r="I1045" s="21">
        <v>8471.65</v>
      </c>
      <c r="J1045" t="str">
        <f t="shared" si="81"/>
        <v>tier - 2</v>
      </c>
      <c r="K1045" t="s">
        <v>11</v>
      </c>
      <c r="L1045" t="str">
        <f t="shared" si="82"/>
        <v>tier - 1</v>
      </c>
      <c r="M1045" t="s">
        <v>16</v>
      </c>
      <c r="N1045" t="str">
        <f t="shared" si="83"/>
        <v>R1012</v>
      </c>
      <c r="O1045" t="s">
        <v>23</v>
      </c>
    </row>
    <row r="1046" spans="1:15" x14ac:dyDescent="0.35">
      <c r="A1046" t="s">
        <v>1077</v>
      </c>
      <c r="C1046">
        <f t="shared" si="80"/>
        <v>1977</v>
      </c>
      <c r="D1046">
        <v>1977</v>
      </c>
      <c r="E1046" t="str">
        <f t="shared" si="84"/>
        <v>Dec</v>
      </c>
      <c r="F1046" t="s">
        <v>30</v>
      </c>
      <c r="G1046">
        <v>26</v>
      </c>
      <c r="H1046">
        <v>2</v>
      </c>
      <c r="I1046" s="21">
        <v>8515.76</v>
      </c>
      <c r="J1046" t="str">
        <f t="shared" si="81"/>
        <v>tier - 2</v>
      </c>
      <c r="K1046" t="s">
        <v>11</v>
      </c>
      <c r="L1046" t="str">
        <f t="shared" si="82"/>
        <v>tier - 2</v>
      </c>
      <c r="M1046" t="s">
        <v>11</v>
      </c>
      <c r="N1046" t="str">
        <f t="shared" si="83"/>
        <v>R1013</v>
      </c>
      <c r="O1046" t="s">
        <v>13</v>
      </c>
    </row>
    <row r="1047" spans="1:15" x14ac:dyDescent="0.35">
      <c r="A1047" t="s">
        <v>1078</v>
      </c>
      <c r="C1047">
        <f t="shared" si="80"/>
        <v>1977</v>
      </c>
      <c r="D1047">
        <v>1977</v>
      </c>
      <c r="E1047" t="str">
        <f t="shared" si="84"/>
        <v>Jun</v>
      </c>
      <c r="F1047" t="s">
        <v>18</v>
      </c>
      <c r="G1047">
        <v>21</v>
      </c>
      <c r="H1047">
        <v>2</v>
      </c>
      <c r="I1047" s="21">
        <v>8516.83</v>
      </c>
      <c r="J1047" t="str">
        <f t="shared" si="81"/>
        <v>tier - 2</v>
      </c>
      <c r="K1047" t="s">
        <v>11</v>
      </c>
      <c r="L1047" t="str">
        <f t="shared" si="82"/>
        <v>tier - 1</v>
      </c>
      <c r="M1047" t="s">
        <v>16</v>
      </c>
      <c r="N1047" t="str">
        <f t="shared" si="83"/>
        <v>R1013</v>
      </c>
      <c r="O1047" t="s">
        <v>13</v>
      </c>
    </row>
    <row r="1048" spans="1:15" x14ac:dyDescent="0.35">
      <c r="A1048" t="s">
        <v>1079</v>
      </c>
      <c r="C1048">
        <f t="shared" si="80"/>
        <v>1977</v>
      </c>
      <c r="D1048">
        <v>1977</v>
      </c>
      <c r="E1048" t="str">
        <f t="shared" si="84"/>
        <v>Dec</v>
      </c>
      <c r="F1048" t="s">
        <v>30</v>
      </c>
      <c r="G1048">
        <v>29</v>
      </c>
      <c r="H1048">
        <v>2</v>
      </c>
      <c r="I1048" s="21">
        <v>8520.0300000000007</v>
      </c>
      <c r="J1048" t="str">
        <f t="shared" si="81"/>
        <v>tier - 2</v>
      </c>
      <c r="K1048" t="s">
        <v>11</v>
      </c>
      <c r="L1048" t="str">
        <f t="shared" si="82"/>
        <v>tier - 3</v>
      </c>
      <c r="M1048" t="s">
        <v>12</v>
      </c>
      <c r="N1048" t="str">
        <f t="shared" si="83"/>
        <v>R1011</v>
      </c>
      <c r="O1048" t="s">
        <v>42</v>
      </c>
    </row>
    <row r="1049" spans="1:15" x14ac:dyDescent="0.35">
      <c r="A1049" t="s">
        <v>1080</v>
      </c>
      <c r="C1049">
        <f t="shared" si="80"/>
        <v>1979</v>
      </c>
      <c r="D1049">
        <v>1979</v>
      </c>
      <c r="E1049" t="str">
        <f t="shared" si="84"/>
        <v>Aug</v>
      </c>
      <c r="F1049" t="s">
        <v>35</v>
      </c>
      <c r="G1049">
        <v>13</v>
      </c>
      <c r="H1049">
        <v>3</v>
      </c>
      <c r="I1049" s="21">
        <v>8522</v>
      </c>
      <c r="J1049" t="str">
        <f t="shared" si="81"/>
        <v>tier - 2</v>
      </c>
      <c r="K1049" t="s">
        <v>11</v>
      </c>
      <c r="L1049" t="str">
        <f t="shared" si="82"/>
        <v>tier - 2</v>
      </c>
      <c r="M1049" t="s">
        <v>11</v>
      </c>
      <c r="N1049" t="str">
        <f t="shared" si="83"/>
        <v>R1011</v>
      </c>
      <c r="O1049" t="s">
        <v>42</v>
      </c>
    </row>
    <row r="1050" spans="1:15" x14ac:dyDescent="0.35">
      <c r="A1050" t="s">
        <v>1081</v>
      </c>
      <c r="C1050">
        <f t="shared" si="80"/>
        <v>1977</v>
      </c>
      <c r="D1050">
        <v>1977</v>
      </c>
      <c r="E1050" t="str">
        <f t="shared" si="84"/>
        <v>Jul</v>
      </c>
      <c r="F1050" t="s">
        <v>10</v>
      </c>
      <c r="G1050">
        <v>26</v>
      </c>
      <c r="H1050">
        <v>2</v>
      </c>
      <c r="I1050" s="21">
        <v>8527.5300000000007</v>
      </c>
      <c r="J1050" t="str">
        <f t="shared" si="81"/>
        <v>tier - 2</v>
      </c>
      <c r="K1050" t="s">
        <v>11</v>
      </c>
      <c r="L1050" t="str">
        <f t="shared" si="82"/>
        <v>tier - 2</v>
      </c>
      <c r="M1050" t="s">
        <v>11</v>
      </c>
      <c r="N1050" t="str">
        <f t="shared" si="83"/>
        <v>R1013</v>
      </c>
      <c r="O1050" t="s">
        <v>13</v>
      </c>
    </row>
    <row r="1051" spans="1:15" x14ac:dyDescent="0.35">
      <c r="A1051" t="s">
        <v>1082</v>
      </c>
      <c r="C1051">
        <f t="shared" si="80"/>
        <v>1983</v>
      </c>
      <c r="D1051" t="s">
        <v>31</v>
      </c>
      <c r="E1051" t="str">
        <f t="shared" si="84"/>
        <v>Jul</v>
      </c>
      <c r="F1051" t="s">
        <v>10</v>
      </c>
      <c r="G1051">
        <v>24</v>
      </c>
      <c r="H1051">
        <v>0</v>
      </c>
      <c r="I1051" s="21">
        <v>8534.67</v>
      </c>
      <c r="J1051" t="str">
        <f t="shared" si="81"/>
        <v>tier - 2</v>
      </c>
      <c r="K1051" t="s">
        <v>11</v>
      </c>
      <c r="L1051" t="str">
        <f t="shared" si="82"/>
        <v>tier - 3</v>
      </c>
      <c r="M1051" t="s">
        <v>12</v>
      </c>
      <c r="N1051" t="str">
        <f t="shared" si="83"/>
        <v>R1024</v>
      </c>
      <c r="O1051" t="s">
        <v>247</v>
      </c>
    </row>
    <row r="1052" spans="1:15" x14ac:dyDescent="0.35">
      <c r="A1052" t="s">
        <v>1083</v>
      </c>
      <c r="C1052">
        <f t="shared" si="80"/>
        <v>1981</v>
      </c>
      <c r="D1052">
        <v>1981</v>
      </c>
      <c r="E1052" t="str">
        <f t="shared" si="84"/>
        <v>Dec</v>
      </c>
      <c r="F1052" t="s">
        <v>30</v>
      </c>
      <c r="G1052">
        <v>27</v>
      </c>
      <c r="H1052">
        <v>3</v>
      </c>
      <c r="I1052" s="21">
        <v>8538.2900000000009</v>
      </c>
      <c r="J1052" t="str">
        <f t="shared" si="81"/>
        <v>tier - 2</v>
      </c>
      <c r="K1052" t="s">
        <v>11</v>
      </c>
      <c r="L1052" t="str">
        <f t="shared" si="82"/>
        <v>tier - 3</v>
      </c>
      <c r="M1052" t="s">
        <v>12</v>
      </c>
      <c r="N1052" t="str">
        <f t="shared" si="83"/>
        <v>R1024</v>
      </c>
      <c r="O1052" t="s">
        <v>247</v>
      </c>
    </row>
    <row r="1053" spans="1:15" x14ac:dyDescent="0.35">
      <c r="A1053" t="s">
        <v>1084</v>
      </c>
      <c r="C1053">
        <f t="shared" si="80"/>
        <v>1975</v>
      </c>
      <c r="D1053">
        <v>1975</v>
      </c>
      <c r="E1053" t="str">
        <f t="shared" si="84"/>
        <v>Nov</v>
      </c>
      <c r="F1053" t="s">
        <v>15</v>
      </c>
      <c r="G1053">
        <v>6</v>
      </c>
      <c r="H1053">
        <v>1</v>
      </c>
      <c r="I1053" s="21">
        <v>8539.67</v>
      </c>
      <c r="J1053" t="str">
        <f t="shared" si="81"/>
        <v>tier - 2</v>
      </c>
      <c r="K1053" t="s">
        <v>11</v>
      </c>
      <c r="L1053" t="str">
        <f t="shared" si="82"/>
        <v>tier - 3</v>
      </c>
      <c r="M1053" t="s">
        <v>12</v>
      </c>
      <c r="N1053" t="str">
        <f t="shared" si="83"/>
        <v>R1011</v>
      </c>
      <c r="O1053" t="s">
        <v>42</v>
      </c>
    </row>
    <row r="1054" spans="1:15" x14ac:dyDescent="0.35">
      <c r="A1054" t="s">
        <v>1085</v>
      </c>
      <c r="C1054">
        <f t="shared" si="80"/>
        <v>1983</v>
      </c>
      <c r="D1054" t="s">
        <v>31</v>
      </c>
      <c r="E1054" t="str">
        <f t="shared" si="84"/>
        <v>Dec</v>
      </c>
      <c r="F1054" t="s">
        <v>30</v>
      </c>
      <c r="G1054">
        <v>12</v>
      </c>
      <c r="H1054">
        <v>1</v>
      </c>
      <c r="I1054" s="21">
        <v>8547.69</v>
      </c>
      <c r="J1054" t="str">
        <f t="shared" si="81"/>
        <v>tier - 2</v>
      </c>
      <c r="K1054" t="s">
        <v>11</v>
      </c>
      <c r="L1054" t="str">
        <f t="shared" si="82"/>
        <v>tier - 1</v>
      </c>
      <c r="M1054" t="s">
        <v>16</v>
      </c>
      <c r="N1054" t="str">
        <f t="shared" si="83"/>
        <v>R1013</v>
      </c>
      <c r="O1054" t="s">
        <v>13</v>
      </c>
    </row>
    <row r="1055" spans="1:15" x14ac:dyDescent="0.35">
      <c r="A1055" t="s">
        <v>1086</v>
      </c>
      <c r="C1055">
        <f t="shared" si="80"/>
        <v>1975</v>
      </c>
      <c r="D1055">
        <v>1975</v>
      </c>
      <c r="E1055" t="str">
        <f t="shared" si="84"/>
        <v>Aug</v>
      </c>
      <c r="F1055" t="s">
        <v>35</v>
      </c>
      <c r="G1055">
        <v>6</v>
      </c>
      <c r="H1055">
        <v>1</v>
      </c>
      <c r="I1055" s="21">
        <v>8551.35</v>
      </c>
      <c r="J1055" t="str">
        <f t="shared" si="81"/>
        <v>tier - 2</v>
      </c>
      <c r="K1055" t="s">
        <v>11</v>
      </c>
      <c r="L1055" t="str">
        <f t="shared" si="82"/>
        <v>tier - 2</v>
      </c>
      <c r="M1055" t="s">
        <v>11</v>
      </c>
      <c r="N1055" t="str">
        <f t="shared" si="83"/>
        <v>R1011</v>
      </c>
      <c r="O1055" t="s">
        <v>42</v>
      </c>
    </row>
    <row r="1056" spans="1:15" x14ac:dyDescent="0.35">
      <c r="A1056" t="s">
        <v>1087</v>
      </c>
      <c r="C1056">
        <f t="shared" si="80"/>
        <v>1975</v>
      </c>
      <c r="D1056">
        <v>1975</v>
      </c>
      <c r="E1056" t="str">
        <f t="shared" si="84"/>
        <v>Aug</v>
      </c>
      <c r="F1056" t="s">
        <v>35</v>
      </c>
      <c r="G1056">
        <v>21</v>
      </c>
      <c r="H1056">
        <v>1</v>
      </c>
      <c r="I1056" s="21">
        <v>8556.91</v>
      </c>
      <c r="J1056" t="str">
        <f t="shared" si="81"/>
        <v>tier - 2</v>
      </c>
      <c r="K1056" t="s">
        <v>11</v>
      </c>
      <c r="L1056" t="str">
        <f t="shared" si="82"/>
        <v>tier - 1</v>
      </c>
      <c r="M1056" t="s">
        <v>16</v>
      </c>
      <c r="N1056" t="str">
        <f t="shared" si="83"/>
        <v>R1011</v>
      </c>
      <c r="O1056" t="s">
        <v>42</v>
      </c>
    </row>
    <row r="1057" spans="1:15" x14ac:dyDescent="0.35">
      <c r="A1057" t="s">
        <v>1088</v>
      </c>
      <c r="C1057">
        <f t="shared" si="80"/>
        <v>1988</v>
      </c>
      <c r="D1057">
        <v>1988</v>
      </c>
      <c r="E1057" t="str">
        <f t="shared" si="84"/>
        <v>Sep</v>
      </c>
      <c r="F1057" t="s">
        <v>20</v>
      </c>
      <c r="G1057">
        <v>21</v>
      </c>
      <c r="H1057">
        <v>3</v>
      </c>
      <c r="I1057" s="21">
        <v>8567.25</v>
      </c>
      <c r="J1057" t="str">
        <f t="shared" si="81"/>
        <v>tier - 2</v>
      </c>
      <c r="K1057" t="s">
        <v>11</v>
      </c>
      <c r="L1057" t="str">
        <f t="shared" si="82"/>
        <v>tier - 1</v>
      </c>
      <c r="M1057" t="s">
        <v>16</v>
      </c>
      <c r="N1057" t="str">
        <f t="shared" si="83"/>
        <v>R1012</v>
      </c>
      <c r="O1057" t="s">
        <v>23</v>
      </c>
    </row>
    <row r="1058" spans="1:15" x14ac:dyDescent="0.35">
      <c r="A1058" t="s">
        <v>1089</v>
      </c>
      <c r="C1058">
        <f t="shared" si="80"/>
        <v>1975</v>
      </c>
      <c r="D1058">
        <v>1975</v>
      </c>
      <c r="E1058" t="str">
        <f t="shared" si="84"/>
        <v>Sep</v>
      </c>
      <c r="F1058" t="s">
        <v>20</v>
      </c>
      <c r="G1058">
        <v>26</v>
      </c>
      <c r="H1058">
        <v>1</v>
      </c>
      <c r="I1058" s="21">
        <v>8569.86</v>
      </c>
      <c r="J1058" t="str">
        <f t="shared" si="81"/>
        <v>tier - 2</v>
      </c>
      <c r="K1058" t="s">
        <v>11</v>
      </c>
      <c r="L1058" t="str">
        <f t="shared" si="82"/>
        <v>tier - 3</v>
      </c>
      <c r="M1058" t="s">
        <v>12</v>
      </c>
      <c r="N1058" t="str">
        <f t="shared" si="83"/>
        <v>R1013</v>
      </c>
      <c r="O1058" t="s">
        <v>13</v>
      </c>
    </row>
    <row r="1059" spans="1:15" x14ac:dyDescent="0.35">
      <c r="A1059" t="s">
        <v>1090</v>
      </c>
      <c r="C1059">
        <f t="shared" si="80"/>
        <v>1982</v>
      </c>
      <c r="D1059">
        <v>1982</v>
      </c>
      <c r="E1059" t="str">
        <f t="shared" si="84"/>
        <v>Dec</v>
      </c>
      <c r="F1059" t="s">
        <v>30</v>
      </c>
      <c r="G1059">
        <v>6</v>
      </c>
      <c r="H1059">
        <v>3</v>
      </c>
      <c r="I1059" s="21">
        <v>8572.0400000000009</v>
      </c>
      <c r="J1059" t="str">
        <f t="shared" si="81"/>
        <v>tier - 2</v>
      </c>
      <c r="K1059" t="s">
        <v>11</v>
      </c>
      <c r="L1059" t="str">
        <f t="shared" si="82"/>
        <v>tier - 2</v>
      </c>
      <c r="M1059" t="s">
        <v>11</v>
      </c>
      <c r="N1059" t="str">
        <f t="shared" si="83"/>
        <v>R1021</v>
      </c>
      <c r="O1059" t="s">
        <v>300</v>
      </c>
    </row>
    <row r="1060" spans="1:15" x14ac:dyDescent="0.35">
      <c r="A1060" t="s">
        <v>1091</v>
      </c>
      <c r="C1060">
        <f t="shared" si="80"/>
        <v>1987</v>
      </c>
      <c r="D1060">
        <v>1987</v>
      </c>
      <c r="E1060" t="str">
        <f t="shared" si="84"/>
        <v>Nov</v>
      </c>
      <c r="F1060" t="s">
        <v>15</v>
      </c>
      <c r="G1060">
        <v>11</v>
      </c>
      <c r="H1060">
        <v>3</v>
      </c>
      <c r="I1060" s="21">
        <v>8573.2999999999993</v>
      </c>
      <c r="J1060" t="str">
        <f t="shared" si="81"/>
        <v>tier - 2</v>
      </c>
      <c r="K1060" t="s">
        <v>11</v>
      </c>
      <c r="L1060" t="str">
        <f t="shared" si="82"/>
        <v>tier - 2</v>
      </c>
      <c r="M1060" t="s">
        <v>11</v>
      </c>
      <c r="N1060" t="str">
        <f t="shared" si="83"/>
        <v>R1021</v>
      </c>
      <c r="O1060" t="s">
        <v>300</v>
      </c>
    </row>
    <row r="1061" spans="1:15" x14ac:dyDescent="0.35">
      <c r="A1061" t="s">
        <v>1092</v>
      </c>
      <c r="C1061">
        <f t="shared" si="80"/>
        <v>1983</v>
      </c>
      <c r="D1061">
        <v>1983</v>
      </c>
      <c r="E1061" t="str">
        <f t="shared" si="84"/>
        <v>Dec</v>
      </c>
      <c r="F1061" t="s">
        <v>30</v>
      </c>
      <c r="G1061">
        <v>30</v>
      </c>
      <c r="H1061">
        <v>5</v>
      </c>
      <c r="I1061" s="21">
        <v>8582.2999999999993</v>
      </c>
      <c r="J1061" t="str">
        <f t="shared" si="81"/>
        <v>tier - 2</v>
      </c>
      <c r="K1061" t="s">
        <v>11</v>
      </c>
      <c r="L1061" t="str">
        <f t="shared" si="82"/>
        <v>tier - 1</v>
      </c>
      <c r="M1061" t="s">
        <v>16</v>
      </c>
      <c r="N1061" t="str">
        <f t="shared" si="83"/>
        <v>R1013</v>
      </c>
      <c r="O1061" t="s">
        <v>13</v>
      </c>
    </row>
    <row r="1062" spans="1:15" x14ac:dyDescent="0.35">
      <c r="A1062" t="s">
        <v>1093</v>
      </c>
      <c r="C1062">
        <f t="shared" si="80"/>
        <v>1983</v>
      </c>
      <c r="D1062">
        <v>1983</v>
      </c>
      <c r="E1062" t="str">
        <f t="shared" si="84"/>
        <v>Jul</v>
      </c>
      <c r="F1062" t="s">
        <v>10</v>
      </c>
      <c r="G1062">
        <v>25</v>
      </c>
      <c r="H1062">
        <v>5</v>
      </c>
      <c r="I1062" s="21">
        <v>8596.83</v>
      </c>
      <c r="J1062" t="str">
        <f t="shared" si="81"/>
        <v>tier - 2</v>
      </c>
      <c r="K1062" t="s">
        <v>11</v>
      </c>
      <c r="L1062" t="str">
        <f t="shared" si="82"/>
        <v>tier - 3</v>
      </c>
      <c r="M1062" t="s">
        <v>12</v>
      </c>
      <c r="N1062" t="str">
        <f t="shared" si="83"/>
        <v>R1013</v>
      </c>
      <c r="O1062" t="s">
        <v>13</v>
      </c>
    </row>
    <row r="1063" spans="1:15" x14ac:dyDescent="0.35">
      <c r="A1063" t="s">
        <v>1094</v>
      </c>
      <c r="C1063">
        <f t="shared" si="80"/>
        <v>1973</v>
      </c>
      <c r="D1063">
        <v>1973</v>
      </c>
      <c r="E1063" t="str">
        <f t="shared" si="84"/>
        <v>Jul</v>
      </c>
      <c r="F1063" t="s">
        <v>10</v>
      </c>
      <c r="G1063">
        <v>11</v>
      </c>
      <c r="H1063">
        <v>0</v>
      </c>
      <c r="I1063" s="21">
        <v>8601.33</v>
      </c>
      <c r="J1063" t="str">
        <f t="shared" si="81"/>
        <v>tier - 2</v>
      </c>
      <c r="K1063" t="s">
        <v>11</v>
      </c>
      <c r="L1063" t="str">
        <f t="shared" si="82"/>
        <v>tier - 1</v>
      </c>
      <c r="M1063" t="s">
        <v>16</v>
      </c>
      <c r="N1063" t="str">
        <f t="shared" si="83"/>
        <v>R1013</v>
      </c>
      <c r="O1063" t="s">
        <v>13</v>
      </c>
    </row>
    <row r="1064" spans="1:15" x14ac:dyDescent="0.35">
      <c r="A1064" t="s">
        <v>1095</v>
      </c>
      <c r="C1064">
        <f t="shared" si="80"/>
        <v>1977</v>
      </c>
      <c r="D1064">
        <v>1977</v>
      </c>
      <c r="E1064" t="str">
        <f t="shared" si="84"/>
        <v>Sep</v>
      </c>
      <c r="F1064" t="s">
        <v>20</v>
      </c>
      <c r="G1064">
        <v>24</v>
      </c>
      <c r="H1064">
        <v>2</v>
      </c>
      <c r="I1064" s="21">
        <v>8603.82</v>
      </c>
      <c r="J1064" t="str">
        <f t="shared" si="81"/>
        <v>tier - 2</v>
      </c>
      <c r="K1064" t="s">
        <v>11</v>
      </c>
      <c r="L1064" t="str">
        <f t="shared" si="82"/>
        <v>tier - 1</v>
      </c>
      <c r="M1064" t="s">
        <v>16</v>
      </c>
      <c r="N1064" t="str">
        <f t="shared" si="83"/>
        <v>R1019</v>
      </c>
      <c r="O1064" t="s">
        <v>166</v>
      </c>
    </row>
    <row r="1065" spans="1:15" x14ac:dyDescent="0.35">
      <c r="A1065" t="s">
        <v>1096</v>
      </c>
      <c r="C1065">
        <f t="shared" si="80"/>
        <v>1977</v>
      </c>
      <c r="D1065">
        <v>1977</v>
      </c>
      <c r="E1065" t="str">
        <f t="shared" si="84"/>
        <v>Nov</v>
      </c>
      <c r="F1065" t="s">
        <v>15</v>
      </c>
      <c r="G1065">
        <v>12</v>
      </c>
      <c r="H1065">
        <v>2</v>
      </c>
      <c r="I1065" s="21">
        <v>8604.48</v>
      </c>
      <c r="J1065" t="str">
        <f t="shared" si="81"/>
        <v>tier - 3</v>
      </c>
      <c r="K1065" t="s">
        <v>12</v>
      </c>
      <c r="L1065" t="str">
        <f t="shared" si="82"/>
        <v>tier - 2</v>
      </c>
      <c r="M1065" t="s">
        <v>11</v>
      </c>
      <c r="N1065" t="str">
        <f t="shared" si="83"/>
        <v>R1016</v>
      </c>
      <c r="O1065" t="s">
        <v>168</v>
      </c>
    </row>
    <row r="1066" spans="1:15" x14ac:dyDescent="0.35">
      <c r="A1066" t="s">
        <v>1097</v>
      </c>
      <c r="C1066">
        <f t="shared" si="80"/>
        <v>1977</v>
      </c>
      <c r="D1066">
        <v>1977</v>
      </c>
      <c r="E1066" t="str">
        <f t="shared" si="84"/>
        <v>Oct</v>
      </c>
      <c r="F1066" t="s">
        <v>37</v>
      </c>
      <c r="G1066">
        <v>15</v>
      </c>
      <c r="H1066">
        <v>3</v>
      </c>
      <c r="I1066" s="21">
        <v>8605.36</v>
      </c>
      <c r="J1066" t="str">
        <f t="shared" si="81"/>
        <v>tier - 2</v>
      </c>
      <c r="K1066" t="s">
        <v>11</v>
      </c>
      <c r="L1066" t="str">
        <f t="shared" si="82"/>
        <v>tier - 2</v>
      </c>
      <c r="M1066" t="s">
        <v>11</v>
      </c>
      <c r="N1066" t="str">
        <f t="shared" si="83"/>
        <v>R1013</v>
      </c>
      <c r="O1066" t="s">
        <v>13</v>
      </c>
    </row>
    <row r="1067" spans="1:15" x14ac:dyDescent="0.35">
      <c r="A1067" t="s">
        <v>1098</v>
      </c>
      <c r="C1067">
        <f t="shared" si="80"/>
        <v>1979</v>
      </c>
      <c r="D1067">
        <v>1979</v>
      </c>
      <c r="E1067" t="str">
        <f t="shared" si="84"/>
        <v>Jul</v>
      </c>
      <c r="F1067" t="s">
        <v>10</v>
      </c>
      <c r="G1067">
        <v>17</v>
      </c>
      <c r="H1067">
        <v>3</v>
      </c>
      <c r="I1067" s="21">
        <v>8606.2199999999993</v>
      </c>
      <c r="J1067" t="str">
        <f t="shared" si="81"/>
        <v>tier - 1</v>
      </c>
      <c r="K1067" t="s">
        <v>16</v>
      </c>
      <c r="L1067" t="str">
        <f t="shared" si="82"/>
        <v>tier - 2</v>
      </c>
      <c r="M1067" t="s">
        <v>11</v>
      </c>
      <c r="N1067" t="str">
        <f t="shared" si="83"/>
        <v>R1014</v>
      </c>
      <c r="O1067" t="s">
        <v>276</v>
      </c>
    </row>
    <row r="1068" spans="1:15" x14ac:dyDescent="0.35">
      <c r="A1068" t="s">
        <v>1099</v>
      </c>
      <c r="C1068">
        <f t="shared" si="80"/>
        <v>1977</v>
      </c>
      <c r="D1068">
        <v>1977</v>
      </c>
      <c r="E1068" t="str">
        <f t="shared" si="84"/>
        <v>Sep</v>
      </c>
      <c r="F1068" t="s">
        <v>20</v>
      </c>
      <c r="G1068">
        <v>2</v>
      </c>
      <c r="H1068">
        <v>3</v>
      </c>
      <c r="I1068" s="21">
        <v>8615.2999999999993</v>
      </c>
      <c r="J1068" t="str">
        <f t="shared" si="81"/>
        <v>tier - 2</v>
      </c>
      <c r="K1068" t="s">
        <v>11</v>
      </c>
      <c r="L1068" t="str">
        <f t="shared" si="82"/>
        <v>tier - 3</v>
      </c>
      <c r="M1068" t="s">
        <v>12</v>
      </c>
      <c r="N1068" t="str">
        <f t="shared" si="83"/>
        <v>R1011</v>
      </c>
      <c r="O1068" t="s">
        <v>42</v>
      </c>
    </row>
    <row r="1069" spans="1:15" x14ac:dyDescent="0.35">
      <c r="A1069" t="s">
        <v>1100</v>
      </c>
      <c r="C1069">
        <f t="shared" si="80"/>
        <v>1975</v>
      </c>
      <c r="D1069">
        <v>1975</v>
      </c>
      <c r="E1069" t="str">
        <f t="shared" si="84"/>
        <v>Aug</v>
      </c>
      <c r="F1069" t="s">
        <v>35</v>
      </c>
      <c r="G1069">
        <v>3</v>
      </c>
      <c r="H1069">
        <v>1</v>
      </c>
      <c r="I1069" s="21">
        <v>8627.5400000000009</v>
      </c>
      <c r="J1069" t="str">
        <f t="shared" si="81"/>
        <v>tier - 2</v>
      </c>
      <c r="K1069" t="s">
        <v>11</v>
      </c>
      <c r="L1069" t="str">
        <f t="shared" si="82"/>
        <v>tier - 2</v>
      </c>
      <c r="M1069" t="s">
        <v>11</v>
      </c>
      <c r="N1069" t="str">
        <f t="shared" si="83"/>
        <v>R1017</v>
      </c>
      <c r="O1069" t="s">
        <v>356</v>
      </c>
    </row>
    <row r="1070" spans="1:15" x14ac:dyDescent="0.35">
      <c r="A1070" t="s">
        <v>1101</v>
      </c>
      <c r="C1070">
        <f t="shared" si="80"/>
        <v>1965</v>
      </c>
      <c r="D1070">
        <v>1965</v>
      </c>
      <c r="E1070" t="str">
        <f t="shared" si="84"/>
        <v>Oct</v>
      </c>
      <c r="F1070" t="s">
        <v>37</v>
      </c>
      <c r="G1070">
        <v>21</v>
      </c>
      <c r="H1070">
        <v>0</v>
      </c>
      <c r="I1070" s="21">
        <v>8665.09</v>
      </c>
      <c r="J1070" t="str">
        <f t="shared" si="81"/>
        <v>tier - 3</v>
      </c>
      <c r="K1070" t="s">
        <v>12</v>
      </c>
      <c r="L1070" t="str">
        <f t="shared" si="82"/>
        <v>tier - 2</v>
      </c>
      <c r="M1070" t="s">
        <v>11</v>
      </c>
      <c r="N1070" t="str">
        <f t="shared" si="83"/>
        <v>R1012</v>
      </c>
      <c r="O1070" t="s">
        <v>23</v>
      </c>
    </row>
    <row r="1071" spans="1:15" x14ac:dyDescent="0.35">
      <c r="A1071" t="s">
        <v>1102</v>
      </c>
      <c r="C1071">
        <f t="shared" si="80"/>
        <v>1969</v>
      </c>
      <c r="D1071">
        <v>1969</v>
      </c>
      <c r="E1071" t="str">
        <f t="shared" si="84"/>
        <v>Aug</v>
      </c>
      <c r="F1071" t="s">
        <v>35</v>
      </c>
      <c r="G1071">
        <v>10</v>
      </c>
      <c r="H1071">
        <v>0</v>
      </c>
      <c r="I1071" s="21">
        <v>8665.14</v>
      </c>
      <c r="J1071" t="str">
        <f t="shared" si="81"/>
        <v>tier - 2</v>
      </c>
      <c r="K1071" t="s">
        <v>11</v>
      </c>
      <c r="L1071" t="str">
        <f t="shared" si="82"/>
        <v>tier - 3</v>
      </c>
      <c r="M1071" t="s">
        <v>12</v>
      </c>
      <c r="N1071" t="str">
        <f t="shared" si="83"/>
        <v>R1013</v>
      </c>
      <c r="O1071" t="s">
        <v>13</v>
      </c>
    </row>
    <row r="1072" spans="1:15" x14ac:dyDescent="0.35">
      <c r="A1072" t="s">
        <v>1103</v>
      </c>
      <c r="C1072">
        <f t="shared" si="80"/>
        <v>1974</v>
      </c>
      <c r="D1072">
        <v>1974</v>
      </c>
      <c r="E1072" t="str">
        <f t="shared" si="84"/>
        <v>Aug</v>
      </c>
      <c r="F1072" t="s">
        <v>35</v>
      </c>
      <c r="G1072">
        <v>16</v>
      </c>
      <c r="H1072">
        <v>0</v>
      </c>
      <c r="I1072" s="21">
        <v>8671.19</v>
      </c>
      <c r="J1072" t="str">
        <f t="shared" si="81"/>
        <v>tier - 2</v>
      </c>
      <c r="K1072" t="s">
        <v>11</v>
      </c>
      <c r="L1072" t="str">
        <f t="shared" si="82"/>
        <v>tier - 1</v>
      </c>
      <c r="M1072" t="s">
        <v>16</v>
      </c>
      <c r="N1072" t="str">
        <f t="shared" si="83"/>
        <v>R1012</v>
      </c>
      <c r="O1072" t="s">
        <v>23</v>
      </c>
    </row>
    <row r="1073" spans="1:15" x14ac:dyDescent="0.35">
      <c r="A1073" t="s">
        <v>1104</v>
      </c>
      <c r="C1073">
        <f t="shared" si="80"/>
        <v>1973</v>
      </c>
      <c r="D1073">
        <v>1973</v>
      </c>
      <c r="E1073" t="str">
        <f t="shared" si="84"/>
        <v>Oct</v>
      </c>
      <c r="F1073" t="s">
        <v>37</v>
      </c>
      <c r="G1073">
        <v>11</v>
      </c>
      <c r="H1073">
        <v>0</v>
      </c>
      <c r="I1073" s="21">
        <v>8688.86</v>
      </c>
      <c r="J1073" t="str">
        <f t="shared" si="81"/>
        <v>tier - 2</v>
      </c>
      <c r="K1073" t="s">
        <v>11</v>
      </c>
      <c r="L1073" t="str">
        <f t="shared" si="82"/>
        <v>tier - 1</v>
      </c>
      <c r="M1073" t="s">
        <v>16</v>
      </c>
      <c r="N1073" t="str">
        <f t="shared" si="83"/>
        <v>R1017</v>
      </c>
      <c r="O1073" t="s">
        <v>356</v>
      </c>
    </row>
    <row r="1074" spans="1:15" x14ac:dyDescent="0.35">
      <c r="A1074" t="s">
        <v>1105</v>
      </c>
      <c r="C1074">
        <f t="shared" si="80"/>
        <v>1980</v>
      </c>
      <c r="D1074">
        <v>1980</v>
      </c>
      <c r="E1074" t="str">
        <f t="shared" si="84"/>
        <v>Oct</v>
      </c>
      <c r="F1074" t="s">
        <v>37</v>
      </c>
      <c r="G1074">
        <v>28</v>
      </c>
      <c r="H1074">
        <v>2</v>
      </c>
      <c r="I1074" s="21">
        <v>8701.84</v>
      </c>
      <c r="J1074" t="str">
        <f t="shared" si="81"/>
        <v>tier - 2</v>
      </c>
      <c r="K1074" t="s">
        <v>11</v>
      </c>
      <c r="L1074" t="str">
        <f t="shared" si="82"/>
        <v>tier - 3</v>
      </c>
      <c r="M1074" t="s">
        <v>12</v>
      </c>
      <c r="N1074" t="str">
        <f t="shared" si="83"/>
        <v>R1021</v>
      </c>
      <c r="O1074" t="s">
        <v>300</v>
      </c>
    </row>
    <row r="1075" spans="1:15" x14ac:dyDescent="0.35">
      <c r="A1075" t="s">
        <v>1106</v>
      </c>
      <c r="C1075">
        <f t="shared" si="80"/>
        <v>1973</v>
      </c>
      <c r="D1075">
        <v>1973</v>
      </c>
      <c r="E1075" t="str">
        <f t="shared" si="84"/>
        <v>Jun</v>
      </c>
      <c r="F1075" t="s">
        <v>18</v>
      </c>
      <c r="G1075">
        <v>25</v>
      </c>
      <c r="H1075">
        <v>1</v>
      </c>
      <c r="I1075" s="21">
        <v>8703.4599999999991</v>
      </c>
      <c r="J1075" t="str">
        <f t="shared" si="81"/>
        <v>tier - 3</v>
      </c>
      <c r="K1075" t="s">
        <v>12</v>
      </c>
      <c r="L1075" t="str">
        <f t="shared" si="82"/>
        <v>tier - 3</v>
      </c>
      <c r="M1075" t="s">
        <v>12</v>
      </c>
      <c r="N1075" t="str">
        <f t="shared" si="83"/>
        <v>R1011</v>
      </c>
      <c r="O1075" t="s">
        <v>42</v>
      </c>
    </row>
    <row r="1076" spans="1:15" x14ac:dyDescent="0.35">
      <c r="A1076" t="s">
        <v>1107</v>
      </c>
      <c r="C1076">
        <f t="shared" si="80"/>
        <v>1976</v>
      </c>
      <c r="D1076">
        <v>1976</v>
      </c>
      <c r="E1076" t="str">
        <f t="shared" si="84"/>
        <v>Jun</v>
      </c>
      <c r="F1076" t="s">
        <v>18</v>
      </c>
      <c r="G1076">
        <v>17</v>
      </c>
      <c r="H1076">
        <v>2</v>
      </c>
      <c r="I1076" s="21">
        <v>8733.23</v>
      </c>
      <c r="J1076" t="str">
        <f t="shared" si="81"/>
        <v>tier - 2</v>
      </c>
      <c r="K1076" t="s">
        <v>11</v>
      </c>
      <c r="L1076" t="str">
        <f t="shared" si="82"/>
        <v>tier - 3</v>
      </c>
      <c r="M1076" t="s">
        <v>12</v>
      </c>
      <c r="N1076" t="str">
        <f t="shared" si="83"/>
        <v>R1012</v>
      </c>
      <c r="O1076" t="s">
        <v>23</v>
      </c>
    </row>
    <row r="1077" spans="1:15" x14ac:dyDescent="0.35">
      <c r="A1077" t="s">
        <v>1108</v>
      </c>
      <c r="C1077">
        <f t="shared" si="80"/>
        <v>1999</v>
      </c>
      <c r="D1077">
        <v>1999</v>
      </c>
      <c r="E1077" t="str">
        <f t="shared" si="84"/>
        <v>Aug</v>
      </c>
      <c r="F1077" t="s">
        <v>35</v>
      </c>
      <c r="G1077">
        <v>23</v>
      </c>
      <c r="H1077">
        <v>0</v>
      </c>
      <c r="I1077" s="21">
        <v>8747.68</v>
      </c>
      <c r="J1077" t="str">
        <f t="shared" si="81"/>
        <v>tier - 2</v>
      </c>
      <c r="K1077" t="s">
        <v>11</v>
      </c>
      <c r="L1077" t="str">
        <f t="shared" si="82"/>
        <v>tier - 3</v>
      </c>
      <c r="M1077" t="s">
        <v>12</v>
      </c>
      <c r="N1077" t="str">
        <f t="shared" si="83"/>
        <v>R1011</v>
      </c>
      <c r="O1077" t="s">
        <v>42</v>
      </c>
    </row>
    <row r="1078" spans="1:15" x14ac:dyDescent="0.35">
      <c r="A1078" t="s">
        <v>1109</v>
      </c>
      <c r="C1078">
        <f t="shared" si="80"/>
        <v>1969</v>
      </c>
      <c r="D1078">
        <v>1969</v>
      </c>
      <c r="E1078" t="str">
        <f t="shared" si="84"/>
        <v>Sep</v>
      </c>
      <c r="F1078" t="s">
        <v>20</v>
      </c>
      <c r="G1078">
        <v>9</v>
      </c>
      <c r="H1078">
        <v>0</v>
      </c>
      <c r="I1078" s="21">
        <v>8760.1200000000008</v>
      </c>
      <c r="J1078" t="str">
        <f t="shared" si="81"/>
        <v>tier - 2</v>
      </c>
      <c r="K1078" t="s">
        <v>11</v>
      </c>
      <c r="L1078" t="str">
        <f t="shared" si="82"/>
        <v>tier - 1</v>
      </c>
      <c r="M1078" t="s">
        <v>16</v>
      </c>
      <c r="N1078" t="str">
        <f t="shared" si="83"/>
        <v>R1013</v>
      </c>
      <c r="O1078" t="s">
        <v>13</v>
      </c>
    </row>
    <row r="1079" spans="1:15" x14ac:dyDescent="0.35">
      <c r="A1079" t="s">
        <v>1110</v>
      </c>
      <c r="C1079">
        <f t="shared" si="80"/>
        <v>1974</v>
      </c>
      <c r="D1079">
        <v>1974</v>
      </c>
      <c r="E1079" t="str">
        <f t="shared" si="84"/>
        <v>Sep</v>
      </c>
      <c r="F1079" t="s">
        <v>20</v>
      </c>
      <c r="G1079">
        <v>6</v>
      </c>
      <c r="H1079">
        <v>1</v>
      </c>
      <c r="I1079" s="21">
        <v>8765.25</v>
      </c>
      <c r="J1079" t="str">
        <f t="shared" si="81"/>
        <v>tier - 2</v>
      </c>
      <c r="K1079" t="s">
        <v>11</v>
      </c>
      <c r="L1079" t="str">
        <f t="shared" si="82"/>
        <v>tier - 3</v>
      </c>
      <c r="M1079" t="s">
        <v>12</v>
      </c>
      <c r="N1079" t="str">
        <f t="shared" si="83"/>
        <v>R1012</v>
      </c>
      <c r="O1079" t="s">
        <v>23</v>
      </c>
    </row>
    <row r="1080" spans="1:15" x14ac:dyDescent="0.35">
      <c r="A1080" t="s">
        <v>1111</v>
      </c>
      <c r="C1080">
        <f t="shared" si="80"/>
        <v>1971</v>
      </c>
      <c r="D1080">
        <v>1971</v>
      </c>
      <c r="E1080" t="str">
        <f t="shared" si="84"/>
        <v>Aug</v>
      </c>
      <c r="F1080" t="s">
        <v>35</v>
      </c>
      <c r="G1080">
        <v>23</v>
      </c>
      <c r="H1080">
        <v>0</v>
      </c>
      <c r="I1080" s="21">
        <v>8782.4699999999993</v>
      </c>
      <c r="J1080" t="str">
        <f t="shared" si="81"/>
        <v>tier - 2</v>
      </c>
      <c r="K1080" t="s">
        <v>11</v>
      </c>
      <c r="L1080" t="str">
        <f t="shared" si="82"/>
        <v>tier - 3</v>
      </c>
      <c r="M1080" t="s">
        <v>12</v>
      </c>
      <c r="N1080" t="str">
        <f t="shared" si="83"/>
        <v>R1011</v>
      </c>
      <c r="O1080" t="s">
        <v>42</v>
      </c>
    </row>
    <row r="1081" spans="1:15" x14ac:dyDescent="0.35">
      <c r="A1081" t="s">
        <v>1112</v>
      </c>
      <c r="C1081">
        <f t="shared" si="80"/>
        <v>1971</v>
      </c>
      <c r="D1081">
        <v>1971</v>
      </c>
      <c r="E1081" t="str">
        <f t="shared" si="84"/>
        <v>Jun</v>
      </c>
      <c r="F1081" t="s">
        <v>18</v>
      </c>
      <c r="G1081">
        <v>18</v>
      </c>
      <c r="H1081">
        <v>0</v>
      </c>
      <c r="I1081" s="21">
        <v>8798.59</v>
      </c>
      <c r="J1081" t="str">
        <f t="shared" si="81"/>
        <v>tier - 2</v>
      </c>
      <c r="K1081" t="s">
        <v>11</v>
      </c>
      <c r="L1081" t="str">
        <f t="shared" si="82"/>
        <v>tier - 1</v>
      </c>
      <c r="M1081" t="s">
        <v>16</v>
      </c>
      <c r="N1081" t="str">
        <f t="shared" si="83"/>
        <v>R1011</v>
      </c>
      <c r="O1081" t="s">
        <v>42</v>
      </c>
    </row>
    <row r="1082" spans="1:15" x14ac:dyDescent="0.35">
      <c r="A1082" t="s">
        <v>1113</v>
      </c>
      <c r="C1082">
        <f t="shared" si="80"/>
        <v>1965</v>
      </c>
      <c r="D1082">
        <v>1965</v>
      </c>
      <c r="E1082" t="str">
        <f t="shared" si="84"/>
        <v>Aug</v>
      </c>
      <c r="F1082" t="s">
        <v>35</v>
      </c>
      <c r="G1082">
        <v>29</v>
      </c>
      <c r="H1082">
        <v>0</v>
      </c>
      <c r="I1082" s="21">
        <v>8800.49</v>
      </c>
      <c r="J1082" t="str">
        <f t="shared" si="81"/>
        <v>tier - 3</v>
      </c>
      <c r="K1082" t="s">
        <v>12</v>
      </c>
      <c r="L1082" t="str">
        <f t="shared" si="82"/>
        <v>tier - 2</v>
      </c>
      <c r="M1082" t="s">
        <v>11</v>
      </c>
      <c r="N1082" t="str">
        <f t="shared" si="83"/>
        <v>R1013</v>
      </c>
      <c r="O1082" t="s">
        <v>13</v>
      </c>
    </row>
    <row r="1083" spans="1:15" x14ac:dyDescent="0.35">
      <c r="A1083" t="s">
        <v>1114</v>
      </c>
      <c r="C1083">
        <f t="shared" si="80"/>
        <v>2001</v>
      </c>
      <c r="D1083">
        <v>2001</v>
      </c>
      <c r="E1083" t="str">
        <f t="shared" si="84"/>
        <v>Nov</v>
      </c>
      <c r="F1083" t="s">
        <v>15</v>
      </c>
      <c r="G1083">
        <v>7</v>
      </c>
      <c r="H1083">
        <v>0</v>
      </c>
      <c r="I1083" s="21">
        <v>8821.8799999999992</v>
      </c>
      <c r="J1083" t="str">
        <f t="shared" si="81"/>
        <v>tier - 2</v>
      </c>
      <c r="K1083" t="s">
        <v>11</v>
      </c>
      <c r="L1083" t="str">
        <f t="shared" si="82"/>
        <v>tier - 3</v>
      </c>
      <c r="M1083" t="s">
        <v>12</v>
      </c>
      <c r="N1083" t="str">
        <f t="shared" si="83"/>
        <v>R1023</v>
      </c>
      <c r="O1083" t="s">
        <v>249</v>
      </c>
    </row>
    <row r="1084" spans="1:15" x14ac:dyDescent="0.35">
      <c r="A1084" t="s">
        <v>1115</v>
      </c>
      <c r="C1084">
        <f t="shared" si="80"/>
        <v>1976</v>
      </c>
      <c r="D1084">
        <v>1976</v>
      </c>
      <c r="E1084" t="str">
        <f t="shared" si="84"/>
        <v>Jun</v>
      </c>
      <c r="F1084" t="s">
        <v>18</v>
      </c>
      <c r="G1084">
        <v>14</v>
      </c>
      <c r="H1084">
        <v>2</v>
      </c>
      <c r="I1084" s="21">
        <v>8823.2800000000007</v>
      </c>
      <c r="J1084" t="str">
        <f t="shared" si="81"/>
        <v>tier - 2</v>
      </c>
      <c r="K1084" t="s">
        <v>11</v>
      </c>
      <c r="L1084" t="str">
        <f t="shared" si="82"/>
        <v>tier - 1</v>
      </c>
      <c r="M1084" t="s">
        <v>16</v>
      </c>
      <c r="N1084" t="str">
        <f t="shared" si="83"/>
        <v>R1011</v>
      </c>
      <c r="O1084" t="s">
        <v>42</v>
      </c>
    </row>
    <row r="1085" spans="1:15" x14ac:dyDescent="0.35">
      <c r="A1085" t="s">
        <v>1116</v>
      </c>
      <c r="C1085">
        <f t="shared" si="80"/>
        <v>1976</v>
      </c>
      <c r="D1085">
        <v>1976</v>
      </c>
      <c r="E1085" t="str">
        <f t="shared" si="84"/>
        <v>Oct</v>
      </c>
      <c r="F1085" t="s">
        <v>37</v>
      </c>
      <c r="G1085">
        <v>19</v>
      </c>
      <c r="H1085">
        <v>1</v>
      </c>
      <c r="I1085" s="21">
        <v>8823.99</v>
      </c>
      <c r="J1085" t="str">
        <f t="shared" si="81"/>
        <v>tier - 2</v>
      </c>
      <c r="K1085" t="s">
        <v>11</v>
      </c>
      <c r="L1085" t="str">
        <f t="shared" si="82"/>
        <v>tier - 3</v>
      </c>
      <c r="M1085" t="s">
        <v>12</v>
      </c>
      <c r="N1085" t="str">
        <f t="shared" si="83"/>
        <v>R1024</v>
      </c>
      <c r="O1085" t="s">
        <v>247</v>
      </c>
    </row>
    <row r="1086" spans="1:15" x14ac:dyDescent="0.35">
      <c r="A1086" t="s">
        <v>1117</v>
      </c>
      <c r="C1086">
        <f t="shared" si="80"/>
        <v>1988</v>
      </c>
      <c r="D1086">
        <v>1988</v>
      </c>
      <c r="E1086" t="str">
        <f t="shared" si="84"/>
        <v>Aug</v>
      </c>
      <c r="F1086" t="s">
        <v>35</v>
      </c>
      <c r="G1086">
        <v>22</v>
      </c>
      <c r="H1086">
        <v>3</v>
      </c>
      <c r="I1086" s="21">
        <v>8824.27</v>
      </c>
      <c r="J1086" t="str">
        <f t="shared" si="81"/>
        <v>tier - 2</v>
      </c>
      <c r="K1086" t="s">
        <v>11</v>
      </c>
      <c r="L1086" t="str">
        <f t="shared" si="82"/>
        <v>tier - 1</v>
      </c>
      <c r="M1086" t="s">
        <v>16</v>
      </c>
      <c r="N1086" t="str">
        <f t="shared" si="83"/>
        <v>R1025</v>
      </c>
      <c r="O1086" t="s">
        <v>200</v>
      </c>
    </row>
    <row r="1087" spans="1:15" x14ac:dyDescent="0.35">
      <c r="A1087" t="s">
        <v>1118</v>
      </c>
      <c r="C1087">
        <f t="shared" si="80"/>
        <v>1976</v>
      </c>
      <c r="D1087">
        <v>1976</v>
      </c>
      <c r="E1087" t="str">
        <f t="shared" si="84"/>
        <v>Jul</v>
      </c>
      <c r="F1087" t="s">
        <v>10</v>
      </c>
      <c r="G1087">
        <v>14</v>
      </c>
      <c r="H1087">
        <v>2</v>
      </c>
      <c r="I1087" s="21">
        <v>8825.09</v>
      </c>
      <c r="J1087" t="str">
        <f t="shared" si="81"/>
        <v>tier - 2</v>
      </c>
      <c r="K1087" t="s">
        <v>11</v>
      </c>
      <c r="L1087" t="str">
        <f t="shared" si="82"/>
        <v>tier - 3</v>
      </c>
      <c r="M1087" t="s">
        <v>12</v>
      </c>
      <c r="N1087" t="str">
        <f t="shared" si="83"/>
        <v>R1011</v>
      </c>
      <c r="O1087" t="s">
        <v>42</v>
      </c>
    </row>
    <row r="1088" spans="1:15" x14ac:dyDescent="0.35">
      <c r="A1088" t="s">
        <v>1119</v>
      </c>
      <c r="C1088">
        <f t="shared" si="80"/>
        <v>1972</v>
      </c>
      <c r="D1088">
        <v>1972</v>
      </c>
      <c r="E1088" t="str">
        <f t="shared" si="84"/>
        <v>Nov</v>
      </c>
      <c r="F1088" t="s">
        <v>15</v>
      </c>
      <c r="G1088">
        <v>14</v>
      </c>
      <c r="H1088">
        <v>0</v>
      </c>
      <c r="I1088" s="21">
        <v>8827.2099999999991</v>
      </c>
      <c r="J1088" t="str">
        <f t="shared" si="81"/>
        <v>tier - 3</v>
      </c>
      <c r="K1088" t="s">
        <v>12</v>
      </c>
      <c r="L1088" t="str">
        <f t="shared" si="82"/>
        <v>tier - 1</v>
      </c>
      <c r="M1088" t="s">
        <v>16</v>
      </c>
      <c r="N1088" t="str">
        <f t="shared" si="83"/>
        <v>R1012</v>
      </c>
      <c r="O1088" t="s">
        <v>23</v>
      </c>
    </row>
    <row r="1089" spans="1:15" x14ac:dyDescent="0.35">
      <c r="A1089" t="s">
        <v>1120</v>
      </c>
      <c r="C1089">
        <f t="shared" si="80"/>
        <v>1972</v>
      </c>
      <c r="D1089">
        <v>1972</v>
      </c>
      <c r="E1089" t="str">
        <f t="shared" si="84"/>
        <v>Nov</v>
      </c>
      <c r="F1089" t="s">
        <v>15</v>
      </c>
      <c r="G1089">
        <v>22</v>
      </c>
      <c r="H1089">
        <v>0</v>
      </c>
      <c r="I1089" s="21">
        <v>8835.26</v>
      </c>
      <c r="J1089" t="str">
        <f t="shared" si="81"/>
        <v>tier - 3</v>
      </c>
      <c r="K1089" t="s">
        <v>12</v>
      </c>
      <c r="L1089" t="str">
        <f t="shared" si="82"/>
        <v>tier - 2</v>
      </c>
      <c r="M1089" t="s">
        <v>11</v>
      </c>
      <c r="N1089" t="str">
        <f t="shared" si="83"/>
        <v>R1012</v>
      </c>
      <c r="O1089" t="s">
        <v>23</v>
      </c>
    </row>
    <row r="1090" spans="1:15" x14ac:dyDescent="0.35">
      <c r="A1090" t="s">
        <v>1121</v>
      </c>
      <c r="C1090">
        <f t="shared" si="80"/>
        <v>1974</v>
      </c>
      <c r="D1090">
        <v>1974</v>
      </c>
      <c r="E1090" t="str">
        <f t="shared" si="84"/>
        <v>Jun</v>
      </c>
      <c r="F1090" t="s">
        <v>18</v>
      </c>
      <c r="G1090">
        <v>18</v>
      </c>
      <c r="H1090">
        <v>1</v>
      </c>
      <c r="I1090" s="21">
        <v>8871.15</v>
      </c>
      <c r="J1090" t="str">
        <f t="shared" si="81"/>
        <v>tier - 2</v>
      </c>
      <c r="K1090" t="s">
        <v>11</v>
      </c>
      <c r="L1090" t="str">
        <f t="shared" si="82"/>
        <v>tier - 3</v>
      </c>
      <c r="M1090" t="s">
        <v>12</v>
      </c>
      <c r="N1090" t="str">
        <f t="shared" si="83"/>
        <v>R1013</v>
      </c>
      <c r="O1090" t="s">
        <v>13</v>
      </c>
    </row>
    <row r="1091" spans="1:15" x14ac:dyDescent="0.35">
      <c r="A1091" t="s">
        <v>1122</v>
      </c>
      <c r="C1091">
        <f t="shared" ref="C1091:C1154" si="85">IF(OR(D1091="?", ISBLANK(D1091)), 1983, D1091)</f>
        <v>1973</v>
      </c>
      <c r="D1091">
        <v>1973</v>
      </c>
      <c r="E1091" t="str">
        <f t="shared" si="84"/>
        <v>Sep</v>
      </c>
      <c r="F1091" t="s">
        <v>20</v>
      </c>
      <c r="G1091">
        <v>9</v>
      </c>
      <c r="H1091">
        <v>0</v>
      </c>
      <c r="I1091" s="21">
        <v>8890.59</v>
      </c>
      <c r="J1091" t="str">
        <f t="shared" ref="J1091:J1154" si="86">IF(OR(K1091="?", ISBLANK(K1091)), "Tier 2", K1091)</f>
        <v>tier - 2</v>
      </c>
      <c r="K1091" t="s">
        <v>11</v>
      </c>
      <c r="L1091" t="str">
        <f t="shared" ref="L1091:L1154" si="87">IF(OR(M1091="?", ISBLANK(M1091)), "Tier 2", M1091)</f>
        <v>tier - 3</v>
      </c>
      <c r="M1091" t="s">
        <v>12</v>
      </c>
      <c r="N1091" t="str">
        <f t="shared" ref="N1091:N1154" si="88">IF(OR(O1091="?", ISBLANK(O1091)), "Unknown", O1091)</f>
        <v>R1012</v>
      </c>
      <c r="O1091" t="s">
        <v>23</v>
      </c>
    </row>
    <row r="1092" spans="1:15" x14ac:dyDescent="0.35">
      <c r="A1092" t="s">
        <v>1123</v>
      </c>
      <c r="C1092">
        <f t="shared" si="85"/>
        <v>1978</v>
      </c>
      <c r="D1092">
        <v>1978</v>
      </c>
      <c r="E1092" t="str">
        <f t="shared" ref="E1092:E1155" si="89">IF(OR(F1092="?", ISBLANK(F1092)), "Sep", F1092)</f>
        <v>Dec</v>
      </c>
      <c r="F1092" t="s">
        <v>30</v>
      </c>
      <c r="G1092">
        <v>16</v>
      </c>
      <c r="H1092">
        <v>3</v>
      </c>
      <c r="I1092" s="21">
        <v>8891.14</v>
      </c>
      <c r="J1092" t="str">
        <f t="shared" si="86"/>
        <v>tier - 2</v>
      </c>
      <c r="K1092" t="s">
        <v>11</v>
      </c>
      <c r="L1092" t="str">
        <f t="shared" si="87"/>
        <v>tier - 3</v>
      </c>
      <c r="M1092" t="s">
        <v>12</v>
      </c>
      <c r="N1092" t="str">
        <f t="shared" si="88"/>
        <v>R1017</v>
      </c>
      <c r="O1092" t="s">
        <v>356</v>
      </c>
    </row>
    <row r="1093" spans="1:15" x14ac:dyDescent="0.35">
      <c r="A1093" t="s">
        <v>1124</v>
      </c>
      <c r="C1093">
        <f t="shared" si="85"/>
        <v>1997</v>
      </c>
      <c r="D1093">
        <v>1997</v>
      </c>
      <c r="E1093" t="str">
        <f t="shared" si="89"/>
        <v>Nov</v>
      </c>
      <c r="F1093" t="s">
        <v>15</v>
      </c>
      <c r="G1093">
        <v>28</v>
      </c>
      <c r="H1093">
        <v>0</v>
      </c>
      <c r="I1093" s="21">
        <v>8906.14</v>
      </c>
      <c r="J1093" t="str">
        <f t="shared" si="86"/>
        <v>tier - 2</v>
      </c>
      <c r="K1093" t="s">
        <v>11</v>
      </c>
      <c r="L1093" t="str">
        <f t="shared" si="87"/>
        <v>tier - 2</v>
      </c>
      <c r="M1093" t="s">
        <v>11</v>
      </c>
      <c r="N1093" t="str">
        <f t="shared" si="88"/>
        <v>R1012</v>
      </c>
      <c r="O1093" t="s">
        <v>23</v>
      </c>
    </row>
    <row r="1094" spans="1:15" x14ac:dyDescent="0.35">
      <c r="A1094" t="s">
        <v>1125</v>
      </c>
      <c r="C1094">
        <f t="shared" si="85"/>
        <v>1967</v>
      </c>
      <c r="D1094">
        <v>1967</v>
      </c>
      <c r="E1094" t="str">
        <f t="shared" si="89"/>
        <v>Sep</v>
      </c>
      <c r="F1094" t="s">
        <v>20</v>
      </c>
      <c r="G1094">
        <v>6</v>
      </c>
      <c r="H1094">
        <v>0</v>
      </c>
      <c r="I1094" s="21">
        <v>8908.4699999999993</v>
      </c>
      <c r="J1094" t="str">
        <f t="shared" si="86"/>
        <v>tier - 3</v>
      </c>
      <c r="K1094" t="s">
        <v>12</v>
      </c>
      <c r="L1094" t="str">
        <f t="shared" si="87"/>
        <v>tier - 2</v>
      </c>
      <c r="M1094" t="s">
        <v>11</v>
      </c>
      <c r="N1094" t="str">
        <f t="shared" si="88"/>
        <v>R1013</v>
      </c>
      <c r="O1094" t="s">
        <v>13</v>
      </c>
    </row>
    <row r="1095" spans="1:15" x14ac:dyDescent="0.35">
      <c r="A1095" t="s">
        <v>1126</v>
      </c>
      <c r="C1095">
        <f t="shared" si="85"/>
        <v>1975</v>
      </c>
      <c r="D1095">
        <v>1975</v>
      </c>
      <c r="E1095" t="str">
        <f t="shared" si="89"/>
        <v>Jul</v>
      </c>
      <c r="F1095" t="s">
        <v>10</v>
      </c>
      <c r="G1095">
        <v>7</v>
      </c>
      <c r="H1095">
        <v>1</v>
      </c>
      <c r="I1095" s="21">
        <v>8930.93</v>
      </c>
      <c r="J1095" t="str">
        <f t="shared" si="86"/>
        <v>tier - 2</v>
      </c>
      <c r="K1095" t="s">
        <v>11</v>
      </c>
      <c r="L1095" t="str">
        <f t="shared" si="87"/>
        <v>tier - 2</v>
      </c>
      <c r="M1095" t="s">
        <v>11</v>
      </c>
      <c r="N1095" t="str">
        <f t="shared" si="88"/>
        <v>R1012</v>
      </c>
      <c r="O1095" t="s">
        <v>23</v>
      </c>
    </row>
    <row r="1096" spans="1:15" x14ac:dyDescent="0.35">
      <c r="A1096" t="s">
        <v>1127</v>
      </c>
      <c r="C1096">
        <f t="shared" si="85"/>
        <v>1972</v>
      </c>
      <c r="D1096">
        <v>1972</v>
      </c>
      <c r="E1096" t="str">
        <f t="shared" si="89"/>
        <v>Jun</v>
      </c>
      <c r="F1096" t="s">
        <v>18</v>
      </c>
      <c r="G1096">
        <v>6</v>
      </c>
      <c r="H1096">
        <v>0</v>
      </c>
      <c r="I1096" s="21">
        <v>8932.08</v>
      </c>
      <c r="J1096" t="str">
        <f t="shared" si="86"/>
        <v>tier - 2</v>
      </c>
      <c r="K1096" t="s">
        <v>11</v>
      </c>
      <c r="L1096" t="str">
        <f t="shared" si="87"/>
        <v>tier - 1</v>
      </c>
      <c r="M1096" t="s">
        <v>16</v>
      </c>
      <c r="N1096" t="str">
        <f t="shared" si="88"/>
        <v>R1011</v>
      </c>
      <c r="O1096" t="s">
        <v>42</v>
      </c>
    </row>
    <row r="1097" spans="1:15" x14ac:dyDescent="0.35">
      <c r="A1097" t="s">
        <v>1128</v>
      </c>
      <c r="C1097">
        <f t="shared" si="85"/>
        <v>1976</v>
      </c>
      <c r="D1097">
        <v>1976</v>
      </c>
      <c r="E1097" t="str">
        <f t="shared" si="89"/>
        <v>Dec</v>
      </c>
      <c r="F1097" t="s">
        <v>30</v>
      </c>
      <c r="G1097">
        <v>25</v>
      </c>
      <c r="H1097">
        <v>3</v>
      </c>
      <c r="I1097" s="21">
        <v>8944.1200000000008</v>
      </c>
      <c r="J1097" t="str">
        <f t="shared" si="86"/>
        <v>tier - 3</v>
      </c>
      <c r="K1097" t="s">
        <v>12</v>
      </c>
      <c r="L1097" t="str">
        <f t="shared" si="87"/>
        <v>tier - 2</v>
      </c>
      <c r="M1097" t="s">
        <v>11</v>
      </c>
      <c r="N1097" t="str">
        <f t="shared" si="88"/>
        <v>R1013</v>
      </c>
      <c r="O1097" t="s">
        <v>13</v>
      </c>
    </row>
    <row r="1098" spans="1:15" x14ac:dyDescent="0.35">
      <c r="A1098" t="s">
        <v>1129</v>
      </c>
      <c r="C1098">
        <f t="shared" si="85"/>
        <v>1992</v>
      </c>
      <c r="D1098">
        <v>1992</v>
      </c>
      <c r="E1098" t="str">
        <f t="shared" si="89"/>
        <v>Sep</v>
      </c>
      <c r="F1098" t="s">
        <v>20</v>
      </c>
      <c r="G1098">
        <v>27</v>
      </c>
      <c r="H1098">
        <v>0</v>
      </c>
      <c r="I1098" s="21">
        <v>8954.99</v>
      </c>
      <c r="J1098" t="str">
        <f t="shared" si="86"/>
        <v>tier - 2</v>
      </c>
      <c r="K1098" t="s">
        <v>11</v>
      </c>
      <c r="L1098" t="str">
        <f t="shared" si="87"/>
        <v>tier - 3</v>
      </c>
      <c r="M1098" t="s">
        <v>12</v>
      </c>
      <c r="N1098" t="str">
        <f t="shared" si="88"/>
        <v>R1026</v>
      </c>
      <c r="O1098" t="s">
        <v>535</v>
      </c>
    </row>
    <row r="1099" spans="1:15" x14ac:dyDescent="0.35">
      <c r="A1099" t="s">
        <v>1130</v>
      </c>
      <c r="C1099">
        <f t="shared" si="85"/>
        <v>1974</v>
      </c>
      <c r="D1099">
        <v>1974</v>
      </c>
      <c r="E1099" t="str">
        <f t="shared" si="89"/>
        <v>Aug</v>
      </c>
      <c r="F1099" t="s">
        <v>35</v>
      </c>
      <c r="G1099">
        <v>17</v>
      </c>
      <c r="H1099">
        <v>1</v>
      </c>
      <c r="I1099" s="21">
        <v>8964.06</v>
      </c>
      <c r="J1099" t="str">
        <f t="shared" si="86"/>
        <v>tier - 3</v>
      </c>
      <c r="K1099" t="s">
        <v>12</v>
      </c>
      <c r="L1099" t="str">
        <f t="shared" si="87"/>
        <v>tier - 2</v>
      </c>
      <c r="M1099" t="s">
        <v>11</v>
      </c>
      <c r="N1099" t="str">
        <f t="shared" si="88"/>
        <v>R1016</v>
      </c>
      <c r="O1099" t="s">
        <v>168</v>
      </c>
    </row>
    <row r="1100" spans="1:15" x14ac:dyDescent="0.35">
      <c r="A1100" t="s">
        <v>1131</v>
      </c>
      <c r="C1100">
        <f t="shared" si="85"/>
        <v>1983</v>
      </c>
      <c r="D1100">
        <v>1983</v>
      </c>
      <c r="E1100" t="str">
        <f t="shared" si="89"/>
        <v>Jul</v>
      </c>
      <c r="F1100" t="s">
        <v>10</v>
      </c>
      <c r="G1100">
        <v>15</v>
      </c>
      <c r="H1100">
        <v>5</v>
      </c>
      <c r="I1100" s="21">
        <v>8965.7999999999993</v>
      </c>
      <c r="J1100" t="str">
        <f t="shared" si="86"/>
        <v>tier - 2</v>
      </c>
      <c r="K1100" t="s">
        <v>11</v>
      </c>
      <c r="L1100" t="str">
        <f t="shared" si="87"/>
        <v>tier - 3</v>
      </c>
      <c r="M1100" t="s">
        <v>12</v>
      </c>
      <c r="N1100" t="str">
        <f t="shared" si="88"/>
        <v>R1012</v>
      </c>
      <c r="O1100" t="s">
        <v>23</v>
      </c>
    </row>
    <row r="1101" spans="1:15" x14ac:dyDescent="0.35">
      <c r="A1101" t="s">
        <v>1132</v>
      </c>
      <c r="C1101">
        <f t="shared" si="85"/>
        <v>1974</v>
      </c>
      <c r="D1101">
        <v>1974</v>
      </c>
      <c r="E1101" t="str">
        <f t="shared" si="89"/>
        <v>Sep</v>
      </c>
      <c r="F1101" t="s">
        <v>20</v>
      </c>
      <c r="G1101">
        <v>8</v>
      </c>
      <c r="H1101">
        <v>2</v>
      </c>
      <c r="I1101" s="21">
        <v>8968.33</v>
      </c>
      <c r="J1101" t="str">
        <f t="shared" si="86"/>
        <v>tier - 3</v>
      </c>
      <c r="K1101" t="s">
        <v>12</v>
      </c>
      <c r="L1101" t="str">
        <f t="shared" si="87"/>
        <v>tier - 2</v>
      </c>
      <c r="M1101" t="s">
        <v>11</v>
      </c>
      <c r="N1101" t="str">
        <f t="shared" si="88"/>
        <v>R1011</v>
      </c>
      <c r="O1101" t="s">
        <v>42</v>
      </c>
    </row>
    <row r="1102" spans="1:15" x14ac:dyDescent="0.35">
      <c r="A1102" t="s">
        <v>1133</v>
      </c>
      <c r="C1102">
        <f t="shared" si="85"/>
        <v>1974</v>
      </c>
      <c r="D1102">
        <v>1974</v>
      </c>
      <c r="E1102" t="str">
        <f t="shared" si="89"/>
        <v>Jul</v>
      </c>
      <c r="F1102" t="s">
        <v>10</v>
      </c>
      <c r="G1102">
        <v>21</v>
      </c>
      <c r="H1102">
        <v>2</v>
      </c>
      <c r="I1102" s="21">
        <v>8978.19</v>
      </c>
      <c r="J1102" t="str">
        <f t="shared" si="86"/>
        <v>tier - 2</v>
      </c>
      <c r="K1102" t="s">
        <v>11</v>
      </c>
      <c r="L1102" t="str">
        <f t="shared" si="87"/>
        <v>tier - 2</v>
      </c>
      <c r="M1102" t="s">
        <v>11</v>
      </c>
      <c r="N1102" t="str">
        <f t="shared" si="88"/>
        <v>R1013</v>
      </c>
      <c r="O1102" t="s">
        <v>13</v>
      </c>
    </row>
    <row r="1103" spans="1:15" x14ac:dyDescent="0.35">
      <c r="A1103" t="s">
        <v>1134</v>
      </c>
      <c r="C1103">
        <f t="shared" si="85"/>
        <v>1973</v>
      </c>
      <c r="D1103">
        <v>1973</v>
      </c>
      <c r="E1103" t="str">
        <f t="shared" si="89"/>
        <v>Oct</v>
      </c>
      <c r="F1103" t="s">
        <v>37</v>
      </c>
      <c r="G1103">
        <v>11</v>
      </c>
      <c r="H1103">
        <v>0</v>
      </c>
      <c r="I1103" s="21">
        <v>8988.16</v>
      </c>
      <c r="J1103" t="str">
        <f t="shared" si="86"/>
        <v>tier - 2</v>
      </c>
      <c r="K1103" t="s">
        <v>11</v>
      </c>
      <c r="L1103" t="str">
        <f t="shared" si="87"/>
        <v>tier - 1</v>
      </c>
      <c r="M1103" t="s">
        <v>16</v>
      </c>
      <c r="N1103" t="str">
        <f t="shared" si="88"/>
        <v>R1012</v>
      </c>
      <c r="O1103" t="s">
        <v>23</v>
      </c>
    </row>
    <row r="1104" spans="1:15" x14ac:dyDescent="0.35">
      <c r="A1104" t="s">
        <v>1135</v>
      </c>
      <c r="C1104">
        <f t="shared" si="85"/>
        <v>1979</v>
      </c>
      <c r="D1104">
        <v>1979</v>
      </c>
      <c r="E1104" t="str">
        <f t="shared" si="89"/>
        <v>Dec</v>
      </c>
      <c r="F1104" t="s">
        <v>30</v>
      </c>
      <c r="G1104">
        <v>16</v>
      </c>
      <c r="H1104">
        <v>2</v>
      </c>
      <c r="I1104" s="21">
        <v>8998.43</v>
      </c>
      <c r="J1104" t="str">
        <f t="shared" si="86"/>
        <v>tier - 2</v>
      </c>
      <c r="K1104" t="s">
        <v>11</v>
      </c>
      <c r="L1104" t="str">
        <f t="shared" si="87"/>
        <v>tier - 1</v>
      </c>
      <c r="M1104" t="s">
        <v>16</v>
      </c>
      <c r="N1104" t="str">
        <f t="shared" si="88"/>
        <v>R1025</v>
      </c>
      <c r="O1104" t="s">
        <v>200</v>
      </c>
    </row>
    <row r="1105" spans="1:15" x14ac:dyDescent="0.35">
      <c r="A1105" t="s">
        <v>1136</v>
      </c>
      <c r="C1105">
        <f t="shared" si="85"/>
        <v>1993</v>
      </c>
      <c r="D1105">
        <v>1993</v>
      </c>
      <c r="E1105" t="str">
        <f t="shared" si="89"/>
        <v>Dec</v>
      </c>
      <c r="F1105" t="s">
        <v>30</v>
      </c>
      <c r="G1105">
        <v>1</v>
      </c>
      <c r="H1105">
        <v>0</v>
      </c>
      <c r="I1105" s="21">
        <v>9010.2000000000007</v>
      </c>
      <c r="J1105" t="str">
        <f t="shared" si="86"/>
        <v>tier - 2</v>
      </c>
      <c r="K1105" t="s">
        <v>11</v>
      </c>
      <c r="L1105" t="str">
        <f t="shared" si="87"/>
        <v>tier - 3</v>
      </c>
      <c r="M1105" t="s">
        <v>12</v>
      </c>
      <c r="N1105" t="str">
        <f t="shared" si="88"/>
        <v>R1026</v>
      </c>
      <c r="O1105" t="s">
        <v>535</v>
      </c>
    </row>
    <row r="1106" spans="1:15" x14ac:dyDescent="0.35">
      <c r="A1106" t="s">
        <v>1137</v>
      </c>
      <c r="C1106">
        <f t="shared" si="85"/>
        <v>1972</v>
      </c>
      <c r="D1106">
        <v>1972</v>
      </c>
      <c r="E1106" t="str">
        <f t="shared" si="89"/>
        <v>Dec</v>
      </c>
      <c r="F1106" t="s">
        <v>30</v>
      </c>
      <c r="G1106">
        <v>7</v>
      </c>
      <c r="H1106">
        <v>1</v>
      </c>
      <c r="I1106" s="21">
        <v>9048.0300000000007</v>
      </c>
      <c r="J1106" t="str">
        <f t="shared" si="86"/>
        <v>tier - 2</v>
      </c>
      <c r="K1106" t="s">
        <v>11</v>
      </c>
      <c r="L1106" t="str">
        <f t="shared" si="87"/>
        <v>tier - 2</v>
      </c>
      <c r="M1106" t="s">
        <v>11</v>
      </c>
      <c r="N1106" t="str">
        <f t="shared" si="88"/>
        <v>R1013</v>
      </c>
      <c r="O1106" t="s">
        <v>13</v>
      </c>
    </row>
    <row r="1107" spans="1:15" x14ac:dyDescent="0.35">
      <c r="A1107" t="s">
        <v>1138</v>
      </c>
      <c r="C1107">
        <f t="shared" si="85"/>
        <v>1972</v>
      </c>
      <c r="D1107">
        <v>1972</v>
      </c>
      <c r="E1107" t="str">
        <f t="shared" si="89"/>
        <v>Dec</v>
      </c>
      <c r="F1107" t="s">
        <v>30</v>
      </c>
      <c r="G1107">
        <v>2</v>
      </c>
      <c r="H1107">
        <v>1</v>
      </c>
      <c r="I1107" s="21">
        <v>9058.73</v>
      </c>
      <c r="J1107" t="str">
        <f t="shared" si="86"/>
        <v>tier - 3</v>
      </c>
      <c r="K1107" t="s">
        <v>12</v>
      </c>
      <c r="L1107" t="str">
        <f t="shared" si="87"/>
        <v>tier - 2</v>
      </c>
      <c r="M1107" t="s">
        <v>11</v>
      </c>
      <c r="N1107" t="str">
        <f t="shared" si="88"/>
        <v>R1013</v>
      </c>
      <c r="O1107" t="s">
        <v>13</v>
      </c>
    </row>
    <row r="1108" spans="1:15" x14ac:dyDescent="0.35">
      <c r="A1108" t="s">
        <v>1139</v>
      </c>
      <c r="C1108">
        <f t="shared" si="85"/>
        <v>1977</v>
      </c>
      <c r="D1108">
        <v>1977</v>
      </c>
      <c r="E1108" t="str">
        <f t="shared" si="89"/>
        <v>Nov</v>
      </c>
      <c r="F1108" t="s">
        <v>15</v>
      </c>
      <c r="G1108">
        <v>4</v>
      </c>
      <c r="H1108">
        <v>2</v>
      </c>
      <c r="I1108" s="21">
        <v>9095.07</v>
      </c>
      <c r="J1108" t="str">
        <f t="shared" si="86"/>
        <v>tier - 2</v>
      </c>
      <c r="K1108" t="s">
        <v>11</v>
      </c>
      <c r="L1108" t="str">
        <f t="shared" si="87"/>
        <v>tier - 2</v>
      </c>
      <c r="M1108" t="s">
        <v>11</v>
      </c>
      <c r="N1108" t="str">
        <f t="shared" si="88"/>
        <v>R1024</v>
      </c>
      <c r="O1108" t="s">
        <v>247</v>
      </c>
    </row>
    <row r="1109" spans="1:15" x14ac:dyDescent="0.35">
      <c r="A1109" t="s">
        <v>1140</v>
      </c>
      <c r="C1109">
        <f t="shared" si="85"/>
        <v>1965</v>
      </c>
      <c r="D1109">
        <v>1965</v>
      </c>
      <c r="E1109" t="str">
        <f t="shared" si="89"/>
        <v>Nov</v>
      </c>
      <c r="F1109" t="s">
        <v>15</v>
      </c>
      <c r="G1109">
        <v>9</v>
      </c>
      <c r="H1109">
        <v>0</v>
      </c>
      <c r="I1109" s="21">
        <v>9095.94</v>
      </c>
      <c r="J1109" t="str">
        <f t="shared" si="86"/>
        <v>tier - 3</v>
      </c>
      <c r="K1109" t="s">
        <v>12</v>
      </c>
      <c r="L1109" t="str">
        <f t="shared" si="87"/>
        <v>tier - 1</v>
      </c>
      <c r="M1109" t="s">
        <v>16</v>
      </c>
      <c r="N1109" t="str">
        <f t="shared" si="88"/>
        <v>R1011</v>
      </c>
      <c r="O1109" t="s">
        <v>42</v>
      </c>
    </row>
    <row r="1110" spans="1:15" x14ac:dyDescent="0.35">
      <c r="A1110" t="s">
        <v>1141</v>
      </c>
      <c r="C1110">
        <f t="shared" si="85"/>
        <v>1977</v>
      </c>
      <c r="D1110">
        <v>1977</v>
      </c>
      <c r="E1110" t="str">
        <f t="shared" si="89"/>
        <v>Dec</v>
      </c>
      <c r="F1110" t="s">
        <v>30</v>
      </c>
      <c r="G1110">
        <v>2</v>
      </c>
      <c r="H1110">
        <v>3</v>
      </c>
      <c r="I1110" s="21">
        <v>9101.7999999999993</v>
      </c>
      <c r="J1110" t="str">
        <f t="shared" si="86"/>
        <v>tier - 2</v>
      </c>
      <c r="K1110" t="s">
        <v>11</v>
      </c>
      <c r="L1110" t="str">
        <f t="shared" si="87"/>
        <v>tier - 1</v>
      </c>
      <c r="M1110" t="s">
        <v>16</v>
      </c>
      <c r="N1110" t="str">
        <f t="shared" si="88"/>
        <v>R1011</v>
      </c>
      <c r="O1110" t="s">
        <v>42</v>
      </c>
    </row>
    <row r="1111" spans="1:15" x14ac:dyDescent="0.35">
      <c r="A1111" t="s">
        <v>1142</v>
      </c>
      <c r="C1111">
        <f t="shared" si="85"/>
        <v>1970</v>
      </c>
      <c r="D1111">
        <v>1970</v>
      </c>
      <c r="E1111" t="str">
        <f t="shared" si="89"/>
        <v>Aug</v>
      </c>
      <c r="F1111" t="s">
        <v>35</v>
      </c>
      <c r="G1111">
        <v>12</v>
      </c>
      <c r="H1111">
        <v>0</v>
      </c>
      <c r="I1111" s="21">
        <v>9140.9500000000007</v>
      </c>
      <c r="J1111" t="str">
        <f t="shared" si="86"/>
        <v>tier - 3</v>
      </c>
      <c r="K1111" t="s">
        <v>12</v>
      </c>
      <c r="L1111" t="str">
        <f t="shared" si="87"/>
        <v>tier - 3</v>
      </c>
      <c r="M1111" t="s">
        <v>12</v>
      </c>
      <c r="N1111" t="str">
        <f t="shared" si="88"/>
        <v>R1013</v>
      </c>
      <c r="O1111" t="s">
        <v>13</v>
      </c>
    </row>
    <row r="1112" spans="1:15" x14ac:dyDescent="0.35">
      <c r="A1112" t="s">
        <v>1143</v>
      </c>
      <c r="C1112">
        <f t="shared" si="85"/>
        <v>1970</v>
      </c>
      <c r="D1112">
        <v>1970</v>
      </c>
      <c r="E1112" t="str">
        <f t="shared" si="89"/>
        <v>Oct</v>
      </c>
      <c r="F1112" t="s">
        <v>37</v>
      </c>
      <c r="G1112">
        <v>18</v>
      </c>
      <c r="H1112">
        <v>0</v>
      </c>
      <c r="I1112" s="21">
        <v>9144.57</v>
      </c>
      <c r="J1112" t="str">
        <f t="shared" si="86"/>
        <v>tier - 3</v>
      </c>
      <c r="K1112" t="s">
        <v>12</v>
      </c>
      <c r="L1112" t="str">
        <f t="shared" si="87"/>
        <v>tier - 2</v>
      </c>
      <c r="M1112" t="s">
        <v>11</v>
      </c>
      <c r="N1112" t="str">
        <f t="shared" si="88"/>
        <v>R1011</v>
      </c>
      <c r="O1112" t="s">
        <v>42</v>
      </c>
    </row>
    <row r="1113" spans="1:15" x14ac:dyDescent="0.35">
      <c r="A1113" t="s">
        <v>1144</v>
      </c>
      <c r="C1113">
        <f t="shared" si="85"/>
        <v>1982</v>
      </c>
      <c r="D1113">
        <v>1982</v>
      </c>
      <c r="E1113" t="str">
        <f t="shared" si="89"/>
        <v>Dec</v>
      </c>
      <c r="F1113" t="s">
        <v>30</v>
      </c>
      <c r="G1113">
        <v>8</v>
      </c>
      <c r="H1113">
        <v>3</v>
      </c>
      <c r="I1113" s="21">
        <v>9147.5</v>
      </c>
      <c r="J1113" t="str">
        <f t="shared" si="86"/>
        <v>tier - 2</v>
      </c>
      <c r="K1113" t="s">
        <v>11</v>
      </c>
      <c r="L1113" t="str">
        <f t="shared" si="87"/>
        <v>tier - 1</v>
      </c>
      <c r="M1113" t="s">
        <v>16</v>
      </c>
      <c r="N1113" t="str">
        <f t="shared" si="88"/>
        <v>R1012</v>
      </c>
      <c r="O1113" t="s">
        <v>23</v>
      </c>
    </row>
    <row r="1114" spans="1:15" x14ac:dyDescent="0.35">
      <c r="A1114" t="s">
        <v>1145</v>
      </c>
      <c r="C1114">
        <f t="shared" si="85"/>
        <v>1990</v>
      </c>
      <c r="D1114">
        <v>1990</v>
      </c>
      <c r="E1114" t="str">
        <f t="shared" si="89"/>
        <v>Aug</v>
      </c>
      <c r="F1114" t="s">
        <v>35</v>
      </c>
      <c r="G1114">
        <v>23</v>
      </c>
      <c r="H1114">
        <v>3</v>
      </c>
      <c r="I1114" s="21">
        <v>9159.51</v>
      </c>
      <c r="J1114" t="str">
        <f t="shared" si="86"/>
        <v>tier - 2</v>
      </c>
      <c r="K1114" t="s">
        <v>11</v>
      </c>
      <c r="L1114" t="str">
        <f t="shared" si="87"/>
        <v>tier - 2</v>
      </c>
      <c r="M1114" t="s">
        <v>11</v>
      </c>
      <c r="N1114" t="str">
        <f t="shared" si="88"/>
        <v>R1021</v>
      </c>
      <c r="O1114" t="s">
        <v>300</v>
      </c>
    </row>
    <row r="1115" spans="1:15" x14ac:dyDescent="0.35">
      <c r="A1115" t="s">
        <v>1146</v>
      </c>
      <c r="C1115">
        <f t="shared" si="85"/>
        <v>1970</v>
      </c>
      <c r="D1115">
        <v>1970</v>
      </c>
      <c r="E1115" t="str">
        <f t="shared" si="89"/>
        <v>Oct</v>
      </c>
      <c r="F1115" t="s">
        <v>37</v>
      </c>
      <c r="G1115">
        <v>24</v>
      </c>
      <c r="H1115">
        <v>0</v>
      </c>
      <c r="I1115" s="21">
        <v>9171.75</v>
      </c>
      <c r="J1115" t="str">
        <f t="shared" si="86"/>
        <v>tier - 2</v>
      </c>
      <c r="K1115" t="s">
        <v>11</v>
      </c>
      <c r="L1115" t="str">
        <f t="shared" si="87"/>
        <v>tier - 2</v>
      </c>
      <c r="M1115" t="s">
        <v>11</v>
      </c>
      <c r="N1115" t="str">
        <f t="shared" si="88"/>
        <v>R1012</v>
      </c>
      <c r="O1115" t="s">
        <v>23</v>
      </c>
    </row>
    <row r="1116" spans="1:15" x14ac:dyDescent="0.35">
      <c r="A1116" t="s">
        <v>1147</v>
      </c>
      <c r="C1116">
        <f t="shared" si="85"/>
        <v>1971</v>
      </c>
      <c r="D1116">
        <v>1971</v>
      </c>
      <c r="E1116" t="str">
        <f t="shared" si="89"/>
        <v>Dec</v>
      </c>
      <c r="F1116" t="s">
        <v>30</v>
      </c>
      <c r="G1116">
        <v>29</v>
      </c>
      <c r="H1116">
        <v>0</v>
      </c>
      <c r="I1116" s="21">
        <v>9174.14</v>
      </c>
      <c r="J1116" t="str">
        <f t="shared" si="86"/>
        <v>tier - 3</v>
      </c>
      <c r="K1116" t="s">
        <v>12</v>
      </c>
      <c r="L1116" t="str">
        <f t="shared" si="87"/>
        <v>tier - 1</v>
      </c>
      <c r="M1116" t="s">
        <v>16</v>
      </c>
      <c r="N1116" t="str">
        <f t="shared" si="88"/>
        <v>R1012</v>
      </c>
      <c r="O1116" t="s">
        <v>23</v>
      </c>
    </row>
    <row r="1117" spans="1:15" x14ac:dyDescent="0.35">
      <c r="A1117" t="s">
        <v>1148</v>
      </c>
      <c r="C1117">
        <f t="shared" si="85"/>
        <v>1973</v>
      </c>
      <c r="D1117">
        <v>1973</v>
      </c>
      <c r="E1117" t="str">
        <f t="shared" si="89"/>
        <v>Dec</v>
      </c>
      <c r="F1117" t="s">
        <v>30</v>
      </c>
      <c r="G1117">
        <v>25</v>
      </c>
      <c r="H1117">
        <v>1</v>
      </c>
      <c r="I1117" s="21">
        <v>9182.17</v>
      </c>
      <c r="J1117" t="str">
        <f t="shared" si="86"/>
        <v>tier - 2</v>
      </c>
      <c r="K1117" t="s">
        <v>11</v>
      </c>
      <c r="L1117" t="str">
        <f t="shared" si="87"/>
        <v>tier - 3</v>
      </c>
      <c r="M1117" t="s">
        <v>12</v>
      </c>
      <c r="N1117" t="str">
        <f t="shared" si="88"/>
        <v>R1011</v>
      </c>
      <c r="O1117" t="s">
        <v>42</v>
      </c>
    </row>
    <row r="1118" spans="1:15" x14ac:dyDescent="0.35">
      <c r="A1118" t="s">
        <v>1149</v>
      </c>
      <c r="C1118">
        <f t="shared" si="85"/>
        <v>1976</v>
      </c>
      <c r="D1118">
        <v>1976</v>
      </c>
      <c r="E1118" t="str">
        <f t="shared" si="89"/>
        <v>Sep</v>
      </c>
      <c r="F1118" t="s">
        <v>20</v>
      </c>
      <c r="G1118">
        <v>10</v>
      </c>
      <c r="H1118">
        <v>2</v>
      </c>
      <c r="I1118" s="21">
        <v>9193.84</v>
      </c>
      <c r="J1118" t="str">
        <f t="shared" si="86"/>
        <v>tier - 2</v>
      </c>
      <c r="K1118" t="s">
        <v>11</v>
      </c>
      <c r="L1118" t="str">
        <f t="shared" si="87"/>
        <v>tier - 1</v>
      </c>
      <c r="M1118" t="s">
        <v>16</v>
      </c>
      <c r="N1118" t="str">
        <f t="shared" si="88"/>
        <v>R1012</v>
      </c>
      <c r="O1118" t="s">
        <v>23</v>
      </c>
    </row>
    <row r="1119" spans="1:15" x14ac:dyDescent="0.35">
      <c r="A1119" t="s">
        <v>1150</v>
      </c>
      <c r="C1119">
        <f t="shared" si="85"/>
        <v>1986</v>
      </c>
      <c r="D1119">
        <v>1986</v>
      </c>
      <c r="E1119" t="str">
        <f t="shared" si="89"/>
        <v>Dec</v>
      </c>
      <c r="F1119" t="s">
        <v>30</v>
      </c>
      <c r="G1119">
        <v>25</v>
      </c>
      <c r="H1119">
        <v>3</v>
      </c>
      <c r="I1119" s="21">
        <v>9210.06</v>
      </c>
      <c r="J1119" t="str">
        <f t="shared" si="86"/>
        <v>tier - 2</v>
      </c>
      <c r="K1119" t="s">
        <v>11</v>
      </c>
      <c r="L1119" t="str">
        <f t="shared" si="87"/>
        <v>tier - 3</v>
      </c>
      <c r="M1119" t="s">
        <v>12</v>
      </c>
      <c r="N1119" t="str">
        <f t="shared" si="88"/>
        <v>R1021</v>
      </c>
      <c r="O1119" t="s">
        <v>300</v>
      </c>
    </row>
    <row r="1120" spans="1:15" x14ac:dyDescent="0.35">
      <c r="A1120" t="s">
        <v>1151</v>
      </c>
      <c r="C1120">
        <f t="shared" si="85"/>
        <v>1981</v>
      </c>
      <c r="D1120">
        <v>1981</v>
      </c>
      <c r="E1120" t="str">
        <f t="shared" si="89"/>
        <v>Dec</v>
      </c>
      <c r="F1120" t="s">
        <v>30</v>
      </c>
      <c r="G1120">
        <v>5</v>
      </c>
      <c r="H1120">
        <v>5</v>
      </c>
      <c r="I1120" s="21">
        <v>9222.4</v>
      </c>
      <c r="J1120" t="str">
        <f t="shared" si="86"/>
        <v>tier - 2</v>
      </c>
      <c r="K1120" t="s">
        <v>11</v>
      </c>
      <c r="L1120" t="str">
        <f t="shared" si="87"/>
        <v>tier - 3</v>
      </c>
      <c r="M1120" t="s">
        <v>12</v>
      </c>
      <c r="N1120" t="str">
        <f t="shared" si="88"/>
        <v>R1019</v>
      </c>
      <c r="O1120" t="s">
        <v>166</v>
      </c>
    </row>
    <row r="1121" spans="1:15" x14ac:dyDescent="0.35">
      <c r="A1121" t="s">
        <v>1152</v>
      </c>
      <c r="C1121">
        <f t="shared" si="85"/>
        <v>1975</v>
      </c>
      <c r="D1121">
        <v>1975</v>
      </c>
      <c r="E1121" t="str">
        <f t="shared" si="89"/>
        <v>Dec</v>
      </c>
      <c r="F1121" t="s">
        <v>30</v>
      </c>
      <c r="G1121">
        <v>6</v>
      </c>
      <c r="H1121">
        <v>2</v>
      </c>
      <c r="I1121" s="21">
        <v>9225.26</v>
      </c>
      <c r="J1121" t="str">
        <f t="shared" si="86"/>
        <v>tier - 3</v>
      </c>
      <c r="K1121" t="s">
        <v>12</v>
      </c>
      <c r="L1121" t="str">
        <f t="shared" si="87"/>
        <v>tier - 3</v>
      </c>
      <c r="M1121" t="s">
        <v>12</v>
      </c>
      <c r="N1121" t="str">
        <f t="shared" si="88"/>
        <v>R1015</v>
      </c>
      <c r="O1121" t="s">
        <v>164</v>
      </c>
    </row>
    <row r="1122" spans="1:15" x14ac:dyDescent="0.35">
      <c r="A1122" t="s">
        <v>1153</v>
      </c>
      <c r="C1122">
        <f t="shared" si="85"/>
        <v>1980</v>
      </c>
      <c r="D1122">
        <v>1980</v>
      </c>
      <c r="E1122" t="str">
        <f t="shared" si="89"/>
        <v>Oct</v>
      </c>
      <c r="F1122" t="s">
        <v>37</v>
      </c>
      <c r="G1122">
        <v>5</v>
      </c>
      <c r="H1122">
        <v>2</v>
      </c>
      <c r="I1122" s="21">
        <v>9247.94</v>
      </c>
      <c r="J1122" t="str">
        <f t="shared" si="86"/>
        <v>tier - 2</v>
      </c>
      <c r="K1122" t="s">
        <v>11</v>
      </c>
      <c r="L1122" t="str">
        <f t="shared" si="87"/>
        <v>tier - 1</v>
      </c>
      <c r="M1122" t="s">
        <v>16</v>
      </c>
      <c r="N1122" t="str">
        <f t="shared" si="88"/>
        <v>R1021</v>
      </c>
      <c r="O1122" t="s">
        <v>300</v>
      </c>
    </row>
    <row r="1123" spans="1:15" x14ac:dyDescent="0.35">
      <c r="A1123" t="s">
        <v>1154</v>
      </c>
      <c r="C1123">
        <f t="shared" si="85"/>
        <v>1974</v>
      </c>
      <c r="D1123">
        <v>1974</v>
      </c>
      <c r="E1123" t="str">
        <f t="shared" si="89"/>
        <v>Aug</v>
      </c>
      <c r="F1123" t="s">
        <v>35</v>
      </c>
      <c r="G1123">
        <v>21</v>
      </c>
      <c r="H1123">
        <v>1</v>
      </c>
      <c r="I1123" s="21">
        <v>9249.5</v>
      </c>
      <c r="J1123" t="str">
        <f t="shared" si="86"/>
        <v>tier - 2</v>
      </c>
      <c r="K1123" t="s">
        <v>11</v>
      </c>
      <c r="L1123" t="str">
        <f t="shared" si="87"/>
        <v>tier - 1</v>
      </c>
      <c r="M1123" t="s">
        <v>16</v>
      </c>
      <c r="N1123" t="str">
        <f t="shared" si="88"/>
        <v>R1012</v>
      </c>
      <c r="O1123" t="s">
        <v>23</v>
      </c>
    </row>
    <row r="1124" spans="1:15" x14ac:dyDescent="0.35">
      <c r="A1124" t="s">
        <v>1155</v>
      </c>
      <c r="C1124">
        <f t="shared" si="85"/>
        <v>1971</v>
      </c>
      <c r="D1124">
        <v>1971</v>
      </c>
      <c r="E1124" t="str">
        <f t="shared" si="89"/>
        <v>Aug</v>
      </c>
      <c r="F1124" t="s">
        <v>35</v>
      </c>
      <c r="G1124">
        <v>6</v>
      </c>
      <c r="H1124">
        <v>0</v>
      </c>
      <c r="I1124" s="21">
        <v>9264.7999999999993</v>
      </c>
      <c r="J1124" t="str">
        <f t="shared" si="86"/>
        <v>tier - 2</v>
      </c>
      <c r="K1124" t="s">
        <v>11</v>
      </c>
      <c r="L1124" t="str">
        <f t="shared" si="87"/>
        <v>tier - 1</v>
      </c>
      <c r="M1124" t="s">
        <v>16</v>
      </c>
      <c r="N1124" t="str">
        <f t="shared" si="88"/>
        <v>R1011</v>
      </c>
      <c r="O1124" t="s">
        <v>42</v>
      </c>
    </row>
    <row r="1125" spans="1:15" x14ac:dyDescent="0.35">
      <c r="A1125" t="s">
        <v>1156</v>
      </c>
      <c r="C1125">
        <f t="shared" si="85"/>
        <v>1973</v>
      </c>
      <c r="D1125">
        <v>1973</v>
      </c>
      <c r="E1125" t="str">
        <f t="shared" si="89"/>
        <v>Oct</v>
      </c>
      <c r="F1125" t="s">
        <v>37</v>
      </c>
      <c r="G1125">
        <v>27</v>
      </c>
      <c r="H1125">
        <v>1</v>
      </c>
      <c r="I1125" s="21">
        <v>9282.48</v>
      </c>
      <c r="J1125" t="str">
        <f t="shared" si="86"/>
        <v>tier - 3</v>
      </c>
      <c r="K1125" t="s">
        <v>12</v>
      </c>
      <c r="L1125" t="str">
        <f t="shared" si="87"/>
        <v>tier - 2</v>
      </c>
      <c r="M1125" t="s">
        <v>11</v>
      </c>
      <c r="N1125" t="str">
        <f t="shared" si="88"/>
        <v>R1016</v>
      </c>
      <c r="O1125" t="s">
        <v>168</v>
      </c>
    </row>
    <row r="1126" spans="1:15" x14ac:dyDescent="0.35">
      <c r="A1126" t="s">
        <v>1157</v>
      </c>
      <c r="C1126">
        <f t="shared" si="85"/>
        <v>1971</v>
      </c>
      <c r="D1126">
        <v>1971</v>
      </c>
      <c r="E1126" t="str">
        <f t="shared" si="89"/>
        <v>Jul</v>
      </c>
      <c r="F1126" t="s">
        <v>10</v>
      </c>
      <c r="G1126">
        <v>2</v>
      </c>
      <c r="H1126">
        <v>0</v>
      </c>
      <c r="I1126" s="21">
        <v>9283.56</v>
      </c>
      <c r="J1126" t="str">
        <f t="shared" si="86"/>
        <v>tier - 2</v>
      </c>
      <c r="K1126" t="s">
        <v>11</v>
      </c>
      <c r="L1126" t="str">
        <f t="shared" si="87"/>
        <v>tier - 3</v>
      </c>
      <c r="M1126" t="s">
        <v>12</v>
      </c>
      <c r="N1126" t="str">
        <f t="shared" si="88"/>
        <v>R1013</v>
      </c>
      <c r="O1126" t="s">
        <v>13</v>
      </c>
    </row>
    <row r="1127" spans="1:15" x14ac:dyDescent="0.35">
      <c r="A1127" t="s">
        <v>1158</v>
      </c>
      <c r="C1127">
        <f t="shared" si="85"/>
        <v>1969</v>
      </c>
      <c r="D1127">
        <v>1969</v>
      </c>
      <c r="E1127" t="str">
        <f t="shared" si="89"/>
        <v>Nov</v>
      </c>
      <c r="F1127" t="s">
        <v>15</v>
      </c>
      <c r="G1127">
        <v>26</v>
      </c>
      <c r="H1127">
        <v>0</v>
      </c>
      <c r="I1127" s="21">
        <v>9285.8700000000008</v>
      </c>
      <c r="J1127" t="str">
        <f t="shared" si="86"/>
        <v>tier - 2</v>
      </c>
      <c r="K1127" t="s">
        <v>11</v>
      </c>
      <c r="L1127" t="str">
        <f t="shared" si="87"/>
        <v>tier - 3</v>
      </c>
      <c r="M1127" t="s">
        <v>12</v>
      </c>
      <c r="N1127" t="str">
        <f t="shared" si="88"/>
        <v>R1013</v>
      </c>
      <c r="O1127" t="s">
        <v>13</v>
      </c>
    </row>
    <row r="1128" spans="1:15" x14ac:dyDescent="0.35">
      <c r="A1128" t="s">
        <v>1159</v>
      </c>
      <c r="C1128">
        <f t="shared" si="85"/>
        <v>1973</v>
      </c>
      <c r="D1128">
        <v>1973</v>
      </c>
      <c r="E1128" t="str">
        <f t="shared" si="89"/>
        <v>Oct</v>
      </c>
      <c r="F1128" t="s">
        <v>37</v>
      </c>
      <c r="G1128">
        <v>16</v>
      </c>
      <c r="H1128">
        <v>1</v>
      </c>
      <c r="I1128" s="21">
        <v>9288.0300000000007</v>
      </c>
      <c r="J1128" t="str">
        <f t="shared" si="86"/>
        <v>tier - 2</v>
      </c>
      <c r="K1128" t="s">
        <v>11</v>
      </c>
      <c r="L1128" t="str">
        <f t="shared" si="87"/>
        <v>tier - 3</v>
      </c>
      <c r="M1128" t="s">
        <v>12</v>
      </c>
      <c r="N1128" t="str">
        <f t="shared" si="88"/>
        <v>R1018</v>
      </c>
      <c r="O1128" t="s">
        <v>170</v>
      </c>
    </row>
    <row r="1129" spans="1:15" x14ac:dyDescent="0.35">
      <c r="A1129" t="s">
        <v>1160</v>
      </c>
      <c r="C1129">
        <f t="shared" si="85"/>
        <v>1973</v>
      </c>
      <c r="D1129">
        <v>1973</v>
      </c>
      <c r="E1129" t="str">
        <f t="shared" si="89"/>
        <v>Sep</v>
      </c>
      <c r="F1129" t="s">
        <v>20</v>
      </c>
      <c r="G1129">
        <v>18</v>
      </c>
      <c r="H1129">
        <v>1</v>
      </c>
      <c r="I1129" s="21">
        <v>9290.14</v>
      </c>
      <c r="J1129" t="str">
        <f t="shared" si="86"/>
        <v>tier - 3</v>
      </c>
      <c r="K1129" t="s">
        <v>12</v>
      </c>
      <c r="L1129" t="str">
        <f t="shared" si="87"/>
        <v>tier - 3</v>
      </c>
      <c r="M1129" t="s">
        <v>12</v>
      </c>
      <c r="N1129" t="str">
        <f t="shared" si="88"/>
        <v>R1016</v>
      </c>
      <c r="O1129" t="s">
        <v>168</v>
      </c>
    </row>
    <row r="1130" spans="1:15" x14ac:dyDescent="0.35">
      <c r="A1130" t="s">
        <v>1161</v>
      </c>
      <c r="C1130">
        <f t="shared" si="85"/>
        <v>1976</v>
      </c>
      <c r="D1130">
        <v>1976</v>
      </c>
      <c r="E1130" t="str">
        <f t="shared" si="89"/>
        <v>Nov</v>
      </c>
      <c r="F1130" t="s">
        <v>15</v>
      </c>
      <c r="G1130">
        <v>3</v>
      </c>
      <c r="H1130">
        <v>3</v>
      </c>
      <c r="I1130" s="21">
        <v>9301.89</v>
      </c>
      <c r="J1130" t="str">
        <f t="shared" si="86"/>
        <v>tier - 2</v>
      </c>
      <c r="K1130" t="s">
        <v>11</v>
      </c>
      <c r="L1130" t="str">
        <f t="shared" si="87"/>
        <v>tier - 1</v>
      </c>
      <c r="M1130" t="s">
        <v>16</v>
      </c>
      <c r="N1130" t="str">
        <f t="shared" si="88"/>
        <v>R1012</v>
      </c>
      <c r="O1130" t="s">
        <v>23</v>
      </c>
    </row>
    <row r="1131" spans="1:15" x14ac:dyDescent="0.35">
      <c r="A1131" t="s">
        <v>1162</v>
      </c>
      <c r="C1131">
        <f t="shared" si="85"/>
        <v>1973</v>
      </c>
      <c r="D1131">
        <v>1973</v>
      </c>
      <c r="E1131" t="str">
        <f t="shared" si="89"/>
        <v>Oct</v>
      </c>
      <c r="F1131" t="s">
        <v>37</v>
      </c>
      <c r="G1131">
        <v>16</v>
      </c>
      <c r="H1131">
        <v>2</v>
      </c>
      <c r="I1131" s="21">
        <v>9304.7000000000007</v>
      </c>
      <c r="J1131" t="str">
        <f t="shared" si="86"/>
        <v>tier - 3</v>
      </c>
      <c r="K1131" t="s">
        <v>12</v>
      </c>
      <c r="L1131" t="str">
        <f t="shared" si="87"/>
        <v>tier - 3</v>
      </c>
      <c r="M1131" t="s">
        <v>12</v>
      </c>
      <c r="N1131" t="str">
        <f t="shared" si="88"/>
        <v>R1013</v>
      </c>
      <c r="O1131" t="s">
        <v>13</v>
      </c>
    </row>
    <row r="1132" spans="1:15" x14ac:dyDescent="0.35">
      <c r="A1132" t="s">
        <v>1163</v>
      </c>
      <c r="C1132">
        <f t="shared" si="85"/>
        <v>1963</v>
      </c>
      <c r="D1132">
        <v>1963</v>
      </c>
      <c r="E1132" t="str">
        <f t="shared" si="89"/>
        <v>Jun</v>
      </c>
      <c r="F1132" t="s">
        <v>18</v>
      </c>
      <c r="G1132">
        <v>8</v>
      </c>
      <c r="H1132">
        <v>0</v>
      </c>
      <c r="I1132" s="21">
        <v>9310.81</v>
      </c>
      <c r="J1132" t="str">
        <f t="shared" si="86"/>
        <v>tier - 3</v>
      </c>
      <c r="K1132" t="s">
        <v>12</v>
      </c>
      <c r="L1132" t="str">
        <f t="shared" si="87"/>
        <v>tier - 1</v>
      </c>
      <c r="M1132" t="s">
        <v>16</v>
      </c>
      <c r="N1132" t="str">
        <f t="shared" si="88"/>
        <v>R1013</v>
      </c>
      <c r="O1132" t="s">
        <v>13</v>
      </c>
    </row>
    <row r="1133" spans="1:15" x14ac:dyDescent="0.35">
      <c r="A1133" t="s">
        <v>1164</v>
      </c>
      <c r="C1133">
        <f t="shared" si="85"/>
        <v>1977</v>
      </c>
      <c r="D1133">
        <v>1977</v>
      </c>
      <c r="E1133" t="str">
        <f t="shared" si="89"/>
        <v>Oct</v>
      </c>
      <c r="F1133" t="s">
        <v>37</v>
      </c>
      <c r="G1133">
        <v>12</v>
      </c>
      <c r="H1133">
        <v>2</v>
      </c>
      <c r="I1133" s="21">
        <v>9315.41</v>
      </c>
      <c r="J1133" t="str">
        <f t="shared" si="86"/>
        <v>tier - 2</v>
      </c>
      <c r="K1133" t="s">
        <v>11</v>
      </c>
      <c r="L1133" t="str">
        <f t="shared" si="87"/>
        <v>tier - 1</v>
      </c>
      <c r="M1133" t="s">
        <v>16</v>
      </c>
      <c r="N1133" t="str">
        <f t="shared" si="88"/>
        <v>R1024</v>
      </c>
      <c r="O1133" t="s">
        <v>247</v>
      </c>
    </row>
    <row r="1134" spans="1:15" x14ac:dyDescent="0.35">
      <c r="A1134" t="s">
        <v>1165</v>
      </c>
      <c r="C1134">
        <f t="shared" si="85"/>
        <v>1988</v>
      </c>
      <c r="D1134">
        <v>1988</v>
      </c>
      <c r="E1134" t="str">
        <f t="shared" si="89"/>
        <v>Jul</v>
      </c>
      <c r="F1134" t="s">
        <v>10</v>
      </c>
      <c r="G1134">
        <v>9</v>
      </c>
      <c r="H1134">
        <v>3</v>
      </c>
      <c r="I1134" s="21">
        <v>9320.26</v>
      </c>
      <c r="J1134" t="str">
        <f t="shared" si="86"/>
        <v>tier - 2</v>
      </c>
      <c r="K1134" t="s">
        <v>11</v>
      </c>
      <c r="L1134" t="str">
        <f t="shared" si="87"/>
        <v>tier - 1</v>
      </c>
      <c r="M1134" t="s">
        <v>16</v>
      </c>
      <c r="N1134" t="str">
        <f t="shared" si="88"/>
        <v>R1012</v>
      </c>
      <c r="O1134" t="s">
        <v>23</v>
      </c>
    </row>
    <row r="1135" spans="1:15" x14ac:dyDescent="0.35">
      <c r="A1135" t="s">
        <v>1166</v>
      </c>
      <c r="C1135">
        <f t="shared" si="85"/>
        <v>1996</v>
      </c>
      <c r="D1135">
        <v>1996</v>
      </c>
      <c r="E1135" t="str">
        <f t="shared" si="89"/>
        <v>Oct</v>
      </c>
      <c r="F1135" t="s">
        <v>37</v>
      </c>
      <c r="G1135">
        <v>12</v>
      </c>
      <c r="H1135">
        <v>0</v>
      </c>
      <c r="I1135" s="21">
        <v>9338.61</v>
      </c>
      <c r="J1135" t="str">
        <f t="shared" si="86"/>
        <v>tier - 2</v>
      </c>
      <c r="K1135" t="s">
        <v>11</v>
      </c>
      <c r="L1135" t="str">
        <f t="shared" si="87"/>
        <v>tier - 1</v>
      </c>
      <c r="M1135" t="s">
        <v>16</v>
      </c>
      <c r="N1135" t="str">
        <f t="shared" si="88"/>
        <v>R1026</v>
      </c>
      <c r="O1135" t="s">
        <v>535</v>
      </c>
    </row>
    <row r="1136" spans="1:15" x14ac:dyDescent="0.35">
      <c r="A1136" t="s">
        <v>1167</v>
      </c>
      <c r="C1136">
        <f t="shared" si="85"/>
        <v>1988</v>
      </c>
      <c r="D1136">
        <v>1988</v>
      </c>
      <c r="E1136" t="str">
        <f t="shared" si="89"/>
        <v>Jul</v>
      </c>
      <c r="F1136" t="s">
        <v>10</v>
      </c>
      <c r="G1136">
        <v>1</v>
      </c>
      <c r="H1136">
        <v>3</v>
      </c>
      <c r="I1136" s="21">
        <v>9344.2000000000007</v>
      </c>
      <c r="J1136" t="str">
        <f t="shared" si="86"/>
        <v>tier - 2</v>
      </c>
      <c r="K1136" t="s">
        <v>11</v>
      </c>
      <c r="L1136" t="str">
        <f t="shared" si="87"/>
        <v>tier - 1</v>
      </c>
      <c r="M1136" t="s">
        <v>16</v>
      </c>
      <c r="N1136" t="str">
        <f t="shared" si="88"/>
        <v>R1021</v>
      </c>
      <c r="O1136" t="s">
        <v>300</v>
      </c>
    </row>
    <row r="1137" spans="1:15" x14ac:dyDescent="0.35">
      <c r="A1137" t="s">
        <v>1168</v>
      </c>
      <c r="C1137">
        <f t="shared" si="85"/>
        <v>1971</v>
      </c>
      <c r="D1137">
        <v>1971</v>
      </c>
      <c r="E1137" t="str">
        <f t="shared" si="89"/>
        <v>Oct</v>
      </c>
      <c r="F1137" t="s">
        <v>37</v>
      </c>
      <c r="G1137">
        <v>8</v>
      </c>
      <c r="H1137">
        <v>0</v>
      </c>
      <c r="I1137" s="21">
        <v>9361.33</v>
      </c>
      <c r="J1137" t="str">
        <f t="shared" si="86"/>
        <v>tier - 3</v>
      </c>
      <c r="K1137" t="s">
        <v>12</v>
      </c>
      <c r="L1137" t="str">
        <f t="shared" si="87"/>
        <v>tier - 1</v>
      </c>
      <c r="M1137" t="s">
        <v>16</v>
      </c>
      <c r="N1137" t="str">
        <f t="shared" si="88"/>
        <v>R1016</v>
      </c>
      <c r="O1137" t="s">
        <v>168</v>
      </c>
    </row>
    <row r="1138" spans="1:15" x14ac:dyDescent="0.35">
      <c r="A1138" t="s">
        <v>1169</v>
      </c>
      <c r="C1138">
        <f t="shared" si="85"/>
        <v>1969</v>
      </c>
      <c r="D1138">
        <v>1969</v>
      </c>
      <c r="E1138" t="str">
        <f t="shared" si="89"/>
        <v>Nov</v>
      </c>
      <c r="F1138" t="s">
        <v>15</v>
      </c>
      <c r="G1138">
        <v>24</v>
      </c>
      <c r="H1138">
        <v>0</v>
      </c>
      <c r="I1138" s="21">
        <v>9377.4500000000007</v>
      </c>
      <c r="J1138" t="str">
        <f t="shared" si="86"/>
        <v>tier - 2</v>
      </c>
      <c r="K1138" t="s">
        <v>11</v>
      </c>
      <c r="L1138" t="str">
        <f t="shared" si="87"/>
        <v>tier - 3</v>
      </c>
      <c r="M1138" t="s">
        <v>12</v>
      </c>
      <c r="N1138" t="str">
        <f t="shared" si="88"/>
        <v>R1013</v>
      </c>
      <c r="O1138" t="s">
        <v>13</v>
      </c>
    </row>
    <row r="1139" spans="1:15" x14ac:dyDescent="0.35">
      <c r="A1139" t="s">
        <v>1170</v>
      </c>
      <c r="C1139">
        <f t="shared" si="85"/>
        <v>1971</v>
      </c>
      <c r="D1139">
        <v>1971</v>
      </c>
      <c r="E1139" t="str">
        <f t="shared" si="89"/>
        <v>Nov</v>
      </c>
      <c r="F1139" t="s">
        <v>15</v>
      </c>
      <c r="G1139">
        <v>26</v>
      </c>
      <c r="H1139">
        <v>1</v>
      </c>
      <c r="I1139" s="21">
        <v>9377.9</v>
      </c>
      <c r="J1139" t="str">
        <f t="shared" si="86"/>
        <v>tier - 2</v>
      </c>
      <c r="K1139" t="s">
        <v>11</v>
      </c>
      <c r="L1139" t="str">
        <f t="shared" si="87"/>
        <v>tier - 1</v>
      </c>
      <c r="M1139" t="s">
        <v>16</v>
      </c>
      <c r="N1139" t="str">
        <f t="shared" si="88"/>
        <v>R1013</v>
      </c>
      <c r="O1139" t="s">
        <v>13</v>
      </c>
    </row>
    <row r="1140" spans="1:15" x14ac:dyDescent="0.35">
      <c r="A1140" t="s">
        <v>1171</v>
      </c>
      <c r="C1140">
        <f t="shared" si="85"/>
        <v>1975</v>
      </c>
      <c r="D1140">
        <v>1975</v>
      </c>
      <c r="E1140" t="str">
        <f t="shared" si="89"/>
        <v>Dec</v>
      </c>
      <c r="F1140" t="s">
        <v>30</v>
      </c>
      <c r="G1140">
        <v>2</v>
      </c>
      <c r="H1140">
        <v>1</v>
      </c>
      <c r="I1140" s="21">
        <v>9380.75</v>
      </c>
      <c r="J1140" t="str">
        <f t="shared" si="86"/>
        <v>tier - 2</v>
      </c>
      <c r="K1140" t="s">
        <v>11</v>
      </c>
      <c r="L1140" t="str">
        <f t="shared" si="87"/>
        <v>tier - 2</v>
      </c>
      <c r="M1140" t="s">
        <v>11</v>
      </c>
      <c r="N1140" t="str">
        <f t="shared" si="88"/>
        <v>R1024</v>
      </c>
      <c r="O1140" t="s">
        <v>247</v>
      </c>
    </row>
    <row r="1141" spans="1:15" x14ac:dyDescent="0.35">
      <c r="A1141" t="s">
        <v>1172</v>
      </c>
      <c r="C1141">
        <f t="shared" si="85"/>
        <v>1971</v>
      </c>
      <c r="D1141">
        <v>1971</v>
      </c>
      <c r="E1141" t="str">
        <f t="shared" si="89"/>
        <v>Dec</v>
      </c>
      <c r="F1141" t="s">
        <v>30</v>
      </c>
      <c r="G1141">
        <v>29</v>
      </c>
      <c r="H1141">
        <v>1</v>
      </c>
      <c r="I1141" s="21">
        <v>9386.16</v>
      </c>
      <c r="J1141" t="str">
        <f t="shared" si="86"/>
        <v>tier - 3</v>
      </c>
      <c r="K1141" t="s">
        <v>12</v>
      </c>
      <c r="L1141" t="str">
        <f t="shared" si="87"/>
        <v>tier - 2</v>
      </c>
      <c r="M1141" t="s">
        <v>11</v>
      </c>
      <c r="N1141" t="str">
        <f t="shared" si="88"/>
        <v>R1013</v>
      </c>
      <c r="O1141" t="s">
        <v>13</v>
      </c>
    </row>
    <row r="1142" spans="1:15" x14ac:dyDescent="0.35">
      <c r="A1142" t="s">
        <v>1173</v>
      </c>
      <c r="C1142">
        <f t="shared" si="85"/>
        <v>1971</v>
      </c>
      <c r="D1142">
        <v>1971</v>
      </c>
      <c r="E1142" t="str">
        <f t="shared" si="89"/>
        <v>Oct</v>
      </c>
      <c r="F1142" t="s">
        <v>37</v>
      </c>
      <c r="G1142">
        <v>20</v>
      </c>
      <c r="H1142">
        <v>1</v>
      </c>
      <c r="I1142" s="21">
        <v>9391.35</v>
      </c>
      <c r="J1142" t="str">
        <f t="shared" si="86"/>
        <v>tier - 3</v>
      </c>
      <c r="K1142" t="s">
        <v>12</v>
      </c>
      <c r="L1142" t="str">
        <f t="shared" si="87"/>
        <v>tier - 3</v>
      </c>
      <c r="M1142" t="s">
        <v>12</v>
      </c>
      <c r="N1142" t="str">
        <f t="shared" si="88"/>
        <v>R1011</v>
      </c>
      <c r="O1142" t="s">
        <v>42</v>
      </c>
    </row>
    <row r="1143" spans="1:15" x14ac:dyDescent="0.35">
      <c r="A1143" t="s">
        <v>1174</v>
      </c>
      <c r="C1143">
        <f t="shared" si="85"/>
        <v>1976</v>
      </c>
      <c r="D1143">
        <v>1976</v>
      </c>
      <c r="E1143" t="str">
        <f t="shared" si="89"/>
        <v>Oct</v>
      </c>
      <c r="F1143" t="s">
        <v>37</v>
      </c>
      <c r="G1143">
        <v>17</v>
      </c>
      <c r="H1143">
        <v>2</v>
      </c>
      <c r="I1143" s="21">
        <v>9411.01</v>
      </c>
      <c r="J1143" t="str">
        <f t="shared" si="86"/>
        <v>tier - 2</v>
      </c>
      <c r="K1143" t="s">
        <v>11</v>
      </c>
      <c r="L1143" t="str">
        <f t="shared" si="87"/>
        <v>tier - 3</v>
      </c>
      <c r="M1143" t="s">
        <v>12</v>
      </c>
      <c r="N1143" t="str">
        <f t="shared" si="88"/>
        <v>R1024</v>
      </c>
      <c r="O1143" t="s">
        <v>247</v>
      </c>
    </row>
    <row r="1144" spans="1:15" x14ac:dyDescent="0.35">
      <c r="A1144" t="s">
        <v>1175</v>
      </c>
      <c r="C1144">
        <f t="shared" si="85"/>
        <v>1976</v>
      </c>
      <c r="D1144">
        <v>1976</v>
      </c>
      <c r="E1144" t="str">
        <f t="shared" si="89"/>
        <v>Oct</v>
      </c>
      <c r="F1144" t="s">
        <v>37</v>
      </c>
      <c r="G1144">
        <v>30</v>
      </c>
      <c r="H1144">
        <v>3</v>
      </c>
      <c r="I1144" s="21">
        <v>9414.92</v>
      </c>
      <c r="J1144" t="str">
        <f t="shared" si="86"/>
        <v>tier - 2</v>
      </c>
      <c r="K1144" t="s">
        <v>11</v>
      </c>
      <c r="L1144" t="str">
        <f t="shared" si="87"/>
        <v>tier - 2</v>
      </c>
      <c r="M1144" t="s">
        <v>11</v>
      </c>
      <c r="N1144" t="str">
        <f t="shared" si="88"/>
        <v>R1011</v>
      </c>
      <c r="O1144" t="s">
        <v>42</v>
      </c>
    </row>
    <row r="1145" spans="1:15" x14ac:dyDescent="0.35">
      <c r="A1145" t="s">
        <v>1176</v>
      </c>
      <c r="C1145">
        <f t="shared" si="85"/>
        <v>1976</v>
      </c>
      <c r="D1145">
        <v>1976</v>
      </c>
      <c r="E1145" t="str">
        <f t="shared" si="89"/>
        <v>Nov</v>
      </c>
      <c r="F1145" t="s">
        <v>15</v>
      </c>
      <c r="G1145">
        <v>3</v>
      </c>
      <c r="H1145">
        <v>2</v>
      </c>
      <c r="I1145" s="21">
        <v>9432.93</v>
      </c>
      <c r="J1145" t="str">
        <f t="shared" si="86"/>
        <v>tier - 2</v>
      </c>
      <c r="K1145" t="s">
        <v>11</v>
      </c>
      <c r="L1145" t="str">
        <f t="shared" si="87"/>
        <v>tier - 1</v>
      </c>
      <c r="M1145" t="s">
        <v>16</v>
      </c>
      <c r="N1145" t="str">
        <f t="shared" si="88"/>
        <v>R1024</v>
      </c>
      <c r="O1145" t="s">
        <v>247</v>
      </c>
    </row>
    <row r="1146" spans="1:15" x14ac:dyDescent="0.35">
      <c r="A1146" t="s">
        <v>1177</v>
      </c>
      <c r="C1146">
        <f t="shared" si="85"/>
        <v>1974</v>
      </c>
      <c r="D1146">
        <v>1974</v>
      </c>
      <c r="E1146" t="str">
        <f t="shared" si="89"/>
        <v>Nov</v>
      </c>
      <c r="F1146" t="s">
        <v>15</v>
      </c>
      <c r="G1146">
        <v>27</v>
      </c>
      <c r="H1146">
        <v>1</v>
      </c>
      <c r="I1146" s="21">
        <v>9447.25</v>
      </c>
      <c r="J1146" t="str">
        <f t="shared" si="86"/>
        <v>tier - 2</v>
      </c>
      <c r="K1146" t="s">
        <v>11</v>
      </c>
      <c r="L1146" t="str">
        <f t="shared" si="87"/>
        <v>tier - 1</v>
      </c>
      <c r="M1146" t="s">
        <v>16</v>
      </c>
      <c r="N1146" t="str">
        <f t="shared" si="88"/>
        <v>R1024</v>
      </c>
      <c r="O1146" t="s">
        <v>247</v>
      </c>
    </row>
    <row r="1147" spans="1:15" x14ac:dyDescent="0.35">
      <c r="A1147" t="s">
        <v>1178</v>
      </c>
      <c r="C1147">
        <f t="shared" si="85"/>
        <v>1974</v>
      </c>
      <c r="D1147">
        <v>1974</v>
      </c>
      <c r="E1147" t="str">
        <f t="shared" si="89"/>
        <v>Jun</v>
      </c>
      <c r="F1147" t="s">
        <v>18</v>
      </c>
      <c r="G1147">
        <v>8</v>
      </c>
      <c r="H1147">
        <v>1</v>
      </c>
      <c r="I1147" s="21">
        <v>9447.3799999999992</v>
      </c>
      <c r="J1147" t="str">
        <f t="shared" si="86"/>
        <v>tier - 2</v>
      </c>
      <c r="K1147" t="s">
        <v>11</v>
      </c>
      <c r="L1147" t="str">
        <f t="shared" si="87"/>
        <v>tier - 3</v>
      </c>
      <c r="M1147" t="s">
        <v>12</v>
      </c>
      <c r="N1147" t="str">
        <f t="shared" si="88"/>
        <v>R1024</v>
      </c>
      <c r="O1147" t="s">
        <v>247</v>
      </c>
    </row>
    <row r="1148" spans="1:15" x14ac:dyDescent="0.35">
      <c r="A1148" t="s">
        <v>1179</v>
      </c>
      <c r="C1148">
        <f t="shared" si="85"/>
        <v>1987</v>
      </c>
      <c r="D1148">
        <v>1987</v>
      </c>
      <c r="E1148" t="str">
        <f t="shared" si="89"/>
        <v>Nov</v>
      </c>
      <c r="F1148" t="s">
        <v>15</v>
      </c>
      <c r="G1148">
        <v>14</v>
      </c>
      <c r="H1148">
        <v>3</v>
      </c>
      <c r="I1148" s="21">
        <v>9448.42</v>
      </c>
      <c r="J1148" t="str">
        <f t="shared" si="86"/>
        <v>tier - 2</v>
      </c>
      <c r="K1148" t="s">
        <v>11</v>
      </c>
      <c r="L1148" t="str">
        <f t="shared" si="87"/>
        <v>tier - 3</v>
      </c>
      <c r="M1148" t="s">
        <v>12</v>
      </c>
      <c r="N1148" t="str">
        <f t="shared" si="88"/>
        <v>R1021</v>
      </c>
      <c r="O1148" t="s">
        <v>300</v>
      </c>
    </row>
    <row r="1149" spans="1:15" x14ac:dyDescent="0.35">
      <c r="A1149" t="s">
        <v>1180</v>
      </c>
      <c r="C1149">
        <f t="shared" si="85"/>
        <v>1979</v>
      </c>
      <c r="D1149">
        <v>1979</v>
      </c>
      <c r="E1149" t="str">
        <f t="shared" si="89"/>
        <v>Jul</v>
      </c>
      <c r="F1149" t="s">
        <v>10</v>
      </c>
      <c r="G1149">
        <v>17</v>
      </c>
      <c r="H1149">
        <v>2</v>
      </c>
      <c r="I1149" s="21">
        <v>9453.92</v>
      </c>
      <c r="J1149" t="str">
        <f t="shared" si="86"/>
        <v>tier - 2</v>
      </c>
      <c r="K1149" t="s">
        <v>11</v>
      </c>
      <c r="L1149" t="str">
        <f t="shared" si="87"/>
        <v>tier - 2</v>
      </c>
      <c r="M1149" t="s">
        <v>11</v>
      </c>
      <c r="N1149" t="str">
        <f t="shared" si="88"/>
        <v>R1021</v>
      </c>
      <c r="O1149" t="s">
        <v>300</v>
      </c>
    </row>
    <row r="1150" spans="1:15" x14ac:dyDescent="0.35">
      <c r="A1150" t="s">
        <v>1181</v>
      </c>
      <c r="C1150">
        <f t="shared" si="85"/>
        <v>1969</v>
      </c>
      <c r="D1150">
        <v>1969</v>
      </c>
      <c r="E1150" t="str">
        <f t="shared" si="89"/>
        <v>Jun</v>
      </c>
      <c r="F1150" t="s">
        <v>18</v>
      </c>
      <c r="G1150">
        <v>4</v>
      </c>
      <c r="H1150">
        <v>0</v>
      </c>
      <c r="I1150" s="21">
        <v>9487.64</v>
      </c>
      <c r="J1150" t="str">
        <f t="shared" si="86"/>
        <v>tier - 2</v>
      </c>
      <c r="K1150" t="s">
        <v>11</v>
      </c>
      <c r="L1150" t="str">
        <f t="shared" si="87"/>
        <v>tier - 2</v>
      </c>
      <c r="M1150" t="s">
        <v>11</v>
      </c>
      <c r="N1150" t="str">
        <f t="shared" si="88"/>
        <v>R1013</v>
      </c>
      <c r="O1150" t="s">
        <v>13</v>
      </c>
    </row>
    <row r="1151" spans="1:15" x14ac:dyDescent="0.35">
      <c r="A1151" t="s">
        <v>1182</v>
      </c>
      <c r="C1151">
        <f t="shared" si="85"/>
        <v>1976</v>
      </c>
      <c r="D1151">
        <v>1976</v>
      </c>
      <c r="E1151" t="str">
        <f t="shared" si="89"/>
        <v>Nov</v>
      </c>
      <c r="F1151" t="s">
        <v>15</v>
      </c>
      <c r="G1151">
        <v>28</v>
      </c>
      <c r="H1151">
        <v>3</v>
      </c>
      <c r="I1151" s="21">
        <v>9500.57</v>
      </c>
      <c r="J1151" t="str">
        <f t="shared" si="86"/>
        <v>tier - 2</v>
      </c>
      <c r="K1151" t="s">
        <v>11</v>
      </c>
      <c r="L1151" t="str">
        <f t="shared" si="87"/>
        <v>tier - 3</v>
      </c>
      <c r="M1151" t="s">
        <v>12</v>
      </c>
      <c r="N1151" t="str">
        <f t="shared" si="88"/>
        <v>R1017</v>
      </c>
      <c r="O1151" t="s">
        <v>356</v>
      </c>
    </row>
    <row r="1152" spans="1:15" x14ac:dyDescent="0.35">
      <c r="A1152" t="s">
        <v>1183</v>
      </c>
      <c r="C1152">
        <f t="shared" si="85"/>
        <v>1969</v>
      </c>
      <c r="D1152">
        <v>1969</v>
      </c>
      <c r="E1152" t="str">
        <f t="shared" si="89"/>
        <v>Aug</v>
      </c>
      <c r="F1152" t="s">
        <v>35</v>
      </c>
      <c r="G1152">
        <v>24</v>
      </c>
      <c r="H1152">
        <v>0</v>
      </c>
      <c r="I1152" s="21">
        <v>9504.31</v>
      </c>
      <c r="J1152" t="str">
        <f t="shared" si="86"/>
        <v>tier - 3</v>
      </c>
      <c r="K1152" t="s">
        <v>12</v>
      </c>
      <c r="L1152" t="str">
        <f t="shared" si="87"/>
        <v>tier - 2</v>
      </c>
      <c r="M1152" t="s">
        <v>11</v>
      </c>
      <c r="N1152" t="str">
        <f t="shared" si="88"/>
        <v>R1013</v>
      </c>
      <c r="O1152" t="s">
        <v>13</v>
      </c>
    </row>
    <row r="1153" spans="1:15" x14ac:dyDescent="0.35">
      <c r="A1153" t="s">
        <v>1184</v>
      </c>
      <c r="C1153">
        <f t="shared" si="85"/>
        <v>1992</v>
      </c>
      <c r="D1153">
        <v>1992</v>
      </c>
      <c r="E1153" t="str">
        <f t="shared" si="89"/>
        <v>Aug</v>
      </c>
      <c r="F1153" t="s">
        <v>35</v>
      </c>
      <c r="G1153">
        <v>22</v>
      </c>
      <c r="H1153">
        <v>0</v>
      </c>
      <c r="I1153" s="21">
        <v>9507.68</v>
      </c>
      <c r="J1153" t="str">
        <f t="shared" si="86"/>
        <v>tier - 2</v>
      </c>
      <c r="K1153" t="s">
        <v>11</v>
      </c>
      <c r="L1153" t="str">
        <f t="shared" si="87"/>
        <v>tier - 1</v>
      </c>
      <c r="M1153" t="s">
        <v>16</v>
      </c>
      <c r="N1153" t="str">
        <f t="shared" si="88"/>
        <v>R1012</v>
      </c>
      <c r="O1153" t="s">
        <v>23</v>
      </c>
    </row>
    <row r="1154" spans="1:15" x14ac:dyDescent="0.35">
      <c r="A1154" t="s">
        <v>1185</v>
      </c>
      <c r="C1154">
        <f t="shared" si="85"/>
        <v>1971</v>
      </c>
      <c r="D1154">
        <v>1971</v>
      </c>
      <c r="E1154" t="str">
        <f t="shared" si="89"/>
        <v>Nov</v>
      </c>
      <c r="F1154" t="s">
        <v>15</v>
      </c>
      <c r="G1154">
        <v>29</v>
      </c>
      <c r="H1154">
        <v>0</v>
      </c>
      <c r="I1154" s="21">
        <v>9528.9</v>
      </c>
      <c r="J1154" t="str">
        <f t="shared" si="86"/>
        <v>tier - 2</v>
      </c>
      <c r="K1154" t="s">
        <v>11</v>
      </c>
      <c r="L1154" t="str">
        <f t="shared" si="87"/>
        <v>tier - 2</v>
      </c>
      <c r="M1154" t="s">
        <v>11</v>
      </c>
      <c r="N1154" t="str">
        <f t="shared" si="88"/>
        <v>R1011</v>
      </c>
      <c r="O1154" t="s">
        <v>42</v>
      </c>
    </row>
    <row r="1155" spans="1:15" x14ac:dyDescent="0.35">
      <c r="A1155" t="s">
        <v>1186</v>
      </c>
      <c r="C1155">
        <f t="shared" ref="C1155:C1218" si="90">IF(OR(D1155="?", ISBLANK(D1155)), 1983, D1155)</f>
        <v>1973</v>
      </c>
      <c r="D1155">
        <v>1973</v>
      </c>
      <c r="E1155" t="str">
        <f t="shared" si="89"/>
        <v>Dec</v>
      </c>
      <c r="F1155" t="s">
        <v>30</v>
      </c>
      <c r="G1155">
        <v>21</v>
      </c>
      <c r="H1155">
        <v>0</v>
      </c>
      <c r="I1155" s="21">
        <v>9538.65</v>
      </c>
      <c r="J1155" t="str">
        <f t="shared" ref="J1155:J1218" si="91">IF(OR(K1155="?", ISBLANK(K1155)), "Tier 2", K1155)</f>
        <v>tier - 2</v>
      </c>
      <c r="K1155" t="s">
        <v>11</v>
      </c>
      <c r="L1155" t="str">
        <f t="shared" ref="L1155:L1218" si="92">IF(OR(M1155="?", ISBLANK(M1155)), "Tier 2", M1155)</f>
        <v>tier - 3</v>
      </c>
      <c r="M1155" t="s">
        <v>12</v>
      </c>
      <c r="N1155" t="str">
        <f t="shared" ref="N1155:N1218" si="93">IF(OR(O1155="?", ISBLANK(O1155)), "Unknown", O1155)</f>
        <v>R1021</v>
      </c>
      <c r="O1155" t="s">
        <v>300</v>
      </c>
    </row>
    <row r="1156" spans="1:15" x14ac:dyDescent="0.35">
      <c r="A1156" t="s">
        <v>1187</v>
      </c>
      <c r="C1156">
        <f t="shared" si="90"/>
        <v>1975</v>
      </c>
      <c r="D1156">
        <v>1975</v>
      </c>
      <c r="E1156" t="str">
        <f t="shared" ref="E1156:E1219" si="94">IF(OR(F1156="?", ISBLANK(F1156)), "Sep", F1156)</f>
        <v>Jul</v>
      </c>
      <c r="F1156" t="s">
        <v>10</v>
      </c>
      <c r="G1156">
        <v>28</v>
      </c>
      <c r="H1156">
        <v>1</v>
      </c>
      <c r="I1156" s="21">
        <v>9540.17</v>
      </c>
      <c r="J1156" t="str">
        <f t="shared" si="91"/>
        <v>tier - 2</v>
      </c>
      <c r="K1156" t="s">
        <v>11</v>
      </c>
      <c r="L1156" t="str">
        <f t="shared" si="92"/>
        <v>tier - 2</v>
      </c>
      <c r="M1156" t="s">
        <v>11</v>
      </c>
      <c r="N1156" t="str">
        <f t="shared" si="93"/>
        <v>R1024</v>
      </c>
      <c r="O1156" t="s">
        <v>247</v>
      </c>
    </row>
    <row r="1157" spans="1:15" x14ac:dyDescent="0.35">
      <c r="A1157" t="s">
        <v>1188</v>
      </c>
      <c r="C1157">
        <f t="shared" si="90"/>
        <v>1972</v>
      </c>
      <c r="D1157">
        <v>1972</v>
      </c>
      <c r="E1157" t="str">
        <f t="shared" si="94"/>
        <v>Sep</v>
      </c>
      <c r="F1157" t="s">
        <v>20</v>
      </c>
      <c r="G1157">
        <v>22</v>
      </c>
      <c r="H1157">
        <v>0</v>
      </c>
      <c r="I1157" s="21">
        <v>9541.7000000000007</v>
      </c>
      <c r="J1157" t="str">
        <f t="shared" si="91"/>
        <v>tier - 2</v>
      </c>
      <c r="K1157" t="s">
        <v>11</v>
      </c>
      <c r="L1157" t="str">
        <f t="shared" si="92"/>
        <v>tier - 1</v>
      </c>
      <c r="M1157" t="s">
        <v>16</v>
      </c>
      <c r="N1157" t="str">
        <f t="shared" si="93"/>
        <v>R1024</v>
      </c>
      <c r="O1157" t="s">
        <v>247</v>
      </c>
    </row>
    <row r="1158" spans="1:15" x14ac:dyDescent="0.35">
      <c r="A1158" t="s">
        <v>1189</v>
      </c>
      <c r="C1158">
        <f t="shared" si="90"/>
        <v>1972</v>
      </c>
      <c r="D1158">
        <v>1972</v>
      </c>
      <c r="E1158" t="str">
        <f t="shared" si="94"/>
        <v>Sep</v>
      </c>
      <c r="F1158" t="s">
        <v>20</v>
      </c>
      <c r="G1158">
        <v>22</v>
      </c>
      <c r="H1158">
        <v>1</v>
      </c>
      <c r="I1158" s="21">
        <v>9549.57</v>
      </c>
      <c r="J1158" t="str">
        <f t="shared" si="91"/>
        <v>tier - 2</v>
      </c>
      <c r="K1158" t="s">
        <v>11</v>
      </c>
      <c r="L1158" t="str">
        <f t="shared" si="92"/>
        <v>tier - 1</v>
      </c>
      <c r="M1158" t="s">
        <v>16</v>
      </c>
      <c r="N1158" t="str">
        <f t="shared" si="93"/>
        <v>R1013</v>
      </c>
      <c r="O1158" t="s">
        <v>13</v>
      </c>
    </row>
    <row r="1159" spans="1:15" x14ac:dyDescent="0.35">
      <c r="A1159" t="s">
        <v>1190</v>
      </c>
      <c r="C1159">
        <f t="shared" si="90"/>
        <v>1974</v>
      </c>
      <c r="D1159">
        <v>1974</v>
      </c>
      <c r="E1159" t="str">
        <f t="shared" si="94"/>
        <v>Aug</v>
      </c>
      <c r="F1159" t="s">
        <v>35</v>
      </c>
      <c r="G1159">
        <v>14</v>
      </c>
      <c r="H1159">
        <v>3</v>
      </c>
      <c r="I1159" s="21">
        <v>9563.0300000000007</v>
      </c>
      <c r="J1159" t="str">
        <f t="shared" si="91"/>
        <v>tier - 3</v>
      </c>
      <c r="K1159" t="s">
        <v>12</v>
      </c>
      <c r="L1159" t="str">
        <f t="shared" si="92"/>
        <v>tier - 1</v>
      </c>
      <c r="M1159" t="s">
        <v>16</v>
      </c>
      <c r="N1159" t="str">
        <f t="shared" si="93"/>
        <v>R1011</v>
      </c>
      <c r="O1159" t="s">
        <v>42</v>
      </c>
    </row>
    <row r="1160" spans="1:15" x14ac:dyDescent="0.35">
      <c r="A1160" t="s">
        <v>1191</v>
      </c>
      <c r="C1160">
        <f t="shared" si="90"/>
        <v>1973</v>
      </c>
      <c r="D1160">
        <v>1973</v>
      </c>
      <c r="E1160" t="str">
        <f t="shared" si="94"/>
        <v>Dec</v>
      </c>
      <c r="F1160" t="s">
        <v>30</v>
      </c>
      <c r="G1160">
        <v>1</v>
      </c>
      <c r="H1160">
        <v>1</v>
      </c>
      <c r="I1160" s="21">
        <v>9566.99</v>
      </c>
      <c r="J1160" t="str">
        <f t="shared" si="91"/>
        <v>tier - 2</v>
      </c>
      <c r="K1160" t="s">
        <v>11</v>
      </c>
      <c r="L1160" t="str">
        <f t="shared" si="92"/>
        <v>tier - 1</v>
      </c>
      <c r="M1160" t="s">
        <v>16</v>
      </c>
      <c r="N1160" t="str">
        <f t="shared" si="93"/>
        <v>R1012</v>
      </c>
      <c r="O1160" t="s">
        <v>23</v>
      </c>
    </row>
    <row r="1161" spans="1:15" x14ac:dyDescent="0.35">
      <c r="A1161" t="s">
        <v>1192</v>
      </c>
      <c r="C1161">
        <f t="shared" si="90"/>
        <v>1966</v>
      </c>
      <c r="D1161">
        <v>1966</v>
      </c>
      <c r="E1161" t="str">
        <f t="shared" si="94"/>
        <v>Dec</v>
      </c>
      <c r="F1161" t="s">
        <v>30</v>
      </c>
      <c r="G1161">
        <v>4</v>
      </c>
      <c r="H1161">
        <v>0</v>
      </c>
      <c r="I1161" s="21">
        <v>9582.5400000000009</v>
      </c>
      <c r="J1161" t="str">
        <f t="shared" si="91"/>
        <v>tier - 3</v>
      </c>
      <c r="K1161" t="s">
        <v>12</v>
      </c>
      <c r="L1161" t="str">
        <f t="shared" si="92"/>
        <v>tier - 2</v>
      </c>
      <c r="M1161" t="s">
        <v>11</v>
      </c>
      <c r="N1161" t="str">
        <f t="shared" si="93"/>
        <v>R1013</v>
      </c>
      <c r="O1161" t="s">
        <v>13</v>
      </c>
    </row>
    <row r="1162" spans="1:15" x14ac:dyDescent="0.35">
      <c r="A1162" t="s">
        <v>1193</v>
      </c>
      <c r="C1162">
        <f t="shared" si="90"/>
        <v>1973</v>
      </c>
      <c r="D1162">
        <v>1973</v>
      </c>
      <c r="E1162" t="str">
        <f t="shared" si="94"/>
        <v>Nov</v>
      </c>
      <c r="F1162" t="s">
        <v>15</v>
      </c>
      <c r="G1162">
        <v>28</v>
      </c>
      <c r="H1162">
        <v>1</v>
      </c>
      <c r="I1162" s="21">
        <v>9583.89</v>
      </c>
      <c r="J1162" t="str">
        <f t="shared" si="91"/>
        <v>tier - 2</v>
      </c>
      <c r="K1162" t="s">
        <v>11</v>
      </c>
      <c r="L1162" t="str">
        <f t="shared" si="92"/>
        <v>tier - 3</v>
      </c>
      <c r="M1162" t="s">
        <v>12</v>
      </c>
      <c r="N1162" t="str">
        <f t="shared" si="93"/>
        <v>R1012</v>
      </c>
      <c r="O1162" t="s">
        <v>23</v>
      </c>
    </row>
    <row r="1163" spans="1:15" x14ac:dyDescent="0.35">
      <c r="A1163" t="s">
        <v>1194</v>
      </c>
      <c r="C1163">
        <f t="shared" si="90"/>
        <v>1981</v>
      </c>
      <c r="D1163">
        <v>1981</v>
      </c>
      <c r="E1163" t="str">
        <f t="shared" si="94"/>
        <v>Oct</v>
      </c>
      <c r="F1163" t="s">
        <v>37</v>
      </c>
      <c r="G1163">
        <v>18</v>
      </c>
      <c r="H1163">
        <v>1</v>
      </c>
      <c r="I1163" s="21">
        <v>9584.0400000000009</v>
      </c>
      <c r="J1163" t="str">
        <f t="shared" si="91"/>
        <v>tier - 2</v>
      </c>
      <c r="K1163" t="s">
        <v>11</v>
      </c>
      <c r="L1163" t="str">
        <f t="shared" si="92"/>
        <v>tier - 1</v>
      </c>
      <c r="M1163" t="s">
        <v>16</v>
      </c>
      <c r="N1163" t="str">
        <f t="shared" si="93"/>
        <v>R1021</v>
      </c>
      <c r="O1163" t="s">
        <v>300</v>
      </c>
    </row>
    <row r="1164" spans="1:15" x14ac:dyDescent="0.35">
      <c r="A1164" t="s">
        <v>1195</v>
      </c>
      <c r="C1164">
        <f t="shared" si="90"/>
        <v>1964</v>
      </c>
      <c r="D1164">
        <v>1964</v>
      </c>
      <c r="E1164" t="str">
        <f t="shared" si="94"/>
        <v>Dec</v>
      </c>
      <c r="F1164" t="s">
        <v>30</v>
      </c>
      <c r="G1164">
        <v>15</v>
      </c>
      <c r="H1164">
        <v>0</v>
      </c>
      <c r="I1164" s="21">
        <v>9597.6299999999992</v>
      </c>
      <c r="J1164" t="str">
        <f t="shared" si="91"/>
        <v>tier - 3</v>
      </c>
      <c r="K1164" t="s">
        <v>12</v>
      </c>
      <c r="L1164" t="str">
        <f t="shared" si="92"/>
        <v>tier - 3</v>
      </c>
      <c r="M1164" t="s">
        <v>12</v>
      </c>
      <c r="N1164" t="str">
        <f t="shared" si="93"/>
        <v>R1013</v>
      </c>
      <c r="O1164" t="s">
        <v>13</v>
      </c>
    </row>
    <row r="1165" spans="1:15" x14ac:dyDescent="0.35">
      <c r="A1165" t="s">
        <v>1196</v>
      </c>
      <c r="C1165">
        <f t="shared" si="90"/>
        <v>1972</v>
      </c>
      <c r="D1165">
        <v>1972</v>
      </c>
      <c r="E1165" t="str">
        <f t="shared" si="94"/>
        <v>Dec</v>
      </c>
      <c r="F1165" t="s">
        <v>30</v>
      </c>
      <c r="G1165">
        <v>27</v>
      </c>
      <c r="H1165">
        <v>1</v>
      </c>
      <c r="I1165" s="21">
        <v>9617.66</v>
      </c>
      <c r="J1165" t="str">
        <f t="shared" si="91"/>
        <v>tier - 3</v>
      </c>
      <c r="K1165" t="s">
        <v>12</v>
      </c>
      <c r="L1165" t="str">
        <f t="shared" si="92"/>
        <v>tier - 3</v>
      </c>
      <c r="M1165" t="s">
        <v>12</v>
      </c>
      <c r="N1165" t="str">
        <f t="shared" si="93"/>
        <v>R1016</v>
      </c>
      <c r="O1165" t="s">
        <v>168</v>
      </c>
    </row>
    <row r="1166" spans="1:15" x14ac:dyDescent="0.35">
      <c r="A1166" t="s">
        <v>1197</v>
      </c>
      <c r="C1166">
        <f t="shared" si="90"/>
        <v>1982</v>
      </c>
      <c r="D1166">
        <v>1982</v>
      </c>
      <c r="E1166" t="str">
        <f t="shared" si="94"/>
        <v>Aug</v>
      </c>
      <c r="F1166" t="s">
        <v>35</v>
      </c>
      <c r="G1166">
        <v>29</v>
      </c>
      <c r="H1166">
        <v>3</v>
      </c>
      <c r="I1166" s="21">
        <v>9619.18</v>
      </c>
      <c r="J1166" t="str">
        <f t="shared" si="91"/>
        <v>tier - 2</v>
      </c>
      <c r="K1166" t="s">
        <v>11</v>
      </c>
      <c r="L1166" t="str">
        <f t="shared" si="92"/>
        <v>tier - 1</v>
      </c>
      <c r="M1166" t="s">
        <v>16</v>
      </c>
      <c r="N1166" t="str">
        <f t="shared" si="93"/>
        <v>R1025</v>
      </c>
      <c r="O1166" t="s">
        <v>200</v>
      </c>
    </row>
    <row r="1167" spans="1:15" x14ac:dyDescent="0.35">
      <c r="A1167" t="s">
        <v>1198</v>
      </c>
      <c r="C1167">
        <f t="shared" si="90"/>
        <v>1975</v>
      </c>
      <c r="D1167">
        <v>1975</v>
      </c>
      <c r="E1167" t="str">
        <f t="shared" si="94"/>
        <v>Oct</v>
      </c>
      <c r="F1167" t="s">
        <v>37</v>
      </c>
      <c r="G1167">
        <v>29</v>
      </c>
      <c r="H1167">
        <v>3</v>
      </c>
      <c r="I1167" s="21">
        <v>9620.33</v>
      </c>
      <c r="J1167" t="str">
        <f t="shared" si="91"/>
        <v>tier - 3</v>
      </c>
      <c r="K1167" t="s">
        <v>12</v>
      </c>
      <c r="L1167" t="str">
        <f t="shared" si="92"/>
        <v>tier - 3</v>
      </c>
      <c r="M1167" t="s">
        <v>12</v>
      </c>
      <c r="N1167" t="str">
        <f t="shared" si="93"/>
        <v>R1012</v>
      </c>
      <c r="O1167" t="s">
        <v>23</v>
      </c>
    </row>
    <row r="1168" spans="1:15" x14ac:dyDescent="0.35">
      <c r="A1168" t="s">
        <v>1199</v>
      </c>
      <c r="C1168">
        <f t="shared" si="90"/>
        <v>1970</v>
      </c>
      <c r="D1168">
        <v>1970</v>
      </c>
      <c r="E1168" t="str">
        <f t="shared" si="94"/>
        <v>Dec</v>
      </c>
      <c r="F1168" t="s">
        <v>30</v>
      </c>
      <c r="G1168">
        <v>16</v>
      </c>
      <c r="H1168">
        <v>0</v>
      </c>
      <c r="I1168" s="21">
        <v>9625.92</v>
      </c>
      <c r="J1168" t="str">
        <f t="shared" si="91"/>
        <v>tier - 2</v>
      </c>
      <c r="K1168" t="s">
        <v>11</v>
      </c>
      <c r="L1168" t="str">
        <f t="shared" si="92"/>
        <v>tier - 3</v>
      </c>
      <c r="M1168" t="s">
        <v>12</v>
      </c>
      <c r="N1168" t="str">
        <f t="shared" si="93"/>
        <v>R1011</v>
      </c>
      <c r="O1168" t="s">
        <v>42</v>
      </c>
    </row>
    <row r="1169" spans="1:15" x14ac:dyDescent="0.35">
      <c r="A1169" t="s">
        <v>1200</v>
      </c>
      <c r="C1169">
        <f t="shared" si="90"/>
        <v>1998</v>
      </c>
      <c r="D1169">
        <v>1998</v>
      </c>
      <c r="E1169" t="str">
        <f t="shared" si="94"/>
        <v>Jun</v>
      </c>
      <c r="F1169" t="s">
        <v>18</v>
      </c>
      <c r="G1169">
        <v>23</v>
      </c>
      <c r="H1169">
        <v>0</v>
      </c>
      <c r="I1169" s="21">
        <v>9628.7900000000009</v>
      </c>
      <c r="J1169" t="str">
        <f t="shared" si="91"/>
        <v>tier - 2</v>
      </c>
      <c r="K1169" t="s">
        <v>11</v>
      </c>
      <c r="L1169" t="str">
        <f t="shared" si="92"/>
        <v>tier - 2</v>
      </c>
      <c r="M1169" t="s">
        <v>11</v>
      </c>
      <c r="N1169" t="str">
        <f t="shared" si="93"/>
        <v>R1026</v>
      </c>
      <c r="O1169" t="s">
        <v>535</v>
      </c>
    </row>
    <row r="1170" spans="1:15" x14ac:dyDescent="0.35">
      <c r="A1170" t="s">
        <v>1201</v>
      </c>
      <c r="C1170">
        <f t="shared" si="90"/>
        <v>1979</v>
      </c>
      <c r="D1170">
        <v>1979</v>
      </c>
      <c r="E1170" t="str">
        <f t="shared" si="94"/>
        <v>Dec</v>
      </c>
      <c r="F1170" t="s">
        <v>30</v>
      </c>
      <c r="G1170">
        <v>19</v>
      </c>
      <c r="H1170">
        <v>2</v>
      </c>
      <c r="I1170" s="21">
        <v>9630.2999999999993</v>
      </c>
      <c r="J1170" t="str">
        <f t="shared" si="91"/>
        <v>tier - 2</v>
      </c>
      <c r="K1170" t="s">
        <v>11</v>
      </c>
      <c r="L1170" t="str">
        <f t="shared" si="92"/>
        <v>tier - 2</v>
      </c>
      <c r="M1170" t="s">
        <v>11</v>
      </c>
      <c r="N1170" t="str">
        <f t="shared" si="93"/>
        <v>R1021</v>
      </c>
      <c r="O1170" t="s">
        <v>300</v>
      </c>
    </row>
    <row r="1171" spans="1:15" x14ac:dyDescent="0.35">
      <c r="A1171" t="s">
        <v>1202</v>
      </c>
      <c r="C1171">
        <f t="shared" si="90"/>
        <v>1972</v>
      </c>
      <c r="D1171">
        <v>1972</v>
      </c>
      <c r="E1171" t="str">
        <f t="shared" si="94"/>
        <v>Oct</v>
      </c>
      <c r="F1171" t="s">
        <v>37</v>
      </c>
      <c r="G1171">
        <v>23</v>
      </c>
      <c r="H1171">
        <v>2</v>
      </c>
      <c r="I1171" s="21">
        <v>9630.4</v>
      </c>
      <c r="J1171" t="str">
        <f t="shared" si="91"/>
        <v>tier - 2</v>
      </c>
      <c r="K1171" t="s">
        <v>11</v>
      </c>
      <c r="L1171" t="str">
        <f t="shared" si="92"/>
        <v>tier - 2</v>
      </c>
      <c r="M1171" t="s">
        <v>11</v>
      </c>
      <c r="N1171" t="str">
        <f t="shared" si="93"/>
        <v>R1011</v>
      </c>
      <c r="O1171" t="s">
        <v>42</v>
      </c>
    </row>
    <row r="1172" spans="1:15" x14ac:dyDescent="0.35">
      <c r="A1172" t="s">
        <v>1203</v>
      </c>
      <c r="C1172">
        <f t="shared" si="90"/>
        <v>1968</v>
      </c>
      <c r="D1172">
        <v>1968</v>
      </c>
      <c r="E1172" t="str">
        <f t="shared" si="94"/>
        <v>Jun</v>
      </c>
      <c r="F1172" t="s">
        <v>18</v>
      </c>
      <c r="G1172">
        <v>22</v>
      </c>
      <c r="H1172">
        <v>0</v>
      </c>
      <c r="I1172" s="21">
        <v>9630.91</v>
      </c>
      <c r="J1172" t="str">
        <f t="shared" si="91"/>
        <v>tier - 3</v>
      </c>
      <c r="K1172" t="s">
        <v>12</v>
      </c>
      <c r="L1172" t="str">
        <f t="shared" si="92"/>
        <v>tier - 2</v>
      </c>
      <c r="M1172" t="s">
        <v>11</v>
      </c>
      <c r="N1172" t="str">
        <f t="shared" si="93"/>
        <v>R1013</v>
      </c>
      <c r="O1172" t="s">
        <v>13</v>
      </c>
    </row>
    <row r="1173" spans="1:15" x14ac:dyDescent="0.35">
      <c r="A1173" t="s">
        <v>1204</v>
      </c>
      <c r="C1173">
        <f t="shared" si="90"/>
        <v>1970</v>
      </c>
      <c r="D1173">
        <v>1970</v>
      </c>
      <c r="E1173" t="str">
        <f t="shared" si="94"/>
        <v>Sep</v>
      </c>
      <c r="F1173" t="s">
        <v>20</v>
      </c>
      <c r="G1173">
        <v>30</v>
      </c>
      <c r="H1173">
        <v>0</v>
      </c>
      <c r="I1173" s="21">
        <v>9634.5400000000009</v>
      </c>
      <c r="J1173" t="str">
        <f t="shared" si="91"/>
        <v>tier - 2</v>
      </c>
      <c r="K1173" t="s">
        <v>11</v>
      </c>
      <c r="L1173" t="str">
        <f t="shared" si="92"/>
        <v>tier - 2</v>
      </c>
      <c r="M1173" t="s">
        <v>11</v>
      </c>
      <c r="N1173" t="str">
        <f t="shared" si="93"/>
        <v>R1011</v>
      </c>
      <c r="O1173" t="s">
        <v>42</v>
      </c>
    </row>
    <row r="1174" spans="1:15" x14ac:dyDescent="0.35">
      <c r="A1174" t="s">
        <v>1205</v>
      </c>
      <c r="C1174">
        <f t="shared" si="90"/>
        <v>1971</v>
      </c>
      <c r="D1174">
        <v>1971</v>
      </c>
      <c r="E1174" t="str">
        <f t="shared" si="94"/>
        <v>Jul</v>
      </c>
      <c r="F1174" t="s">
        <v>10</v>
      </c>
      <c r="G1174">
        <v>19</v>
      </c>
      <c r="H1174">
        <v>0</v>
      </c>
      <c r="I1174" s="21">
        <v>9644.25</v>
      </c>
      <c r="J1174" t="str">
        <f t="shared" si="91"/>
        <v>tier - 2</v>
      </c>
      <c r="K1174" t="s">
        <v>11</v>
      </c>
      <c r="L1174" t="str">
        <f t="shared" si="92"/>
        <v>tier - 1</v>
      </c>
      <c r="M1174" t="s">
        <v>16</v>
      </c>
      <c r="N1174" t="str">
        <f t="shared" si="93"/>
        <v>R1012</v>
      </c>
      <c r="O1174" t="s">
        <v>23</v>
      </c>
    </row>
    <row r="1175" spans="1:15" x14ac:dyDescent="0.35">
      <c r="A1175" t="s">
        <v>1206</v>
      </c>
      <c r="C1175">
        <f t="shared" si="90"/>
        <v>1974</v>
      </c>
      <c r="D1175">
        <v>1974</v>
      </c>
      <c r="E1175" t="str">
        <f t="shared" si="94"/>
        <v>Jul</v>
      </c>
      <c r="F1175" t="s">
        <v>10</v>
      </c>
      <c r="G1175">
        <v>8</v>
      </c>
      <c r="H1175">
        <v>0</v>
      </c>
      <c r="I1175" s="21">
        <v>9653.81</v>
      </c>
      <c r="J1175" t="str">
        <f t="shared" si="91"/>
        <v>tier - 2</v>
      </c>
      <c r="K1175" t="s">
        <v>11</v>
      </c>
      <c r="L1175" t="str">
        <f t="shared" si="92"/>
        <v>tier - 2</v>
      </c>
      <c r="M1175" t="s">
        <v>11</v>
      </c>
      <c r="N1175" t="str">
        <f t="shared" si="93"/>
        <v>R1011</v>
      </c>
      <c r="O1175" t="s">
        <v>42</v>
      </c>
    </row>
    <row r="1176" spans="1:15" x14ac:dyDescent="0.35">
      <c r="A1176" t="s">
        <v>1207</v>
      </c>
      <c r="C1176">
        <f t="shared" si="90"/>
        <v>1981</v>
      </c>
      <c r="D1176">
        <v>1981</v>
      </c>
      <c r="E1176" t="str">
        <f t="shared" si="94"/>
        <v>Aug</v>
      </c>
      <c r="F1176" t="s">
        <v>35</v>
      </c>
      <c r="G1176">
        <v>8</v>
      </c>
      <c r="H1176">
        <v>1</v>
      </c>
      <c r="I1176" s="21">
        <v>9664.34</v>
      </c>
      <c r="J1176" t="str">
        <f t="shared" si="91"/>
        <v>tier - 2</v>
      </c>
      <c r="K1176" t="s">
        <v>11</v>
      </c>
      <c r="L1176" t="str">
        <f t="shared" si="92"/>
        <v>tier - 3</v>
      </c>
      <c r="M1176" t="s">
        <v>12</v>
      </c>
      <c r="N1176" t="str">
        <f t="shared" si="93"/>
        <v>R1011</v>
      </c>
      <c r="O1176" t="s">
        <v>42</v>
      </c>
    </row>
    <row r="1177" spans="1:15" x14ac:dyDescent="0.35">
      <c r="A1177" t="s">
        <v>1208</v>
      </c>
      <c r="C1177">
        <f t="shared" si="90"/>
        <v>1966</v>
      </c>
      <c r="D1177">
        <v>1966</v>
      </c>
      <c r="E1177" t="str">
        <f t="shared" si="94"/>
        <v>Sep</v>
      </c>
      <c r="F1177" t="s">
        <v>20</v>
      </c>
      <c r="G1177">
        <v>16</v>
      </c>
      <c r="H1177">
        <v>0</v>
      </c>
      <c r="I1177" s="21">
        <v>9684.2900000000009</v>
      </c>
      <c r="J1177" t="str">
        <f t="shared" si="91"/>
        <v>tier - 3</v>
      </c>
      <c r="K1177" t="s">
        <v>12</v>
      </c>
      <c r="L1177" t="str">
        <f t="shared" si="92"/>
        <v>tier - 2</v>
      </c>
      <c r="M1177" t="s">
        <v>11</v>
      </c>
      <c r="N1177" t="str">
        <f t="shared" si="93"/>
        <v>R1013</v>
      </c>
      <c r="O1177" t="s">
        <v>13</v>
      </c>
    </row>
    <row r="1178" spans="1:15" x14ac:dyDescent="0.35">
      <c r="A1178" t="s">
        <v>1209</v>
      </c>
      <c r="C1178">
        <f t="shared" si="90"/>
        <v>1964</v>
      </c>
      <c r="D1178">
        <v>1964</v>
      </c>
      <c r="E1178" t="str">
        <f t="shared" si="94"/>
        <v>Nov</v>
      </c>
      <c r="F1178" t="s">
        <v>15</v>
      </c>
      <c r="G1178">
        <v>7</v>
      </c>
      <c r="H1178">
        <v>0</v>
      </c>
      <c r="I1178" s="21">
        <v>9698.42</v>
      </c>
      <c r="J1178" t="str">
        <f t="shared" si="91"/>
        <v>tier - 3</v>
      </c>
      <c r="K1178" t="s">
        <v>12</v>
      </c>
      <c r="L1178" t="str">
        <f t="shared" si="92"/>
        <v>tier - 3</v>
      </c>
      <c r="M1178" t="s">
        <v>12</v>
      </c>
      <c r="N1178" t="str">
        <f t="shared" si="93"/>
        <v>R1013</v>
      </c>
      <c r="O1178" t="s">
        <v>13</v>
      </c>
    </row>
    <row r="1179" spans="1:15" x14ac:dyDescent="0.35">
      <c r="A1179" t="s">
        <v>1210</v>
      </c>
      <c r="C1179">
        <f t="shared" si="90"/>
        <v>1977</v>
      </c>
      <c r="D1179">
        <v>1977</v>
      </c>
      <c r="E1179" t="str">
        <f t="shared" si="94"/>
        <v>Sep</v>
      </c>
      <c r="F1179" t="s">
        <v>20</v>
      </c>
      <c r="G1179">
        <v>19</v>
      </c>
      <c r="H1179">
        <v>3</v>
      </c>
      <c r="I1179" s="21">
        <v>9704.67</v>
      </c>
      <c r="J1179" t="str">
        <f t="shared" si="91"/>
        <v>tier - 2</v>
      </c>
      <c r="K1179" t="s">
        <v>11</v>
      </c>
      <c r="L1179" t="str">
        <f t="shared" si="92"/>
        <v>tier - 3</v>
      </c>
      <c r="M1179" t="s">
        <v>12</v>
      </c>
      <c r="N1179" t="str">
        <f t="shared" si="93"/>
        <v>R1024</v>
      </c>
      <c r="O1179" t="s">
        <v>247</v>
      </c>
    </row>
    <row r="1180" spans="1:15" x14ac:dyDescent="0.35">
      <c r="A1180" t="s">
        <v>1211</v>
      </c>
      <c r="C1180">
        <f t="shared" si="90"/>
        <v>1972</v>
      </c>
      <c r="D1180">
        <v>1972</v>
      </c>
      <c r="E1180" t="str">
        <f t="shared" si="94"/>
        <v>Jul</v>
      </c>
      <c r="F1180" t="s">
        <v>10</v>
      </c>
      <c r="G1180">
        <v>10</v>
      </c>
      <c r="H1180">
        <v>0</v>
      </c>
      <c r="I1180" s="21">
        <v>9710.7099999999991</v>
      </c>
      <c r="J1180" t="str">
        <f t="shared" si="91"/>
        <v>tier - 2</v>
      </c>
      <c r="K1180" t="s">
        <v>11</v>
      </c>
      <c r="L1180" t="str">
        <f t="shared" si="92"/>
        <v>tier - 1</v>
      </c>
      <c r="M1180" t="s">
        <v>16</v>
      </c>
      <c r="N1180" t="str">
        <f t="shared" si="93"/>
        <v>R1021</v>
      </c>
      <c r="O1180" t="s">
        <v>300</v>
      </c>
    </row>
    <row r="1181" spans="1:15" x14ac:dyDescent="0.35">
      <c r="A1181" t="s">
        <v>1212</v>
      </c>
      <c r="C1181">
        <f t="shared" si="90"/>
        <v>1975</v>
      </c>
      <c r="D1181">
        <v>1975</v>
      </c>
      <c r="E1181" t="str">
        <f t="shared" si="94"/>
        <v>Jun</v>
      </c>
      <c r="F1181" t="s">
        <v>18</v>
      </c>
      <c r="G1181">
        <v>27</v>
      </c>
      <c r="H1181">
        <v>2</v>
      </c>
      <c r="I1181" s="21">
        <v>9715.84</v>
      </c>
      <c r="J1181" t="str">
        <f t="shared" si="91"/>
        <v>tier - 2</v>
      </c>
      <c r="K1181" t="s">
        <v>11</v>
      </c>
      <c r="L1181" t="str">
        <f t="shared" si="92"/>
        <v>tier - 1</v>
      </c>
      <c r="M1181" t="s">
        <v>16</v>
      </c>
      <c r="N1181" t="str">
        <f t="shared" si="93"/>
        <v>R1024</v>
      </c>
      <c r="O1181" t="s">
        <v>247</v>
      </c>
    </row>
    <row r="1182" spans="1:15" x14ac:dyDescent="0.35">
      <c r="A1182" t="s">
        <v>1213</v>
      </c>
      <c r="C1182">
        <f t="shared" si="90"/>
        <v>1970</v>
      </c>
      <c r="D1182">
        <v>1970</v>
      </c>
      <c r="E1182" t="str">
        <f t="shared" si="94"/>
        <v>Sep</v>
      </c>
      <c r="F1182" t="s">
        <v>20</v>
      </c>
      <c r="G1182">
        <v>12</v>
      </c>
      <c r="H1182">
        <v>0</v>
      </c>
      <c r="I1182" s="21">
        <v>9722.77</v>
      </c>
      <c r="J1182" t="str">
        <f t="shared" si="91"/>
        <v>tier - 3</v>
      </c>
      <c r="K1182" t="s">
        <v>12</v>
      </c>
      <c r="L1182" t="str">
        <f t="shared" si="92"/>
        <v>tier - 1</v>
      </c>
      <c r="M1182" t="s">
        <v>16</v>
      </c>
      <c r="N1182" t="str">
        <f t="shared" si="93"/>
        <v>R1016</v>
      </c>
      <c r="O1182" t="s">
        <v>168</v>
      </c>
    </row>
    <row r="1183" spans="1:15" x14ac:dyDescent="0.35">
      <c r="A1183" t="s">
        <v>1214</v>
      </c>
      <c r="C1183">
        <f t="shared" si="90"/>
        <v>1970</v>
      </c>
      <c r="D1183">
        <v>1970</v>
      </c>
      <c r="E1183" t="str">
        <f t="shared" si="94"/>
        <v>Aug</v>
      </c>
      <c r="F1183" t="s">
        <v>35</v>
      </c>
      <c r="G1183">
        <v>18</v>
      </c>
      <c r="H1183">
        <v>1</v>
      </c>
      <c r="I1183" s="21">
        <v>9724.5300000000007</v>
      </c>
      <c r="J1183" t="str">
        <f t="shared" si="91"/>
        <v>tier - 3</v>
      </c>
      <c r="K1183" t="s">
        <v>12</v>
      </c>
      <c r="L1183" t="str">
        <f t="shared" si="92"/>
        <v>tier - 1</v>
      </c>
      <c r="M1183" t="s">
        <v>16</v>
      </c>
      <c r="N1183" t="str">
        <f t="shared" si="93"/>
        <v>R1011</v>
      </c>
      <c r="O1183" t="s">
        <v>42</v>
      </c>
    </row>
    <row r="1184" spans="1:15" x14ac:dyDescent="0.35">
      <c r="A1184" t="s">
        <v>1215</v>
      </c>
      <c r="C1184">
        <f t="shared" si="90"/>
        <v>1970</v>
      </c>
      <c r="D1184">
        <v>1970</v>
      </c>
      <c r="E1184" t="str">
        <f t="shared" si="94"/>
        <v>Jul</v>
      </c>
      <c r="F1184" t="s">
        <v>10</v>
      </c>
      <c r="G1184">
        <v>4</v>
      </c>
      <c r="H1184">
        <v>1</v>
      </c>
      <c r="I1184" s="21">
        <v>9748.91</v>
      </c>
      <c r="J1184" t="str">
        <f t="shared" si="91"/>
        <v>tier - 2</v>
      </c>
      <c r="K1184" t="s">
        <v>11</v>
      </c>
      <c r="L1184" t="str">
        <f t="shared" si="92"/>
        <v>tier - 1</v>
      </c>
      <c r="M1184" t="s">
        <v>16</v>
      </c>
      <c r="N1184" t="str">
        <f t="shared" si="93"/>
        <v>R1013</v>
      </c>
      <c r="O1184" t="s">
        <v>13</v>
      </c>
    </row>
    <row r="1185" spans="1:15" x14ac:dyDescent="0.35">
      <c r="A1185" t="s">
        <v>1216</v>
      </c>
      <c r="C1185">
        <f t="shared" si="90"/>
        <v>2001</v>
      </c>
      <c r="D1185">
        <v>2001</v>
      </c>
      <c r="E1185" t="str">
        <f t="shared" si="94"/>
        <v>Jul</v>
      </c>
      <c r="F1185" t="s">
        <v>10</v>
      </c>
      <c r="G1185">
        <v>14</v>
      </c>
      <c r="H1185">
        <v>0</v>
      </c>
      <c r="I1185" s="21">
        <v>9753.49</v>
      </c>
      <c r="J1185" t="str">
        <f t="shared" si="91"/>
        <v>tier - 2</v>
      </c>
      <c r="K1185" t="s">
        <v>11</v>
      </c>
      <c r="L1185" t="str">
        <f t="shared" si="92"/>
        <v>tier - 2</v>
      </c>
      <c r="M1185" t="s">
        <v>11</v>
      </c>
      <c r="N1185" t="str">
        <f t="shared" si="93"/>
        <v>R1012</v>
      </c>
      <c r="O1185" t="s">
        <v>23</v>
      </c>
    </row>
    <row r="1186" spans="1:15" x14ac:dyDescent="0.35">
      <c r="A1186" t="s">
        <v>1217</v>
      </c>
      <c r="C1186">
        <f t="shared" si="90"/>
        <v>1965</v>
      </c>
      <c r="D1186">
        <v>1965</v>
      </c>
      <c r="E1186" t="str">
        <f t="shared" si="94"/>
        <v>Sep</v>
      </c>
      <c r="F1186" t="s">
        <v>20</v>
      </c>
      <c r="G1186">
        <v>5</v>
      </c>
      <c r="H1186">
        <v>0</v>
      </c>
      <c r="I1186" s="21">
        <v>9764.08</v>
      </c>
      <c r="J1186" t="str">
        <f t="shared" si="91"/>
        <v>tier - 3</v>
      </c>
      <c r="K1186" t="s">
        <v>12</v>
      </c>
      <c r="L1186" t="str">
        <f t="shared" si="92"/>
        <v>tier - 1</v>
      </c>
      <c r="M1186" t="s">
        <v>16</v>
      </c>
      <c r="N1186" t="str">
        <f t="shared" si="93"/>
        <v>R1012</v>
      </c>
      <c r="O1186" t="s">
        <v>23</v>
      </c>
    </row>
    <row r="1187" spans="1:15" x14ac:dyDescent="0.35">
      <c r="A1187" t="s">
        <v>1218</v>
      </c>
      <c r="C1187">
        <f t="shared" si="90"/>
        <v>1973</v>
      </c>
      <c r="D1187">
        <v>1973</v>
      </c>
      <c r="E1187" t="str">
        <f t="shared" si="94"/>
        <v>Jul</v>
      </c>
      <c r="F1187" t="s">
        <v>10</v>
      </c>
      <c r="G1187">
        <v>7</v>
      </c>
      <c r="H1187">
        <v>1</v>
      </c>
      <c r="I1187" s="21">
        <v>9778.35</v>
      </c>
      <c r="J1187" t="str">
        <f t="shared" si="91"/>
        <v>tier - 2</v>
      </c>
      <c r="K1187" t="s">
        <v>11</v>
      </c>
      <c r="L1187" t="str">
        <f t="shared" si="92"/>
        <v>tier - 2</v>
      </c>
      <c r="M1187" t="s">
        <v>11</v>
      </c>
      <c r="N1187" t="str">
        <f t="shared" si="93"/>
        <v>R1024</v>
      </c>
      <c r="O1187" t="s">
        <v>247</v>
      </c>
    </row>
    <row r="1188" spans="1:15" x14ac:dyDescent="0.35">
      <c r="A1188" t="s">
        <v>1219</v>
      </c>
      <c r="C1188">
        <f t="shared" si="90"/>
        <v>1996</v>
      </c>
      <c r="D1188">
        <v>1996</v>
      </c>
      <c r="E1188" t="str">
        <f t="shared" si="94"/>
        <v>Aug</v>
      </c>
      <c r="F1188" t="s">
        <v>35</v>
      </c>
      <c r="G1188">
        <v>8</v>
      </c>
      <c r="H1188">
        <v>0</v>
      </c>
      <c r="I1188" s="21">
        <v>9787.32</v>
      </c>
      <c r="J1188" t="str">
        <f t="shared" si="91"/>
        <v>tier - 2</v>
      </c>
      <c r="K1188" t="s">
        <v>11</v>
      </c>
      <c r="L1188" t="str">
        <f t="shared" si="92"/>
        <v>tier - 3</v>
      </c>
      <c r="M1188" t="s">
        <v>12</v>
      </c>
      <c r="N1188" t="str">
        <f t="shared" si="93"/>
        <v>R1023</v>
      </c>
      <c r="O1188" t="s">
        <v>249</v>
      </c>
    </row>
    <row r="1189" spans="1:15" x14ac:dyDescent="0.35">
      <c r="A1189" t="s">
        <v>1220</v>
      </c>
      <c r="C1189">
        <f t="shared" si="90"/>
        <v>1977</v>
      </c>
      <c r="D1189">
        <v>1977</v>
      </c>
      <c r="E1189" t="str">
        <f t="shared" si="94"/>
        <v>Jun</v>
      </c>
      <c r="F1189" t="s">
        <v>18</v>
      </c>
      <c r="G1189">
        <v>7</v>
      </c>
      <c r="H1189">
        <v>5</v>
      </c>
      <c r="I1189" s="21">
        <v>9788.8700000000008</v>
      </c>
      <c r="J1189" t="str">
        <f t="shared" si="91"/>
        <v>tier - 3</v>
      </c>
      <c r="K1189" t="s">
        <v>12</v>
      </c>
      <c r="L1189" t="str">
        <f t="shared" si="92"/>
        <v>tier - 2</v>
      </c>
      <c r="M1189" t="s">
        <v>11</v>
      </c>
      <c r="N1189" t="str">
        <f t="shared" si="93"/>
        <v>R1013</v>
      </c>
      <c r="O1189" t="s">
        <v>13</v>
      </c>
    </row>
    <row r="1190" spans="1:15" x14ac:dyDescent="0.35">
      <c r="A1190" t="s">
        <v>1221</v>
      </c>
      <c r="C1190">
        <f t="shared" si="90"/>
        <v>1973</v>
      </c>
      <c r="D1190">
        <v>1973</v>
      </c>
      <c r="E1190" t="str">
        <f t="shared" si="94"/>
        <v>Sep</v>
      </c>
      <c r="F1190" t="s">
        <v>20</v>
      </c>
      <c r="G1190">
        <v>17</v>
      </c>
      <c r="H1190">
        <v>2</v>
      </c>
      <c r="I1190" s="21">
        <v>9800.89</v>
      </c>
      <c r="J1190" t="str">
        <f t="shared" si="91"/>
        <v>tier - 2</v>
      </c>
      <c r="K1190" t="s">
        <v>11</v>
      </c>
      <c r="L1190" t="str">
        <f t="shared" si="92"/>
        <v>tier - 1</v>
      </c>
      <c r="M1190" t="s">
        <v>16</v>
      </c>
      <c r="N1190" t="str">
        <f t="shared" si="93"/>
        <v>R1013</v>
      </c>
      <c r="O1190" t="s">
        <v>13</v>
      </c>
    </row>
    <row r="1191" spans="1:15" x14ac:dyDescent="0.35">
      <c r="A1191" t="s">
        <v>1222</v>
      </c>
      <c r="C1191">
        <f t="shared" si="90"/>
        <v>1972</v>
      </c>
      <c r="D1191">
        <v>1972</v>
      </c>
      <c r="E1191" t="str">
        <f t="shared" si="94"/>
        <v>Jun</v>
      </c>
      <c r="F1191" t="s">
        <v>18</v>
      </c>
      <c r="G1191">
        <v>28</v>
      </c>
      <c r="H1191">
        <v>0</v>
      </c>
      <c r="I1191" s="21">
        <v>9819.25</v>
      </c>
      <c r="J1191" t="str">
        <f t="shared" si="91"/>
        <v>tier - 2</v>
      </c>
      <c r="K1191" t="s">
        <v>11</v>
      </c>
      <c r="L1191" t="str">
        <f t="shared" si="92"/>
        <v>tier - 2</v>
      </c>
      <c r="M1191" t="s">
        <v>11</v>
      </c>
      <c r="N1191" t="str">
        <f t="shared" si="93"/>
        <v>R1021</v>
      </c>
      <c r="O1191" t="s">
        <v>300</v>
      </c>
    </row>
    <row r="1192" spans="1:15" x14ac:dyDescent="0.35">
      <c r="A1192" t="s">
        <v>1223</v>
      </c>
      <c r="C1192">
        <f t="shared" si="90"/>
        <v>1972</v>
      </c>
      <c r="D1192">
        <v>1972</v>
      </c>
      <c r="E1192" t="str">
        <f t="shared" si="94"/>
        <v>Sep</v>
      </c>
      <c r="F1192" t="s">
        <v>20</v>
      </c>
      <c r="G1192">
        <v>26</v>
      </c>
      <c r="H1192">
        <v>0</v>
      </c>
      <c r="I1192" s="21">
        <v>9836.2099999999991</v>
      </c>
      <c r="J1192" t="str">
        <f t="shared" si="91"/>
        <v>tier - 2</v>
      </c>
      <c r="K1192" t="s">
        <v>11</v>
      </c>
      <c r="L1192" t="str">
        <f t="shared" si="92"/>
        <v>tier - 3</v>
      </c>
      <c r="M1192" t="s">
        <v>12</v>
      </c>
      <c r="N1192" t="str">
        <f t="shared" si="93"/>
        <v>R1021</v>
      </c>
      <c r="O1192" t="s">
        <v>300</v>
      </c>
    </row>
    <row r="1193" spans="1:15" x14ac:dyDescent="0.35">
      <c r="A1193" t="s">
        <v>1224</v>
      </c>
      <c r="C1193">
        <f t="shared" si="90"/>
        <v>1992</v>
      </c>
      <c r="D1193">
        <v>1992</v>
      </c>
      <c r="E1193" t="str">
        <f t="shared" si="94"/>
        <v>Aug</v>
      </c>
      <c r="F1193" t="s">
        <v>35</v>
      </c>
      <c r="G1193">
        <v>13</v>
      </c>
      <c r="H1193">
        <v>0</v>
      </c>
      <c r="I1193" s="21">
        <v>9844.4500000000007</v>
      </c>
      <c r="J1193" t="str">
        <f t="shared" si="91"/>
        <v>tier - 2</v>
      </c>
      <c r="K1193" t="s">
        <v>11</v>
      </c>
      <c r="L1193" t="str">
        <f t="shared" si="92"/>
        <v>tier - 1</v>
      </c>
      <c r="M1193" t="s">
        <v>16</v>
      </c>
      <c r="N1193" t="str">
        <f t="shared" si="93"/>
        <v>R1012</v>
      </c>
      <c r="O1193" t="s">
        <v>23</v>
      </c>
    </row>
    <row r="1194" spans="1:15" x14ac:dyDescent="0.35">
      <c r="A1194" t="s">
        <v>1225</v>
      </c>
      <c r="C1194">
        <f t="shared" si="90"/>
        <v>1968</v>
      </c>
      <c r="D1194">
        <v>1968</v>
      </c>
      <c r="E1194" t="str">
        <f t="shared" si="94"/>
        <v>Nov</v>
      </c>
      <c r="F1194" t="s">
        <v>15</v>
      </c>
      <c r="G1194">
        <v>4</v>
      </c>
      <c r="H1194">
        <v>0</v>
      </c>
      <c r="I1194" s="21">
        <v>9850.43</v>
      </c>
      <c r="J1194" t="str">
        <f t="shared" si="91"/>
        <v>tier - 3</v>
      </c>
      <c r="K1194" t="s">
        <v>12</v>
      </c>
      <c r="L1194" t="str">
        <f t="shared" si="92"/>
        <v>tier - 3</v>
      </c>
      <c r="M1194" t="s">
        <v>12</v>
      </c>
      <c r="N1194" t="str">
        <f t="shared" si="93"/>
        <v>R1011</v>
      </c>
      <c r="O1194" t="s">
        <v>42</v>
      </c>
    </row>
    <row r="1195" spans="1:15" x14ac:dyDescent="0.35">
      <c r="A1195" t="s">
        <v>1226</v>
      </c>
      <c r="C1195">
        <f t="shared" si="90"/>
        <v>1971</v>
      </c>
      <c r="D1195">
        <v>1971</v>
      </c>
      <c r="E1195" t="str">
        <f t="shared" si="94"/>
        <v>Oct</v>
      </c>
      <c r="F1195" t="s">
        <v>37</v>
      </c>
      <c r="G1195">
        <v>23</v>
      </c>
      <c r="H1195">
        <v>1</v>
      </c>
      <c r="I1195" s="21">
        <v>9855.1299999999992</v>
      </c>
      <c r="J1195" t="str">
        <f t="shared" si="91"/>
        <v>tier - 2</v>
      </c>
      <c r="K1195" t="s">
        <v>11</v>
      </c>
      <c r="L1195" t="str">
        <f t="shared" si="92"/>
        <v>tier - 3</v>
      </c>
      <c r="M1195" t="s">
        <v>12</v>
      </c>
      <c r="N1195" t="str">
        <f t="shared" si="93"/>
        <v>R1013</v>
      </c>
      <c r="O1195" t="s">
        <v>13</v>
      </c>
    </row>
    <row r="1196" spans="1:15" x14ac:dyDescent="0.35">
      <c r="A1196" t="s">
        <v>1227</v>
      </c>
      <c r="C1196">
        <f t="shared" si="90"/>
        <v>1971</v>
      </c>
      <c r="D1196">
        <v>1971</v>
      </c>
      <c r="E1196" t="str">
        <f t="shared" si="94"/>
        <v>Jul</v>
      </c>
      <c r="F1196" t="s">
        <v>10</v>
      </c>
      <c r="G1196">
        <v>17</v>
      </c>
      <c r="H1196">
        <v>1</v>
      </c>
      <c r="I1196" s="21">
        <v>9861.0300000000007</v>
      </c>
      <c r="J1196" t="str">
        <f t="shared" si="91"/>
        <v>tier - 2</v>
      </c>
      <c r="K1196" t="s">
        <v>11</v>
      </c>
      <c r="L1196" t="str">
        <f t="shared" si="92"/>
        <v>tier - 2</v>
      </c>
      <c r="M1196" t="s">
        <v>11</v>
      </c>
      <c r="N1196" t="str">
        <f t="shared" si="93"/>
        <v>R1011</v>
      </c>
      <c r="O1196" t="s">
        <v>42</v>
      </c>
    </row>
    <row r="1197" spans="1:15" x14ac:dyDescent="0.35">
      <c r="A1197" t="s">
        <v>1228</v>
      </c>
      <c r="C1197">
        <f t="shared" si="90"/>
        <v>1969</v>
      </c>
      <c r="D1197">
        <v>1969</v>
      </c>
      <c r="E1197" t="str">
        <f t="shared" si="94"/>
        <v>Oct</v>
      </c>
      <c r="F1197" t="s">
        <v>37</v>
      </c>
      <c r="G1197">
        <v>20</v>
      </c>
      <c r="H1197">
        <v>0</v>
      </c>
      <c r="I1197" s="21">
        <v>9863.4699999999993</v>
      </c>
      <c r="J1197" t="str">
        <f t="shared" si="91"/>
        <v>tier - 3</v>
      </c>
      <c r="K1197" t="s">
        <v>12</v>
      </c>
      <c r="L1197" t="str">
        <f t="shared" si="92"/>
        <v>tier - 3</v>
      </c>
      <c r="M1197" t="s">
        <v>12</v>
      </c>
      <c r="N1197" t="str">
        <f t="shared" si="93"/>
        <v>R1012</v>
      </c>
      <c r="O1197" t="s">
        <v>23</v>
      </c>
    </row>
    <row r="1198" spans="1:15" x14ac:dyDescent="0.35">
      <c r="A1198" t="s">
        <v>1229</v>
      </c>
      <c r="C1198">
        <f t="shared" si="90"/>
        <v>1971</v>
      </c>
      <c r="D1198">
        <v>1971</v>
      </c>
      <c r="E1198" t="str">
        <f t="shared" si="94"/>
        <v>Nov</v>
      </c>
      <c r="F1198" t="s">
        <v>15</v>
      </c>
      <c r="G1198">
        <v>9</v>
      </c>
      <c r="H1198">
        <v>0</v>
      </c>
      <c r="I1198" s="21">
        <v>9866.2999999999993</v>
      </c>
      <c r="J1198" t="str">
        <f t="shared" si="91"/>
        <v>tier - 2</v>
      </c>
      <c r="K1198" t="s">
        <v>11</v>
      </c>
      <c r="L1198" t="str">
        <f t="shared" si="92"/>
        <v>tier - 3</v>
      </c>
      <c r="M1198" t="s">
        <v>12</v>
      </c>
      <c r="N1198" t="str">
        <f t="shared" si="93"/>
        <v>R1024</v>
      </c>
      <c r="O1198" t="s">
        <v>247</v>
      </c>
    </row>
    <row r="1199" spans="1:15" x14ac:dyDescent="0.35">
      <c r="A1199" t="s">
        <v>1230</v>
      </c>
      <c r="C1199">
        <f t="shared" si="90"/>
        <v>1969</v>
      </c>
      <c r="D1199">
        <v>1969</v>
      </c>
      <c r="E1199" t="str">
        <f t="shared" si="94"/>
        <v>Aug</v>
      </c>
      <c r="F1199" t="s">
        <v>35</v>
      </c>
      <c r="G1199">
        <v>13</v>
      </c>
      <c r="H1199">
        <v>0</v>
      </c>
      <c r="I1199" s="21">
        <v>9869.81</v>
      </c>
      <c r="J1199" t="str">
        <f t="shared" si="91"/>
        <v>tier - 3</v>
      </c>
      <c r="K1199" t="s">
        <v>12</v>
      </c>
      <c r="L1199" t="str">
        <f t="shared" si="92"/>
        <v>tier - 3</v>
      </c>
      <c r="M1199" t="s">
        <v>12</v>
      </c>
      <c r="N1199" t="str">
        <f t="shared" si="93"/>
        <v>R1012</v>
      </c>
      <c r="O1199" t="s">
        <v>23</v>
      </c>
    </row>
    <row r="1200" spans="1:15" x14ac:dyDescent="0.35">
      <c r="A1200" t="s">
        <v>1231</v>
      </c>
      <c r="C1200">
        <f t="shared" si="90"/>
        <v>1998</v>
      </c>
      <c r="D1200">
        <v>1998</v>
      </c>
      <c r="E1200" t="str">
        <f t="shared" si="94"/>
        <v>Jul</v>
      </c>
      <c r="F1200" t="s">
        <v>10</v>
      </c>
      <c r="G1200">
        <v>6</v>
      </c>
      <c r="H1200">
        <v>0</v>
      </c>
      <c r="I1200" s="21">
        <v>9870.59</v>
      </c>
      <c r="J1200" t="str">
        <f t="shared" si="91"/>
        <v>tier - 2</v>
      </c>
      <c r="K1200" t="s">
        <v>11</v>
      </c>
      <c r="L1200" t="str">
        <f t="shared" si="92"/>
        <v>tier - 2</v>
      </c>
      <c r="M1200" t="s">
        <v>11</v>
      </c>
      <c r="N1200" t="str">
        <f t="shared" si="93"/>
        <v>R1023</v>
      </c>
      <c r="O1200" t="s">
        <v>249</v>
      </c>
    </row>
    <row r="1201" spans="1:15" x14ac:dyDescent="0.35">
      <c r="A1201" t="s">
        <v>1232</v>
      </c>
      <c r="C1201">
        <f t="shared" si="90"/>
        <v>1971</v>
      </c>
      <c r="D1201">
        <v>1971</v>
      </c>
      <c r="E1201" t="str">
        <f t="shared" si="94"/>
        <v>Dec</v>
      </c>
      <c r="F1201" t="s">
        <v>30</v>
      </c>
      <c r="G1201">
        <v>22</v>
      </c>
      <c r="H1201">
        <v>1</v>
      </c>
      <c r="I1201" s="21">
        <v>9872.7000000000007</v>
      </c>
      <c r="J1201" t="str">
        <f t="shared" si="91"/>
        <v>tier - 2</v>
      </c>
      <c r="K1201" t="s">
        <v>11</v>
      </c>
      <c r="L1201" t="str">
        <f t="shared" si="92"/>
        <v>tier - 2</v>
      </c>
      <c r="M1201" t="s">
        <v>11</v>
      </c>
      <c r="N1201" t="str">
        <f t="shared" si="93"/>
        <v>R1011</v>
      </c>
      <c r="O1201" t="s">
        <v>42</v>
      </c>
    </row>
    <row r="1202" spans="1:15" x14ac:dyDescent="0.35">
      <c r="A1202" t="s">
        <v>1233</v>
      </c>
      <c r="C1202">
        <f t="shared" si="90"/>
        <v>1971</v>
      </c>
      <c r="D1202">
        <v>1971</v>
      </c>
      <c r="E1202" t="str">
        <f t="shared" si="94"/>
        <v>Jul</v>
      </c>
      <c r="F1202" t="s">
        <v>10</v>
      </c>
      <c r="G1202">
        <v>3</v>
      </c>
      <c r="H1202">
        <v>0</v>
      </c>
      <c r="I1202" s="21">
        <v>9875.68</v>
      </c>
      <c r="J1202" t="str">
        <f t="shared" si="91"/>
        <v>tier - 2</v>
      </c>
      <c r="K1202" t="s">
        <v>11</v>
      </c>
      <c r="L1202" t="str">
        <f t="shared" si="92"/>
        <v>tier - 3</v>
      </c>
      <c r="M1202" t="s">
        <v>12</v>
      </c>
      <c r="N1202" t="str">
        <f t="shared" si="93"/>
        <v>R1024</v>
      </c>
      <c r="O1202" t="s">
        <v>247</v>
      </c>
    </row>
    <row r="1203" spans="1:15" x14ac:dyDescent="0.35">
      <c r="A1203" t="s">
        <v>1234</v>
      </c>
      <c r="C1203">
        <f t="shared" si="90"/>
        <v>1971</v>
      </c>
      <c r="D1203">
        <v>1971</v>
      </c>
      <c r="E1203" t="str">
        <f t="shared" si="94"/>
        <v>Oct</v>
      </c>
      <c r="F1203" t="s">
        <v>37</v>
      </c>
      <c r="G1203">
        <v>3</v>
      </c>
      <c r="H1203">
        <v>1</v>
      </c>
      <c r="I1203" s="21">
        <v>9877.61</v>
      </c>
      <c r="J1203" t="str">
        <f t="shared" si="91"/>
        <v>tier - 2</v>
      </c>
      <c r="K1203" t="s">
        <v>11</v>
      </c>
      <c r="L1203" t="str">
        <f t="shared" si="92"/>
        <v>tier - 1</v>
      </c>
      <c r="M1203" t="s">
        <v>16</v>
      </c>
      <c r="N1203" t="str">
        <f t="shared" si="93"/>
        <v>R1013</v>
      </c>
      <c r="O1203" t="s">
        <v>13</v>
      </c>
    </row>
    <row r="1204" spans="1:15" x14ac:dyDescent="0.35">
      <c r="A1204" t="s">
        <v>1235</v>
      </c>
      <c r="C1204">
        <f t="shared" si="90"/>
        <v>1971</v>
      </c>
      <c r="D1204">
        <v>1971</v>
      </c>
      <c r="E1204" t="str">
        <f t="shared" si="94"/>
        <v>Nov</v>
      </c>
      <c r="F1204" t="s">
        <v>15</v>
      </c>
      <c r="G1204">
        <v>8</v>
      </c>
      <c r="H1204">
        <v>1</v>
      </c>
      <c r="I1204" s="21">
        <v>9880.07</v>
      </c>
      <c r="J1204" t="str">
        <f t="shared" si="91"/>
        <v>tier - 2</v>
      </c>
      <c r="K1204" t="s">
        <v>11</v>
      </c>
      <c r="L1204" t="str">
        <f t="shared" si="92"/>
        <v>tier - 3</v>
      </c>
      <c r="M1204" t="s">
        <v>12</v>
      </c>
      <c r="N1204" t="str">
        <f t="shared" si="93"/>
        <v>R1011</v>
      </c>
      <c r="O1204" t="s">
        <v>42</v>
      </c>
    </row>
    <row r="1205" spans="1:15" x14ac:dyDescent="0.35">
      <c r="A1205" t="s">
        <v>1236</v>
      </c>
      <c r="C1205">
        <f t="shared" si="90"/>
        <v>1966</v>
      </c>
      <c r="D1205">
        <v>1966</v>
      </c>
      <c r="E1205" t="str">
        <f t="shared" si="94"/>
        <v>Nov</v>
      </c>
      <c r="F1205" t="s">
        <v>15</v>
      </c>
      <c r="G1205">
        <v>5</v>
      </c>
      <c r="H1205">
        <v>0</v>
      </c>
      <c r="I1205" s="21">
        <v>9890.23</v>
      </c>
      <c r="J1205" t="str">
        <f t="shared" si="91"/>
        <v>tier - 3</v>
      </c>
      <c r="K1205" t="s">
        <v>12</v>
      </c>
      <c r="L1205" t="str">
        <f t="shared" si="92"/>
        <v>tier - 3</v>
      </c>
      <c r="M1205" t="s">
        <v>12</v>
      </c>
      <c r="N1205" t="str">
        <f t="shared" si="93"/>
        <v>R1013</v>
      </c>
      <c r="O1205" t="s">
        <v>13</v>
      </c>
    </row>
    <row r="1206" spans="1:15" x14ac:dyDescent="0.35">
      <c r="A1206" t="s">
        <v>1237</v>
      </c>
      <c r="C1206">
        <f t="shared" si="90"/>
        <v>1996</v>
      </c>
      <c r="D1206">
        <v>1996</v>
      </c>
      <c r="E1206" t="str">
        <f t="shared" si="94"/>
        <v>Jul</v>
      </c>
      <c r="F1206" t="s">
        <v>10</v>
      </c>
      <c r="G1206">
        <v>8</v>
      </c>
      <c r="H1206">
        <v>0</v>
      </c>
      <c r="I1206" s="21">
        <v>9894.69</v>
      </c>
      <c r="J1206" t="str">
        <f t="shared" si="91"/>
        <v>tier - 2</v>
      </c>
      <c r="K1206" t="s">
        <v>11</v>
      </c>
      <c r="L1206" t="str">
        <f t="shared" si="92"/>
        <v>tier - 3</v>
      </c>
      <c r="M1206" t="s">
        <v>12</v>
      </c>
      <c r="N1206" t="str">
        <f t="shared" si="93"/>
        <v>R1012</v>
      </c>
      <c r="O1206" t="s">
        <v>23</v>
      </c>
    </row>
    <row r="1207" spans="1:15" x14ac:dyDescent="0.35">
      <c r="A1207" t="s">
        <v>1238</v>
      </c>
      <c r="C1207">
        <f t="shared" si="90"/>
        <v>1962</v>
      </c>
      <c r="D1207">
        <v>1962</v>
      </c>
      <c r="E1207" t="str">
        <f t="shared" si="94"/>
        <v>Aug</v>
      </c>
      <c r="F1207" t="s">
        <v>35</v>
      </c>
      <c r="G1207">
        <v>17</v>
      </c>
      <c r="H1207">
        <v>0</v>
      </c>
      <c r="I1207" s="21">
        <v>9907.83</v>
      </c>
      <c r="J1207" t="str">
        <f t="shared" si="91"/>
        <v>tier - 3</v>
      </c>
      <c r="K1207" t="s">
        <v>12</v>
      </c>
      <c r="L1207" t="str">
        <f t="shared" si="92"/>
        <v>tier - 2</v>
      </c>
      <c r="M1207" t="s">
        <v>11</v>
      </c>
      <c r="N1207" t="str">
        <f t="shared" si="93"/>
        <v>R1013</v>
      </c>
      <c r="O1207" t="s">
        <v>13</v>
      </c>
    </row>
    <row r="1208" spans="1:15" x14ac:dyDescent="0.35">
      <c r="A1208" t="s">
        <v>1239</v>
      </c>
      <c r="C1208">
        <f t="shared" si="90"/>
        <v>1972</v>
      </c>
      <c r="D1208">
        <v>1972</v>
      </c>
      <c r="E1208" t="str">
        <f t="shared" si="94"/>
        <v>Sep</v>
      </c>
      <c r="F1208" t="s">
        <v>20</v>
      </c>
      <c r="G1208">
        <v>14</v>
      </c>
      <c r="H1208">
        <v>1</v>
      </c>
      <c r="I1208" s="21">
        <v>9910.36</v>
      </c>
      <c r="J1208" t="str">
        <f t="shared" si="91"/>
        <v>tier - 2</v>
      </c>
      <c r="K1208" t="s">
        <v>11</v>
      </c>
      <c r="L1208" t="str">
        <f t="shared" si="92"/>
        <v>tier - 3</v>
      </c>
      <c r="M1208" t="s">
        <v>12</v>
      </c>
      <c r="N1208" t="str">
        <f t="shared" si="93"/>
        <v>R1012</v>
      </c>
      <c r="O1208" t="s">
        <v>23</v>
      </c>
    </row>
    <row r="1209" spans="1:15" x14ac:dyDescent="0.35">
      <c r="A1209" t="s">
        <v>1240</v>
      </c>
      <c r="C1209">
        <f t="shared" si="90"/>
        <v>1985</v>
      </c>
      <c r="D1209">
        <v>1985</v>
      </c>
      <c r="E1209" t="str">
        <f t="shared" si="94"/>
        <v>Aug</v>
      </c>
      <c r="F1209" t="s">
        <v>35</v>
      </c>
      <c r="G1209">
        <v>19</v>
      </c>
      <c r="H1209">
        <v>3</v>
      </c>
      <c r="I1209" s="21">
        <v>9930.64</v>
      </c>
      <c r="J1209" t="str">
        <f t="shared" si="91"/>
        <v>tier - 2</v>
      </c>
      <c r="K1209" t="s">
        <v>11</v>
      </c>
      <c r="L1209" t="str">
        <f t="shared" si="92"/>
        <v>tier - 3</v>
      </c>
      <c r="M1209" t="s">
        <v>12</v>
      </c>
      <c r="N1209" t="str">
        <f t="shared" si="93"/>
        <v>R1025</v>
      </c>
      <c r="O1209" t="s">
        <v>200</v>
      </c>
    </row>
    <row r="1210" spans="1:15" x14ac:dyDescent="0.35">
      <c r="A1210" t="s">
        <v>1241</v>
      </c>
      <c r="C1210">
        <f t="shared" si="90"/>
        <v>1983</v>
      </c>
      <c r="D1210">
        <v>1983</v>
      </c>
      <c r="E1210" t="str">
        <f t="shared" si="94"/>
        <v>Dec</v>
      </c>
      <c r="F1210" t="s">
        <v>30</v>
      </c>
      <c r="G1210">
        <v>3</v>
      </c>
      <c r="H1210">
        <v>3</v>
      </c>
      <c r="I1210" s="21">
        <v>9931.9599999999991</v>
      </c>
      <c r="J1210" t="str">
        <f t="shared" si="91"/>
        <v>tier - 2</v>
      </c>
      <c r="K1210" t="s">
        <v>11</v>
      </c>
      <c r="L1210" t="str">
        <f t="shared" si="92"/>
        <v>tier - 2</v>
      </c>
      <c r="M1210" t="s">
        <v>11</v>
      </c>
      <c r="N1210" t="str">
        <f t="shared" si="93"/>
        <v>R1012</v>
      </c>
      <c r="O1210" t="s">
        <v>23</v>
      </c>
    </row>
    <row r="1211" spans="1:15" x14ac:dyDescent="0.35">
      <c r="A1211" t="s">
        <v>1242</v>
      </c>
      <c r="C1211">
        <f t="shared" si="90"/>
        <v>1964</v>
      </c>
      <c r="D1211">
        <v>1964</v>
      </c>
      <c r="E1211" t="str">
        <f t="shared" si="94"/>
        <v>Sep</v>
      </c>
      <c r="F1211" t="s">
        <v>20</v>
      </c>
      <c r="G1211">
        <v>11</v>
      </c>
      <c r="H1211">
        <v>0</v>
      </c>
      <c r="I1211" s="21">
        <v>9933.44</v>
      </c>
      <c r="J1211" t="str">
        <f t="shared" si="91"/>
        <v>tier - 3</v>
      </c>
      <c r="K1211" t="s">
        <v>12</v>
      </c>
      <c r="L1211" t="str">
        <f t="shared" si="92"/>
        <v>tier - 3</v>
      </c>
      <c r="M1211" t="s">
        <v>12</v>
      </c>
      <c r="N1211" t="str">
        <f t="shared" si="93"/>
        <v>R1013</v>
      </c>
      <c r="O1211" t="s">
        <v>13</v>
      </c>
    </row>
    <row r="1212" spans="1:15" x14ac:dyDescent="0.35">
      <c r="A1212" t="s">
        <v>1243</v>
      </c>
      <c r="C1212">
        <f t="shared" si="90"/>
        <v>1971</v>
      </c>
      <c r="D1212">
        <v>1971</v>
      </c>
      <c r="E1212" t="str">
        <f t="shared" si="94"/>
        <v>Dec</v>
      </c>
      <c r="F1212" t="s">
        <v>30</v>
      </c>
      <c r="G1212">
        <v>26</v>
      </c>
      <c r="H1212">
        <v>1</v>
      </c>
      <c r="I1212" s="21">
        <v>9957.7199999999993</v>
      </c>
      <c r="J1212" t="str">
        <f t="shared" si="91"/>
        <v>tier - 2</v>
      </c>
      <c r="K1212" t="s">
        <v>11</v>
      </c>
      <c r="L1212" t="str">
        <f t="shared" si="92"/>
        <v>tier - 3</v>
      </c>
      <c r="M1212" t="s">
        <v>12</v>
      </c>
      <c r="N1212" t="str">
        <f t="shared" si="93"/>
        <v>R1018</v>
      </c>
      <c r="O1212" t="s">
        <v>170</v>
      </c>
    </row>
    <row r="1213" spans="1:15" x14ac:dyDescent="0.35">
      <c r="A1213" t="s">
        <v>1244</v>
      </c>
      <c r="C1213">
        <f t="shared" si="90"/>
        <v>1971</v>
      </c>
      <c r="D1213">
        <v>1971</v>
      </c>
      <c r="E1213" t="str">
        <f t="shared" si="94"/>
        <v>Oct</v>
      </c>
      <c r="F1213" t="s">
        <v>37</v>
      </c>
      <c r="G1213">
        <v>6</v>
      </c>
      <c r="H1213">
        <v>1</v>
      </c>
      <c r="I1213" s="21">
        <v>9964.06</v>
      </c>
      <c r="J1213" t="str">
        <f t="shared" si="91"/>
        <v>tier - 2</v>
      </c>
      <c r="K1213" t="s">
        <v>11</v>
      </c>
      <c r="L1213" t="str">
        <f t="shared" si="92"/>
        <v>tier - 2</v>
      </c>
      <c r="M1213" t="s">
        <v>11</v>
      </c>
      <c r="N1213" t="str">
        <f t="shared" si="93"/>
        <v>R1019</v>
      </c>
      <c r="O1213" t="s">
        <v>166</v>
      </c>
    </row>
    <row r="1214" spans="1:15" x14ac:dyDescent="0.35">
      <c r="A1214" t="s">
        <v>1245</v>
      </c>
      <c r="C1214">
        <f t="shared" si="90"/>
        <v>1970</v>
      </c>
      <c r="D1214">
        <v>1970</v>
      </c>
      <c r="E1214" t="str">
        <f t="shared" si="94"/>
        <v>Aug</v>
      </c>
      <c r="F1214" t="s">
        <v>35</v>
      </c>
      <c r="G1214">
        <v>11</v>
      </c>
      <c r="H1214">
        <v>0</v>
      </c>
      <c r="I1214" s="21">
        <v>9991.0400000000009</v>
      </c>
      <c r="J1214" t="str">
        <f t="shared" si="91"/>
        <v>tier - 2</v>
      </c>
      <c r="K1214" t="s">
        <v>11</v>
      </c>
      <c r="L1214" t="str">
        <f t="shared" si="92"/>
        <v>tier - 3</v>
      </c>
      <c r="M1214" t="s">
        <v>12</v>
      </c>
      <c r="N1214" t="str">
        <f t="shared" si="93"/>
        <v>R1012</v>
      </c>
      <c r="O1214" t="s">
        <v>23</v>
      </c>
    </row>
    <row r="1215" spans="1:15" x14ac:dyDescent="0.35">
      <c r="A1215" t="s">
        <v>1246</v>
      </c>
      <c r="C1215">
        <f t="shared" si="90"/>
        <v>1988</v>
      </c>
      <c r="D1215">
        <v>1988</v>
      </c>
      <c r="E1215" t="str">
        <f t="shared" si="94"/>
        <v>Jul</v>
      </c>
      <c r="F1215" t="s">
        <v>10</v>
      </c>
      <c r="G1215">
        <v>3</v>
      </c>
      <c r="H1215">
        <v>3</v>
      </c>
      <c r="I1215" s="21">
        <v>10011.44</v>
      </c>
      <c r="J1215" t="str">
        <f t="shared" si="91"/>
        <v>tier - 3</v>
      </c>
      <c r="K1215" t="s">
        <v>12</v>
      </c>
      <c r="L1215" t="str">
        <f t="shared" si="92"/>
        <v>tier - 3</v>
      </c>
      <c r="M1215" t="s">
        <v>12</v>
      </c>
      <c r="N1215" t="str">
        <f t="shared" si="93"/>
        <v>R1026</v>
      </c>
      <c r="O1215" t="s">
        <v>535</v>
      </c>
    </row>
    <row r="1216" spans="1:15" x14ac:dyDescent="0.35">
      <c r="A1216" t="s">
        <v>1247</v>
      </c>
      <c r="C1216">
        <f t="shared" si="90"/>
        <v>1979</v>
      </c>
      <c r="D1216">
        <v>1979</v>
      </c>
      <c r="E1216" t="str">
        <f t="shared" si="94"/>
        <v>Dec</v>
      </c>
      <c r="F1216" t="s">
        <v>30</v>
      </c>
      <c r="G1216">
        <v>28</v>
      </c>
      <c r="H1216">
        <v>2</v>
      </c>
      <c r="I1216" s="21">
        <v>10027.15</v>
      </c>
      <c r="J1216" t="str">
        <f t="shared" si="91"/>
        <v>tier - 3</v>
      </c>
      <c r="K1216" t="s">
        <v>12</v>
      </c>
      <c r="L1216" t="str">
        <f t="shared" si="92"/>
        <v>tier - 1</v>
      </c>
      <c r="M1216" t="s">
        <v>16</v>
      </c>
      <c r="N1216" t="str">
        <f t="shared" si="93"/>
        <v>R1021</v>
      </c>
      <c r="O1216" t="s">
        <v>300</v>
      </c>
    </row>
    <row r="1217" spans="1:15" x14ac:dyDescent="0.35">
      <c r="A1217" t="s">
        <v>1248</v>
      </c>
      <c r="C1217">
        <f t="shared" si="90"/>
        <v>1974</v>
      </c>
      <c r="D1217">
        <v>1974</v>
      </c>
      <c r="E1217" t="str">
        <f t="shared" si="94"/>
        <v>Aug</v>
      </c>
      <c r="F1217" t="s">
        <v>35</v>
      </c>
      <c r="G1217">
        <v>30</v>
      </c>
      <c r="H1217">
        <v>2</v>
      </c>
      <c r="I1217" s="21">
        <v>10043.25</v>
      </c>
      <c r="J1217" t="str">
        <f t="shared" si="91"/>
        <v>tier - 3</v>
      </c>
      <c r="K1217" t="s">
        <v>12</v>
      </c>
      <c r="L1217" t="str">
        <f t="shared" si="92"/>
        <v>tier - 2</v>
      </c>
      <c r="M1217" t="s">
        <v>11</v>
      </c>
      <c r="N1217" t="str">
        <f t="shared" si="93"/>
        <v>R1024</v>
      </c>
      <c r="O1217" t="s">
        <v>247</v>
      </c>
    </row>
    <row r="1218" spans="1:15" x14ac:dyDescent="0.35">
      <c r="A1218" t="s">
        <v>1249</v>
      </c>
      <c r="C1218">
        <f t="shared" si="90"/>
        <v>1969</v>
      </c>
      <c r="D1218">
        <v>1969</v>
      </c>
      <c r="E1218" t="str">
        <f t="shared" si="94"/>
        <v>Aug</v>
      </c>
      <c r="F1218" t="s">
        <v>35</v>
      </c>
      <c r="G1218">
        <v>22</v>
      </c>
      <c r="H1218">
        <v>1</v>
      </c>
      <c r="I1218" s="21">
        <v>10065.41</v>
      </c>
      <c r="J1218" t="str">
        <f t="shared" si="91"/>
        <v>tier - 3</v>
      </c>
      <c r="K1218" t="s">
        <v>12</v>
      </c>
      <c r="L1218" t="str">
        <f t="shared" si="92"/>
        <v>tier - 2</v>
      </c>
      <c r="M1218" t="s">
        <v>11</v>
      </c>
      <c r="N1218" t="str">
        <f t="shared" si="93"/>
        <v>R1011</v>
      </c>
      <c r="O1218" t="s">
        <v>42</v>
      </c>
    </row>
    <row r="1219" spans="1:15" x14ac:dyDescent="0.35">
      <c r="A1219" t="s">
        <v>1250</v>
      </c>
      <c r="C1219">
        <f t="shared" ref="C1219:C1282" si="95">IF(OR(D1219="?", ISBLANK(D1219)), 1983, D1219)</f>
        <v>1969</v>
      </c>
      <c r="D1219">
        <v>1969</v>
      </c>
      <c r="E1219" t="str">
        <f t="shared" si="94"/>
        <v>Oct</v>
      </c>
      <c r="F1219" t="s">
        <v>37</v>
      </c>
      <c r="G1219">
        <v>27</v>
      </c>
      <c r="H1219">
        <v>0</v>
      </c>
      <c r="I1219" s="21">
        <v>10072.06</v>
      </c>
      <c r="J1219" t="str">
        <f t="shared" ref="J1219:J1282" si="96">IF(OR(K1219="?", ISBLANK(K1219)), "Tier 2", K1219)</f>
        <v>tier - 3</v>
      </c>
      <c r="K1219" t="s">
        <v>12</v>
      </c>
      <c r="L1219" t="str">
        <f t="shared" ref="L1219:L1282" si="97">IF(OR(M1219="?", ISBLANK(M1219)), "Tier 2", M1219)</f>
        <v>tier - 1</v>
      </c>
      <c r="M1219" t="s">
        <v>16</v>
      </c>
      <c r="N1219" t="str">
        <f t="shared" ref="N1219:N1282" si="98">IF(OR(O1219="?", ISBLANK(O1219)), "Unknown", O1219)</f>
        <v>R1017</v>
      </c>
      <c r="O1219" t="s">
        <v>356</v>
      </c>
    </row>
    <row r="1220" spans="1:15" x14ac:dyDescent="0.35">
      <c r="A1220" t="s">
        <v>1251</v>
      </c>
      <c r="C1220">
        <f t="shared" si="95"/>
        <v>1969</v>
      </c>
      <c r="D1220">
        <v>1969</v>
      </c>
      <c r="E1220" t="str">
        <f t="shared" ref="E1220:E1283" si="99">IF(OR(F1220="?", ISBLANK(F1220)), "Sep", F1220)</f>
        <v>Jul</v>
      </c>
      <c r="F1220" t="s">
        <v>10</v>
      </c>
      <c r="G1220">
        <v>3</v>
      </c>
      <c r="H1220">
        <v>1</v>
      </c>
      <c r="I1220" s="21">
        <v>10085.85</v>
      </c>
      <c r="J1220" t="str">
        <f t="shared" si="96"/>
        <v>tier - 3</v>
      </c>
      <c r="K1220" t="s">
        <v>12</v>
      </c>
      <c r="L1220" t="str">
        <f t="shared" si="97"/>
        <v>tier - 3</v>
      </c>
      <c r="M1220" t="s">
        <v>12</v>
      </c>
      <c r="N1220" t="str">
        <f t="shared" si="98"/>
        <v>R1011</v>
      </c>
      <c r="O1220" t="s">
        <v>42</v>
      </c>
    </row>
    <row r="1221" spans="1:15" x14ac:dyDescent="0.35">
      <c r="A1221" t="s">
        <v>1252</v>
      </c>
      <c r="C1221">
        <f t="shared" si="95"/>
        <v>1976</v>
      </c>
      <c r="D1221">
        <v>1976</v>
      </c>
      <c r="E1221" t="str">
        <f t="shared" si="99"/>
        <v>Dec</v>
      </c>
      <c r="F1221" t="s">
        <v>30</v>
      </c>
      <c r="G1221">
        <v>19</v>
      </c>
      <c r="H1221">
        <v>5</v>
      </c>
      <c r="I1221" s="21">
        <v>10096.969999999999</v>
      </c>
      <c r="J1221" t="str">
        <f t="shared" si="96"/>
        <v>tier - 3</v>
      </c>
      <c r="K1221" t="s">
        <v>12</v>
      </c>
      <c r="L1221" t="str">
        <f t="shared" si="97"/>
        <v>tier - 2</v>
      </c>
      <c r="M1221" t="s">
        <v>11</v>
      </c>
      <c r="N1221" t="str">
        <f t="shared" si="98"/>
        <v>R1011</v>
      </c>
      <c r="O1221" t="s">
        <v>42</v>
      </c>
    </row>
    <row r="1222" spans="1:15" x14ac:dyDescent="0.35">
      <c r="A1222" t="s">
        <v>1253</v>
      </c>
      <c r="C1222">
        <f t="shared" si="95"/>
        <v>1972</v>
      </c>
      <c r="D1222">
        <v>1972</v>
      </c>
      <c r="E1222" t="str">
        <f t="shared" si="99"/>
        <v>Oct</v>
      </c>
      <c r="F1222" t="s">
        <v>37</v>
      </c>
      <c r="G1222">
        <v>19</v>
      </c>
      <c r="H1222">
        <v>1</v>
      </c>
      <c r="I1222" s="21">
        <v>10106.129999999999</v>
      </c>
      <c r="J1222" t="str">
        <f t="shared" si="96"/>
        <v>tier - 3</v>
      </c>
      <c r="K1222" t="s">
        <v>12</v>
      </c>
      <c r="L1222" t="str">
        <f t="shared" si="97"/>
        <v>tier - 1</v>
      </c>
      <c r="M1222" t="s">
        <v>16</v>
      </c>
      <c r="N1222" t="str">
        <f t="shared" si="98"/>
        <v>R1024</v>
      </c>
      <c r="O1222" t="s">
        <v>247</v>
      </c>
    </row>
    <row r="1223" spans="1:15" x14ac:dyDescent="0.35">
      <c r="A1223" t="s">
        <v>1254</v>
      </c>
      <c r="C1223">
        <f t="shared" si="95"/>
        <v>1972</v>
      </c>
      <c r="D1223">
        <v>1972</v>
      </c>
      <c r="E1223" t="str">
        <f t="shared" si="99"/>
        <v>Aug</v>
      </c>
      <c r="F1223" t="s">
        <v>35</v>
      </c>
      <c r="G1223">
        <v>8</v>
      </c>
      <c r="H1223">
        <v>2</v>
      </c>
      <c r="I1223" s="21">
        <v>10107.219999999999</v>
      </c>
      <c r="J1223" t="str">
        <f t="shared" si="96"/>
        <v>tier - 3</v>
      </c>
      <c r="K1223" t="s">
        <v>12</v>
      </c>
      <c r="L1223" t="str">
        <f t="shared" si="97"/>
        <v>tier - 1</v>
      </c>
      <c r="M1223" t="s">
        <v>16</v>
      </c>
      <c r="N1223" t="str">
        <f t="shared" si="98"/>
        <v>R1013</v>
      </c>
      <c r="O1223" t="s">
        <v>13</v>
      </c>
    </row>
    <row r="1224" spans="1:15" x14ac:dyDescent="0.35">
      <c r="A1224" t="s">
        <v>1255</v>
      </c>
      <c r="C1224">
        <f t="shared" si="95"/>
        <v>1975</v>
      </c>
      <c r="D1224">
        <v>1975</v>
      </c>
      <c r="E1224" t="str">
        <f t="shared" si="99"/>
        <v>Jul</v>
      </c>
      <c r="F1224" t="s">
        <v>10</v>
      </c>
      <c r="G1224">
        <v>2</v>
      </c>
      <c r="H1224">
        <v>3</v>
      </c>
      <c r="I1224" s="21">
        <v>10115.01</v>
      </c>
      <c r="J1224" t="str">
        <f t="shared" si="96"/>
        <v>tier - 3</v>
      </c>
      <c r="K1224" t="s">
        <v>12</v>
      </c>
      <c r="L1224" t="str">
        <f t="shared" si="97"/>
        <v>tier - 3</v>
      </c>
      <c r="M1224" t="s">
        <v>12</v>
      </c>
      <c r="N1224" t="str">
        <f t="shared" si="98"/>
        <v>R1012</v>
      </c>
      <c r="O1224" t="s">
        <v>23</v>
      </c>
    </row>
    <row r="1225" spans="1:15" x14ac:dyDescent="0.35">
      <c r="A1225" t="s">
        <v>1256</v>
      </c>
      <c r="C1225">
        <f t="shared" si="95"/>
        <v>1972</v>
      </c>
      <c r="D1225">
        <v>1972</v>
      </c>
      <c r="E1225" t="str">
        <f t="shared" si="99"/>
        <v>Nov</v>
      </c>
      <c r="F1225" t="s">
        <v>15</v>
      </c>
      <c r="G1225">
        <v>16</v>
      </c>
      <c r="H1225">
        <v>2</v>
      </c>
      <c r="I1225" s="21">
        <v>10118.42</v>
      </c>
      <c r="J1225" t="str">
        <f t="shared" si="96"/>
        <v>tier - 3</v>
      </c>
      <c r="K1225" t="s">
        <v>12</v>
      </c>
      <c r="L1225" t="str">
        <f t="shared" si="97"/>
        <v>tier - 3</v>
      </c>
      <c r="M1225" t="s">
        <v>12</v>
      </c>
      <c r="N1225" t="str">
        <f t="shared" si="98"/>
        <v>R1011</v>
      </c>
      <c r="O1225" t="s">
        <v>42</v>
      </c>
    </row>
    <row r="1226" spans="1:15" x14ac:dyDescent="0.35">
      <c r="A1226" t="s">
        <v>1257</v>
      </c>
      <c r="C1226">
        <f t="shared" si="95"/>
        <v>1997</v>
      </c>
      <c r="D1226">
        <v>1997</v>
      </c>
      <c r="E1226" t="str">
        <f t="shared" si="99"/>
        <v>Sep</v>
      </c>
      <c r="F1226" t="s">
        <v>20</v>
      </c>
      <c r="G1226">
        <v>5</v>
      </c>
      <c r="H1226">
        <v>0</v>
      </c>
      <c r="I1226" s="21">
        <v>10139.84</v>
      </c>
      <c r="J1226" t="str">
        <f t="shared" si="96"/>
        <v>tier - 3</v>
      </c>
      <c r="K1226" t="s">
        <v>12</v>
      </c>
      <c r="L1226" t="str">
        <f t="shared" si="97"/>
        <v>tier - 2</v>
      </c>
      <c r="M1226" t="s">
        <v>11</v>
      </c>
      <c r="N1226" t="str">
        <f t="shared" si="98"/>
        <v>R1012</v>
      </c>
      <c r="O1226" t="s">
        <v>23</v>
      </c>
    </row>
    <row r="1227" spans="1:15" x14ac:dyDescent="0.35">
      <c r="A1227" t="s">
        <v>1258</v>
      </c>
      <c r="C1227">
        <f t="shared" si="95"/>
        <v>1974</v>
      </c>
      <c r="D1227">
        <v>1974</v>
      </c>
      <c r="E1227" t="str">
        <f t="shared" si="99"/>
        <v>Dec</v>
      </c>
      <c r="F1227" t="s">
        <v>30</v>
      </c>
      <c r="G1227">
        <v>30</v>
      </c>
      <c r="H1227">
        <v>3</v>
      </c>
      <c r="I1227" s="21">
        <v>10141.14</v>
      </c>
      <c r="J1227" t="str">
        <f t="shared" si="96"/>
        <v>tier - 3</v>
      </c>
      <c r="K1227" t="s">
        <v>12</v>
      </c>
      <c r="L1227" t="str">
        <f t="shared" si="97"/>
        <v>tier - 1</v>
      </c>
      <c r="M1227" t="s">
        <v>16</v>
      </c>
      <c r="N1227" t="str">
        <f t="shared" si="98"/>
        <v>R1016</v>
      </c>
      <c r="O1227" t="s">
        <v>168</v>
      </c>
    </row>
    <row r="1228" spans="1:15" x14ac:dyDescent="0.35">
      <c r="A1228" t="s">
        <v>1259</v>
      </c>
      <c r="C1228">
        <f t="shared" si="95"/>
        <v>1981</v>
      </c>
      <c r="D1228">
        <v>1981</v>
      </c>
      <c r="E1228" t="str">
        <f t="shared" si="99"/>
        <v>Jun</v>
      </c>
      <c r="F1228" t="s">
        <v>18</v>
      </c>
      <c r="G1228">
        <v>12</v>
      </c>
      <c r="H1228">
        <v>1</v>
      </c>
      <c r="I1228" s="21">
        <v>10146.129999999999</v>
      </c>
      <c r="J1228" t="str">
        <f t="shared" si="96"/>
        <v>tier - 3</v>
      </c>
      <c r="K1228" t="s">
        <v>12</v>
      </c>
      <c r="L1228" t="str">
        <f t="shared" si="97"/>
        <v>tier - 1</v>
      </c>
      <c r="M1228" t="s">
        <v>16</v>
      </c>
      <c r="N1228" t="str">
        <f t="shared" si="98"/>
        <v>R1025</v>
      </c>
      <c r="O1228" t="s">
        <v>200</v>
      </c>
    </row>
    <row r="1229" spans="1:15" x14ac:dyDescent="0.35">
      <c r="A1229" t="s">
        <v>1260</v>
      </c>
      <c r="C1229">
        <f t="shared" si="95"/>
        <v>1973</v>
      </c>
      <c r="D1229">
        <v>1973</v>
      </c>
      <c r="E1229" t="str">
        <f t="shared" si="99"/>
        <v>Oct</v>
      </c>
      <c r="F1229" t="s">
        <v>37</v>
      </c>
      <c r="G1229">
        <v>13</v>
      </c>
      <c r="H1229">
        <v>2</v>
      </c>
      <c r="I1229" s="21">
        <v>10156.780000000001</v>
      </c>
      <c r="J1229" t="str">
        <f t="shared" si="96"/>
        <v>tier - 3</v>
      </c>
      <c r="K1229" t="s">
        <v>12</v>
      </c>
      <c r="L1229" t="str">
        <f t="shared" si="97"/>
        <v>tier - 2</v>
      </c>
      <c r="M1229" t="s">
        <v>11</v>
      </c>
      <c r="N1229" t="str">
        <f t="shared" si="98"/>
        <v>R1012</v>
      </c>
      <c r="O1229" t="s">
        <v>23</v>
      </c>
    </row>
    <row r="1230" spans="1:15" x14ac:dyDescent="0.35">
      <c r="A1230" t="s">
        <v>1261</v>
      </c>
      <c r="C1230">
        <f t="shared" si="95"/>
        <v>1972</v>
      </c>
      <c r="D1230">
        <v>1972</v>
      </c>
      <c r="E1230" t="str">
        <f t="shared" si="99"/>
        <v>Jul</v>
      </c>
      <c r="F1230" t="s">
        <v>10</v>
      </c>
      <c r="G1230">
        <v>10</v>
      </c>
      <c r="H1230">
        <v>0</v>
      </c>
      <c r="I1230" s="21">
        <v>10160.870000000001</v>
      </c>
      <c r="J1230" t="str">
        <f t="shared" si="96"/>
        <v>tier - 3</v>
      </c>
      <c r="K1230" t="s">
        <v>12</v>
      </c>
      <c r="L1230" t="str">
        <f t="shared" si="97"/>
        <v>tier - 3</v>
      </c>
      <c r="M1230" t="s">
        <v>12</v>
      </c>
      <c r="N1230" t="str">
        <f t="shared" si="98"/>
        <v>R1025</v>
      </c>
      <c r="O1230" t="s">
        <v>200</v>
      </c>
    </row>
    <row r="1231" spans="1:15" x14ac:dyDescent="0.35">
      <c r="A1231" t="s">
        <v>1262</v>
      </c>
      <c r="C1231">
        <f t="shared" si="95"/>
        <v>1985</v>
      </c>
      <c r="D1231">
        <v>1985</v>
      </c>
      <c r="E1231" t="str">
        <f t="shared" si="99"/>
        <v>Oct</v>
      </c>
      <c r="F1231" t="s">
        <v>37</v>
      </c>
      <c r="G1231">
        <v>16</v>
      </c>
      <c r="H1231">
        <v>3</v>
      </c>
      <c r="I1231" s="21">
        <v>10191.82</v>
      </c>
      <c r="J1231" t="str">
        <f t="shared" si="96"/>
        <v>tier - 3</v>
      </c>
      <c r="K1231" t="s">
        <v>12</v>
      </c>
      <c r="L1231" t="str">
        <f t="shared" si="97"/>
        <v>tier - 2</v>
      </c>
      <c r="M1231" t="s">
        <v>11</v>
      </c>
      <c r="N1231" t="str">
        <f t="shared" si="98"/>
        <v>R1026</v>
      </c>
      <c r="O1231" t="s">
        <v>535</v>
      </c>
    </row>
    <row r="1232" spans="1:15" x14ac:dyDescent="0.35">
      <c r="A1232" t="s">
        <v>1263</v>
      </c>
      <c r="C1232">
        <f t="shared" si="95"/>
        <v>1970</v>
      </c>
      <c r="D1232">
        <v>1970</v>
      </c>
      <c r="E1232" t="str">
        <f t="shared" si="99"/>
        <v>Dec</v>
      </c>
      <c r="F1232" t="s">
        <v>30</v>
      </c>
      <c r="G1232">
        <v>24</v>
      </c>
      <c r="H1232">
        <v>0</v>
      </c>
      <c r="I1232" s="21">
        <v>10197.77</v>
      </c>
      <c r="J1232" t="str">
        <f t="shared" si="96"/>
        <v>tier - 3</v>
      </c>
      <c r="K1232" t="s">
        <v>12</v>
      </c>
      <c r="L1232" t="str">
        <f t="shared" si="97"/>
        <v>tier - 1</v>
      </c>
      <c r="M1232" t="s">
        <v>16</v>
      </c>
      <c r="N1232" t="str">
        <f t="shared" si="98"/>
        <v>R1024</v>
      </c>
      <c r="O1232" t="s">
        <v>247</v>
      </c>
    </row>
    <row r="1233" spans="1:15" x14ac:dyDescent="0.35">
      <c r="A1233" t="s">
        <v>1264</v>
      </c>
      <c r="C1233">
        <f t="shared" si="95"/>
        <v>1967</v>
      </c>
      <c r="D1233">
        <v>1967</v>
      </c>
      <c r="E1233" t="str">
        <f t="shared" si="99"/>
        <v>Sep</v>
      </c>
      <c r="F1233" t="s">
        <v>20</v>
      </c>
      <c r="G1233">
        <v>26</v>
      </c>
      <c r="H1233">
        <v>0</v>
      </c>
      <c r="I1233" s="21">
        <v>10214.64</v>
      </c>
      <c r="J1233" t="str">
        <f t="shared" si="96"/>
        <v>tier - 3</v>
      </c>
      <c r="K1233" t="s">
        <v>12</v>
      </c>
      <c r="L1233" t="str">
        <f t="shared" si="97"/>
        <v>tier - 2</v>
      </c>
      <c r="M1233" t="s">
        <v>11</v>
      </c>
      <c r="N1233" t="str">
        <f t="shared" si="98"/>
        <v>R1011</v>
      </c>
      <c r="O1233" t="s">
        <v>42</v>
      </c>
    </row>
    <row r="1234" spans="1:15" x14ac:dyDescent="0.35">
      <c r="A1234" t="s">
        <v>1265</v>
      </c>
      <c r="C1234">
        <f t="shared" si="95"/>
        <v>1967</v>
      </c>
      <c r="D1234">
        <v>1967</v>
      </c>
      <c r="E1234" t="str">
        <f t="shared" si="99"/>
        <v>Jun</v>
      </c>
      <c r="F1234" t="s">
        <v>18</v>
      </c>
      <c r="G1234">
        <v>28</v>
      </c>
      <c r="H1234">
        <v>0</v>
      </c>
      <c r="I1234" s="21">
        <v>10226.280000000001</v>
      </c>
      <c r="J1234" t="str">
        <f t="shared" si="96"/>
        <v>tier - 3</v>
      </c>
      <c r="K1234" t="s">
        <v>12</v>
      </c>
      <c r="L1234" t="str">
        <f t="shared" si="97"/>
        <v>tier - 3</v>
      </c>
      <c r="M1234" t="s">
        <v>12</v>
      </c>
      <c r="N1234" t="str">
        <f t="shared" si="98"/>
        <v>R1013</v>
      </c>
      <c r="O1234" t="s">
        <v>13</v>
      </c>
    </row>
    <row r="1235" spans="1:15" x14ac:dyDescent="0.35">
      <c r="A1235" t="s">
        <v>1266</v>
      </c>
      <c r="C1235">
        <f t="shared" si="95"/>
        <v>1968</v>
      </c>
      <c r="D1235">
        <v>1968</v>
      </c>
      <c r="E1235" t="str">
        <f t="shared" si="99"/>
        <v>Sep</v>
      </c>
      <c r="F1235" t="s">
        <v>20</v>
      </c>
      <c r="G1235">
        <v>23</v>
      </c>
      <c r="H1235">
        <v>0</v>
      </c>
      <c r="I1235" s="21">
        <v>10231.5</v>
      </c>
      <c r="J1235" t="str">
        <f t="shared" si="96"/>
        <v>tier - 3</v>
      </c>
      <c r="K1235" t="s">
        <v>12</v>
      </c>
      <c r="L1235" t="str">
        <f t="shared" si="97"/>
        <v>tier - 1</v>
      </c>
      <c r="M1235" t="s">
        <v>16</v>
      </c>
      <c r="N1235" t="str">
        <f t="shared" si="98"/>
        <v>R1012</v>
      </c>
      <c r="O1235" t="s">
        <v>23</v>
      </c>
    </row>
    <row r="1236" spans="1:15" x14ac:dyDescent="0.35">
      <c r="A1236" t="s">
        <v>1267</v>
      </c>
      <c r="C1236">
        <f t="shared" si="95"/>
        <v>1975</v>
      </c>
      <c r="D1236">
        <v>1975</v>
      </c>
      <c r="E1236" t="str">
        <f t="shared" si="99"/>
        <v>Aug</v>
      </c>
      <c r="F1236" t="s">
        <v>35</v>
      </c>
      <c r="G1236">
        <v>15</v>
      </c>
      <c r="H1236">
        <v>1</v>
      </c>
      <c r="I1236" s="21">
        <v>10259.129999999999</v>
      </c>
      <c r="J1236" t="str">
        <f t="shared" si="96"/>
        <v>tier - 3</v>
      </c>
      <c r="K1236" t="s">
        <v>12</v>
      </c>
      <c r="L1236" t="str">
        <f t="shared" si="97"/>
        <v>tier - 2</v>
      </c>
      <c r="M1236" t="s">
        <v>11</v>
      </c>
      <c r="N1236" t="str">
        <f t="shared" si="98"/>
        <v>R1011</v>
      </c>
      <c r="O1236" t="s">
        <v>42</v>
      </c>
    </row>
    <row r="1237" spans="1:15" x14ac:dyDescent="0.35">
      <c r="A1237" t="s">
        <v>1268</v>
      </c>
      <c r="C1237">
        <f t="shared" si="95"/>
        <v>1973</v>
      </c>
      <c r="D1237">
        <v>1973</v>
      </c>
      <c r="E1237" t="str">
        <f t="shared" si="99"/>
        <v>Sep</v>
      </c>
      <c r="F1237" t="s">
        <v>20</v>
      </c>
      <c r="G1237">
        <v>5</v>
      </c>
      <c r="H1237">
        <v>3</v>
      </c>
      <c r="I1237" s="21">
        <v>10264.44</v>
      </c>
      <c r="J1237" t="str">
        <f t="shared" si="96"/>
        <v>tier - 3</v>
      </c>
      <c r="K1237" t="s">
        <v>12</v>
      </c>
      <c r="L1237" t="str">
        <f t="shared" si="97"/>
        <v>tier - 2</v>
      </c>
      <c r="M1237" t="s">
        <v>11</v>
      </c>
      <c r="N1237" t="str">
        <f t="shared" si="98"/>
        <v>R1012</v>
      </c>
      <c r="O1237" t="s">
        <v>23</v>
      </c>
    </row>
    <row r="1238" spans="1:15" x14ac:dyDescent="0.35">
      <c r="A1238" t="s">
        <v>1269</v>
      </c>
      <c r="C1238">
        <f t="shared" si="95"/>
        <v>1973</v>
      </c>
      <c r="D1238">
        <v>1973</v>
      </c>
      <c r="E1238" t="str">
        <f t="shared" si="99"/>
        <v>Nov</v>
      </c>
      <c r="F1238" t="s">
        <v>15</v>
      </c>
      <c r="G1238">
        <v>27</v>
      </c>
      <c r="H1238">
        <v>3</v>
      </c>
      <c r="I1238" s="21">
        <v>10269.459999999999</v>
      </c>
      <c r="J1238" t="str">
        <f t="shared" si="96"/>
        <v>tier - 3</v>
      </c>
      <c r="K1238" t="s">
        <v>12</v>
      </c>
      <c r="L1238" t="str">
        <f t="shared" si="97"/>
        <v>tier - 3</v>
      </c>
      <c r="M1238" t="s">
        <v>12</v>
      </c>
      <c r="N1238" t="str">
        <f t="shared" si="98"/>
        <v>R1012</v>
      </c>
      <c r="O1238" t="s">
        <v>23</v>
      </c>
    </row>
    <row r="1239" spans="1:15" x14ac:dyDescent="0.35">
      <c r="A1239" t="s">
        <v>1270</v>
      </c>
      <c r="C1239">
        <f t="shared" si="95"/>
        <v>1970</v>
      </c>
      <c r="D1239">
        <v>1970</v>
      </c>
      <c r="E1239" t="str">
        <f t="shared" si="99"/>
        <v>Jun</v>
      </c>
      <c r="F1239" t="s">
        <v>18</v>
      </c>
      <c r="G1239">
        <v>21</v>
      </c>
      <c r="H1239">
        <v>0</v>
      </c>
      <c r="I1239" s="21">
        <v>10274.33</v>
      </c>
      <c r="J1239" t="str">
        <f t="shared" si="96"/>
        <v>tier - 3</v>
      </c>
      <c r="K1239" t="s">
        <v>12</v>
      </c>
      <c r="L1239" t="str">
        <f t="shared" si="97"/>
        <v>tier - 1</v>
      </c>
      <c r="M1239" t="s">
        <v>16</v>
      </c>
      <c r="N1239" t="str">
        <f t="shared" si="98"/>
        <v>R1024</v>
      </c>
      <c r="O1239" t="s">
        <v>247</v>
      </c>
    </row>
    <row r="1240" spans="1:15" x14ac:dyDescent="0.35">
      <c r="A1240" t="s">
        <v>1271</v>
      </c>
      <c r="C1240">
        <f t="shared" si="95"/>
        <v>1988</v>
      </c>
      <c r="D1240">
        <v>1988</v>
      </c>
      <c r="E1240" t="str">
        <f t="shared" si="99"/>
        <v>Sep</v>
      </c>
      <c r="F1240" t="s">
        <v>20</v>
      </c>
      <c r="G1240">
        <v>14</v>
      </c>
      <c r="H1240">
        <v>3</v>
      </c>
      <c r="I1240" s="21">
        <v>10276.99</v>
      </c>
      <c r="J1240" t="str">
        <f t="shared" si="96"/>
        <v>tier - 3</v>
      </c>
      <c r="K1240" t="s">
        <v>12</v>
      </c>
      <c r="L1240" t="str">
        <f t="shared" si="97"/>
        <v>tier - 1</v>
      </c>
      <c r="M1240" t="s">
        <v>16</v>
      </c>
      <c r="N1240" t="str">
        <f t="shared" si="98"/>
        <v>R1021</v>
      </c>
      <c r="O1240" t="s">
        <v>300</v>
      </c>
    </row>
    <row r="1241" spans="1:15" x14ac:dyDescent="0.35">
      <c r="A1241" t="s">
        <v>1272</v>
      </c>
      <c r="C1241">
        <f t="shared" si="95"/>
        <v>1963</v>
      </c>
      <c r="D1241">
        <v>1963</v>
      </c>
      <c r="E1241" t="str">
        <f t="shared" si="99"/>
        <v>Sep</v>
      </c>
      <c r="F1241" t="s">
        <v>20</v>
      </c>
      <c r="G1241">
        <v>24</v>
      </c>
      <c r="H1241">
        <v>0</v>
      </c>
      <c r="I1241" s="21">
        <v>10308.040000000001</v>
      </c>
      <c r="J1241" t="str">
        <f t="shared" si="96"/>
        <v>tier - 3</v>
      </c>
      <c r="K1241" t="s">
        <v>12</v>
      </c>
      <c r="L1241" t="str">
        <f t="shared" si="97"/>
        <v>tier - 1</v>
      </c>
      <c r="M1241" t="s">
        <v>16</v>
      </c>
      <c r="N1241" t="str">
        <f t="shared" si="98"/>
        <v>R1013</v>
      </c>
      <c r="O1241" t="s">
        <v>13</v>
      </c>
    </row>
    <row r="1242" spans="1:15" x14ac:dyDescent="0.35">
      <c r="A1242" t="s">
        <v>1273</v>
      </c>
      <c r="C1242">
        <f t="shared" si="95"/>
        <v>1962</v>
      </c>
      <c r="D1242">
        <v>1962</v>
      </c>
      <c r="E1242" t="str">
        <f t="shared" si="99"/>
        <v>Jul</v>
      </c>
      <c r="F1242" t="s">
        <v>10</v>
      </c>
      <c r="G1242">
        <v>12</v>
      </c>
      <c r="H1242">
        <v>0</v>
      </c>
      <c r="I1242" s="21">
        <v>10310.780000000001</v>
      </c>
      <c r="J1242" t="str">
        <f t="shared" si="96"/>
        <v>tier - 3</v>
      </c>
      <c r="K1242" t="s">
        <v>12</v>
      </c>
      <c r="L1242" t="str">
        <f t="shared" si="97"/>
        <v>tier - 3</v>
      </c>
      <c r="M1242" t="s">
        <v>12</v>
      </c>
      <c r="N1242" t="str">
        <f t="shared" si="98"/>
        <v>R1012</v>
      </c>
      <c r="O1242" t="s">
        <v>23</v>
      </c>
    </row>
    <row r="1243" spans="1:15" x14ac:dyDescent="0.35">
      <c r="A1243" t="s">
        <v>1274</v>
      </c>
      <c r="C1243">
        <f t="shared" si="95"/>
        <v>1991</v>
      </c>
      <c r="D1243">
        <v>1991</v>
      </c>
      <c r="E1243" t="str">
        <f t="shared" si="99"/>
        <v>Nov</v>
      </c>
      <c r="F1243" t="s">
        <v>15</v>
      </c>
      <c r="G1243">
        <v>17</v>
      </c>
      <c r="H1243">
        <v>3</v>
      </c>
      <c r="I1243" s="21">
        <v>10315.91</v>
      </c>
      <c r="J1243" t="str">
        <f t="shared" si="96"/>
        <v>tier - 3</v>
      </c>
      <c r="K1243" t="s">
        <v>12</v>
      </c>
      <c r="L1243" t="str">
        <f t="shared" si="97"/>
        <v>tier - 2</v>
      </c>
      <c r="M1243" t="s">
        <v>11</v>
      </c>
      <c r="N1243" t="str">
        <f t="shared" si="98"/>
        <v>R1012</v>
      </c>
      <c r="O1243" t="s">
        <v>23</v>
      </c>
    </row>
    <row r="1244" spans="1:15" x14ac:dyDescent="0.35">
      <c r="A1244" t="s">
        <v>1275</v>
      </c>
      <c r="C1244">
        <f t="shared" si="95"/>
        <v>1991</v>
      </c>
      <c r="D1244">
        <v>1991</v>
      </c>
      <c r="E1244" t="str">
        <f t="shared" si="99"/>
        <v>Aug</v>
      </c>
      <c r="F1244" t="s">
        <v>35</v>
      </c>
      <c r="G1244">
        <v>21</v>
      </c>
      <c r="H1244">
        <v>3</v>
      </c>
      <c r="I1244" s="21">
        <v>10322.9</v>
      </c>
      <c r="J1244" t="str">
        <f t="shared" si="96"/>
        <v>tier - 3</v>
      </c>
      <c r="K1244" t="s">
        <v>12</v>
      </c>
      <c r="L1244" t="str">
        <f t="shared" si="97"/>
        <v>tier - 1</v>
      </c>
      <c r="M1244" t="s">
        <v>16</v>
      </c>
      <c r="N1244" t="str">
        <f t="shared" si="98"/>
        <v>R1026</v>
      </c>
      <c r="O1244" t="s">
        <v>535</v>
      </c>
    </row>
    <row r="1245" spans="1:15" x14ac:dyDescent="0.35">
      <c r="A1245" t="s">
        <v>1276</v>
      </c>
      <c r="C1245">
        <f t="shared" si="95"/>
        <v>1970</v>
      </c>
      <c r="D1245">
        <v>1970</v>
      </c>
      <c r="E1245" t="str">
        <f t="shared" si="99"/>
        <v>Dec</v>
      </c>
      <c r="F1245" t="s">
        <v>30</v>
      </c>
      <c r="G1245">
        <v>1</v>
      </c>
      <c r="H1245">
        <v>2</v>
      </c>
      <c r="I1245" s="21">
        <v>10325.209999999999</v>
      </c>
      <c r="J1245" t="str">
        <f t="shared" si="96"/>
        <v>tier - 3</v>
      </c>
      <c r="K1245" t="s">
        <v>12</v>
      </c>
      <c r="L1245" t="str">
        <f t="shared" si="97"/>
        <v>tier - 3</v>
      </c>
      <c r="M1245" t="s">
        <v>12</v>
      </c>
      <c r="N1245" t="str">
        <f t="shared" si="98"/>
        <v>R1011</v>
      </c>
      <c r="O1245" t="s">
        <v>42</v>
      </c>
    </row>
    <row r="1246" spans="1:15" x14ac:dyDescent="0.35">
      <c r="A1246" t="s">
        <v>1277</v>
      </c>
      <c r="C1246">
        <f t="shared" si="95"/>
        <v>1982</v>
      </c>
      <c r="D1246">
        <v>1982</v>
      </c>
      <c r="E1246" t="str">
        <f t="shared" si="99"/>
        <v>Jul</v>
      </c>
      <c r="F1246" t="s">
        <v>10</v>
      </c>
      <c r="G1246">
        <v>21</v>
      </c>
      <c r="H1246">
        <v>3</v>
      </c>
      <c r="I1246" s="21">
        <v>10329.06</v>
      </c>
      <c r="J1246" t="str">
        <f t="shared" si="96"/>
        <v>tier - 3</v>
      </c>
      <c r="K1246" t="s">
        <v>12</v>
      </c>
      <c r="L1246" t="str">
        <f t="shared" si="97"/>
        <v>tier - 1</v>
      </c>
      <c r="M1246" t="s">
        <v>16</v>
      </c>
      <c r="N1246" t="str">
        <f t="shared" si="98"/>
        <v>R1021</v>
      </c>
      <c r="O1246" t="s">
        <v>300</v>
      </c>
    </row>
    <row r="1247" spans="1:15" x14ac:dyDescent="0.35">
      <c r="A1247" t="s">
        <v>1278</v>
      </c>
      <c r="C1247">
        <f t="shared" si="95"/>
        <v>1968</v>
      </c>
      <c r="D1247">
        <v>1968</v>
      </c>
      <c r="E1247" t="str">
        <f t="shared" si="99"/>
        <v>Jul</v>
      </c>
      <c r="F1247" t="s">
        <v>10</v>
      </c>
      <c r="G1247">
        <v>19</v>
      </c>
      <c r="H1247">
        <v>0</v>
      </c>
      <c r="I1247" s="21">
        <v>10338.93</v>
      </c>
      <c r="J1247" t="str">
        <f t="shared" si="96"/>
        <v>tier - 3</v>
      </c>
      <c r="K1247" t="s">
        <v>12</v>
      </c>
      <c r="L1247" t="str">
        <f t="shared" si="97"/>
        <v>tier - 1</v>
      </c>
      <c r="M1247" t="s">
        <v>16</v>
      </c>
      <c r="N1247" t="str">
        <f t="shared" si="98"/>
        <v>R1013</v>
      </c>
      <c r="O1247" t="s">
        <v>13</v>
      </c>
    </row>
    <row r="1248" spans="1:15" x14ac:dyDescent="0.35">
      <c r="A1248" t="s">
        <v>1279</v>
      </c>
      <c r="C1248">
        <f t="shared" si="95"/>
        <v>1973</v>
      </c>
      <c r="D1248">
        <v>1973</v>
      </c>
      <c r="E1248" t="str">
        <f t="shared" si="99"/>
        <v>Aug</v>
      </c>
      <c r="F1248" t="s">
        <v>35</v>
      </c>
      <c r="G1248">
        <v>8</v>
      </c>
      <c r="H1248">
        <v>0</v>
      </c>
      <c r="I1248" s="21">
        <v>10345.93</v>
      </c>
      <c r="J1248" t="str">
        <f t="shared" si="96"/>
        <v>tier - 3</v>
      </c>
      <c r="K1248" t="s">
        <v>12</v>
      </c>
      <c r="L1248" t="str">
        <f t="shared" si="97"/>
        <v>tier - 2</v>
      </c>
      <c r="M1248" t="s">
        <v>11</v>
      </c>
      <c r="N1248" t="str">
        <f t="shared" si="98"/>
        <v>R1021</v>
      </c>
      <c r="O1248" t="s">
        <v>300</v>
      </c>
    </row>
    <row r="1249" spans="1:15" x14ac:dyDescent="0.35">
      <c r="A1249" t="s">
        <v>1280</v>
      </c>
      <c r="C1249">
        <f t="shared" si="95"/>
        <v>1974</v>
      </c>
      <c r="D1249">
        <v>1974</v>
      </c>
      <c r="E1249" t="str">
        <f t="shared" si="99"/>
        <v>Sep</v>
      </c>
      <c r="F1249" t="s">
        <v>20</v>
      </c>
      <c r="G1249">
        <v>29</v>
      </c>
      <c r="H1249">
        <v>0</v>
      </c>
      <c r="I1249" s="21">
        <v>10352.48</v>
      </c>
      <c r="J1249" t="str">
        <f t="shared" si="96"/>
        <v>tier - 3</v>
      </c>
      <c r="K1249" t="s">
        <v>12</v>
      </c>
      <c r="L1249" t="str">
        <f t="shared" si="97"/>
        <v>tier - 1</v>
      </c>
      <c r="M1249" t="s">
        <v>16</v>
      </c>
      <c r="N1249" t="str">
        <f t="shared" si="98"/>
        <v>R1012</v>
      </c>
      <c r="O1249" t="s">
        <v>23</v>
      </c>
    </row>
    <row r="1250" spans="1:15" x14ac:dyDescent="0.35">
      <c r="A1250" t="s">
        <v>1281</v>
      </c>
      <c r="C1250">
        <f t="shared" si="95"/>
        <v>1969</v>
      </c>
      <c r="D1250">
        <v>1969</v>
      </c>
      <c r="E1250" t="str">
        <f t="shared" si="99"/>
        <v>Jun</v>
      </c>
      <c r="F1250" t="s">
        <v>18</v>
      </c>
      <c r="G1250">
        <v>17</v>
      </c>
      <c r="H1250">
        <v>0</v>
      </c>
      <c r="I1250" s="21">
        <v>10355.64</v>
      </c>
      <c r="J1250" t="str">
        <f t="shared" si="96"/>
        <v>tier - 3</v>
      </c>
      <c r="K1250" t="s">
        <v>12</v>
      </c>
      <c r="L1250" t="str">
        <f t="shared" si="97"/>
        <v>tier - 1</v>
      </c>
      <c r="M1250" t="s">
        <v>16</v>
      </c>
      <c r="N1250" t="str">
        <f t="shared" si="98"/>
        <v>R1012</v>
      </c>
      <c r="O1250" t="s">
        <v>23</v>
      </c>
    </row>
    <row r="1251" spans="1:15" x14ac:dyDescent="0.35">
      <c r="A1251" t="s">
        <v>1282</v>
      </c>
      <c r="C1251">
        <f t="shared" si="95"/>
        <v>1971</v>
      </c>
      <c r="D1251">
        <v>1971</v>
      </c>
      <c r="E1251" t="str">
        <f t="shared" si="99"/>
        <v>Sep</v>
      </c>
      <c r="F1251" t="s">
        <v>20</v>
      </c>
      <c r="G1251">
        <v>6</v>
      </c>
      <c r="H1251">
        <v>0</v>
      </c>
      <c r="I1251" s="21">
        <v>10356.67</v>
      </c>
      <c r="J1251" t="str">
        <f t="shared" si="96"/>
        <v>tier - 3</v>
      </c>
      <c r="K1251" t="s">
        <v>12</v>
      </c>
      <c r="L1251" t="str">
        <f t="shared" si="97"/>
        <v>tier - 1</v>
      </c>
      <c r="M1251" t="s">
        <v>16</v>
      </c>
      <c r="N1251" t="str">
        <f t="shared" si="98"/>
        <v>R1025</v>
      </c>
      <c r="O1251" t="s">
        <v>200</v>
      </c>
    </row>
    <row r="1252" spans="1:15" x14ac:dyDescent="0.35">
      <c r="A1252" t="s">
        <v>1283</v>
      </c>
      <c r="C1252">
        <f t="shared" si="95"/>
        <v>1973</v>
      </c>
      <c r="D1252">
        <v>1973</v>
      </c>
      <c r="E1252" t="str">
        <f t="shared" si="99"/>
        <v>Sep</v>
      </c>
      <c r="F1252" t="s">
        <v>20</v>
      </c>
      <c r="G1252">
        <v>29</v>
      </c>
      <c r="H1252">
        <v>2</v>
      </c>
      <c r="I1252" s="21">
        <v>10370.91</v>
      </c>
      <c r="J1252" t="str">
        <f t="shared" si="96"/>
        <v>tier - 3</v>
      </c>
      <c r="K1252" t="s">
        <v>12</v>
      </c>
      <c r="L1252" t="str">
        <f t="shared" si="97"/>
        <v>tier - 3</v>
      </c>
      <c r="M1252" t="s">
        <v>12</v>
      </c>
      <c r="N1252" t="str">
        <f t="shared" si="98"/>
        <v>R1024</v>
      </c>
      <c r="O1252" t="s">
        <v>247</v>
      </c>
    </row>
    <row r="1253" spans="1:15" x14ac:dyDescent="0.35">
      <c r="A1253" t="s">
        <v>1284</v>
      </c>
      <c r="C1253">
        <f t="shared" si="95"/>
        <v>1973</v>
      </c>
      <c r="D1253">
        <v>1973</v>
      </c>
      <c r="E1253" t="str">
        <f t="shared" si="99"/>
        <v>Sep</v>
      </c>
      <c r="F1253" t="s">
        <v>20</v>
      </c>
      <c r="G1253">
        <v>19</v>
      </c>
      <c r="H1253">
        <v>3</v>
      </c>
      <c r="I1253" s="21">
        <v>10381.48</v>
      </c>
      <c r="J1253" t="str">
        <f t="shared" si="96"/>
        <v>tier - 3</v>
      </c>
      <c r="K1253" t="s">
        <v>12</v>
      </c>
      <c r="L1253" t="str">
        <f t="shared" si="97"/>
        <v>tier - 3</v>
      </c>
      <c r="M1253" t="s">
        <v>12</v>
      </c>
      <c r="N1253" t="str">
        <f t="shared" si="98"/>
        <v>R1013</v>
      </c>
      <c r="O1253" t="s">
        <v>13</v>
      </c>
    </row>
    <row r="1254" spans="1:15" x14ac:dyDescent="0.35">
      <c r="A1254" t="s">
        <v>1285</v>
      </c>
      <c r="C1254">
        <f t="shared" si="95"/>
        <v>1969</v>
      </c>
      <c r="D1254">
        <v>1969</v>
      </c>
      <c r="E1254" t="str">
        <f t="shared" si="99"/>
        <v>Jul</v>
      </c>
      <c r="F1254" t="s">
        <v>10</v>
      </c>
      <c r="G1254">
        <v>7</v>
      </c>
      <c r="H1254">
        <v>0</v>
      </c>
      <c r="I1254" s="21">
        <v>10403.27</v>
      </c>
      <c r="J1254" t="str">
        <f t="shared" si="96"/>
        <v>tier - 3</v>
      </c>
      <c r="K1254" t="s">
        <v>12</v>
      </c>
      <c r="L1254" t="str">
        <f t="shared" si="97"/>
        <v>tier - 2</v>
      </c>
      <c r="M1254" t="s">
        <v>11</v>
      </c>
      <c r="N1254" t="str">
        <f t="shared" si="98"/>
        <v>R1020</v>
      </c>
      <c r="O1254" t="s">
        <v>516</v>
      </c>
    </row>
    <row r="1255" spans="1:15" x14ac:dyDescent="0.35">
      <c r="A1255" t="s">
        <v>1286</v>
      </c>
      <c r="C1255">
        <f t="shared" si="95"/>
        <v>1975</v>
      </c>
      <c r="D1255">
        <v>1975</v>
      </c>
      <c r="E1255" t="str">
        <f t="shared" si="99"/>
        <v>Jun</v>
      </c>
      <c r="F1255" t="s">
        <v>18</v>
      </c>
      <c r="G1255">
        <v>5</v>
      </c>
      <c r="H1255">
        <v>4</v>
      </c>
      <c r="I1255" s="21">
        <v>10407.09</v>
      </c>
      <c r="J1255" t="str">
        <f t="shared" si="96"/>
        <v>tier - 3</v>
      </c>
      <c r="K1255" t="s">
        <v>12</v>
      </c>
      <c r="L1255" t="str">
        <f t="shared" si="97"/>
        <v>tier - 1</v>
      </c>
      <c r="M1255" t="s">
        <v>16</v>
      </c>
      <c r="N1255" t="str">
        <f t="shared" si="98"/>
        <v>R1015</v>
      </c>
      <c r="O1255" t="s">
        <v>164</v>
      </c>
    </row>
    <row r="1256" spans="1:15" x14ac:dyDescent="0.35">
      <c r="A1256" t="s">
        <v>1287</v>
      </c>
      <c r="C1256">
        <f t="shared" si="95"/>
        <v>1980</v>
      </c>
      <c r="D1256">
        <v>1980</v>
      </c>
      <c r="E1256" t="str">
        <f t="shared" si="99"/>
        <v>Oct</v>
      </c>
      <c r="F1256" t="s">
        <v>37</v>
      </c>
      <c r="G1256">
        <v>24</v>
      </c>
      <c r="H1256">
        <v>2</v>
      </c>
      <c r="I1256" s="21">
        <v>10407.98</v>
      </c>
      <c r="J1256" t="str">
        <f t="shared" si="96"/>
        <v>tier - 3</v>
      </c>
      <c r="K1256" t="s">
        <v>12</v>
      </c>
      <c r="L1256" t="str">
        <f t="shared" si="97"/>
        <v>tier - 1</v>
      </c>
      <c r="M1256" t="s">
        <v>16</v>
      </c>
      <c r="N1256" t="str">
        <f t="shared" si="98"/>
        <v>R1021</v>
      </c>
      <c r="O1256" t="s">
        <v>300</v>
      </c>
    </row>
    <row r="1257" spans="1:15" x14ac:dyDescent="0.35">
      <c r="A1257" t="s">
        <v>1288</v>
      </c>
      <c r="C1257">
        <f t="shared" si="95"/>
        <v>1973</v>
      </c>
      <c r="D1257">
        <v>1973</v>
      </c>
      <c r="E1257" t="str">
        <f t="shared" si="99"/>
        <v>Oct</v>
      </c>
      <c r="F1257" t="s">
        <v>37</v>
      </c>
      <c r="G1257">
        <v>11</v>
      </c>
      <c r="H1257">
        <v>0</v>
      </c>
      <c r="I1257" s="21">
        <v>10419.59</v>
      </c>
      <c r="J1257" t="str">
        <f t="shared" si="96"/>
        <v>tier - 3</v>
      </c>
      <c r="K1257" t="s">
        <v>12</v>
      </c>
      <c r="L1257" t="str">
        <f t="shared" si="97"/>
        <v>tier - 2</v>
      </c>
      <c r="M1257" t="s">
        <v>11</v>
      </c>
      <c r="N1257" t="str">
        <f t="shared" si="98"/>
        <v>R1025</v>
      </c>
      <c r="O1257" t="s">
        <v>200</v>
      </c>
    </row>
    <row r="1258" spans="1:15" x14ac:dyDescent="0.35">
      <c r="A1258" t="s">
        <v>1289</v>
      </c>
      <c r="C1258">
        <f t="shared" si="95"/>
        <v>1979</v>
      </c>
      <c r="D1258">
        <v>1979</v>
      </c>
      <c r="E1258" t="str">
        <f t="shared" si="99"/>
        <v>Nov</v>
      </c>
      <c r="F1258" t="s">
        <v>15</v>
      </c>
      <c r="G1258">
        <v>25</v>
      </c>
      <c r="H1258">
        <v>2</v>
      </c>
      <c r="I1258" s="21">
        <v>10419.65</v>
      </c>
      <c r="J1258" t="str">
        <f t="shared" si="96"/>
        <v>tier - 3</v>
      </c>
      <c r="K1258" t="s">
        <v>12</v>
      </c>
      <c r="L1258" t="str">
        <f t="shared" si="97"/>
        <v>tier - 2</v>
      </c>
      <c r="M1258" t="s">
        <v>11</v>
      </c>
      <c r="N1258" t="str">
        <f t="shared" si="98"/>
        <v>R1025</v>
      </c>
      <c r="O1258" t="s">
        <v>200</v>
      </c>
    </row>
    <row r="1259" spans="1:15" x14ac:dyDescent="0.35">
      <c r="A1259" t="s">
        <v>1290</v>
      </c>
      <c r="C1259">
        <f t="shared" si="95"/>
        <v>1968</v>
      </c>
      <c r="D1259">
        <v>1968</v>
      </c>
      <c r="E1259" t="str">
        <f t="shared" si="99"/>
        <v>Dec</v>
      </c>
      <c r="F1259" t="s">
        <v>30</v>
      </c>
      <c r="G1259">
        <v>27</v>
      </c>
      <c r="H1259">
        <v>0</v>
      </c>
      <c r="I1259" s="21">
        <v>10422.92</v>
      </c>
      <c r="J1259" t="str">
        <f t="shared" si="96"/>
        <v>tier - 3</v>
      </c>
      <c r="K1259" t="s">
        <v>12</v>
      </c>
      <c r="L1259" t="str">
        <f t="shared" si="97"/>
        <v>tier - 1</v>
      </c>
      <c r="M1259" t="s">
        <v>16</v>
      </c>
      <c r="N1259" t="str">
        <f t="shared" si="98"/>
        <v>R1017</v>
      </c>
      <c r="O1259" t="s">
        <v>356</v>
      </c>
    </row>
    <row r="1260" spans="1:15" x14ac:dyDescent="0.35">
      <c r="A1260" t="s">
        <v>1291</v>
      </c>
      <c r="C1260">
        <f t="shared" si="95"/>
        <v>1968</v>
      </c>
      <c r="D1260">
        <v>1968</v>
      </c>
      <c r="E1260" t="str">
        <f t="shared" si="99"/>
        <v>Aug</v>
      </c>
      <c r="F1260" t="s">
        <v>35</v>
      </c>
      <c r="G1260">
        <v>23</v>
      </c>
      <c r="H1260">
        <v>0</v>
      </c>
      <c r="I1260" s="21">
        <v>10435.07</v>
      </c>
      <c r="J1260" t="str">
        <f t="shared" si="96"/>
        <v>tier - 3</v>
      </c>
      <c r="K1260" t="s">
        <v>12</v>
      </c>
      <c r="L1260" t="str">
        <f t="shared" si="97"/>
        <v>tier - 1</v>
      </c>
      <c r="M1260" t="s">
        <v>16</v>
      </c>
      <c r="N1260" t="str">
        <f t="shared" si="98"/>
        <v>R1016</v>
      </c>
      <c r="O1260" t="s">
        <v>168</v>
      </c>
    </row>
    <row r="1261" spans="1:15" x14ac:dyDescent="0.35">
      <c r="A1261" t="s">
        <v>1292</v>
      </c>
      <c r="C1261">
        <f t="shared" si="95"/>
        <v>1968</v>
      </c>
      <c r="D1261">
        <v>1968</v>
      </c>
      <c r="E1261" t="str">
        <f t="shared" si="99"/>
        <v>Aug</v>
      </c>
      <c r="F1261" t="s">
        <v>35</v>
      </c>
      <c r="G1261">
        <v>29</v>
      </c>
      <c r="H1261">
        <v>1</v>
      </c>
      <c r="I1261" s="21">
        <v>10436.1</v>
      </c>
      <c r="J1261" t="str">
        <f t="shared" si="96"/>
        <v>tier - 3</v>
      </c>
      <c r="K1261" t="s">
        <v>12</v>
      </c>
      <c r="L1261" t="str">
        <f t="shared" si="97"/>
        <v>tier - 3</v>
      </c>
      <c r="M1261" t="s">
        <v>12</v>
      </c>
      <c r="N1261" t="str">
        <f t="shared" si="98"/>
        <v>R1011</v>
      </c>
      <c r="O1261" t="s">
        <v>42</v>
      </c>
    </row>
    <row r="1262" spans="1:15" x14ac:dyDescent="0.35">
      <c r="A1262" t="s">
        <v>1293</v>
      </c>
      <c r="C1262">
        <f t="shared" si="95"/>
        <v>1968</v>
      </c>
      <c r="D1262">
        <v>1968</v>
      </c>
      <c r="E1262" t="str">
        <f t="shared" si="99"/>
        <v>Nov</v>
      </c>
      <c r="F1262" t="s">
        <v>15</v>
      </c>
      <c r="G1262">
        <v>8</v>
      </c>
      <c r="H1262">
        <v>1</v>
      </c>
      <c r="I1262" s="21">
        <v>10450.549999999999</v>
      </c>
      <c r="J1262" t="str">
        <f t="shared" si="96"/>
        <v>tier - 3</v>
      </c>
      <c r="K1262" t="s">
        <v>12</v>
      </c>
      <c r="L1262" t="str">
        <f t="shared" si="97"/>
        <v>tier - 1</v>
      </c>
      <c r="M1262" t="s">
        <v>16</v>
      </c>
      <c r="N1262" t="str">
        <f t="shared" si="98"/>
        <v>R1011</v>
      </c>
      <c r="O1262" t="s">
        <v>42</v>
      </c>
    </row>
    <row r="1263" spans="1:15" x14ac:dyDescent="0.35">
      <c r="A1263" t="s">
        <v>1294</v>
      </c>
      <c r="C1263">
        <f t="shared" si="95"/>
        <v>1964</v>
      </c>
      <c r="D1263">
        <v>1964</v>
      </c>
      <c r="E1263" t="str">
        <f t="shared" si="99"/>
        <v>Oct</v>
      </c>
      <c r="F1263" t="s">
        <v>37</v>
      </c>
      <c r="G1263">
        <v>14</v>
      </c>
      <c r="H1263">
        <v>0</v>
      </c>
      <c r="I1263" s="21">
        <v>10455.1</v>
      </c>
      <c r="J1263" t="str">
        <f t="shared" si="96"/>
        <v>tier - 3</v>
      </c>
      <c r="K1263" t="s">
        <v>12</v>
      </c>
      <c r="L1263" t="str">
        <f t="shared" si="97"/>
        <v>tier - 1</v>
      </c>
      <c r="M1263" t="s">
        <v>16</v>
      </c>
      <c r="N1263" t="str">
        <f t="shared" si="98"/>
        <v>R1012</v>
      </c>
      <c r="O1263" t="s">
        <v>23</v>
      </c>
    </row>
    <row r="1264" spans="1:15" x14ac:dyDescent="0.35">
      <c r="A1264" t="s">
        <v>1295</v>
      </c>
      <c r="C1264">
        <f t="shared" si="95"/>
        <v>1976</v>
      </c>
      <c r="D1264">
        <v>1976</v>
      </c>
      <c r="E1264" t="str">
        <f t="shared" si="99"/>
        <v>Aug</v>
      </c>
      <c r="F1264" t="s">
        <v>35</v>
      </c>
      <c r="G1264">
        <v>3</v>
      </c>
      <c r="H1264">
        <v>2</v>
      </c>
      <c r="I1264" s="21">
        <v>10455.14</v>
      </c>
      <c r="J1264" t="str">
        <f t="shared" si="96"/>
        <v>tier - 3</v>
      </c>
      <c r="K1264" t="s">
        <v>12</v>
      </c>
      <c r="L1264" t="str">
        <f t="shared" si="97"/>
        <v>tier - 2</v>
      </c>
      <c r="M1264" t="s">
        <v>11</v>
      </c>
      <c r="N1264" t="str">
        <f t="shared" si="98"/>
        <v>R1021</v>
      </c>
      <c r="O1264" t="s">
        <v>300</v>
      </c>
    </row>
    <row r="1265" spans="1:15" x14ac:dyDescent="0.35">
      <c r="A1265" t="s">
        <v>1296</v>
      </c>
      <c r="C1265">
        <f t="shared" si="95"/>
        <v>1964</v>
      </c>
      <c r="D1265">
        <v>1964</v>
      </c>
      <c r="E1265" t="str">
        <f t="shared" si="99"/>
        <v>Jul</v>
      </c>
      <c r="F1265" t="s">
        <v>10</v>
      </c>
      <c r="G1265">
        <v>27</v>
      </c>
      <c r="H1265">
        <v>0</v>
      </c>
      <c r="I1265" s="21">
        <v>10459.19</v>
      </c>
      <c r="J1265" t="str">
        <f t="shared" si="96"/>
        <v>tier - 3</v>
      </c>
      <c r="K1265" t="s">
        <v>12</v>
      </c>
      <c r="L1265" t="str">
        <f t="shared" si="97"/>
        <v>tier - 1</v>
      </c>
      <c r="M1265" t="s">
        <v>16</v>
      </c>
      <c r="N1265" t="str">
        <f t="shared" si="98"/>
        <v>R1013</v>
      </c>
      <c r="O1265" t="s">
        <v>13</v>
      </c>
    </row>
    <row r="1266" spans="1:15" x14ac:dyDescent="0.35">
      <c r="A1266" t="s">
        <v>1297</v>
      </c>
      <c r="C1266">
        <f t="shared" si="95"/>
        <v>1969</v>
      </c>
      <c r="D1266">
        <v>1969</v>
      </c>
      <c r="E1266" t="str">
        <f t="shared" si="99"/>
        <v>Sep</v>
      </c>
      <c r="F1266" t="s">
        <v>20</v>
      </c>
      <c r="G1266">
        <v>22</v>
      </c>
      <c r="H1266">
        <v>1</v>
      </c>
      <c r="I1266" s="21">
        <v>10461.98</v>
      </c>
      <c r="J1266" t="str">
        <f t="shared" si="96"/>
        <v>tier - 3</v>
      </c>
      <c r="K1266" t="s">
        <v>12</v>
      </c>
      <c r="L1266" t="str">
        <f t="shared" si="97"/>
        <v>tier - 1</v>
      </c>
      <c r="M1266" t="s">
        <v>16</v>
      </c>
      <c r="N1266" t="str">
        <f t="shared" si="98"/>
        <v>R1012</v>
      </c>
      <c r="O1266" t="s">
        <v>23</v>
      </c>
    </row>
    <row r="1267" spans="1:15" x14ac:dyDescent="0.35">
      <c r="A1267" t="s">
        <v>1298</v>
      </c>
      <c r="C1267">
        <f t="shared" si="95"/>
        <v>1987</v>
      </c>
      <c r="D1267">
        <v>1987</v>
      </c>
      <c r="E1267" t="str">
        <f t="shared" si="99"/>
        <v>Jun</v>
      </c>
      <c r="F1267" t="s">
        <v>18</v>
      </c>
      <c r="G1267">
        <v>28</v>
      </c>
      <c r="H1267">
        <v>3</v>
      </c>
      <c r="I1267" s="21">
        <v>10464.83</v>
      </c>
      <c r="J1267" t="str">
        <f t="shared" si="96"/>
        <v>tier - 3</v>
      </c>
      <c r="K1267" t="s">
        <v>12</v>
      </c>
      <c r="L1267" t="str">
        <f t="shared" si="97"/>
        <v>tier - 1</v>
      </c>
      <c r="M1267" t="s">
        <v>16</v>
      </c>
      <c r="N1267" t="str">
        <f t="shared" si="98"/>
        <v>R1012</v>
      </c>
      <c r="O1267" t="s">
        <v>23</v>
      </c>
    </row>
    <row r="1268" spans="1:15" x14ac:dyDescent="0.35">
      <c r="A1268" t="s">
        <v>1299</v>
      </c>
      <c r="C1268">
        <f t="shared" si="95"/>
        <v>1978</v>
      </c>
      <c r="D1268">
        <v>1978</v>
      </c>
      <c r="E1268" t="str">
        <f t="shared" si="99"/>
        <v>Aug</v>
      </c>
      <c r="F1268" t="s">
        <v>35</v>
      </c>
      <c r="G1268">
        <v>21</v>
      </c>
      <c r="H1268">
        <v>2</v>
      </c>
      <c r="I1268" s="21">
        <v>10486.55</v>
      </c>
      <c r="J1268" t="str">
        <f t="shared" si="96"/>
        <v>tier - 3</v>
      </c>
      <c r="K1268" t="s">
        <v>12</v>
      </c>
      <c r="L1268" t="str">
        <f t="shared" si="97"/>
        <v>tier - 3</v>
      </c>
      <c r="M1268" t="s">
        <v>12</v>
      </c>
      <c r="N1268" t="str">
        <f t="shared" si="98"/>
        <v>R1025</v>
      </c>
      <c r="O1268" t="s">
        <v>200</v>
      </c>
    </row>
    <row r="1269" spans="1:15" x14ac:dyDescent="0.35">
      <c r="A1269" t="s">
        <v>1300</v>
      </c>
      <c r="C1269">
        <f t="shared" si="95"/>
        <v>1972</v>
      </c>
      <c r="D1269">
        <v>1972</v>
      </c>
      <c r="E1269" t="str">
        <f t="shared" si="99"/>
        <v>Oct</v>
      </c>
      <c r="F1269" t="s">
        <v>37</v>
      </c>
      <c r="G1269">
        <v>19</v>
      </c>
      <c r="H1269">
        <v>2</v>
      </c>
      <c r="I1269" s="21">
        <v>10493.95</v>
      </c>
      <c r="J1269" t="str">
        <f t="shared" si="96"/>
        <v>tier - 3</v>
      </c>
      <c r="K1269" t="s">
        <v>12</v>
      </c>
      <c r="L1269" t="str">
        <f t="shared" si="97"/>
        <v>tier - 1</v>
      </c>
      <c r="M1269" t="s">
        <v>16</v>
      </c>
      <c r="N1269" t="str">
        <f t="shared" si="98"/>
        <v>R1012</v>
      </c>
      <c r="O1269" t="s">
        <v>23</v>
      </c>
    </row>
    <row r="1270" spans="1:15" x14ac:dyDescent="0.35">
      <c r="A1270" t="s">
        <v>1301</v>
      </c>
      <c r="C1270">
        <f t="shared" si="95"/>
        <v>1977</v>
      </c>
      <c r="D1270">
        <v>1977</v>
      </c>
      <c r="E1270" t="str">
        <f t="shared" si="99"/>
        <v>Oct</v>
      </c>
      <c r="F1270" t="s">
        <v>37</v>
      </c>
      <c r="G1270">
        <v>25</v>
      </c>
      <c r="H1270">
        <v>2</v>
      </c>
      <c r="I1270" s="21">
        <v>10495.6</v>
      </c>
      <c r="J1270" t="str">
        <f t="shared" si="96"/>
        <v>tier - 3</v>
      </c>
      <c r="K1270" t="s">
        <v>12</v>
      </c>
      <c r="L1270" t="str">
        <f t="shared" si="97"/>
        <v>tier - 1</v>
      </c>
      <c r="M1270" t="s">
        <v>16</v>
      </c>
      <c r="N1270" t="str">
        <f t="shared" si="98"/>
        <v>R1012</v>
      </c>
      <c r="O1270" t="s">
        <v>23</v>
      </c>
    </row>
    <row r="1271" spans="1:15" x14ac:dyDescent="0.35">
      <c r="A1271" t="s">
        <v>1302</v>
      </c>
      <c r="C1271">
        <f t="shared" si="95"/>
        <v>1971</v>
      </c>
      <c r="D1271">
        <v>1971</v>
      </c>
      <c r="E1271" t="str">
        <f t="shared" si="99"/>
        <v>Sep</v>
      </c>
      <c r="F1271" t="s">
        <v>20</v>
      </c>
      <c r="G1271">
        <v>26</v>
      </c>
      <c r="H1271">
        <v>0</v>
      </c>
      <c r="I1271" s="21">
        <v>10546.48</v>
      </c>
      <c r="J1271" t="str">
        <f t="shared" si="96"/>
        <v>tier - 3</v>
      </c>
      <c r="K1271" t="s">
        <v>12</v>
      </c>
      <c r="L1271" t="str">
        <f t="shared" si="97"/>
        <v>tier - 3</v>
      </c>
      <c r="M1271" t="s">
        <v>12</v>
      </c>
      <c r="N1271" t="str">
        <f t="shared" si="98"/>
        <v>R1011</v>
      </c>
      <c r="O1271" t="s">
        <v>42</v>
      </c>
    </row>
    <row r="1272" spans="1:15" x14ac:dyDescent="0.35">
      <c r="A1272" t="s">
        <v>1303</v>
      </c>
      <c r="C1272">
        <f t="shared" si="95"/>
        <v>1971</v>
      </c>
      <c r="D1272">
        <v>1971</v>
      </c>
      <c r="E1272" t="str">
        <f t="shared" si="99"/>
        <v>Jun</v>
      </c>
      <c r="F1272" t="s">
        <v>18</v>
      </c>
      <c r="G1272">
        <v>29</v>
      </c>
      <c r="H1272">
        <v>3</v>
      </c>
      <c r="I1272" s="21">
        <v>10560.49</v>
      </c>
      <c r="J1272" t="str">
        <f t="shared" si="96"/>
        <v>tier - 3</v>
      </c>
      <c r="K1272" t="s">
        <v>12</v>
      </c>
      <c r="L1272" t="str">
        <f t="shared" si="97"/>
        <v>tier - 2</v>
      </c>
      <c r="M1272" t="s">
        <v>11</v>
      </c>
      <c r="N1272" t="str">
        <f t="shared" si="98"/>
        <v>R1013</v>
      </c>
      <c r="O1272" t="s">
        <v>13</v>
      </c>
    </row>
    <row r="1273" spans="1:15" x14ac:dyDescent="0.35">
      <c r="A1273" t="s">
        <v>1304</v>
      </c>
      <c r="C1273">
        <f t="shared" si="95"/>
        <v>1969</v>
      </c>
      <c r="D1273">
        <v>1969</v>
      </c>
      <c r="E1273" t="str">
        <f t="shared" si="99"/>
        <v>Jul</v>
      </c>
      <c r="F1273" t="s">
        <v>10</v>
      </c>
      <c r="G1273">
        <v>17</v>
      </c>
      <c r="H1273">
        <v>0</v>
      </c>
      <c r="I1273" s="21">
        <v>10564.88</v>
      </c>
      <c r="J1273" t="str">
        <f t="shared" si="96"/>
        <v>tier - 3</v>
      </c>
      <c r="K1273" t="s">
        <v>12</v>
      </c>
      <c r="L1273" t="str">
        <f t="shared" si="97"/>
        <v>tier - 1</v>
      </c>
      <c r="M1273" t="s">
        <v>16</v>
      </c>
      <c r="N1273" t="str">
        <f t="shared" si="98"/>
        <v>R1024</v>
      </c>
      <c r="O1273" t="s">
        <v>247</v>
      </c>
    </row>
    <row r="1274" spans="1:15" x14ac:dyDescent="0.35">
      <c r="A1274" t="s">
        <v>1305</v>
      </c>
      <c r="C1274">
        <f t="shared" si="95"/>
        <v>1966</v>
      </c>
      <c r="D1274">
        <v>1966</v>
      </c>
      <c r="E1274" t="str">
        <f t="shared" si="99"/>
        <v>Dec</v>
      </c>
      <c r="F1274" t="s">
        <v>30</v>
      </c>
      <c r="G1274">
        <v>11</v>
      </c>
      <c r="H1274">
        <v>0</v>
      </c>
      <c r="I1274" s="21">
        <v>10577.09</v>
      </c>
      <c r="J1274" t="str">
        <f t="shared" si="96"/>
        <v>tier - 3</v>
      </c>
      <c r="K1274" t="s">
        <v>12</v>
      </c>
      <c r="L1274" t="str">
        <f t="shared" si="97"/>
        <v>tier - 3</v>
      </c>
      <c r="M1274" t="s">
        <v>12</v>
      </c>
      <c r="N1274" t="str">
        <f t="shared" si="98"/>
        <v>R1011</v>
      </c>
      <c r="O1274" t="s">
        <v>42</v>
      </c>
    </row>
    <row r="1275" spans="1:15" x14ac:dyDescent="0.35">
      <c r="A1275" t="s">
        <v>1306</v>
      </c>
      <c r="C1275">
        <f t="shared" si="95"/>
        <v>1969</v>
      </c>
      <c r="D1275">
        <v>1969</v>
      </c>
      <c r="E1275" t="str">
        <f t="shared" si="99"/>
        <v>Dec</v>
      </c>
      <c r="F1275" t="s">
        <v>30</v>
      </c>
      <c r="G1275">
        <v>25</v>
      </c>
      <c r="H1275">
        <v>1</v>
      </c>
      <c r="I1275" s="21">
        <v>10579.71</v>
      </c>
      <c r="J1275" t="str">
        <f t="shared" si="96"/>
        <v>tier - 3</v>
      </c>
      <c r="K1275" t="s">
        <v>12</v>
      </c>
      <c r="L1275" t="str">
        <f t="shared" si="97"/>
        <v>tier - 3</v>
      </c>
      <c r="M1275" t="s">
        <v>12</v>
      </c>
      <c r="N1275" t="str">
        <f t="shared" si="98"/>
        <v>R1013</v>
      </c>
      <c r="O1275" t="s">
        <v>13</v>
      </c>
    </row>
    <row r="1276" spans="1:15" x14ac:dyDescent="0.35">
      <c r="A1276" t="s">
        <v>1307</v>
      </c>
      <c r="C1276">
        <f t="shared" si="95"/>
        <v>1966</v>
      </c>
      <c r="D1276">
        <v>1966</v>
      </c>
      <c r="E1276" t="str">
        <f t="shared" si="99"/>
        <v>Nov</v>
      </c>
      <c r="F1276" t="s">
        <v>15</v>
      </c>
      <c r="G1276">
        <v>3</v>
      </c>
      <c r="H1276">
        <v>0</v>
      </c>
      <c r="I1276" s="21">
        <v>10594.23</v>
      </c>
      <c r="J1276" t="str">
        <f t="shared" si="96"/>
        <v>tier - 3</v>
      </c>
      <c r="K1276" t="s">
        <v>12</v>
      </c>
      <c r="L1276" t="str">
        <f t="shared" si="97"/>
        <v>tier - 3</v>
      </c>
      <c r="M1276" t="s">
        <v>12</v>
      </c>
      <c r="N1276" t="str">
        <f t="shared" si="98"/>
        <v>R1013</v>
      </c>
      <c r="O1276" t="s">
        <v>13</v>
      </c>
    </row>
    <row r="1277" spans="1:15" x14ac:dyDescent="0.35">
      <c r="A1277" t="s">
        <v>1308</v>
      </c>
      <c r="C1277">
        <f t="shared" si="95"/>
        <v>1967</v>
      </c>
      <c r="D1277">
        <v>1967</v>
      </c>
      <c r="E1277" t="str">
        <f t="shared" si="99"/>
        <v>Nov</v>
      </c>
      <c r="F1277" t="s">
        <v>15</v>
      </c>
      <c r="G1277">
        <v>29</v>
      </c>
      <c r="H1277">
        <v>0</v>
      </c>
      <c r="I1277" s="21">
        <v>10594.5</v>
      </c>
      <c r="J1277" t="str">
        <f t="shared" si="96"/>
        <v>tier - 3</v>
      </c>
      <c r="K1277" t="s">
        <v>12</v>
      </c>
      <c r="L1277" t="str">
        <f t="shared" si="97"/>
        <v>tier - 1</v>
      </c>
      <c r="M1277" t="s">
        <v>16</v>
      </c>
      <c r="N1277" t="str">
        <f t="shared" si="98"/>
        <v>R1012</v>
      </c>
      <c r="O1277" t="s">
        <v>23</v>
      </c>
    </row>
    <row r="1278" spans="1:15" x14ac:dyDescent="0.35">
      <c r="A1278" t="s">
        <v>1309</v>
      </c>
      <c r="C1278">
        <f t="shared" si="95"/>
        <v>1972</v>
      </c>
      <c r="D1278">
        <v>1972</v>
      </c>
      <c r="E1278" t="str">
        <f t="shared" si="99"/>
        <v>Dec</v>
      </c>
      <c r="F1278" t="s">
        <v>30</v>
      </c>
      <c r="G1278">
        <v>14</v>
      </c>
      <c r="H1278">
        <v>3</v>
      </c>
      <c r="I1278" s="21">
        <v>10600.55</v>
      </c>
      <c r="J1278" t="str">
        <f t="shared" si="96"/>
        <v>tier - 3</v>
      </c>
      <c r="K1278" t="s">
        <v>12</v>
      </c>
      <c r="L1278" t="str">
        <f t="shared" si="97"/>
        <v>tier - 1</v>
      </c>
      <c r="M1278" t="s">
        <v>16</v>
      </c>
      <c r="N1278" t="str">
        <f t="shared" si="98"/>
        <v>R1012</v>
      </c>
      <c r="O1278" t="s">
        <v>23</v>
      </c>
    </row>
    <row r="1279" spans="1:15" x14ac:dyDescent="0.35">
      <c r="A1279" t="s">
        <v>1310</v>
      </c>
      <c r="C1279">
        <f t="shared" si="95"/>
        <v>1966</v>
      </c>
      <c r="D1279">
        <v>1966</v>
      </c>
      <c r="E1279" t="str">
        <f t="shared" si="99"/>
        <v>Jul</v>
      </c>
      <c r="F1279" t="s">
        <v>10</v>
      </c>
      <c r="G1279">
        <v>20</v>
      </c>
      <c r="H1279">
        <v>0</v>
      </c>
      <c r="I1279" s="21">
        <v>10601.41</v>
      </c>
      <c r="J1279" t="str">
        <f t="shared" si="96"/>
        <v>tier - 3</v>
      </c>
      <c r="K1279" t="s">
        <v>12</v>
      </c>
      <c r="L1279" t="str">
        <f t="shared" si="97"/>
        <v>tier - 2</v>
      </c>
      <c r="M1279" t="s">
        <v>11</v>
      </c>
      <c r="N1279" t="str">
        <f t="shared" si="98"/>
        <v>R1011</v>
      </c>
      <c r="O1279" t="s">
        <v>42</v>
      </c>
    </row>
    <row r="1280" spans="1:15" x14ac:dyDescent="0.35">
      <c r="A1280" t="s">
        <v>1311</v>
      </c>
      <c r="C1280">
        <f t="shared" si="95"/>
        <v>1967</v>
      </c>
      <c r="D1280">
        <v>1967</v>
      </c>
      <c r="E1280" t="str">
        <f t="shared" si="99"/>
        <v>Jun</v>
      </c>
      <c r="F1280" t="s">
        <v>18</v>
      </c>
      <c r="G1280">
        <v>23</v>
      </c>
      <c r="H1280">
        <v>0</v>
      </c>
      <c r="I1280" s="21">
        <v>10601.63</v>
      </c>
      <c r="J1280" t="str">
        <f t="shared" si="96"/>
        <v>tier - 3</v>
      </c>
      <c r="K1280" t="s">
        <v>12</v>
      </c>
      <c r="L1280" t="str">
        <f t="shared" si="97"/>
        <v>tier - 2</v>
      </c>
      <c r="M1280" t="s">
        <v>11</v>
      </c>
      <c r="N1280" t="str">
        <f t="shared" si="98"/>
        <v>R1012</v>
      </c>
      <c r="O1280" t="s">
        <v>23</v>
      </c>
    </row>
    <row r="1281" spans="1:15" x14ac:dyDescent="0.35">
      <c r="A1281" t="s">
        <v>1312</v>
      </c>
      <c r="C1281">
        <f t="shared" si="95"/>
        <v>1966</v>
      </c>
      <c r="D1281">
        <v>1966</v>
      </c>
      <c r="E1281" t="str">
        <f t="shared" si="99"/>
        <v>Jul</v>
      </c>
      <c r="F1281" t="s">
        <v>10</v>
      </c>
      <c r="G1281">
        <v>2</v>
      </c>
      <c r="H1281">
        <v>0</v>
      </c>
      <c r="I1281" s="21">
        <v>10602.39</v>
      </c>
      <c r="J1281" t="str">
        <f t="shared" si="96"/>
        <v>tier - 3</v>
      </c>
      <c r="K1281" t="s">
        <v>12</v>
      </c>
      <c r="L1281" t="str">
        <f t="shared" si="97"/>
        <v>tier - 3</v>
      </c>
      <c r="M1281" t="s">
        <v>12</v>
      </c>
      <c r="N1281" t="str">
        <f t="shared" si="98"/>
        <v>R1011</v>
      </c>
      <c r="O1281" t="s">
        <v>42</v>
      </c>
    </row>
    <row r="1282" spans="1:15" x14ac:dyDescent="0.35">
      <c r="A1282" t="s">
        <v>1313</v>
      </c>
      <c r="C1282">
        <f t="shared" si="95"/>
        <v>1965</v>
      </c>
      <c r="D1282">
        <v>1965</v>
      </c>
      <c r="E1282" t="str">
        <f t="shared" si="99"/>
        <v>Jun</v>
      </c>
      <c r="F1282" t="s">
        <v>18</v>
      </c>
      <c r="G1282">
        <v>27</v>
      </c>
      <c r="H1282">
        <v>0</v>
      </c>
      <c r="I1282" s="21">
        <v>10608.67</v>
      </c>
      <c r="J1282" t="str">
        <f t="shared" si="96"/>
        <v>tier - 3</v>
      </c>
      <c r="K1282" t="s">
        <v>12</v>
      </c>
      <c r="L1282" t="str">
        <f t="shared" si="97"/>
        <v>tier - 3</v>
      </c>
      <c r="M1282" t="s">
        <v>12</v>
      </c>
      <c r="N1282" t="str">
        <f t="shared" si="98"/>
        <v>R1012</v>
      </c>
      <c r="O1282" t="s">
        <v>23</v>
      </c>
    </row>
    <row r="1283" spans="1:15" x14ac:dyDescent="0.35">
      <c r="A1283" t="s">
        <v>1314</v>
      </c>
      <c r="C1283">
        <f t="shared" ref="C1283:C1346" si="100">IF(OR(D1283="?", ISBLANK(D1283)), 1983, D1283)</f>
        <v>1992</v>
      </c>
      <c r="D1283">
        <v>1992</v>
      </c>
      <c r="E1283" t="str">
        <f t="shared" si="99"/>
        <v>Jul</v>
      </c>
      <c r="F1283" t="s">
        <v>10</v>
      </c>
      <c r="G1283">
        <v>23</v>
      </c>
      <c r="H1283">
        <v>0</v>
      </c>
      <c r="I1283" s="21">
        <v>10617.04</v>
      </c>
      <c r="J1283" t="str">
        <f t="shared" ref="J1283:J1346" si="101">IF(OR(K1283="?", ISBLANK(K1283)), "Tier 2", K1283)</f>
        <v>tier - 3</v>
      </c>
      <c r="K1283" t="s">
        <v>12</v>
      </c>
      <c r="L1283" t="str">
        <f t="shared" ref="L1283:L1346" si="102">IF(OR(M1283="?", ISBLANK(M1283)), "Tier 2", M1283)</f>
        <v>tier - 3</v>
      </c>
      <c r="M1283" t="s">
        <v>12</v>
      </c>
      <c r="N1283" t="str">
        <f t="shared" ref="N1283:N1346" si="103">IF(OR(O1283="?", ISBLANK(O1283)), "Unknown", O1283)</f>
        <v>R1026</v>
      </c>
      <c r="O1283" t="s">
        <v>535</v>
      </c>
    </row>
    <row r="1284" spans="1:15" x14ac:dyDescent="0.35">
      <c r="A1284" t="s">
        <v>1315</v>
      </c>
      <c r="C1284">
        <f t="shared" si="100"/>
        <v>1990</v>
      </c>
      <c r="D1284">
        <v>1990</v>
      </c>
      <c r="E1284" t="str">
        <f t="shared" ref="E1284:E1347" si="104">IF(OR(F1284="?", ISBLANK(F1284)), "Sep", F1284)</f>
        <v>Jul</v>
      </c>
      <c r="F1284" t="s">
        <v>10</v>
      </c>
      <c r="G1284">
        <v>6</v>
      </c>
      <c r="H1284">
        <v>3</v>
      </c>
      <c r="I1284" s="21">
        <v>10620.26</v>
      </c>
      <c r="J1284" t="str">
        <f t="shared" si="101"/>
        <v>tier - 3</v>
      </c>
      <c r="K1284" t="s">
        <v>12</v>
      </c>
      <c r="L1284" t="str">
        <f t="shared" si="102"/>
        <v>tier - 3</v>
      </c>
      <c r="M1284" t="s">
        <v>12</v>
      </c>
      <c r="N1284" t="str">
        <f t="shared" si="103"/>
        <v>R1012</v>
      </c>
      <c r="O1284" t="s">
        <v>23</v>
      </c>
    </row>
    <row r="1285" spans="1:15" x14ac:dyDescent="0.35">
      <c r="A1285" t="s">
        <v>1316</v>
      </c>
      <c r="C1285">
        <f t="shared" si="100"/>
        <v>1964</v>
      </c>
      <c r="D1285">
        <v>1964</v>
      </c>
      <c r="E1285" t="str">
        <f t="shared" si="104"/>
        <v>Aug</v>
      </c>
      <c r="F1285" t="s">
        <v>35</v>
      </c>
      <c r="G1285">
        <v>8</v>
      </c>
      <c r="H1285">
        <v>0</v>
      </c>
      <c r="I1285" s="21">
        <v>10627.81</v>
      </c>
      <c r="J1285" t="str">
        <f t="shared" si="101"/>
        <v>tier - 3</v>
      </c>
      <c r="K1285" t="s">
        <v>12</v>
      </c>
      <c r="L1285" t="str">
        <f t="shared" si="102"/>
        <v>tier - 3</v>
      </c>
      <c r="M1285" t="s">
        <v>12</v>
      </c>
      <c r="N1285" t="str">
        <f t="shared" si="103"/>
        <v>R1013</v>
      </c>
      <c r="O1285" t="s">
        <v>13</v>
      </c>
    </row>
    <row r="1286" spans="1:15" x14ac:dyDescent="0.35">
      <c r="A1286" t="s">
        <v>1317</v>
      </c>
      <c r="C1286">
        <f t="shared" si="100"/>
        <v>1976</v>
      </c>
      <c r="D1286">
        <v>1976</v>
      </c>
      <c r="E1286" t="str">
        <f t="shared" si="104"/>
        <v>Nov</v>
      </c>
      <c r="F1286" t="s">
        <v>15</v>
      </c>
      <c r="G1286">
        <v>22</v>
      </c>
      <c r="H1286">
        <v>2</v>
      </c>
      <c r="I1286" s="21">
        <v>10665.44</v>
      </c>
      <c r="J1286" t="str">
        <f t="shared" si="101"/>
        <v>tier - 3</v>
      </c>
      <c r="K1286" t="s">
        <v>12</v>
      </c>
      <c r="L1286" t="str">
        <f t="shared" si="102"/>
        <v>tier - 2</v>
      </c>
      <c r="M1286" t="s">
        <v>11</v>
      </c>
      <c r="N1286" t="str">
        <f t="shared" si="103"/>
        <v>R1021</v>
      </c>
      <c r="O1286" t="s">
        <v>300</v>
      </c>
    </row>
    <row r="1287" spans="1:15" x14ac:dyDescent="0.35">
      <c r="A1287" t="s">
        <v>1318</v>
      </c>
      <c r="C1287">
        <f t="shared" si="100"/>
        <v>1962</v>
      </c>
      <c r="D1287">
        <v>1962</v>
      </c>
      <c r="E1287" t="str">
        <f t="shared" si="104"/>
        <v>Sep</v>
      </c>
      <c r="F1287" t="s">
        <v>20</v>
      </c>
      <c r="G1287">
        <v>7</v>
      </c>
      <c r="H1287">
        <v>0</v>
      </c>
      <c r="I1287" s="21">
        <v>10676.83</v>
      </c>
      <c r="J1287" t="str">
        <f t="shared" si="101"/>
        <v>tier - 3</v>
      </c>
      <c r="K1287" t="s">
        <v>12</v>
      </c>
      <c r="L1287" t="str">
        <f t="shared" si="102"/>
        <v>tier - 3</v>
      </c>
      <c r="M1287" t="s">
        <v>12</v>
      </c>
      <c r="N1287" t="str">
        <f t="shared" si="103"/>
        <v>R1013</v>
      </c>
      <c r="O1287" t="s">
        <v>13</v>
      </c>
    </row>
    <row r="1288" spans="1:15" x14ac:dyDescent="0.35">
      <c r="A1288" t="s">
        <v>1319</v>
      </c>
      <c r="C1288">
        <f t="shared" si="100"/>
        <v>1977</v>
      </c>
      <c r="D1288">
        <v>1977</v>
      </c>
      <c r="E1288" t="str">
        <f t="shared" si="104"/>
        <v>Aug</v>
      </c>
      <c r="F1288" t="s">
        <v>35</v>
      </c>
      <c r="G1288">
        <v>2</v>
      </c>
      <c r="H1288">
        <v>2</v>
      </c>
      <c r="I1288" s="21">
        <v>10690.11</v>
      </c>
      <c r="J1288" t="str">
        <f t="shared" si="101"/>
        <v>tier - 3</v>
      </c>
      <c r="K1288" t="s">
        <v>12</v>
      </c>
      <c r="L1288" t="str">
        <f t="shared" si="102"/>
        <v>tier - 2</v>
      </c>
      <c r="M1288" t="s">
        <v>11</v>
      </c>
      <c r="N1288" t="str">
        <f t="shared" si="103"/>
        <v>R1021</v>
      </c>
      <c r="O1288" t="s">
        <v>300</v>
      </c>
    </row>
    <row r="1289" spans="1:15" x14ac:dyDescent="0.35">
      <c r="A1289" t="s">
        <v>1320</v>
      </c>
      <c r="C1289">
        <f t="shared" si="100"/>
        <v>1976</v>
      </c>
      <c r="D1289">
        <v>1976</v>
      </c>
      <c r="E1289" t="str">
        <f t="shared" si="104"/>
        <v>Sep</v>
      </c>
      <c r="F1289" t="s">
        <v>20</v>
      </c>
      <c r="G1289">
        <v>30</v>
      </c>
      <c r="H1289">
        <v>2</v>
      </c>
      <c r="I1289" s="21">
        <v>10698.38</v>
      </c>
      <c r="J1289" t="str">
        <f t="shared" si="101"/>
        <v>tier - 3</v>
      </c>
      <c r="K1289" t="s">
        <v>12</v>
      </c>
      <c r="L1289" t="str">
        <f t="shared" si="102"/>
        <v>tier - 1</v>
      </c>
      <c r="M1289" t="s">
        <v>16</v>
      </c>
      <c r="N1289" t="str">
        <f t="shared" si="103"/>
        <v>R1025</v>
      </c>
      <c r="O1289" t="s">
        <v>200</v>
      </c>
    </row>
    <row r="1290" spans="1:15" x14ac:dyDescent="0.35">
      <c r="A1290" t="s">
        <v>1321</v>
      </c>
      <c r="C1290">
        <f t="shared" si="100"/>
        <v>1972</v>
      </c>
      <c r="D1290">
        <v>1972</v>
      </c>
      <c r="E1290" t="str">
        <f t="shared" si="104"/>
        <v>Oct</v>
      </c>
      <c r="F1290" t="s">
        <v>37</v>
      </c>
      <c r="G1290">
        <v>24</v>
      </c>
      <c r="H1290">
        <v>3</v>
      </c>
      <c r="I1290" s="21">
        <v>10702.64</v>
      </c>
      <c r="J1290" t="str">
        <f t="shared" si="101"/>
        <v>tier - 3</v>
      </c>
      <c r="K1290" t="s">
        <v>12</v>
      </c>
      <c r="L1290" t="str">
        <f t="shared" si="102"/>
        <v>tier - 3</v>
      </c>
      <c r="M1290" t="s">
        <v>12</v>
      </c>
      <c r="N1290" t="str">
        <f t="shared" si="103"/>
        <v>R1013</v>
      </c>
      <c r="O1290" t="s">
        <v>13</v>
      </c>
    </row>
    <row r="1291" spans="1:15" x14ac:dyDescent="0.35">
      <c r="A1291" t="s">
        <v>1322</v>
      </c>
      <c r="C1291">
        <f t="shared" si="100"/>
        <v>1967</v>
      </c>
      <c r="D1291">
        <v>1967</v>
      </c>
      <c r="E1291" t="str">
        <f t="shared" si="104"/>
        <v>Jul</v>
      </c>
      <c r="F1291" t="s">
        <v>10</v>
      </c>
      <c r="G1291">
        <v>30</v>
      </c>
      <c r="H1291">
        <v>0</v>
      </c>
      <c r="I1291" s="21">
        <v>10704.47</v>
      </c>
      <c r="J1291" t="str">
        <f t="shared" si="101"/>
        <v>tier - 3</v>
      </c>
      <c r="K1291" t="s">
        <v>12</v>
      </c>
      <c r="L1291" t="str">
        <f t="shared" si="102"/>
        <v>tier - 2</v>
      </c>
      <c r="M1291" t="s">
        <v>11</v>
      </c>
      <c r="N1291" t="str">
        <f t="shared" si="103"/>
        <v>R1011</v>
      </c>
      <c r="O1291" t="s">
        <v>42</v>
      </c>
    </row>
    <row r="1292" spans="1:15" x14ac:dyDescent="0.35">
      <c r="A1292" t="s">
        <v>1323</v>
      </c>
      <c r="C1292">
        <f t="shared" si="100"/>
        <v>1967</v>
      </c>
      <c r="D1292">
        <v>1967</v>
      </c>
      <c r="E1292" t="str">
        <f t="shared" si="104"/>
        <v>Oct</v>
      </c>
      <c r="F1292" t="s">
        <v>37</v>
      </c>
      <c r="G1292">
        <v>5</v>
      </c>
      <c r="H1292">
        <v>0</v>
      </c>
      <c r="I1292" s="21">
        <v>10713.64</v>
      </c>
      <c r="J1292" t="str">
        <f t="shared" si="101"/>
        <v>tier - 3</v>
      </c>
      <c r="K1292" t="s">
        <v>12</v>
      </c>
      <c r="L1292" t="str">
        <f t="shared" si="102"/>
        <v>tier - 3</v>
      </c>
      <c r="M1292" t="s">
        <v>12</v>
      </c>
      <c r="N1292" t="str">
        <f t="shared" si="103"/>
        <v>R1011</v>
      </c>
      <c r="O1292" t="s">
        <v>42</v>
      </c>
    </row>
    <row r="1293" spans="1:15" x14ac:dyDescent="0.35">
      <c r="A1293" t="s">
        <v>1324</v>
      </c>
      <c r="C1293">
        <f t="shared" si="100"/>
        <v>1992</v>
      </c>
      <c r="D1293">
        <v>1992</v>
      </c>
      <c r="E1293" t="str">
        <f t="shared" si="104"/>
        <v>Jun</v>
      </c>
      <c r="F1293" t="s">
        <v>18</v>
      </c>
      <c r="G1293">
        <v>25</v>
      </c>
      <c r="H1293">
        <v>0</v>
      </c>
      <c r="I1293" s="21">
        <v>10719.57</v>
      </c>
      <c r="J1293" t="str">
        <f t="shared" si="101"/>
        <v>tier - 3</v>
      </c>
      <c r="K1293" t="s">
        <v>12</v>
      </c>
      <c r="L1293" t="str">
        <f t="shared" si="102"/>
        <v>tier - 1</v>
      </c>
      <c r="M1293" t="s">
        <v>16</v>
      </c>
      <c r="N1293" t="str">
        <f t="shared" si="103"/>
        <v>R1012</v>
      </c>
      <c r="O1293" t="s">
        <v>23</v>
      </c>
    </row>
    <row r="1294" spans="1:15" x14ac:dyDescent="0.35">
      <c r="A1294" t="s">
        <v>1325</v>
      </c>
      <c r="C1294">
        <f t="shared" si="100"/>
        <v>1974</v>
      </c>
      <c r="D1294">
        <v>1974</v>
      </c>
      <c r="E1294" t="str">
        <f t="shared" si="104"/>
        <v>Dec</v>
      </c>
      <c r="F1294" t="s">
        <v>30</v>
      </c>
      <c r="G1294">
        <v>9</v>
      </c>
      <c r="H1294">
        <v>4</v>
      </c>
      <c r="I1294" s="21">
        <v>10736.87</v>
      </c>
      <c r="J1294" t="str">
        <f t="shared" si="101"/>
        <v>tier - 3</v>
      </c>
      <c r="K1294" t="s">
        <v>12</v>
      </c>
      <c r="L1294" t="str">
        <f t="shared" si="102"/>
        <v>tier - 1</v>
      </c>
      <c r="M1294" t="s">
        <v>16</v>
      </c>
      <c r="N1294" t="str">
        <f t="shared" si="103"/>
        <v>R1016</v>
      </c>
      <c r="O1294" t="s">
        <v>168</v>
      </c>
    </row>
    <row r="1295" spans="1:15" x14ac:dyDescent="0.35">
      <c r="A1295" t="s">
        <v>1326</v>
      </c>
      <c r="C1295">
        <f t="shared" si="100"/>
        <v>1986</v>
      </c>
      <c r="D1295">
        <v>1986</v>
      </c>
      <c r="E1295" t="str">
        <f t="shared" si="104"/>
        <v>Aug</v>
      </c>
      <c r="F1295" t="s">
        <v>35</v>
      </c>
      <c r="G1295">
        <v>29</v>
      </c>
      <c r="H1295">
        <v>3</v>
      </c>
      <c r="I1295" s="21">
        <v>10749.02</v>
      </c>
      <c r="J1295" t="str">
        <f t="shared" si="101"/>
        <v>tier - 3</v>
      </c>
      <c r="K1295" t="s">
        <v>12</v>
      </c>
      <c r="L1295" t="str">
        <f t="shared" si="102"/>
        <v>tier - 1</v>
      </c>
      <c r="M1295" t="s">
        <v>16</v>
      </c>
      <c r="N1295" t="str">
        <f t="shared" si="103"/>
        <v>R1026</v>
      </c>
      <c r="O1295" t="s">
        <v>535</v>
      </c>
    </row>
    <row r="1296" spans="1:15" x14ac:dyDescent="0.35">
      <c r="A1296" t="s">
        <v>1327</v>
      </c>
      <c r="C1296">
        <f t="shared" si="100"/>
        <v>1989</v>
      </c>
      <c r="D1296">
        <v>1989</v>
      </c>
      <c r="E1296" t="str">
        <f t="shared" si="104"/>
        <v>Nov</v>
      </c>
      <c r="F1296" t="s">
        <v>15</v>
      </c>
      <c r="G1296">
        <v>25</v>
      </c>
      <c r="H1296">
        <v>3</v>
      </c>
      <c r="I1296" s="21">
        <v>10769.75</v>
      </c>
      <c r="J1296" t="str">
        <f t="shared" si="101"/>
        <v>tier - 3</v>
      </c>
      <c r="K1296" t="s">
        <v>12</v>
      </c>
      <c r="L1296" t="str">
        <f t="shared" si="102"/>
        <v>tier - 2</v>
      </c>
      <c r="M1296" t="s">
        <v>11</v>
      </c>
      <c r="N1296" t="str">
        <f t="shared" si="103"/>
        <v>R1022</v>
      </c>
      <c r="O1296" t="s">
        <v>632</v>
      </c>
    </row>
    <row r="1297" spans="1:15" x14ac:dyDescent="0.35">
      <c r="A1297" t="s">
        <v>1328</v>
      </c>
      <c r="C1297">
        <f t="shared" si="100"/>
        <v>1967</v>
      </c>
      <c r="D1297">
        <v>1967</v>
      </c>
      <c r="E1297" t="str">
        <f t="shared" si="104"/>
        <v>Nov</v>
      </c>
      <c r="F1297" t="s">
        <v>15</v>
      </c>
      <c r="G1297">
        <v>11</v>
      </c>
      <c r="H1297">
        <v>1</v>
      </c>
      <c r="I1297" s="21">
        <v>10791.96</v>
      </c>
      <c r="J1297" t="str">
        <f t="shared" si="101"/>
        <v>tier - 3</v>
      </c>
      <c r="K1297" t="s">
        <v>12</v>
      </c>
      <c r="L1297" t="str">
        <f t="shared" si="102"/>
        <v>tier - 2</v>
      </c>
      <c r="M1297" t="s">
        <v>11</v>
      </c>
      <c r="N1297" t="str">
        <f t="shared" si="103"/>
        <v>R1011</v>
      </c>
      <c r="O1297" t="s">
        <v>42</v>
      </c>
    </row>
    <row r="1298" spans="1:15" x14ac:dyDescent="0.35">
      <c r="A1298" t="s">
        <v>1329</v>
      </c>
      <c r="C1298">
        <f t="shared" si="100"/>
        <v>1999</v>
      </c>
      <c r="D1298">
        <v>1999</v>
      </c>
      <c r="E1298" t="str">
        <f t="shared" si="104"/>
        <v>Dec</v>
      </c>
      <c r="F1298" t="s">
        <v>30</v>
      </c>
      <c r="G1298">
        <v>24</v>
      </c>
      <c r="H1298">
        <v>0</v>
      </c>
      <c r="I1298" s="21">
        <v>10795.94</v>
      </c>
      <c r="J1298" t="str">
        <f t="shared" si="101"/>
        <v>tier - 3</v>
      </c>
      <c r="K1298" t="s">
        <v>12</v>
      </c>
      <c r="L1298" t="str">
        <f t="shared" si="102"/>
        <v>tier - 1</v>
      </c>
      <c r="M1298" t="s">
        <v>16</v>
      </c>
      <c r="N1298" t="str">
        <f t="shared" si="103"/>
        <v>R1011</v>
      </c>
      <c r="O1298" t="s">
        <v>42</v>
      </c>
    </row>
    <row r="1299" spans="1:15" x14ac:dyDescent="0.35">
      <c r="A1299" t="s">
        <v>1330</v>
      </c>
      <c r="C1299">
        <f t="shared" si="100"/>
        <v>1967</v>
      </c>
      <c r="D1299">
        <v>1967</v>
      </c>
      <c r="E1299" t="str">
        <f t="shared" si="104"/>
        <v>Oct</v>
      </c>
      <c r="F1299" t="s">
        <v>37</v>
      </c>
      <c r="G1299">
        <v>23</v>
      </c>
      <c r="H1299">
        <v>0</v>
      </c>
      <c r="I1299" s="21">
        <v>10796.35</v>
      </c>
      <c r="J1299" t="str">
        <f t="shared" si="101"/>
        <v>tier - 3</v>
      </c>
      <c r="K1299" t="s">
        <v>12</v>
      </c>
      <c r="L1299" t="str">
        <f t="shared" si="102"/>
        <v>tier - 1</v>
      </c>
      <c r="M1299" t="s">
        <v>16</v>
      </c>
      <c r="N1299" t="str">
        <f t="shared" si="103"/>
        <v>R1019</v>
      </c>
      <c r="O1299" t="s">
        <v>166</v>
      </c>
    </row>
    <row r="1300" spans="1:15" x14ac:dyDescent="0.35">
      <c r="A1300" t="s">
        <v>1331</v>
      </c>
      <c r="C1300">
        <f t="shared" si="100"/>
        <v>1970</v>
      </c>
      <c r="D1300">
        <v>1970</v>
      </c>
      <c r="E1300" t="str">
        <f t="shared" si="104"/>
        <v>Oct</v>
      </c>
      <c r="F1300" t="s">
        <v>37</v>
      </c>
      <c r="G1300">
        <v>28</v>
      </c>
      <c r="H1300">
        <v>1</v>
      </c>
      <c r="I1300" s="21">
        <v>10797.34</v>
      </c>
      <c r="J1300" t="str">
        <f t="shared" si="101"/>
        <v>tier - 3</v>
      </c>
      <c r="K1300" t="s">
        <v>12</v>
      </c>
      <c r="L1300" t="str">
        <f t="shared" si="102"/>
        <v>tier - 2</v>
      </c>
      <c r="M1300" t="s">
        <v>11</v>
      </c>
      <c r="N1300" t="str">
        <f t="shared" si="103"/>
        <v>R1023</v>
      </c>
      <c r="O1300" t="s">
        <v>249</v>
      </c>
    </row>
    <row r="1301" spans="1:15" x14ac:dyDescent="0.35">
      <c r="A1301" t="s">
        <v>1332</v>
      </c>
      <c r="C1301">
        <f t="shared" si="100"/>
        <v>1970</v>
      </c>
      <c r="D1301">
        <v>1970</v>
      </c>
      <c r="E1301" t="str">
        <f t="shared" si="104"/>
        <v>Dec</v>
      </c>
      <c r="F1301" t="s">
        <v>30</v>
      </c>
      <c r="G1301">
        <v>18</v>
      </c>
      <c r="H1301">
        <v>2</v>
      </c>
      <c r="I1301" s="21">
        <v>10806.84</v>
      </c>
      <c r="J1301" t="str">
        <f t="shared" si="101"/>
        <v>tier - 3</v>
      </c>
      <c r="K1301" t="s">
        <v>12</v>
      </c>
      <c r="L1301" t="str">
        <f t="shared" si="102"/>
        <v>tier - 2</v>
      </c>
      <c r="M1301" t="s">
        <v>11</v>
      </c>
      <c r="N1301" t="str">
        <f t="shared" si="103"/>
        <v>R1011</v>
      </c>
      <c r="O1301" t="s">
        <v>42</v>
      </c>
    </row>
    <row r="1302" spans="1:15" x14ac:dyDescent="0.35">
      <c r="A1302" t="s">
        <v>1333</v>
      </c>
      <c r="C1302">
        <f t="shared" si="100"/>
        <v>1967</v>
      </c>
      <c r="D1302">
        <v>1967</v>
      </c>
      <c r="E1302" t="str">
        <f t="shared" si="104"/>
        <v>Oct</v>
      </c>
      <c r="F1302" t="s">
        <v>37</v>
      </c>
      <c r="G1302">
        <v>2</v>
      </c>
      <c r="H1302">
        <v>1</v>
      </c>
      <c r="I1302" s="21">
        <v>10807.49</v>
      </c>
      <c r="J1302" t="str">
        <f t="shared" si="101"/>
        <v>tier - 3</v>
      </c>
      <c r="K1302" t="s">
        <v>12</v>
      </c>
      <c r="L1302" t="str">
        <f t="shared" si="102"/>
        <v>tier - 2</v>
      </c>
      <c r="M1302" t="s">
        <v>11</v>
      </c>
      <c r="N1302" t="str">
        <f t="shared" si="103"/>
        <v>R1013</v>
      </c>
      <c r="O1302" t="s">
        <v>13</v>
      </c>
    </row>
    <row r="1303" spans="1:15" x14ac:dyDescent="0.35">
      <c r="A1303" t="s">
        <v>1334</v>
      </c>
      <c r="C1303">
        <f t="shared" si="100"/>
        <v>1968</v>
      </c>
      <c r="D1303">
        <v>1968</v>
      </c>
      <c r="E1303" t="str">
        <f t="shared" si="104"/>
        <v>Jul</v>
      </c>
      <c r="F1303" t="s">
        <v>10</v>
      </c>
      <c r="G1303">
        <v>28</v>
      </c>
      <c r="H1303">
        <v>1</v>
      </c>
      <c r="I1303" s="21">
        <v>10825.25</v>
      </c>
      <c r="J1303" t="str">
        <f t="shared" si="101"/>
        <v>tier - 3</v>
      </c>
      <c r="K1303" t="s">
        <v>12</v>
      </c>
      <c r="L1303" t="str">
        <f t="shared" si="102"/>
        <v>tier - 3</v>
      </c>
      <c r="M1303" t="s">
        <v>12</v>
      </c>
      <c r="N1303" t="str">
        <f t="shared" si="103"/>
        <v>R1012</v>
      </c>
      <c r="O1303" t="s">
        <v>23</v>
      </c>
    </row>
    <row r="1304" spans="1:15" x14ac:dyDescent="0.35">
      <c r="A1304" t="s">
        <v>1335</v>
      </c>
      <c r="C1304">
        <f t="shared" si="100"/>
        <v>1971</v>
      </c>
      <c r="D1304">
        <v>1971</v>
      </c>
      <c r="E1304" t="str">
        <f t="shared" si="104"/>
        <v>Dec</v>
      </c>
      <c r="F1304" t="s">
        <v>30</v>
      </c>
      <c r="G1304">
        <v>20</v>
      </c>
      <c r="H1304">
        <v>2</v>
      </c>
      <c r="I1304" s="21">
        <v>10848.13</v>
      </c>
      <c r="J1304" t="str">
        <f t="shared" si="101"/>
        <v>tier - 3</v>
      </c>
      <c r="K1304" t="s">
        <v>12</v>
      </c>
      <c r="L1304" t="str">
        <f t="shared" si="102"/>
        <v>tier - 3</v>
      </c>
      <c r="M1304" t="s">
        <v>12</v>
      </c>
      <c r="N1304" t="str">
        <f t="shared" si="103"/>
        <v>R1012</v>
      </c>
      <c r="O1304" t="s">
        <v>23</v>
      </c>
    </row>
    <row r="1305" spans="1:15" x14ac:dyDescent="0.35">
      <c r="A1305" t="s">
        <v>1336</v>
      </c>
      <c r="C1305">
        <f t="shared" si="100"/>
        <v>1994</v>
      </c>
      <c r="D1305">
        <v>1994</v>
      </c>
      <c r="E1305" t="str">
        <f t="shared" si="104"/>
        <v>Sep</v>
      </c>
      <c r="F1305" t="s">
        <v>20</v>
      </c>
      <c r="G1305">
        <v>6</v>
      </c>
      <c r="H1305">
        <v>0</v>
      </c>
      <c r="I1305" s="21">
        <v>10886.66</v>
      </c>
      <c r="J1305" t="str">
        <f t="shared" si="101"/>
        <v>tier - 3</v>
      </c>
      <c r="K1305" t="s">
        <v>12</v>
      </c>
      <c r="L1305" t="str">
        <f t="shared" si="102"/>
        <v>tier - 3</v>
      </c>
      <c r="M1305" t="s">
        <v>12</v>
      </c>
      <c r="N1305" t="str">
        <f t="shared" si="103"/>
        <v>R1012</v>
      </c>
      <c r="O1305" t="s">
        <v>23</v>
      </c>
    </row>
    <row r="1306" spans="1:15" x14ac:dyDescent="0.35">
      <c r="A1306" t="s">
        <v>1337</v>
      </c>
      <c r="C1306">
        <f t="shared" si="100"/>
        <v>1968</v>
      </c>
      <c r="D1306">
        <v>1968</v>
      </c>
      <c r="E1306" t="str">
        <f t="shared" si="104"/>
        <v>Nov</v>
      </c>
      <c r="F1306" t="s">
        <v>15</v>
      </c>
      <c r="G1306">
        <v>13</v>
      </c>
      <c r="H1306">
        <v>0</v>
      </c>
      <c r="I1306" s="21">
        <v>10923.93</v>
      </c>
      <c r="J1306" t="str">
        <f t="shared" si="101"/>
        <v>tier - 3</v>
      </c>
      <c r="K1306" t="s">
        <v>12</v>
      </c>
      <c r="L1306" t="str">
        <f t="shared" si="102"/>
        <v>tier - 1</v>
      </c>
      <c r="M1306" t="s">
        <v>16</v>
      </c>
      <c r="N1306" t="str">
        <f t="shared" si="103"/>
        <v>R1024</v>
      </c>
      <c r="O1306" t="s">
        <v>247</v>
      </c>
    </row>
    <row r="1307" spans="1:15" x14ac:dyDescent="0.35">
      <c r="A1307" t="s">
        <v>1338</v>
      </c>
      <c r="C1307">
        <f t="shared" si="100"/>
        <v>1968</v>
      </c>
      <c r="D1307">
        <v>1968</v>
      </c>
      <c r="E1307" t="str">
        <f t="shared" si="104"/>
        <v>Nov</v>
      </c>
      <c r="F1307" t="s">
        <v>15</v>
      </c>
      <c r="G1307">
        <v>12</v>
      </c>
      <c r="H1307">
        <v>1</v>
      </c>
      <c r="I1307" s="21">
        <v>10928.85</v>
      </c>
      <c r="J1307" t="str">
        <f t="shared" si="101"/>
        <v>tier - 3</v>
      </c>
      <c r="K1307" t="s">
        <v>12</v>
      </c>
      <c r="L1307" t="str">
        <f t="shared" si="102"/>
        <v>tier - 3</v>
      </c>
      <c r="M1307" t="s">
        <v>12</v>
      </c>
      <c r="N1307" t="str">
        <f t="shared" si="103"/>
        <v>R1013</v>
      </c>
      <c r="O1307" t="s">
        <v>13</v>
      </c>
    </row>
    <row r="1308" spans="1:15" x14ac:dyDescent="0.35">
      <c r="A1308" t="s">
        <v>1339</v>
      </c>
      <c r="C1308">
        <f t="shared" si="100"/>
        <v>1969</v>
      </c>
      <c r="D1308">
        <v>1969</v>
      </c>
      <c r="E1308" t="str">
        <f t="shared" si="104"/>
        <v>Nov</v>
      </c>
      <c r="F1308" t="s">
        <v>15</v>
      </c>
      <c r="G1308">
        <v>10</v>
      </c>
      <c r="H1308">
        <v>1</v>
      </c>
      <c r="I1308" s="21">
        <v>10942.13</v>
      </c>
      <c r="J1308" t="str">
        <f t="shared" si="101"/>
        <v>tier - 3</v>
      </c>
      <c r="K1308" t="s">
        <v>12</v>
      </c>
      <c r="L1308" t="str">
        <f t="shared" si="102"/>
        <v>tier - 3</v>
      </c>
      <c r="M1308" t="s">
        <v>12</v>
      </c>
      <c r="N1308" t="str">
        <f t="shared" si="103"/>
        <v>R1012</v>
      </c>
      <c r="O1308" t="s">
        <v>23</v>
      </c>
    </row>
    <row r="1309" spans="1:15" x14ac:dyDescent="0.35">
      <c r="A1309" t="s">
        <v>1340</v>
      </c>
      <c r="C1309">
        <f t="shared" si="100"/>
        <v>1965</v>
      </c>
      <c r="D1309">
        <v>1965</v>
      </c>
      <c r="E1309" t="str">
        <f t="shared" si="104"/>
        <v>Dec</v>
      </c>
      <c r="F1309" t="s">
        <v>30</v>
      </c>
      <c r="G1309">
        <v>4</v>
      </c>
      <c r="H1309">
        <v>0</v>
      </c>
      <c r="I1309" s="21">
        <v>10959.33</v>
      </c>
      <c r="J1309" t="str">
        <f t="shared" si="101"/>
        <v>tier - 3</v>
      </c>
      <c r="K1309" t="s">
        <v>12</v>
      </c>
      <c r="L1309" t="str">
        <f t="shared" si="102"/>
        <v>tier - 3</v>
      </c>
      <c r="M1309" t="s">
        <v>12</v>
      </c>
      <c r="N1309" t="str">
        <f t="shared" si="103"/>
        <v>R1011</v>
      </c>
      <c r="O1309" t="s">
        <v>42</v>
      </c>
    </row>
    <row r="1310" spans="1:15" x14ac:dyDescent="0.35">
      <c r="A1310" t="s">
        <v>1341</v>
      </c>
      <c r="C1310">
        <f t="shared" si="100"/>
        <v>1969</v>
      </c>
      <c r="D1310">
        <v>1969</v>
      </c>
      <c r="E1310" t="str">
        <f t="shared" si="104"/>
        <v>Aug</v>
      </c>
      <c r="F1310" t="s">
        <v>35</v>
      </c>
      <c r="G1310">
        <v>14</v>
      </c>
      <c r="H1310">
        <v>1</v>
      </c>
      <c r="I1310" s="21">
        <v>10959.69</v>
      </c>
      <c r="J1310" t="str">
        <f t="shared" si="101"/>
        <v>tier - 3</v>
      </c>
      <c r="K1310" t="s">
        <v>12</v>
      </c>
      <c r="L1310" t="str">
        <f t="shared" si="102"/>
        <v>tier - 3</v>
      </c>
      <c r="M1310" t="s">
        <v>12</v>
      </c>
      <c r="N1310" t="str">
        <f t="shared" si="103"/>
        <v>R1012</v>
      </c>
      <c r="O1310" t="s">
        <v>23</v>
      </c>
    </row>
    <row r="1311" spans="1:15" x14ac:dyDescent="0.35">
      <c r="A1311" t="s">
        <v>1342</v>
      </c>
      <c r="C1311">
        <f t="shared" si="100"/>
        <v>1965</v>
      </c>
      <c r="D1311">
        <v>1965</v>
      </c>
      <c r="E1311" t="str">
        <f t="shared" si="104"/>
        <v>Jun</v>
      </c>
      <c r="F1311" t="s">
        <v>18</v>
      </c>
      <c r="G1311">
        <v>19</v>
      </c>
      <c r="H1311">
        <v>0</v>
      </c>
      <c r="I1311" s="21">
        <v>10965.45</v>
      </c>
      <c r="J1311" t="str">
        <f t="shared" si="101"/>
        <v>tier - 3</v>
      </c>
      <c r="K1311" t="s">
        <v>12</v>
      </c>
      <c r="L1311" t="str">
        <f t="shared" si="102"/>
        <v>tier - 2</v>
      </c>
      <c r="M1311" t="s">
        <v>11</v>
      </c>
      <c r="N1311" t="str">
        <f t="shared" si="103"/>
        <v>R1011</v>
      </c>
      <c r="O1311" t="s">
        <v>42</v>
      </c>
    </row>
    <row r="1312" spans="1:15" x14ac:dyDescent="0.35">
      <c r="A1312" t="s">
        <v>1343</v>
      </c>
      <c r="C1312">
        <f t="shared" si="100"/>
        <v>1966</v>
      </c>
      <c r="D1312">
        <v>1966</v>
      </c>
      <c r="E1312" t="str">
        <f t="shared" si="104"/>
        <v>Jul</v>
      </c>
      <c r="F1312" t="s">
        <v>10</v>
      </c>
      <c r="G1312">
        <v>9</v>
      </c>
      <c r="H1312">
        <v>0</v>
      </c>
      <c r="I1312" s="21">
        <v>10976.25</v>
      </c>
      <c r="J1312" t="str">
        <f t="shared" si="101"/>
        <v>tier - 3</v>
      </c>
      <c r="K1312" t="s">
        <v>12</v>
      </c>
      <c r="L1312" t="str">
        <f t="shared" si="102"/>
        <v>tier - 2</v>
      </c>
      <c r="M1312" t="s">
        <v>11</v>
      </c>
      <c r="N1312" t="str">
        <f t="shared" si="103"/>
        <v>R1012</v>
      </c>
      <c r="O1312" t="s">
        <v>23</v>
      </c>
    </row>
    <row r="1313" spans="1:15" x14ac:dyDescent="0.35">
      <c r="A1313" t="s">
        <v>1344</v>
      </c>
      <c r="C1313">
        <f t="shared" si="100"/>
        <v>1973</v>
      </c>
      <c r="D1313">
        <v>1973</v>
      </c>
      <c r="E1313" t="str">
        <f t="shared" si="104"/>
        <v>Oct</v>
      </c>
      <c r="F1313" t="s">
        <v>37</v>
      </c>
      <c r="G1313">
        <v>21</v>
      </c>
      <c r="H1313">
        <v>4</v>
      </c>
      <c r="I1313" s="21">
        <v>10977.21</v>
      </c>
      <c r="J1313" t="str">
        <f t="shared" si="101"/>
        <v>tier - 3</v>
      </c>
      <c r="K1313" t="s">
        <v>12</v>
      </c>
      <c r="L1313" t="str">
        <f t="shared" si="102"/>
        <v>tier - 1</v>
      </c>
      <c r="M1313" t="s">
        <v>16</v>
      </c>
      <c r="N1313" t="str">
        <f t="shared" si="103"/>
        <v>R1013</v>
      </c>
      <c r="O1313" t="s">
        <v>13</v>
      </c>
    </row>
    <row r="1314" spans="1:15" x14ac:dyDescent="0.35">
      <c r="A1314" t="s">
        <v>1345</v>
      </c>
      <c r="C1314">
        <f t="shared" si="100"/>
        <v>1965</v>
      </c>
      <c r="D1314">
        <v>1965</v>
      </c>
      <c r="E1314" t="str">
        <f t="shared" si="104"/>
        <v>Dec</v>
      </c>
      <c r="F1314" t="s">
        <v>30</v>
      </c>
      <c r="G1314">
        <v>18</v>
      </c>
      <c r="H1314">
        <v>0</v>
      </c>
      <c r="I1314" s="21">
        <v>10982.5</v>
      </c>
      <c r="J1314" t="str">
        <f t="shared" si="101"/>
        <v>tier - 3</v>
      </c>
      <c r="K1314" t="s">
        <v>12</v>
      </c>
      <c r="L1314" t="str">
        <f t="shared" si="102"/>
        <v>tier - 3</v>
      </c>
      <c r="M1314" t="s">
        <v>12</v>
      </c>
      <c r="N1314" t="str">
        <f t="shared" si="103"/>
        <v>R1013</v>
      </c>
      <c r="O1314" t="s">
        <v>13</v>
      </c>
    </row>
    <row r="1315" spans="1:15" x14ac:dyDescent="0.35">
      <c r="A1315" t="s">
        <v>1346</v>
      </c>
      <c r="C1315">
        <f t="shared" si="100"/>
        <v>2000</v>
      </c>
      <c r="D1315">
        <v>2000</v>
      </c>
      <c r="E1315" t="str">
        <f t="shared" si="104"/>
        <v>Sep</v>
      </c>
      <c r="F1315" t="s">
        <v>20</v>
      </c>
      <c r="G1315">
        <v>17</v>
      </c>
      <c r="H1315">
        <v>0</v>
      </c>
      <c r="I1315" s="21">
        <v>10991.58</v>
      </c>
      <c r="J1315" t="str">
        <f t="shared" si="101"/>
        <v>tier - 3</v>
      </c>
      <c r="K1315" t="s">
        <v>12</v>
      </c>
      <c r="L1315" t="str">
        <f t="shared" si="102"/>
        <v>tier - 3</v>
      </c>
      <c r="M1315" t="s">
        <v>12</v>
      </c>
      <c r="N1315" t="str">
        <f t="shared" si="103"/>
        <v>R1012</v>
      </c>
      <c r="O1315" t="s">
        <v>23</v>
      </c>
    </row>
    <row r="1316" spans="1:15" x14ac:dyDescent="0.35">
      <c r="A1316" t="s">
        <v>1347</v>
      </c>
      <c r="C1316">
        <f t="shared" si="100"/>
        <v>1968</v>
      </c>
      <c r="D1316">
        <v>1968</v>
      </c>
      <c r="E1316" t="str">
        <f t="shared" si="104"/>
        <v>Oct</v>
      </c>
      <c r="F1316" t="s">
        <v>37</v>
      </c>
      <c r="G1316">
        <v>24</v>
      </c>
      <c r="H1316">
        <v>2</v>
      </c>
      <c r="I1316" s="21">
        <v>11013.71</v>
      </c>
      <c r="J1316" t="str">
        <f t="shared" si="101"/>
        <v>tier - 3</v>
      </c>
      <c r="K1316" t="s">
        <v>12</v>
      </c>
      <c r="L1316" t="str">
        <f t="shared" si="102"/>
        <v>tier - 1</v>
      </c>
      <c r="M1316" t="s">
        <v>16</v>
      </c>
      <c r="N1316" t="str">
        <f t="shared" si="103"/>
        <v>R1013</v>
      </c>
      <c r="O1316" t="s">
        <v>13</v>
      </c>
    </row>
    <row r="1317" spans="1:15" x14ac:dyDescent="0.35">
      <c r="A1317" t="s">
        <v>1348</v>
      </c>
      <c r="C1317">
        <f t="shared" si="100"/>
        <v>1974</v>
      </c>
      <c r="D1317">
        <v>1974</v>
      </c>
      <c r="E1317" t="str">
        <f t="shared" si="104"/>
        <v>Dec</v>
      </c>
      <c r="F1317" t="s">
        <v>30</v>
      </c>
      <c r="G1317">
        <v>15</v>
      </c>
      <c r="H1317">
        <v>4</v>
      </c>
      <c r="I1317" s="21">
        <v>11015.17</v>
      </c>
      <c r="J1317" t="str">
        <f t="shared" si="101"/>
        <v>tier - 3</v>
      </c>
      <c r="K1317" t="s">
        <v>12</v>
      </c>
      <c r="L1317" t="str">
        <f t="shared" si="102"/>
        <v>tier - 1</v>
      </c>
      <c r="M1317" t="s">
        <v>16</v>
      </c>
      <c r="N1317" t="str">
        <f t="shared" si="103"/>
        <v>R1012</v>
      </c>
      <c r="O1317" t="s">
        <v>23</v>
      </c>
    </row>
    <row r="1318" spans="1:15" x14ac:dyDescent="0.35">
      <c r="A1318" t="s">
        <v>1349</v>
      </c>
      <c r="C1318">
        <f t="shared" si="100"/>
        <v>1991</v>
      </c>
      <c r="D1318">
        <v>1991</v>
      </c>
      <c r="E1318" t="str">
        <f t="shared" si="104"/>
        <v>Jun</v>
      </c>
      <c r="F1318" t="s">
        <v>18</v>
      </c>
      <c r="G1318">
        <v>26</v>
      </c>
      <c r="H1318">
        <v>3</v>
      </c>
      <c r="I1318" s="21">
        <v>11018.05</v>
      </c>
      <c r="J1318" t="str">
        <f t="shared" si="101"/>
        <v>tier - 3</v>
      </c>
      <c r="K1318" t="s">
        <v>12</v>
      </c>
      <c r="L1318" t="str">
        <f t="shared" si="102"/>
        <v>tier - 2</v>
      </c>
      <c r="M1318" t="s">
        <v>11</v>
      </c>
      <c r="N1318" t="str">
        <f t="shared" si="103"/>
        <v>R1012</v>
      </c>
      <c r="O1318" t="s">
        <v>23</v>
      </c>
    </row>
    <row r="1319" spans="1:15" x14ac:dyDescent="0.35">
      <c r="A1319" t="s">
        <v>1350</v>
      </c>
      <c r="C1319">
        <f t="shared" si="100"/>
        <v>1996</v>
      </c>
      <c r="D1319">
        <v>1996</v>
      </c>
      <c r="E1319" t="str">
        <f t="shared" si="104"/>
        <v>Jul</v>
      </c>
      <c r="F1319" t="s">
        <v>10</v>
      </c>
      <c r="G1319">
        <v>21</v>
      </c>
      <c r="H1319">
        <v>0</v>
      </c>
      <c r="I1319" s="21">
        <v>11028.56</v>
      </c>
      <c r="J1319" t="str">
        <f t="shared" si="101"/>
        <v>tier - 3</v>
      </c>
      <c r="K1319" t="s">
        <v>12</v>
      </c>
      <c r="L1319" t="str">
        <f t="shared" si="102"/>
        <v>tier - 3</v>
      </c>
      <c r="M1319" t="s">
        <v>12</v>
      </c>
      <c r="N1319" t="str">
        <f t="shared" si="103"/>
        <v>R1012</v>
      </c>
      <c r="O1319" t="s">
        <v>23</v>
      </c>
    </row>
    <row r="1320" spans="1:15" x14ac:dyDescent="0.35">
      <c r="A1320" t="s">
        <v>1351</v>
      </c>
      <c r="C1320">
        <f t="shared" si="100"/>
        <v>1974</v>
      </c>
      <c r="D1320">
        <v>1974</v>
      </c>
      <c r="E1320" t="str">
        <f t="shared" si="104"/>
        <v>Dec</v>
      </c>
      <c r="F1320" t="s">
        <v>30</v>
      </c>
      <c r="G1320">
        <v>10</v>
      </c>
      <c r="H1320">
        <v>4</v>
      </c>
      <c r="I1320" s="21">
        <v>11033.66</v>
      </c>
      <c r="J1320" t="str">
        <f t="shared" si="101"/>
        <v>tier - 3</v>
      </c>
      <c r="K1320" t="s">
        <v>12</v>
      </c>
      <c r="L1320" t="str">
        <f t="shared" si="102"/>
        <v>tier - 3</v>
      </c>
      <c r="M1320" t="s">
        <v>12</v>
      </c>
      <c r="N1320" t="str">
        <f t="shared" si="103"/>
        <v>R1012</v>
      </c>
      <c r="O1320" t="s">
        <v>23</v>
      </c>
    </row>
    <row r="1321" spans="1:15" x14ac:dyDescent="0.35">
      <c r="A1321" t="s">
        <v>1352</v>
      </c>
      <c r="C1321">
        <f t="shared" si="100"/>
        <v>1989</v>
      </c>
      <c r="D1321">
        <v>1989</v>
      </c>
      <c r="E1321" t="str">
        <f t="shared" si="104"/>
        <v>Oct</v>
      </c>
      <c r="F1321" t="s">
        <v>37</v>
      </c>
      <c r="G1321">
        <v>25</v>
      </c>
      <c r="H1321">
        <v>3</v>
      </c>
      <c r="I1321" s="21">
        <v>11037.51</v>
      </c>
      <c r="J1321" t="str">
        <f t="shared" si="101"/>
        <v>tier - 3</v>
      </c>
      <c r="K1321" t="s">
        <v>12</v>
      </c>
      <c r="L1321" t="str">
        <f t="shared" si="102"/>
        <v>tier - 1</v>
      </c>
      <c r="M1321" t="s">
        <v>16</v>
      </c>
      <c r="N1321" t="str">
        <f t="shared" si="103"/>
        <v>R1012</v>
      </c>
      <c r="O1321" t="s">
        <v>23</v>
      </c>
    </row>
    <row r="1322" spans="1:15" x14ac:dyDescent="0.35">
      <c r="A1322" t="s">
        <v>1353</v>
      </c>
      <c r="C1322">
        <f t="shared" si="100"/>
        <v>1974</v>
      </c>
      <c r="D1322">
        <v>1974</v>
      </c>
      <c r="E1322" t="str">
        <f t="shared" si="104"/>
        <v>Aug</v>
      </c>
      <c r="F1322" t="s">
        <v>35</v>
      </c>
      <c r="G1322">
        <v>30</v>
      </c>
      <c r="H1322">
        <v>0</v>
      </c>
      <c r="I1322" s="21">
        <v>11037.85</v>
      </c>
      <c r="J1322" t="str">
        <f t="shared" si="101"/>
        <v>tier - 3</v>
      </c>
      <c r="K1322" t="s">
        <v>12</v>
      </c>
      <c r="L1322" t="str">
        <f t="shared" si="102"/>
        <v>tier - 2</v>
      </c>
      <c r="M1322" t="s">
        <v>11</v>
      </c>
      <c r="N1322" t="str">
        <f t="shared" si="103"/>
        <v>R1025</v>
      </c>
      <c r="O1322" t="s">
        <v>200</v>
      </c>
    </row>
    <row r="1323" spans="1:15" x14ac:dyDescent="0.35">
      <c r="A1323" t="s">
        <v>1354</v>
      </c>
      <c r="C1323">
        <f t="shared" si="100"/>
        <v>2001</v>
      </c>
      <c r="D1323">
        <v>2001</v>
      </c>
      <c r="E1323" t="str">
        <f t="shared" si="104"/>
        <v>Dec</v>
      </c>
      <c r="F1323" t="s">
        <v>30</v>
      </c>
      <c r="G1323">
        <v>17</v>
      </c>
      <c r="H1323">
        <v>0</v>
      </c>
      <c r="I1323" s="21">
        <v>11046.02</v>
      </c>
      <c r="J1323" t="str">
        <f t="shared" si="101"/>
        <v>tier - 3</v>
      </c>
      <c r="K1323" t="s">
        <v>12</v>
      </c>
      <c r="L1323" t="str">
        <f t="shared" si="102"/>
        <v>tier - 1</v>
      </c>
      <c r="M1323" t="s">
        <v>16</v>
      </c>
      <c r="N1323" t="str">
        <f t="shared" si="103"/>
        <v>R1026</v>
      </c>
      <c r="O1323" t="s">
        <v>535</v>
      </c>
    </row>
    <row r="1324" spans="1:15" x14ac:dyDescent="0.35">
      <c r="A1324" t="s">
        <v>1355</v>
      </c>
      <c r="C1324">
        <f t="shared" si="100"/>
        <v>2000</v>
      </c>
      <c r="D1324">
        <v>2000</v>
      </c>
      <c r="E1324" t="str">
        <f t="shared" si="104"/>
        <v>Sep</v>
      </c>
      <c r="F1324" t="s">
        <v>20</v>
      </c>
      <c r="G1324">
        <v>18</v>
      </c>
      <c r="H1324">
        <v>0</v>
      </c>
      <c r="I1324" s="21">
        <v>11068.7</v>
      </c>
      <c r="J1324" t="str">
        <f t="shared" si="101"/>
        <v>tier - 3</v>
      </c>
      <c r="K1324" t="s">
        <v>12</v>
      </c>
      <c r="L1324" t="str">
        <f t="shared" si="102"/>
        <v>tier - 1</v>
      </c>
      <c r="M1324" t="s">
        <v>16</v>
      </c>
      <c r="N1324" t="str">
        <f t="shared" si="103"/>
        <v>R1011</v>
      </c>
      <c r="O1324" t="s">
        <v>42</v>
      </c>
    </row>
    <row r="1325" spans="1:15" x14ac:dyDescent="0.35">
      <c r="A1325" t="s">
        <v>1356</v>
      </c>
      <c r="C1325">
        <f t="shared" si="100"/>
        <v>1971</v>
      </c>
      <c r="D1325">
        <v>1971</v>
      </c>
      <c r="E1325" t="str">
        <f t="shared" si="104"/>
        <v>Nov</v>
      </c>
      <c r="F1325" t="s">
        <v>15</v>
      </c>
      <c r="G1325">
        <v>9</v>
      </c>
      <c r="H1325">
        <v>0</v>
      </c>
      <c r="I1325" s="21">
        <v>11068.77</v>
      </c>
      <c r="J1325" t="str">
        <f t="shared" si="101"/>
        <v>tier - 3</v>
      </c>
      <c r="K1325" t="s">
        <v>12</v>
      </c>
      <c r="L1325" t="str">
        <f t="shared" si="102"/>
        <v>tier - 2</v>
      </c>
      <c r="M1325" t="s">
        <v>11</v>
      </c>
      <c r="N1325" t="str">
        <f t="shared" si="103"/>
        <v>R1012</v>
      </c>
      <c r="O1325" t="s">
        <v>23</v>
      </c>
    </row>
    <row r="1326" spans="1:15" x14ac:dyDescent="0.35">
      <c r="A1326" t="s">
        <v>1357</v>
      </c>
      <c r="C1326">
        <f t="shared" si="100"/>
        <v>1966</v>
      </c>
      <c r="D1326">
        <v>1966</v>
      </c>
      <c r="E1326" t="str">
        <f t="shared" si="104"/>
        <v>Nov</v>
      </c>
      <c r="F1326" t="s">
        <v>15</v>
      </c>
      <c r="G1326">
        <v>7</v>
      </c>
      <c r="H1326">
        <v>0</v>
      </c>
      <c r="I1326" s="21">
        <v>11070.54</v>
      </c>
      <c r="J1326" t="str">
        <f t="shared" si="101"/>
        <v>tier - 3</v>
      </c>
      <c r="K1326" t="s">
        <v>12</v>
      </c>
      <c r="L1326" t="str">
        <f t="shared" si="102"/>
        <v>tier - 3</v>
      </c>
      <c r="M1326" t="s">
        <v>12</v>
      </c>
      <c r="N1326" t="str">
        <f t="shared" si="103"/>
        <v>R1011</v>
      </c>
      <c r="O1326" t="s">
        <v>42</v>
      </c>
    </row>
    <row r="1327" spans="1:15" x14ac:dyDescent="0.35">
      <c r="A1327" t="s">
        <v>1358</v>
      </c>
      <c r="C1327">
        <f t="shared" si="100"/>
        <v>1966</v>
      </c>
      <c r="D1327">
        <v>1966</v>
      </c>
      <c r="E1327" t="str">
        <f t="shared" si="104"/>
        <v>Nov</v>
      </c>
      <c r="F1327" t="s">
        <v>15</v>
      </c>
      <c r="G1327">
        <v>20</v>
      </c>
      <c r="H1327">
        <v>0</v>
      </c>
      <c r="I1327" s="21">
        <v>11073.18</v>
      </c>
      <c r="J1327" t="str">
        <f t="shared" si="101"/>
        <v>tier - 3</v>
      </c>
      <c r="K1327" t="s">
        <v>12</v>
      </c>
      <c r="L1327" t="str">
        <f t="shared" si="102"/>
        <v>tier - 3</v>
      </c>
      <c r="M1327" t="s">
        <v>12</v>
      </c>
      <c r="N1327" t="str">
        <f t="shared" si="103"/>
        <v>R1011</v>
      </c>
      <c r="O1327" t="s">
        <v>42</v>
      </c>
    </row>
    <row r="1328" spans="1:15" x14ac:dyDescent="0.35">
      <c r="A1328" t="s">
        <v>1359</v>
      </c>
      <c r="C1328">
        <f t="shared" si="100"/>
        <v>1967</v>
      </c>
      <c r="D1328">
        <v>1967</v>
      </c>
      <c r="E1328" t="str">
        <f t="shared" si="104"/>
        <v>Sep</v>
      </c>
      <c r="F1328" t="s">
        <v>20</v>
      </c>
      <c r="G1328">
        <v>4</v>
      </c>
      <c r="H1328">
        <v>0</v>
      </c>
      <c r="I1328" s="21">
        <v>11082.58</v>
      </c>
      <c r="J1328" t="str">
        <f t="shared" si="101"/>
        <v>tier - 3</v>
      </c>
      <c r="K1328" t="s">
        <v>12</v>
      </c>
      <c r="L1328" t="str">
        <f t="shared" si="102"/>
        <v>tier - 2</v>
      </c>
      <c r="M1328" t="s">
        <v>11</v>
      </c>
      <c r="N1328" t="str">
        <f t="shared" si="103"/>
        <v>R1012</v>
      </c>
      <c r="O1328" t="s">
        <v>23</v>
      </c>
    </row>
    <row r="1329" spans="1:15" x14ac:dyDescent="0.35">
      <c r="A1329" t="s">
        <v>1360</v>
      </c>
      <c r="C1329">
        <f t="shared" si="100"/>
        <v>1972</v>
      </c>
      <c r="D1329">
        <v>1972</v>
      </c>
      <c r="E1329" t="str">
        <f t="shared" si="104"/>
        <v>Oct</v>
      </c>
      <c r="F1329" t="s">
        <v>37</v>
      </c>
      <c r="G1329">
        <v>7</v>
      </c>
      <c r="H1329">
        <v>3</v>
      </c>
      <c r="I1329" s="21">
        <v>11085.59</v>
      </c>
      <c r="J1329" t="str">
        <f t="shared" si="101"/>
        <v>tier - 3</v>
      </c>
      <c r="K1329" t="s">
        <v>12</v>
      </c>
      <c r="L1329" t="str">
        <f t="shared" si="102"/>
        <v>tier - 2</v>
      </c>
      <c r="M1329" t="s">
        <v>11</v>
      </c>
      <c r="N1329" t="str">
        <f t="shared" si="103"/>
        <v>R1012</v>
      </c>
      <c r="O1329" t="s">
        <v>23</v>
      </c>
    </row>
    <row r="1330" spans="1:15" x14ac:dyDescent="0.35">
      <c r="A1330" t="s">
        <v>1361</v>
      </c>
      <c r="C1330">
        <f t="shared" si="100"/>
        <v>1966</v>
      </c>
      <c r="D1330">
        <v>1966</v>
      </c>
      <c r="E1330" t="str">
        <f t="shared" si="104"/>
        <v>Sep</v>
      </c>
      <c r="F1330" t="s">
        <v>20</v>
      </c>
      <c r="G1330">
        <v>9</v>
      </c>
      <c r="H1330">
        <v>0</v>
      </c>
      <c r="I1330" s="21">
        <v>11090.72</v>
      </c>
      <c r="J1330" t="str">
        <f t="shared" si="101"/>
        <v>tier - 3</v>
      </c>
      <c r="K1330" t="s">
        <v>12</v>
      </c>
      <c r="L1330" t="str">
        <f t="shared" si="102"/>
        <v>tier - 1</v>
      </c>
      <c r="M1330" t="s">
        <v>16</v>
      </c>
      <c r="N1330" t="str">
        <f t="shared" si="103"/>
        <v>R1013</v>
      </c>
      <c r="O1330" t="s">
        <v>13</v>
      </c>
    </row>
    <row r="1331" spans="1:15" x14ac:dyDescent="0.35">
      <c r="A1331" t="s">
        <v>1362</v>
      </c>
      <c r="C1331">
        <f t="shared" si="100"/>
        <v>1966</v>
      </c>
      <c r="D1331">
        <v>1966</v>
      </c>
      <c r="E1331" t="str">
        <f t="shared" si="104"/>
        <v>Jul</v>
      </c>
      <c r="F1331" t="s">
        <v>10</v>
      </c>
      <c r="G1331">
        <v>5</v>
      </c>
      <c r="H1331">
        <v>0</v>
      </c>
      <c r="I1331" s="21">
        <v>11093.62</v>
      </c>
      <c r="J1331" t="str">
        <f t="shared" si="101"/>
        <v>tier - 3</v>
      </c>
      <c r="K1331" t="s">
        <v>12</v>
      </c>
      <c r="L1331" t="str">
        <f t="shared" si="102"/>
        <v>tier - 1</v>
      </c>
      <c r="M1331" t="s">
        <v>16</v>
      </c>
      <c r="N1331" t="str">
        <f t="shared" si="103"/>
        <v>R1013</v>
      </c>
      <c r="O1331" t="s">
        <v>13</v>
      </c>
    </row>
    <row r="1332" spans="1:15" x14ac:dyDescent="0.35">
      <c r="A1332" t="s">
        <v>1363</v>
      </c>
      <c r="C1332">
        <f t="shared" si="100"/>
        <v>1980</v>
      </c>
      <c r="D1332">
        <v>1980</v>
      </c>
      <c r="E1332" t="str">
        <f t="shared" si="104"/>
        <v>Aug</v>
      </c>
      <c r="F1332" t="s">
        <v>35</v>
      </c>
      <c r="G1332">
        <v>20</v>
      </c>
      <c r="H1332">
        <v>2</v>
      </c>
      <c r="I1332" s="21">
        <v>11103.33</v>
      </c>
      <c r="J1332" t="str">
        <f t="shared" si="101"/>
        <v>tier - 3</v>
      </c>
      <c r="K1332" t="s">
        <v>12</v>
      </c>
      <c r="L1332" t="str">
        <f t="shared" si="102"/>
        <v>tier - 1</v>
      </c>
      <c r="M1332" t="s">
        <v>16</v>
      </c>
      <c r="N1332" t="str">
        <f t="shared" si="103"/>
        <v>R1021</v>
      </c>
      <c r="O1332" t="s">
        <v>300</v>
      </c>
    </row>
    <row r="1333" spans="1:15" x14ac:dyDescent="0.35">
      <c r="A1333" t="s">
        <v>1364</v>
      </c>
      <c r="C1333">
        <f t="shared" si="100"/>
        <v>1969</v>
      </c>
      <c r="D1333">
        <v>1969</v>
      </c>
      <c r="E1333" t="str">
        <f t="shared" si="104"/>
        <v>Nov</v>
      </c>
      <c r="F1333" t="s">
        <v>15</v>
      </c>
      <c r="G1333">
        <v>30</v>
      </c>
      <c r="H1333">
        <v>2</v>
      </c>
      <c r="I1333" s="21">
        <v>11150.78</v>
      </c>
      <c r="J1333" t="str">
        <f t="shared" si="101"/>
        <v>tier - 3</v>
      </c>
      <c r="K1333" t="s">
        <v>12</v>
      </c>
      <c r="L1333" t="str">
        <f t="shared" si="102"/>
        <v>tier - 2</v>
      </c>
      <c r="M1333" t="s">
        <v>11</v>
      </c>
      <c r="N1333" t="str">
        <f t="shared" si="103"/>
        <v>R1011</v>
      </c>
      <c r="O1333" t="s">
        <v>42</v>
      </c>
    </row>
    <row r="1334" spans="1:15" x14ac:dyDescent="0.35">
      <c r="A1334" t="s">
        <v>1365</v>
      </c>
      <c r="C1334">
        <f t="shared" si="100"/>
        <v>1969</v>
      </c>
      <c r="D1334">
        <v>1969</v>
      </c>
      <c r="E1334" t="str">
        <f t="shared" si="104"/>
        <v>Jun</v>
      </c>
      <c r="F1334" t="s">
        <v>18</v>
      </c>
      <c r="G1334">
        <v>25</v>
      </c>
      <c r="H1334">
        <v>2</v>
      </c>
      <c r="I1334" s="21">
        <v>11163.57</v>
      </c>
      <c r="J1334" t="str">
        <f t="shared" si="101"/>
        <v>tier - 3</v>
      </c>
      <c r="K1334" t="s">
        <v>12</v>
      </c>
      <c r="L1334" t="str">
        <f t="shared" si="102"/>
        <v>tier - 2</v>
      </c>
      <c r="M1334" t="s">
        <v>11</v>
      </c>
      <c r="N1334" t="str">
        <f t="shared" si="103"/>
        <v>R1011</v>
      </c>
      <c r="O1334" t="s">
        <v>42</v>
      </c>
    </row>
    <row r="1335" spans="1:15" x14ac:dyDescent="0.35">
      <c r="A1335" t="s">
        <v>1366</v>
      </c>
      <c r="C1335">
        <f t="shared" si="100"/>
        <v>1966</v>
      </c>
      <c r="D1335">
        <v>1966</v>
      </c>
      <c r="E1335" t="str">
        <f t="shared" si="104"/>
        <v>Aug</v>
      </c>
      <c r="F1335" t="s">
        <v>35</v>
      </c>
      <c r="G1335">
        <v>6</v>
      </c>
      <c r="H1335">
        <v>0</v>
      </c>
      <c r="I1335" s="21">
        <v>11165.42</v>
      </c>
      <c r="J1335" t="str">
        <f t="shared" si="101"/>
        <v>tier - 3</v>
      </c>
      <c r="K1335" t="s">
        <v>12</v>
      </c>
      <c r="L1335" t="str">
        <f t="shared" si="102"/>
        <v>tier - 1</v>
      </c>
      <c r="M1335" t="s">
        <v>16</v>
      </c>
      <c r="N1335" t="str">
        <f t="shared" si="103"/>
        <v>R1016</v>
      </c>
      <c r="O1335" t="s">
        <v>168</v>
      </c>
    </row>
    <row r="1336" spans="1:15" x14ac:dyDescent="0.35">
      <c r="A1336" t="s">
        <v>1367</v>
      </c>
      <c r="C1336">
        <f t="shared" si="100"/>
        <v>1972</v>
      </c>
      <c r="D1336">
        <v>1972</v>
      </c>
      <c r="E1336" t="str">
        <f t="shared" si="104"/>
        <v>Sep</v>
      </c>
      <c r="F1336" t="s">
        <v>20</v>
      </c>
      <c r="G1336">
        <v>3</v>
      </c>
      <c r="H1336">
        <v>0</v>
      </c>
      <c r="I1336" s="21">
        <v>11186.2</v>
      </c>
      <c r="J1336" t="str">
        <f t="shared" si="101"/>
        <v>tier - 3</v>
      </c>
      <c r="K1336" t="s">
        <v>12</v>
      </c>
      <c r="L1336" t="str">
        <f t="shared" si="102"/>
        <v>tier - 2</v>
      </c>
      <c r="M1336" t="s">
        <v>11</v>
      </c>
      <c r="N1336" t="str">
        <f t="shared" si="103"/>
        <v>R1021</v>
      </c>
      <c r="O1336" t="s">
        <v>300</v>
      </c>
    </row>
    <row r="1337" spans="1:15" x14ac:dyDescent="0.35">
      <c r="A1337" t="s">
        <v>1368</v>
      </c>
      <c r="C1337">
        <f t="shared" si="100"/>
        <v>1970</v>
      </c>
      <c r="D1337">
        <v>1970</v>
      </c>
      <c r="E1337" t="str">
        <f t="shared" si="104"/>
        <v>Jun</v>
      </c>
      <c r="F1337" t="s">
        <v>18</v>
      </c>
      <c r="G1337">
        <v>14</v>
      </c>
      <c r="H1337">
        <v>2</v>
      </c>
      <c r="I1337" s="21">
        <v>11187.66</v>
      </c>
      <c r="J1337" t="str">
        <f t="shared" si="101"/>
        <v>tier - 3</v>
      </c>
      <c r="K1337" t="s">
        <v>12</v>
      </c>
      <c r="L1337" t="str">
        <f t="shared" si="102"/>
        <v>tier - 2</v>
      </c>
      <c r="M1337" t="s">
        <v>11</v>
      </c>
      <c r="N1337" t="str">
        <f t="shared" si="103"/>
        <v>R1012</v>
      </c>
      <c r="O1337" t="s">
        <v>23</v>
      </c>
    </row>
    <row r="1338" spans="1:15" x14ac:dyDescent="0.35">
      <c r="A1338" t="s">
        <v>1369</v>
      </c>
      <c r="C1338">
        <f t="shared" si="100"/>
        <v>1976</v>
      </c>
      <c r="D1338">
        <v>1976</v>
      </c>
      <c r="E1338" t="str">
        <f t="shared" si="104"/>
        <v>Jun</v>
      </c>
      <c r="F1338" t="s">
        <v>18</v>
      </c>
      <c r="G1338">
        <v>28</v>
      </c>
      <c r="H1338">
        <v>2</v>
      </c>
      <c r="I1338" s="21">
        <v>11217.35</v>
      </c>
      <c r="J1338" t="str">
        <f t="shared" si="101"/>
        <v>tier - 3</v>
      </c>
      <c r="K1338" t="s">
        <v>12</v>
      </c>
      <c r="L1338" t="str">
        <f t="shared" si="102"/>
        <v>tier - 2</v>
      </c>
      <c r="M1338" t="s">
        <v>11</v>
      </c>
      <c r="N1338" t="str">
        <f t="shared" si="103"/>
        <v>R1025</v>
      </c>
      <c r="O1338" t="s">
        <v>200</v>
      </c>
    </row>
    <row r="1339" spans="1:15" x14ac:dyDescent="0.35">
      <c r="A1339" t="s">
        <v>1370</v>
      </c>
      <c r="C1339">
        <f t="shared" si="100"/>
        <v>1969</v>
      </c>
      <c r="D1339">
        <v>1969</v>
      </c>
      <c r="E1339" t="str">
        <f t="shared" si="104"/>
        <v>Dec</v>
      </c>
      <c r="F1339" t="s">
        <v>30</v>
      </c>
      <c r="G1339">
        <v>30</v>
      </c>
      <c r="H1339">
        <v>2</v>
      </c>
      <c r="I1339" s="21">
        <v>11244.38</v>
      </c>
      <c r="J1339" t="str">
        <f t="shared" si="101"/>
        <v>tier - 3</v>
      </c>
      <c r="K1339" t="s">
        <v>12</v>
      </c>
      <c r="L1339" t="str">
        <f t="shared" si="102"/>
        <v>tier - 1</v>
      </c>
      <c r="M1339" t="s">
        <v>16</v>
      </c>
      <c r="N1339" t="str">
        <f t="shared" si="103"/>
        <v>R1016</v>
      </c>
      <c r="O1339" t="s">
        <v>168</v>
      </c>
    </row>
    <row r="1340" spans="1:15" x14ac:dyDescent="0.35">
      <c r="A1340" t="s">
        <v>1371</v>
      </c>
      <c r="C1340">
        <f t="shared" si="100"/>
        <v>1989</v>
      </c>
      <c r="D1340">
        <v>1989</v>
      </c>
      <c r="E1340" t="str">
        <f t="shared" si="104"/>
        <v>Dec</v>
      </c>
      <c r="F1340" t="s">
        <v>30</v>
      </c>
      <c r="G1340">
        <v>17</v>
      </c>
      <c r="H1340">
        <v>3</v>
      </c>
      <c r="I1340" s="21">
        <v>11250.43</v>
      </c>
      <c r="J1340" t="str">
        <f t="shared" si="101"/>
        <v>tier - 3</v>
      </c>
      <c r="K1340" t="s">
        <v>12</v>
      </c>
      <c r="L1340" t="str">
        <f t="shared" si="102"/>
        <v>tier - 2</v>
      </c>
      <c r="M1340" t="s">
        <v>11</v>
      </c>
      <c r="N1340" t="str">
        <f t="shared" si="103"/>
        <v>R1026</v>
      </c>
      <c r="O1340" t="s">
        <v>535</v>
      </c>
    </row>
    <row r="1341" spans="1:15" x14ac:dyDescent="0.35">
      <c r="A1341" t="s">
        <v>1372</v>
      </c>
      <c r="C1341">
        <f t="shared" si="100"/>
        <v>1969</v>
      </c>
      <c r="D1341">
        <v>1969</v>
      </c>
      <c r="E1341" t="str">
        <f t="shared" si="104"/>
        <v>Aug</v>
      </c>
      <c r="F1341" t="s">
        <v>35</v>
      </c>
      <c r="G1341">
        <v>20</v>
      </c>
      <c r="H1341">
        <v>3</v>
      </c>
      <c r="I1341" s="21">
        <v>11253.42</v>
      </c>
      <c r="J1341" t="str">
        <f t="shared" si="101"/>
        <v>tier - 3</v>
      </c>
      <c r="K1341" t="s">
        <v>12</v>
      </c>
      <c r="L1341" t="str">
        <f t="shared" si="102"/>
        <v>tier - 1</v>
      </c>
      <c r="M1341" t="s">
        <v>16</v>
      </c>
      <c r="N1341" t="str">
        <f t="shared" si="103"/>
        <v>R1011</v>
      </c>
      <c r="O1341" t="s">
        <v>42</v>
      </c>
    </row>
    <row r="1342" spans="1:15" x14ac:dyDescent="0.35">
      <c r="A1342" t="s">
        <v>1373</v>
      </c>
      <c r="C1342">
        <f t="shared" si="100"/>
        <v>1981</v>
      </c>
      <c r="D1342">
        <v>1981</v>
      </c>
      <c r="E1342" t="str">
        <f t="shared" si="104"/>
        <v>Oct</v>
      </c>
      <c r="F1342" t="s">
        <v>37</v>
      </c>
      <c r="G1342">
        <v>2</v>
      </c>
      <c r="H1342">
        <v>1</v>
      </c>
      <c r="I1342" s="21">
        <v>11255.29</v>
      </c>
      <c r="J1342" t="str">
        <f t="shared" si="101"/>
        <v>tier - 3</v>
      </c>
      <c r="K1342" t="s">
        <v>12</v>
      </c>
      <c r="L1342" t="str">
        <f t="shared" si="102"/>
        <v>tier - 1</v>
      </c>
      <c r="M1342" t="s">
        <v>16</v>
      </c>
      <c r="N1342" t="str">
        <f t="shared" si="103"/>
        <v>R1026</v>
      </c>
      <c r="O1342" t="s">
        <v>535</v>
      </c>
    </row>
    <row r="1343" spans="1:15" x14ac:dyDescent="0.35">
      <c r="A1343" t="s">
        <v>1374</v>
      </c>
      <c r="C1343">
        <f t="shared" si="100"/>
        <v>1969</v>
      </c>
      <c r="D1343">
        <v>1969</v>
      </c>
      <c r="E1343" t="str">
        <f t="shared" si="104"/>
        <v>Oct</v>
      </c>
      <c r="F1343" t="s">
        <v>37</v>
      </c>
      <c r="G1343">
        <v>11</v>
      </c>
      <c r="H1343">
        <v>3</v>
      </c>
      <c r="I1343" s="21">
        <v>11264.54</v>
      </c>
      <c r="J1343" t="str">
        <f t="shared" si="101"/>
        <v>tier - 3</v>
      </c>
      <c r="K1343" t="s">
        <v>12</v>
      </c>
      <c r="L1343" t="str">
        <f t="shared" si="102"/>
        <v>tier - 2</v>
      </c>
      <c r="M1343" t="s">
        <v>11</v>
      </c>
      <c r="N1343" t="str">
        <f t="shared" si="103"/>
        <v>R1011</v>
      </c>
      <c r="O1343" t="s">
        <v>42</v>
      </c>
    </row>
    <row r="1344" spans="1:15" x14ac:dyDescent="0.35">
      <c r="A1344" t="s">
        <v>1375</v>
      </c>
      <c r="C1344">
        <f t="shared" si="100"/>
        <v>1971</v>
      </c>
      <c r="D1344">
        <v>1971</v>
      </c>
      <c r="E1344" t="str">
        <f t="shared" si="104"/>
        <v>Dec</v>
      </c>
      <c r="F1344" t="s">
        <v>30</v>
      </c>
      <c r="G1344">
        <v>26</v>
      </c>
      <c r="H1344">
        <v>0</v>
      </c>
      <c r="I1344" s="21">
        <v>11265.71</v>
      </c>
      <c r="J1344" t="str">
        <f t="shared" si="101"/>
        <v>tier - 3</v>
      </c>
      <c r="K1344" t="s">
        <v>12</v>
      </c>
      <c r="L1344" t="str">
        <f t="shared" si="102"/>
        <v>tier - 1</v>
      </c>
      <c r="M1344" t="s">
        <v>16</v>
      </c>
      <c r="N1344" t="str">
        <f t="shared" si="103"/>
        <v>R1025</v>
      </c>
      <c r="O1344" t="s">
        <v>200</v>
      </c>
    </row>
    <row r="1345" spans="1:15" x14ac:dyDescent="0.35">
      <c r="A1345" t="s">
        <v>1376</v>
      </c>
      <c r="C1345">
        <f t="shared" si="100"/>
        <v>2004</v>
      </c>
      <c r="D1345">
        <v>2004</v>
      </c>
      <c r="E1345" t="str">
        <f t="shared" si="104"/>
        <v>Oct</v>
      </c>
      <c r="F1345" t="s">
        <v>37</v>
      </c>
      <c r="G1345">
        <v>4</v>
      </c>
      <c r="H1345">
        <v>1</v>
      </c>
      <c r="I1345" s="21">
        <v>11272.33</v>
      </c>
      <c r="J1345" t="str">
        <f t="shared" si="101"/>
        <v>tier - 3</v>
      </c>
      <c r="K1345" t="s">
        <v>12</v>
      </c>
      <c r="L1345" t="str">
        <f t="shared" si="102"/>
        <v>tier - 2</v>
      </c>
      <c r="M1345" t="s">
        <v>11</v>
      </c>
      <c r="N1345" t="str">
        <f t="shared" si="103"/>
        <v>R1019</v>
      </c>
      <c r="O1345" t="s">
        <v>166</v>
      </c>
    </row>
    <row r="1346" spans="1:15" x14ac:dyDescent="0.35">
      <c r="A1346" t="s">
        <v>1377</v>
      </c>
      <c r="C1346">
        <f t="shared" si="100"/>
        <v>1967</v>
      </c>
      <c r="D1346">
        <v>1967</v>
      </c>
      <c r="E1346" t="str">
        <f t="shared" si="104"/>
        <v>Jun</v>
      </c>
      <c r="F1346" t="s">
        <v>18</v>
      </c>
      <c r="G1346">
        <v>14</v>
      </c>
      <c r="H1346">
        <v>0</v>
      </c>
      <c r="I1346" s="21">
        <v>11286.54</v>
      </c>
      <c r="J1346" t="str">
        <f t="shared" si="101"/>
        <v>tier - 3</v>
      </c>
      <c r="K1346" t="s">
        <v>12</v>
      </c>
      <c r="L1346" t="str">
        <f t="shared" si="102"/>
        <v>tier - 3</v>
      </c>
      <c r="M1346" t="s">
        <v>12</v>
      </c>
      <c r="N1346" t="str">
        <f t="shared" si="103"/>
        <v>R1024</v>
      </c>
      <c r="O1346" t="s">
        <v>247</v>
      </c>
    </row>
    <row r="1347" spans="1:15" x14ac:dyDescent="0.35">
      <c r="A1347" t="s">
        <v>1378</v>
      </c>
      <c r="C1347">
        <f t="shared" ref="C1347:C1410" si="105">IF(OR(D1347="?", ISBLANK(D1347)), 1983, D1347)</f>
        <v>1970</v>
      </c>
      <c r="D1347">
        <v>1970</v>
      </c>
      <c r="E1347" t="str">
        <f t="shared" si="104"/>
        <v>Jun</v>
      </c>
      <c r="F1347" t="s">
        <v>18</v>
      </c>
      <c r="G1347">
        <v>22</v>
      </c>
      <c r="H1347">
        <v>3</v>
      </c>
      <c r="I1347" s="21">
        <v>11289.11</v>
      </c>
      <c r="J1347" t="str">
        <f t="shared" ref="J1347:J1410" si="106">IF(OR(K1347="?", ISBLANK(K1347)), "Tier 2", K1347)</f>
        <v>tier - 3</v>
      </c>
      <c r="K1347" t="s">
        <v>12</v>
      </c>
      <c r="L1347" t="str">
        <f t="shared" ref="L1347:L1410" si="107">IF(OR(M1347="?", ISBLANK(M1347)), "Tier 2", M1347)</f>
        <v>tier - 1</v>
      </c>
      <c r="M1347" t="s">
        <v>16</v>
      </c>
      <c r="N1347" t="str">
        <f t="shared" ref="N1347:N1410" si="108">IF(OR(O1347="?", ISBLANK(O1347)), "Unknown", O1347)</f>
        <v>R1012</v>
      </c>
      <c r="O1347" t="s">
        <v>23</v>
      </c>
    </row>
    <row r="1348" spans="1:15" x14ac:dyDescent="0.35">
      <c r="A1348" t="s">
        <v>1379</v>
      </c>
      <c r="C1348">
        <f t="shared" si="105"/>
        <v>1988</v>
      </c>
      <c r="D1348">
        <v>1988</v>
      </c>
      <c r="E1348" t="str">
        <f t="shared" ref="E1348:E1411" si="109">IF(OR(F1348="?", ISBLANK(F1348)), "Sep", F1348)</f>
        <v>Nov</v>
      </c>
      <c r="F1348" t="s">
        <v>15</v>
      </c>
      <c r="G1348">
        <v>14</v>
      </c>
      <c r="H1348">
        <v>3</v>
      </c>
      <c r="I1348" s="21">
        <v>11294.57</v>
      </c>
      <c r="J1348" t="str">
        <f t="shared" si="106"/>
        <v>tier - 3</v>
      </c>
      <c r="K1348" t="s">
        <v>12</v>
      </c>
      <c r="L1348" t="str">
        <f t="shared" si="107"/>
        <v>tier - 1</v>
      </c>
      <c r="M1348" t="s">
        <v>16</v>
      </c>
      <c r="N1348" t="str">
        <f t="shared" si="108"/>
        <v>R1022</v>
      </c>
      <c r="O1348" t="s">
        <v>632</v>
      </c>
    </row>
    <row r="1349" spans="1:15" x14ac:dyDescent="0.35">
      <c r="A1349" t="s">
        <v>1380</v>
      </c>
      <c r="C1349">
        <f t="shared" si="105"/>
        <v>1972</v>
      </c>
      <c r="D1349">
        <v>1972</v>
      </c>
      <c r="E1349" t="str">
        <f t="shared" si="109"/>
        <v>Sep</v>
      </c>
      <c r="F1349" t="s">
        <v>20</v>
      </c>
      <c r="G1349">
        <v>25</v>
      </c>
      <c r="H1349">
        <v>4</v>
      </c>
      <c r="I1349" s="21">
        <v>11299.34</v>
      </c>
      <c r="J1349" t="str">
        <f t="shared" si="106"/>
        <v>tier - 3</v>
      </c>
      <c r="K1349" t="s">
        <v>12</v>
      </c>
      <c r="L1349" t="str">
        <f t="shared" si="107"/>
        <v>tier - 2</v>
      </c>
      <c r="M1349" t="s">
        <v>11</v>
      </c>
      <c r="N1349" t="str">
        <f t="shared" si="108"/>
        <v>R1011</v>
      </c>
      <c r="O1349" t="s">
        <v>42</v>
      </c>
    </row>
    <row r="1350" spans="1:15" x14ac:dyDescent="0.35">
      <c r="A1350" t="s">
        <v>1381</v>
      </c>
      <c r="C1350">
        <f t="shared" si="105"/>
        <v>1968</v>
      </c>
      <c r="D1350">
        <v>1968</v>
      </c>
      <c r="E1350" t="str">
        <f t="shared" si="109"/>
        <v>Oct</v>
      </c>
      <c r="F1350" t="s">
        <v>37</v>
      </c>
      <c r="G1350">
        <v>6</v>
      </c>
      <c r="H1350">
        <v>1</v>
      </c>
      <c r="I1350" s="21">
        <v>11305.93</v>
      </c>
      <c r="J1350" t="str">
        <f t="shared" si="106"/>
        <v>tier - 3</v>
      </c>
      <c r="K1350" t="s">
        <v>12</v>
      </c>
      <c r="L1350" t="str">
        <f t="shared" si="107"/>
        <v>tier - 1</v>
      </c>
      <c r="M1350" t="s">
        <v>16</v>
      </c>
      <c r="N1350" t="str">
        <f t="shared" si="108"/>
        <v>R1012</v>
      </c>
      <c r="O1350" t="s">
        <v>23</v>
      </c>
    </row>
    <row r="1351" spans="1:15" x14ac:dyDescent="0.35">
      <c r="A1351" t="s">
        <v>1382</v>
      </c>
      <c r="C1351">
        <f t="shared" si="105"/>
        <v>1963</v>
      </c>
      <c r="D1351">
        <v>1963</v>
      </c>
      <c r="E1351" t="str">
        <f t="shared" si="109"/>
        <v>Nov</v>
      </c>
      <c r="F1351" t="s">
        <v>15</v>
      </c>
      <c r="G1351">
        <v>22</v>
      </c>
      <c r="H1351">
        <v>0</v>
      </c>
      <c r="I1351" s="21">
        <v>11312.33</v>
      </c>
      <c r="J1351" t="str">
        <f t="shared" si="106"/>
        <v>tier - 3</v>
      </c>
      <c r="K1351" t="s">
        <v>12</v>
      </c>
      <c r="L1351" t="str">
        <f t="shared" si="107"/>
        <v>tier - 3</v>
      </c>
      <c r="M1351" t="s">
        <v>12</v>
      </c>
      <c r="N1351" t="str">
        <f t="shared" si="108"/>
        <v>R1012</v>
      </c>
      <c r="O1351" t="s">
        <v>23</v>
      </c>
    </row>
    <row r="1352" spans="1:15" x14ac:dyDescent="0.35">
      <c r="A1352" t="s">
        <v>1383</v>
      </c>
      <c r="C1352">
        <f t="shared" si="105"/>
        <v>1995</v>
      </c>
      <c r="D1352">
        <v>1995</v>
      </c>
      <c r="E1352" t="str">
        <f t="shared" si="109"/>
        <v>Dec</v>
      </c>
      <c r="F1352" t="s">
        <v>30</v>
      </c>
      <c r="G1352">
        <v>10</v>
      </c>
      <c r="H1352">
        <v>0</v>
      </c>
      <c r="I1352" s="21">
        <v>11318.57</v>
      </c>
      <c r="J1352" t="str">
        <f t="shared" si="106"/>
        <v>tier - 3</v>
      </c>
      <c r="K1352" t="s">
        <v>12</v>
      </c>
      <c r="L1352" t="str">
        <f t="shared" si="107"/>
        <v>tier - 2</v>
      </c>
      <c r="M1352" t="s">
        <v>11</v>
      </c>
      <c r="N1352" t="str">
        <f t="shared" si="108"/>
        <v>R1026</v>
      </c>
      <c r="O1352" t="s">
        <v>535</v>
      </c>
    </row>
    <row r="1353" spans="1:15" x14ac:dyDescent="0.35">
      <c r="A1353" t="s">
        <v>1384</v>
      </c>
      <c r="C1353">
        <f t="shared" si="105"/>
        <v>1963</v>
      </c>
      <c r="D1353">
        <v>1963</v>
      </c>
      <c r="E1353" t="str">
        <f t="shared" si="109"/>
        <v>Jul</v>
      </c>
      <c r="F1353" t="s">
        <v>10</v>
      </c>
      <c r="G1353">
        <v>11</v>
      </c>
      <c r="H1353">
        <v>0</v>
      </c>
      <c r="I1353" s="21">
        <v>11319.12</v>
      </c>
      <c r="J1353" t="str">
        <f t="shared" si="106"/>
        <v>tier - 3</v>
      </c>
      <c r="K1353" t="s">
        <v>12</v>
      </c>
      <c r="L1353" t="str">
        <f t="shared" si="107"/>
        <v>tier - 1</v>
      </c>
      <c r="M1353" t="s">
        <v>16</v>
      </c>
      <c r="N1353" t="str">
        <f t="shared" si="108"/>
        <v>R1012</v>
      </c>
      <c r="O1353" t="s">
        <v>23</v>
      </c>
    </row>
    <row r="1354" spans="1:15" x14ac:dyDescent="0.35">
      <c r="A1354" t="s">
        <v>1385</v>
      </c>
      <c r="C1354">
        <f t="shared" si="105"/>
        <v>2002</v>
      </c>
      <c r="D1354">
        <v>2002</v>
      </c>
      <c r="E1354" t="str">
        <f t="shared" si="109"/>
        <v>Sep</v>
      </c>
      <c r="F1354" t="s">
        <v>20</v>
      </c>
      <c r="G1354">
        <v>20</v>
      </c>
      <c r="H1354">
        <v>0</v>
      </c>
      <c r="I1354" s="21">
        <v>11321.49</v>
      </c>
      <c r="J1354" t="str">
        <f t="shared" si="106"/>
        <v>tier - 3</v>
      </c>
      <c r="K1354" t="s">
        <v>12</v>
      </c>
      <c r="L1354" t="str">
        <f t="shared" si="107"/>
        <v>tier - 3</v>
      </c>
      <c r="M1354" t="s">
        <v>12</v>
      </c>
      <c r="N1354" t="str">
        <f t="shared" si="108"/>
        <v>R1012</v>
      </c>
      <c r="O1354" t="s">
        <v>23</v>
      </c>
    </row>
    <row r="1355" spans="1:15" x14ac:dyDescent="0.35">
      <c r="A1355" t="s">
        <v>1386</v>
      </c>
      <c r="C1355">
        <f t="shared" si="105"/>
        <v>1989</v>
      </c>
      <c r="D1355">
        <v>1989</v>
      </c>
      <c r="E1355" t="str">
        <f t="shared" si="109"/>
        <v>Aug</v>
      </c>
      <c r="F1355" t="s">
        <v>35</v>
      </c>
      <c r="G1355">
        <v>19</v>
      </c>
      <c r="H1355">
        <v>1</v>
      </c>
      <c r="I1355" s="21">
        <v>11326.71</v>
      </c>
      <c r="J1355" t="str">
        <f t="shared" si="106"/>
        <v>tier - 3</v>
      </c>
      <c r="K1355" t="s">
        <v>12</v>
      </c>
      <c r="L1355" t="str">
        <f t="shared" si="107"/>
        <v>tier - 3</v>
      </c>
      <c r="M1355" t="s">
        <v>12</v>
      </c>
      <c r="N1355" t="str">
        <f t="shared" si="108"/>
        <v>R1013</v>
      </c>
      <c r="O1355" t="s">
        <v>13</v>
      </c>
    </row>
    <row r="1356" spans="1:15" x14ac:dyDescent="0.35">
      <c r="A1356" t="s">
        <v>1387</v>
      </c>
      <c r="C1356">
        <f t="shared" si="105"/>
        <v>1968</v>
      </c>
      <c r="D1356">
        <v>1968</v>
      </c>
      <c r="E1356" t="str">
        <f t="shared" si="109"/>
        <v>Nov</v>
      </c>
      <c r="F1356" t="s">
        <v>15</v>
      </c>
      <c r="G1356">
        <v>2</v>
      </c>
      <c r="H1356">
        <v>0</v>
      </c>
      <c r="I1356" s="21">
        <v>11344.32</v>
      </c>
      <c r="J1356" t="str">
        <f t="shared" si="106"/>
        <v>tier - 3</v>
      </c>
      <c r="K1356" t="s">
        <v>12</v>
      </c>
      <c r="L1356" t="str">
        <f t="shared" si="107"/>
        <v>tier - 2</v>
      </c>
      <c r="M1356" t="s">
        <v>11</v>
      </c>
      <c r="N1356" t="str">
        <f t="shared" si="108"/>
        <v>R1025</v>
      </c>
      <c r="O1356" t="s">
        <v>200</v>
      </c>
    </row>
    <row r="1357" spans="1:15" x14ac:dyDescent="0.35">
      <c r="A1357" t="s">
        <v>1388</v>
      </c>
      <c r="C1357">
        <f t="shared" si="105"/>
        <v>1964</v>
      </c>
      <c r="D1357">
        <v>1964</v>
      </c>
      <c r="E1357" t="str">
        <f t="shared" si="109"/>
        <v>Jul</v>
      </c>
      <c r="F1357" t="s">
        <v>10</v>
      </c>
      <c r="G1357">
        <v>12</v>
      </c>
      <c r="H1357">
        <v>0</v>
      </c>
      <c r="I1357" s="21">
        <v>11345.52</v>
      </c>
      <c r="J1357" t="str">
        <f t="shared" si="106"/>
        <v>tier - 3</v>
      </c>
      <c r="K1357" t="s">
        <v>12</v>
      </c>
      <c r="L1357" t="str">
        <f t="shared" si="107"/>
        <v>tier - 3</v>
      </c>
      <c r="M1357" t="s">
        <v>12</v>
      </c>
      <c r="N1357" t="str">
        <f t="shared" si="108"/>
        <v>R1011</v>
      </c>
      <c r="O1357" t="s">
        <v>42</v>
      </c>
    </row>
    <row r="1358" spans="1:15" x14ac:dyDescent="0.35">
      <c r="A1358" t="s">
        <v>1389</v>
      </c>
      <c r="C1358">
        <f t="shared" si="105"/>
        <v>1965</v>
      </c>
      <c r="D1358">
        <v>1965</v>
      </c>
      <c r="E1358" t="str">
        <f t="shared" si="109"/>
        <v>Nov</v>
      </c>
      <c r="F1358" t="s">
        <v>15</v>
      </c>
      <c r="G1358">
        <v>29</v>
      </c>
      <c r="H1358">
        <v>0</v>
      </c>
      <c r="I1358" s="21">
        <v>11353.23</v>
      </c>
      <c r="J1358" t="str">
        <f t="shared" si="106"/>
        <v>tier - 3</v>
      </c>
      <c r="K1358" t="s">
        <v>12</v>
      </c>
      <c r="L1358" t="str">
        <f t="shared" si="107"/>
        <v>tier - 1</v>
      </c>
      <c r="M1358" t="s">
        <v>16</v>
      </c>
      <c r="N1358" t="str">
        <f t="shared" si="108"/>
        <v>R1012</v>
      </c>
      <c r="O1358" t="s">
        <v>23</v>
      </c>
    </row>
    <row r="1359" spans="1:15" x14ac:dyDescent="0.35">
      <c r="A1359" t="s">
        <v>1390</v>
      </c>
      <c r="C1359">
        <f t="shared" si="105"/>
        <v>1965</v>
      </c>
      <c r="D1359">
        <v>1965</v>
      </c>
      <c r="E1359" t="str">
        <f t="shared" si="109"/>
        <v>Sep</v>
      </c>
      <c r="F1359" t="s">
        <v>20</v>
      </c>
      <c r="G1359">
        <v>26</v>
      </c>
      <c r="H1359">
        <v>0</v>
      </c>
      <c r="I1359" s="21">
        <v>11356.66</v>
      </c>
      <c r="J1359" t="str">
        <f t="shared" si="106"/>
        <v>tier - 3</v>
      </c>
      <c r="K1359" t="s">
        <v>12</v>
      </c>
      <c r="L1359" t="str">
        <f t="shared" si="107"/>
        <v>tier - 3</v>
      </c>
      <c r="M1359" t="s">
        <v>12</v>
      </c>
      <c r="N1359" t="str">
        <f t="shared" si="108"/>
        <v>R1012</v>
      </c>
      <c r="O1359" t="s">
        <v>23</v>
      </c>
    </row>
    <row r="1360" spans="1:15" x14ac:dyDescent="0.35">
      <c r="A1360" t="s">
        <v>1391</v>
      </c>
      <c r="C1360">
        <f t="shared" si="105"/>
        <v>1964</v>
      </c>
      <c r="D1360">
        <v>1964</v>
      </c>
      <c r="E1360" t="str">
        <f t="shared" si="109"/>
        <v>Jul</v>
      </c>
      <c r="F1360" t="s">
        <v>10</v>
      </c>
      <c r="G1360">
        <v>4</v>
      </c>
      <c r="H1360">
        <v>0</v>
      </c>
      <c r="I1360" s="21">
        <v>11362.76</v>
      </c>
      <c r="J1360" t="str">
        <f t="shared" si="106"/>
        <v>tier - 3</v>
      </c>
      <c r="K1360" t="s">
        <v>12</v>
      </c>
      <c r="L1360" t="str">
        <f t="shared" si="107"/>
        <v>tier - 1</v>
      </c>
      <c r="M1360" t="s">
        <v>16</v>
      </c>
      <c r="N1360" t="str">
        <f t="shared" si="108"/>
        <v>R1011</v>
      </c>
      <c r="O1360" t="s">
        <v>42</v>
      </c>
    </row>
    <row r="1361" spans="1:15" x14ac:dyDescent="0.35">
      <c r="A1361" t="s">
        <v>1392</v>
      </c>
      <c r="C1361">
        <f t="shared" si="105"/>
        <v>1964</v>
      </c>
      <c r="D1361">
        <v>1964</v>
      </c>
      <c r="E1361" t="str">
        <f t="shared" si="109"/>
        <v>Jul</v>
      </c>
      <c r="F1361" t="s">
        <v>10</v>
      </c>
      <c r="G1361">
        <v>3</v>
      </c>
      <c r="H1361">
        <v>0</v>
      </c>
      <c r="I1361" s="21">
        <v>11363.28</v>
      </c>
      <c r="J1361" t="str">
        <f t="shared" si="106"/>
        <v>tier - 3</v>
      </c>
      <c r="K1361" t="s">
        <v>12</v>
      </c>
      <c r="L1361" t="str">
        <f t="shared" si="107"/>
        <v>tier - 1</v>
      </c>
      <c r="M1361" t="s">
        <v>16</v>
      </c>
      <c r="N1361" t="str">
        <f t="shared" si="108"/>
        <v>R1013</v>
      </c>
      <c r="O1361" t="s">
        <v>13</v>
      </c>
    </row>
    <row r="1362" spans="1:15" x14ac:dyDescent="0.35">
      <c r="A1362" t="s">
        <v>1393</v>
      </c>
      <c r="C1362">
        <f t="shared" si="105"/>
        <v>1964</v>
      </c>
      <c r="D1362">
        <v>1964</v>
      </c>
      <c r="E1362" t="str">
        <f t="shared" si="109"/>
        <v>Dec</v>
      </c>
      <c r="F1362" t="s">
        <v>30</v>
      </c>
      <c r="G1362">
        <v>13</v>
      </c>
      <c r="H1362">
        <v>0</v>
      </c>
      <c r="I1362" s="21">
        <v>11365.95</v>
      </c>
      <c r="J1362" t="str">
        <f t="shared" si="106"/>
        <v>tier - 3</v>
      </c>
      <c r="K1362" t="s">
        <v>12</v>
      </c>
      <c r="L1362" t="str">
        <f t="shared" si="107"/>
        <v>tier - 2</v>
      </c>
      <c r="M1362" t="s">
        <v>11</v>
      </c>
      <c r="N1362" t="str">
        <f t="shared" si="108"/>
        <v>R1011</v>
      </c>
      <c r="O1362" t="s">
        <v>42</v>
      </c>
    </row>
    <row r="1363" spans="1:15" x14ac:dyDescent="0.35">
      <c r="A1363" t="s">
        <v>1394</v>
      </c>
      <c r="C1363">
        <f t="shared" si="105"/>
        <v>1979</v>
      </c>
      <c r="D1363">
        <v>1979</v>
      </c>
      <c r="E1363" t="str">
        <f t="shared" si="109"/>
        <v>Jun</v>
      </c>
      <c r="F1363" t="s">
        <v>18</v>
      </c>
      <c r="G1363">
        <v>7</v>
      </c>
      <c r="H1363">
        <v>2</v>
      </c>
      <c r="I1363" s="21">
        <v>11369.39</v>
      </c>
      <c r="J1363" t="str">
        <f t="shared" si="106"/>
        <v>tier - 3</v>
      </c>
      <c r="K1363" t="s">
        <v>12</v>
      </c>
      <c r="L1363" t="str">
        <f t="shared" si="107"/>
        <v>tier - 1</v>
      </c>
      <c r="M1363" t="s">
        <v>16</v>
      </c>
      <c r="N1363" t="str">
        <f t="shared" si="108"/>
        <v>R1026</v>
      </c>
      <c r="O1363" t="s">
        <v>535</v>
      </c>
    </row>
    <row r="1364" spans="1:15" x14ac:dyDescent="0.35">
      <c r="A1364" t="s">
        <v>1395</v>
      </c>
      <c r="C1364">
        <f t="shared" si="105"/>
        <v>1972</v>
      </c>
      <c r="D1364">
        <v>1972</v>
      </c>
      <c r="E1364" t="str">
        <f t="shared" si="109"/>
        <v>Dec</v>
      </c>
      <c r="F1364" t="s">
        <v>30</v>
      </c>
      <c r="G1364">
        <v>6</v>
      </c>
      <c r="H1364">
        <v>0</v>
      </c>
      <c r="I1364" s="21">
        <v>11378.57</v>
      </c>
      <c r="J1364" t="str">
        <f t="shared" si="106"/>
        <v>tier - 3</v>
      </c>
      <c r="K1364" t="s">
        <v>12</v>
      </c>
      <c r="L1364" t="str">
        <f t="shared" si="107"/>
        <v>tier - 2</v>
      </c>
      <c r="M1364" t="s">
        <v>11</v>
      </c>
      <c r="N1364" t="str">
        <f t="shared" si="108"/>
        <v>R1025</v>
      </c>
      <c r="O1364" t="s">
        <v>200</v>
      </c>
    </row>
    <row r="1365" spans="1:15" x14ac:dyDescent="0.35">
      <c r="A1365" t="s">
        <v>1396</v>
      </c>
      <c r="C1365">
        <f t="shared" si="105"/>
        <v>1964</v>
      </c>
      <c r="D1365">
        <v>1964</v>
      </c>
      <c r="E1365" t="str">
        <f t="shared" si="109"/>
        <v>Jun</v>
      </c>
      <c r="F1365" t="s">
        <v>18</v>
      </c>
      <c r="G1365">
        <v>13</v>
      </c>
      <c r="H1365">
        <v>0</v>
      </c>
      <c r="I1365" s="21">
        <v>11381.33</v>
      </c>
      <c r="J1365" t="str">
        <f t="shared" si="106"/>
        <v>tier - 3</v>
      </c>
      <c r="K1365" t="s">
        <v>12</v>
      </c>
      <c r="L1365" t="str">
        <f t="shared" si="107"/>
        <v>tier - 2</v>
      </c>
      <c r="M1365" t="s">
        <v>11</v>
      </c>
      <c r="N1365" t="str">
        <f t="shared" si="108"/>
        <v>R1013</v>
      </c>
      <c r="O1365" t="s">
        <v>13</v>
      </c>
    </row>
    <row r="1366" spans="1:15" x14ac:dyDescent="0.35">
      <c r="A1366" t="s">
        <v>1397</v>
      </c>
      <c r="C1366">
        <f t="shared" si="105"/>
        <v>1997</v>
      </c>
      <c r="D1366">
        <v>1997</v>
      </c>
      <c r="E1366" t="str">
        <f t="shared" si="109"/>
        <v>Jul</v>
      </c>
      <c r="F1366" t="s">
        <v>10</v>
      </c>
      <c r="G1366">
        <v>28</v>
      </c>
      <c r="H1366">
        <v>0</v>
      </c>
      <c r="I1366" s="21">
        <v>11388.27</v>
      </c>
      <c r="J1366" t="str">
        <f t="shared" si="106"/>
        <v>tier - 3</v>
      </c>
      <c r="K1366" t="s">
        <v>12</v>
      </c>
      <c r="L1366" t="str">
        <f t="shared" si="107"/>
        <v>tier - 2</v>
      </c>
      <c r="M1366" t="s">
        <v>11</v>
      </c>
      <c r="N1366" t="str">
        <f t="shared" si="108"/>
        <v>R1026</v>
      </c>
      <c r="O1366" t="s">
        <v>535</v>
      </c>
    </row>
    <row r="1367" spans="1:15" x14ac:dyDescent="0.35">
      <c r="A1367" t="s">
        <v>1398</v>
      </c>
      <c r="C1367">
        <f t="shared" si="105"/>
        <v>1967</v>
      </c>
      <c r="D1367">
        <v>1967</v>
      </c>
      <c r="E1367" t="str">
        <f t="shared" si="109"/>
        <v>Dec</v>
      </c>
      <c r="F1367" t="s">
        <v>30</v>
      </c>
      <c r="G1367">
        <v>19</v>
      </c>
      <c r="H1367">
        <v>1</v>
      </c>
      <c r="I1367" s="21">
        <v>11394.07</v>
      </c>
      <c r="J1367" t="str">
        <f t="shared" si="106"/>
        <v>tier - 3</v>
      </c>
      <c r="K1367" t="s">
        <v>12</v>
      </c>
      <c r="L1367" t="str">
        <f t="shared" si="107"/>
        <v>tier - 1</v>
      </c>
      <c r="M1367" t="s">
        <v>16</v>
      </c>
      <c r="N1367" t="str">
        <f t="shared" si="108"/>
        <v>R1018</v>
      </c>
      <c r="O1367" t="s">
        <v>170</v>
      </c>
    </row>
    <row r="1368" spans="1:15" x14ac:dyDescent="0.35">
      <c r="A1368" t="s">
        <v>1399</v>
      </c>
      <c r="C1368">
        <f t="shared" si="105"/>
        <v>1970</v>
      </c>
      <c r="D1368">
        <v>1970</v>
      </c>
      <c r="E1368" t="str">
        <f t="shared" si="109"/>
        <v>Oct</v>
      </c>
      <c r="F1368" t="s">
        <v>37</v>
      </c>
      <c r="G1368">
        <v>2</v>
      </c>
      <c r="H1368">
        <v>2</v>
      </c>
      <c r="I1368" s="21">
        <v>11396.9</v>
      </c>
      <c r="J1368" t="str">
        <f t="shared" si="106"/>
        <v>tier - 3</v>
      </c>
      <c r="K1368" t="s">
        <v>12</v>
      </c>
      <c r="L1368" t="str">
        <f t="shared" si="107"/>
        <v>tier - 3</v>
      </c>
      <c r="M1368" t="s">
        <v>12</v>
      </c>
      <c r="N1368" t="str">
        <f t="shared" si="108"/>
        <v>R1024</v>
      </c>
      <c r="O1368" t="s">
        <v>247</v>
      </c>
    </row>
    <row r="1369" spans="1:15" x14ac:dyDescent="0.35">
      <c r="A1369" t="s">
        <v>1400</v>
      </c>
      <c r="C1369">
        <f t="shared" si="105"/>
        <v>1970</v>
      </c>
      <c r="D1369">
        <v>1970</v>
      </c>
      <c r="E1369" t="str">
        <f t="shared" si="109"/>
        <v>Oct</v>
      </c>
      <c r="F1369" t="s">
        <v>37</v>
      </c>
      <c r="G1369">
        <v>7</v>
      </c>
      <c r="H1369">
        <v>3</v>
      </c>
      <c r="I1369" s="21">
        <v>11411.69</v>
      </c>
      <c r="J1369" t="str">
        <f t="shared" si="106"/>
        <v>tier - 3</v>
      </c>
      <c r="K1369" t="s">
        <v>12</v>
      </c>
      <c r="L1369" t="str">
        <f t="shared" si="107"/>
        <v>tier - 2</v>
      </c>
      <c r="M1369" t="s">
        <v>11</v>
      </c>
      <c r="N1369" t="str">
        <f t="shared" si="108"/>
        <v>R1011</v>
      </c>
      <c r="O1369" t="s">
        <v>42</v>
      </c>
    </row>
    <row r="1370" spans="1:15" x14ac:dyDescent="0.35">
      <c r="A1370" t="s">
        <v>1401</v>
      </c>
      <c r="C1370">
        <f t="shared" si="105"/>
        <v>1983</v>
      </c>
      <c r="D1370">
        <v>1983</v>
      </c>
      <c r="E1370" t="str">
        <f t="shared" si="109"/>
        <v>Oct</v>
      </c>
      <c r="F1370" t="s">
        <v>37</v>
      </c>
      <c r="G1370">
        <v>23</v>
      </c>
      <c r="H1370">
        <v>3</v>
      </c>
      <c r="I1370" s="21">
        <v>11412.02</v>
      </c>
      <c r="J1370" t="str">
        <f t="shared" si="106"/>
        <v>tier - 3</v>
      </c>
      <c r="K1370" t="s">
        <v>12</v>
      </c>
      <c r="L1370" t="str">
        <f t="shared" si="107"/>
        <v>tier - 1</v>
      </c>
      <c r="M1370" t="s">
        <v>16</v>
      </c>
      <c r="N1370" t="str">
        <f t="shared" si="108"/>
        <v>R1021</v>
      </c>
      <c r="O1370" t="s">
        <v>300</v>
      </c>
    </row>
    <row r="1371" spans="1:15" x14ac:dyDescent="0.35">
      <c r="A1371" t="s">
        <v>1402</v>
      </c>
      <c r="C1371">
        <f t="shared" si="105"/>
        <v>1985</v>
      </c>
      <c r="D1371">
        <v>1985</v>
      </c>
      <c r="E1371" t="str">
        <f t="shared" si="109"/>
        <v>Jun</v>
      </c>
      <c r="F1371" t="s">
        <v>18</v>
      </c>
      <c r="G1371">
        <v>9</v>
      </c>
      <c r="H1371">
        <v>3</v>
      </c>
      <c r="I1371" s="21">
        <v>11419.49</v>
      </c>
      <c r="J1371" t="str">
        <f t="shared" si="106"/>
        <v>tier - 3</v>
      </c>
      <c r="K1371" t="s">
        <v>12</v>
      </c>
      <c r="L1371" t="str">
        <f t="shared" si="107"/>
        <v>tier - 1</v>
      </c>
      <c r="M1371" t="s">
        <v>16</v>
      </c>
      <c r="N1371" t="str">
        <f t="shared" si="108"/>
        <v>R1012</v>
      </c>
      <c r="O1371" t="s">
        <v>23</v>
      </c>
    </row>
    <row r="1372" spans="1:15" x14ac:dyDescent="0.35">
      <c r="A1372" t="s">
        <v>1403</v>
      </c>
      <c r="C1372">
        <f t="shared" si="105"/>
        <v>1980</v>
      </c>
      <c r="D1372">
        <v>1980</v>
      </c>
      <c r="E1372" t="str">
        <f t="shared" si="109"/>
        <v>Jul</v>
      </c>
      <c r="F1372" t="s">
        <v>10</v>
      </c>
      <c r="G1372">
        <v>17</v>
      </c>
      <c r="H1372">
        <v>2</v>
      </c>
      <c r="I1372" s="21">
        <v>11435.74</v>
      </c>
      <c r="J1372" t="str">
        <f t="shared" si="106"/>
        <v>tier - 3</v>
      </c>
      <c r="K1372" t="s">
        <v>12</v>
      </c>
      <c r="L1372" t="str">
        <f t="shared" si="107"/>
        <v>tier - 3</v>
      </c>
      <c r="M1372" t="s">
        <v>12</v>
      </c>
      <c r="N1372" t="str">
        <f t="shared" si="108"/>
        <v>R1021</v>
      </c>
      <c r="O1372" t="s">
        <v>300</v>
      </c>
    </row>
    <row r="1373" spans="1:15" x14ac:dyDescent="0.35">
      <c r="A1373" t="s">
        <v>1404</v>
      </c>
      <c r="C1373">
        <f t="shared" si="105"/>
        <v>1971</v>
      </c>
      <c r="D1373">
        <v>1971</v>
      </c>
      <c r="E1373" t="str">
        <f t="shared" si="109"/>
        <v>Sep</v>
      </c>
      <c r="F1373" t="s">
        <v>20</v>
      </c>
      <c r="G1373">
        <v>12</v>
      </c>
      <c r="H1373">
        <v>3</v>
      </c>
      <c r="I1373" s="21">
        <v>11436.74</v>
      </c>
      <c r="J1373" t="str">
        <f t="shared" si="106"/>
        <v>tier - 3</v>
      </c>
      <c r="K1373" t="s">
        <v>12</v>
      </c>
      <c r="L1373" t="str">
        <f t="shared" si="107"/>
        <v>tier - 3</v>
      </c>
      <c r="M1373" t="s">
        <v>12</v>
      </c>
      <c r="N1373" t="str">
        <f t="shared" si="108"/>
        <v>R1012</v>
      </c>
      <c r="O1373" t="s">
        <v>23</v>
      </c>
    </row>
    <row r="1374" spans="1:15" x14ac:dyDescent="0.35">
      <c r="A1374" t="s">
        <v>1405</v>
      </c>
      <c r="C1374">
        <f t="shared" si="105"/>
        <v>1966</v>
      </c>
      <c r="D1374">
        <v>1966</v>
      </c>
      <c r="E1374" t="str">
        <f t="shared" si="109"/>
        <v>Jun</v>
      </c>
      <c r="F1374" t="s">
        <v>18</v>
      </c>
      <c r="G1374">
        <v>14</v>
      </c>
      <c r="H1374">
        <v>0</v>
      </c>
      <c r="I1374" s="21">
        <v>11454.02</v>
      </c>
      <c r="J1374" t="str">
        <f t="shared" si="106"/>
        <v>tier - 3</v>
      </c>
      <c r="K1374" t="s">
        <v>12</v>
      </c>
      <c r="L1374" t="str">
        <f t="shared" si="107"/>
        <v>tier - 1</v>
      </c>
      <c r="M1374" t="s">
        <v>16</v>
      </c>
      <c r="N1374" t="str">
        <f t="shared" si="108"/>
        <v>R1012</v>
      </c>
      <c r="O1374" t="s">
        <v>23</v>
      </c>
    </row>
    <row r="1375" spans="1:15" x14ac:dyDescent="0.35">
      <c r="A1375" t="s">
        <v>1406</v>
      </c>
      <c r="C1375">
        <f t="shared" si="105"/>
        <v>1965</v>
      </c>
      <c r="D1375">
        <v>1965</v>
      </c>
      <c r="E1375" t="str">
        <f t="shared" si="109"/>
        <v>Jun</v>
      </c>
      <c r="F1375" t="s">
        <v>18</v>
      </c>
      <c r="G1375">
        <v>23</v>
      </c>
      <c r="H1375">
        <v>0</v>
      </c>
      <c r="I1375" s="21">
        <v>11455.28</v>
      </c>
      <c r="J1375" t="str">
        <f t="shared" si="106"/>
        <v>tier - 3</v>
      </c>
      <c r="K1375" t="s">
        <v>12</v>
      </c>
      <c r="L1375" t="str">
        <f t="shared" si="107"/>
        <v>tier - 2</v>
      </c>
      <c r="M1375" t="s">
        <v>11</v>
      </c>
      <c r="N1375" t="str">
        <f t="shared" si="108"/>
        <v>R1011</v>
      </c>
      <c r="O1375" t="s">
        <v>42</v>
      </c>
    </row>
    <row r="1376" spans="1:15" x14ac:dyDescent="0.35">
      <c r="A1376" t="s">
        <v>1407</v>
      </c>
      <c r="C1376">
        <f t="shared" si="105"/>
        <v>1966</v>
      </c>
      <c r="D1376">
        <v>1966</v>
      </c>
      <c r="E1376" t="str">
        <f t="shared" si="109"/>
        <v>Sep</v>
      </c>
      <c r="F1376" t="s">
        <v>20</v>
      </c>
      <c r="G1376">
        <v>7</v>
      </c>
      <c r="H1376">
        <v>0</v>
      </c>
      <c r="I1376" s="21">
        <v>11478.14</v>
      </c>
      <c r="J1376" t="str">
        <f t="shared" si="106"/>
        <v>tier - 3</v>
      </c>
      <c r="K1376" t="s">
        <v>12</v>
      </c>
      <c r="L1376" t="str">
        <f t="shared" si="107"/>
        <v>tier - 2</v>
      </c>
      <c r="M1376" t="s">
        <v>11</v>
      </c>
      <c r="N1376" t="str">
        <f t="shared" si="108"/>
        <v>R1025</v>
      </c>
      <c r="O1376" t="s">
        <v>200</v>
      </c>
    </row>
    <row r="1377" spans="1:15" x14ac:dyDescent="0.35">
      <c r="A1377" t="s">
        <v>1408</v>
      </c>
      <c r="C1377">
        <f t="shared" si="105"/>
        <v>2004</v>
      </c>
      <c r="D1377">
        <v>2004</v>
      </c>
      <c r="E1377" t="str">
        <f t="shared" si="109"/>
        <v>Sep</v>
      </c>
      <c r="F1377" t="s">
        <v>20</v>
      </c>
      <c r="G1377">
        <v>10</v>
      </c>
      <c r="H1377">
        <v>0</v>
      </c>
      <c r="I1377" s="21">
        <v>11482.63</v>
      </c>
      <c r="J1377" t="str">
        <f t="shared" si="106"/>
        <v>tier - 3</v>
      </c>
      <c r="K1377" t="s">
        <v>12</v>
      </c>
      <c r="L1377" t="str">
        <f t="shared" si="107"/>
        <v>tier - 2</v>
      </c>
      <c r="M1377" t="s">
        <v>11</v>
      </c>
      <c r="N1377" t="str">
        <f t="shared" si="108"/>
        <v>R1013</v>
      </c>
      <c r="O1377" t="s">
        <v>13</v>
      </c>
    </row>
    <row r="1378" spans="1:15" x14ac:dyDescent="0.35">
      <c r="A1378" t="s">
        <v>1409</v>
      </c>
      <c r="C1378">
        <f t="shared" si="105"/>
        <v>1970</v>
      </c>
      <c r="D1378">
        <v>1970</v>
      </c>
      <c r="E1378" t="str">
        <f t="shared" si="109"/>
        <v>Oct</v>
      </c>
      <c r="F1378" t="s">
        <v>37</v>
      </c>
      <c r="G1378">
        <v>13</v>
      </c>
      <c r="H1378">
        <v>3</v>
      </c>
      <c r="I1378" s="21">
        <v>11488.32</v>
      </c>
      <c r="J1378" t="str">
        <f t="shared" si="106"/>
        <v>tier - 3</v>
      </c>
      <c r="K1378" t="s">
        <v>12</v>
      </c>
      <c r="L1378" t="str">
        <f t="shared" si="107"/>
        <v>tier - 1</v>
      </c>
      <c r="M1378" t="s">
        <v>16</v>
      </c>
      <c r="N1378" t="str">
        <f t="shared" si="108"/>
        <v>R1014</v>
      </c>
      <c r="O1378" t="s">
        <v>276</v>
      </c>
    </row>
    <row r="1379" spans="1:15" x14ac:dyDescent="0.35">
      <c r="A1379" t="s">
        <v>1410</v>
      </c>
      <c r="C1379">
        <f t="shared" si="105"/>
        <v>1983</v>
      </c>
      <c r="D1379">
        <v>1983</v>
      </c>
      <c r="E1379" t="str">
        <f t="shared" si="109"/>
        <v>Jun</v>
      </c>
      <c r="F1379" t="s">
        <v>18</v>
      </c>
      <c r="G1379">
        <v>7</v>
      </c>
      <c r="H1379">
        <v>3</v>
      </c>
      <c r="I1379" s="21">
        <v>11492.46</v>
      </c>
      <c r="J1379" t="str">
        <f t="shared" si="106"/>
        <v>tier - 3</v>
      </c>
      <c r="K1379" t="s">
        <v>12</v>
      </c>
      <c r="L1379" t="str">
        <f t="shared" si="107"/>
        <v>tier - 3</v>
      </c>
      <c r="M1379" t="s">
        <v>12</v>
      </c>
      <c r="N1379" t="str">
        <f t="shared" si="108"/>
        <v>R1026</v>
      </c>
      <c r="O1379" t="s">
        <v>535</v>
      </c>
    </row>
    <row r="1380" spans="1:15" x14ac:dyDescent="0.35">
      <c r="A1380" t="s">
        <v>1411</v>
      </c>
      <c r="C1380">
        <f t="shared" si="105"/>
        <v>1969</v>
      </c>
      <c r="D1380">
        <v>1969</v>
      </c>
      <c r="E1380" t="str">
        <f t="shared" si="109"/>
        <v>Aug</v>
      </c>
      <c r="F1380" t="s">
        <v>35</v>
      </c>
      <c r="G1380">
        <v>11</v>
      </c>
      <c r="H1380">
        <v>0</v>
      </c>
      <c r="I1380" s="21">
        <v>11497.69</v>
      </c>
      <c r="J1380" t="str">
        <f t="shared" si="106"/>
        <v>tier - 3</v>
      </c>
      <c r="K1380" t="s">
        <v>12</v>
      </c>
      <c r="L1380" t="str">
        <f t="shared" si="107"/>
        <v>tier - 1</v>
      </c>
      <c r="M1380" t="s">
        <v>16</v>
      </c>
      <c r="N1380" t="str">
        <f t="shared" si="108"/>
        <v>R1012</v>
      </c>
      <c r="O1380" t="s">
        <v>23</v>
      </c>
    </row>
    <row r="1381" spans="1:15" x14ac:dyDescent="0.35">
      <c r="A1381" t="s">
        <v>1412</v>
      </c>
      <c r="C1381">
        <f t="shared" si="105"/>
        <v>1989</v>
      </c>
      <c r="D1381">
        <v>1989</v>
      </c>
      <c r="E1381" t="str">
        <f t="shared" si="109"/>
        <v>Oct</v>
      </c>
      <c r="F1381" t="s">
        <v>37</v>
      </c>
      <c r="G1381">
        <v>6</v>
      </c>
      <c r="H1381">
        <v>3</v>
      </c>
      <c r="I1381" s="21">
        <v>11511.61</v>
      </c>
      <c r="J1381" t="str">
        <f t="shared" si="106"/>
        <v>tier - 3</v>
      </c>
      <c r="K1381" t="s">
        <v>12</v>
      </c>
      <c r="L1381" t="str">
        <f t="shared" si="107"/>
        <v>tier - 3</v>
      </c>
      <c r="M1381" t="s">
        <v>12</v>
      </c>
      <c r="N1381" t="str">
        <f t="shared" si="108"/>
        <v>R1026</v>
      </c>
      <c r="O1381" t="s">
        <v>535</v>
      </c>
    </row>
    <row r="1382" spans="1:15" x14ac:dyDescent="0.35">
      <c r="A1382" t="s">
        <v>1413</v>
      </c>
      <c r="C1382">
        <f t="shared" si="105"/>
        <v>1968</v>
      </c>
      <c r="D1382">
        <v>1968</v>
      </c>
      <c r="E1382" t="str">
        <f t="shared" si="109"/>
        <v>Jun</v>
      </c>
      <c r="F1382" t="s">
        <v>18</v>
      </c>
      <c r="G1382">
        <v>24</v>
      </c>
      <c r="H1382">
        <v>1</v>
      </c>
      <c r="I1382" s="21">
        <v>11512.41</v>
      </c>
      <c r="J1382" t="str">
        <f t="shared" si="106"/>
        <v>tier - 3</v>
      </c>
      <c r="K1382" t="s">
        <v>12</v>
      </c>
      <c r="L1382" t="str">
        <f t="shared" si="107"/>
        <v>tier - 1</v>
      </c>
      <c r="M1382" t="s">
        <v>16</v>
      </c>
      <c r="N1382" t="str">
        <f t="shared" si="108"/>
        <v>R1024</v>
      </c>
      <c r="O1382" t="s">
        <v>247</v>
      </c>
    </row>
    <row r="1383" spans="1:15" x14ac:dyDescent="0.35">
      <c r="A1383" t="s">
        <v>1414</v>
      </c>
      <c r="C1383">
        <f t="shared" si="105"/>
        <v>1971</v>
      </c>
      <c r="D1383">
        <v>1971</v>
      </c>
      <c r="E1383" t="str">
        <f t="shared" si="109"/>
        <v>Dec</v>
      </c>
      <c r="F1383" t="s">
        <v>30</v>
      </c>
      <c r="G1383">
        <v>19</v>
      </c>
      <c r="H1383">
        <v>4</v>
      </c>
      <c r="I1383" s="21">
        <v>11520.1</v>
      </c>
      <c r="J1383" t="str">
        <f t="shared" si="106"/>
        <v>tier - 3</v>
      </c>
      <c r="K1383" t="s">
        <v>12</v>
      </c>
      <c r="L1383" t="str">
        <f t="shared" si="107"/>
        <v>tier - 1</v>
      </c>
      <c r="M1383" t="s">
        <v>16</v>
      </c>
      <c r="N1383" t="str">
        <f t="shared" si="108"/>
        <v>R1012</v>
      </c>
      <c r="O1383" t="s">
        <v>23</v>
      </c>
    </row>
    <row r="1384" spans="1:15" x14ac:dyDescent="0.35">
      <c r="A1384" t="s">
        <v>1415</v>
      </c>
      <c r="C1384">
        <f t="shared" si="105"/>
        <v>1988</v>
      </c>
      <c r="D1384">
        <v>1988</v>
      </c>
      <c r="E1384" t="str">
        <f t="shared" si="109"/>
        <v>Jun</v>
      </c>
      <c r="F1384" t="s">
        <v>18</v>
      </c>
      <c r="G1384">
        <v>12</v>
      </c>
      <c r="H1384">
        <v>3</v>
      </c>
      <c r="I1384" s="21">
        <v>11524.25</v>
      </c>
      <c r="J1384" t="str">
        <f t="shared" si="106"/>
        <v>tier - 3</v>
      </c>
      <c r="K1384" t="s">
        <v>12</v>
      </c>
      <c r="L1384" t="str">
        <f t="shared" si="107"/>
        <v>tier - 1</v>
      </c>
      <c r="M1384" t="s">
        <v>16</v>
      </c>
      <c r="N1384" t="str">
        <f t="shared" si="108"/>
        <v>R1026</v>
      </c>
      <c r="O1384" t="s">
        <v>535</v>
      </c>
    </row>
    <row r="1385" spans="1:15" x14ac:dyDescent="0.35">
      <c r="A1385" t="s">
        <v>1416</v>
      </c>
      <c r="C1385">
        <f t="shared" si="105"/>
        <v>1970</v>
      </c>
      <c r="D1385">
        <v>1970</v>
      </c>
      <c r="E1385" t="str">
        <f t="shared" si="109"/>
        <v>Jul</v>
      </c>
      <c r="F1385" t="s">
        <v>10</v>
      </c>
      <c r="G1385">
        <v>23</v>
      </c>
      <c r="H1385">
        <v>0</v>
      </c>
      <c r="I1385" s="21">
        <v>11530.12</v>
      </c>
      <c r="J1385" t="str">
        <f t="shared" si="106"/>
        <v>tier - 3</v>
      </c>
      <c r="K1385" t="s">
        <v>12</v>
      </c>
      <c r="L1385" t="str">
        <f t="shared" si="107"/>
        <v>tier - 1</v>
      </c>
      <c r="M1385" t="s">
        <v>16</v>
      </c>
      <c r="N1385" t="str">
        <f t="shared" si="108"/>
        <v>R1012</v>
      </c>
      <c r="O1385" t="s">
        <v>23</v>
      </c>
    </row>
    <row r="1386" spans="1:15" x14ac:dyDescent="0.35">
      <c r="A1386" t="s">
        <v>1417</v>
      </c>
      <c r="C1386">
        <f t="shared" si="105"/>
        <v>1965</v>
      </c>
      <c r="D1386">
        <v>1965</v>
      </c>
      <c r="E1386" t="str">
        <f t="shared" si="109"/>
        <v>Oct</v>
      </c>
      <c r="F1386" t="s">
        <v>37</v>
      </c>
      <c r="G1386">
        <v>3</v>
      </c>
      <c r="H1386">
        <v>0</v>
      </c>
      <c r="I1386" s="21">
        <v>11534.87</v>
      </c>
      <c r="J1386" t="str">
        <f t="shared" si="106"/>
        <v>tier - 3</v>
      </c>
      <c r="K1386" t="s">
        <v>12</v>
      </c>
      <c r="L1386" t="str">
        <f t="shared" si="107"/>
        <v>tier - 1</v>
      </c>
      <c r="M1386" t="s">
        <v>16</v>
      </c>
      <c r="N1386" t="str">
        <f t="shared" si="108"/>
        <v>R1017</v>
      </c>
      <c r="O1386" t="s">
        <v>356</v>
      </c>
    </row>
    <row r="1387" spans="1:15" x14ac:dyDescent="0.35">
      <c r="A1387" t="s">
        <v>1418</v>
      </c>
      <c r="C1387">
        <f t="shared" si="105"/>
        <v>1968</v>
      </c>
      <c r="D1387">
        <v>1968</v>
      </c>
      <c r="E1387" t="str">
        <f t="shared" si="109"/>
        <v>Nov</v>
      </c>
      <c r="F1387" t="s">
        <v>15</v>
      </c>
      <c r="G1387">
        <v>14</v>
      </c>
      <c r="H1387">
        <v>2</v>
      </c>
      <c r="I1387" s="21">
        <v>11538.42</v>
      </c>
      <c r="J1387" t="str">
        <f t="shared" si="106"/>
        <v>tier - 3</v>
      </c>
      <c r="K1387" t="s">
        <v>12</v>
      </c>
      <c r="L1387" t="str">
        <f t="shared" si="107"/>
        <v>tier - 1</v>
      </c>
      <c r="M1387" t="s">
        <v>16</v>
      </c>
      <c r="N1387" t="str">
        <f t="shared" si="108"/>
        <v>R1011</v>
      </c>
      <c r="O1387" t="s">
        <v>42</v>
      </c>
    </row>
    <row r="1388" spans="1:15" x14ac:dyDescent="0.35">
      <c r="A1388" t="s">
        <v>1419</v>
      </c>
      <c r="C1388">
        <f t="shared" si="105"/>
        <v>1971</v>
      </c>
      <c r="D1388">
        <v>1971</v>
      </c>
      <c r="E1388" t="str">
        <f t="shared" si="109"/>
        <v>Dec</v>
      </c>
      <c r="F1388" t="s">
        <v>30</v>
      </c>
      <c r="G1388">
        <v>1</v>
      </c>
      <c r="H1388">
        <v>0</v>
      </c>
      <c r="I1388" s="21">
        <v>11540.25</v>
      </c>
      <c r="J1388" t="str">
        <f t="shared" si="106"/>
        <v>tier - 3</v>
      </c>
      <c r="K1388" t="s">
        <v>12</v>
      </c>
      <c r="L1388" t="str">
        <f t="shared" si="107"/>
        <v>tier - 1</v>
      </c>
      <c r="M1388" t="s">
        <v>16</v>
      </c>
      <c r="N1388" t="str">
        <f t="shared" si="108"/>
        <v>R1012</v>
      </c>
      <c r="O1388" t="s">
        <v>23</v>
      </c>
    </row>
    <row r="1389" spans="1:15" x14ac:dyDescent="0.35">
      <c r="A1389" t="s">
        <v>1420</v>
      </c>
      <c r="C1389">
        <f t="shared" si="105"/>
        <v>1973</v>
      </c>
      <c r="D1389">
        <v>1973</v>
      </c>
      <c r="E1389" t="str">
        <f t="shared" si="109"/>
        <v>Jul</v>
      </c>
      <c r="F1389" t="s">
        <v>10</v>
      </c>
      <c r="G1389">
        <v>23</v>
      </c>
      <c r="H1389">
        <v>5</v>
      </c>
      <c r="I1389" s="21">
        <v>11552.9</v>
      </c>
      <c r="J1389" t="str">
        <f t="shared" si="106"/>
        <v>tier - 3</v>
      </c>
      <c r="K1389" t="s">
        <v>12</v>
      </c>
      <c r="L1389" t="str">
        <f t="shared" si="107"/>
        <v>tier - 2</v>
      </c>
      <c r="M1389" t="s">
        <v>11</v>
      </c>
      <c r="N1389" t="str">
        <f t="shared" si="108"/>
        <v>R1011</v>
      </c>
      <c r="O1389" t="s">
        <v>42</v>
      </c>
    </row>
    <row r="1390" spans="1:15" x14ac:dyDescent="0.35">
      <c r="A1390" t="s">
        <v>1421</v>
      </c>
      <c r="C1390">
        <f t="shared" si="105"/>
        <v>1965</v>
      </c>
      <c r="D1390">
        <v>1965</v>
      </c>
      <c r="E1390" t="str">
        <f t="shared" si="109"/>
        <v>Oct</v>
      </c>
      <c r="F1390" t="s">
        <v>37</v>
      </c>
      <c r="G1390">
        <v>27</v>
      </c>
      <c r="H1390">
        <v>1</v>
      </c>
      <c r="I1390" s="21">
        <v>11554.22</v>
      </c>
      <c r="J1390" t="str">
        <f t="shared" si="106"/>
        <v>tier - 3</v>
      </c>
      <c r="K1390" t="s">
        <v>12</v>
      </c>
      <c r="L1390" t="str">
        <f t="shared" si="107"/>
        <v>tier - 1</v>
      </c>
      <c r="M1390" t="s">
        <v>16</v>
      </c>
      <c r="N1390" t="str">
        <f t="shared" si="108"/>
        <v>R1013</v>
      </c>
      <c r="O1390" t="s">
        <v>13</v>
      </c>
    </row>
    <row r="1391" spans="1:15" x14ac:dyDescent="0.35">
      <c r="A1391" t="s">
        <v>1422</v>
      </c>
      <c r="C1391">
        <f t="shared" si="105"/>
        <v>1965</v>
      </c>
      <c r="D1391">
        <v>1965</v>
      </c>
      <c r="E1391" t="str">
        <f t="shared" si="109"/>
        <v>Dec</v>
      </c>
      <c r="F1391" t="s">
        <v>30</v>
      </c>
      <c r="G1391">
        <v>25</v>
      </c>
      <c r="H1391">
        <v>0</v>
      </c>
      <c r="I1391" s="21">
        <v>11566.3</v>
      </c>
      <c r="J1391" t="str">
        <f t="shared" si="106"/>
        <v>tier - 3</v>
      </c>
      <c r="K1391" t="s">
        <v>12</v>
      </c>
      <c r="L1391" t="str">
        <f t="shared" si="107"/>
        <v>tier - 3</v>
      </c>
      <c r="M1391" t="s">
        <v>12</v>
      </c>
      <c r="N1391" t="str">
        <f t="shared" si="108"/>
        <v>R1016</v>
      </c>
      <c r="O1391" t="s">
        <v>168</v>
      </c>
    </row>
    <row r="1392" spans="1:15" x14ac:dyDescent="0.35">
      <c r="A1392" t="s">
        <v>1423</v>
      </c>
      <c r="C1392">
        <f t="shared" si="105"/>
        <v>1965</v>
      </c>
      <c r="D1392">
        <v>1965</v>
      </c>
      <c r="E1392" t="str">
        <f t="shared" si="109"/>
        <v>Nov</v>
      </c>
      <c r="F1392" t="s">
        <v>15</v>
      </c>
      <c r="G1392">
        <v>6</v>
      </c>
      <c r="H1392">
        <v>1</v>
      </c>
      <c r="I1392" s="21">
        <v>11576.13</v>
      </c>
      <c r="J1392" t="str">
        <f t="shared" si="106"/>
        <v>tier - 3</v>
      </c>
      <c r="K1392" t="s">
        <v>12</v>
      </c>
      <c r="L1392" t="str">
        <f t="shared" si="107"/>
        <v>tier - 3</v>
      </c>
      <c r="M1392" t="s">
        <v>12</v>
      </c>
      <c r="N1392" t="str">
        <f t="shared" si="108"/>
        <v>R1011</v>
      </c>
      <c r="O1392" t="s">
        <v>42</v>
      </c>
    </row>
    <row r="1393" spans="1:15" x14ac:dyDescent="0.35">
      <c r="A1393" t="s">
        <v>1424</v>
      </c>
      <c r="C1393">
        <f t="shared" si="105"/>
        <v>1964</v>
      </c>
      <c r="D1393">
        <v>1964</v>
      </c>
      <c r="E1393" t="str">
        <f t="shared" si="109"/>
        <v>Jun</v>
      </c>
      <c r="F1393" t="s">
        <v>18</v>
      </c>
      <c r="G1393">
        <v>20</v>
      </c>
      <c r="H1393">
        <v>0</v>
      </c>
      <c r="I1393" s="21">
        <v>11602.75</v>
      </c>
      <c r="J1393" t="str">
        <f t="shared" si="106"/>
        <v>tier - 3</v>
      </c>
      <c r="K1393" t="s">
        <v>12</v>
      </c>
      <c r="L1393" t="str">
        <f t="shared" si="107"/>
        <v>tier - 1</v>
      </c>
      <c r="M1393" t="s">
        <v>16</v>
      </c>
      <c r="N1393" t="str">
        <f t="shared" si="108"/>
        <v>R1020</v>
      </c>
      <c r="O1393" t="s">
        <v>516</v>
      </c>
    </row>
    <row r="1394" spans="1:15" x14ac:dyDescent="0.35">
      <c r="A1394" t="s">
        <v>1425</v>
      </c>
      <c r="C1394">
        <f t="shared" si="105"/>
        <v>1986</v>
      </c>
      <c r="D1394">
        <v>1986</v>
      </c>
      <c r="E1394" t="str">
        <f t="shared" si="109"/>
        <v>Jul</v>
      </c>
      <c r="F1394" t="s">
        <v>10</v>
      </c>
      <c r="G1394">
        <v>17</v>
      </c>
      <c r="H1394">
        <v>3</v>
      </c>
      <c r="I1394" s="21">
        <v>11625.11</v>
      </c>
      <c r="J1394" t="str">
        <f t="shared" si="106"/>
        <v>tier - 3</v>
      </c>
      <c r="K1394" t="s">
        <v>12</v>
      </c>
      <c r="L1394" t="str">
        <f t="shared" si="107"/>
        <v>tier - 3</v>
      </c>
      <c r="M1394" t="s">
        <v>12</v>
      </c>
      <c r="N1394" t="str">
        <f t="shared" si="108"/>
        <v>R1022</v>
      </c>
      <c r="O1394" t="s">
        <v>632</v>
      </c>
    </row>
    <row r="1395" spans="1:15" x14ac:dyDescent="0.35">
      <c r="A1395" t="s">
        <v>1426</v>
      </c>
      <c r="C1395">
        <f t="shared" si="105"/>
        <v>1966</v>
      </c>
      <c r="D1395">
        <v>1966</v>
      </c>
      <c r="E1395" t="str">
        <f t="shared" si="109"/>
        <v>Oct</v>
      </c>
      <c r="F1395" t="s">
        <v>37</v>
      </c>
      <c r="G1395">
        <v>4</v>
      </c>
      <c r="H1395">
        <v>0</v>
      </c>
      <c r="I1395" s="21">
        <v>11657.72</v>
      </c>
      <c r="J1395" t="str">
        <f t="shared" si="106"/>
        <v>tier - 3</v>
      </c>
      <c r="K1395" t="s">
        <v>12</v>
      </c>
      <c r="L1395" t="str">
        <f t="shared" si="107"/>
        <v>tier - 2</v>
      </c>
      <c r="M1395" t="s">
        <v>11</v>
      </c>
      <c r="N1395" t="str">
        <f t="shared" si="108"/>
        <v>R1024</v>
      </c>
      <c r="O1395" t="s">
        <v>247</v>
      </c>
    </row>
    <row r="1396" spans="1:15" x14ac:dyDescent="0.35">
      <c r="A1396" t="s">
        <v>1427</v>
      </c>
      <c r="C1396">
        <f t="shared" si="105"/>
        <v>1994</v>
      </c>
      <c r="D1396">
        <v>1994</v>
      </c>
      <c r="E1396" t="str">
        <f t="shared" si="109"/>
        <v>Jul</v>
      </c>
      <c r="F1396" t="s">
        <v>10</v>
      </c>
      <c r="G1396">
        <v>20</v>
      </c>
      <c r="H1396">
        <v>0</v>
      </c>
      <c r="I1396" s="21">
        <v>11657.81</v>
      </c>
      <c r="J1396" t="str">
        <f t="shared" si="106"/>
        <v>tier - 3</v>
      </c>
      <c r="K1396" t="s">
        <v>12</v>
      </c>
      <c r="L1396" t="str">
        <f t="shared" si="107"/>
        <v>tier - 2</v>
      </c>
      <c r="M1396" t="s">
        <v>11</v>
      </c>
      <c r="N1396" t="str">
        <f t="shared" si="108"/>
        <v>R1023</v>
      </c>
      <c r="O1396" t="s">
        <v>249</v>
      </c>
    </row>
    <row r="1397" spans="1:15" x14ac:dyDescent="0.35">
      <c r="A1397" t="s">
        <v>1428</v>
      </c>
      <c r="C1397">
        <f t="shared" si="105"/>
        <v>1966</v>
      </c>
      <c r="D1397">
        <v>1966</v>
      </c>
      <c r="E1397" t="str">
        <f t="shared" si="109"/>
        <v>Jul</v>
      </c>
      <c r="F1397" t="s">
        <v>10</v>
      </c>
      <c r="G1397">
        <v>6</v>
      </c>
      <c r="H1397">
        <v>0</v>
      </c>
      <c r="I1397" s="21">
        <v>11658.12</v>
      </c>
      <c r="J1397" t="str">
        <f t="shared" si="106"/>
        <v>tier - 3</v>
      </c>
      <c r="K1397" t="s">
        <v>12</v>
      </c>
      <c r="L1397" t="str">
        <f t="shared" si="107"/>
        <v>tier - 1</v>
      </c>
      <c r="M1397" t="s">
        <v>16</v>
      </c>
      <c r="N1397" t="str">
        <f t="shared" si="108"/>
        <v>R1024</v>
      </c>
      <c r="O1397" t="s">
        <v>247</v>
      </c>
    </row>
    <row r="1398" spans="1:15" x14ac:dyDescent="0.35">
      <c r="A1398" t="s">
        <v>1429</v>
      </c>
      <c r="C1398">
        <f t="shared" si="105"/>
        <v>1966</v>
      </c>
      <c r="D1398">
        <v>1966</v>
      </c>
      <c r="E1398" t="str">
        <f t="shared" si="109"/>
        <v>Aug</v>
      </c>
      <c r="F1398" t="s">
        <v>35</v>
      </c>
      <c r="G1398">
        <v>23</v>
      </c>
      <c r="H1398">
        <v>0</v>
      </c>
      <c r="I1398" s="21">
        <v>11658.38</v>
      </c>
      <c r="J1398" t="str">
        <f t="shared" si="106"/>
        <v>tier - 3</v>
      </c>
      <c r="K1398" t="s">
        <v>12</v>
      </c>
      <c r="L1398" t="str">
        <f t="shared" si="107"/>
        <v>tier - 3</v>
      </c>
      <c r="M1398" t="s">
        <v>12</v>
      </c>
      <c r="N1398" t="str">
        <f t="shared" si="108"/>
        <v>R1024</v>
      </c>
      <c r="O1398" t="s">
        <v>247</v>
      </c>
    </row>
    <row r="1399" spans="1:15" x14ac:dyDescent="0.35">
      <c r="A1399" t="s">
        <v>1430</v>
      </c>
      <c r="C1399">
        <f t="shared" si="105"/>
        <v>1966</v>
      </c>
      <c r="D1399">
        <v>1966</v>
      </c>
      <c r="E1399" t="str">
        <f t="shared" si="109"/>
        <v>Nov</v>
      </c>
      <c r="F1399" t="s">
        <v>15</v>
      </c>
      <c r="G1399">
        <v>9</v>
      </c>
      <c r="H1399">
        <v>1</v>
      </c>
      <c r="I1399" s="21">
        <v>11674.13</v>
      </c>
      <c r="J1399" t="str">
        <f t="shared" si="106"/>
        <v>tier - 3</v>
      </c>
      <c r="K1399" t="s">
        <v>12</v>
      </c>
      <c r="L1399" t="str">
        <f t="shared" si="107"/>
        <v>tier - 1</v>
      </c>
      <c r="M1399" t="s">
        <v>16</v>
      </c>
      <c r="N1399" t="str">
        <f t="shared" si="108"/>
        <v>R1011</v>
      </c>
      <c r="O1399" t="s">
        <v>42</v>
      </c>
    </row>
    <row r="1400" spans="1:15" x14ac:dyDescent="0.35">
      <c r="A1400" t="s">
        <v>1431</v>
      </c>
      <c r="C1400">
        <f t="shared" si="105"/>
        <v>1970</v>
      </c>
      <c r="D1400">
        <v>1970</v>
      </c>
      <c r="E1400" t="str">
        <f t="shared" si="109"/>
        <v>Dec</v>
      </c>
      <c r="F1400" t="s">
        <v>30</v>
      </c>
      <c r="G1400">
        <v>1</v>
      </c>
      <c r="H1400">
        <v>0</v>
      </c>
      <c r="I1400" s="21">
        <v>11696.52</v>
      </c>
      <c r="J1400" t="str">
        <f t="shared" si="106"/>
        <v>tier - 3</v>
      </c>
      <c r="K1400" t="s">
        <v>12</v>
      </c>
      <c r="L1400" t="str">
        <f t="shared" si="107"/>
        <v>tier - 1</v>
      </c>
      <c r="M1400" t="s">
        <v>16</v>
      </c>
      <c r="N1400" t="str">
        <f t="shared" si="108"/>
        <v>R1021</v>
      </c>
      <c r="O1400" t="s">
        <v>300</v>
      </c>
    </row>
    <row r="1401" spans="1:15" x14ac:dyDescent="0.35">
      <c r="A1401" t="s">
        <v>1432</v>
      </c>
      <c r="C1401">
        <f t="shared" si="105"/>
        <v>1982</v>
      </c>
      <c r="D1401">
        <v>1982</v>
      </c>
      <c r="E1401" t="str">
        <f t="shared" si="109"/>
        <v>Oct</v>
      </c>
      <c r="F1401" t="s">
        <v>37</v>
      </c>
      <c r="G1401">
        <v>21</v>
      </c>
      <c r="H1401">
        <v>3</v>
      </c>
      <c r="I1401" s="21">
        <v>11712.97</v>
      </c>
      <c r="J1401" t="str">
        <f t="shared" si="106"/>
        <v>tier - 3</v>
      </c>
      <c r="K1401" t="s">
        <v>12</v>
      </c>
      <c r="L1401" t="str">
        <f t="shared" si="107"/>
        <v>tier - 2</v>
      </c>
      <c r="M1401" t="s">
        <v>11</v>
      </c>
      <c r="N1401" t="str">
        <f t="shared" si="108"/>
        <v>R1021</v>
      </c>
      <c r="O1401" t="s">
        <v>300</v>
      </c>
    </row>
    <row r="1402" spans="1:15" x14ac:dyDescent="0.35">
      <c r="A1402" t="s">
        <v>1433</v>
      </c>
      <c r="C1402">
        <f t="shared" si="105"/>
        <v>1969</v>
      </c>
      <c r="D1402">
        <v>1969</v>
      </c>
      <c r="E1402" t="str">
        <f t="shared" si="109"/>
        <v>Oct</v>
      </c>
      <c r="F1402" t="s">
        <v>37</v>
      </c>
      <c r="G1402">
        <v>12</v>
      </c>
      <c r="H1402">
        <v>2</v>
      </c>
      <c r="I1402" s="21">
        <v>11729.68</v>
      </c>
      <c r="J1402" t="str">
        <f t="shared" si="106"/>
        <v>tier - 3</v>
      </c>
      <c r="K1402" t="s">
        <v>12</v>
      </c>
      <c r="L1402" t="str">
        <f t="shared" si="107"/>
        <v>tier - 1</v>
      </c>
      <c r="M1402" t="s">
        <v>16</v>
      </c>
      <c r="N1402" t="str">
        <f t="shared" si="108"/>
        <v>R1024</v>
      </c>
      <c r="O1402" t="s">
        <v>247</v>
      </c>
    </row>
    <row r="1403" spans="1:15" x14ac:dyDescent="0.35">
      <c r="A1403" t="s">
        <v>1434</v>
      </c>
      <c r="C1403">
        <f t="shared" si="105"/>
        <v>1984</v>
      </c>
      <c r="D1403">
        <v>1984</v>
      </c>
      <c r="E1403" t="str">
        <f t="shared" si="109"/>
        <v>Nov</v>
      </c>
      <c r="F1403" t="s">
        <v>15</v>
      </c>
      <c r="G1403">
        <v>26</v>
      </c>
      <c r="H1403">
        <v>3</v>
      </c>
      <c r="I1403" s="21">
        <v>11730.82</v>
      </c>
      <c r="J1403" t="str">
        <f t="shared" si="106"/>
        <v>tier - 3</v>
      </c>
      <c r="K1403" t="s">
        <v>12</v>
      </c>
      <c r="L1403" t="str">
        <f t="shared" si="107"/>
        <v>tier - 3</v>
      </c>
      <c r="M1403" t="s">
        <v>12</v>
      </c>
      <c r="N1403" t="str">
        <f t="shared" si="108"/>
        <v>R1026</v>
      </c>
      <c r="O1403" t="s">
        <v>535</v>
      </c>
    </row>
    <row r="1404" spans="1:15" x14ac:dyDescent="0.35">
      <c r="A1404" t="s">
        <v>1435</v>
      </c>
      <c r="C1404">
        <f t="shared" si="105"/>
        <v>1964</v>
      </c>
      <c r="D1404">
        <v>1964</v>
      </c>
      <c r="E1404" t="str">
        <f t="shared" si="109"/>
        <v>Nov</v>
      </c>
      <c r="F1404" t="s">
        <v>15</v>
      </c>
      <c r="G1404">
        <v>9</v>
      </c>
      <c r="H1404">
        <v>0</v>
      </c>
      <c r="I1404" s="21">
        <v>11735.88</v>
      </c>
      <c r="J1404" t="str">
        <f t="shared" si="106"/>
        <v>tier - 3</v>
      </c>
      <c r="K1404" t="s">
        <v>12</v>
      </c>
      <c r="L1404" t="str">
        <f t="shared" si="107"/>
        <v>tier - 1</v>
      </c>
      <c r="M1404" t="s">
        <v>16</v>
      </c>
      <c r="N1404" t="str">
        <f t="shared" si="108"/>
        <v>R1012</v>
      </c>
      <c r="O1404" t="s">
        <v>23</v>
      </c>
    </row>
    <row r="1405" spans="1:15" x14ac:dyDescent="0.35">
      <c r="A1405" t="s">
        <v>1436</v>
      </c>
      <c r="C1405">
        <f t="shared" si="105"/>
        <v>1988</v>
      </c>
      <c r="D1405">
        <v>1988</v>
      </c>
      <c r="E1405" t="str">
        <f t="shared" si="109"/>
        <v>Sep</v>
      </c>
      <c r="F1405" t="s">
        <v>20</v>
      </c>
      <c r="G1405">
        <v>5</v>
      </c>
      <c r="H1405">
        <v>2</v>
      </c>
      <c r="I1405" s="21">
        <v>11737.85</v>
      </c>
      <c r="J1405" t="str">
        <f t="shared" si="106"/>
        <v>tier - 3</v>
      </c>
      <c r="K1405" t="s">
        <v>12</v>
      </c>
      <c r="L1405" t="str">
        <f t="shared" si="107"/>
        <v>tier - 1</v>
      </c>
      <c r="M1405" t="s">
        <v>16</v>
      </c>
      <c r="N1405" t="str">
        <f t="shared" si="108"/>
        <v>R1011</v>
      </c>
      <c r="O1405" t="s">
        <v>42</v>
      </c>
    </row>
    <row r="1406" spans="1:15" x14ac:dyDescent="0.35">
      <c r="A1406" t="s">
        <v>1437</v>
      </c>
      <c r="C1406">
        <f t="shared" si="105"/>
        <v>1969</v>
      </c>
      <c r="D1406">
        <v>1969</v>
      </c>
      <c r="E1406" t="str">
        <f t="shared" si="109"/>
        <v>Nov</v>
      </c>
      <c r="F1406" t="s">
        <v>15</v>
      </c>
      <c r="G1406">
        <v>12</v>
      </c>
      <c r="H1406">
        <v>3</v>
      </c>
      <c r="I1406" s="21">
        <v>11741.73</v>
      </c>
      <c r="J1406" t="str">
        <f t="shared" si="106"/>
        <v>tier - 3</v>
      </c>
      <c r="K1406" t="s">
        <v>12</v>
      </c>
      <c r="L1406" t="str">
        <f t="shared" si="107"/>
        <v>tier - 1</v>
      </c>
      <c r="M1406" t="s">
        <v>16</v>
      </c>
      <c r="N1406" t="str">
        <f t="shared" si="108"/>
        <v>R1011</v>
      </c>
      <c r="O1406" t="s">
        <v>42</v>
      </c>
    </row>
    <row r="1407" spans="1:15" x14ac:dyDescent="0.35">
      <c r="A1407" t="s">
        <v>1438</v>
      </c>
      <c r="C1407">
        <f t="shared" si="105"/>
        <v>1963</v>
      </c>
      <c r="D1407">
        <v>1963</v>
      </c>
      <c r="E1407" t="str">
        <f t="shared" si="109"/>
        <v>Jun</v>
      </c>
      <c r="F1407" t="s">
        <v>18</v>
      </c>
      <c r="G1407">
        <v>9</v>
      </c>
      <c r="H1407">
        <v>0</v>
      </c>
      <c r="I1407" s="21">
        <v>11743.3</v>
      </c>
      <c r="J1407" t="str">
        <f t="shared" si="106"/>
        <v>tier - 3</v>
      </c>
      <c r="K1407" t="s">
        <v>12</v>
      </c>
      <c r="L1407" t="str">
        <f t="shared" si="107"/>
        <v>tier - 3</v>
      </c>
      <c r="M1407" t="s">
        <v>12</v>
      </c>
      <c r="N1407" t="str">
        <f t="shared" si="108"/>
        <v>R1013</v>
      </c>
      <c r="O1407" t="s">
        <v>13</v>
      </c>
    </row>
    <row r="1408" spans="1:15" x14ac:dyDescent="0.35">
      <c r="A1408" t="s">
        <v>1439</v>
      </c>
      <c r="C1408">
        <f t="shared" si="105"/>
        <v>1964</v>
      </c>
      <c r="D1408">
        <v>1964</v>
      </c>
      <c r="E1408" t="str">
        <f t="shared" si="109"/>
        <v>Dec</v>
      </c>
      <c r="F1408" t="s">
        <v>30</v>
      </c>
      <c r="G1408">
        <v>2</v>
      </c>
      <c r="H1408">
        <v>0</v>
      </c>
      <c r="I1408" s="21">
        <v>11743.93</v>
      </c>
      <c r="J1408" t="str">
        <f t="shared" si="106"/>
        <v>tier - 3</v>
      </c>
      <c r="K1408" t="s">
        <v>12</v>
      </c>
      <c r="L1408" t="str">
        <f t="shared" si="107"/>
        <v>tier - 1</v>
      </c>
      <c r="M1408" t="s">
        <v>16</v>
      </c>
      <c r="N1408" t="str">
        <f t="shared" si="108"/>
        <v>R1012</v>
      </c>
      <c r="O1408" t="s">
        <v>23</v>
      </c>
    </row>
    <row r="1409" spans="1:15" x14ac:dyDescent="0.35">
      <c r="A1409" t="s">
        <v>1440</v>
      </c>
      <c r="C1409">
        <f t="shared" si="105"/>
        <v>1979</v>
      </c>
      <c r="D1409">
        <v>1979</v>
      </c>
      <c r="E1409" t="str">
        <f t="shared" si="109"/>
        <v>Nov</v>
      </c>
      <c r="F1409" t="s">
        <v>15</v>
      </c>
      <c r="G1409">
        <v>6</v>
      </c>
      <c r="H1409">
        <v>2</v>
      </c>
      <c r="I1409" s="21">
        <v>11752.68</v>
      </c>
      <c r="J1409" t="str">
        <f t="shared" si="106"/>
        <v>tier - 3</v>
      </c>
      <c r="K1409" t="s">
        <v>12</v>
      </c>
      <c r="L1409" t="str">
        <f t="shared" si="107"/>
        <v>tier - 1</v>
      </c>
      <c r="M1409" t="s">
        <v>16</v>
      </c>
      <c r="N1409" t="str">
        <f t="shared" si="108"/>
        <v>R1026</v>
      </c>
      <c r="O1409" t="s">
        <v>535</v>
      </c>
    </row>
    <row r="1410" spans="1:15" x14ac:dyDescent="0.35">
      <c r="A1410" t="s">
        <v>1441</v>
      </c>
      <c r="C1410">
        <f t="shared" si="105"/>
        <v>1966</v>
      </c>
      <c r="D1410">
        <v>1966</v>
      </c>
      <c r="E1410" t="str">
        <f t="shared" si="109"/>
        <v>Jul</v>
      </c>
      <c r="F1410" t="s">
        <v>10</v>
      </c>
      <c r="G1410">
        <v>25</v>
      </c>
      <c r="H1410">
        <v>1</v>
      </c>
      <c r="I1410" s="21">
        <v>11763</v>
      </c>
      <c r="J1410" t="str">
        <f t="shared" si="106"/>
        <v>tier - 3</v>
      </c>
      <c r="K1410" t="s">
        <v>12</v>
      </c>
      <c r="L1410" t="str">
        <f t="shared" si="107"/>
        <v>tier - 3</v>
      </c>
      <c r="M1410" t="s">
        <v>12</v>
      </c>
      <c r="N1410" t="str">
        <f t="shared" si="108"/>
        <v>R1016</v>
      </c>
      <c r="O1410" t="s">
        <v>168</v>
      </c>
    </row>
    <row r="1411" spans="1:15" x14ac:dyDescent="0.35">
      <c r="A1411" t="s">
        <v>1442</v>
      </c>
      <c r="C1411">
        <f t="shared" ref="C1411:C1474" si="110">IF(OR(D1411="?", ISBLANK(D1411)), 1983, D1411)</f>
        <v>1982</v>
      </c>
      <c r="D1411">
        <v>1982</v>
      </c>
      <c r="E1411" t="str">
        <f t="shared" si="109"/>
        <v>Nov</v>
      </c>
      <c r="F1411" t="s">
        <v>15</v>
      </c>
      <c r="G1411">
        <v>20</v>
      </c>
      <c r="H1411">
        <v>3</v>
      </c>
      <c r="I1411" s="21">
        <v>11773.06</v>
      </c>
      <c r="J1411" t="str">
        <f t="shared" ref="J1411:J1474" si="111">IF(OR(K1411="?", ISBLANK(K1411)), "Tier 2", K1411)</f>
        <v>tier - 3</v>
      </c>
      <c r="K1411" t="s">
        <v>12</v>
      </c>
      <c r="L1411" t="str">
        <f t="shared" ref="L1411:L1474" si="112">IF(OR(M1411="?", ISBLANK(M1411)), "Tier 2", M1411)</f>
        <v>tier - 3</v>
      </c>
      <c r="M1411" t="s">
        <v>12</v>
      </c>
      <c r="N1411" t="str">
        <f t="shared" ref="N1411:N1474" si="113">IF(OR(O1411="?", ISBLANK(O1411)), "Unknown", O1411)</f>
        <v>R1026</v>
      </c>
      <c r="O1411" t="s">
        <v>535</v>
      </c>
    </row>
    <row r="1412" spans="1:15" x14ac:dyDescent="0.35">
      <c r="A1412" t="s">
        <v>1443</v>
      </c>
      <c r="C1412">
        <f t="shared" si="110"/>
        <v>1965</v>
      </c>
      <c r="D1412">
        <v>1965</v>
      </c>
      <c r="E1412" t="str">
        <f t="shared" ref="E1412:E1475" si="114">IF(OR(F1412="?", ISBLANK(F1412)), "Sep", F1412)</f>
        <v>Oct</v>
      </c>
      <c r="F1412" t="s">
        <v>37</v>
      </c>
      <c r="G1412">
        <v>3</v>
      </c>
      <c r="H1412">
        <v>0</v>
      </c>
      <c r="I1412" s="21">
        <v>11830.61</v>
      </c>
      <c r="J1412" t="str">
        <f t="shared" si="111"/>
        <v>tier - 3</v>
      </c>
      <c r="K1412" t="s">
        <v>12</v>
      </c>
      <c r="L1412" t="str">
        <f t="shared" si="112"/>
        <v>tier - 1</v>
      </c>
      <c r="M1412" t="s">
        <v>16</v>
      </c>
      <c r="N1412" t="str">
        <f t="shared" si="113"/>
        <v>R1012</v>
      </c>
      <c r="O1412" t="s">
        <v>23</v>
      </c>
    </row>
    <row r="1413" spans="1:15" x14ac:dyDescent="0.35">
      <c r="A1413" t="s">
        <v>1444</v>
      </c>
      <c r="C1413">
        <f t="shared" si="110"/>
        <v>1964</v>
      </c>
      <c r="D1413">
        <v>1964</v>
      </c>
      <c r="E1413" t="str">
        <f t="shared" si="114"/>
        <v>Jun</v>
      </c>
      <c r="F1413" t="s">
        <v>18</v>
      </c>
      <c r="G1413">
        <v>27</v>
      </c>
      <c r="H1413">
        <v>0</v>
      </c>
      <c r="I1413" s="21">
        <v>11833.78</v>
      </c>
      <c r="J1413" t="str">
        <f t="shared" si="111"/>
        <v>tier - 3</v>
      </c>
      <c r="K1413" t="s">
        <v>12</v>
      </c>
      <c r="L1413" t="str">
        <f t="shared" si="112"/>
        <v>tier - 3</v>
      </c>
      <c r="M1413" t="s">
        <v>12</v>
      </c>
      <c r="N1413" t="str">
        <f t="shared" si="113"/>
        <v>R1013</v>
      </c>
      <c r="O1413" t="s">
        <v>13</v>
      </c>
    </row>
    <row r="1414" spans="1:15" x14ac:dyDescent="0.35">
      <c r="A1414" t="s">
        <v>1445</v>
      </c>
      <c r="C1414">
        <f t="shared" si="110"/>
        <v>1964</v>
      </c>
      <c r="D1414">
        <v>1964</v>
      </c>
      <c r="E1414" t="str">
        <f t="shared" si="114"/>
        <v>Sep</v>
      </c>
      <c r="F1414" t="s">
        <v>20</v>
      </c>
      <c r="G1414">
        <v>11</v>
      </c>
      <c r="H1414">
        <v>0</v>
      </c>
      <c r="I1414" s="21">
        <v>11837.16</v>
      </c>
      <c r="J1414" t="str">
        <f t="shared" si="111"/>
        <v>tier - 3</v>
      </c>
      <c r="K1414" t="s">
        <v>12</v>
      </c>
      <c r="L1414" t="str">
        <f t="shared" si="112"/>
        <v>tier - 3</v>
      </c>
      <c r="M1414" t="s">
        <v>12</v>
      </c>
      <c r="N1414" t="str">
        <f t="shared" si="113"/>
        <v>R1011</v>
      </c>
      <c r="O1414" t="s">
        <v>42</v>
      </c>
    </row>
    <row r="1415" spans="1:15" x14ac:dyDescent="0.35">
      <c r="A1415" t="s">
        <v>1446</v>
      </c>
      <c r="C1415">
        <f t="shared" si="110"/>
        <v>1965</v>
      </c>
      <c r="D1415">
        <v>1965</v>
      </c>
      <c r="E1415" t="str">
        <f t="shared" si="114"/>
        <v>Sep</v>
      </c>
      <c r="F1415" t="s">
        <v>20</v>
      </c>
      <c r="G1415">
        <v>25</v>
      </c>
      <c r="H1415">
        <v>0</v>
      </c>
      <c r="I1415" s="21">
        <v>11840.78</v>
      </c>
      <c r="J1415" t="str">
        <f t="shared" si="111"/>
        <v>tier - 3</v>
      </c>
      <c r="K1415" t="s">
        <v>12</v>
      </c>
      <c r="L1415" t="str">
        <f t="shared" si="112"/>
        <v>tier - 2</v>
      </c>
      <c r="M1415" t="s">
        <v>11</v>
      </c>
      <c r="N1415" t="str">
        <f t="shared" si="113"/>
        <v>R1012</v>
      </c>
      <c r="O1415" t="s">
        <v>23</v>
      </c>
    </row>
    <row r="1416" spans="1:15" x14ac:dyDescent="0.35">
      <c r="A1416" t="s">
        <v>1447</v>
      </c>
      <c r="C1416">
        <f t="shared" si="110"/>
        <v>1964</v>
      </c>
      <c r="D1416">
        <v>1964</v>
      </c>
      <c r="E1416" t="str">
        <f t="shared" si="114"/>
        <v>Jul</v>
      </c>
      <c r="F1416" t="s">
        <v>10</v>
      </c>
      <c r="G1416">
        <v>11</v>
      </c>
      <c r="H1416">
        <v>0</v>
      </c>
      <c r="I1416" s="21">
        <v>11842.44</v>
      </c>
      <c r="J1416" t="str">
        <f t="shared" si="111"/>
        <v>tier - 3</v>
      </c>
      <c r="K1416" t="s">
        <v>12</v>
      </c>
      <c r="L1416" t="str">
        <f t="shared" si="112"/>
        <v>tier - 2</v>
      </c>
      <c r="M1416" t="s">
        <v>11</v>
      </c>
      <c r="N1416" t="str">
        <f t="shared" si="113"/>
        <v>R1011</v>
      </c>
      <c r="O1416" t="s">
        <v>42</v>
      </c>
    </row>
    <row r="1417" spans="1:15" x14ac:dyDescent="0.35">
      <c r="A1417" t="s">
        <v>1448</v>
      </c>
      <c r="C1417">
        <f t="shared" si="110"/>
        <v>1965</v>
      </c>
      <c r="D1417">
        <v>1965</v>
      </c>
      <c r="E1417" t="str">
        <f t="shared" si="114"/>
        <v>Nov</v>
      </c>
      <c r="F1417" t="s">
        <v>15</v>
      </c>
      <c r="G1417">
        <v>10</v>
      </c>
      <c r="H1417">
        <v>0</v>
      </c>
      <c r="I1417" s="21">
        <v>11842.62</v>
      </c>
      <c r="J1417" t="str">
        <f t="shared" si="111"/>
        <v>tier - 3</v>
      </c>
      <c r="K1417" t="s">
        <v>12</v>
      </c>
      <c r="L1417" t="str">
        <f t="shared" si="112"/>
        <v>tier - 3</v>
      </c>
      <c r="M1417" t="s">
        <v>12</v>
      </c>
      <c r="N1417" t="str">
        <f t="shared" si="113"/>
        <v>R1012</v>
      </c>
      <c r="O1417" t="s">
        <v>23</v>
      </c>
    </row>
    <row r="1418" spans="1:15" x14ac:dyDescent="0.35">
      <c r="A1418" t="s">
        <v>1449</v>
      </c>
      <c r="C1418">
        <f t="shared" si="110"/>
        <v>1964</v>
      </c>
      <c r="D1418">
        <v>1964</v>
      </c>
      <c r="E1418" t="str">
        <f t="shared" si="114"/>
        <v>Jun</v>
      </c>
      <c r="F1418" t="s">
        <v>18</v>
      </c>
      <c r="G1418">
        <v>27</v>
      </c>
      <c r="H1418">
        <v>0</v>
      </c>
      <c r="I1418" s="21">
        <v>11848.14</v>
      </c>
      <c r="J1418" t="str">
        <f t="shared" si="111"/>
        <v>tier - 3</v>
      </c>
      <c r="K1418" t="s">
        <v>12</v>
      </c>
      <c r="L1418" t="str">
        <f t="shared" si="112"/>
        <v>tier - 2</v>
      </c>
      <c r="M1418" t="s">
        <v>11</v>
      </c>
      <c r="N1418" t="str">
        <f t="shared" si="113"/>
        <v>R1011</v>
      </c>
      <c r="O1418" t="s">
        <v>42</v>
      </c>
    </row>
    <row r="1419" spans="1:15" x14ac:dyDescent="0.35">
      <c r="A1419" t="s">
        <v>1450</v>
      </c>
      <c r="C1419">
        <f t="shared" si="110"/>
        <v>1964</v>
      </c>
      <c r="D1419">
        <v>1964</v>
      </c>
      <c r="E1419" t="str">
        <f t="shared" si="114"/>
        <v>Sep</v>
      </c>
      <c r="F1419" t="s">
        <v>20</v>
      </c>
      <c r="G1419">
        <v>29</v>
      </c>
      <c r="H1419">
        <v>0</v>
      </c>
      <c r="I1419" s="21">
        <v>11856.41</v>
      </c>
      <c r="J1419" t="str">
        <f t="shared" si="111"/>
        <v>tier - 3</v>
      </c>
      <c r="K1419" t="s">
        <v>12</v>
      </c>
      <c r="L1419" t="str">
        <f t="shared" si="112"/>
        <v>tier - 2</v>
      </c>
      <c r="M1419" t="s">
        <v>11</v>
      </c>
      <c r="N1419" t="str">
        <f t="shared" si="113"/>
        <v>R1013</v>
      </c>
      <c r="O1419" t="s">
        <v>13</v>
      </c>
    </row>
    <row r="1420" spans="1:15" x14ac:dyDescent="0.35">
      <c r="A1420" t="s">
        <v>1451</v>
      </c>
      <c r="C1420">
        <f t="shared" si="110"/>
        <v>1974</v>
      </c>
      <c r="D1420">
        <v>1974</v>
      </c>
      <c r="E1420" t="str">
        <f t="shared" si="114"/>
        <v>Jul</v>
      </c>
      <c r="F1420" t="s">
        <v>10</v>
      </c>
      <c r="G1420">
        <v>7</v>
      </c>
      <c r="H1420">
        <v>0</v>
      </c>
      <c r="I1420" s="21">
        <v>11858.56</v>
      </c>
      <c r="J1420" t="str">
        <f t="shared" si="111"/>
        <v>tier - 3</v>
      </c>
      <c r="K1420" t="s">
        <v>12</v>
      </c>
      <c r="L1420" t="str">
        <f t="shared" si="112"/>
        <v>tier - 3</v>
      </c>
      <c r="M1420" t="s">
        <v>12</v>
      </c>
      <c r="N1420" t="str">
        <f t="shared" si="113"/>
        <v>R1011</v>
      </c>
      <c r="O1420" t="s">
        <v>42</v>
      </c>
    </row>
    <row r="1421" spans="1:15" x14ac:dyDescent="0.35">
      <c r="A1421" t="s">
        <v>1452</v>
      </c>
      <c r="C1421">
        <f t="shared" si="110"/>
        <v>1967</v>
      </c>
      <c r="D1421">
        <v>1967</v>
      </c>
      <c r="E1421" t="str">
        <f t="shared" si="114"/>
        <v>Aug</v>
      </c>
      <c r="F1421" t="s">
        <v>35</v>
      </c>
      <c r="G1421">
        <v>24</v>
      </c>
      <c r="H1421">
        <v>1</v>
      </c>
      <c r="I1421" s="21">
        <v>11879.1</v>
      </c>
      <c r="J1421" t="str">
        <f t="shared" si="111"/>
        <v>tier - 3</v>
      </c>
      <c r="K1421" t="s">
        <v>12</v>
      </c>
      <c r="L1421" t="str">
        <f t="shared" si="112"/>
        <v>tier - 3</v>
      </c>
      <c r="M1421" t="s">
        <v>12</v>
      </c>
      <c r="N1421" t="str">
        <f t="shared" si="113"/>
        <v>R1024</v>
      </c>
      <c r="O1421" t="s">
        <v>247</v>
      </c>
    </row>
    <row r="1422" spans="1:15" x14ac:dyDescent="0.35">
      <c r="A1422" t="s">
        <v>1453</v>
      </c>
      <c r="C1422">
        <f t="shared" si="110"/>
        <v>1967</v>
      </c>
      <c r="D1422">
        <v>1967</v>
      </c>
      <c r="E1422" t="str">
        <f t="shared" si="114"/>
        <v>Jul</v>
      </c>
      <c r="F1422" t="s">
        <v>10</v>
      </c>
      <c r="G1422">
        <v>14</v>
      </c>
      <c r="H1422">
        <v>2</v>
      </c>
      <c r="I1422" s="21">
        <v>11881.36</v>
      </c>
      <c r="J1422" t="str">
        <f t="shared" si="111"/>
        <v>tier - 3</v>
      </c>
      <c r="K1422" t="s">
        <v>12</v>
      </c>
      <c r="L1422" t="str">
        <f t="shared" si="112"/>
        <v>tier - 2</v>
      </c>
      <c r="M1422" t="s">
        <v>11</v>
      </c>
      <c r="N1422" t="str">
        <f t="shared" si="113"/>
        <v>R1011</v>
      </c>
      <c r="O1422" t="s">
        <v>42</v>
      </c>
    </row>
    <row r="1423" spans="1:15" x14ac:dyDescent="0.35">
      <c r="A1423" t="s">
        <v>1454</v>
      </c>
      <c r="C1423">
        <f t="shared" si="110"/>
        <v>1967</v>
      </c>
      <c r="D1423">
        <v>1967</v>
      </c>
      <c r="E1423" t="str">
        <f t="shared" si="114"/>
        <v>Oct</v>
      </c>
      <c r="F1423" t="s">
        <v>37</v>
      </c>
      <c r="G1423">
        <v>29</v>
      </c>
      <c r="H1423">
        <v>2</v>
      </c>
      <c r="I1423" s="21">
        <v>11881.97</v>
      </c>
      <c r="J1423" t="str">
        <f t="shared" si="111"/>
        <v>tier - 3</v>
      </c>
      <c r="K1423" t="s">
        <v>12</v>
      </c>
      <c r="L1423" t="str">
        <f t="shared" si="112"/>
        <v>tier - 1</v>
      </c>
      <c r="M1423" t="s">
        <v>16</v>
      </c>
      <c r="N1423" t="str">
        <f t="shared" si="113"/>
        <v>R1013</v>
      </c>
      <c r="O1423" t="s">
        <v>13</v>
      </c>
    </row>
    <row r="1424" spans="1:15" x14ac:dyDescent="0.35">
      <c r="A1424" t="s">
        <v>1455</v>
      </c>
      <c r="C1424">
        <f t="shared" si="110"/>
        <v>2004</v>
      </c>
      <c r="D1424">
        <v>2004</v>
      </c>
      <c r="E1424" t="str">
        <f t="shared" si="114"/>
        <v>Jun</v>
      </c>
      <c r="F1424" t="s">
        <v>18</v>
      </c>
      <c r="G1424">
        <v>2</v>
      </c>
      <c r="H1424">
        <v>2</v>
      </c>
      <c r="I1424" s="21">
        <v>11884.05</v>
      </c>
      <c r="J1424" t="str">
        <f t="shared" si="111"/>
        <v>tier - 3</v>
      </c>
      <c r="K1424" t="s">
        <v>12</v>
      </c>
      <c r="L1424" t="str">
        <f t="shared" si="112"/>
        <v>tier - 3</v>
      </c>
      <c r="M1424" t="s">
        <v>12</v>
      </c>
      <c r="N1424" t="str">
        <f t="shared" si="113"/>
        <v>R1013</v>
      </c>
      <c r="O1424" t="s">
        <v>13</v>
      </c>
    </row>
    <row r="1425" spans="1:15" x14ac:dyDescent="0.35">
      <c r="A1425" t="s">
        <v>1456</v>
      </c>
      <c r="C1425">
        <f t="shared" si="110"/>
        <v>1964</v>
      </c>
      <c r="D1425">
        <v>1964</v>
      </c>
      <c r="E1425" t="str">
        <f t="shared" si="114"/>
        <v>Nov</v>
      </c>
      <c r="F1425" t="s">
        <v>15</v>
      </c>
      <c r="G1425">
        <v>19</v>
      </c>
      <c r="H1425">
        <v>0</v>
      </c>
      <c r="I1425" s="21">
        <v>11918.2</v>
      </c>
      <c r="J1425" t="str">
        <f t="shared" si="111"/>
        <v>tier - 3</v>
      </c>
      <c r="K1425" t="s">
        <v>12</v>
      </c>
      <c r="L1425" t="str">
        <f t="shared" si="112"/>
        <v>tier - 1</v>
      </c>
      <c r="M1425" t="s">
        <v>16</v>
      </c>
      <c r="N1425" t="str">
        <f t="shared" si="113"/>
        <v>R1021</v>
      </c>
      <c r="O1425" t="s">
        <v>300</v>
      </c>
    </row>
    <row r="1426" spans="1:15" x14ac:dyDescent="0.35">
      <c r="A1426" t="s">
        <v>1457</v>
      </c>
      <c r="C1426">
        <f t="shared" si="110"/>
        <v>1964</v>
      </c>
      <c r="D1426">
        <v>1964</v>
      </c>
      <c r="E1426" t="str">
        <f t="shared" si="114"/>
        <v>Dec</v>
      </c>
      <c r="F1426" t="s">
        <v>30</v>
      </c>
      <c r="G1426">
        <v>20</v>
      </c>
      <c r="H1426">
        <v>0</v>
      </c>
      <c r="I1426" s="21">
        <v>11931.13</v>
      </c>
      <c r="J1426" t="str">
        <f t="shared" si="111"/>
        <v>tier - 3</v>
      </c>
      <c r="K1426" t="s">
        <v>12</v>
      </c>
      <c r="L1426" t="str">
        <f t="shared" si="112"/>
        <v>tier - 1</v>
      </c>
      <c r="M1426" t="s">
        <v>16</v>
      </c>
      <c r="N1426" t="str">
        <f t="shared" si="113"/>
        <v>R1019</v>
      </c>
      <c r="O1426" t="s">
        <v>166</v>
      </c>
    </row>
    <row r="1427" spans="1:15" x14ac:dyDescent="0.35">
      <c r="A1427" t="s">
        <v>1458</v>
      </c>
      <c r="C1427">
        <f t="shared" si="110"/>
        <v>1964</v>
      </c>
      <c r="D1427">
        <v>1964</v>
      </c>
      <c r="E1427" t="str">
        <f t="shared" si="114"/>
        <v>Aug</v>
      </c>
      <c r="F1427" t="s">
        <v>35</v>
      </c>
      <c r="G1427">
        <v>2</v>
      </c>
      <c r="H1427">
        <v>0</v>
      </c>
      <c r="I1427" s="21">
        <v>11938.26</v>
      </c>
      <c r="J1427" t="str">
        <f t="shared" si="111"/>
        <v>tier - 3</v>
      </c>
      <c r="K1427" t="s">
        <v>12</v>
      </c>
      <c r="L1427" t="str">
        <f t="shared" si="112"/>
        <v>tier - 3</v>
      </c>
      <c r="M1427" t="s">
        <v>12</v>
      </c>
      <c r="N1427" t="str">
        <f t="shared" si="113"/>
        <v>R1019</v>
      </c>
      <c r="O1427" t="s">
        <v>166</v>
      </c>
    </row>
    <row r="1428" spans="1:15" x14ac:dyDescent="0.35">
      <c r="A1428" t="s">
        <v>1459</v>
      </c>
      <c r="C1428">
        <f t="shared" si="110"/>
        <v>1991</v>
      </c>
      <c r="D1428">
        <v>1991</v>
      </c>
      <c r="E1428" t="str">
        <f t="shared" si="114"/>
        <v>Oct</v>
      </c>
      <c r="F1428" t="s">
        <v>37</v>
      </c>
      <c r="G1428">
        <v>19</v>
      </c>
      <c r="H1428">
        <v>3</v>
      </c>
      <c r="I1428" s="21">
        <v>11941.83</v>
      </c>
      <c r="J1428" t="str">
        <f t="shared" si="111"/>
        <v>tier - 3</v>
      </c>
      <c r="K1428" t="s">
        <v>12</v>
      </c>
      <c r="L1428" t="str">
        <f t="shared" si="112"/>
        <v>tier - 1</v>
      </c>
      <c r="M1428" t="s">
        <v>16</v>
      </c>
      <c r="N1428" t="str">
        <f t="shared" si="113"/>
        <v>R1023</v>
      </c>
      <c r="O1428" t="s">
        <v>249</v>
      </c>
    </row>
    <row r="1429" spans="1:15" x14ac:dyDescent="0.35">
      <c r="A1429" t="s">
        <v>1460</v>
      </c>
      <c r="C1429">
        <f t="shared" si="110"/>
        <v>1964</v>
      </c>
      <c r="D1429">
        <v>1964</v>
      </c>
      <c r="E1429" t="str">
        <f t="shared" si="114"/>
        <v>Dec</v>
      </c>
      <c r="F1429" t="s">
        <v>30</v>
      </c>
      <c r="G1429">
        <v>25</v>
      </c>
      <c r="H1429">
        <v>0</v>
      </c>
      <c r="I1429" s="21">
        <v>11944.59</v>
      </c>
      <c r="J1429" t="str">
        <f t="shared" si="111"/>
        <v>tier - 3</v>
      </c>
      <c r="K1429" t="s">
        <v>12</v>
      </c>
      <c r="L1429" t="str">
        <f t="shared" si="112"/>
        <v>tier - 2</v>
      </c>
      <c r="M1429" t="s">
        <v>11</v>
      </c>
      <c r="N1429" t="str">
        <f t="shared" si="113"/>
        <v>R1016</v>
      </c>
      <c r="O1429" t="s">
        <v>168</v>
      </c>
    </row>
    <row r="1430" spans="1:15" x14ac:dyDescent="0.35">
      <c r="A1430" t="s">
        <v>1461</v>
      </c>
      <c r="C1430">
        <f t="shared" si="110"/>
        <v>1965</v>
      </c>
      <c r="D1430">
        <v>1965</v>
      </c>
      <c r="E1430" t="str">
        <f t="shared" si="114"/>
        <v>Nov</v>
      </c>
      <c r="F1430" t="s">
        <v>15</v>
      </c>
      <c r="G1430">
        <v>1</v>
      </c>
      <c r="H1430">
        <v>1</v>
      </c>
      <c r="I1430" s="21">
        <v>11945.13</v>
      </c>
      <c r="J1430" t="str">
        <f t="shared" si="111"/>
        <v>tier - 3</v>
      </c>
      <c r="K1430" t="s">
        <v>12</v>
      </c>
      <c r="L1430" t="str">
        <f t="shared" si="112"/>
        <v>tier - 2</v>
      </c>
      <c r="M1430" t="s">
        <v>11</v>
      </c>
      <c r="N1430" t="str">
        <f t="shared" si="113"/>
        <v>R1012</v>
      </c>
      <c r="O1430" t="s">
        <v>23</v>
      </c>
    </row>
    <row r="1431" spans="1:15" x14ac:dyDescent="0.35">
      <c r="A1431" t="s">
        <v>1462</v>
      </c>
      <c r="C1431">
        <f t="shared" si="110"/>
        <v>1964</v>
      </c>
      <c r="D1431">
        <v>1964</v>
      </c>
      <c r="E1431" t="str">
        <f t="shared" si="114"/>
        <v>Sep</v>
      </c>
      <c r="F1431" t="s">
        <v>20</v>
      </c>
      <c r="G1431">
        <v>29</v>
      </c>
      <c r="H1431">
        <v>1</v>
      </c>
      <c r="I1431" s="21">
        <v>11946.63</v>
      </c>
      <c r="J1431" t="str">
        <f t="shared" si="111"/>
        <v>tier - 3</v>
      </c>
      <c r="K1431" t="s">
        <v>12</v>
      </c>
      <c r="L1431" t="str">
        <f t="shared" si="112"/>
        <v>tier - 2</v>
      </c>
      <c r="M1431" t="s">
        <v>11</v>
      </c>
      <c r="N1431" t="str">
        <f t="shared" si="113"/>
        <v>R1013</v>
      </c>
      <c r="O1431" t="s">
        <v>13</v>
      </c>
    </row>
    <row r="1432" spans="1:15" x14ac:dyDescent="0.35">
      <c r="A1432" t="s">
        <v>1463</v>
      </c>
      <c r="C1432">
        <f t="shared" si="110"/>
        <v>1967</v>
      </c>
      <c r="D1432">
        <v>1967</v>
      </c>
      <c r="E1432" t="str">
        <f t="shared" si="114"/>
        <v>Dec</v>
      </c>
      <c r="F1432" t="s">
        <v>30</v>
      </c>
      <c r="G1432">
        <v>22</v>
      </c>
      <c r="H1432">
        <v>3</v>
      </c>
      <c r="I1432" s="21">
        <v>11987.17</v>
      </c>
      <c r="J1432" t="str">
        <f t="shared" si="111"/>
        <v>tier - 3</v>
      </c>
      <c r="K1432" t="s">
        <v>12</v>
      </c>
      <c r="L1432" t="str">
        <f t="shared" si="112"/>
        <v>tier - 3</v>
      </c>
      <c r="M1432" t="s">
        <v>12</v>
      </c>
      <c r="N1432" t="str">
        <f t="shared" si="113"/>
        <v>R1013</v>
      </c>
      <c r="O1432" t="s">
        <v>13</v>
      </c>
    </row>
    <row r="1433" spans="1:15" x14ac:dyDescent="0.35">
      <c r="A1433" t="s">
        <v>1464</v>
      </c>
      <c r="C1433">
        <f t="shared" si="110"/>
        <v>1983</v>
      </c>
      <c r="D1433">
        <v>1983</v>
      </c>
      <c r="E1433" t="str">
        <f t="shared" si="114"/>
        <v>Jul</v>
      </c>
      <c r="F1433" t="s">
        <v>10</v>
      </c>
      <c r="G1433">
        <v>4</v>
      </c>
      <c r="H1433">
        <v>3</v>
      </c>
      <c r="I1433" s="21">
        <v>11987.68</v>
      </c>
      <c r="J1433" t="str">
        <f t="shared" si="111"/>
        <v>tier - 3</v>
      </c>
      <c r="K1433" t="s">
        <v>12</v>
      </c>
      <c r="L1433" t="str">
        <f t="shared" si="112"/>
        <v>tier - 2</v>
      </c>
      <c r="M1433" t="s">
        <v>11</v>
      </c>
      <c r="N1433" t="str">
        <f t="shared" si="113"/>
        <v>R1026</v>
      </c>
      <c r="O1433" t="s">
        <v>535</v>
      </c>
    </row>
    <row r="1434" spans="1:15" x14ac:dyDescent="0.35">
      <c r="A1434" t="s">
        <v>1465</v>
      </c>
      <c r="C1434">
        <f t="shared" si="110"/>
        <v>1993</v>
      </c>
      <c r="D1434">
        <v>1993</v>
      </c>
      <c r="E1434" t="str">
        <f t="shared" si="114"/>
        <v>Dec</v>
      </c>
      <c r="F1434" t="s">
        <v>30</v>
      </c>
      <c r="G1434">
        <v>12</v>
      </c>
      <c r="H1434">
        <v>0</v>
      </c>
      <c r="I1434" s="21">
        <v>11994.89</v>
      </c>
      <c r="J1434" t="str">
        <f t="shared" si="111"/>
        <v>tier - 3</v>
      </c>
      <c r="K1434" t="s">
        <v>12</v>
      </c>
      <c r="L1434" t="str">
        <f t="shared" si="112"/>
        <v>tier - 2</v>
      </c>
      <c r="M1434" t="s">
        <v>11</v>
      </c>
      <c r="N1434" t="str">
        <f t="shared" si="113"/>
        <v>R1012</v>
      </c>
      <c r="O1434" t="s">
        <v>23</v>
      </c>
    </row>
    <row r="1435" spans="1:15" x14ac:dyDescent="0.35">
      <c r="A1435" t="s">
        <v>1466</v>
      </c>
      <c r="C1435">
        <f t="shared" si="110"/>
        <v>1982</v>
      </c>
      <c r="D1435">
        <v>1982</v>
      </c>
      <c r="E1435" t="str">
        <f t="shared" si="114"/>
        <v>Oct</v>
      </c>
      <c r="F1435" t="s">
        <v>37</v>
      </c>
      <c r="G1435">
        <v>17</v>
      </c>
      <c r="H1435">
        <v>3</v>
      </c>
      <c r="I1435" s="21">
        <v>12001.29</v>
      </c>
      <c r="J1435" t="str">
        <f t="shared" si="111"/>
        <v>tier - 3</v>
      </c>
      <c r="K1435" t="s">
        <v>12</v>
      </c>
      <c r="L1435" t="str">
        <f t="shared" si="112"/>
        <v>tier - 3</v>
      </c>
      <c r="M1435" t="s">
        <v>12</v>
      </c>
      <c r="N1435" t="str">
        <f t="shared" si="113"/>
        <v>R1021</v>
      </c>
      <c r="O1435" t="s">
        <v>300</v>
      </c>
    </row>
    <row r="1436" spans="1:15" x14ac:dyDescent="0.35">
      <c r="A1436" t="s">
        <v>1467</v>
      </c>
      <c r="C1436">
        <f t="shared" si="110"/>
        <v>1965</v>
      </c>
      <c r="D1436">
        <v>1965</v>
      </c>
      <c r="E1436" t="str">
        <f t="shared" si="114"/>
        <v>Jun</v>
      </c>
      <c r="F1436" t="s">
        <v>18</v>
      </c>
      <c r="G1436">
        <v>9</v>
      </c>
      <c r="H1436">
        <v>0</v>
      </c>
      <c r="I1436" s="21">
        <v>12029.29</v>
      </c>
      <c r="J1436" t="str">
        <f t="shared" si="111"/>
        <v>tier - 3</v>
      </c>
      <c r="K1436" t="s">
        <v>12</v>
      </c>
      <c r="L1436" t="str">
        <f t="shared" si="112"/>
        <v>tier - 2</v>
      </c>
      <c r="M1436" t="s">
        <v>11</v>
      </c>
      <c r="N1436" t="str">
        <f t="shared" si="113"/>
        <v>R1024</v>
      </c>
      <c r="O1436" t="s">
        <v>247</v>
      </c>
    </row>
    <row r="1437" spans="1:15" x14ac:dyDescent="0.35">
      <c r="A1437" t="s">
        <v>1468</v>
      </c>
      <c r="C1437">
        <f t="shared" si="110"/>
        <v>1965</v>
      </c>
      <c r="D1437">
        <v>1965</v>
      </c>
      <c r="E1437" t="str">
        <f t="shared" si="114"/>
        <v>Oct</v>
      </c>
      <c r="F1437" t="s">
        <v>37</v>
      </c>
      <c r="G1437">
        <v>29</v>
      </c>
      <c r="H1437">
        <v>1</v>
      </c>
      <c r="I1437" s="21">
        <v>12032.33</v>
      </c>
      <c r="J1437" t="str">
        <f t="shared" si="111"/>
        <v>tier - 3</v>
      </c>
      <c r="K1437" t="s">
        <v>12</v>
      </c>
      <c r="L1437" t="str">
        <f t="shared" si="112"/>
        <v>tier - 1</v>
      </c>
      <c r="M1437" t="s">
        <v>16</v>
      </c>
      <c r="N1437" t="str">
        <f t="shared" si="113"/>
        <v>R1011</v>
      </c>
      <c r="O1437" t="s">
        <v>42</v>
      </c>
    </row>
    <row r="1438" spans="1:15" x14ac:dyDescent="0.35">
      <c r="A1438" t="s">
        <v>1469</v>
      </c>
      <c r="C1438">
        <f t="shared" si="110"/>
        <v>1979</v>
      </c>
      <c r="D1438">
        <v>1979</v>
      </c>
      <c r="E1438" t="str">
        <f t="shared" si="114"/>
        <v>Oct</v>
      </c>
      <c r="F1438" t="s">
        <v>37</v>
      </c>
      <c r="G1438">
        <v>16</v>
      </c>
      <c r="H1438">
        <v>2</v>
      </c>
      <c r="I1438" s="21">
        <v>12035.18</v>
      </c>
      <c r="J1438" t="str">
        <f t="shared" si="111"/>
        <v>tier - 3</v>
      </c>
      <c r="K1438" t="s">
        <v>12</v>
      </c>
      <c r="L1438" t="str">
        <f t="shared" si="112"/>
        <v>tier - 3</v>
      </c>
      <c r="M1438" t="s">
        <v>12</v>
      </c>
      <c r="N1438" t="str">
        <f t="shared" si="113"/>
        <v>R1021</v>
      </c>
      <c r="O1438" t="s">
        <v>300</v>
      </c>
    </row>
    <row r="1439" spans="1:15" x14ac:dyDescent="0.35">
      <c r="A1439" t="s">
        <v>1470</v>
      </c>
      <c r="C1439">
        <f t="shared" si="110"/>
        <v>1966</v>
      </c>
      <c r="D1439">
        <v>1966</v>
      </c>
      <c r="E1439" t="str">
        <f t="shared" si="114"/>
        <v>Nov</v>
      </c>
      <c r="F1439" t="s">
        <v>15</v>
      </c>
      <c r="G1439">
        <v>24</v>
      </c>
      <c r="H1439">
        <v>1</v>
      </c>
      <c r="I1439" s="21">
        <v>12044.34</v>
      </c>
      <c r="J1439" t="str">
        <f t="shared" si="111"/>
        <v>tier - 3</v>
      </c>
      <c r="K1439" t="s">
        <v>12</v>
      </c>
      <c r="L1439" t="str">
        <f t="shared" si="112"/>
        <v>tier - 1</v>
      </c>
      <c r="M1439" t="s">
        <v>16</v>
      </c>
      <c r="N1439" t="str">
        <f t="shared" si="113"/>
        <v>R1012</v>
      </c>
      <c r="O1439" t="s">
        <v>23</v>
      </c>
    </row>
    <row r="1440" spans="1:15" x14ac:dyDescent="0.35">
      <c r="A1440" t="s">
        <v>1471</v>
      </c>
      <c r="C1440">
        <f t="shared" si="110"/>
        <v>1986</v>
      </c>
      <c r="D1440">
        <v>1986</v>
      </c>
      <c r="E1440" t="str">
        <f t="shared" si="114"/>
        <v>Sep</v>
      </c>
      <c r="F1440" t="s">
        <v>20</v>
      </c>
      <c r="G1440">
        <v>7</v>
      </c>
      <c r="H1440">
        <v>3</v>
      </c>
      <c r="I1440" s="21">
        <v>12048.13</v>
      </c>
      <c r="J1440" t="str">
        <f t="shared" si="111"/>
        <v>tier - 3</v>
      </c>
      <c r="K1440" t="s">
        <v>12</v>
      </c>
      <c r="L1440" t="str">
        <f t="shared" si="112"/>
        <v>tier - 2</v>
      </c>
      <c r="M1440" t="s">
        <v>11</v>
      </c>
      <c r="N1440" t="str">
        <f t="shared" si="113"/>
        <v>R1026</v>
      </c>
      <c r="O1440" t="s">
        <v>535</v>
      </c>
    </row>
    <row r="1441" spans="1:15" x14ac:dyDescent="0.35">
      <c r="A1441" t="s">
        <v>1472</v>
      </c>
      <c r="C1441">
        <f t="shared" si="110"/>
        <v>1984</v>
      </c>
      <c r="D1441">
        <v>1984</v>
      </c>
      <c r="E1441" t="str">
        <f t="shared" si="114"/>
        <v>Sep</v>
      </c>
      <c r="F1441" t="s">
        <v>20</v>
      </c>
      <c r="G1441">
        <v>2</v>
      </c>
      <c r="H1441">
        <v>3</v>
      </c>
      <c r="I1441" s="21">
        <v>12091.34</v>
      </c>
      <c r="J1441" t="str">
        <f t="shared" si="111"/>
        <v>tier - 3</v>
      </c>
      <c r="K1441" t="s">
        <v>12</v>
      </c>
      <c r="L1441" t="str">
        <f t="shared" si="112"/>
        <v>tier - 2</v>
      </c>
      <c r="M1441" t="s">
        <v>11</v>
      </c>
      <c r="N1441" t="str">
        <f t="shared" si="113"/>
        <v>R1022</v>
      </c>
      <c r="O1441" t="s">
        <v>632</v>
      </c>
    </row>
    <row r="1442" spans="1:15" x14ac:dyDescent="0.35">
      <c r="A1442" t="s">
        <v>1473</v>
      </c>
      <c r="C1442">
        <f t="shared" si="110"/>
        <v>1968</v>
      </c>
      <c r="D1442">
        <v>1968</v>
      </c>
      <c r="E1442" t="str">
        <f t="shared" si="114"/>
        <v>Jun</v>
      </c>
      <c r="F1442" t="s">
        <v>18</v>
      </c>
      <c r="G1442">
        <v>21</v>
      </c>
      <c r="H1442">
        <v>3</v>
      </c>
      <c r="I1442" s="21">
        <v>12094.48</v>
      </c>
      <c r="J1442" t="str">
        <f t="shared" si="111"/>
        <v>tier - 3</v>
      </c>
      <c r="K1442" t="s">
        <v>12</v>
      </c>
      <c r="L1442" t="str">
        <f t="shared" si="112"/>
        <v>tier - 3</v>
      </c>
      <c r="M1442" t="s">
        <v>12</v>
      </c>
      <c r="N1442" t="str">
        <f t="shared" si="113"/>
        <v>R1011</v>
      </c>
      <c r="O1442" t="s">
        <v>42</v>
      </c>
    </row>
    <row r="1443" spans="1:15" x14ac:dyDescent="0.35">
      <c r="A1443" t="s">
        <v>1474</v>
      </c>
      <c r="C1443">
        <f t="shared" si="110"/>
        <v>1968</v>
      </c>
      <c r="D1443">
        <v>1968</v>
      </c>
      <c r="E1443" t="str">
        <f t="shared" si="114"/>
        <v>Dec</v>
      </c>
      <c r="F1443" t="s">
        <v>30</v>
      </c>
      <c r="G1443">
        <v>9</v>
      </c>
      <c r="H1443">
        <v>2</v>
      </c>
      <c r="I1443" s="21">
        <v>12096.65</v>
      </c>
      <c r="J1443" t="str">
        <f t="shared" si="111"/>
        <v>tier - 3</v>
      </c>
      <c r="K1443" t="s">
        <v>12</v>
      </c>
      <c r="L1443" t="str">
        <f t="shared" si="112"/>
        <v>tier - 1</v>
      </c>
      <c r="M1443" t="s">
        <v>16</v>
      </c>
      <c r="N1443" t="str">
        <f t="shared" si="113"/>
        <v>R1024</v>
      </c>
      <c r="O1443" t="s">
        <v>247</v>
      </c>
    </row>
    <row r="1444" spans="1:15" x14ac:dyDescent="0.35">
      <c r="A1444" t="s">
        <v>1475</v>
      </c>
      <c r="C1444">
        <f t="shared" si="110"/>
        <v>1968</v>
      </c>
      <c r="D1444">
        <v>1968</v>
      </c>
      <c r="E1444" t="str">
        <f t="shared" si="114"/>
        <v>Oct</v>
      </c>
      <c r="F1444" t="s">
        <v>37</v>
      </c>
      <c r="G1444">
        <v>25</v>
      </c>
      <c r="H1444">
        <v>3</v>
      </c>
      <c r="I1444" s="21">
        <v>12105.32</v>
      </c>
      <c r="J1444" t="str">
        <f t="shared" si="111"/>
        <v>tier - 3</v>
      </c>
      <c r="K1444" t="s">
        <v>12</v>
      </c>
      <c r="L1444" t="str">
        <f t="shared" si="112"/>
        <v>tier - 3</v>
      </c>
      <c r="M1444" t="s">
        <v>12</v>
      </c>
      <c r="N1444" t="str">
        <f t="shared" si="113"/>
        <v>R1011</v>
      </c>
      <c r="O1444" t="s">
        <v>42</v>
      </c>
    </row>
    <row r="1445" spans="1:15" x14ac:dyDescent="0.35">
      <c r="A1445" t="s">
        <v>1476</v>
      </c>
      <c r="C1445">
        <f t="shared" si="110"/>
        <v>1963</v>
      </c>
      <c r="D1445">
        <v>1963</v>
      </c>
      <c r="E1445" t="str">
        <f t="shared" si="114"/>
        <v>Jul</v>
      </c>
      <c r="F1445" t="s">
        <v>10</v>
      </c>
      <c r="G1445">
        <v>20</v>
      </c>
      <c r="H1445">
        <v>0</v>
      </c>
      <c r="I1445" s="21">
        <v>12124.99</v>
      </c>
      <c r="J1445" t="str">
        <f t="shared" si="111"/>
        <v>tier - 3</v>
      </c>
      <c r="K1445" t="s">
        <v>12</v>
      </c>
      <c r="L1445" t="str">
        <f t="shared" si="112"/>
        <v>tier - 1</v>
      </c>
      <c r="M1445" t="s">
        <v>16</v>
      </c>
      <c r="N1445" t="str">
        <f t="shared" si="113"/>
        <v>R1012</v>
      </c>
      <c r="O1445" t="s">
        <v>23</v>
      </c>
    </row>
    <row r="1446" spans="1:15" x14ac:dyDescent="0.35">
      <c r="A1446" t="s">
        <v>1477</v>
      </c>
      <c r="C1446">
        <f t="shared" si="110"/>
        <v>1963</v>
      </c>
      <c r="D1446">
        <v>1963</v>
      </c>
      <c r="E1446" t="str">
        <f t="shared" si="114"/>
        <v>Jun</v>
      </c>
      <c r="F1446" t="s">
        <v>18</v>
      </c>
      <c r="G1446">
        <v>4</v>
      </c>
      <c r="H1446">
        <v>0</v>
      </c>
      <c r="I1446" s="21">
        <v>12129.61</v>
      </c>
      <c r="J1446" t="str">
        <f t="shared" si="111"/>
        <v>tier - 3</v>
      </c>
      <c r="K1446" t="s">
        <v>12</v>
      </c>
      <c r="L1446" t="str">
        <f t="shared" si="112"/>
        <v>tier - 1</v>
      </c>
      <c r="M1446" t="s">
        <v>16</v>
      </c>
      <c r="N1446" t="str">
        <f t="shared" si="113"/>
        <v>R1012</v>
      </c>
      <c r="O1446" t="s">
        <v>23</v>
      </c>
    </row>
    <row r="1447" spans="1:15" x14ac:dyDescent="0.35">
      <c r="A1447" t="s">
        <v>1478</v>
      </c>
      <c r="C1447">
        <f t="shared" si="110"/>
        <v>1991</v>
      </c>
      <c r="D1447">
        <v>1991</v>
      </c>
      <c r="E1447" t="str">
        <f t="shared" si="114"/>
        <v>Nov</v>
      </c>
      <c r="F1447" t="s">
        <v>15</v>
      </c>
      <c r="G1447">
        <v>6</v>
      </c>
      <c r="H1447">
        <v>3</v>
      </c>
      <c r="I1447" s="21">
        <v>12130.8</v>
      </c>
      <c r="J1447" t="str">
        <f t="shared" si="111"/>
        <v>tier - 3</v>
      </c>
      <c r="K1447" t="s">
        <v>12</v>
      </c>
      <c r="L1447" t="str">
        <f t="shared" si="112"/>
        <v>tier - 3</v>
      </c>
      <c r="M1447" t="s">
        <v>12</v>
      </c>
      <c r="N1447" t="str">
        <f t="shared" si="113"/>
        <v>R1026</v>
      </c>
      <c r="O1447" t="s">
        <v>535</v>
      </c>
    </row>
    <row r="1448" spans="1:15" x14ac:dyDescent="0.35">
      <c r="A1448" t="s">
        <v>1479</v>
      </c>
      <c r="C1448">
        <f t="shared" si="110"/>
        <v>1974</v>
      </c>
      <c r="D1448">
        <v>1974</v>
      </c>
      <c r="E1448" t="str">
        <f t="shared" si="114"/>
        <v>Sep</v>
      </c>
      <c r="F1448" t="s">
        <v>20</v>
      </c>
      <c r="G1448">
        <v>16</v>
      </c>
      <c r="H1448">
        <v>0</v>
      </c>
      <c r="I1448" s="21">
        <v>12137.6</v>
      </c>
      <c r="J1448" t="str">
        <f t="shared" si="111"/>
        <v>tier - 3</v>
      </c>
      <c r="K1448" t="s">
        <v>12</v>
      </c>
      <c r="L1448" t="str">
        <f t="shared" si="112"/>
        <v>tier - 3</v>
      </c>
      <c r="M1448" t="s">
        <v>12</v>
      </c>
      <c r="N1448" t="str">
        <f t="shared" si="113"/>
        <v>R1012</v>
      </c>
      <c r="O1448" t="s">
        <v>23</v>
      </c>
    </row>
    <row r="1449" spans="1:15" x14ac:dyDescent="0.35">
      <c r="A1449" t="s">
        <v>1480</v>
      </c>
      <c r="C1449">
        <f t="shared" si="110"/>
        <v>1962</v>
      </c>
      <c r="D1449">
        <v>1962</v>
      </c>
      <c r="E1449" t="str">
        <f t="shared" si="114"/>
        <v>Nov</v>
      </c>
      <c r="F1449" t="s">
        <v>15</v>
      </c>
      <c r="G1449">
        <v>4</v>
      </c>
      <c r="H1449">
        <v>0</v>
      </c>
      <c r="I1449" s="21">
        <v>12142.58</v>
      </c>
      <c r="J1449" t="str">
        <f t="shared" si="111"/>
        <v>tier - 3</v>
      </c>
      <c r="K1449" t="s">
        <v>12</v>
      </c>
      <c r="L1449" t="str">
        <f t="shared" si="112"/>
        <v>tier - 2</v>
      </c>
      <c r="M1449" t="s">
        <v>11</v>
      </c>
      <c r="N1449" t="str">
        <f t="shared" si="113"/>
        <v>R1013</v>
      </c>
      <c r="O1449" t="s">
        <v>13</v>
      </c>
    </row>
    <row r="1450" spans="1:15" x14ac:dyDescent="0.35">
      <c r="A1450" t="s">
        <v>1481</v>
      </c>
      <c r="C1450">
        <f t="shared" si="110"/>
        <v>1962</v>
      </c>
      <c r="D1450">
        <v>1962</v>
      </c>
      <c r="E1450" t="str">
        <f t="shared" si="114"/>
        <v>Sep</v>
      </c>
      <c r="F1450" t="s">
        <v>20</v>
      </c>
      <c r="G1450">
        <v>15</v>
      </c>
      <c r="H1450">
        <v>0</v>
      </c>
      <c r="I1450" s="21">
        <v>12146.97</v>
      </c>
      <c r="J1450" t="str">
        <f t="shared" si="111"/>
        <v>tier - 3</v>
      </c>
      <c r="K1450" t="s">
        <v>12</v>
      </c>
      <c r="L1450" t="str">
        <f t="shared" si="112"/>
        <v>tier - 3</v>
      </c>
      <c r="M1450" t="s">
        <v>12</v>
      </c>
      <c r="N1450" t="str">
        <f t="shared" si="113"/>
        <v>R1011</v>
      </c>
      <c r="O1450" t="s">
        <v>42</v>
      </c>
    </row>
    <row r="1451" spans="1:15" x14ac:dyDescent="0.35">
      <c r="A1451" t="s">
        <v>1482</v>
      </c>
      <c r="C1451">
        <f t="shared" si="110"/>
        <v>1987</v>
      </c>
      <c r="D1451">
        <v>1987</v>
      </c>
      <c r="E1451" t="str">
        <f t="shared" si="114"/>
        <v>Oct</v>
      </c>
      <c r="F1451" t="s">
        <v>37</v>
      </c>
      <c r="G1451">
        <v>5</v>
      </c>
      <c r="H1451">
        <v>3</v>
      </c>
      <c r="I1451" s="21">
        <v>12148.2</v>
      </c>
      <c r="J1451" t="str">
        <f t="shared" si="111"/>
        <v>tier - 3</v>
      </c>
      <c r="K1451" t="s">
        <v>12</v>
      </c>
      <c r="L1451" t="str">
        <f t="shared" si="112"/>
        <v>tier - 3</v>
      </c>
      <c r="M1451" t="s">
        <v>12</v>
      </c>
      <c r="N1451" t="str">
        <f t="shared" si="113"/>
        <v>R1012</v>
      </c>
      <c r="O1451" t="s">
        <v>23</v>
      </c>
    </row>
    <row r="1452" spans="1:15" x14ac:dyDescent="0.35">
      <c r="A1452" t="s">
        <v>1483</v>
      </c>
      <c r="C1452">
        <f t="shared" si="110"/>
        <v>1991</v>
      </c>
      <c r="D1452">
        <v>1991</v>
      </c>
      <c r="E1452" t="str">
        <f t="shared" si="114"/>
        <v>Aug</v>
      </c>
      <c r="F1452" t="s">
        <v>35</v>
      </c>
      <c r="G1452">
        <v>29</v>
      </c>
      <c r="H1452">
        <v>3</v>
      </c>
      <c r="I1452" s="21">
        <v>12198.64</v>
      </c>
      <c r="J1452" t="str">
        <f t="shared" si="111"/>
        <v>tier - 3</v>
      </c>
      <c r="K1452" t="s">
        <v>12</v>
      </c>
      <c r="L1452" t="str">
        <f t="shared" si="112"/>
        <v>tier - 3</v>
      </c>
      <c r="M1452" t="s">
        <v>12</v>
      </c>
      <c r="N1452" t="str">
        <f t="shared" si="113"/>
        <v>R1026</v>
      </c>
      <c r="O1452" t="s">
        <v>535</v>
      </c>
    </row>
    <row r="1453" spans="1:15" x14ac:dyDescent="0.35">
      <c r="A1453" t="s">
        <v>1484</v>
      </c>
      <c r="C1453">
        <f t="shared" si="110"/>
        <v>1977</v>
      </c>
      <c r="D1453">
        <v>1977</v>
      </c>
      <c r="E1453" t="str">
        <f t="shared" si="114"/>
        <v>Aug</v>
      </c>
      <c r="F1453" t="s">
        <v>35</v>
      </c>
      <c r="G1453">
        <v>14</v>
      </c>
      <c r="H1453">
        <v>2</v>
      </c>
      <c r="I1453" s="21">
        <v>12218.7</v>
      </c>
      <c r="J1453" t="str">
        <f t="shared" si="111"/>
        <v>tier - 3</v>
      </c>
      <c r="K1453" t="s">
        <v>12</v>
      </c>
      <c r="L1453" t="str">
        <f t="shared" si="112"/>
        <v>tier - 1</v>
      </c>
      <c r="M1453" t="s">
        <v>16</v>
      </c>
      <c r="N1453" t="str">
        <f t="shared" si="113"/>
        <v>R1012</v>
      </c>
      <c r="O1453" t="s">
        <v>23</v>
      </c>
    </row>
    <row r="1454" spans="1:15" x14ac:dyDescent="0.35">
      <c r="A1454" t="s">
        <v>1485</v>
      </c>
      <c r="C1454">
        <f t="shared" si="110"/>
        <v>1964</v>
      </c>
      <c r="D1454">
        <v>1964</v>
      </c>
      <c r="E1454" t="str">
        <f t="shared" si="114"/>
        <v>Jul</v>
      </c>
      <c r="F1454" t="s">
        <v>10</v>
      </c>
      <c r="G1454">
        <v>20</v>
      </c>
      <c r="H1454">
        <v>0</v>
      </c>
      <c r="I1454" s="21">
        <v>12222.9</v>
      </c>
      <c r="J1454" t="str">
        <f t="shared" si="111"/>
        <v>tier - 3</v>
      </c>
      <c r="K1454" t="s">
        <v>12</v>
      </c>
      <c r="L1454" t="str">
        <f t="shared" si="112"/>
        <v>tier - 2</v>
      </c>
      <c r="M1454" t="s">
        <v>11</v>
      </c>
      <c r="N1454" t="str">
        <f t="shared" si="113"/>
        <v>R1012</v>
      </c>
      <c r="O1454" t="s">
        <v>23</v>
      </c>
    </row>
    <row r="1455" spans="1:15" x14ac:dyDescent="0.35">
      <c r="A1455" t="s">
        <v>1486</v>
      </c>
      <c r="C1455">
        <f t="shared" si="110"/>
        <v>1964</v>
      </c>
      <c r="D1455">
        <v>1964</v>
      </c>
      <c r="E1455" t="str">
        <f t="shared" si="114"/>
        <v>Jul</v>
      </c>
      <c r="F1455" t="s">
        <v>10</v>
      </c>
      <c r="G1455">
        <v>2</v>
      </c>
      <c r="H1455">
        <v>0</v>
      </c>
      <c r="I1455" s="21">
        <v>12224.35</v>
      </c>
      <c r="J1455" t="str">
        <f t="shared" si="111"/>
        <v>tier - 3</v>
      </c>
      <c r="K1455" t="s">
        <v>12</v>
      </c>
      <c r="L1455" t="str">
        <f t="shared" si="112"/>
        <v>tier - 1</v>
      </c>
      <c r="M1455" t="s">
        <v>16</v>
      </c>
      <c r="N1455" t="str">
        <f t="shared" si="113"/>
        <v>R1012</v>
      </c>
      <c r="O1455" t="s">
        <v>23</v>
      </c>
    </row>
    <row r="1456" spans="1:15" x14ac:dyDescent="0.35">
      <c r="A1456" t="s">
        <v>1487</v>
      </c>
      <c r="C1456">
        <f t="shared" si="110"/>
        <v>1964</v>
      </c>
      <c r="D1456">
        <v>1964</v>
      </c>
      <c r="E1456" t="str">
        <f t="shared" si="114"/>
        <v>Jun</v>
      </c>
      <c r="F1456" t="s">
        <v>18</v>
      </c>
      <c r="G1456">
        <v>24</v>
      </c>
      <c r="H1456">
        <v>0</v>
      </c>
      <c r="I1456" s="21">
        <v>12231.61</v>
      </c>
      <c r="J1456" t="str">
        <f t="shared" si="111"/>
        <v>tier - 3</v>
      </c>
      <c r="K1456" t="s">
        <v>12</v>
      </c>
      <c r="L1456" t="str">
        <f t="shared" si="112"/>
        <v>tier - 3</v>
      </c>
      <c r="M1456" t="s">
        <v>12</v>
      </c>
      <c r="N1456" t="str">
        <f t="shared" si="113"/>
        <v>R1012</v>
      </c>
      <c r="O1456" t="s">
        <v>23</v>
      </c>
    </row>
    <row r="1457" spans="1:15" x14ac:dyDescent="0.35">
      <c r="A1457" t="s">
        <v>1488</v>
      </c>
      <c r="C1457">
        <f t="shared" si="110"/>
        <v>1963</v>
      </c>
      <c r="D1457">
        <v>1963</v>
      </c>
      <c r="E1457" t="str">
        <f t="shared" si="114"/>
        <v>Jul</v>
      </c>
      <c r="F1457" t="s">
        <v>10</v>
      </c>
      <c r="G1457">
        <v>19</v>
      </c>
      <c r="H1457">
        <v>0</v>
      </c>
      <c r="I1457" s="21">
        <v>12233.83</v>
      </c>
      <c r="J1457" t="str">
        <f t="shared" si="111"/>
        <v>tier - 3</v>
      </c>
      <c r="K1457" t="s">
        <v>12</v>
      </c>
      <c r="L1457" t="str">
        <f t="shared" si="112"/>
        <v>tier - 1</v>
      </c>
      <c r="M1457" t="s">
        <v>16</v>
      </c>
      <c r="N1457" t="str">
        <f t="shared" si="113"/>
        <v>R1011</v>
      </c>
      <c r="O1457" t="s">
        <v>42</v>
      </c>
    </row>
    <row r="1458" spans="1:15" x14ac:dyDescent="0.35">
      <c r="A1458" t="s">
        <v>1489</v>
      </c>
      <c r="C1458">
        <f t="shared" si="110"/>
        <v>1964</v>
      </c>
      <c r="D1458">
        <v>1964</v>
      </c>
      <c r="E1458" t="str">
        <f t="shared" si="114"/>
        <v>Oct</v>
      </c>
      <c r="F1458" t="s">
        <v>37</v>
      </c>
      <c r="G1458">
        <v>15</v>
      </c>
      <c r="H1458">
        <v>0</v>
      </c>
      <c r="I1458" s="21">
        <v>12235.84</v>
      </c>
      <c r="J1458" t="str">
        <f t="shared" si="111"/>
        <v>tier - 3</v>
      </c>
      <c r="K1458" t="s">
        <v>12</v>
      </c>
      <c r="L1458" t="str">
        <f t="shared" si="112"/>
        <v>tier - 3</v>
      </c>
      <c r="M1458" t="s">
        <v>12</v>
      </c>
      <c r="N1458" t="str">
        <f t="shared" si="113"/>
        <v>R1012</v>
      </c>
      <c r="O1458" t="s">
        <v>23</v>
      </c>
    </row>
    <row r="1459" spans="1:15" x14ac:dyDescent="0.35">
      <c r="A1459" t="s">
        <v>1490</v>
      </c>
      <c r="C1459">
        <f t="shared" si="110"/>
        <v>1966</v>
      </c>
      <c r="D1459">
        <v>1966</v>
      </c>
      <c r="E1459" t="str">
        <f t="shared" si="114"/>
        <v>Jul</v>
      </c>
      <c r="F1459" t="s">
        <v>10</v>
      </c>
      <c r="G1459">
        <v>29</v>
      </c>
      <c r="H1459">
        <v>0</v>
      </c>
      <c r="I1459" s="21">
        <v>12237.73</v>
      </c>
      <c r="J1459" t="str">
        <f t="shared" si="111"/>
        <v>tier - 3</v>
      </c>
      <c r="K1459" t="s">
        <v>12</v>
      </c>
      <c r="L1459" t="str">
        <f t="shared" si="112"/>
        <v>tier - 3</v>
      </c>
      <c r="M1459" t="s">
        <v>12</v>
      </c>
      <c r="N1459" t="str">
        <f t="shared" si="113"/>
        <v>R1012</v>
      </c>
      <c r="O1459" t="s">
        <v>23</v>
      </c>
    </row>
    <row r="1460" spans="1:15" x14ac:dyDescent="0.35">
      <c r="A1460" t="s">
        <v>1491</v>
      </c>
      <c r="C1460">
        <f t="shared" si="110"/>
        <v>1963</v>
      </c>
      <c r="D1460">
        <v>1963</v>
      </c>
      <c r="E1460" t="str">
        <f t="shared" si="114"/>
        <v>Jul</v>
      </c>
      <c r="F1460" t="s">
        <v>10</v>
      </c>
      <c r="G1460">
        <v>17</v>
      </c>
      <c r="H1460">
        <v>0</v>
      </c>
      <c r="I1460" s="21">
        <v>12244.53</v>
      </c>
      <c r="J1460" t="str">
        <f t="shared" si="111"/>
        <v>tier - 3</v>
      </c>
      <c r="K1460" t="s">
        <v>12</v>
      </c>
      <c r="L1460" t="str">
        <f t="shared" si="112"/>
        <v>tier - 1</v>
      </c>
      <c r="M1460" t="s">
        <v>16</v>
      </c>
      <c r="N1460" t="str">
        <f t="shared" si="113"/>
        <v>R1013</v>
      </c>
      <c r="O1460" t="s">
        <v>13</v>
      </c>
    </row>
    <row r="1461" spans="1:15" x14ac:dyDescent="0.35">
      <c r="A1461" t="s">
        <v>1492</v>
      </c>
      <c r="C1461">
        <f t="shared" si="110"/>
        <v>1974</v>
      </c>
      <c r="D1461">
        <v>1974</v>
      </c>
      <c r="E1461" t="str">
        <f t="shared" si="114"/>
        <v>Jun</v>
      </c>
      <c r="F1461" t="s">
        <v>18</v>
      </c>
      <c r="G1461">
        <v>23</v>
      </c>
      <c r="H1461">
        <v>0</v>
      </c>
      <c r="I1461" s="21">
        <v>12245.17</v>
      </c>
      <c r="J1461" t="str">
        <f t="shared" si="111"/>
        <v>tier - 3</v>
      </c>
      <c r="K1461" t="s">
        <v>12</v>
      </c>
      <c r="L1461" t="str">
        <f t="shared" si="112"/>
        <v>tier - 1</v>
      </c>
      <c r="M1461" t="s">
        <v>16</v>
      </c>
      <c r="N1461" t="str">
        <f t="shared" si="113"/>
        <v>R1012</v>
      </c>
      <c r="O1461" t="s">
        <v>23</v>
      </c>
    </row>
    <row r="1462" spans="1:15" x14ac:dyDescent="0.35">
      <c r="A1462" t="s">
        <v>1493</v>
      </c>
      <c r="C1462">
        <f t="shared" si="110"/>
        <v>1989</v>
      </c>
      <c r="D1462">
        <v>1989</v>
      </c>
      <c r="E1462" t="str">
        <f t="shared" si="114"/>
        <v>Nov</v>
      </c>
      <c r="F1462" t="s">
        <v>15</v>
      </c>
      <c r="G1462">
        <v>23</v>
      </c>
      <c r="H1462">
        <v>3</v>
      </c>
      <c r="I1462" s="21">
        <v>12254.44</v>
      </c>
      <c r="J1462" t="str">
        <f t="shared" si="111"/>
        <v>tier - 3</v>
      </c>
      <c r="K1462" t="s">
        <v>12</v>
      </c>
      <c r="L1462" t="str">
        <f t="shared" si="112"/>
        <v>tier - 3</v>
      </c>
      <c r="M1462" t="s">
        <v>12</v>
      </c>
      <c r="N1462" t="str">
        <f t="shared" si="113"/>
        <v>R1026</v>
      </c>
      <c r="O1462" t="s">
        <v>535</v>
      </c>
    </row>
    <row r="1463" spans="1:15" x14ac:dyDescent="0.35">
      <c r="A1463" t="s">
        <v>1494</v>
      </c>
      <c r="C1463">
        <f t="shared" si="110"/>
        <v>1986</v>
      </c>
      <c r="D1463">
        <v>1986</v>
      </c>
      <c r="E1463" t="str">
        <f t="shared" si="114"/>
        <v>Aug</v>
      </c>
      <c r="F1463" t="s">
        <v>35</v>
      </c>
      <c r="G1463">
        <v>13</v>
      </c>
      <c r="H1463">
        <v>3</v>
      </c>
      <c r="I1463" s="21">
        <v>12255.04</v>
      </c>
      <c r="J1463" t="str">
        <f t="shared" si="111"/>
        <v>tier - 3</v>
      </c>
      <c r="K1463" t="s">
        <v>12</v>
      </c>
      <c r="L1463" t="str">
        <f t="shared" si="112"/>
        <v>tier - 2</v>
      </c>
      <c r="M1463" t="s">
        <v>11</v>
      </c>
      <c r="N1463" t="str">
        <f t="shared" si="113"/>
        <v>R1026</v>
      </c>
      <c r="O1463" t="s">
        <v>535</v>
      </c>
    </row>
    <row r="1464" spans="1:15" x14ac:dyDescent="0.35">
      <c r="A1464" t="s">
        <v>1495</v>
      </c>
      <c r="C1464">
        <f t="shared" si="110"/>
        <v>1966</v>
      </c>
      <c r="D1464">
        <v>1966</v>
      </c>
      <c r="E1464" t="str">
        <f t="shared" si="114"/>
        <v>Dec</v>
      </c>
      <c r="F1464" t="s">
        <v>30</v>
      </c>
      <c r="G1464">
        <v>6</v>
      </c>
      <c r="H1464">
        <v>2</v>
      </c>
      <c r="I1464" s="21">
        <v>12265.51</v>
      </c>
      <c r="J1464" t="str">
        <f t="shared" si="111"/>
        <v>tier - 3</v>
      </c>
      <c r="K1464" t="s">
        <v>12</v>
      </c>
      <c r="L1464" t="str">
        <f t="shared" si="112"/>
        <v>tier - 3</v>
      </c>
      <c r="M1464" t="s">
        <v>12</v>
      </c>
      <c r="N1464" t="str">
        <f t="shared" si="113"/>
        <v>R1013</v>
      </c>
      <c r="O1464" t="s">
        <v>13</v>
      </c>
    </row>
    <row r="1465" spans="1:15" x14ac:dyDescent="0.35">
      <c r="A1465" t="s">
        <v>1496</v>
      </c>
      <c r="C1465">
        <f t="shared" si="110"/>
        <v>1967</v>
      </c>
      <c r="D1465">
        <v>1967</v>
      </c>
      <c r="E1465" t="str">
        <f t="shared" si="114"/>
        <v>Dec</v>
      </c>
      <c r="F1465" t="s">
        <v>30</v>
      </c>
      <c r="G1465">
        <v>30</v>
      </c>
      <c r="H1465">
        <v>2</v>
      </c>
      <c r="I1465" s="21">
        <v>12268.63</v>
      </c>
      <c r="J1465" t="str">
        <f t="shared" si="111"/>
        <v>tier - 3</v>
      </c>
      <c r="K1465" t="s">
        <v>12</v>
      </c>
      <c r="L1465" t="str">
        <f t="shared" si="112"/>
        <v>tier - 1</v>
      </c>
      <c r="M1465" t="s">
        <v>16</v>
      </c>
      <c r="N1465" t="str">
        <f t="shared" si="113"/>
        <v>R1012</v>
      </c>
      <c r="O1465" t="s">
        <v>23</v>
      </c>
    </row>
    <row r="1466" spans="1:15" x14ac:dyDescent="0.35">
      <c r="A1466" t="s">
        <v>1497</v>
      </c>
      <c r="C1466">
        <f t="shared" si="110"/>
        <v>1967</v>
      </c>
      <c r="D1466">
        <v>1967</v>
      </c>
      <c r="E1466" t="str">
        <f t="shared" si="114"/>
        <v>Aug</v>
      </c>
      <c r="F1466" t="s">
        <v>35</v>
      </c>
      <c r="G1466">
        <v>28</v>
      </c>
      <c r="H1466">
        <v>2</v>
      </c>
      <c r="I1466" s="21">
        <v>12269.69</v>
      </c>
      <c r="J1466" t="str">
        <f t="shared" si="111"/>
        <v>tier - 3</v>
      </c>
      <c r="K1466" t="s">
        <v>12</v>
      </c>
      <c r="L1466" t="str">
        <f t="shared" si="112"/>
        <v>tier - 2</v>
      </c>
      <c r="M1466" t="s">
        <v>11</v>
      </c>
      <c r="N1466" t="str">
        <f t="shared" si="113"/>
        <v>R1012</v>
      </c>
      <c r="O1466" t="s">
        <v>23</v>
      </c>
    </row>
    <row r="1467" spans="1:15" x14ac:dyDescent="0.35">
      <c r="A1467" t="s">
        <v>1498</v>
      </c>
      <c r="C1467">
        <f t="shared" si="110"/>
        <v>1966</v>
      </c>
      <c r="D1467">
        <v>1966</v>
      </c>
      <c r="E1467" t="str">
        <f t="shared" si="114"/>
        <v>Nov</v>
      </c>
      <c r="F1467" t="s">
        <v>15</v>
      </c>
      <c r="G1467">
        <v>16</v>
      </c>
      <c r="H1467">
        <v>0</v>
      </c>
      <c r="I1467" s="21">
        <v>12282.03</v>
      </c>
      <c r="J1467" t="str">
        <f t="shared" si="111"/>
        <v>tier - 3</v>
      </c>
      <c r="K1467" t="s">
        <v>12</v>
      </c>
      <c r="L1467" t="str">
        <f t="shared" si="112"/>
        <v>tier - 1</v>
      </c>
      <c r="M1467" t="s">
        <v>16</v>
      </c>
      <c r="N1467" t="str">
        <f t="shared" si="113"/>
        <v>R1025</v>
      </c>
      <c r="O1467" t="s">
        <v>200</v>
      </c>
    </row>
    <row r="1468" spans="1:15" x14ac:dyDescent="0.35">
      <c r="A1468" t="s">
        <v>1499</v>
      </c>
      <c r="C1468">
        <f t="shared" si="110"/>
        <v>1990</v>
      </c>
      <c r="D1468">
        <v>1990</v>
      </c>
      <c r="E1468" t="str">
        <f t="shared" si="114"/>
        <v>Oct</v>
      </c>
      <c r="F1468" t="s">
        <v>37</v>
      </c>
      <c r="G1468">
        <v>29</v>
      </c>
      <c r="H1468">
        <v>3</v>
      </c>
      <c r="I1468" s="21">
        <v>12282.38</v>
      </c>
      <c r="J1468" t="str">
        <f t="shared" si="111"/>
        <v>tier - 3</v>
      </c>
      <c r="K1468" t="s">
        <v>12</v>
      </c>
      <c r="L1468" t="str">
        <f t="shared" si="112"/>
        <v>tier - 1</v>
      </c>
      <c r="M1468" t="s">
        <v>16</v>
      </c>
      <c r="N1468" t="str">
        <f t="shared" si="113"/>
        <v>R1011</v>
      </c>
      <c r="O1468" t="s">
        <v>42</v>
      </c>
    </row>
    <row r="1469" spans="1:15" x14ac:dyDescent="0.35">
      <c r="A1469" t="s">
        <v>1500</v>
      </c>
      <c r="C1469">
        <f t="shared" si="110"/>
        <v>1963</v>
      </c>
      <c r="D1469">
        <v>1963</v>
      </c>
      <c r="E1469" t="str">
        <f t="shared" si="114"/>
        <v>Oct</v>
      </c>
      <c r="F1469" t="s">
        <v>37</v>
      </c>
      <c r="G1469">
        <v>28</v>
      </c>
      <c r="H1469">
        <v>0</v>
      </c>
      <c r="I1469" s="21">
        <v>12299.59</v>
      </c>
      <c r="J1469" t="str">
        <f t="shared" si="111"/>
        <v>tier - 3</v>
      </c>
      <c r="K1469" t="s">
        <v>12</v>
      </c>
      <c r="L1469" t="str">
        <f t="shared" si="112"/>
        <v>tier - 1</v>
      </c>
      <c r="M1469" t="s">
        <v>16</v>
      </c>
      <c r="N1469" t="str">
        <f t="shared" si="113"/>
        <v>R1025</v>
      </c>
      <c r="O1469" t="s">
        <v>200</v>
      </c>
    </row>
    <row r="1470" spans="1:15" x14ac:dyDescent="0.35">
      <c r="A1470" t="s">
        <v>1501</v>
      </c>
      <c r="C1470">
        <f t="shared" si="110"/>
        <v>1963</v>
      </c>
      <c r="D1470">
        <v>1963</v>
      </c>
      <c r="E1470" t="str">
        <f t="shared" si="114"/>
        <v>Aug</v>
      </c>
      <c r="F1470" t="s">
        <v>35</v>
      </c>
      <c r="G1470">
        <v>29</v>
      </c>
      <c r="H1470">
        <v>0</v>
      </c>
      <c r="I1470" s="21">
        <v>12323.94</v>
      </c>
      <c r="J1470" t="str">
        <f t="shared" si="111"/>
        <v>tier - 3</v>
      </c>
      <c r="K1470" t="s">
        <v>12</v>
      </c>
      <c r="L1470" t="str">
        <f t="shared" si="112"/>
        <v>tier - 3</v>
      </c>
      <c r="M1470" t="s">
        <v>12</v>
      </c>
      <c r="N1470" t="str">
        <f t="shared" si="113"/>
        <v>R1017</v>
      </c>
      <c r="O1470" t="s">
        <v>356</v>
      </c>
    </row>
    <row r="1471" spans="1:15" x14ac:dyDescent="0.35">
      <c r="A1471" t="s">
        <v>1502</v>
      </c>
      <c r="C1471">
        <f t="shared" si="110"/>
        <v>1963</v>
      </c>
      <c r="D1471">
        <v>1963</v>
      </c>
      <c r="E1471" t="str">
        <f t="shared" si="114"/>
        <v>Aug</v>
      </c>
      <c r="F1471" t="s">
        <v>35</v>
      </c>
      <c r="G1471">
        <v>2</v>
      </c>
      <c r="H1471">
        <v>1</v>
      </c>
      <c r="I1471" s="21">
        <v>12333.83</v>
      </c>
      <c r="J1471" t="str">
        <f t="shared" si="111"/>
        <v>tier - 3</v>
      </c>
      <c r="K1471" t="s">
        <v>12</v>
      </c>
      <c r="L1471" t="str">
        <f t="shared" si="112"/>
        <v>tier - 2</v>
      </c>
      <c r="M1471" t="s">
        <v>11</v>
      </c>
      <c r="N1471" t="str">
        <f t="shared" si="113"/>
        <v>R1011</v>
      </c>
      <c r="O1471" t="s">
        <v>42</v>
      </c>
    </row>
    <row r="1472" spans="1:15" x14ac:dyDescent="0.35">
      <c r="A1472" t="s">
        <v>1503</v>
      </c>
      <c r="C1472">
        <f t="shared" si="110"/>
        <v>1963</v>
      </c>
      <c r="D1472">
        <v>1963</v>
      </c>
      <c r="E1472" t="str">
        <f t="shared" si="114"/>
        <v>Sep</v>
      </c>
      <c r="F1472" t="s">
        <v>20</v>
      </c>
      <c r="G1472">
        <v>22</v>
      </c>
      <c r="H1472">
        <v>1</v>
      </c>
      <c r="I1472" s="21">
        <v>12347.17</v>
      </c>
      <c r="J1472" t="str">
        <f t="shared" si="111"/>
        <v>tier - 3</v>
      </c>
      <c r="K1472" t="s">
        <v>12</v>
      </c>
      <c r="L1472" t="str">
        <f t="shared" si="112"/>
        <v>tier - 3</v>
      </c>
      <c r="M1472" t="s">
        <v>12</v>
      </c>
      <c r="N1472" t="str">
        <f t="shared" si="113"/>
        <v>R1011</v>
      </c>
      <c r="O1472" t="s">
        <v>42</v>
      </c>
    </row>
    <row r="1473" spans="1:15" x14ac:dyDescent="0.35">
      <c r="A1473" t="s">
        <v>1504</v>
      </c>
      <c r="C1473">
        <f t="shared" si="110"/>
        <v>1966</v>
      </c>
      <c r="D1473">
        <v>1966</v>
      </c>
      <c r="E1473" t="str">
        <f t="shared" si="114"/>
        <v>Dec</v>
      </c>
      <c r="F1473" t="s">
        <v>30</v>
      </c>
      <c r="G1473">
        <v>29</v>
      </c>
      <c r="H1473">
        <v>3</v>
      </c>
      <c r="I1473" s="21">
        <v>12363.55</v>
      </c>
      <c r="J1473" t="str">
        <f t="shared" si="111"/>
        <v>tier - 3</v>
      </c>
      <c r="K1473" t="s">
        <v>12</v>
      </c>
      <c r="L1473" t="str">
        <f t="shared" si="112"/>
        <v>tier - 3</v>
      </c>
      <c r="M1473" t="s">
        <v>12</v>
      </c>
      <c r="N1473" t="str">
        <f t="shared" si="113"/>
        <v>R1011</v>
      </c>
      <c r="O1473" t="s">
        <v>42</v>
      </c>
    </row>
    <row r="1474" spans="1:15" x14ac:dyDescent="0.35">
      <c r="A1474" t="s">
        <v>1505</v>
      </c>
      <c r="C1474">
        <f t="shared" si="110"/>
        <v>1962</v>
      </c>
      <c r="D1474">
        <v>1962</v>
      </c>
      <c r="E1474" t="str">
        <f t="shared" si="114"/>
        <v>Sep</v>
      </c>
      <c r="F1474" t="s">
        <v>20</v>
      </c>
      <c r="G1474">
        <v>26</v>
      </c>
      <c r="H1474">
        <v>0</v>
      </c>
      <c r="I1474" s="21">
        <v>12369.89</v>
      </c>
      <c r="J1474" t="str">
        <f t="shared" si="111"/>
        <v>tier - 3</v>
      </c>
      <c r="K1474" t="s">
        <v>12</v>
      </c>
      <c r="L1474" t="str">
        <f t="shared" si="112"/>
        <v>tier - 2</v>
      </c>
      <c r="M1474" t="s">
        <v>11</v>
      </c>
      <c r="N1474" t="str">
        <f t="shared" si="113"/>
        <v>R1024</v>
      </c>
      <c r="O1474" t="s">
        <v>247</v>
      </c>
    </row>
    <row r="1475" spans="1:15" x14ac:dyDescent="0.35">
      <c r="A1475" t="s">
        <v>1506</v>
      </c>
      <c r="C1475">
        <f t="shared" ref="C1475:C1538" si="115">IF(OR(D1475="?", ISBLANK(D1475)), 1983, D1475)</f>
        <v>1989</v>
      </c>
      <c r="D1475">
        <v>1989</v>
      </c>
      <c r="E1475" t="str">
        <f t="shared" si="114"/>
        <v>Dec</v>
      </c>
      <c r="F1475" t="s">
        <v>30</v>
      </c>
      <c r="G1475">
        <v>29</v>
      </c>
      <c r="H1475">
        <v>0</v>
      </c>
      <c r="I1475" s="21">
        <v>12404.88</v>
      </c>
      <c r="J1475" t="str">
        <f t="shared" ref="J1475:J1538" si="116">IF(OR(K1475="?", ISBLANK(K1475)), "Tier 2", K1475)</f>
        <v>tier - 3</v>
      </c>
      <c r="K1475" t="s">
        <v>12</v>
      </c>
      <c r="L1475" t="str">
        <f t="shared" ref="L1475:L1538" si="117">IF(OR(M1475="?", ISBLANK(M1475)), "Tier 2", M1475)</f>
        <v>tier - 3</v>
      </c>
      <c r="M1475" t="s">
        <v>12</v>
      </c>
      <c r="N1475" t="str">
        <f t="shared" ref="N1475:N1538" si="118">IF(OR(O1475="?", ISBLANK(O1475)), "Unknown", O1475)</f>
        <v>R1016</v>
      </c>
      <c r="O1475" t="s">
        <v>168</v>
      </c>
    </row>
    <row r="1476" spans="1:15" x14ac:dyDescent="0.35">
      <c r="A1476" t="s">
        <v>1507</v>
      </c>
      <c r="C1476">
        <f t="shared" si="115"/>
        <v>1972</v>
      </c>
      <c r="D1476">
        <v>1972</v>
      </c>
      <c r="E1476" t="str">
        <f t="shared" ref="E1476:E1539" si="119">IF(OR(F1476="?", ISBLANK(F1476)), "Sep", F1476)</f>
        <v>Aug</v>
      </c>
      <c r="F1476" t="s">
        <v>35</v>
      </c>
      <c r="G1476">
        <v>21</v>
      </c>
      <c r="H1476">
        <v>0</v>
      </c>
      <c r="I1476" s="21">
        <v>12407.3</v>
      </c>
      <c r="J1476" t="str">
        <f t="shared" si="116"/>
        <v>tier - 3</v>
      </c>
      <c r="K1476" t="s">
        <v>12</v>
      </c>
      <c r="L1476" t="str">
        <f t="shared" si="117"/>
        <v>tier - 2</v>
      </c>
      <c r="M1476" t="s">
        <v>11</v>
      </c>
      <c r="N1476" t="str">
        <f t="shared" si="118"/>
        <v>R1021</v>
      </c>
      <c r="O1476" t="s">
        <v>300</v>
      </c>
    </row>
    <row r="1477" spans="1:15" x14ac:dyDescent="0.35">
      <c r="A1477" t="s">
        <v>1508</v>
      </c>
      <c r="C1477">
        <f t="shared" si="115"/>
        <v>1979</v>
      </c>
      <c r="D1477">
        <v>1979</v>
      </c>
      <c r="E1477" t="str">
        <f t="shared" si="119"/>
        <v>Jul</v>
      </c>
      <c r="F1477" t="s">
        <v>10</v>
      </c>
      <c r="G1477">
        <v>14</v>
      </c>
      <c r="H1477">
        <v>2</v>
      </c>
      <c r="I1477" s="21">
        <v>12408.29</v>
      </c>
      <c r="J1477" t="str">
        <f t="shared" si="116"/>
        <v>tier - 3</v>
      </c>
      <c r="K1477" t="s">
        <v>12</v>
      </c>
      <c r="L1477" t="str">
        <f t="shared" si="117"/>
        <v>tier - 1</v>
      </c>
      <c r="M1477" t="s">
        <v>16</v>
      </c>
      <c r="N1477" t="str">
        <f t="shared" si="118"/>
        <v>R1022</v>
      </c>
      <c r="O1477" t="s">
        <v>632</v>
      </c>
    </row>
    <row r="1478" spans="1:15" x14ac:dyDescent="0.35">
      <c r="A1478" t="s">
        <v>1509</v>
      </c>
      <c r="C1478">
        <f t="shared" si="115"/>
        <v>1964</v>
      </c>
      <c r="D1478">
        <v>1964</v>
      </c>
      <c r="E1478" t="str">
        <f t="shared" si="119"/>
        <v>Aug</v>
      </c>
      <c r="F1478" t="s">
        <v>35</v>
      </c>
      <c r="G1478">
        <v>4</v>
      </c>
      <c r="H1478">
        <v>0</v>
      </c>
      <c r="I1478" s="21">
        <v>12430.95</v>
      </c>
      <c r="J1478" t="str">
        <f t="shared" si="116"/>
        <v>tier - 3</v>
      </c>
      <c r="K1478" t="s">
        <v>12</v>
      </c>
      <c r="L1478" t="str">
        <f t="shared" si="117"/>
        <v>tier - 3</v>
      </c>
      <c r="M1478" t="s">
        <v>12</v>
      </c>
      <c r="N1478" t="str">
        <f t="shared" si="118"/>
        <v>R1024</v>
      </c>
      <c r="O1478" t="s">
        <v>247</v>
      </c>
    </row>
    <row r="1479" spans="1:15" x14ac:dyDescent="0.35">
      <c r="A1479" t="s">
        <v>1510</v>
      </c>
      <c r="C1479">
        <f t="shared" si="115"/>
        <v>1995</v>
      </c>
      <c r="D1479">
        <v>1995</v>
      </c>
      <c r="E1479" t="str">
        <f t="shared" si="119"/>
        <v>Aug</v>
      </c>
      <c r="F1479" t="s">
        <v>35</v>
      </c>
      <c r="G1479">
        <v>9</v>
      </c>
      <c r="H1479">
        <v>0</v>
      </c>
      <c r="I1479" s="21">
        <v>12452.25</v>
      </c>
      <c r="J1479" t="str">
        <f t="shared" si="116"/>
        <v>tier - 3</v>
      </c>
      <c r="K1479" t="s">
        <v>12</v>
      </c>
      <c r="L1479" t="str">
        <f t="shared" si="117"/>
        <v>tier - 3</v>
      </c>
      <c r="M1479" t="s">
        <v>12</v>
      </c>
      <c r="N1479" t="str">
        <f t="shared" si="118"/>
        <v>R1012</v>
      </c>
      <c r="O1479" t="s">
        <v>23</v>
      </c>
    </row>
    <row r="1480" spans="1:15" x14ac:dyDescent="0.35">
      <c r="A1480" t="s">
        <v>1511</v>
      </c>
      <c r="C1480">
        <f t="shared" si="115"/>
        <v>1968</v>
      </c>
      <c r="D1480">
        <v>1968</v>
      </c>
      <c r="E1480" t="str">
        <f t="shared" si="119"/>
        <v>Nov</v>
      </c>
      <c r="F1480" t="s">
        <v>15</v>
      </c>
      <c r="G1480">
        <v>26</v>
      </c>
      <c r="H1480">
        <v>3</v>
      </c>
      <c r="I1480" s="21">
        <v>12475.35</v>
      </c>
      <c r="J1480" t="str">
        <f t="shared" si="116"/>
        <v>tier - 3</v>
      </c>
      <c r="K1480" t="s">
        <v>12</v>
      </c>
      <c r="L1480" t="str">
        <f t="shared" si="117"/>
        <v>tier - 1</v>
      </c>
      <c r="M1480" t="s">
        <v>16</v>
      </c>
      <c r="N1480" t="str">
        <f t="shared" si="118"/>
        <v>R1012</v>
      </c>
      <c r="O1480" t="s">
        <v>23</v>
      </c>
    </row>
    <row r="1481" spans="1:15" x14ac:dyDescent="0.35">
      <c r="A1481" t="s">
        <v>1512</v>
      </c>
      <c r="C1481">
        <f t="shared" si="115"/>
        <v>1968</v>
      </c>
      <c r="D1481">
        <v>1968</v>
      </c>
      <c r="E1481" t="str">
        <f t="shared" si="119"/>
        <v>Nov</v>
      </c>
      <c r="F1481" t="s">
        <v>15</v>
      </c>
      <c r="G1481">
        <v>12</v>
      </c>
      <c r="H1481">
        <v>3</v>
      </c>
      <c r="I1481" s="21">
        <v>12479.71</v>
      </c>
      <c r="J1481" t="str">
        <f t="shared" si="116"/>
        <v>tier - 3</v>
      </c>
      <c r="K1481" t="s">
        <v>12</v>
      </c>
      <c r="L1481" t="str">
        <f t="shared" si="117"/>
        <v>tier - 3</v>
      </c>
      <c r="M1481" t="s">
        <v>12</v>
      </c>
      <c r="N1481" t="str">
        <f t="shared" si="118"/>
        <v>R1012</v>
      </c>
      <c r="O1481" t="s">
        <v>23</v>
      </c>
    </row>
    <row r="1482" spans="1:15" x14ac:dyDescent="0.35">
      <c r="A1482" t="s">
        <v>1513</v>
      </c>
      <c r="C1482">
        <f t="shared" si="115"/>
        <v>1967</v>
      </c>
      <c r="D1482">
        <v>1967</v>
      </c>
      <c r="E1482" t="str">
        <f t="shared" si="119"/>
        <v>Sep</v>
      </c>
      <c r="F1482" t="s">
        <v>20</v>
      </c>
      <c r="G1482">
        <v>1</v>
      </c>
      <c r="H1482">
        <v>3</v>
      </c>
      <c r="I1482" s="21">
        <v>12485.8</v>
      </c>
      <c r="J1482" t="str">
        <f t="shared" si="116"/>
        <v>tier - 3</v>
      </c>
      <c r="K1482" t="s">
        <v>12</v>
      </c>
      <c r="L1482" t="str">
        <f t="shared" si="117"/>
        <v>tier - 3</v>
      </c>
      <c r="M1482" t="s">
        <v>12</v>
      </c>
      <c r="N1482" t="str">
        <f t="shared" si="118"/>
        <v>R1013</v>
      </c>
      <c r="O1482" t="s">
        <v>13</v>
      </c>
    </row>
    <row r="1483" spans="1:15" x14ac:dyDescent="0.35">
      <c r="A1483" t="s">
        <v>1514</v>
      </c>
      <c r="C1483">
        <f t="shared" si="115"/>
        <v>1968</v>
      </c>
      <c r="D1483">
        <v>1968</v>
      </c>
      <c r="E1483" t="str">
        <f t="shared" si="119"/>
        <v>Dec</v>
      </c>
      <c r="F1483" t="s">
        <v>30</v>
      </c>
      <c r="G1483">
        <v>3</v>
      </c>
      <c r="H1483">
        <v>3</v>
      </c>
      <c r="I1483" s="21">
        <v>12495.29</v>
      </c>
      <c r="J1483" t="str">
        <f t="shared" si="116"/>
        <v>tier - 3</v>
      </c>
      <c r="K1483" t="s">
        <v>12</v>
      </c>
      <c r="L1483" t="str">
        <f t="shared" si="117"/>
        <v>tier - 3</v>
      </c>
      <c r="M1483" t="s">
        <v>12</v>
      </c>
      <c r="N1483" t="str">
        <f t="shared" si="118"/>
        <v>R1012</v>
      </c>
      <c r="O1483" t="s">
        <v>23</v>
      </c>
    </row>
    <row r="1484" spans="1:15" x14ac:dyDescent="0.35">
      <c r="A1484" t="s">
        <v>1515</v>
      </c>
      <c r="C1484">
        <f t="shared" si="115"/>
        <v>1966</v>
      </c>
      <c r="D1484">
        <v>1966</v>
      </c>
      <c r="E1484" t="str">
        <f t="shared" si="119"/>
        <v>Jul</v>
      </c>
      <c r="F1484" t="s">
        <v>10</v>
      </c>
      <c r="G1484">
        <v>12</v>
      </c>
      <c r="H1484">
        <v>0</v>
      </c>
      <c r="I1484" s="21">
        <v>12499.88</v>
      </c>
      <c r="J1484" t="str">
        <f t="shared" si="116"/>
        <v>tier - 3</v>
      </c>
      <c r="K1484" t="s">
        <v>12</v>
      </c>
      <c r="L1484" t="str">
        <f t="shared" si="117"/>
        <v>tier - 2</v>
      </c>
      <c r="M1484" t="s">
        <v>11</v>
      </c>
      <c r="N1484" t="str">
        <f t="shared" si="118"/>
        <v>R1012</v>
      </c>
      <c r="O1484" t="s">
        <v>23</v>
      </c>
    </row>
    <row r="1485" spans="1:15" x14ac:dyDescent="0.35">
      <c r="A1485" t="s">
        <v>1516</v>
      </c>
      <c r="C1485">
        <f t="shared" si="115"/>
        <v>1962</v>
      </c>
      <c r="D1485">
        <v>1962</v>
      </c>
      <c r="E1485" t="str">
        <f t="shared" si="119"/>
        <v>Oct</v>
      </c>
      <c r="F1485" t="s">
        <v>37</v>
      </c>
      <c r="G1485">
        <v>16</v>
      </c>
      <c r="H1485">
        <v>0</v>
      </c>
      <c r="I1485" s="21">
        <v>12523.6</v>
      </c>
      <c r="J1485" t="str">
        <f t="shared" si="116"/>
        <v>tier - 3</v>
      </c>
      <c r="K1485" t="s">
        <v>12</v>
      </c>
      <c r="L1485" t="str">
        <f t="shared" si="117"/>
        <v>tier - 3</v>
      </c>
      <c r="M1485" t="s">
        <v>12</v>
      </c>
      <c r="N1485" t="str">
        <f t="shared" si="118"/>
        <v>R1012</v>
      </c>
      <c r="O1485" t="s">
        <v>23</v>
      </c>
    </row>
    <row r="1486" spans="1:15" x14ac:dyDescent="0.35">
      <c r="A1486" t="s">
        <v>1517</v>
      </c>
      <c r="C1486">
        <f t="shared" si="115"/>
        <v>1961</v>
      </c>
      <c r="D1486">
        <v>1961</v>
      </c>
      <c r="E1486" t="str">
        <f t="shared" si="119"/>
        <v>Nov</v>
      </c>
      <c r="F1486" t="s">
        <v>15</v>
      </c>
      <c r="G1486">
        <v>28</v>
      </c>
      <c r="H1486">
        <v>0</v>
      </c>
      <c r="I1486" s="21">
        <v>12557.61</v>
      </c>
      <c r="J1486" t="str">
        <f t="shared" si="116"/>
        <v>tier - 3</v>
      </c>
      <c r="K1486" t="s">
        <v>12</v>
      </c>
      <c r="L1486" t="str">
        <f t="shared" si="117"/>
        <v>tier - 3</v>
      </c>
      <c r="M1486" t="s">
        <v>12</v>
      </c>
      <c r="N1486" t="str">
        <f t="shared" si="118"/>
        <v>R1013</v>
      </c>
      <c r="O1486" t="s">
        <v>13</v>
      </c>
    </row>
    <row r="1487" spans="1:15" x14ac:dyDescent="0.35">
      <c r="A1487" t="s">
        <v>1518</v>
      </c>
      <c r="C1487">
        <f t="shared" si="115"/>
        <v>1961</v>
      </c>
      <c r="D1487">
        <v>1961</v>
      </c>
      <c r="E1487" t="str">
        <f t="shared" si="119"/>
        <v>Nov</v>
      </c>
      <c r="F1487" t="s">
        <v>15</v>
      </c>
      <c r="G1487">
        <v>28</v>
      </c>
      <c r="H1487">
        <v>0</v>
      </c>
      <c r="I1487" s="21">
        <v>12574.05</v>
      </c>
      <c r="J1487" t="str">
        <f t="shared" si="116"/>
        <v>tier - 3</v>
      </c>
      <c r="K1487" t="s">
        <v>12</v>
      </c>
      <c r="L1487" t="str">
        <f t="shared" si="117"/>
        <v>tier - 1</v>
      </c>
      <c r="M1487" t="s">
        <v>16</v>
      </c>
      <c r="N1487" t="str">
        <f t="shared" si="118"/>
        <v>R1011</v>
      </c>
      <c r="O1487" t="s">
        <v>42</v>
      </c>
    </row>
    <row r="1488" spans="1:15" x14ac:dyDescent="0.35">
      <c r="A1488" t="s">
        <v>1519</v>
      </c>
      <c r="C1488">
        <f t="shared" si="115"/>
        <v>1969</v>
      </c>
      <c r="D1488">
        <v>1969</v>
      </c>
      <c r="E1488" t="str">
        <f t="shared" si="119"/>
        <v>Nov</v>
      </c>
      <c r="F1488" t="s">
        <v>15</v>
      </c>
      <c r="G1488">
        <v>26</v>
      </c>
      <c r="H1488">
        <v>0</v>
      </c>
      <c r="I1488" s="21">
        <v>12579.92</v>
      </c>
      <c r="J1488" t="str">
        <f t="shared" si="116"/>
        <v>tier - 3</v>
      </c>
      <c r="K1488" t="s">
        <v>12</v>
      </c>
      <c r="L1488" t="str">
        <f t="shared" si="117"/>
        <v>tier - 1</v>
      </c>
      <c r="M1488" t="s">
        <v>16</v>
      </c>
      <c r="N1488" t="str">
        <f t="shared" si="118"/>
        <v>R1025</v>
      </c>
      <c r="O1488" t="s">
        <v>200</v>
      </c>
    </row>
    <row r="1489" spans="1:15" x14ac:dyDescent="0.35">
      <c r="A1489" t="s">
        <v>1520</v>
      </c>
      <c r="C1489">
        <f t="shared" si="115"/>
        <v>1970</v>
      </c>
      <c r="D1489">
        <v>1970</v>
      </c>
      <c r="E1489" t="str">
        <f t="shared" si="119"/>
        <v>Jun</v>
      </c>
      <c r="F1489" t="s">
        <v>18</v>
      </c>
      <c r="G1489">
        <v>18</v>
      </c>
      <c r="H1489">
        <v>5</v>
      </c>
      <c r="I1489" s="21">
        <v>12592.53</v>
      </c>
      <c r="J1489" t="str">
        <f t="shared" si="116"/>
        <v>tier - 3</v>
      </c>
      <c r="K1489" t="s">
        <v>12</v>
      </c>
      <c r="L1489" t="str">
        <f t="shared" si="117"/>
        <v>tier - 2</v>
      </c>
      <c r="M1489" t="s">
        <v>11</v>
      </c>
      <c r="N1489" t="str">
        <f t="shared" si="118"/>
        <v>R1013</v>
      </c>
      <c r="O1489" t="s">
        <v>13</v>
      </c>
    </row>
    <row r="1490" spans="1:15" x14ac:dyDescent="0.35">
      <c r="A1490" t="s">
        <v>1521</v>
      </c>
      <c r="C1490">
        <f t="shared" si="115"/>
        <v>1988</v>
      </c>
      <c r="D1490">
        <v>1988</v>
      </c>
      <c r="E1490" t="str">
        <f t="shared" si="119"/>
        <v>Aug</v>
      </c>
      <c r="F1490" t="s">
        <v>35</v>
      </c>
      <c r="G1490">
        <v>11</v>
      </c>
      <c r="H1490">
        <v>3</v>
      </c>
      <c r="I1490" s="21">
        <v>12600.46</v>
      </c>
      <c r="J1490" t="str">
        <f t="shared" si="116"/>
        <v>tier - 3</v>
      </c>
      <c r="K1490" t="s">
        <v>12</v>
      </c>
      <c r="L1490" t="str">
        <f t="shared" si="117"/>
        <v>tier - 1</v>
      </c>
      <c r="M1490" t="s">
        <v>16</v>
      </c>
      <c r="N1490" t="str">
        <f t="shared" si="118"/>
        <v>R1023</v>
      </c>
      <c r="O1490" t="s">
        <v>249</v>
      </c>
    </row>
    <row r="1491" spans="1:15" x14ac:dyDescent="0.35">
      <c r="A1491" t="s">
        <v>1522</v>
      </c>
      <c r="C1491">
        <f t="shared" si="115"/>
        <v>1998</v>
      </c>
      <c r="D1491">
        <v>1998</v>
      </c>
      <c r="E1491" t="str">
        <f t="shared" si="119"/>
        <v>Nov</v>
      </c>
      <c r="F1491" t="s">
        <v>15</v>
      </c>
      <c r="G1491">
        <v>18</v>
      </c>
      <c r="H1491">
        <v>1</v>
      </c>
      <c r="I1491" s="21">
        <v>12609.89</v>
      </c>
      <c r="J1491" t="str">
        <f t="shared" si="116"/>
        <v>tier - 3</v>
      </c>
      <c r="K1491" t="s">
        <v>12</v>
      </c>
      <c r="L1491" t="str">
        <f t="shared" si="117"/>
        <v>tier - 3</v>
      </c>
      <c r="M1491" t="s">
        <v>12</v>
      </c>
      <c r="N1491" t="str">
        <f t="shared" si="118"/>
        <v>R1012</v>
      </c>
      <c r="O1491" t="s">
        <v>23</v>
      </c>
    </row>
    <row r="1492" spans="1:15" x14ac:dyDescent="0.35">
      <c r="A1492" t="s">
        <v>1523</v>
      </c>
      <c r="C1492">
        <f t="shared" si="115"/>
        <v>1963</v>
      </c>
      <c r="D1492">
        <v>1963</v>
      </c>
      <c r="E1492" t="str">
        <f t="shared" si="119"/>
        <v>Aug</v>
      </c>
      <c r="F1492" t="s">
        <v>35</v>
      </c>
      <c r="G1492">
        <v>19</v>
      </c>
      <c r="H1492">
        <v>0</v>
      </c>
      <c r="I1492" s="21">
        <v>12622.18</v>
      </c>
      <c r="J1492" t="str">
        <f t="shared" si="116"/>
        <v>tier - 3</v>
      </c>
      <c r="K1492" t="s">
        <v>12</v>
      </c>
      <c r="L1492" t="str">
        <f t="shared" si="117"/>
        <v>tier - 1</v>
      </c>
      <c r="M1492" t="s">
        <v>16</v>
      </c>
      <c r="N1492" t="str">
        <f t="shared" si="118"/>
        <v>R1012</v>
      </c>
      <c r="O1492" t="s">
        <v>23</v>
      </c>
    </row>
    <row r="1493" spans="1:15" x14ac:dyDescent="0.35">
      <c r="A1493" t="s">
        <v>1524</v>
      </c>
      <c r="C1493">
        <f t="shared" si="115"/>
        <v>1970</v>
      </c>
      <c r="D1493">
        <v>1970</v>
      </c>
      <c r="E1493" t="str">
        <f t="shared" si="119"/>
        <v>Dec</v>
      </c>
      <c r="F1493" t="s">
        <v>30</v>
      </c>
      <c r="G1493">
        <v>28</v>
      </c>
      <c r="H1493">
        <v>0</v>
      </c>
      <c r="I1493" s="21">
        <v>12624.74</v>
      </c>
      <c r="J1493" t="str">
        <f t="shared" si="116"/>
        <v>tier - 3</v>
      </c>
      <c r="K1493" t="s">
        <v>12</v>
      </c>
      <c r="L1493" t="str">
        <f t="shared" si="117"/>
        <v>tier - 1</v>
      </c>
      <c r="M1493" t="s">
        <v>16</v>
      </c>
      <c r="N1493" t="str">
        <f t="shared" si="118"/>
        <v>R1012</v>
      </c>
      <c r="O1493" t="s">
        <v>23</v>
      </c>
    </row>
    <row r="1494" spans="1:15" x14ac:dyDescent="0.35">
      <c r="A1494" t="s">
        <v>1525</v>
      </c>
      <c r="C1494">
        <f t="shared" si="115"/>
        <v>1965</v>
      </c>
      <c r="D1494">
        <v>1965</v>
      </c>
      <c r="E1494" t="str">
        <f t="shared" si="119"/>
        <v>Oct</v>
      </c>
      <c r="F1494" t="s">
        <v>37</v>
      </c>
      <c r="G1494">
        <v>4</v>
      </c>
      <c r="H1494">
        <v>2</v>
      </c>
      <c r="I1494" s="21">
        <v>12629.17</v>
      </c>
      <c r="J1494" t="str">
        <f t="shared" si="116"/>
        <v>tier - 3</v>
      </c>
      <c r="K1494" t="s">
        <v>12</v>
      </c>
      <c r="L1494" t="str">
        <f t="shared" si="117"/>
        <v>tier - 1</v>
      </c>
      <c r="M1494" t="s">
        <v>16</v>
      </c>
      <c r="N1494" t="str">
        <f t="shared" si="118"/>
        <v>R1013</v>
      </c>
      <c r="O1494" t="s">
        <v>13</v>
      </c>
    </row>
    <row r="1495" spans="1:15" x14ac:dyDescent="0.35">
      <c r="A1495" t="s">
        <v>1526</v>
      </c>
      <c r="C1495">
        <f t="shared" si="115"/>
        <v>1962</v>
      </c>
      <c r="D1495">
        <v>1962</v>
      </c>
      <c r="E1495" t="str">
        <f t="shared" si="119"/>
        <v>Nov</v>
      </c>
      <c r="F1495" t="s">
        <v>15</v>
      </c>
      <c r="G1495">
        <v>22</v>
      </c>
      <c r="H1495">
        <v>0</v>
      </c>
      <c r="I1495" s="21">
        <v>12629.9</v>
      </c>
      <c r="J1495" t="str">
        <f t="shared" si="116"/>
        <v>tier - 3</v>
      </c>
      <c r="K1495" t="s">
        <v>12</v>
      </c>
      <c r="L1495" t="str">
        <f t="shared" si="117"/>
        <v>tier - 3</v>
      </c>
      <c r="M1495" t="s">
        <v>12</v>
      </c>
      <c r="N1495" t="str">
        <f t="shared" si="118"/>
        <v>R1013</v>
      </c>
      <c r="O1495" t="s">
        <v>13</v>
      </c>
    </row>
    <row r="1496" spans="1:15" x14ac:dyDescent="0.35">
      <c r="A1496" t="s">
        <v>1527</v>
      </c>
      <c r="C1496">
        <f t="shared" si="115"/>
        <v>1962</v>
      </c>
      <c r="D1496">
        <v>1962</v>
      </c>
      <c r="E1496" t="str">
        <f t="shared" si="119"/>
        <v>Jul</v>
      </c>
      <c r="F1496" t="s">
        <v>10</v>
      </c>
      <c r="G1496">
        <v>22</v>
      </c>
      <c r="H1496">
        <v>0</v>
      </c>
      <c r="I1496" s="21">
        <v>12638.2</v>
      </c>
      <c r="J1496" t="str">
        <f t="shared" si="116"/>
        <v>tier - 3</v>
      </c>
      <c r="K1496" t="s">
        <v>12</v>
      </c>
      <c r="L1496" t="str">
        <f t="shared" si="117"/>
        <v>tier - 1</v>
      </c>
      <c r="M1496" t="s">
        <v>16</v>
      </c>
      <c r="N1496" t="str">
        <f t="shared" si="118"/>
        <v>R1011</v>
      </c>
      <c r="O1496" t="s">
        <v>42</v>
      </c>
    </row>
    <row r="1497" spans="1:15" x14ac:dyDescent="0.35">
      <c r="A1497" t="s">
        <v>1528</v>
      </c>
      <c r="C1497">
        <f t="shared" si="115"/>
        <v>1972</v>
      </c>
      <c r="D1497">
        <v>1972</v>
      </c>
      <c r="E1497" t="str">
        <f t="shared" si="119"/>
        <v>Sep</v>
      </c>
      <c r="F1497" t="s">
        <v>20</v>
      </c>
      <c r="G1497">
        <v>5</v>
      </c>
      <c r="H1497">
        <v>0</v>
      </c>
      <c r="I1497" s="21">
        <v>12640.24</v>
      </c>
      <c r="J1497" t="str">
        <f t="shared" si="116"/>
        <v>tier - 3</v>
      </c>
      <c r="K1497" t="s">
        <v>12</v>
      </c>
      <c r="L1497" t="str">
        <f t="shared" si="117"/>
        <v>tier - 1</v>
      </c>
      <c r="M1497" t="s">
        <v>16</v>
      </c>
      <c r="N1497" t="str">
        <f t="shared" si="118"/>
        <v>R1011</v>
      </c>
      <c r="O1497" t="s">
        <v>42</v>
      </c>
    </row>
    <row r="1498" spans="1:15" x14ac:dyDescent="0.35">
      <c r="A1498" t="s">
        <v>1529</v>
      </c>
      <c r="C1498">
        <f t="shared" si="115"/>
        <v>1966</v>
      </c>
      <c r="D1498">
        <v>1966</v>
      </c>
      <c r="E1498" t="str">
        <f t="shared" si="119"/>
        <v>Dec</v>
      </c>
      <c r="F1498" t="s">
        <v>30</v>
      </c>
      <c r="G1498">
        <v>17</v>
      </c>
      <c r="H1498">
        <v>2</v>
      </c>
      <c r="I1498" s="21">
        <v>12643.38</v>
      </c>
      <c r="J1498" t="str">
        <f t="shared" si="116"/>
        <v>tier - 3</v>
      </c>
      <c r="K1498" t="s">
        <v>12</v>
      </c>
      <c r="L1498" t="str">
        <f t="shared" si="117"/>
        <v>tier - 1</v>
      </c>
      <c r="M1498" t="s">
        <v>16</v>
      </c>
      <c r="N1498" t="str">
        <f t="shared" si="118"/>
        <v>R1012</v>
      </c>
      <c r="O1498" t="s">
        <v>23</v>
      </c>
    </row>
    <row r="1499" spans="1:15" x14ac:dyDescent="0.35">
      <c r="A1499" t="s">
        <v>1530</v>
      </c>
      <c r="C1499">
        <f t="shared" si="115"/>
        <v>1962</v>
      </c>
      <c r="D1499">
        <v>1962</v>
      </c>
      <c r="E1499" t="str">
        <f t="shared" si="119"/>
        <v>Jul</v>
      </c>
      <c r="F1499" t="s">
        <v>10</v>
      </c>
      <c r="G1499">
        <v>11</v>
      </c>
      <c r="H1499">
        <v>0</v>
      </c>
      <c r="I1499" s="21">
        <v>12644.59</v>
      </c>
      <c r="J1499" t="str">
        <f t="shared" si="116"/>
        <v>tier - 3</v>
      </c>
      <c r="K1499" t="s">
        <v>12</v>
      </c>
      <c r="L1499" t="str">
        <f t="shared" si="117"/>
        <v>tier - 2</v>
      </c>
      <c r="M1499" t="s">
        <v>11</v>
      </c>
      <c r="N1499" t="str">
        <f t="shared" si="118"/>
        <v>R1011</v>
      </c>
      <c r="O1499" t="s">
        <v>42</v>
      </c>
    </row>
    <row r="1500" spans="1:15" x14ac:dyDescent="0.35">
      <c r="A1500" t="s">
        <v>1531</v>
      </c>
      <c r="C1500">
        <f t="shared" si="115"/>
        <v>1965</v>
      </c>
      <c r="D1500">
        <v>1965</v>
      </c>
      <c r="E1500" t="str">
        <f t="shared" si="119"/>
        <v>Sep</v>
      </c>
      <c r="F1500" t="s">
        <v>20</v>
      </c>
      <c r="G1500">
        <v>14</v>
      </c>
      <c r="H1500">
        <v>2</v>
      </c>
      <c r="I1500" s="21">
        <v>12646.21</v>
      </c>
      <c r="J1500" t="str">
        <f t="shared" si="116"/>
        <v>tier - 3</v>
      </c>
      <c r="K1500" t="s">
        <v>12</v>
      </c>
      <c r="L1500" t="str">
        <f t="shared" si="117"/>
        <v>tier - 2</v>
      </c>
      <c r="M1500" t="s">
        <v>11</v>
      </c>
      <c r="N1500" t="str">
        <f t="shared" si="118"/>
        <v>R1011</v>
      </c>
      <c r="O1500" t="s">
        <v>42</v>
      </c>
    </row>
    <row r="1501" spans="1:15" x14ac:dyDescent="0.35">
      <c r="A1501" t="s">
        <v>1532</v>
      </c>
      <c r="C1501">
        <f t="shared" si="115"/>
        <v>1962</v>
      </c>
      <c r="D1501">
        <v>1962</v>
      </c>
      <c r="E1501" t="str">
        <f t="shared" si="119"/>
        <v>Aug</v>
      </c>
      <c r="F1501" t="s">
        <v>35</v>
      </c>
      <c r="G1501">
        <v>27</v>
      </c>
      <c r="H1501">
        <v>0</v>
      </c>
      <c r="I1501" s="21">
        <v>12648.7</v>
      </c>
      <c r="J1501" t="str">
        <f t="shared" si="116"/>
        <v>tier - 3</v>
      </c>
      <c r="K1501" t="s">
        <v>12</v>
      </c>
      <c r="L1501" t="str">
        <f t="shared" si="117"/>
        <v>tier - 2</v>
      </c>
      <c r="M1501" t="s">
        <v>11</v>
      </c>
      <c r="N1501" t="str">
        <f t="shared" si="118"/>
        <v>R1013</v>
      </c>
      <c r="O1501" t="s">
        <v>13</v>
      </c>
    </row>
    <row r="1502" spans="1:15" x14ac:dyDescent="0.35">
      <c r="A1502" t="s">
        <v>1533</v>
      </c>
      <c r="C1502">
        <f t="shared" si="115"/>
        <v>1974</v>
      </c>
      <c r="D1502">
        <v>1974</v>
      </c>
      <c r="E1502" t="str">
        <f t="shared" si="119"/>
        <v>Sep</v>
      </c>
      <c r="F1502" t="s">
        <v>20</v>
      </c>
      <c r="G1502">
        <v>24</v>
      </c>
      <c r="H1502">
        <v>0</v>
      </c>
      <c r="I1502" s="21">
        <v>12697.48</v>
      </c>
      <c r="J1502" t="str">
        <f t="shared" si="116"/>
        <v>tier - 3</v>
      </c>
      <c r="K1502" t="s">
        <v>12</v>
      </c>
      <c r="L1502" t="str">
        <f t="shared" si="117"/>
        <v>tier - 3</v>
      </c>
      <c r="M1502" t="s">
        <v>12</v>
      </c>
      <c r="N1502" t="str">
        <f t="shared" si="118"/>
        <v>R1021</v>
      </c>
      <c r="O1502" t="s">
        <v>300</v>
      </c>
    </row>
    <row r="1503" spans="1:15" x14ac:dyDescent="0.35">
      <c r="A1503" t="s">
        <v>1534</v>
      </c>
      <c r="C1503">
        <f t="shared" si="115"/>
        <v>1992</v>
      </c>
      <c r="D1503">
        <v>1992</v>
      </c>
      <c r="E1503" t="str">
        <f t="shared" si="119"/>
        <v>Jul</v>
      </c>
      <c r="F1503" t="s">
        <v>10</v>
      </c>
      <c r="G1503">
        <v>7</v>
      </c>
      <c r="H1503">
        <v>0</v>
      </c>
      <c r="I1503" s="21">
        <v>12699.56</v>
      </c>
      <c r="J1503" t="str">
        <f t="shared" si="116"/>
        <v>tier - 3</v>
      </c>
      <c r="K1503" t="s">
        <v>12</v>
      </c>
      <c r="L1503" t="str">
        <f t="shared" si="117"/>
        <v>tier - 2</v>
      </c>
      <c r="M1503" t="s">
        <v>11</v>
      </c>
      <c r="N1503" t="str">
        <f t="shared" si="118"/>
        <v>R1011</v>
      </c>
      <c r="O1503" t="s">
        <v>42</v>
      </c>
    </row>
    <row r="1504" spans="1:15" x14ac:dyDescent="0.35">
      <c r="A1504" t="s">
        <v>1535</v>
      </c>
      <c r="C1504">
        <f t="shared" si="115"/>
        <v>1964</v>
      </c>
      <c r="D1504">
        <v>1964</v>
      </c>
      <c r="E1504" t="str">
        <f t="shared" si="119"/>
        <v>Nov</v>
      </c>
      <c r="F1504" t="s">
        <v>15</v>
      </c>
      <c r="G1504">
        <v>28</v>
      </c>
      <c r="H1504">
        <v>0</v>
      </c>
      <c r="I1504" s="21">
        <v>12700.63</v>
      </c>
      <c r="J1504" t="str">
        <f t="shared" si="116"/>
        <v>tier - 3</v>
      </c>
      <c r="K1504" t="s">
        <v>12</v>
      </c>
      <c r="L1504" t="str">
        <f t="shared" si="117"/>
        <v>tier - 3</v>
      </c>
      <c r="M1504" t="s">
        <v>12</v>
      </c>
      <c r="N1504" t="str">
        <f t="shared" si="118"/>
        <v>R1011</v>
      </c>
      <c r="O1504" t="s">
        <v>42</v>
      </c>
    </row>
    <row r="1505" spans="1:15" x14ac:dyDescent="0.35">
      <c r="A1505" t="s">
        <v>1536</v>
      </c>
      <c r="C1505">
        <f t="shared" si="115"/>
        <v>1970</v>
      </c>
      <c r="D1505">
        <v>1970</v>
      </c>
      <c r="E1505" t="str">
        <f t="shared" si="119"/>
        <v>Jul</v>
      </c>
      <c r="F1505" t="s">
        <v>10</v>
      </c>
      <c r="G1505">
        <v>8</v>
      </c>
      <c r="H1505">
        <v>0</v>
      </c>
      <c r="I1505" s="21">
        <v>12713</v>
      </c>
      <c r="J1505" t="str">
        <f t="shared" si="116"/>
        <v>tier - 3</v>
      </c>
      <c r="K1505" t="s">
        <v>12</v>
      </c>
      <c r="L1505" t="str">
        <f t="shared" si="117"/>
        <v>tier - 1</v>
      </c>
      <c r="M1505" t="s">
        <v>16</v>
      </c>
      <c r="N1505" t="str">
        <f t="shared" si="118"/>
        <v>R1011</v>
      </c>
      <c r="O1505" t="s">
        <v>42</v>
      </c>
    </row>
    <row r="1506" spans="1:15" x14ac:dyDescent="0.35">
      <c r="A1506" t="s">
        <v>1537</v>
      </c>
      <c r="C1506">
        <f t="shared" si="115"/>
        <v>1988</v>
      </c>
      <c r="D1506">
        <v>1988</v>
      </c>
      <c r="E1506" t="str">
        <f t="shared" si="119"/>
        <v>Jul</v>
      </c>
      <c r="F1506" t="s">
        <v>10</v>
      </c>
      <c r="G1506">
        <v>17</v>
      </c>
      <c r="H1506">
        <v>3</v>
      </c>
      <c r="I1506" s="21">
        <v>12718.21</v>
      </c>
      <c r="J1506" t="str">
        <f t="shared" si="116"/>
        <v>tier - 3</v>
      </c>
      <c r="K1506" t="s">
        <v>12</v>
      </c>
      <c r="L1506" t="str">
        <f t="shared" si="117"/>
        <v>tier - 1</v>
      </c>
      <c r="M1506" t="s">
        <v>16</v>
      </c>
      <c r="N1506" t="str">
        <f t="shared" si="118"/>
        <v>R1026</v>
      </c>
      <c r="O1506" t="s">
        <v>535</v>
      </c>
    </row>
    <row r="1507" spans="1:15" x14ac:dyDescent="0.35">
      <c r="A1507" t="s">
        <v>1538</v>
      </c>
      <c r="C1507">
        <f t="shared" si="115"/>
        <v>1962</v>
      </c>
      <c r="D1507">
        <v>1962</v>
      </c>
      <c r="E1507" t="str">
        <f t="shared" si="119"/>
        <v>Sep</v>
      </c>
      <c r="F1507" t="s">
        <v>20</v>
      </c>
      <c r="G1507">
        <v>2</v>
      </c>
      <c r="H1507">
        <v>0</v>
      </c>
      <c r="I1507" s="21">
        <v>12731</v>
      </c>
      <c r="J1507" t="str">
        <f t="shared" si="116"/>
        <v>tier - 3</v>
      </c>
      <c r="K1507" t="s">
        <v>12</v>
      </c>
      <c r="L1507" t="str">
        <f t="shared" si="117"/>
        <v>tier - 3</v>
      </c>
      <c r="M1507" t="s">
        <v>12</v>
      </c>
      <c r="N1507" t="str">
        <f t="shared" si="118"/>
        <v>R1016</v>
      </c>
      <c r="O1507" t="s">
        <v>168</v>
      </c>
    </row>
    <row r="1508" spans="1:15" x14ac:dyDescent="0.35">
      <c r="A1508" t="s">
        <v>1539</v>
      </c>
      <c r="C1508">
        <f t="shared" si="115"/>
        <v>1962</v>
      </c>
      <c r="D1508">
        <v>1962</v>
      </c>
      <c r="E1508" t="str">
        <f t="shared" si="119"/>
        <v>Oct</v>
      </c>
      <c r="F1508" t="s">
        <v>37</v>
      </c>
      <c r="G1508">
        <v>1</v>
      </c>
      <c r="H1508">
        <v>0</v>
      </c>
      <c r="I1508" s="21">
        <v>12741.17</v>
      </c>
      <c r="J1508" t="str">
        <f t="shared" si="116"/>
        <v>tier - 3</v>
      </c>
      <c r="K1508" t="s">
        <v>12</v>
      </c>
      <c r="L1508" t="str">
        <f t="shared" si="117"/>
        <v>tier - 1</v>
      </c>
      <c r="M1508" t="s">
        <v>16</v>
      </c>
      <c r="N1508" t="str">
        <f t="shared" si="118"/>
        <v>R1017</v>
      </c>
      <c r="O1508" t="s">
        <v>356</v>
      </c>
    </row>
    <row r="1509" spans="1:15" x14ac:dyDescent="0.35">
      <c r="A1509" t="s">
        <v>1540</v>
      </c>
      <c r="C1509">
        <f t="shared" si="115"/>
        <v>1975</v>
      </c>
      <c r="D1509">
        <v>1975</v>
      </c>
      <c r="E1509" t="str">
        <f t="shared" si="119"/>
        <v>Sep</v>
      </c>
      <c r="F1509" t="s">
        <v>20</v>
      </c>
      <c r="G1509">
        <v>25</v>
      </c>
      <c r="H1509">
        <v>1</v>
      </c>
      <c r="I1509" s="21">
        <v>12770.27</v>
      </c>
      <c r="J1509" t="str">
        <f t="shared" si="116"/>
        <v>tier - 3</v>
      </c>
      <c r="K1509" t="s">
        <v>12</v>
      </c>
      <c r="L1509" t="str">
        <f t="shared" si="117"/>
        <v>tier - 3</v>
      </c>
      <c r="M1509" t="s">
        <v>12</v>
      </c>
      <c r="N1509" t="str">
        <f t="shared" si="118"/>
        <v>R1021</v>
      </c>
      <c r="O1509" t="s">
        <v>300</v>
      </c>
    </row>
    <row r="1510" spans="1:15" x14ac:dyDescent="0.35">
      <c r="A1510" t="s">
        <v>1541</v>
      </c>
      <c r="C1510">
        <f t="shared" si="115"/>
        <v>1972</v>
      </c>
      <c r="D1510">
        <v>1972</v>
      </c>
      <c r="E1510" t="str">
        <f t="shared" si="119"/>
        <v>Oct</v>
      </c>
      <c r="F1510" t="s">
        <v>37</v>
      </c>
      <c r="G1510">
        <v>7</v>
      </c>
      <c r="H1510">
        <v>0</v>
      </c>
      <c r="I1510" s="21">
        <v>12776.05</v>
      </c>
      <c r="J1510" t="str">
        <f t="shared" si="116"/>
        <v>tier - 3</v>
      </c>
      <c r="K1510" t="s">
        <v>12</v>
      </c>
      <c r="L1510" t="str">
        <f t="shared" si="117"/>
        <v>tier - 3</v>
      </c>
      <c r="M1510" t="s">
        <v>12</v>
      </c>
      <c r="N1510" t="str">
        <f t="shared" si="118"/>
        <v>R1026</v>
      </c>
      <c r="O1510" t="s">
        <v>535</v>
      </c>
    </row>
    <row r="1511" spans="1:15" x14ac:dyDescent="0.35">
      <c r="A1511" t="s">
        <v>1542</v>
      </c>
      <c r="C1511">
        <f t="shared" si="115"/>
        <v>1963</v>
      </c>
      <c r="D1511">
        <v>1963</v>
      </c>
      <c r="E1511" t="str">
        <f t="shared" si="119"/>
        <v>Dec</v>
      </c>
      <c r="F1511" t="s">
        <v>30</v>
      </c>
      <c r="G1511">
        <v>5</v>
      </c>
      <c r="H1511">
        <v>0</v>
      </c>
      <c r="I1511" s="21">
        <v>12788.03</v>
      </c>
      <c r="J1511" t="str">
        <f t="shared" si="116"/>
        <v>tier - 3</v>
      </c>
      <c r="K1511" t="s">
        <v>12</v>
      </c>
      <c r="L1511" t="str">
        <f t="shared" si="117"/>
        <v>tier - 3</v>
      </c>
      <c r="M1511" t="s">
        <v>12</v>
      </c>
      <c r="N1511" t="str">
        <f t="shared" si="118"/>
        <v>R1025</v>
      </c>
      <c r="O1511" t="s">
        <v>200</v>
      </c>
    </row>
    <row r="1512" spans="1:15" x14ac:dyDescent="0.35">
      <c r="A1512" t="s">
        <v>1543</v>
      </c>
      <c r="C1512">
        <f t="shared" si="115"/>
        <v>1983</v>
      </c>
      <c r="D1512">
        <v>1983</v>
      </c>
      <c r="E1512" t="str">
        <f t="shared" si="119"/>
        <v>Oct</v>
      </c>
      <c r="F1512" t="s">
        <v>37</v>
      </c>
      <c r="G1512">
        <v>29</v>
      </c>
      <c r="H1512">
        <v>3</v>
      </c>
      <c r="I1512" s="21">
        <v>12788.18</v>
      </c>
      <c r="J1512" t="str">
        <f t="shared" si="116"/>
        <v>tier - 3</v>
      </c>
      <c r="K1512" t="s">
        <v>12</v>
      </c>
      <c r="L1512" t="str">
        <f t="shared" si="117"/>
        <v>tier - 1</v>
      </c>
      <c r="M1512" t="s">
        <v>16</v>
      </c>
      <c r="N1512" t="str">
        <f t="shared" si="118"/>
        <v>R1026</v>
      </c>
      <c r="O1512" t="s">
        <v>535</v>
      </c>
    </row>
    <row r="1513" spans="1:15" x14ac:dyDescent="0.35">
      <c r="A1513" t="s">
        <v>1544</v>
      </c>
      <c r="C1513">
        <f t="shared" si="115"/>
        <v>1978</v>
      </c>
      <c r="D1513">
        <v>1978</v>
      </c>
      <c r="E1513" t="str">
        <f t="shared" si="119"/>
        <v>Jul</v>
      </c>
      <c r="F1513" t="s">
        <v>10</v>
      </c>
      <c r="G1513">
        <v>24</v>
      </c>
      <c r="H1513">
        <v>0</v>
      </c>
      <c r="I1513" s="21">
        <v>12797.21</v>
      </c>
      <c r="J1513" t="str">
        <f t="shared" si="116"/>
        <v>tier - 3</v>
      </c>
      <c r="K1513" t="s">
        <v>12</v>
      </c>
      <c r="L1513" t="str">
        <f t="shared" si="117"/>
        <v>tier - 1</v>
      </c>
      <c r="M1513" t="s">
        <v>16</v>
      </c>
      <c r="N1513" t="str">
        <f t="shared" si="118"/>
        <v>R1024</v>
      </c>
      <c r="O1513" t="s">
        <v>247</v>
      </c>
    </row>
    <row r="1514" spans="1:15" x14ac:dyDescent="0.35">
      <c r="A1514" t="s">
        <v>1545</v>
      </c>
      <c r="C1514">
        <f t="shared" si="115"/>
        <v>1963</v>
      </c>
      <c r="D1514">
        <v>1963</v>
      </c>
      <c r="E1514" t="str">
        <f t="shared" si="119"/>
        <v>Jul</v>
      </c>
      <c r="F1514" t="s">
        <v>10</v>
      </c>
      <c r="G1514">
        <v>20</v>
      </c>
      <c r="H1514">
        <v>0</v>
      </c>
      <c r="I1514" s="21">
        <v>12815.44</v>
      </c>
      <c r="J1514" t="str">
        <f t="shared" si="116"/>
        <v>tier - 3</v>
      </c>
      <c r="K1514" t="s">
        <v>12</v>
      </c>
      <c r="L1514" t="str">
        <f t="shared" si="117"/>
        <v>tier - 3</v>
      </c>
      <c r="M1514" t="s">
        <v>12</v>
      </c>
      <c r="N1514" t="str">
        <f t="shared" si="118"/>
        <v>R1024</v>
      </c>
      <c r="O1514" t="s">
        <v>247</v>
      </c>
    </row>
    <row r="1515" spans="1:15" x14ac:dyDescent="0.35">
      <c r="A1515" t="s">
        <v>1546</v>
      </c>
      <c r="C1515">
        <f t="shared" si="115"/>
        <v>1967</v>
      </c>
      <c r="D1515">
        <v>1967</v>
      </c>
      <c r="E1515" t="str">
        <f t="shared" si="119"/>
        <v>Sep</v>
      </c>
      <c r="F1515" t="s">
        <v>20</v>
      </c>
      <c r="G1515">
        <v>25</v>
      </c>
      <c r="H1515">
        <v>0</v>
      </c>
      <c r="I1515" s="21">
        <v>12823.25</v>
      </c>
      <c r="J1515" t="str">
        <f t="shared" si="116"/>
        <v>tier - 3</v>
      </c>
      <c r="K1515" t="s">
        <v>12</v>
      </c>
      <c r="L1515" t="str">
        <f t="shared" si="117"/>
        <v>tier - 3</v>
      </c>
      <c r="M1515" t="s">
        <v>12</v>
      </c>
      <c r="N1515" t="str">
        <f t="shared" si="118"/>
        <v>R1021</v>
      </c>
      <c r="O1515" t="s">
        <v>300</v>
      </c>
    </row>
    <row r="1516" spans="1:15" x14ac:dyDescent="0.35">
      <c r="A1516" t="s">
        <v>1547</v>
      </c>
      <c r="C1516">
        <f t="shared" si="115"/>
        <v>2004</v>
      </c>
      <c r="D1516">
        <v>2004</v>
      </c>
      <c r="E1516" t="str">
        <f t="shared" si="119"/>
        <v>Nov</v>
      </c>
      <c r="F1516" t="s">
        <v>15</v>
      </c>
      <c r="G1516">
        <v>9</v>
      </c>
      <c r="H1516">
        <v>2</v>
      </c>
      <c r="I1516" s="21">
        <v>12829.46</v>
      </c>
      <c r="J1516" t="str">
        <f t="shared" si="116"/>
        <v>tier - 3</v>
      </c>
      <c r="K1516" t="s">
        <v>12</v>
      </c>
      <c r="L1516" t="str">
        <f t="shared" si="117"/>
        <v>tier - 3</v>
      </c>
      <c r="M1516" t="s">
        <v>12</v>
      </c>
      <c r="N1516" t="str">
        <f t="shared" si="118"/>
        <v>R1016</v>
      </c>
      <c r="O1516" t="s">
        <v>168</v>
      </c>
    </row>
    <row r="1517" spans="1:15" x14ac:dyDescent="0.35">
      <c r="A1517" t="s">
        <v>1548</v>
      </c>
      <c r="C1517">
        <f t="shared" si="115"/>
        <v>1993</v>
      </c>
      <c r="D1517">
        <v>1993</v>
      </c>
      <c r="E1517" t="str">
        <f t="shared" si="119"/>
        <v>Sep</v>
      </c>
      <c r="F1517" t="s">
        <v>20</v>
      </c>
      <c r="G1517">
        <v>27</v>
      </c>
      <c r="H1517">
        <v>0</v>
      </c>
      <c r="I1517" s="21">
        <v>12847.24</v>
      </c>
      <c r="J1517" t="str">
        <f t="shared" si="116"/>
        <v>tier - 3</v>
      </c>
      <c r="K1517" t="s">
        <v>12</v>
      </c>
      <c r="L1517" t="str">
        <f t="shared" si="117"/>
        <v>tier - 2</v>
      </c>
      <c r="M1517" t="s">
        <v>11</v>
      </c>
      <c r="N1517" t="str">
        <f t="shared" si="118"/>
        <v>R1012</v>
      </c>
      <c r="O1517" t="s">
        <v>23</v>
      </c>
    </row>
    <row r="1518" spans="1:15" x14ac:dyDescent="0.35">
      <c r="A1518" t="s">
        <v>1549</v>
      </c>
      <c r="C1518">
        <f t="shared" si="115"/>
        <v>1973</v>
      </c>
      <c r="D1518">
        <v>1973</v>
      </c>
      <c r="E1518" t="str">
        <f t="shared" si="119"/>
        <v>Sep</v>
      </c>
      <c r="F1518" t="s">
        <v>20</v>
      </c>
      <c r="G1518">
        <v>22</v>
      </c>
      <c r="H1518">
        <v>0</v>
      </c>
      <c r="I1518" s="21">
        <v>12852.37</v>
      </c>
      <c r="J1518" t="str">
        <f t="shared" si="116"/>
        <v>tier - 3</v>
      </c>
      <c r="K1518" t="s">
        <v>12</v>
      </c>
      <c r="L1518" t="str">
        <f t="shared" si="117"/>
        <v>tier - 1</v>
      </c>
      <c r="M1518" t="s">
        <v>16</v>
      </c>
      <c r="N1518" t="str">
        <f t="shared" si="118"/>
        <v>R1012</v>
      </c>
      <c r="O1518" t="s">
        <v>23</v>
      </c>
    </row>
    <row r="1519" spans="1:15" x14ac:dyDescent="0.35">
      <c r="A1519" t="s">
        <v>1550</v>
      </c>
      <c r="C1519">
        <f t="shared" si="115"/>
        <v>1963</v>
      </c>
      <c r="D1519">
        <v>1963</v>
      </c>
      <c r="E1519" t="str">
        <f t="shared" si="119"/>
        <v>Sep</v>
      </c>
      <c r="F1519" t="s">
        <v>20</v>
      </c>
      <c r="G1519">
        <v>27</v>
      </c>
      <c r="H1519">
        <v>0</v>
      </c>
      <c r="I1519" s="21">
        <v>12856.84</v>
      </c>
      <c r="J1519" t="str">
        <f t="shared" si="116"/>
        <v>tier - 3</v>
      </c>
      <c r="K1519" t="s">
        <v>12</v>
      </c>
      <c r="L1519" t="str">
        <f t="shared" si="117"/>
        <v>tier - 3</v>
      </c>
      <c r="M1519" t="s">
        <v>12</v>
      </c>
      <c r="N1519" t="str">
        <f t="shared" si="118"/>
        <v>R1021</v>
      </c>
      <c r="O1519" t="s">
        <v>300</v>
      </c>
    </row>
    <row r="1520" spans="1:15" x14ac:dyDescent="0.35">
      <c r="A1520" t="s">
        <v>1551</v>
      </c>
      <c r="C1520">
        <f t="shared" si="115"/>
        <v>1984</v>
      </c>
      <c r="D1520">
        <v>1984</v>
      </c>
      <c r="E1520" t="str">
        <f t="shared" si="119"/>
        <v>Aug</v>
      </c>
      <c r="F1520" t="s">
        <v>35</v>
      </c>
      <c r="G1520">
        <v>6</v>
      </c>
      <c r="H1520">
        <v>3</v>
      </c>
      <c r="I1520" s="21">
        <v>12870.31</v>
      </c>
      <c r="J1520" t="str">
        <f t="shared" si="116"/>
        <v>tier - 3</v>
      </c>
      <c r="K1520" t="s">
        <v>12</v>
      </c>
      <c r="L1520" t="str">
        <f t="shared" si="117"/>
        <v>tier - 3</v>
      </c>
      <c r="M1520" t="s">
        <v>12</v>
      </c>
      <c r="N1520" t="str">
        <f t="shared" si="118"/>
        <v>R1012</v>
      </c>
      <c r="O1520" t="s">
        <v>23</v>
      </c>
    </row>
    <row r="1521" spans="1:15" x14ac:dyDescent="0.35">
      <c r="A1521" t="s">
        <v>1552</v>
      </c>
      <c r="C1521">
        <f t="shared" si="115"/>
        <v>2004</v>
      </c>
      <c r="D1521">
        <v>2004</v>
      </c>
      <c r="E1521" t="str">
        <f t="shared" si="119"/>
        <v>Jul</v>
      </c>
      <c r="F1521" t="s">
        <v>10</v>
      </c>
      <c r="G1521">
        <v>9</v>
      </c>
      <c r="H1521">
        <v>0</v>
      </c>
      <c r="I1521" s="21">
        <v>12890.06</v>
      </c>
      <c r="J1521" t="str">
        <f t="shared" si="116"/>
        <v>tier - 3</v>
      </c>
      <c r="K1521" t="s">
        <v>12</v>
      </c>
      <c r="L1521" t="str">
        <f t="shared" si="117"/>
        <v>tier - 1</v>
      </c>
      <c r="M1521" t="s">
        <v>16</v>
      </c>
      <c r="N1521" t="str">
        <f t="shared" si="118"/>
        <v>R1019</v>
      </c>
      <c r="O1521" t="s">
        <v>166</v>
      </c>
    </row>
    <row r="1522" spans="1:15" x14ac:dyDescent="0.35">
      <c r="A1522" t="s">
        <v>1553</v>
      </c>
      <c r="C1522">
        <f t="shared" si="115"/>
        <v>1963</v>
      </c>
      <c r="D1522">
        <v>1963</v>
      </c>
      <c r="E1522" t="str">
        <f t="shared" si="119"/>
        <v>Aug</v>
      </c>
      <c r="F1522" t="s">
        <v>35</v>
      </c>
      <c r="G1522">
        <v>16</v>
      </c>
      <c r="H1522">
        <v>1</v>
      </c>
      <c r="I1522" s="21">
        <v>12913.99</v>
      </c>
      <c r="J1522" t="str">
        <f t="shared" si="116"/>
        <v>tier - 3</v>
      </c>
      <c r="K1522" t="s">
        <v>12</v>
      </c>
      <c r="L1522" t="str">
        <f t="shared" si="117"/>
        <v>tier - 2</v>
      </c>
      <c r="M1522" t="s">
        <v>11</v>
      </c>
      <c r="N1522" t="str">
        <f t="shared" si="118"/>
        <v>R1016</v>
      </c>
      <c r="O1522" t="s">
        <v>168</v>
      </c>
    </row>
    <row r="1523" spans="1:15" x14ac:dyDescent="0.35">
      <c r="A1523" t="s">
        <v>1554</v>
      </c>
      <c r="C1523">
        <f t="shared" si="115"/>
        <v>1963</v>
      </c>
      <c r="D1523">
        <v>1963</v>
      </c>
      <c r="E1523" t="str">
        <f t="shared" si="119"/>
        <v>Sep</v>
      </c>
      <c r="F1523" t="s">
        <v>20</v>
      </c>
      <c r="G1523">
        <v>1</v>
      </c>
      <c r="H1523">
        <v>2</v>
      </c>
      <c r="I1523" s="21">
        <v>12925.89</v>
      </c>
      <c r="J1523" t="str">
        <f t="shared" si="116"/>
        <v>tier - 3</v>
      </c>
      <c r="K1523" t="s">
        <v>12</v>
      </c>
      <c r="L1523" t="str">
        <f t="shared" si="117"/>
        <v>tier - 2</v>
      </c>
      <c r="M1523" t="s">
        <v>11</v>
      </c>
      <c r="N1523" t="str">
        <f t="shared" si="118"/>
        <v>R1013</v>
      </c>
      <c r="O1523" t="s">
        <v>13</v>
      </c>
    </row>
    <row r="1524" spans="1:15" x14ac:dyDescent="0.35">
      <c r="A1524" t="s">
        <v>1555</v>
      </c>
      <c r="C1524">
        <f t="shared" si="115"/>
        <v>1963</v>
      </c>
      <c r="D1524">
        <v>1963</v>
      </c>
      <c r="E1524" t="str">
        <f t="shared" si="119"/>
        <v>Aug</v>
      </c>
      <c r="F1524" t="s">
        <v>35</v>
      </c>
      <c r="G1524">
        <v>14</v>
      </c>
      <c r="H1524">
        <v>2</v>
      </c>
      <c r="I1524" s="21">
        <v>12928.79</v>
      </c>
      <c r="J1524" t="str">
        <f t="shared" si="116"/>
        <v>tier - 3</v>
      </c>
      <c r="K1524" t="s">
        <v>12</v>
      </c>
      <c r="L1524" t="str">
        <f t="shared" si="117"/>
        <v>tier - 2</v>
      </c>
      <c r="M1524" t="s">
        <v>11</v>
      </c>
      <c r="N1524" t="str">
        <f t="shared" si="118"/>
        <v>R1013</v>
      </c>
      <c r="O1524" t="s">
        <v>13</v>
      </c>
    </row>
    <row r="1525" spans="1:15" x14ac:dyDescent="0.35">
      <c r="A1525" t="s">
        <v>1556</v>
      </c>
      <c r="C1525">
        <f t="shared" si="115"/>
        <v>1966</v>
      </c>
      <c r="D1525">
        <v>1966</v>
      </c>
      <c r="E1525" t="str">
        <f t="shared" si="119"/>
        <v>Dec</v>
      </c>
      <c r="F1525" t="s">
        <v>30</v>
      </c>
      <c r="G1525">
        <v>22</v>
      </c>
      <c r="H1525">
        <v>4</v>
      </c>
      <c r="I1525" s="21">
        <v>12949.16</v>
      </c>
      <c r="J1525" t="str">
        <f t="shared" si="116"/>
        <v>tier - 3</v>
      </c>
      <c r="K1525" t="s">
        <v>12</v>
      </c>
      <c r="L1525" t="str">
        <f t="shared" si="117"/>
        <v>tier - 3</v>
      </c>
      <c r="M1525" t="s">
        <v>12</v>
      </c>
      <c r="N1525" t="str">
        <f t="shared" si="118"/>
        <v>R1013</v>
      </c>
      <c r="O1525" t="s">
        <v>13</v>
      </c>
    </row>
    <row r="1526" spans="1:15" x14ac:dyDescent="0.35">
      <c r="A1526" t="s">
        <v>1557</v>
      </c>
      <c r="C1526">
        <f t="shared" si="115"/>
        <v>1961</v>
      </c>
      <c r="D1526">
        <v>1961</v>
      </c>
      <c r="E1526" t="str">
        <f t="shared" si="119"/>
        <v>Aug</v>
      </c>
      <c r="F1526" t="s">
        <v>35</v>
      </c>
      <c r="G1526">
        <v>20</v>
      </c>
      <c r="H1526">
        <v>0</v>
      </c>
      <c r="I1526" s="21">
        <v>12950.07</v>
      </c>
      <c r="J1526" t="str">
        <f t="shared" si="116"/>
        <v>tier - 3</v>
      </c>
      <c r="K1526" t="s">
        <v>12</v>
      </c>
      <c r="L1526" t="str">
        <f t="shared" si="117"/>
        <v>tier - 1</v>
      </c>
      <c r="M1526" t="s">
        <v>16</v>
      </c>
      <c r="N1526" t="str">
        <f t="shared" si="118"/>
        <v>R1012</v>
      </c>
      <c r="O1526" t="s">
        <v>23</v>
      </c>
    </row>
    <row r="1527" spans="1:15" x14ac:dyDescent="0.35">
      <c r="A1527" t="s">
        <v>1558</v>
      </c>
      <c r="C1527">
        <f t="shared" si="115"/>
        <v>1960</v>
      </c>
      <c r="D1527">
        <v>1960</v>
      </c>
      <c r="E1527" t="str">
        <f t="shared" si="119"/>
        <v>Nov</v>
      </c>
      <c r="F1527" t="s">
        <v>15</v>
      </c>
      <c r="G1527">
        <v>4</v>
      </c>
      <c r="H1527">
        <v>0</v>
      </c>
      <c r="I1527" s="21">
        <v>12957.12</v>
      </c>
      <c r="J1527" t="str">
        <f t="shared" si="116"/>
        <v>tier - 3</v>
      </c>
      <c r="K1527" t="s">
        <v>12</v>
      </c>
      <c r="L1527" t="str">
        <f t="shared" si="117"/>
        <v>tier - 1</v>
      </c>
      <c r="M1527" t="s">
        <v>16</v>
      </c>
      <c r="N1527" t="str">
        <f t="shared" si="118"/>
        <v>R1011</v>
      </c>
      <c r="O1527" t="s">
        <v>42</v>
      </c>
    </row>
    <row r="1528" spans="1:15" x14ac:dyDescent="0.35">
      <c r="A1528" t="s">
        <v>1559</v>
      </c>
      <c r="C1528">
        <f t="shared" si="115"/>
        <v>1960</v>
      </c>
      <c r="D1528">
        <v>1960</v>
      </c>
      <c r="E1528" t="str">
        <f t="shared" si="119"/>
        <v>Jun</v>
      </c>
      <c r="F1528" t="s">
        <v>18</v>
      </c>
      <c r="G1528">
        <v>22</v>
      </c>
      <c r="H1528">
        <v>0</v>
      </c>
      <c r="I1528" s="21">
        <v>12979.36</v>
      </c>
      <c r="J1528" t="str">
        <f t="shared" si="116"/>
        <v>tier - 3</v>
      </c>
      <c r="K1528" t="s">
        <v>12</v>
      </c>
      <c r="L1528" t="str">
        <f t="shared" si="117"/>
        <v>tier - 1</v>
      </c>
      <c r="M1528" t="s">
        <v>16</v>
      </c>
      <c r="N1528" t="str">
        <f t="shared" si="118"/>
        <v>R1011</v>
      </c>
      <c r="O1528" t="s">
        <v>42</v>
      </c>
    </row>
    <row r="1529" spans="1:15" x14ac:dyDescent="0.35">
      <c r="A1529" t="s">
        <v>1560</v>
      </c>
      <c r="C1529">
        <f t="shared" si="115"/>
        <v>1960</v>
      </c>
      <c r="D1529">
        <v>1960</v>
      </c>
      <c r="E1529" t="str">
        <f t="shared" si="119"/>
        <v>Sep</v>
      </c>
      <c r="F1529" t="s">
        <v>20</v>
      </c>
      <c r="G1529">
        <v>23</v>
      </c>
      <c r="H1529">
        <v>0</v>
      </c>
      <c r="I1529" s="21">
        <v>12981.35</v>
      </c>
      <c r="J1529" t="str">
        <f t="shared" si="116"/>
        <v>tier - 3</v>
      </c>
      <c r="K1529" t="s">
        <v>12</v>
      </c>
      <c r="L1529" t="str">
        <f t="shared" si="117"/>
        <v>tier - 3</v>
      </c>
      <c r="M1529" t="s">
        <v>12</v>
      </c>
      <c r="N1529" t="str">
        <f t="shared" si="118"/>
        <v>R1013</v>
      </c>
      <c r="O1529" t="s">
        <v>13</v>
      </c>
    </row>
    <row r="1530" spans="1:15" x14ac:dyDescent="0.35">
      <c r="A1530" t="s">
        <v>1561</v>
      </c>
      <c r="C1530">
        <f t="shared" si="115"/>
        <v>1960</v>
      </c>
      <c r="D1530">
        <v>1960</v>
      </c>
      <c r="E1530" t="str">
        <f t="shared" si="119"/>
        <v>Nov</v>
      </c>
      <c r="F1530" t="s">
        <v>15</v>
      </c>
      <c r="G1530">
        <v>28</v>
      </c>
      <c r="H1530">
        <v>0</v>
      </c>
      <c r="I1530" s="21">
        <v>12982.87</v>
      </c>
      <c r="J1530" t="str">
        <f t="shared" si="116"/>
        <v>tier - 3</v>
      </c>
      <c r="K1530" t="s">
        <v>12</v>
      </c>
      <c r="L1530" t="str">
        <f t="shared" si="117"/>
        <v>tier - 1</v>
      </c>
      <c r="M1530" t="s">
        <v>16</v>
      </c>
      <c r="N1530" t="str">
        <f t="shared" si="118"/>
        <v>R1013</v>
      </c>
      <c r="O1530" t="s">
        <v>13</v>
      </c>
    </row>
    <row r="1531" spans="1:15" x14ac:dyDescent="0.35">
      <c r="A1531" t="s">
        <v>1562</v>
      </c>
      <c r="C1531">
        <f t="shared" si="115"/>
        <v>1979</v>
      </c>
      <c r="D1531">
        <v>1979</v>
      </c>
      <c r="E1531" t="str">
        <f t="shared" si="119"/>
        <v>Nov</v>
      </c>
      <c r="F1531" t="s">
        <v>15</v>
      </c>
      <c r="G1531">
        <v>27</v>
      </c>
      <c r="H1531">
        <v>2</v>
      </c>
      <c r="I1531" s="21">
        <v>12994.12</v>
      </c>
      <c r="J1531" t="str">
        <f t="shared" si="116"/>
        <v>tier - 3</v>
      </c>
      <c r="K1531" t="s">
        <v>12</v>
      </c>
      <c r="L1531" t="str">
        <f t="shared" si="117"/>
        <v>tier - 2</v>
      </c>
      <c r="M1531" t="s">
        <v>11</v>
      </c>
      <c r="N1531" t="str">
        <f t="shared" si="118"/>
        <v>R1026</v>
      </c>
      <c r="O1531" t="s">
        <v>535</v>
      </c>
    </row>
    <row r="1532" spans="1:15" x14ac:dyDescent="0.35">
      <c r="A1532" t="s">
        <v>1563</v>
      </c>
      <c r="C1532">
        <f t="shared" si="115"/>
        <v>1981</v>
      </c>
      <c r="D1532">
        <v>1981</v>
      </c>
      <c r="E1532" t="str">
        <f t="shared" si="119"/>
        <v>Oct</v>
      </c>
      <c r="F1532" t="s">
        <v>37</v>
      </c>
      <c r="G1532">
        <v>30</v>
      </c>
      <c r="H1532">
        <v>1</v>
      </c>
      <c r="I1532" s="21">
        <v>13002.91</v>
      </c>
      <c r="J1532" t="str">
        <f t="shared" si="116"/>
        <v>tier - 3</v>
      </c>
      <c r="K1532" t="s">
        <v>12</v>
      </c>
      <c r="L1532" t="str">
        <f t="shared" si="117"/>
        <v>tier - 1</v>
      </c>
      <c r="M1532" t="s">
        <v>16</v>
      </c>
      <c r="N1532" t="str">
        <f t="shared" si="118"/>
        <v>R1012</v>
      </c>
      <c r="O1532" t="s">
        <v>23</v>
      </c>
    </row>
    <row r="1533" spans="1:15" x14ac:dyDescent="0.35">
      <c r="A1533" t="s">
        <v>1564</v>
      </c>
      <c r="C1533">
        <f t="shared" si="115"/>
        <v>1962</v>
      </c>
      <c r="D1533">
        <v>1962</v>
      </c>
      <c r="E1533" t="str">
        <f t="shared" si="119"/>
        <v>Jun</v>
      </c>
      <c r="F1533" t="s">
        <v>18</v>
      </c>
      <c r="G1533">
        <v>24</v>
      </c>
      <c r="H1533">
        <v>0</v>
      </c>
      <c r="I1533" s="21">
        <v>13004.95</v>
      </c>
      <c r="J1533" t="str">
        <f t="shared" si="116"/>
        <v>tier - 3</v>
      </c>
      <c r="K1533" t="s">
        <v>12</v>
      </c>
      <c r="L1533" t="str">
        <f t="shared" si="117"/>
        <v>tier - 1</v>
      </c>
      <c r="M1533" t="s">
        <v>16</v>
      </c>
      <c r="N1533" t="str">
        <f t="shared" si="118"/>
        <v>R1012</v>
      </c>
      <c r="O1533" t="s">
        <v>23</v>
      </c>
    </row>
    <row r="1534" spans="1:15" x14ac:dyDescent="0.35">
      <c r="A1534" t="s">
        <v>1565</v>
      </c>
      <c r="C1534">
        <f t="shared" si="115"/>
        <v>1969</v>
      </c>
      <c r="D1534">
        <v>1969</v>
      </c>
      <c r="E1534" t="str">
        <f t="shared" si="119"/>
        <v>Dec</v>
      </c>
      <c r="F1534" t="s">
        <v>30</v>
      </c>
      <c r="G1534">
        <v>13</v>
      </c>
      <c r="H1534">
        <v>0</v>
      </c>
      <c r="I1534" s="21">
        <v>13008.07</v>
      </c>
      <c r="J1534" t="str">
        <f t="shared" si="116"/>
        <v>tier - 3</v>
      </c>
      <c r="K1534" t="s">
        <v>12</v>
      </c>
      <c r="L1534" t="str">
        <f t="shared" si="117"/>
        <v>tier - 3</v>
      </c>
      <c r="M1534" t="s">
        <v>12</v>
      </c>
      <c r="N1534" t="str">
        <f t="shared" si="118"/>
        <v>R1012</v>
      </c>
      <c r="O1534" t="s">
        <v>23</v>
      </c>
    </row>
    <row r="1535" spans="1:15" x14ac:dyDescent="0.35">
      <c r="A1535" t="s">
        <v>1566</v>
      </c>
      <c r="C1535">
        <f t="shared" si="115"/>
        <v>1972</v>
      </c>
      <c r="D1535">
        <v>1972</v>
      </c>
      <c r="E1535" t="str">
        <f t="shared" si="119"/>
        <v>Sep</v>
      </c>
      <c r="F1535" t="s">
        <v>20</v>
      </c>
      <c r="G1535">
        <v>27</v>
      </c>
      <c r="H1535">
        <v>0</v>
      </c>
      <c r="I1535" s="21">
        <v>13010.86</v>
      </c>
      <c r="J1535" t="str">
        <f t="shared" si="116"/>
        <v>tier - 3</v>
      </c>
      <c r="K1535" t="s">
        <v>12</v>
      </c>
      <c r="L1535" t="str">
        <f t="shared" si="117"/>
        <v>tier - 2</v>
      </c>
      <c r="M1535" t="s">
        <v>11</v>
      </c>
      <c r="N1535" t="str">
        <f t="shared" si="118"/>
        <v>R1012</v>
      </c>
      <c r="O1535" t="s">
        <v>23</v>
      </c>
    </row>
    <row r="1536" spans="1:15" x14ac:dyDescent="0.35">
      <c r="A1536" t="s">
        <v>1567</v>
      </c>
      <c r="C1536">
        <f t="shared" si="115"/>
        <v>1962</v>
      </c>
      <c r="D1536">
        <v>1962</v>
      </c>
      <c r="E1536" t="str">
        <f t="shared" si="119"/>
        <v>Jul</v>
      </c>
      <c r="F1536" t="s">
        <v>10</v>
      </c>
      <c r="G1536">
        <v>20</v>
      </c>
      <c r="H1536">
        <v>0</v>
      </c>
      <c r="I1536" s="21">
        <v>13012.21</v>
      </c>
      <c r="J1536" t="str">
        <f t="shared" si="116"/>
        <v>tier - 3</v>
      </c>
      <c r="K1536" t="s">
        <v>12</v>
      </c>
      <c r="L1536" t="str">
        <f t="shared" si="117"/>
        <v>tier - 1</v>
      </c>
      <c r="M1536" t="s">
        <v>16</v>
      </c>
      <c r="N1536" t="str">
        <f t="shared" si="118"/>
        <v>R1012</v>
      </c>
      <c r="O1536" t="s">
        <v>23</v>
      </c>
    </row>
    <row r="1537" spans="1:15" x14ac:dyDescent="0.35">
      <c r="A1537" t="s">
        <v>1568</v>
      </c>
      <c r="C1537">
        <f t="shared" si="115"/>
        <v>1964</v>
      </c>
      <c r="D1537">
        <v>1964</v>
      </c>
      <c r="E1537" t="str">
        <f t="shared" si="119"/>
        <v>Sep</v>
      </c>
      <c r="F1537" t="s">
        <v>20</v>
      </c>
      <c r="G1537">
        <v>23</v>
      </c>
      <c r="H1537">
        <v>1</v>
      </c>
      <c r="I1537" s="21">
        <v>13019.16</v>
      </c>
      <c r="J1537" t="str">
        <f t="shared" si="116"/>
        <v>tier - 3</v>
      </c>
      <c r="K1537" t="s">
        <v>12</v>
      </c>
      <c r="L1537" t="str">
        <f t="shared" si="117"/>
        <v>tier - 1</v>
      </c>
      <c r="M1537" t="s">
        <v>16</v>
      </c>
      <c r="N1537" t="str">
        <f t="shared" si="118"/>
        <v>R1024</v>
      </c>
      <c r="O1537" t="s">
        <v>247</v>
      </c>
    </row>
    <row r="1538" spans="1:15" x14ac:dyDescent="0.35">
      <c r="A1538" t="s">
        <v>1569</v>
      </c>
      <c r="C1538">
        <f t="shared" si="115"/>
        <v>1965</v>
      </c>
      <c r="D1538">
        <v>1965</v>
      </c>
      <c r="E1538" t="str">
        <f t="shared" si="119"/>
        <v>Nov</v>
      </c>
      <c r="F1538" t="s">
        <v>15</v>
      </c>
      <c r="G1538">
        <v>4</v>
      </c>
      <c r="H1538">
        <v>0</v>
      </c>
      <c r="I1538" s="21">
        <v>13023.93</v>
      </c>
      <c r="J1538" t="str">
        <f t="shared" si="116"/>
        <v>tier - 3</v>
      </c>
      <c r="K1538" t="s">
        <v>12</v>
      </c>
      <c r="L1538" t="str">
        <f t="shared" si="117"/>
        <v>tier - 2</v>
      </c>
      <c r="M1538" t="s">
        <v>11</v>
      </c>
      <c r="N1538" t="str">
        <f t="shared" si="118"/>
        <v>R1025</v>
      </c>
      <c r="O1538" t="s">
        <v>200</v>
      </c>
    </row>
    <row r="1539" spans="1:15" x14ac:dyDescent="0.35">
      <c r="A1539" t="s">
        <v>1570</v>
      </c>
      <c r="C1539">
        <f t="shared" ref="C1539:C1602" si="120">IF(OR(D1539="?", ISBLANK(D1539)), 1983, D1539)</f>
        <v>1961</v>
      </c>
      <c r="D1539">
        <v>1961</v>
      </c>
      <c r="E1539" t="str">
        <f t="shared" si="119"/>
        <v>Nov</v>
      </c>
      <c r="F1539" t="s">
        <v>15</v>
      </c>
      <c r="G1539">
        <v>9</v>
      </c>
      <c r="H1539">
        <v>0</v>
      </c>
      <c r="I1539" s="21">
        <v>13041.92</v>
      </c>
      <c r="J1539" t="str">
        <f t="shared" ref="J1539:J1602" si="121">IF(OR(K1539="?", ISBLANK(K1539)), "Tier 2", K1539)</f>
        <v>tier - 3</v>
      </c>
      <c r="K1539" t="s">
        <v>12</v>
      </c>
      <c r="L1539" t="str">
        <f t="shared" ref="L1539:L1602" si="122">IF(OR(M1539="?", ISBLANK(M1539)), "Tier 2", M1539)</f>
        <v>tier - 1</v>
      </c>
      <c r="M1539" t="s">
        <v>16</v>
      </c>
      <c r="N1539" t="str">
        <f t="shared" ref="N1539:N1602" si="123">IF(OR(O1539="?", ISBLANK(O1539)), "Unknown", O1539)</f>
        <v>R1011</v>
      </c>
      <c r="O1539" t="s">
        <v>42</v>
      </c>
    </row>
    <row r="1540" spans="1:15" x14ac:dyDescent="0.35">
      <c r="A1540" t="s">
        <v>1571</v>
      </c>
      <c r="C1540">
        <f t="shared" si="120"/>
        <v>1969</v>
      </c>
      <c r="D1540">
        <v>1969</v>
      </c>
      <c r="E1540" t="str">
        <f t="shared" ref="E1540:E1603" si="124">IF(OR(F1540="?", ISBLANK(F1540)), "Sep", F1540)</f>
        <v>Sep</v>
      </c>
      <c r="F1540" t="s">
        <v>20</v>
      </c>
      <c r="G1540">
        <v>23</v>
      </c>
      <c r="H1540">
        <v>0</v>
      </c>
      <c r="I1540" s="21">
        <v>13044.41</v>
      </c>
      <c r="J1540" t="str">
        <f t="shared" si="121"/>
        <v>tier - 3</v>
      </c>
      <c r="K1540" t="s">
        <v>12</v>
      </c>
      <c r="L1540" t="str">
        <f t="shared" si="122"/>
        <v>tier - 1</v>
      </c>
      <c r="M1540" t="s">
        <v>16</v>
      </c>
      <c r="N1540" t="str">
        <f t="shared" si="123"/>
        <v>R1012</v>
      </c>
      <c r="O1540" t="s">
        <v>23</v>
      </c>
    </row>
    <row r="1541" spans="1:15" x14ac:dyDescent="0.35">
      <c r="A1541" t="s">
        <v>1572</v>
      </c>
      <c r="C1541">
        <f t="shared" si="120"/>
        <v>1967</v>
      </c>
      <c r="D1541">
        <v>1967</v>
      </c>
      <c r="E1541" t="str">
        <f t="shared" si="124"/>
        <v>Aug</v>
      </c>
      <c r="F1541" t="s">
        <v>35</v>
      </c>
      <c r="G1541">
        <v>6</v>
      </c>
      <c r="H1541">
        <v>3</v>
      </c>
      <c r="I1541" s="21">
        <v>13047.33</v>
      </c>
      <c r="J1541" t="str">
        <f t="shared" si="121"/>
        <v>tier - 3</v>
      </c>
      <c r="K1541" t="s">
        <v>12</v>
      </c>
      <c r="L1541" t="str">
        <f t="shared" si="122"/>
        <v>tier - 3</v>
      </c>
      <c r="M1541" t="s">
        <v>12</v>
      </c>
      <c r="N1541" t="str">
        <f t="shared" si="123"/>
        <v>R1024</v>
      </c>
      <c r="O1541" t="s">
        <v>247</v>
      </c>
    </row>
    <row r="1542" spans="1:15" x14ac:dyDescent="0.35">
      <c r="A1542" t="s">
        <v>1573</v>
      </c>
      <c r="C1542">
        <f t="shared" si="120"/>
        <v>1985</v>
      </c>
      <c r="D1542">
        <v>1985</v>
      </c>
      <c r="E1542" t="str">
        <f t="shared" si="124"/>
        <v>Oct</v>
      </c>
      <c r="F1542" t="s">
        <v>37</v>
      </c>
      <c r="G1542">
        <v>26</v>
      </c>
      <c r="H1542">
        <v>3</v>
      </c>
      <c r="I1542" s="21">
        <v>13051.22</v>
      </c>
      <c r="J1542" t="str">
        <f t="shared" si="121"/>
        <v>tier - 3</v>
      </c>
      <c r="K1542" t="s">
        <v>12</v>
      </c>
      <c r="L1542" t="str">
        <f t="shared" si="122"/>
        <v>tier - 1</v>
      </c>
      <c r="M1542" t="s">
        <v>16</v>
      </c>
      <c r="N1542" t="str">
        <f t="shared" si="123"/>
        <v>R1026</v>
      </c>
      <c r="O1542" t="s">
        <v>535</v>
      </c>
    </row>
    <row r="1543" spans="1:15" x14ac:dyDescent="0.35">
      <c r="A1543" t="s">
        <v>1574</v>
      </c>
      <c r="C1543">
        <f t="shared" si="120"/>
        <v>1961</v>
      </c>
      <c r="D1543">
        <v>1961</v>
      </c>
      <c r="E1543" t="str">
        <f t="shared" si="124"/>
        <v>Nov</v>
      </c>
      <c r="F1543" t="s">
        <v>15</v>
      </c>
      <c r="G1543">
        <v>6</v>
      </c>
      <c r="H1543">
        <v>0</v>
      </c>
      <c r="I1543" s="21">
        <v>13063.88</v>
      </c>
      <c r="J1543" t="str">
        <f t="shared" si="121"/>
        <v>tier - 3</v>
      </c>
      <c r="K1543" t="s">
        <v>12</v>
      </c>
      <c r="L1543" t="str">
        <f t="shared" si="122"/>
        <v>tier - 2</v>
      </c>
      <c r="M1543" t="s">
        <v>11</v>
      </c>
      <c r="N1543" t="str">
        <f t="shared" si="123"/>
        <v>R1011</v>
      </c>
      <c r="O1543" t="s">
        <v>42</v>
      </c>
    </row>
    <row r="1544" spans="1:15" x14ac:dyDescent="0.35">
      <c r="A1544" t="s">
        <v>1575</v>
      </c>
      <c r="C1544">
        <f t="shared" si="120"/>
        <v>1978</v>
      </c>
      <c r="D1544">
        <v>1978</v>
      </c>
      <c r="E1544" t="str">
        <f t="shared" si="124"/>
        <v>Jul</v>
      </c>
      <c r="F1544" t="s">
        <v>10</v>
      </c>
      <c r="G1544">
        <v>17</v>
      </c>
      <c r="H1544">
        <v>2</v>
      </c>
      <c r="I1544" s="21">
        <v>13101.74</v>
      </c>
      <c r="J1544" t="str">
        <f t="shared" si="121"/>
        <v>tier - 3</v>
      </c>
      <c r="K1544" t="s">
        <v>12</v>
      </c>
      <c r="L1544" t="str">
        <f t="shared" si="122"/>
        <v>tier - 2</v>
      </c>
      <c r="M1544" t="s">
        <v>11</v>
      </c>
      <c r="N1544" t="str">
        <f t="shared" si="123"/>
        <v>R1026</v>
      </c>
      <c r="O1544" t="s">
        <v>535</v>
      </c>
    </row>
    <row r="1545" spans="1:15" x14ac:dyDescent="0.35">
      <c r="A1545" t="s">
        <v>1576</v>
      </c>
      <c r="C1545">
        <f t="shared" si="120"/>
        <v>1971</v>
      </c>
      <c r="D1545">
        <v>1971</v>
      </c>
      <c r="E1545" t="str">
        <f t="shared" si="124"/>
        <v>Oct</v>
      </c>
      <c r="F1545" t="s">
        <v>37</v>
      </c>
      <c r="G1545">
        <v>30</v>
      </c>
      <c r="H1545">
        <v>0</v>
      </c>
      <c r="I1545" s="21">
        <v>13110.79</v>
      </c>
      <c r="J1545" t="str">
        <f t="shared" si="121"/>
        <v>tier - 3</v>
      </c>
      <c r="K1545" t="s">
        <v>12</v>
      </c>
      <c r="L1545" t="str">
        <f t="shared" si="122"/>
        <v>tier - 2</v>
      </c>
      <c r="M1545" t="s">
        <v>11</v>
      </c>
      <c r="N1545" t="str">
        <f t="shared" si="123"/>
        <v>R1011</v>
      </c>
      <c r="O1545" t="s">
        <v>42</v>
      </c>
    </row>
    <row r="1546" spans="1:15" x14ac:dyDescent="0.35">
      <c r="A1546" t="s">
        <v>1577</v>
      </c>
      <c r="C1546">
        <f t="shared" si="120"/>
        <v>1962</v>
      </c>
      <c r="D1546">
        <v>1962</v>
      </c>
      <c r="E1546" t="str">
        <f t="shared" si="124"/>
        <v>Aug</v>
      </c>
      <c r="F1546" t="s">
        <v>35</v>
      </c>
      <c r="G1546">
        <v>2</v>
      </c>
      <c r="H1546">
        <v>1</v>
      </c>
      <c r="I1546" s="21">
        <v>13112.6</v>
      </c>
      <c r="J1546" t="str">
        <f t="shared" si="121"/>
        <v>tier - 3</v>
      </c>
      <c r="K1546" t="s">
        <v>12</v>
      </c>
      <c r="L1546" t="str">
        <f t="shared" si="122"/>
        <v>tier - 3</v>
      </c>
      <c r="M1546" t="s">
        <v>12</v>
      </c>
      <c r="N1546" t="str">
        <f t="shared" si="123"/>
        <v>R1012</v>
      </c>
      <c r="O1546" t="s">
        <v>23</v>
      </c>
    </row>
    <row r="1547" spans="1:15" x14ac:dyDescent="0.35">
      <c r="A1547" t="s">
        <v>1578</v>
      </c>
      <c r="C1547">
        <f t="shared" si="120"/>
        <v>1992</v>
      </c>
      <c r="D1547">
        <v>1992</v>
      </c>
      <c r="E1547" t="str">
        <f t="shared" si="124"/>
        <v>Aug</v>
      </c>
      <c r="F1547" t="s">
        <v>35</v>
      </c>
      <c r="G1547">
        <v>12</v>
      </c>
      <c r="H1547">
        <v>0</v>
      </c>
      <c r="I1547" s="21">
        <v>13113.51</v>
      </c>
      <c r="J1547" t="str">
        <f t="shared" si="121"/>
        <v>tier - 3</v>
      </c>
      <c r="K1547" t="s">
        <v>12</v>
      </c>
      <c r="L1547" t="str">
        <f t="shared" si="122"/>
        <v>tier - 2</v>
      </c>
      <c r="M1547" t="s">
        <v>11</v>
      </c>
      <c r="N1547" t="str">
        <f t="shared" si="123"/>
        <v>R1026</v>
      </c>
      <c r="O1547" t="s">
        <v>535</v>
      </c>
    </row>
    <row r="1548" spans="1:15" x14ac:dyDescent="0.35">
      <c r="A1548" t="s">
        <v>1579</v>
      </c>
      <c r="C1548">
        <f t="shared" si="120"/>
        <v>1963</v>
      </c>
      <c r="D1548">
        <v>1963</v>
      </c>
      <c r="E1548" t="str">
        <f t="shared" si="124"/>
        <v>Sep</v>
      </c>
      <c r="F1548" t="s">
        <v>20</v>
      </c>
      <c r="G1548">
        <v>14</v>
      </c>
      <c r="H1548">
        <v>0</v>
      </c>
      <c r="I1548" s="21">
        <v>13116.84</v>
      </c>
      <c r="J1548" t="str">
        <f t="shared" si="121"/>
        <v>tier - 3</v>
      </c>
      <c r="K1548" t="s">
        <v>12</v>
      </c>
      <c r="L1548" t="str">
        <f t="shared" si="122"/>
        <v>tier - 1</v>
      </c>
      <c r="M1548" t="s">
        <v>16</v>
      </c>
      <c r="N1548" t="str">
        <f t="shared" si="123"/>
        <v>R1012</v>
      </c>
      <c r="O1548" t="s">
        <v>23</v>
      </c>
    </row>
    <row r="1549" spans="1:15" x14ac:dyDescent="0.35">
      <c r="A1549" t="s">
        <v>1580</v>
      </c>
      <c r="C1549">
        <f t="shared" si="120"/>
        <v>1999</v>
      </c>
      <c r="D1549">
        <v>1999</v>
      </c>
      <c r="E1549" t="str">
        <f t="shared" si="124"/>
        <v>Aug</v>
      </c>
      <c r="F1549" t="s">
        <v>35</v>
      </c>
      <c r="G1549">
        <v>16</v>
      </c>
      <c r="H1549">
        <v>0</v>
      </c>
      <c r="I1549" s="21">
        <v>13126.68</v>
      </c>
      <c r="J1549" t="str">
        <f t="shared" si="121"/>
        <v>tier - 3</v>
      </c>
      <c r="K1549" t="s">
        <v>12</v>
      </c>
      <c r="L1549" t="str">
        <f t="shared" si="122"/>
        <v>tier - 3</v>
      </c>
      <c r="M1549" t="s">
        <v>12</v>
      </c>
      <c r="N1549" t="str">
        <f t="shared" si="123"/>
        <v>R1011</v>
      </c>
      <c r="O1549" t="s">
        <v>42</v>
      </c>
    </row>
    <row r="1550" spans="1:15" x14ac:dyDescent="0.35">
      <c r="A1550" t="s">
        <v>1581</v>
      </c>
      <c r="C1550">
        <f t="shared" si="120"/>
        <v>1961</v>
      </c>
      <c r="D1550">
        <v>1961</v>
      </c>
      <c r="E1550" t="str">
        <f t="shared" si="124"/>
        <v>Sep</v>
      </c>
      <c r="F1550" t="s">
        <v>20</v>
      </c>
      <c r="G1550">
        <v>7</v>
      </c>
      <c r="H1550">
        <v>0</v>
      </c>
      <c r="I1550" s="21">
        <v>13129.6</v>
      </c>
      <c r="J1550" t="str">
        <f t="shared" si="121"/>
        <v>tier - 3</v>
      </c>
      <c r="K1550" t="s">
        <v>12</v>
      </c>
      <c r="L1550" t="str">
        <f t="shared" si="122"/>
        <v>tier - 2</v>
      </c>
      <c r="M1550" t="s">
        <v>11</v>
      </c>
      <c r="N1550" t="str">
        <f t="shared" si="123"/>
        <v>R1017</v>
      </c>
      <c r="O1550" t="s">
        <v>356</v>
      </c>
    </row>
    <row r="1551" spans="1:15" x14ac:dyDescent="0.35">
      <c r="A1551" t="s">
        <v>1582</v>
      </c>
      <c r="C1551">
        <f t="shared" si="120"/>
        <v>1961</v>
      </c>
      <c r="D1551">
        <v>1961</v>
      </c>
      <c r="E1551" t="str">
        <f t="shared" si="124"/>
        <v>Dec</v>
      </c>
      <c r="F1551" t="s">
        <v>30</v>
      </c>
      <c r="G1551">
        <v>6</v>
      </c>
      <c r="H1551">
        <v>0</v>
      </c>
      <c r="I1551" s="21">
        <v>13143.34</v>
      </c>
      <c r="J1551" t="str">
        <f t="shared" si="121"/>
        <v>tier - 3</v>
      </c>
      <c r="K1551" t="s">
        <v>12</v>
      </c>
      <c r="L1551" t="str">
        <f t="shared" si="122"/>
        <v>tier - 2</v>
      </c>
      <c r="M1551" t="s">
        <v>11</v>
      </c>
      <c r="N1551" t="str">
        <f t="shared" si="123"/>
        <v>R1020</v>
      </c>
      <c r="O1551" t="s">
        <v>516</v>
      </c>
    </row>
    <row r="1552" spans="1:15" x14ac:dyDescent="0.35">
      <c r="A1552" t="s">
        <v>1583</v>
      </c>
      <c r="C1552">
        <f t="shared" si="120"/>
        <v>1961</v>
      </c>
      <c r="D1552">
        <v>1961</v>
      </c>
      <c r="E1552" t="str">
        <f t="shared" si="124"/>
        <v>Dec</v>
      </c>
      <c r="F1552" t="s">
        <v>30</v>
      </c>
      <c r="G1552">
        <v>6</v>
      </c>
      <c r="H1552">
        <v>0</v>
      </c>
      <c r="I1552" s="21">
        <v>13143.86</v>
      </c>
      <c r="J1552" t="str">
        <f t="shared" si="121"/>
        <v>tier - 3</v>
      </c>
      <c r="K1552" t="s">
        <v>12</v>
      </c>
      <c r="L1552" t="str">
        <f t="shared" si="122"/>
        <v>tier - 2</v>
      </c>
      <c r="M1552" t="s">
        <v>11</v>
      </c>
      <c r="N1552" t="str">
        <f t="shared" si="123"/>
        <v>R1016</v>
      </c>
      <c r="O1552" t="s">
        <v>168</v>
      </c>
    </row>
    <row r="1553" spans="1:15" x14ac:dyDescent="0.35">
      <c r="A1553" t="s">
        <v>1584</v>
      </c>
      <c r="C1553">
        <f t="shared" si="120"/>
        <v>1962</v>
      </c>
      <c r="D1553">
        <v>1962</v>
      </c>
      <c r="E1553" t="str">
        <f t="shared" si="124"/>
        <v>Aug</v>
      </c>
      <c r="F1553" t="s">
        <v>35</v>
      </c>
      <c r="G1553">
        <v>5</v>
      </c>
      <c r="H1553">
        <v>0</v>
      </c>
      <c r="I1553" s="21">
        <v>13204.29</v>
      </c>
      <c r="J1553" t="str">
        <f t="shared" si="121"/>
        <v>tier - 3</v>
      </c>
      <c r="K1553" t="s">
        <v>12</v>
      </c>
      <c r="L1553" t="str">
        <f t="shared" si="122"/>
        <v>tier - 1</v>
      </c>
      <c r="M1553" t="s">
        <v>16</v>
      </c>
      <c r="N1553" t="str">
        <f t="shared" si="123"/>
        <v>R1024</v>
      </c>
      <c r="O1553" t="s">
        <v>247</v>
      </c>
    </row>
    <row r="1554" spans="1:15" x14ac:dyDescent="0.35">
      <c r="A1554" t="s">
        <v>1585</v>
      </c>
      <c r="C1554">
        <f t="shared" si="120"/>
        <v>1982</v>
      </c>
      <c r="D1554">
        <v>1982</v>
      </c>
      <c r="E1554" t="str">
        <f t="shared" si="124"/>
        <v>Oct</v>
      </c>
      <c r="F1554" t="s">
        <v>37</v>
      </c>
      <c r="G1554">
        <v>15</v>
      </c>
      <c r="H1554">
        <v>3</v>
      </c>
      <c r="I1554" s="21">
        <v>13214.43</v>
      </c>
      <c r="J1554" t="str">
        <f t="shared" si="121"/>
        <v>tier - 3</v>
      </c>
      <c r="K1554" t="s">
        <v>12</v>
      </c>
      <c r="L1554" t="str">
        <f t="shared" si="122"/>
        <v>tier - 2</v>
      </c>
      <c r="M1554" t="s">
        <v>11</v>
      </c>
      <c r="N1554" t="str">
        <f t="shared" si="123"/>
        <v>R1012</v>
      </c>
      <c r="O1554" t="s">
        <v>23</v>
      </c>
    </row>
    <row r="1555" spans="1:15" x14ac:dyDescent="0.35">
      <c r="A1555" t="s">
        <v>1586</v>
      </c>
      <c r="C1555">
        <f t="shared" si="120"/>
        <v>1962</v>
      </c>
      <c r="D1555">
        <v>1962</v>
      </c>
      <c r="E1555" t="str">
        <f t="shared" si="124"/>
        <v>Dec</v>
      </c>
      <c r="F1555" t="s">
        <v>30</v>
      </c>
      <c r="G1555">
        <v>7</v>
      </c>
      <c r="H1555">
        <v>0</v>
      </c>
      <c r="I1555" s="21">
        <v>13217.09</v>
      </c>
      <c r="J1555" t="str">
        <f t="shared" si="121"/>
        <v>tier - 3</v>
      </c>
      <c r="K1555" t="s">
        <v>12</v>
      </c>
      <c r="L1555" t="str">
        <f t="shared" si="122"/>
        <v>tier - 1</v>
      </c>
      <c r="M1555" t="s">
        <v>16</v>
      </c>
      <c r="N1555" t="str">
        <f t="shared" si="123"/>
        <v>R1024</v>
      </c>
      <c r="O1555" t="s">
        <v>247</v>
      </c>
    </row>
    <row r="1556" spans="1:15" x14ac:dyDescent="0.35">
      <c r="A1556" t="s">
        <v>1587</v>
      </c>
      <c r="C1556">
        <f t="shared" si="120"/>
        <v>1965</v>
      </c>
      <c r="D1556">
        <v>1965</v>
      </c>
      <c r="E1556" t="str">
        <f t="shared" si="124"/>
        <v>Nov</v>
      </c>
      <c r="F1556" t="s">
        <v>15</v>
      </c>
      <c r="G1556">
        <v>13</v>
      </c>
      <c r="H1556">
        <v>2</v>
      </c>
      <c r="I1556" s="21">
        <v>13224.06</v>
      </c>
      <c r="J1556" t="str">
        <f t="shared" si="121"/>
        <v>tier - 3</v>
      </c>
      <c r="K1556" t="s">
        <v>12</v>
      </c>
      <c r="L1556" t="str">
        <f t="shared" si="122"/>
        <v>tier - 3</v>
      </c>
      <c r="M1556" t="s">
        <v>12</v>
      </c>
      <c r="N1556" t="str">
        <f t="shared" si="123"/>
        <v>R1024</v>
      </c>
      <c r="O1556" t="s">
        <v>247</v>
      </c>
    </row>
    <row r="1557" spans="1:15" x14ac:dyDescent="0.35">
      <c r="A1557" t="s">
        <v>1588</v>
      </c>
      <c r="C1557">
        <f t="shared" si="120"/>
        <v>1962</v>
      </c>
      <c r="D1557">
        <v>1962</v>
      </c>
      <c r="E1557" t="str">
        <f t="shared" si="124"/>
        <v>Nov</v>
      </c>
      <c r="F1557" t="s">
        <v>15</v>
      </c>
      <c r="G1557">
        <v>24</v>
      </c>
      <c r="H1557">
        <v>1</v>
      </c>
      <c r="I1557" s="21">
        <v>13224.69</v>
      </c>
      <c r="J1557" t="str">
        <f t="shared" si="121"/>
        <v>tier - 3</v>
      </c>
      <c r="K1557" t="s">
        <v>12</v>
      </c>
      <c r="L1557" t="str">
        <f t="shared" si="122"/>
        <v>tier - 2</v>
      </c>
      <c r="M1557" t="s">
        <v>11</v>
      </c>
      <c r="N1557" t="str">
        <f t="shared" si="123"/>
        <v>R1011</v>
      </c>
      <c r="O1557" t="s">
        <v>42</v>
      </c>
    </row>
    <row r="1558" spans="1:15" x14ac:dyDescent="0.35">
      <c r="A1558" t="s">
        <v>1589</v>
      </c>
      <c r="C1558">
        <f t="shared" si="120"/>
        <v>1962</v>
      </c>
      <c r="D1558">
        <v>1962</v>
      </c>
      <c r="E1558" t="str">
        <f t="shared" si="124"/>
        <v>Oct</v>
      </c>
      <c r="F1558" t="s">
        <v>37</v>
      </c>
      <c r="G1558">
        <v>11</v>
      </c>
      <c r="H1558">
        <v>0</v>
      </c>
      <c r="I1558" s="21">
        <v>13228.85</v>
      </c>
      <c r="J1558" t="str">
        <f t="shared" si="121"/>
        <v>tier - 3</v>
      </c>
      <c r="K1558" t="s">
        <v>12</v>
      </c>
      <c r="L1558" t="str">
        <f t="shared" si="122"/>
        <v>tier - 3</v>
      </c>
      <c r="M1558" t="s">
        <v>12</v>
      </c>
      <c r="N1558" t="str">
        <f t="shared" si="123"/>
        <v>R1023</v>
      </c>
      <c r="O1558" t="s">
        <v>249</v>
      </c>
    </row>
    <row r="1559" spans="1:15" x14ac:dyDescent="0.35">
      <c r="A1559" t="s">
        <v>1590</v>
      </c>
      <c r="C1559">
        <f t="shared" si="120"/>
        <v>1994</v>
      </c>
      <c r="D1559">
        <v>1994</v>
      </c>
      <c r="E1559" t="str">
        <f t="shared" si="124"/>
        <v>Jul</v>
      </c>
      <c r="F1559" t="s">
        <v>10</v>
      </c>
      <c r="G1559">
        <v>1</v>
      </c>
      <c r="H1559">
        <v>0</v>
      </c>
      <c r="I1559" s="21">
        <v>13292.52</v>
      </c>
      <c r="J1559" t="str">
        <f t="shared" si="121"/>
        <v>tier - 3</v>
      </c>
      <c r="K1559" t="s">
        <v>12</v>
      </c>
      <c r="L1559" t="str">
        <f t="shared" si="122"/>
        <v>tier - 3</v>
      </c>
      <c r="M1559" t="s">
        <v>12</v>
      </c>
      <c r="N1559" t="str">
        <f t="shared" si="123"/>
        <v>R1012</v>
      </c>
      <c r="O1559" t="s">
        <v>23</v>
      </c>
    </row>
    <row r="1560" spans="1:15" x14ac:dyDescent="0.35">
      <c r="A1560" t="s">
        <v>1591</v>
      </c>
      <c r="C1560">
        <f t="shared" si="120"/>
        <v>1976</v>
      </c>
      <c r="D1560">
        <v>1976</v>
      </c>
      <c r="E1560" t="str">
        <f t="shared" si="124"/>
        <v>Aug</v>
      </c>
      <c r="F1560" t="s">
        <v>35</v>
      </c>
      <c r="G1560">
        <v>23</v>
      </c>
      <c r="H1560">
        <v>2</v>
      </c>
      <c r="I1560" s="21">
        <v>13333.71</v>
      </c>
      <c r="J1560" t="str">
        <f t="shared" si="121"/>
        <v>tier - 3</v>
      </c>
      <c r="K1560" t="s">
        <v>12</v>
      </c>
      <c r="L1560" t="str">
        <f t="shared" si="122"/>
        <v>tier - 2</v>
      </c>
      <c r="M1560" t="s">
        <v>11</v>
      </c>
      <c r="N1560" t="str">
        <f t="shared" si="123"/>
        <v>R1012</v>
      </c>
      <c r="O1560" t="s">
        <v>23</v>
      </c>
    </row>
    <row r="1561" spans="1:15" x14ac:dyDescent="0.35">
      <c r="A1561" t="s">
        <v>1592</v>
      </c>
      <c r="C1561">
        <f t="shared" si="120"/>
        <v>1960</v>
      </c>
      <c r="D1561">
        <v>1960</v>
      </c>
      <c r="E1561" t="str">
        <f t="shared" si="124"/>
        <v>Nov</v>
      </c>
      <c r="F1561" t="s">
        <v>15</v>
      </c>
      <c r="G1561">
        <v>11</v>
      </c>
      <c r="H1561">
        <v>0</v>
      </c>
      <c r="I1561" s="21">
        <v>13352.1</v>
      </c>
      <c r="J1561" t="str">
        <f t="shared" si="121"/>
        <v>tier - 3</v>
      </c>
      <c r="K1561" t="s">
        <v>12</v>
      </c>
      <c r="L1561" t="str">
        <f t="shared" si="122"/>
        <v>tier - 1</v>
      </c>
      <c r="M1561" t="s">
        <v>16</v>
      </c>
      <c r="N1561" t="str">
        <f t="shared" si="123"/>
        <v>R1012</v>
      </c>
      <c r="O1561" t="s">
        <v>23</v>
      </c>
    </row>
    <row r="1562" spans="1:15" x14ac:dyDescent="0.35">
      <c r="A1562" t="s">
        <v>1593</v>
      </c>
      <c r="C1562">
        <f t="shared" si="120"/>
        <v>1990</v>
      </c>
      <c r="D1562">
        <v>1990</v>
      </c>
      <c r="E1562" t="str">
        <f t="shared" si="124"/>
        <v>Oct</v>
      </c>
      <c r="F1562" t="s">
        <v>37</v>
      </c>
      <c r="G1562">
        <v>2</v>
      </c>
      <c r="H1562">
        <v>3</v>
      </c>
      <c r="I1562" s="21">
        <v>13360.94</v>
      </c>
      <c r="J1562" t="str">
        <f t="shared" si="121"/>
        <v>tier - 3</v>
      </c>
      <c r="K1562" t="s">
        <v>12</v>
      </c>
      <c r="L1562" t="str">
        <f t="shared" si="122"/>
        <v>tier - 1</v>
      </c>
      <c r="M1562" t="s">
        <v>16</v>
      </c>
      <c r="N1562" t="str">
        <f t="shared" si="123"/>
        <v>R1012</v>
      </c>
      <c r="O1562" t="s">
        <v>23</v>
      </c>
    </row>
    <row r="1563" spans="1:15" x14ac:dyDescent="0.35">
      <c r="A1563" t="s">
        <v>1594</v>
      </c>
      <c r="C1563">
        <f t="shared" si="120"/>
        <v>1964</v>
      </c>
      <c r="D1563">
        <v>1964</v>
      </c>
      <c r="E1563" t="str">
        <f t="shared" si="124"/>
        <v>Sep</v>
      </c>
      <c r="F1563" t="s">
        <v>20</v>
      </c>
      <c r="G1563">
        <v>24</v>
      </c>
      <c r="H1563">
        <v>0</v>
      </c>
      <c r="I1563" s="21">
        <v>13375.76</v>
      </c>
      <c r="J1563" t="str">
        <f t="shared" si="121"/>
        <v>tier - 3</v>
      </c>
      <c r="K1563" t="s">
        <v>12</v>
      </c>
      <c r="L1563" t="str">
        <f t="shared" si="122"/>
        <v>tier - 2</v>
      </c>
      <c r="M1563" t="s">
        <v>11</v>
      </c>
      <c r="N1563" t="str">
        <f t="shared" si="123"/>
        <v>R1025</v>
      </c>
      <c r="O1563" t="s">
        <v>200</v>
      </c>
    </row>
    <row r="1564" spans="1:15" x14ac:dyDescent="0.35">
      <c r="A1564" t="s">
        <v>1595</v>
      </c>
      <c r="C1564">
        <f t="shared" si="120"/>
        <v>1979</v>
      </c>
      <c r="D1564">
        <v>1979</v>
      </c>
      <c r="E1564" t="str">
        <f t="shared" si="124"/>
        <v>Sep</v>
      </c>
      <c r="F1564" t="s">
        <v>20</v>
      </c>
      <c r="G1564">
        <v>30</v>
      </c>
      <c r="H1564">
        <v>2</v>
      </c>
      <c r="I1564" s="21">
        <v>13377.41</v>
      </c>
      <c r="J1564" t="str">
        <f t="shared" si="121"/>
        <v>tier - 3</v>
      </c>
      <c r="K1564" t="s">
        <v>12</v>
      </c>
      <c r="L1564" t="str">
        <f t="shared" si="122"/>
        <v>tier - 3</v>
      </c>
      <c r="M1564" t="s">
        <v>12</v>
      </c>
      <c r="N1564" t="str">
        <f t="shared" si="123"/>
        <v>R1026</v>
      </c>
      <c r="O1564" t="s">
        <v>535</v>
      </c>
    </row>
    <row r="1565" spans="1:15" x14ac:dyDescent="0.35">
      <c r="A1565" t="s">
        <v>1596</v>
      </c>
      <c r="C1565">
        <f t="shared" si="120"/>
        <v>1984</v>
      </c>
      <c r="D1565">
        <v>1984</v>
      </c>
      <c r="E1565" t="str">
        <f t="shared" si="124"/>
        <v>Jun</v>
      </c>
      <c r="F1565" t="s">
        <v>18</v>
      </c>
      <c r="G1565">
        <v>6</v>
      </c>
      <c r="H1565">
        <v>3</v>
      </c>
      <c r="I1565" s="21">
        <v>13383.67</v>
      </c>
      <c r="J1565" t="str">
        <f t="shared" si="121"/>
        <v>tier - 3</v>
      </c>
      <c r="K1565" t="s">
        <v>12</v>
      </c>
      <c r="L1565" t="str">
        <f t="shared" si="122"/>
        <v>tier - 2</v>
      </c>
      <c r="M1565" t="s">
        <v>11</v>
      </c>
      <c r="N1565" t="str">
        <f t="shared" si="123"/>
        <v>R1023</v>
      </c>
      <c r="O1565" t="s">
        <v>249</v>
      </c>
    </row>
    <row r="1566" spans="1:15" x14ac:dyDescent="0.35">
      <c r="A1566" t="s">
        <v>1597</v>
      </c>
      <c r="C1566">
        <f t="shared" si="120"/>
        <v>1959</v>
      </c>
      <c r="D1566">
        <v>1959</v>
      </c>
      <c r="E1566" t="str">
        <f t="shared" si="124"/>
        <v>Dec</v>
      </c>
      <c r="F1566" t="s">
        <v>30</v>
      </c>
      <c r="G1566">
        <v>9</v>
      </c>
      <c r="H1566">
        <v>0</v>
      </c>
      <c r="I1566" s="21">
        <v>13390.56</v>
      </c>
      <c r="J1566" t="str">
        <f t="shared" si="121"/>
        <v>tier - 3</v>
      </c>
      <c r="K1566" t="s">
        <v>12</v>
      </c>
      <c r="L1566" t="str">
        <f t="shared" si="122"/>
        <v>tier - 3</v>
      </c>
      <c r="M1566" t="s">
        <v>12</v>
      </c>
      <c r="N1566" t="str">
        <f t="shared" si="123"/>
        <v>R1011</v>
      </c>
      <c r="O1566" t="s">
        <v>42</v>
      </c>
    </row>
    <row r="1567" spans="1:15" x14ac:dyDescent="0.35">
      <c r="A1567" t="s">
        <v>1598</v>
      </c>
      <c r="C1567">
        <f t="shared" si="120"/>
        <v>1959</v>
      </c>
      <c r="D1567">
        <v>1959</v>
      </c>
      <c r="E1567" t="str">
        <f t="shared" si="124"/>
        <v>Nov</v>
      </c>
      <c r="F1567" t="s">
        <v>15</v>
      </c>
      <c r="G1567">
        <v>25</v>
      </c>
      <c r="H1567">
        <v>0</v>
      </c>
      <c r="I1567" s="21">
        <v>13393.76</v>
      </c>
      <c r="J1567" t="str">
        <f t="shared" si="121"/>
        <v>tier - 3</v>
      </c>
      <c r="K1567" t="s">
        <v>12</v>
      </c>
      <c r="L1567" t="str">
        <f t="shared" si="122"/>
        <v>tier - 1</v>
      </c>
      <c r="M1567" t="s">
        <v>16</v>
      </c>
      <c r="N1567" t="str">
        <f t="shared" si="123"/>
        <v>R1011</v>
      </c>
      <c r="O1567" t="s">
        <v>42</v>
      </c>
    </row>
    <row r="1568" spans="1:15" x14ac:dyDescent="0.35">
      <c r="A1568" t="s">
        <v>1599</v>
      </c>
      <c r="C1568">
        <f t="shared" si="120"/>
        <v>1959</v>
      </c>
      <c r="D1568">
        <v>1959</v>
      </c>
      <c r="E1568" t="str">
        <f t="shared" si="124"/>
        <v>Dec</v>
      </c>
      <c r="F1568" t="s">
        <v>30</v>
      </c>
      <c r="G1568">
        <v>20</v>
      </c>
      <c r="H1568">
        <v>0</v>
      </c>
      <c r="I1568" s="21">
        <v>13405.39</v>
      </c>
      <c r="J1568" t="str">
        <f t="shared" si="121"/>
        <v>tier - 3</v>
      </c>
      <c r="K1568" t="s">
        <v>12</v>
      </c>
      <c r="L1568" t="str">
        <f t="shared" si="122"/>
        <v>tier - 3</v>
      </c>
      <c r="M1568" t="s">
        <v>12</v>
      </c>
      <c r="N1568" t="str">
        <f t="shared" si="123"/>
        <v>R1013</v>
      </c>
      <c r="O1568" t="s">
        <v>13</v>
      </c>
    </row>
    <row r="1569" spans="1:15" x14ac:dyDescent="0.35">
      <c r="A1569" t="s">
        <v>1600</v>
      </c>
      <c r="C1569">
        <f t="shared" si="120"/>
        <v>1992</v>
      </c>
      <c r="D1569">
        <v>1992</v>
      </c>
      <c r="E1569" t="str">
        <f t="shared" si="124"/>
        <v>Dec</v>
      </c>
      <c r="F1569" t="s">
        <v>30</v>
      </c>
      <c r="G1569">
        <v>19</v>
      </c>
      <c r="H1569">
        <v>0</v>
      </c>
      <c r="I1569" s="21">
        <v>13412.97</v>
      </c>
      <c r="J1569" t="str">
        <f t="shared" si="121"/>
        <v>tier - 3</v>
      </c>
      <c r="K1569" t="s">
        <v>12</v>
      </c>
      <c r="L1569" t="str">
        <f t="shared" si="122"/>
        <v>tier - 3</v>
      </c>
      <c r="M1569" t="s">
        <v>12</v>
      </c>
      <c r="N1569" t="str">
        <f t="shared" si="123"/>
        <v>R1023</v>
      </c>
      <c r="O1569" t="s">
        <v>249</v>
      </c>
    </row>
    <row r="1570" spans="1:15" x14ac:dyDescent="0.35">
      <c r="A1570" t="s">
        <v>1601</v>
      </c>
      <c r="C1570">
        <f t="shared" si="120"/>
        <v>1961</v>
      </c>
      <c r="D1570">
        <v>1961</v>
      </c>
      <c r="E1570" t="str">
        <f t="shared" si="124"/>
        <v>Jul</v>
      </c>
      <c r="F1570" t="s">
        <v>10</v>
      </c>
      <c r="G1570">
        <v>22</v>
      </c>
      <c r="H1570">
        <v>0</v>
      </c>
      <c r="I1570" s="21">
        <v>13415.04</v>
      </c>
      <c r="J1570" t="str">
        <f t="shared" si="121"/>
        <v>tier - 3</v>
      </c>
      <c r="K1570" t="s">
        <v>12</v>
      </c>
      <c r="L1570" t="str">
        <f t="shared" si="122"/>
        <v>tier - 2</v>
      </c>
      <c r="M1570" t="s">
        <v>11</v>
      </c>
      <c r="N1570" t="str">
        <f t="shared" si="123"/>
        <v>R1012</v>
      </c>
      <c r="O1570" t="s">
        <v>23</v>
      </c>
    </row>
    <row r="1571" spans="1:15" x14ac:dyDescent="0.35">
      <c r="A1571" t="s">
        <v>1602</v>
      </c>
      <c r="C1571">
        <f t="shared" si="120"/>
        <v>1994</v>
      </c>
      <c r="D1571">
        <v>1994</v>
      </c>
      <c r="E1571" t="str">
        <f t="shared" si="124"/>
        <v>Jun</v>
      </c>
      <c r="F1571" t="s">
        <v>18</v>
      </c>
      <c r="G1571">
        <v>17</v>
      </c>
      <c r="H1571">
        <v>0</v>
      </c>
      <c r="I1571" s="21">
        <v>13417.05</v>
      </c>
      <c r="J1571" t="str">
        <f t="shared" si="121"/>
        <v>tier - 3</v>
      </c>
      <c r="K1571" t="s">
        <v>12</v>
      </c>
      <c r="L1571" t="str">
        <f t="shared" si="122"/>
        <v>tier - 3</v>
      </c>
      <c r="M1571" t="s">
        <v>12</v>
      </c>
      <c r="N1571" t="str">
        <f t="shared" si="123"/>
        <v>R1012</v>
      </c>
      <c r="O1571" t="s">
        <v>23</v>
      </c>
    </row>
    <row r="1572" spans="1:15" x14ac:dyDescent="0.35">
      <c r="A1572" t="s">
        <v>1603</v>
      </c>
      <c r="C1572">
        <f t="shared" si="120"/>
        <v>1961</v>
      </c>
      <c r="D1572">
        <v>1961</v>
      </c>
      <c r="E1572" t="str">
        <f t="shared" si="124"/>
        <v>Nov</v>
      </c>
      <c r="F1572" t="s">
        <v>15</v>
      </c>
      <c r="G1572">
        <v>3</v>
      </c>
      <c r="H1572">
        <v>0</v>
      </c>
      <c r="I1572" s="21">
        <v>13429.04</v>
      </c>
      <c r="J1572" t="str">
        <f t="shared" si="121"/>
        <v>tier - 3</v>
      </c>
      <c r="K1572" t="s">
        <v>12</v>
      </c>
      <c r="L1572" t="str">
        <f t="shared" si="122"/>
        <v>tier - 3</v>
      </c>
      <c r="M1572" t="s">
        <v>12</v>
      </c>
      <c r="N1572" t="str">
        <f t="shared" si="123"/>
        <v>R1012</v>
      </c>
      <c r="O1572" t="s">
        <v>23</v>
      </c>
    </row>
    <row r="1573" spans="1:15" x14ac:dyDescent="0.35">
      <c r="A1573" t="s">
        <v>1604</v>
      </c>
      <c r="C1573">
        <f t="shared" si="120"/>
        <v>1966</v>
      </c>
      <c r="D1573">
        <v>1966</v>
      </c>
      <c r="E1573" t="str">
        <f t="shared" si="124"/>
        <v>Nov</v>
      </c>
      <c r="F1573" t="s">
        <v>15</v>
      </c>
      <c r="G1573">
        <v>14</v>
      </c>
      <c r="H1573">
        <v>3</v>
      </c>
      <c r="I1573" s="21">
        <v>13430.27</v>
      </c>
      <c r="J1573" t="str">
        <f t="shared" si="121"/>
        <v>tier - 3</v>
      </c>
      <c r="K1573" t="s">
        <v>12</v>
      </c>
      <c r="L1573" t="str">
        <f t="shared" si="122"/>
        <v>tier - 3</v>
      </c>
      <c r="M1573" t="s">
        <v>12</v>
      </c>
      <c r="N1573" t="str">
        <f t="shared" si="123"/>
        <v>R1024</v>
      </c>
      <c r="O1573" t="s">
        <v>247</v>
      </c>
    </row>
    <row r="1574" spans="1:15" x14ac:dyDescent="0.35">
      <c r="A1574" t="s">
        <v>1605</v>
      </c>
      <c r="C1574">
        <f t="shared" si="120"/>
        <v>1975</v>
      </c>
      <c r="D1574">
        <v>1975</v>
      </c>
      <c r="E1574" t="str">
        <f t="shared" si="124"/>
        <v>Jun</v>
      </c>
      <c r="F1574" t="s">
        <v>18</v>
      </c>
      <c r="G1574">
        <v>29</v>
      </c>
      <c r="H1574">
        <v>1</v>
      </c>
      <c r="I1574" s="21">
        <v>13440.7</v>
      </c>
      <c r="J1574" t="str">
        <f t="shared" si="121"/>
        <v>tier - 3</v>
      </c>
      <c r="K1574" t="s">
        <v>12</v>
      </c>
      <c r="L1574" t="str">
        <f t="shared" si="122"/>
        <v>tier - 2</v>
      </c>
      <c r="M1574" t="s">
        <v>11</v>
      </c>
      <c r="N1574" t="str">
        <f t="shared" si="123"/>
        <v>R1012</v>
      </c>
      <c r="O1574" t="s">
        <v>23</v>
      </c>
    </row>
    <row r="1575" spans="1:15" x14ac:dyDescent="0.35">
      <c r="A1575" t="s">
        <v>1606</v>
      </c>
      <c r="C1575">
        <f t="shared" si="120"/>
        <v>1960</v>
      </c>
      <c r="D1575">
        <v>1960</v>
      </c>
      <c r="E1575" t="str">
        <f t="shared" si="124"/>
        <v>Aug</v>
      </c>
      <c r="F1575" t="s">
        <v>35</v>
      </c>
      <c r="G1575">
        <v>13</v>
      </c>
      <c r="H1575">
        <v>0</v>
      </c>
      <c r="I1575" s="21">
        <v>13451.12</v>
      </c>
      <c r="J1575" t="str">
        <f t="shared" si="121"/>
        <v>tier - 3</v>
      </c>
      <c r="K1575" t="s">
        <v>12</v>
      </c>
      <c r="L1575" t="str">
        <f t="shared" si="122"/>
        <v>tier - 1</v>
      </c>
      <c r="M1575" t="s">
        <v>16</v>
      </c>
      <c r="N1575" t="str">
        <f t="shared" si="123"/>
        <v>R1011</v>
      </c>
      <c r="O1575" t="s">
        <v>42</v>
      </c>
    </row>
    <row r="1576" spans="1:15" x14ac:dyDescent="0.35">
      <c r="A1576" t="s">
        <v>1607</v>
      </c>
      <c r="C1576">
        <f t="shared" si="120"/>
        <v>1960</v>
      </c>
      <c r="D1576">
        <v>1960</v>
      </c>
      <c r="E1576" t="str">
        <f t="shared" si="124"/>
        <v>Jul</v>
      </c>
      <c r="F1576" t="s">
        <v>10</v>
      </c>
      <c r="G1576">
        <v>11</v>
      </c>
      <c r="H1576">
        <v>0</v>
      </c>
      <c r="I1576" s="21">
        <v>13457.96</v>
      </c>
      <c r="J1576" t="str">
        <f t="shared" si="121"/>
        <v>tier - 3</v>
      </c>
      <c r="K1576" t="s">
        <v>12</v>
      </c>
      <c r="L1576" t="str">
        <f t="shared" si="122"/>
        <v>tier - 1</v>
      </c>
      <c r="M1576" t="s">
        <v>16</v>
      </c>
      <c r="N1576" t="str">
        <f t="shared" si="123"/>
        <v>R1013</v>
      </c>
      <c r="O1576" t="s">
        <v>13</v>
      </c>
    </row>
    <row r="1577" spans="1:15" x14ac:dyDescent="0.35">
      <c r="A1577" t="s">
        <v>1608</v>
      </c>
      <c r="C1577">
        <f t="shared" si="120"/>
        <v>1960</v>
      </c>
      <c r="D1577">
        <v>1960</v>
      </c>
      <c r="E1577" t="str">
        <f t="shared" si="124"/>
        <v>Dec</v>
      </c>
      <c r="F1577" t="s">
        <v>30</v>
      </c>
      <c r="G1577">
        <v>16</v>
      </c>
      <c r="H1577">
        <v>0</v>
      </c>
      <c r="I1577" s="21">
        <v>13462.52</v>
      </c>
      <c r="J1577" t="str">
        <f t="shared" si="121"/>
        <v>tier - 3</v>
      </c>
      <c r="K1577" t="s">
        <v>12</v>
      </c>
      <c r="L1577" t="str">
        <f t="shared" si="122"/>
        <v>tier - 2</v>
      </c>
      <c r="M1577" t="s">
        <v>11</v>
      </c>
      <c r="N1577" t="str">
        <f t="shared" si="123"/>
        <v>R1011</v>
      </c>
      <c r="O1577" t="s">
        <v>42</v>
      </c>
    </row>
    <row r="1578" spans="1:15" x14ac:dyDescent="0.35">
      <c r="A1578" t="s">
        <v>1609</v>
      </c>
      <c r="C1578">
        <f t="shared" si="120"/>
        <v>1985</v>
      </c>
      <c r="D1578">
        <v>1985</v>
      </c>
      <c r="E1578" t="str">
        <f t="shared" si="124"/>
        <v>Aug</v>
      </c>
      <c r="F1578" t="s">
        <v>35</v>
      </c>
      <c r="G1578">
        <v>19</v>
      </c>
      <c r="H1578">
        <v>3</v>
      </c>
      <c r="I1578" s="21">
        <v>13465.8</v>
      </c>
      <c r="J1578" t="str">
        <f t="shared" si="121"/>
        <v>tier - 3</v>
      </c>
      <c r="K1578" t="s">
        <v>12</v>
      </c>
      <c r="L1578" t="str">
        <f t="shared" si="122"/>
        <v>tier - 1</v>
      </c>
      <c r="M1578" t="s">
        <v>16</v>
      </c>
      <c r="N1578" t="str">
        <f t="shared" si="123"/>
        <v>R1012</v>
      </c>
      <c r="O1578" t="s">
        <v>23</v>
      </c>
    </row>
    <row r="1579" spans="1:15" x14ac:dyDescent="0.35">
      <c r="A1579" t="s">
        <v>1610</v>
      </c>
      <c r="C1579">
        <f t="shared" si="120"/>
        <v>1960</v>
      </c>
      <c r="D1579">
        <v>1960</v>
      </c>
      <c r="E1579" t="str">
        <f t="shared" si="124"/>
        <v>Jul</v>
      </c>
      <c r="F1579" t="s">
        <v>10</v>
      </c>
      <c r="G1579">
        <v>28</v>
      </c>
      <c r="H1579">
        <v>0</v>
      </c>
      <c r="I1579" s="21">
        <v>13470.8</v>
      </c>
      <c r="J1579" t="str">
        <f t="shared" si="121"/>
        <v>tier - 3</v>
      </c>
      <c r="K1579" t="s">
        <v>12</v>
      </c>
      <c r="L1579" t="str">
        <f t="shared" si="122"/>
        <v>tier - 2</v>
      </c>
      <c r="M1579" t="s">
        <v>11</v>
      </c>
      <c r="N1579" t="str">
        <f t="shared" si="123"/>
        <v>R1013</v>
      </c>
      <c r="O1579" t="s">
        <v>13</v>
      </c>
    </row>
    <row r="1580" spans="1:15" x14ac:dyDescent="0.35">
      <c r="A1580" t="s">
        <v>1611</v>
      </c>
      <c r="C1580">
        <f t="shared" si="120"/>
        <v>1960</v>
      </c>
      <c r="D1580">
        <v>1960</v>
      </c>
      <c r="E1580" t="str">
        <f t="shared" si="124"/>
        <v>Jul</v>
      </c>
      <c r="F1580" t="s">
        <v>10</v>
      </c>
      <c r="G1580">
        <v>24</v>
      </c>
      <c r="H1580">
        <v>0</v>
      </c>
      <c r="I1580" s="21">
        <v>13470.86</v>
      </c>
      <c r="J1580" t="str">
        <f t="shared" si="121"/>
        <v>tier - 3</v>
      </c>
      <c r="K1580" t="s">
        <v>12</v>
      </c>
      <c r="L1580" t="str">
        <f t="shared" si="122"/>
        <v>tier - 3</v>
      </c>
      <c r="M1580" t="s">
        <v>12</v>
      </c>
      <c r="N1580" t="str">
        <f t="shared" si="123"/>
        <v>R1011</v>
      </c>
      <c r="O1580" t="s">
        <v>42</v>
      </c>
    </row>
    <row r="1581" spans="1:15" x14ac:dyDescent="0.35">
      <c r="A1581" t="s">
        <v>1612</v>
      </c>
      <c r="C1581">
        <f t="shared" si="120"/>
        <v>1975</v>
      </c>
      <c r="D1581">
        <v>1975</v>
      </c>
      <c r="E1581" t="str">
        <f t="shared" si="124"/>
        <v>Aug</v>
      </c>
      <c r="F1581" t="s">
        <v>35</v>
      </c>
      <c r="G1581">
        <v>7</v>
      </c>
      <c r="H1581">
        <v>1</v>
      </c>
      <c r="I1581" s="21">
        <v>13472.19</v>
      </c>
      <c r="J1581" t="str">
        <f t="shared" si="121"/>
        <v>tier - 3</v>
      </c>
      <c r="K1581" t="s">
        <v>12</v>
      </c>
      <c r="L1581" t="str">
        <f t="shared" si="122"/>
        <v>tier - 2</v>
      </c>
      <c r="M1581" t="s">
        <v>11</v>
      </c>
      <c r="N1581" t="str">
        <f t="shared" si="123"/>
        <v>R1012</v>
      </c>
      <c r="O1581" t="s">
        <v>23</v>
      </c>
    </row>
    <row r="1582" spans="1:15" x14ac:dyDescent="0.35">
      <c r="A1582" t="s">
        <v>1613</v>
      </c>
      <c r="C1582">
        <f t="shared" si="120"/>
        <v>1990</v>
      </c>
      <c r="D1582">
        <v>1990</v>
      </c>
      <c r="E1582" t="str">
        <f t="shared" si="124"/>
        <v>Aug</v>
      </c>
      <c r="F1582" t="s">
        <v>35</v>
      </c>
      <c r="G1582">
        <v>30</v>
      </c>
      <c r="H1582">
        <v>3</v>
      </c>
      <c r="I1582" s="21">
        <v>13480.83</v>
      </c>
      <c r="J1582" t="str">
        <f t="shared" si="121"/>
        <v>tier - 3</v>
      </c>
      <c r="K1582" t="s">
        <v>12</v>
      </c>
      <c r="L1582" t="str">
        <f t="shared" si="122"/>
        <v>tier - 2</v>
      </c>
      <c r="M1582" t="s">
        <v>11</v>
      </c>
      <c r="N1582" t="str">
        <f t="shared" si="123"/>
        <v>R1023</v>
      </c>
      <c r="O1582" t="s">
        <v>249</v>
      </c>
    </row>
    <row r="1583" spans="1:15" x14ac:dyDescent="0.35">
      <c r="A1583" t="s">
        <v>1614</v>
      </c>
      <c r="C1583">
        <f t="shared" si="120"/>
        <v>1963</v>
      </c>
      <c r="D1583">
        <v>1963</v>
      </c>
      <c r="E1583" t="str">
        <f t="shared" si="124"/>
        <v>Oct</v>
      </c>
      <c r="F1583" t="s">
        <v>37</v>
      </c>
      <c r="G1583">
        <v>14</v>
      </c>
      <c r="H1583">
        <v>0</v>
      </c>
      <c r="I1583" s="21">
        <v>13511.28</v>
      </c>
      <c r="J1583" t="str">
        <f t="shared" si="121"/>
        <v>tier - 3</v>
      </c>
      <c r="K1583" t="s">
        <v>12</v>
      </c>
      <c r="L1583" t="str">
        <f t="shared" si="122"/>
        <v>tier - 1</v>
      </c>
      <c r="M1583" t="s">
        <v>16</v>
      </c>
      <c r="N1583" t="str">
        <f t="shared" si="123"/>
        <v>R1012</v>
      </c>
      <c r="O1583" t="s">
        <v>23</v>
      </c>
    </row>
    <row r="1584" spans="1:15" x14ac:dyDescent="0.35">
      <c r="A1584" t="s">
        <v>1615</v>
      </c>
      <c r="C1584">
        <f t="shared" si="120"/>
        <v>1960</v>
      </c>
      <c r="D1584">
        <v>1960</v>
      </c>
      <c r="E1584" t="str">
        <f t="shared" si="124"/>
        <v>Jul</v>
      </c>
      <c r="F1584" t="s">
        <v>10</v>
      </c>
      <c r="G1584">
        <v>11</v>
      </c>
      <c r="H1584">
        <v>0</v>
      </c>
      <c r="I1584" s="21">
        <v>13555</v>
      </c>
      <c r="J1584" t="str">
        <f t="shared" si="121"/>
        <v>tier - 3</v>
      </c>
      <c r="K1584" t="s">
        <v>12</v>
      </c>
      <c r="L1584" t="str">
        <f t="shared" si="122"/>
        <v>tier - 3</v>
      </c>
      <c r="M1584" t="s">
        <v>12</v>
      </c>
      <c r="N1584" t="str">
        <f t="shared" si="123"/>
        <v>R1017</v>
      </c>
      <c r="O1584" t="s">
        <v>356</v>
      </c>
    </row>
    <row r="1585" spans="1:15" x14ac:dyDescent="0.35">
      <c r="A1585" t="s">
        <v>1616</v>
      </c>
      <c r="C1585">
        <f t="shared" si="120"/>
        <v>1968</v>
      </c>
      <c r="D1585">
        <v>1968</v>
      </c>
      <c r="E1585" t="str">
        <f t="shared" si="124"/>
        <v>Jul</v>
      </c>
      <c r="F1585" t="s">
        <v>10</v>
      </c>
      <c r="G1585">
        <v>15</v>
      </c>
      <c r="H1585">
        <v>0</v>
      </c>
      <c r="I1585" s="21">
        <v>13566.04</v>
      </c>
      <c r="J1585" t="str">
        <f t="shared" si="121"/>
        <v>tier - 3</v>
      </c>
      <c r="K1585" t="s">
        <v>12</v>
      </c>
      <c r="L1585" t="str">
        <f t="shared" si="122"/>
        <v>tier - 3</v>
      </c>
      <c r="M1585" t="s">
        <v>12</v>
      </c>
      <c r="N1585" t="str">
        <f t="shared" si="123"/>
        <v>R1026</v>
      </c>
      <c r="O1585" t="s">
        <v>535</v>
      </c>
    </row>
    <row r="1586" spans="1:15" x14ac:dyDescent="0.35">
      <c r="A1586" t="s">
        <v>1617</v>
      </c>
      <c r="C1586">
        <f t="shared" si="120"/>
        <v>1992</v>
      </c>
      <c r="D1586">
        <v>1992</v>
      </c>
      <c r="E1586" t="str">
        <f t="shared" si="124"/>
        <v>Aug</v>
      </c>
      <c r="F1586" t="s">
        <v>35</v>
      </c>
      <c r="G1586">
        <v>14</v>
      </c>
      <c r="H1586">
        <v>0</v>
      </c>
      <c r="I1586" s="21">
        <v>13588.17</v>
      </c>
      <c r="J1586" t="str">
        <f t="shared" si="121"/>
        <v>tier - 3</v>
      </c>
      <c r="K1586" t="s">
        <v>12</v>
      </c>
      <c r="L1586" t="str">
        <f t="shared" si="122"/>
        <v>tier - 1</v>
      </c>
      <c r="M1586" t="s">
        <v>16</v>
      </c>
      <c r="N1586" t="str">
        <f t="shared" si="123"/>
        <v>R1012</v>
      </c>
      <c r="O1586" t="s">
        <v>23</v>
      </c>
    </row>
    <row r="1587" spans="1:15" x14ac:dyDescent="0.35">
      <c r="A1587" t="s">
        <v>1618</v>
      </c>
      <c r="C1587">
        <f t="shared" si="120"/>
        <v>1964</v>
      </c>
      <c r="D1587">
        <v>1964</v>
      </c>
      <c r="E1587" t="str">
        <f t="shared" si="124"/>
        <v>Sep</v>
      </c>
      <c r="F1587" t="s">
        <v>20</v>
      </c>
      <c r="G1587">
        <v>10</v>
      </c>
      <c r="H1587">
        <v>2</v>
      </c>
      <c r="I1587" s="21">
        <v>13607.37</v>
      </c>
      <c r="J1587" t="str">
        <f t="shared" si="121"/>
        <v>tier - 3</v>
      </c>
      <c r="K1587" t="s">
        <v>12</v>
      </c>
      <c r="L1587" t="str">
        <f t="shared" si="122"/>
        <v>tier - 1</v>
      </c>
      <c r="M1587" t="s">
        <v>16</v>
      </c>
      <c r="N1587" t="str">
        <f t="shared" si="123"/>
        <v>R1024</v>
      </c>
      <c r="O1587" t="s">
        <v>247</v>
      </c>
    </row>
    <row r="1588" spans="1:15" x14ac:dyDescent="0.35">
      <c r="A1588" t="s">
        <v>1619</v>
      </c>
      <c r="C1588">
        <f t="shared" si="120"/>
        <v>1961</v>
      </c>
      <c r="D1588">
        <v>1961</v>
      </c>
      <c r="E1588" t="str">
        <f t="shared" si="124"/>
        <v>Nov</v>
      </c>
      <c r="F1588" t="s">
        <v>15</v>
      </c>
      <c r="G1588">
        <v>18</v>
      </c>
      <c r="H1588">
        <v>0</v>
      </c>
      <c r="I1588" s="21">
        <v>13616.36</v>
      </c>
      <c r="J1588" t="str">
        <f t="shared" si="121"/>
        <v>tier - 3</v>
      </c>
      <c r="K1588" t="s">
        <v>12</v>
      </c>
      <c r="L1588" t="str">
        <f t="shared" si="122"/>
        <v>tier - 3</v>
      </c>
      <c r="M1588" t="s">
        <v>12</v>
      </c>
      <c r="N1588" t="str">
        <f t="shared" si="123"/>
        <v>R1024</v>
      </c>
      <c r="O1588" t="s">
        <v>247</v>
      </c>
    </row>
    <row r="1589" spans="1:15" x14ac:dyDescent="0.35">
      <c r="A1589" t="s">
        <v>1620</v>
      </c>
      <c r="C1589">
        <f t="shared" si="120"/>
        <v>1969</v>
      </c>
      <c r="D1589">
        <v>1969</v>
      </c>
      <c r="E1589" t="str">
        <f t="shared" si="124"/>
        <v>Jul</v>
      </c>
      <c r="F1589" t="s">
        <v>10</v>
      </c>
      <c r="G1589">
        <v>26</v>
      </c>
      <c r="H1589">
        <v>0</v>
      </c>
      <c r="I1589" s="21">
        <v>13622.01</v>
      </c>
      <c r="J1589" t="str">
        <f t="shared" si="121"/>
        <v>tier - 3</v>
      </c>
      <c r="K1589" t="s">
        <v>12</v>
      </c>
      <c r="L1589" t="str">
        <f t="shared" si="122"/>
        <v>tier - 3</v>
      </c>
      <c r="M1589" t="s">
        <v>12</v>
      </c>
      <c r="N1589" t="str">
        <f t="shared" si="123"/>
        <v>R1012</v>
      </c>
      <c r="O1589" t="s">
        <v>23</v>
      </c>
    </row>
    <row r="1590" spans="1:15" x14ac:dyDescent="0.35">
      <c r="A1590" t="s">
        <v>1621</v>
      </c>
      <c r="C1590">
        <f t="shared" si="120"/>
        <v>1961</v>
      </c>
      <c r="D1590">
        <v>1961</v>
      </c>
      <c r="E1590" t="str">
        <f t="shared" si="124"/>
        <v>Dec</v>
      </c>
      <c r="F1590" t="s">
        <v>30</v>
      </c>
      <c r="G1590">
        <v>24</v>
      </c>
      <c r="H1590">
        <v>0</v>
      </c>
      <c r="I1590" s="21">
        <v>13635.64</v>
      </c>
      <c r="J1590" t="str">
        <f t="shared" si="121"/>
        <v>tier - 3</v>
      </c>
      <c r="K1590" t="s">
        <v>12</v>
      </c>
      <c r="L1590" t="str">
        <f t="shared" si="122"/>
        <v>tier - 3</v>
      </c>
      <c r="M1590" t="s">
        <v>12</v>
      </c>
      <c r="N1590" t="str">
        <f t="shared" si="123"/>
        <v>R1024</v>
      </c>
      <c r="O1590" t="s">
        <v>247</v>
      </c>
    </row>
    <row r="1591" spans="1:15" x14ac:dyDescent="0.35">
      <c r="A1591" t="s">
        <v>1622</v>
      </c>
      <c r="C1591">
        <f t="shared" si="120"/>
        <v>1984</v>
      </c>
      <c r="D1591">
        <v>1984</v>
      </c>
      <c r="E1591" t="str">
        <f t="shared" si="124"/>
        <v>Jul</v>
      </c>
      <c r="F1591" t="s">
        <v>10</v>
      </c>
      <c r="G1591">
        <v>20</v>
      </c>
      <c r="H1591">
        <v>3</v>
      </c>
      <c r="I1591" s="21">
        <v>13638.06</v>
      </c>
      <c r="J1591" t="str">
        <f t="shared" si="121"/>
        <v>tier - 3</v>
      </c>
      <c r="K1591" t="s">
        <v>12</v>
      </c>
      <c r="L1591" t="str">
        <f t="shared" si="122"/>
        <v>tier - 3</v>
      </c>
      <c r="M1591" t="s">
        <v>12</v>
      </c>
      <c r="N1591" t="str">
        <f t="shared" si="123"/>
        <v>R1023</v>
      </c>
      <c r="O1591" t="s">
        <v>249</v>
      </c>
    </row>
    <row r="1592" spans="1:15" x14ac:dyDescent="0.35">
      <c r="A1592" t="s">
        <v>1623</v>
      </c>
      <c r="C1592">
        <f t="shared" si="120"/>
        <v>1963</v>
      </c>
      <c r="D1592">
        <v>1963</v>
      </c>
      <c r="E1592" t="str">
        <f t="shared" si="124"/>
        <v>Aug</v>
      </c>
      <c r="F1592" t="s">
        <v>35</v>
      </c>
      <c r="G1592">
        <v>4</v>
      </c>
      <c r="H1592">
        <v>0</v>
      </c>
      <c r="I1592" s="21">
        <v>13677.68</v>
      </c>
      <c r="J1592" t="str">
        <f t="shared" si="121"/>
        <v>tier - 3</v>
      </c>
      <c r="K1592" t="s">
        <v>12</v>
      </c>
      <c r="L1592" t="str">
        <f t="shared" si="122"/>
        <v>tier - 2</v>
      </c>
      <c r="M1592" t="s">
        <v>11</v>
      </c>
      <c r="N1592" t="str">
        <f t="shared" si="123"/>
        <v>R1021</v>
      </c>
      <c r="O1592" t="s">
        <v>300</v>
      </c>
    </row>
    <row r="1593" spans="1:15" x14ac:dyDescent="0.35">
      <c r="A1593" t="s">
        <v>1624</v>
      </c>
      <c r="C1593">
        <f t="shared" si="120"/>
        <v>1985</v>
      </c>
      <c r="D1593">
        <v>1985</v>
      </c>
      <c r="E1593" t="str">
        <f t="shared" si="124"/>
        <v>Sep</v>
      </c>
      <c r="F1593" t="s">
        <v>20</v>
      </c>
      <c r="G1593">
        <v>14</v>
      </c>
      <c r="H1593">
        <v>3</v>
      </c>
      <c r="I1593" s="21">
        <v>13685.51</v>
      </c>
      <c r="J1593" t="str">
        <f t="shared" si="121"/>
        <v>tier - 3</v>
      </c>
      <c r="K1593" t="s">
        <v>12</v>
      </c>
      <c r="L1593" t="str">
        <f t="shared" si="122"/>
        <v>tier - 1</v>
      </c>
      <c r="M1593" t="s">
        <v>16</v>
      </c>
      <c r="N1593" t="str">
        <f t="shared" si="123"/>
        <v>R1026</v>
      </c>
      <c r="O1593" t="s">
        <v>535</v>
      </c>
    </row>
    <row r="1594" spans="1:15" x14ac:dyDescent="0.35">
      <c r="A1594" t="s">
        <v>1625</v>
      </c>
      <c r="C1594">
        <f t="shared" si="120"/>
        <v>1986</v>
      </c>
      <c r="D1594">
        <v>1986</v>
      </c>
      <c r="E1594" t="str">
        <f t="shared" si="124"/>
        <v>Nov</v>
      </c>
      <c r="F1594" t="s">
        <v>15</v>
      </c>
      <c r="G1594">
        <v>24</v>
      </c>
      <c r="H1594">
        <v>3</v>
      </c>
      <c r="I1594" s="21">
        <v>13714.55</v>
      </c>
      <c r="J1594" t="str">
        <f t="shared" si="121"/>
        <v>tier - 3</v>
      </c>
      <c r="K1594" t="s">
        <v>12</v>
      </c>
      <c r="L1594" t="str">
        <f t="shared" si="122"/>
        <v>tier - 2</v>
      </c>
      <c r="M1594" t="s">
        <v>11</v>
      </c>
      <c r="N1594" t="str">
        <f t="shared" si="123"/>
        <v>R1023</v>
      </c>
      <c r="O1594" t="s">
        <v>249</v>
      </c>
    </row>
    <row r="1595" spans="1:15" x14ac:dyDescent="0.35">
      <c r="A1595" t="s">
        <v>1626</v>
      </c>
      <c r="C1595">
        <f t="shared" si="120"/>
        <v>1981</v>
      </c>
      <c r="D1595">
        <v>1981</v>
      </c>
      <c r="E1595" t="str">
        <f t="shared" si="124"/>
        <v>Aug</v>
      </c>
      <c r="F1595" t="s">
        <v>35</v>
      </c>
      <c r="G1595">
        <v>2</v>
      </c>
      <c r="H1595">
        <v>1</v>
      </c>
      <c r="I1595" s="21">
        <v>13725.47</v>
      </c>
      <c r="J1595" t="str">
        <f t="shared" si="121"/>
        <v>tier - 3</v>
      </c>
      <c r="K1595" t="s">
        <v>12</v>
      </c>
      <c r="L1595" t="str">
        <f t="shared" si="122"/>
        <v>tier - 2</v>
      </c>
      <c r="M1595" t="s">
        <v>11</v>
      </c>
      <c r="N1595" t="str">
        <f t="shared" si="123"/>
        <v>R1024</v>
      </c>
      <c r="O1595" t="s">
        <v>247</v>
      </c>
    </row>
    <row r="1596" spans="1:15" x14ac:dyDescent="0.35">
      <c r="A1596" t="s">
        <v>1627</v>
      </c>
      <c r="C1596">
        <f t="shared" si="120"/>
        <v>1985</v>
      </c>
      <c r="D1596">
        <v>1985</v>
      </c>
      <c r="E1596" t="str">
        <f t="shared" si="124"/>
        <v>Aug</v>
      </c>
      <c r="F1596" t="s">
        <v>35</v>
      </c>
      <c r="G1596">
        <v>29</v>
      </c>
      <c r="H1596">
        <v>3</v>
      </c>
      <c r="I1596" s="21">
        <v>13726.21</v>
      </c>
      <c r="J1596" t="str">
        <f t="shared" si="121"/>
        <v>tier - 3</v>
      </c>
      <c r="K1596" t="s">
        <v>12</v>
      </c>
      <c r="L1596" t="str">
        <f t="shared" si="122"/>
        <v>tier - 3</v>
      </c>
      <c r="M1596" t="s">
        <v>12</v>
      </c>
      <c r="N1596" t="str">
        <f t="shared" si="123"/>
        <v>R1026</v>
      </c>
      <c r="O1596" t="s">
        <v>535</v>
      </c>
    </row>
    <row r="1597" spans="1:15" x14ac:dyDescent="0.35">
      <c r="A1597" t="s">
        <v>1628</v>
      </c>
      <c r="C1597">
        <f t="shared" si="120"/>
        <v>1969</v>
      </c>
      <c r="D1597">
        <v>1969</v>
      </c>
      <c r="E1597" t="str">
        <f t="shared" si="124"/>
        <v>Oct</v>
      </c>
      <c r="F1597" t="s">
        <v>37</v>
      </c>
      <c r="G1597">
        <v>23</v>
      </c>
      <c r="H1597">
        <v>0</v>
      </c>
      <c r="I1597" s="21">
        <v>13746.74</v>
      </c>
      <c r="J1597" t="str">
        <f t="shared" si="121"/>
        <v>tier - 3</v>
      </c>
      <c r="K1597" t="s">
        <v>12</v>
      </c>
      <c r="L1597" t="str">
        <f t="shared" si="122"/>
        <v>tier - 2</v>
      </c>
      <c r="M1597" t="s">
        <v>11</v>
      </c>
      <c r="N1597" t="str">
        <f t="shared" si="123"/>
        <v>R1026</v>
      </c>
      <c r="O1597" t="s">
        <v>535</v>
      </c>
    </row>
    <row r="1598" spans="1:15" x14ac:dyDescent="0.35">
      <c r="A1598" t="s">
        <v>1629</v>
      </c>
      <c r="C1598">
        <f t="shared" si="120"/>
        <v>2004</v>
      </c>
      <c r="D1598">
        <v>2004</v>
      </c>
      <c r="E1598" t="str">
        <f t="shared" si="124"/>
        <v>Jul</v>
      </c>
      <c r="F1598" t="s">
        <v>10</v>
      </c>
      <c r="G1598">
        <v>16</v>
      </c>
      <c r="H1598">
        <v>0</v>
      </c>
      <c r="I1598" s="21">
        <v>13747.87</v>
      </c>
      <c r="J1598" t="str">
        <f t="shared" si="121"/>
        <v>tier - 3</v>
      </c>
      <c r="K1598" t="s">
        <v>12</v>
      </c>
      <c r="L1598" t="str">
        <f t="shared" si="122"/>
        <v>tier - 2</v>
      </c>
      <c r="M1598" t="s">
        <v>11</v>
      </c>
      <c r="N1598" t="str">
        <f t="shared" si="123"/>
        <v>R1018</v>
      </c>
      <c r="O1598" t="s">
        <v>170</v>
      </c>
    </row>
    <row r="1599" spans="1:15" x14ac:dyDescent="0.35">
      <c r="A1599" t="s">
        <v>1630</v>
      </c>
      <c r="C1599">
        <f t="shared" si="120"/>
        <v>1959</v>
      </c>
      <c r="D1599">
        <v>1959</v>
      </c>
      <c r="E1599" t="str">
        <f t="shared" si="124"/>
        <v>Aug</v>
      </c>
      <c r="F1599" t="s">
        <v>35</v>
      </c>
      <c r="G1599">
        <v>6</v>
      </c>
      <c r="H1599">
        <v>0</v>
      </c>
      <c r="I1599" s="21">
        <v>13770.1</v>
      </c>
      <c r="J1599" t="str">
        <f t="shared" si="121"/>
        <v>tier - 3</v>
      </c>
      <c r="K1599" t="s">
        <v>12</v>
      </c>
      <c r="L1599" t="str">
        <f t="shared" si="122"/>
        <v>tier - 1</v>
      </c>
      <c r="M1599" t="s">
        <v>16</v>
      </c>
      <c r="N1599" t="str">
        <f t="shared" si="123"/>
        <v>R1012</v>
      </c>
      <c r="O1599" t="s">
        <v>23</v>
      </c>
    </row>
    <row r="1600" spans="1:15" x14ac:dyDescent="0.35">
      <c r="A1600" t="s">
        <v>1631</v>
      </c>
      <c r="C1600">
        <f t="shared" si="120"/>
        <v>1966</v>
      </c>
      <c r="D1600">
        <v>1966</v>
      </c>
      <c r="E1600" t="str">
        <f t="shared" si="124"/>
        <v>Nov</v>
      </c>
      <c r="F1600" t="s">
        <v>15</v>
      </c>
      <c r="G1600">
        <v>10</v>
      </c>
      <c r="H1600">
        <v>0</v>
      </c>
      <c r="I1600" s="21">
        <v>13801.61</v>
      </c>
      <c r="J1600" t="str">
        <f t="shared" si="121"/>
        <v>tier - 3</v>
      </c>
      <c r="K1600" t="s">
        <v>12</v>
      </c>
      <c r="L1600" t="str">
        <f t="shared" si="122"/>
        <v>tier - 3</v>
      </c>
      <c r="M1600" t="s">
        <v>12</v>
      </c>
      <c r="N1600" t="str">
        <f t="shared" si="123"/>
        <v>R1026</v>
      </c>
      <c r="O1600" t="s">
        <v>535</v>
      </c>
    </row>
    <row r="1601" spans="1:15" x14ac:dyDescent="0.35">
      <c r="A1601" t="s">
        <v>1632</v>
      </c>
      <c r="C1601">
        <f t="shared" si="120"/>
        <v>1986</v>
      </c>
      <c r="D1601">
        <v>1986</v>
      </c>
      <c r="E1601" t="str">
        <f t="shared" si="124"/>
        <v>Dec</v>
      </c>
      <c r="F1601" t="s">
        <v>30</v>
      </c>
      <c r="G1601">
        <v>8</v>
      </c>
      <c r="H1601">
        <v>3</v>
      </c>
      <c r="I1601" s="21">
        <v>13819.49</v>
      </c>
      <c r="J1601" t="str">
        <f t="shared" si="121"/>
        <v>tier - 3</v>
      </c>
      <c r="K1601" t="s">
        <v>12</v>
      </c>
      <c r="L1601" t="str">
        <f t="shared" si="122"/>
        <v>tier - 2</v>
      </c>
      <c r="M1601" t="s">
        <v>11</v>
      </c>
      <c r="N1601" t="str">
        <f t="shared" si="123"/>
        <v>R1012</v>
      </c>
      <c r="O1601" t="s">
        <v>23</v>
      </c>
    </row>
    <row r="1602" spans="1:15" x14ac:dyDescent="0.35">
      <c r="A1602" t="s">
        <v>1633</v>
      </c>
      <c r="C1602">
        <f t="shared" si="120"/>
        <v>1958</v>
      </c>
      <c r="D1602">
        <v>1958</v>
      </c>
      <c r="E1602" t="str">
        <f t="shared" si="124"/>
        <v>Nov</v>
      </c>
      <c r="F1602" t="s">
        <v>15</v>
      </c>
      <c r="G1602">
        <v>25</v>
      </c>
      <c r="H1602">
        <v>0</v>
      </c>
      <c r="I1602" s="21">
        <v>13822.8</v>
      </c>
      <c r="J1602" t="str">
        <f t="shared" si="121"/>
        <v>tier - 3</v>
      </c>
      <c r="K1602" t="s">
        <v>12</v>
      </c>
      <c r="L1602" t="str">
        <f t="shared" si="122"/>
        <v>tier - 3</v>
      </c>
      <c r="M1602" t="s">
        <v>12</v>
      </c>
      <c r="N1602" t="str">
        <f t="shared" si="123"/>
        <v>R1011</v>
      </c>
      <c r="O1602" t="s">
        <v>42</v>
      </c>
    </row>
    <row r="1603" spans="1:15" x14ac:dyDescent="0.35">
      <c r="A1603" t="s">
        <v>1634</v>
      </c>
      <c r="C1603">
        <f t="shared" ref="C1603:C1666" si="125">IF(OR(D1603="?", ISBLANK(D1603)), 1983, D1603)</f>
        <v>1958</v>
      </c>
      <c r="D1603">
        <v>1958</v>
      </c>
      <c r="E1603" t="str">
        <f t="shared" si="124"/>
        <v>Dec</v>
      </c>
      <c r="F1603" t="s">
        <v>30</v>
      </c>
      <c r="G1603">
        <v>10</v>
      </c>
      <c r="H1603">
        <v>0</v>
      </c>
      <c r="I1603" s="21">
        <v>13831.12</v>
      </c>
      <c r="J1603" t="str">
        <f t="shared" ref="J1603:J1666" si="126">IF(OR(K1603="?", ISBLANK(K1603)), "Tier 2", K1603)</f>
        <v>tier - 3</v>
      </c>
      <c r="K1603" t="s">
        <v>12</v>
      </c>
      <c r="L1603" t="str">
        <f t="shared" ref="L1603:L1666" si="127">IF(OR(M1603="?", ISBLANK(M1603)), "Tier 2", M1603)</f>
        <v>tier - 1</v>
      </c>
      <c r="M1603" t="s">
        <v>16</v>
      </c>
      <c r="N1603" t="str">
        <f t="shared" ref="N1603:N1666" si="128">IF(OR(O1603="?", ISBLANK(O1603)), "Unknown", O1603)</f>
        <v>R1013</v>
      </c>
      <c r="O1603" t="s">
        <v>13</v>
      </c>
    </row>
    <row r="1604" spans="1:15" x14ac:dyDescent="0.35">
      <c r="A1604" t="s">
        <v>1635</v>
      </c>
      <c r="C1604">
        <f t="shared" si="125"/>
        <v>2003</v>
      </c>
      <c r="D1604">
        <v>2003</v>
      </c>
      <c r="E1604" t="str">
        <f t="shared" ref="E1604:E1667" si="129">IF(OR(F1604="?", ISBLANK(F1604)), "Sep", F1604)</f>
        <v>Jun</v>
      </c>
      <c r="F1604" t="s">
        <v>18</v>
      </c>
      <c r="G1604">
        <v>7</v>
      </c>
      <c r="H1604">
        <v>0</v>
      </c>
      <c r="I1604" s="21">
        <v>13844.51</v>
      </c>
      <c r="J1604" t="str">
        <f t="shared" si="126"/>
        <v>tier - 2</v>
      </c>
      <c r="K1604" t="s">
        <v>11</v>
      </c>
      <c r="L1604" t="str">
        <f t="shared" si="127"/>
        <v>tier - 1</v>
      </c>
      <c r="M1604" t="s">
        <v>16</v>
      </c>
      <c r="N1604" t="str">
        <f t="shared" si="128"/>
        <v>R1011</v>
      </c>
      <c r="O1604" t="s">
        <v>42</v>
      </c>
    </row>
    <row r="1605" spans="1:15" x14ac:dyDescent="0.35">
      <c r="A1605" t="s">
        <v>1636</v>
      </c>
      <c r="C1605">
        <f t="shared" si="125"/>
        <v>1960</v>
      </c>
      <c r="D1605">
        <v>1960</v>
      </c>
      <c r="E1605" t="str">
        <f t="shared" si="129"/>
        <v>Jul</v>
      </c>
      <c r="F1605" t="s">
        <v>10</v>
      </c>
      <c r="G1605">
        <v>21</v>
      </c>
      <c r="H1605">
        <v>0</v>
      </c>
      <c r="I1605" s="21">
        <v>13844.8</v>
      </c>
      <c r="J1605" t="str">
        <f t="shared" si="126"/>
        <v>tier - 2</v>
      </c>
      <c r="K1605" t="s">
        <v>11</v>
      </c>
      <c r="L1605" t="str">
        <f t="shared" si="127"/>
        <v>tier - 2</v>
      </c>
      <c r="M1605" t="s">
        <v>11</v>
      </c>
      <c r="N1605" t="str">
        <f t="shared" si="128"/>
        <v>R1012</v>
      </c>
      <c r="O1605" t="s">
        <v>23</v>
      </c>
    </row>
    <row r="1606" spans="1:15" x14ac:dyDescent="0.35">
      <c r="A1606" t="s">
        <v>1637</v>
      </c>
      <c r="C1606">
        <f t="shared" si="125"/>
        <v>1978</v>
      </c>
      <c r="D1606">
        <v>1978</v>
      </c>
      <c r="E1606" t="str">
        <f t="shared" si="129"/>
        <v>Dec</v>
      </c>
      <c r="F1606" t="s">
        <v>30</v>
      </c>
      <c r="G1606">
        <v>19</v>
      </c>
      <c r="H1606">
        <v>2</v>
      </c>
      <c r="I1606" s="21">
        <v>13874.89</v>
      </c>
      <c r="J1606" t="str">
        <f t="shared" si="126"/>
        <v>tier - 2</v>
      </c>
      <c r="K1606" t="s">
        <v>11</v>
      </c>
      <c r="L1606" t="str">
        <f t="shared" si="127"/>
        <v>tier - 1</v>
      </c>
      <c r="M1606" t="s">
        <v>16</v>
      </c>
      <c r="N1606" t="str">
        <f t="shared" si="128"/>
        <v>R1012</v>
      </c>
      <c r="O1606" t="s">
        <v>23</v>
      </c>
    </row>
    <row r="1607" spans="1:15" x14ac:dyDescent="0.35">
      <c r="A1607" t="s">
        <v>1638</v>
      </c>
      <c r="C1607">
        <f t="shared" si="125"/>
        <v>1959</v>
      </c>
      <c r="D1607">
        <v>1959</v>
      </c>
      <c r="E1607" t="str">
        <f t="shared" si="129"/>
        <v>Oct</v>
      </c>
      <c r="F1607" t="s">
        <v>37</v>
      </c>
      <c r="G1607">
        <v>5</v>
      </c>
      <c r="H1607">
        <v>0</v>
      </c>
      <c r="I1607" s="21">
        <v>13880.95</v>
      </c>
      <c r="J1607" t="str">
        <f t="shared" si="126"/>
        <v>tier - 2</v>
      </c>
      <c r="K1607" t="s">
        <v>11</v>
      </c>
      <c r="L1607" t="str">
        <f t="shared" si="127"/>
        <v>tier - 2</v>
      </c>
      <c r="M1607" t="s">
        <v>11</v>
      </c>
      <c r="N1607" t="str">
        <f t="shared" si="128"/>
        <v>R1011</v>
      </c>
      <c r="O1607" t="s">
        <v>42</v>
      </c>
    </row>
    <row r="1608" spans="1:15" x14ac:dyDescent="0.35">
      <c r="A1608" t="s">
        <v>1639</v>
      </c>
      <c r="C1608">
        <f t="shared" si="125"/>
        <v>1985</v>
      </c>
      <c r="D1608">
        <v>1985</v>
      </c>
      <c r="E1608" t="str">
        <f t="shared" si="129"/>
        <v>Sep</v>
      </c>
      <c r="F1608" t="s">
        <v>20</v>
      </c>
      <c r="G1608">
        <v>25</v>
      </c>
      <c r="H1608">
        <v>3</v>
      </c>
      <c r="I1608" s="21">
        <v>13886.4</v>
      </c>
      <c r="J1608" t="str">
        <f t="shared" si="126"/>
        <v>tier - 2</v>
      </c>
      <c r="K1608" t="s">
        <v>11</v>
      </c>
      <c r="L1608" t="str">
        <f t="shared" si="127"/>
        <v>tier - 2</v>
      </c>
      <c r="M1608" t="s">
        <v>11</v>
      </c>
      <c r="N1608" t="str">
        <f t="shared" si="128"/>
        <v>R1012</v>
      </c>
      <c r="O1608" t="s">
        <v>23</v>
      </c>
    </row>
    <row r="1609" spans="1:15" x14ac:dyDescent="0.35">
      <c r="A1609" t="s">
        <v>1640</v>
      </c>
      <c r="C1609">
        <f t="shared" si="125"/>
        <v>1959</v>
      </c>
      <c r="D1609">
        <v>1959</v>
      </c>
      <c r="E1609" t="str">
        <f t="shared" si="129"/>
        <v>Dec</v>
      </c>
      <c r="F1609" t="s">
        <v>30</v>
      </c>
      <c r="G1609">
        <v>29</v>
      </c>
      <c r="H1609">
        <v>0</v>
      </c>
      <c r="I1609" s="21">
        <v>13887.2</v>
      </c>
      <c r="J1609" t="str">
        <f t="shared" si="126"/>
        <v>tier - 2</v>
      </c>
      <c r="K1609" t="s">
        <v>11</v>
      </c>
      <c r="L1609" t="str">
        <f t="shared" si="127"/>
        <v>tier - 3</v>
      </c>
      <c r="M1609" t="s">
        <v>12</v>
      </c>
      <c r="N1609" t="str">
        <f t="shared" si="128"/>
        <v>R1013</v>
      </c>
      <c r="O1609" t="s">
        <v>13</v>
      </c>
    </row>
    <row r="1610" spans="1:15" x14ac:dyDescent="0.35">
      <c r="A1610" t="s">
        <v>1641</v>
      </c>
      <c r="C1610">
        <f t="shared" si="125"/>
        <v>1959</v>
      </c>
      <c r="D1610">
        <v>1959</v>
      </c>
      <c r="E1610" t="str">
        <f t="shared" si="129"/>
        <v>Jul</v>
      </c>
      <c r="F1610" t="s">
        <v>10</v>
      </c>
      <c r="G1610">
        <v>7</v>
      </c>
      <c r="H1610">
        <v>0</v>
      </c>
      <c r="I1610" s="21">
        <v>13887.97</v>
      </c>
      <c r="J1610" t="str">
        <f t="shared" si="126"/>
        <v>tier - 2</v>
      </c>
      <c r="K1610" t="s">
        <v>11</v>
      </c>
      <c r="L1610" t="str">
        <f t="shared" si="127"/>
        <v>tier - 2</v>
      </c>
      <c r="M1610" t="s">
        <v>11</v>
      </c>
      <c r="N1610" t="str">
        <f t="shared" si="128"/>
        <v>R1013</v>
      </c>
      <c r="O1610" t="s">
        <v>13</v>
      </c>
    </row>
    <row r="1611" spans="1:15" x14ac:dyDescent="0.35">
      <c r="A1611" t="s">
        <v>1642</v>
      </c>
      <c r="C1611">
        <f t="shared" si="125"/>
        <v>1962</v>
      </c>
      <c r="D1611">
        <v>1962</v>
      </c>
      <c r="E1611" t="str">
        <f t="shared" si="129"/>
        <v>Jul</v>
      </c>
      <c r="F1611" t="s">
        <v>10</v>
      </c>
      <c r="G1611">
        <v>27</v>
      </c>
      <c r="H1611">
        <v>3</v>
      </c>
      <c r="I1611" s="21">
        <v>13919.82</v>
      </c>
      <c r="J1611" t="str">
        <f t="shared" si="126"/>
        <v>tier - 2</v>
      </c>
      <c r="K1611" t="s">
        <v>11</v>
      </c>
      <c r="L1611" t="str">
        <f t="shared" si="127"/>
        <v>tier - 2</v>
      </c>
      <c r="M1611" t="s">
        <v>11</v>
      </c>
      <c r="N1611" t="str">
        <f t="shared" si="128"/>
        <v>R1013</v>
      </c>
      <c r="O1611" t="s">
        <v>13</v>
      </c>
    </row>
    <row r="1612" spans="1:15" x14ac:dyDescent="0.35">
      <c r="A1612" t="s">
        <v>1643</v>
      </c>
      <c r="C1612">
        <f t="shared" si="125"/>
        <v>1960</v>
      </c>
      <c r="D1612">
        <v>1960</v>
      </c>
      <c r="E1612" t="str">
        <f t="shared" si="129"/>
        <v>Jun</v>
      </c>
      <c r="F1612" t="s">
        <v>18</v>
      </c>
      <c r="G1612">
        <v>18</v>
      </c>
      <c r="H1612">
        <v>1</v>
      </c>
      <c r="I1612" s="21">
        <v>13937.67</v>
      </c>
      <c r="J1612" t="str">
        <f t="shared" si="126"/>
        <v>tier - 2</v>
      </c>
      <c r="K1612" t="s">
        <v>11</v>
      </c>
      <c r="L1612" t="str">
        <f t="shared" si="127"/>
        <v>tier - 1</v>
      </c>
      <c r="M1612" t="s">
        <v>16</v>
      </c>
      <c r="N1612" t="str">
        <f t="shared" si="128"/>
        <v>R1012</v>
      </c>
      <c r="O1612" t="s">
        <v>23</v>
      </c>
    </row>
    <row r="1613" spans="1:15" x14ac:dyDescent="0.35">
      <c r="A1613" t="s">
        <v>1644</v>
      </c>
      <c r="C1613">
        <f t="shared" si="125"/>
        <v>1959</v>
      </c>
      <c r="D1613">
        <v>1959</v>
      </c>
      <c r="E1613" t="str">
        <f t="shared" si="129"/>
        <v>Aug</v>
      </c>
      <c r="F1613" t="s">
        <v>35</v>
      </c>
      <c r="G1613">
        <v>29</v>
      </c>
      <c r="H1613">
        <v>0</v>
      </c>
      <c r="I1613" s="21">
        <v>13974.46</v>
      </c>
      <c r="J1613" t="str">
        <f t="shared" si="126"/>
        <v>tier - 2</v>
      </c>
      <c r="K1613" t="s">
        <v>11</v>
      </c>
      <c r="L1613" t="str">
        <f t="shared" si="127"/>
        <v>tier - 2</v>
      </c>
      <c r="M1613" t="s">
        <v>11</v>
      </c>
      <c r="N1613" t="str">
        <f t="shared" si="128"/>
        <v>R1019</v>
      </c>
      <c r="O1613" t="s">
        <v>166</v>
      </c>
    </row>
    <row r="1614" spans="1:15" x14ac:dyDescent="0.35">
      <c r="A1614" t="s">
        <v>1645</v>
      </c>
      <c r="C1614">
        <f t="shared" si="125"/>
        <v>1990</v>
      </c>
      <c r="D1614">
        <v>1990</v>
      </c>
      <c r="E1614" t="str">
        <f t="shared" si="129"/>
        <v>Jul</v>
      </c>
      <c r="F1614" t="s">
        <v>10</v>
      </c>
      <c r="G1614">
        <v>13</v>
      </c>
      <c r="H1614">
        <v>3</v>
      </c>
      <c r="I1614" s="21">
        <v>13979.45</v>
      </c>
      <c r="J1614" t="str">
        <f t="shared" si="126"/>
        <v>tier - 2</v>
      </c>
      <c r="K1614" t="s">
        <v>11</v>
      </c>
      <c r="L1614" t="str">
        <f t="shared" si="127"/>
        <v>tier - 1</v>
      </c>
      <c r="M1614" t="s">
        <v>16</v>
      </c>
      <c r="N1614" t="str">
        <f t="shared" si="128"/>
        <v>R1023</v>
      </c>
      <c r="O1614" t="s">
        <v>249</v>
      </c>
    </row>
    <row r="1615" spans="1:15" x14ac:dyDescent="0.35">
      <c r="A1615" t="s">
        <v>1646</v>
      </c>
      <c r="C1615">
        <f t="shared" si="125"/>
        <v>1959</v>
      </c>
      <c r="D1615">
        <v>1959</v>
      </c>
      <c r="E1615" t="str">
        <f t="shared" si="129"/>
        <v>Sep</v>
      </c>
      <c r="F1615" t="s">
        <v>20</v>
      </c>
      <c r="G1615">
        <v>6</v>
      </c>
      <c r="H1615">
        <v>0</v>
      </c>
      <c r="I1615" s="21">
        <v>13981.85</v>
      </c>
      <c r="J1615" t="str">
        <f t="shared" si="126"/>
        <v>tier - 2</v>
      </c>
      <c r="K1615" t="s">
        <v>11</v>
      </c>
      <c r="L1615" t="str">
        <f t="shared" si="127"/>
        <v>tier - 1</v>
      </c>
      <c r="M1615" t="s">
        <v>16</v>
      </c>
      <c r="N1615" t="str">
        <f t="shared" si="128"/>
        <v>R1016</v>
      </c>
      <c r="O1615" t="s">
        <v>168</v>
      </c>
    </row>
    <row r="1616" spans="1:15" x14ac:dyDescent="0.35">
      <c r="A1616" t="s">
        <v>1647</v>
      </c>
      <c r="C1616">
        <f t="shared" si="125"/>
        <v>1963</v>
      </c>
      <c r="D1616">
        <v>1963</v>
      </c>
      <c r="E1616" t="str">
        <f t="shared" si="129"/>
        <v>Dec</v>
      </c>
      <c r="F1616" t="s">
        <v>30</v>
      </c>
      <c r="G1616">
        <v>23</v>
      </c>
      <c r="H1616">
        <v>3</v>
      </c>
      <c r="I1616" s="21">
        <v>14001.13</v>
      </c>
      <c r="J1616" t="str">
        <f t="shared" si="126"/>
        <v>tier - 2</v>
      </c>
      <c r="K1616" t="s">
        <v>11</v>
      </c>
      <c r="L1616" t="str">
        <f t="shared" si="127"/>
        <v>tier - 1</v>
      </c>
      <c r="M1616" t="s">
        <v>16</v>
      </c>
      <c r="N1616" t="str">
        <f t="shared" si="128"/>
        <v>R1013</v>
      </c>
      <c r="O1616" t="s">
        <v>13</v>
      </c>
    </row>
    <row r="1617" spans="1:15" x14ac:dyDescent="0.35">
      <c r="A1617" t="s">
        <v>1648</v>
      </c>
      <c r="C1617">
        <f t="shared" si="125"/>
        <v>1963</v>
      </c>
      <c r="D1617">
        <v>1963</v>
      </c>
      <c r="E1617" t="str">
        <f t="shared" si="129"/>
        <v>Jul</v>
      </c>
      <c r="F1617" t="s">
        <v>10</v>
      </c>
      <c r="G1617">
        <v>6</v>
      </c>
      <c r="H1617">
        <v>3</v>
      </c>
      <c r="I1617" s="21">
        <v>14001.29</v>
      </c>
      <c r="J1617" t="str">
        <f t="shared" si="126"/>
        <v>tier - 2</v>
      </c>
      <c r="K1617" t="s">
        <v>11</v>
      </c>
      <c r="L1617" t="str">
        <f t="shared" si="127"/>
        <v>tier - 2</v>
      </c>
      <c r="M1617" t="s">
        <v>11</v>
      </c>
      <c r="N1617" t="str">
        <f t="shared" si="128"/>
        <v>R1013</v>
      </c>
      <c r="O1617" t="s">
        <v>13</v>
      </c>
    </row>
    <row r="1618" spans="1:15" x14ac:dyDescent="0.35">
      <c r="A1618" t="s">
        <v>1649</v>
      </c>
      <c r="C1618">
        <f t="shared" si="125"/>
        <v>1963</v>
      </c>
      <c r="D1618">
        <v>1963</v>
      </c>
      <c r="E1618" t="str">
        <f t="shared" si="129"/>
        <v>Jul</v>
      </c>
      <c r="F1618" t="s">
        <v>10</v>
      </c>
      <c r="G1618">
        <v>8</v>
      </c>
      <c r="H1618">
        <v>3</v>
      </c>
      <c r="I1618" s="21">
        <v>14007.22</v>
      </c>
      <c r="J1618" t="str">
        <f t="shared" si="126"/>
        <v>tier - 2</v>
      </c>
      <c r="K1618" t="s">
        <v>11</v>
      </c>
      <c r="L1618" t="str">
        <f t="shared" si="127"/>
        <v>tier - 3</v>
      </c>
      <c r="M1618" t="s">
        <v>12</v>
      </c>
      <c r="N1618" t="str">
        <f t="shared" si="128"/>
        <v>R1011</v>
      </c>
      <c r="O1618" t="s">
        <v>42</v>
      </c>
    </row>
    <row r="1619" spans="1:15" x14ac:dyDescent="0.35">
      <c r="A1619" t="s">
        <v>1650</v>
      </c>
      <c r="C1619">
        <f t="shared" si="125"/>
        <v>1960</v>
      </c>
      <c r="D1619">
        <v>1960</v>
      </c>
      <c r="E1619" t="str">
        <f t="shared" si="129"/>
        <v>Nov</v>
      </c>
      <c r="F1619" t="s">
        <v>15</v>
      </c>
      <c r="G1619">
        <v>8</v>
      </c>
      <c r="H1619">
        <v>0</v>
      </c>
      <c r="I1619" s="21">
        <v>14043.48</v>
      </c>
      <c r="J1619" t="str">
        <f t="shared" si="126"/>
        <v>tier - 2</v>
      </c>
      <c r="K1619" t="s">
        <v>11</v>
      </c>
      <c r="L1619" t="str">
        <f t="shared" si="127"/>
        <v>tier - 3</v>
      </c>
      <c r="M1619" t="s">
        <v>12</v>
      </c>
      <c r="N1619" t="str">
        <f t="shared" si="128"/>
        <v>R1024</v>
      </c>
      <c r="O1619" t="s">
        <v>247</v>
      </c>
    </row>
    <row r="1620" spans="1:15" x14ac:dyDescent="0.35">
      <c r="A1620" t="s">
        <v>1651</v>
      </c>
      <c r="C1620">
        <f t="shared" si="125"/>
        <v>1991</v>
      </c>
      <c r="D1620">
        <v>1991</v>
      </c>
      <c r="E1620" t="str">
        <f t="shared" si="129"/>
        <v>Sep</v>
      </c>
      <c r="F1620" t="s">
        <v>20</v>
      </c>
      <c r="G1620">
        <v>12</v>
      </c>
      <c r="H1620">
        <v>3</v>
      </c>
      <c r="I1620" s="21">
        <v>14081.93</v>
      </c>
      <c r="J1620" t="str">
        <f t="shared" si="126"/>
        <v>tier - 2</v>
      </c>
      <c r="K1620" t="s">
        <v>11</v>
      </c>
      <c r="L1620" t="str">
        <f t="shared" si="127"/>
        <v>tier - 3</v>
      </c>
      <c r="M1620" t="s">
        <v>12</v>
      </c>
      <c r="N1620" t="str">
        <f t="shared" si="128"/>
        <v>R1012</v>
      </c>
      <c r="O1620" t="s">
        <v>23</v>
      </c>
    </row>
    <row r="1621" spans="1:15" x14ac:dyDescent="0.35">
      <c r="A1621" t="s">
        <v>1652</v>
      </c>
      <c r="C1621">
        <f t="shared" si="125"/>
        <v>1976</v>
      </c>
      <c r="D1621">
        <v>1976</v>
      </c>
      <c r="E1621" t="str">
        <f t="shared" si="129"/>
        <v>Sep</v>
      </c>
      <c r="F1621" t="s">
        <v>20</v>
      </c>
      <c r="G1621">
        <v>26</v>
      </c>
      <c r="H1621">
        <v>2</v>
      </c>
      <c r="I1621" s="21">
        <v>14098.07</v>
      </c>
      <c r="J1621" t="str">
        <f t="shared" si="126"/>
        <v>tier - 2</v>
      </c>
      <c r="K1621" t="s">
        <v>11</v>
      </c>
      <c r="L1621" t="str">
        <f t="shared" si="127"/>
        <v>tier - 3</v>
      </c>
      <c r="M1621" t="s">
        <v>12</v>
      </c>
      <c r="N1621" t="str">
        <f t="shared" si="128"/>
        <v>R1023</v>
      </c>
      <c r="O1621" t="s">
        <v>249</v>
      </c>
    </row>
    <row r="1622" spans="1:15" x14ac:dyDescent="0.35">
      <c r="A1622" t="s">
        <v>1653</v>
      </c>
      <c r="C1622">
        <f t="shared" si="125"/>
        <v>1961</v>
      </c>
      <c r="D1622">
        <v>1961</v>
      </c>
      <c r="E1622" t="str">
        <f t="shared" si="129"/>
        <v>Jun</v>
      </c>
      <c r="F1622" t="s">
        <v>18</v>
      </c>
      <c r="G1622">
        <v>14</v>
      </c>
      <c r="H1622">
        <v>2</v>
      </c>
      <c r="I1622" s="21">
        <v>14119.62</v>
      </c>
      <c r="J1622" t="str">
        <f t="shared" si="126"/>
        <v>tier - 2</v>
      </c>
      <c r="K1622" t="s">
        <v>11</v>
      </c>
      <c r="L1622" t="str">
        <f t="shared" si="127"/>
        <v>tier - 1</v>
      </c>
      <c r="M1622" t="s">
        <v>16</v>
      </c>
      <c r="N1622" t="str">
        <f t="shared" si="128"/>
        <v>R1012</v>
      </c>
      <c r="O1622" t="s">
        <v>23</v>
      </c>
    </row>
    <row r="1623" spans="1:15" x14ac:dyDescent="0.35">
      <c r="A1623" t="s">
        <v>1654</v>
      </c>
      <c r="C1623">
        <f t="shared" si="125"/>
        <v>2004</v>
      </c>
      <c r="D1623">
        <v>2004</v>
      </c>
      <c r="E1623" t="str">
        <f t="shared" si="129"/>
        <v>Jul</v>
      </c>
      <c r="F1623" t="s">
        <v>10</v>
      </c>
      <c r="G1623">
        <v>6</v>
      </c>
      <c r="H1623">
        <v>0</v>
      </c>
      <c r="I1623" s="21">
        <v>14133.04</v>
      </c>
      <c r="J1623" t="str">
        <f t="shared" si="126"/>
        <v>tier - 2</v>
      </c>
      <c r="K1623" t="s">
        <v>11</v>
      </c>
      <c r="L1623" t="str">
        <f t="shared" si="127"/>
        <v>tier - 3</v>
      </c>
      <c r="M1623" t="s">
        <v>12</v>
      </c>
      <c r="N1623" t="str">
        <f t="shared" si="128"/>
        <v>R1013</v>
      </c>
      <c r="O1623" t="s">
        <v>13</v>
      </c>
    </row>
    <row r="1624" spans="1:15" x14ac:dyDescent="0.35">
      <c r="A1624" t="s">
        <v>1655</v>
      </c>
      <c r="C1624">
        <f t="shared" si="125"/>
        <v>1984</v>
      </c>
      <c r="D1624">
        <v>1984</v>
      </c>
      <c r="E1624" t="str">
        <f t="shared" si="129"/>
        <v>Jul</v>
      </c>
      <c r="F1624" t="s">
        <v>10</v>
      </c>
      <c r="G1624">
        <v>7</v>
      </c>
      <c r="H1624">
        <v>3</v>
      </c>
      <c r="I1624" s="21">
        <v>14152.46</v>
      </c>
      <c r="J1624" t="str">
        <f t="shared" si="126"/>
        <v>tier - 2</v>
      </c>
      <c r="K1624" t="s">
        <v>11</v>
      </c>
      <c r="L1624" t="str">
        <f t="shared" si="127"/>
        <v>tier - 1</v>
      </c>
      <c r="M1624" t="s">
        <v>16</v>
      </c>
      <c r="N1624" t="str">
        <f t="shared" si="128"/>
        <v>R1012</v>
      </c>
      <c r="O1624" t="s">
        <v>23</v>
      </c>
    </row>
    <row r="1625" spans="1:15" x14ac:dyDescent="0.35">
      <c r="A1625" t="s">
        <v>1656</v>
      </c>
      <c r="C1625">
        <f t="shared" si="125"/>
        <v>1968</v>
      </c>
      <c r="D1625">
        <v>1968</v>
      </c>
      <c r="E1625" t="str">
        <f t="shared" si="129"/>
        <v>Dec</v>
      </c>
      <c r="F1625" t="s">
        <v>30</v>
      </c>
      <c r="G1625">
        <v>25</v>
      </c>
      <c r="H1625">
        <v>0</v>
      </c>
      <c r="I1625" s="21">
        <v>14193.55</v>
      </c>
      <c r="J1625" t="str">
        <f t="shared" si="126"/>
        <v>tier - 2</v>
      </c>
      <c r="K1625" t="s">
        <v>11</v>
      </c>
      <c r="L1625" t="str">
        <f t="shared" si="127"/>
        <v>tier - 1</v>
      </c>
      <c r="M1625" t="s">
        <v>16</v>
      </c>
      <c r="N1625" t="str">
        <f t="shared" si="128"/>
        <v>R1026</v>
      </c>
      <c r="O1625" t="s">
        <v>535</v>
      </c>
    </row>
    <row r="1626" spans="1:15" x14ac:dyDescent="0.35">
      <c r="A1626" t="s">
        <v>1657</v>
      </c>
      <c r="C1626">
        <f t="shared" si="125"/>
        <v>1983</v>
      </c>
      <c r="D1626">
        <v>1983</v>
      </c>
      <c r="E1626" t="str">
        <f t="shared" si="129"/>
        <v>Nov</v>
      </c>
      <c r="F1626" t="s">
        <v>15</v>
      </c>
      <c r="G1626">
        <v>17</v>
      </c>
      <c r="H1626">
        <v>3</v>
      </c>
      <c r="I1626" s="21">
        <v>14209.4</v>
      </c>
      <c r="J1626" t="str">
        <f t="shared" si="126"/>
        <v>tier - 2</v>
      </c>
      <c r="K1626" t="s">
        <v>11</v>
      </c>
      <c r="L1626" t="str">
        <f t="shared" si="127"/>
        <v>tier - 1</v>
      </c>
      <c r="M1626" t="s">
        <v>16</v>
      </c>
      <c r="N1626" t="str">
        <f t="shared" si="128"/>
        <v>R1026</v>
      </c>
      <c r="O1626" t="s">
        <v>535</v>
      </c>
    </row>
    <row r="1627" spans="1:15" x14ac:dyDescent="0.35">
      <c r="A1627" t="s">
        <v>1658</v>
      </c>
      <c r="C1627">
        <f t="shared" si="125"/>
        <v>1958</v>
      </c>
      <c r="D1627">
        <v>1958</v>
      </c>
      <c r="E1627" t="str">
        <f t="shared" si="129"/>
        <v>Sep</v>
      </c>
      <c r="F1627" t="s">
        <v>20</v>
      </c>
      <c r="G1627">
        <v>21</v>
      </c>
      <c r="H1627">
        <v>0</v>
      </c>
      <c r="I1627" s="21">
        <v>14210.54</v>
      </c>
      <c r="J1627" t="str">
        <f t="shared" si="126"/>
        <v>tier - 2</v>
      </c>
      <c r="K1627" t="s">
        <v>11</v>
      </c>
      <c r="L1627" t="str">
        <f t="shared" si="127"/>
        <v>tier - 2</v>
      </c>
      <c r="M1627" t="s">
        <v>11</v>
      </c>
      <c r="N1627" t="str">
        <f t="shared" si="128"/>
        <v>R1012</v>
      </c>
      <c r="O1627" t="s">
        <v>23</v>
      </c>
    </row>
    <row r="1628" spans="1:15" x14ac:dyDescent="0.35">
      <c r="A1628" t="s">
        <v>1659</v>
      </c>
      <c r="C1628">
        <f t="shared" si="125"/>
        <v>1961</v>
      </c>
      <c r="D1628">
        <v>1961</v>
      </c>
      <c r="E1628" t="str">
        <f t="shared" si="129"/>
        <v>Sep</v>
      </c>
      <c r="F1628" t="s">
        <v>20</v>
      </c>
      <c r="G1628">
        <v>25</v>
      </c>
      <c r="H1628">
        <v>2</v>
      </c>
      <c r="I1628" s="21">
        <v>14235.07</v>
      </c>
      <c r="J1628" t="str">
        <f t="shared" si="126"/>
        <v>tier - 2</v>
      </c>
      <c r="K1628" t="s">
        <v>11</v>
      </c>
      <c r="L1628" t="str">
        <f t="shared" si="127"/>
        <v>tier - 1</v>
      </c>
      <c r="M1628" t="s">
        <v>16</v>
      </c>
      <c r="N1628" t="str">
        <f t="shared" si="128"/>
        <v>R1011</v>
      </c>
      <c r="O1628" t="s">
        <v>42</v>
      </c>
    </row>
    <row r="1629" spans="1:15" x14ac:dyDescent="0.35">
      <c r="A1629" t="s">
        <v>1660</v>
      </c>
      <c r="C1629">
        <f t="shared" si="125"/>
        <v>1959</v>
      </c>
      <c r="D1629">
        <v>1959</v>
      </c>
      <c r="E1629" t="str">
        <f t="shared" si="129"/>
        <v>Oct</v>
      </c>
      <c r="F1629" t="s">
        <v>37</v>
      </c>
      <c r="G1629">
        <v>10</v>
      </c>
      <c r="H1629">
        <v>0</v>
      </c>
      <c r="I1629" s="21">
        <v>14254.61</v>
      </c>
      <c r="J1629" t="str">
        <f t="shared" si="126"/>
        <v>tier - 2</v>
      </c>
      <c r="K1629" t="s">
        <v>11</v>
      </c>
      <c r="L1629" t="str">
        <f t="shared" si="127"/>
        <v>tier - 1</v>
      </c>
      <c r="M1629" t="s">
        <v>16</v>
      </c>
      <c r="N1629" t="str">
        <f t="shared" si="128"/>
        <v>R1012</v>
      </c>
      <c r="O1629" t="s">
        <v>23</v>
      </c>
    </row>
    <row r="1630" spans="1:15" x14ac:dyDescent="0.35">
      <c r="A1630" t="s">
        <v>1661</v>
      </c>
      <c r="C1630">
        <f t="shared" si="125"/>
        <v>1959</v>
      </c>
      <c r="D1630">
        <v>1959</v>
      </c>
      <c r="E1630" t="str">
        <f t="shared" si="129"/>
        <v>Nov</v>
      </c>
      <c r="F1630" t="s">
        <v>15</v>
      </c>
      <c r="G1630">
        <v>8</v>
      </c>
      <c r="H1630">
        <v>0</v>
      </c>
      <c r="I1630" s="21">
        <v>14256.19</v>
      </c>
      <c r="J1630" t="str">
        <f t="shared" si="126"/>
        <v>tier - 2</v>
      </c>
      <c r="K1630" t="s">
        <v>11</v>
      </c>
      <c r="L1630" t="str">
        <f t="shared" si="127"/>
        <v>tier - 3</v>
      </c>
      <c r="M1630" t="s">
        <v>12</v>
      </c>
      <c r="N1630" t="str">
        <f t="shared" si="128"/>
        <v>R1012</v>
      </c>
      <c r="O1630" t="s">
        <v>23</v>
      </c>
    </row>
    <row r="1631" spans="1:15" x14ac:dyDescent="0.35">
      <c r="A1631" t="s">
        <v>1662</v>
      </c>
      <c r="C1631">
        <f t="shared" si="125"/>
        <v>1974</v>
      </c>
      <c r="D1631">
        <v>1974</v>
      </c>
      <c r="E1631" t="str">
        <f t="shared" si="129"/>
        <v>Dec</v>
      </c>
      <c r="F1631" t="s">
        <v>30</v>
      </c>
      <c r="G1631">
        <v>26</v>
      </c>
      <c r="H1631">
        <v>0</v>
      </c>
      <c r="I1631" s="21">
        <v>14256.79</v>
      </c>
      <c r="J1631" t="str">
        <f t="shared" si="126"/>
        <v>tier - 2</v>
      </c>
      <c r="K1631" t="s">
        <v>11</v>
      </c>
      <c r="L1631" t="str">
        <f t="shared" si="127"/>
        <v>tier - 2</v>
      </c>
      <c r="M1631" t="s">
        <v>11</v>
      </c>
      <c r="N1631" t="str">
        <f t="shared" si="128"/>
        <v>R1026</v>
      </c>
      <c r="O1631" t="s">
        <v>535</v>
      </c>
    </row>
    <row r="1632" spans="1:15" x14ac:dyDescent="0.35">
      <c r="A1632" t="s">
        <v>1663</v>
      </c>
      <c r="C1632">
        <f t="shared" si="125"/>
        <v>1972</v>
      </c>
      <c r="D1632">
        <v>1972</v>
      </c>
      <c r="E1632" t="str">
        <f t="shared" si="129"/>
        <v>Jul</v>
      </c>
      <c r="F1632" t="s">
        <v>10</v>
      </c>
      <c r="G1632">
        <v>13</v>
      </c>
      <c r="H1632">
        <v>0</v>
      </c>
      <c r="I1632" s="21">
        <v>14258.33</v>
      </c>
      <c r="J1632" t="str">
        <f t="shared" si="126"/>
        <v>tier - 2</v>
      </c>
      <c r="K1632" t="s">
        <v>11</v>
      </c>
      <c r="L1632" t="str">
        <f t="shared" si="127"/>
        <v>tier - 2</v>
      </c>
      <c r="M1632" t="s">
        <v>11</v>
      </c>
      <c r="N1632" t="str">
        <f t="shared" si="128"/>
        <v>R1026</v>
      </c>
      <c r="O1632" t="s">
        <v>535</v>
      </c>
    </row>
    <row r="1633" spans="1:15" x14ac:dyDescent="0.35">
      <c r="A1633" t="s">
        <v>1664</v>
      </c>
      <c r="C1633">
        <f t="shared" si="125"/>
        <v>2004</v>
      </c>
      <c r="D1633">
        <v>2004</v>
      </c>
      <c r="E1633" t="str">
        <f t="shared" si="129"/>
        <v>Sep</v>
      </c>
      <c r="F1633" t="s">
        <v>20</v>
      </c>
      <c r="G1633">
        <v>6</v>
      </c>
      <c r="H1633">
        <v>0</v>
      </c>
      <c r="I1633" s="21">
        <v>14283.46</v>
      </c>
      <c r="J1633" t="str">
        <f t="shared" si="126"/>
        <v>tier - 2</v>
      </c>
      <c r="K1633" t="s">
        <v>11</v>
      </c>
      <c r="L1633" t="str">
        <f t="shared" si="127"/>
        <v>tier - 2</v>
      </c>
      <c r="M1633" t="s">
        <v>11</v>
      </c>
      <c r="N1633" t="str">
        <f t="shared" si="128"/>
        <v>R1024</v>
      </c>
      <c r="O1633" t="s">
        <v>247</v>
      </c>
    </row>
    <row r="1634" spans="1:15" x14ac:dyDescent="0.35">
      <c r="A1634" t="s">
        <v>1665</v>
      </c>
      <c r="C1634">
        <f t="shared" si="125"/>
        <v>1968</v>
      </c>
      <c r="D1634">
        <v>1968</v>
      </c>
      <c r="E1634" t="str">
        <f t="shared" si="129"/>
        <v>Dec</v>
      </c>
      <c r="F1634" t="s">
        <v>30</v>
      </c>
      <c r="G1634">
        <v>15</v>
      </c>
      <c r="H1634">
        <v>0</v>
      </c>
      <c r="I1634" s="21">
        <v>14285.9</v>
      </c>
      <c r="J1634" t="str">
        <f t="shared" si="126"/>
        <v>tier - 2</v>
      </c>
      <c r="K1634" t="s">
        <v>11</v>
      </c>
      <c r="L1634" t="str">
        <f t="shared" si="127"/>
        <v>tier - 3</v>
      </c>
      <c r="M1634" t="s">
        <v>12</v>
      </c>
      <c r="N1634" t="str">
        <f t="shared" si="128"/>
        <v>R1012</v>
      </c>
      <c r="O1634" t="s">
        <v>23</v>
      </c>
    </row>
    <row r="1635" spans="1:15" x14ac:dyDescent="0.35">
      <c r="A1635" t="s">
        <v>1666</v>
      </c>
      <c r="C1635">
        <f t="shared" si="125"/>
        <v>1958</v>
      </c>
      <c r="D1635">
        <v>1958</v>
      </c>
      <c r="E1635" t="str">
        <f t="shared" si="129"/>
        <v>Oct</v>
      </c>
      <c r="F1635" t="s">
        <v>37</v>
      </c>
      <c r="G1635">
        <v>15</v>
      </c>
      <c r="H1635">
        <v>0</v>
      </c>
      <c r="I1635" s="21">
        <v>14313.85</v>
      </c>
      <c r="J1635" t="str">
        <f t="shared" si="126"/>
        <v>tier - 2</v>
      </c>
      <c r="K1635" t="s">
        <v>11</v>
      </c>
      <c r="L1635" t="str">
        <f t="shared" si="127"/>
        <v>tier - 3</v>
      </c>
      <c r="M1635" t="s">
        <v>12</v>
      </c>
      <c r="N1635" t="str">
        <f t="shared" si="128"/>
        <v>R1013</v>
      </c>
      <c r="O1635" t="s">
        <v>13</v>
      </c>
    </row>
    <row r="1636" spans="1:15" x14ac:dyDescent="0.35">
      <c r="A1636" t="s">
        <v>1667</v>
      </c>
      <c r="C1636">
        <f t="shared" si="125"/>
        <v>1958</v>
      </c>
      <c r="D1636">
        <v>1958</v>
      </c>
      <c r="E1636" t="str">
        <f t="shared" si="129"/>
        <v>Jul</v>
      </c>
      <c r="F1636" t="s">
        <v>10</v>
      </c>
      <c r="G1636">
        <v>10</v>
      </c>
      <c r="H1636">
        <v>0</v>
      </c>
      <c r="I1636" s="21">
        <v>14319.03</v>
      </c>
      <c r="J1636" t="str">
        <f t="shared" si="126"/>
        <v>tier - 2</v>
      </c>
      <c r="K1636" t="s">
        <v>11</v>
      </c>
      <c r="L1636" t="str">
        <f t="shared" si="127"/>
        <v>tier - 2</v>
      </c>
      <c r="M1636" t="s">
        <v>11</v>
      </c>
      <c r="N1636" t="str">
        <f t="shared" si="128"/>
        <v>R1011</v>
      </c>
      <c r="O1636" t="s">
        <v>42</v>
      </c>
    </row>
    <row r="1637" spans="1:15" x14ac:dyDescent="0.35">
      <c r="A1637" t="s">
        <v>1668</v>
      </c>
      <c r="C1637">
        <f t="shared" si="125"/>
        <v>1969</v>
      </c>
      <c r="D1637">
        <v>1969</v>
      </c>
      <c r="E1637" t="str">
        <f t="shared" si="129"/>
        <v>Sep</v>
      </c>
      <c r="F1637" t="s">
        <v>20</v>
      </c>
      <c r="G1637">
        <v>26</v>
      </c>
      <c r="H1637">
        <v>0</v>
      </c>
      <c r="I1637" s="21">
        <v>14337.91</v>
      </c>
      <c r="J1637" t="str">
        <f t="shared" si="126"/>
        <v>tier - 2</v>
      </c>
      <c r="K1637" t="s">
        <v>11</v>
      </c>
      <c r="L1637" t="str">
        <f t="shared" si="127"/>
        <v>tier - 3</v>
      </c>
      <c r="M1637" t="s">
        <v>12</v>
      </c>
      <c r="N1637" t="str">
        <f t="shared" si="128"/>
        <v>R1022</v>
      </c>
      <c r="O1637" t="s">
        <v>632</v>
      </c>
    </row>
    <row r="1638" spans="1:15" x14ac:dyDescent="0.35">
      <c r="A1638" t="s">
        <v>1669</v>
      </c>
      <c r="C1638">
        <f t="shared" si="125"/>
        <v>1959</v>
      </c>
      <c r="D1638">
        <v>1959</v>
      </c>
      <c r="E1638" t="str">
        <f t="shared" si="129"/>
        <v>Dec</v>
      </c>
      <c r="F1638" t="s">
        <v>30</v>
      </c>
      <c r="G1638">
        <v>24</v>
      </c>
      <c r="H1638">
        <v>1</v>
      </c>
      <c r="I1638" s="21">
        <v>14349.85</v>
      </c>
      <c r="J1638" t="str">
        <f t="shared" si="126"/>
        <v>tier - 2</v>
      </c>
      <c r="K1638" t="s">
        <v>11</v>
      </c>
      <c r="L1638" t="str">
        <f t="shared" si="127"/>
        <v>tier - 2</v>
      </c>
      <c r="M1638" t="s">
        <v>11</v>
      </c>
      <c r="N1638" t="str">
        <f t="shared" si="128"/>
        <v>R1012</v>
      </c>
      <c r="O1638" t="s">
        <v>23</v>
      </c>
    </row>
    <row r="1639" spans="1:15" x14ac:dyDescent="0.35">
      <c r="A1639" t="s">
        <v>1670</v>
      </c>
      <c r="C1639">
        <f t="shared" si="125"/>
        <v>1967</v>
      </c>
      <c r="D1639">
        <v>1967</v>
      </c>
      <c r="E1639" t="str">
        <f t="shared" si="129"/>
        <v>Oct</v>
      </c>
      <c r="F1639" t="s">
        <v>37</v>
      </c>
      <c r="G1639">
        <v>10</v>
      </c>
      <c r="H1639">
        <v>0</v>
      </c>
      <c r="I1639" s="21">
        <v>14355.43</v>
      </c>
      <c r="J1639" t="str">
        <f t="shared" si="126"/>
        <v>tier - 2</v>
      </c>
      <c r="K1639" t="s">
        <v>11</v>
      </c>
      <c r="L1639" t="str">
        <f t="shared" si="127"/>
        <v>tier - 1</v>
      </c>
      <c r="M1639" t="s">
        <v>16</v>
      </c>
      <c r="N1639" t="str">
        <f t="shared" si="128"/>
        <v>R1026</v>
      </c>
      <c r="O1639" t="s">
        <v>535</v>
      </c>
    </row>
    <row r="1640" spans="1:15" x14ac:dyDescent="0.35">
      <c r="A1640" t="s">
        <v>1671</v>
      </c>
      <c r="C1640">
        <f t="shared" si="125"/>
        <v>1988</v>
      </c>
      <c r="D1640">
        <v>1988</v>
      </c>
      <c r="E1640" t="str">
        <f t="shared" si="129"/>
        <v>Nov</v>
      </c>
      <c r="F1640" t="s">
        <v>15</v>
      </c>
      <c r="G1640">
        <v>16</v>
      </c>
      <c r="H1640">
        <v>1</v>
      </c>
      <c r="I1640" s="21">
        <v>14358.36</v>
      </c>
      <c r="J1640" t="str">
        <f t="shared" si="126"/>
        <v>tier - 2</v>
      </c>
      <c r="K1640" t="s">
        <v>11</v>
      </c>
      <c r="L1640" t="str">
        <f t="shared" si="127"/>
        <v>tier - 2</v>
      </c>
      <c r="M1640" t="s">
        <v>11</v>
      </c>
      <c r="N1640" t="str">
        <f t="shared" si="128"/>
        <v>R1011</v>
      </c>
      <c r="O1640" t="s">
        <v>42</v>
      </c>
    </row>
    <row r="1641" spans="1:15" x14ac:dyDescent="0.35">
      <c r="A1641" t="s">
        <v>1672</v>
      </c>
      <c r="C1641">
        <f t="shared" si="125"/>
        <v>1963</v>
      </c>
      <c r="D1641">
        <v>1963</v>
      </c>
      <c r="E1641" t="str">
        <f t="shared" si="129"/>
        <v>Jul</v>
      </c>
      <c r="F1641" t="s">
        <v>10</v>
      </c>
      <c r="G1641">
        <v>16</v>
      </c>
      <c r="H1641">
        <v>3</v>
      </c>
      <c r="I1641" s="21">
        <v>14382.71</v>
      </c>
      <c r="J1641" t="str">
        <f t="shared" si="126"/>
        <v>tier - 2</v>
      </c>
      <c r="K1641" t="s">
        <v>11</v>
      </c>
      <c r="L1641" t="str">
        <f t="shared" si="127"/>
        <v>tier - 2</v>
      </c>
      <c r="M1641" t="s">
        <v>11</v>
      </c>
      <c r="N1641" t="str">
        <f t="shared" si="128"/>
        <v>R1012</v>
      </c>
      <c r="O1641" t="s">
        <v>23</v>
      </c>
    </row>
    <row r="1642" spans="1:15" x14ac:dyDescent="0.35">
      <c r="A1642" t="s">
        <v>1673</v>
      </c>
      <c r="C1642">
        <f t="shared" si="125"/>
        <v>1965</v>
      </c>
      <c r="D1642">
        <v>1965</v>
      </c>
      <c r="E1642" t="str">
        <f t="shared" si="129"/>
        <v>Jun</v>
      </c>
      <c r="F1642" t="s">
        <v>18</v>
      </c>
      <c r="G1642">
        <v>22</v>
      </c>
      <c r="H1642">
        <v>4</v>
      </c>
      <c r="I1642" s="21">
        <v>14394.4</v>
      </c>
      <c r="J1642" t="str">
        <f t="shared" si="126"/>
        <v>tier - 2</v>
      </c>
      <c r="K1642" t="s">
        <v>11</v>
      </c>
      <c r="L1642" t="str">
        <f t="shared" si="127"/>
        <v>tier - 3</v>
      </c>
      <c r="M1642" t="s">
        <v>12</v>
      </c>
      <c r="N1642" t="str">
        <f t="shared" si="128"/>
        <v>R1024</v>
      </c>
      <c r="O1642" t="s">
        <v>247</v>
      </c>
    </row>
    <row r="1643" spans="1:15" x14ac:dyDescent="0.35">
      <c r="A1643" t="s">
        <v>1674</v>
      </c>
      <c r="C1643">
        <f t="shared" si="125"/>
        <v>1958</v>
      </c>
      <c r="D1643">
        <v>1958</v>
      </c>
      <c r="E1643" t="str">
        <f t="shared" si="129"/>
        <v>Sep</v>
      </c>
      <c r="F1643" t="s">
        <v>20</v>
      </c>
      <c r="G1643">
        <v>14</v>
      </c>
      <c r="H1643">
        <v>0</v>
      </c>
      <c r="I1643" s="21">
        <v>14394.56</v>
      </c>
      <c r="J1643" t="str">
        <f t="shared" si="126"/>
        <v>tier - 2</v>
      </c>
      <c r="K1643" t="s">
        <v>11</v>
      </c>
      <c r="L1643" t="str">
        <f t="shared" si="127"/>
        <v>tier - 1</v>
      </c>
      <c r="M1643" t="s">
        <v>16</v>
      </c>
      <c r="N1643" t="str">
        <f t="shared" si="128"/>
        <v>R1018</v>
      </c>
      <c r="O1643" t="s">
        <v>170</v>
      </c>
    </row>
    <row r="1644" spans="1:15" x14ac:dyDescent="0.35">
      <c r="A1644" t="s">
        <v>1675</v>
      </c>
      <c r="C1644">
        <f t="shared" si="125"/>
        <v>1958</v>
      </c>
      <c r="D1644">
        <v>1958</v>
      </c>
      <c r="E1644" t="str">
        <f t="shared" si="129"/>
        <v>Jul</v>
      </c>
      <c r="F1644" t="s">
        <v>10</v>
      </c>
      <c r="G1644">
        <v>29</v>
      </c>
      <c r="H1644">
        <v>0</v>
      </c>
      <c r="I1644" s="21">
        <v>14410.93</v>
      </c>
      <c r="J1644" t="str">
        <f t="shared" si="126"/>
        <v>tier - 2</v>
      </c>
      <c r="K1644" t="s">
        <v>11</v>
      </c>
      <c r="L1644" t="str">
        <f t="shared" si="127"/>
        <v>tier - 2</v>
      </c>
      <c r="M1644" t="s">
        <v>11</v>
      </c>
      <c r="N1644" t="str">
        <f t="shared" si="128"/>
        <v>R1016</v>
      </c>
      <c r="O1644" t="s">
        <v>168</v>
      </c>
    </row>
    <row r="1645" spans="1:15" x14ac:dyDescent="0.35">
      <c r="A1645" t="s">
        <v>1676</v>
      </c>
      <c r="C1645">
        <f t="shared" si="125"/>
        <v>1958</v>
      </c>
      <c r="D1645">
        <v>1958</v>
      </c>
      <c r="E1645" t="str">
        <f t="shared" si="129"/>
        <v>Sep</v>
      </c>
      <c r="F1645" t="s">
        <v>20</v>
      </c>
      <c r="G1645">
        <v>20</v>
      </c>
      <c r="H1645">
        <v>1</v>
      </c>
      <c r="I1645" s="21">
        <v>14418.28</v>
      </c>
      <c r="J1645" t="str">
        <f t="shared" si="126"/>
        <v>tier - 2</v>
      </c>
      <c r="K1645" t="s">
        <v>11</v>
      </c>
      <c r="L1645" t="str">
        <f t="shared" si="127"/>
        <v>tier - 3</v>
      </c>
      <c r="M1645" t="s">
        <v>12</v>
      </c>
      <c r="N1645" t="str">
        <f t="shared" si="128"/>
        <v>R1013</v>
      </c>
      <c r="O1645" t="s">
        <v>13</v>
      </c>
    </row>
    <row r="1646" spans="1:15" x14ac:dyDescent="0.35">
      <c r="A1646" t="s">
        <v>1677</v>
      </c>
      <c r="C1646">
        <f t="shared" si="125"/>
        <v>1999</v>
      </c>
      <c r="D1646">
        <v>1999</v>
      </c>
      <c r="E1646" t="str">
        <f t="shared" si="129"/>
        <v>Aug</v>
      </c>
      <c r="F1646" t="s">
        <v>35</v>
      </c>
      <c r="G1646">
        <v>10</v>
      </c>
      <c r="H1646">
        <v>2</v>
      </c>
      <c r="I1646" s="21">
        <v>14426.07</v>
      </c>
      <c r="J1646" t="str">
        <f t="shared" si="126"/>
        <v>tier - 2</v>
      </c>
      <c r="K1646" t="s">
        <v>11</v>
      </c>
      <c r="L1646" t="str">
        <f t="shared" si="127"/>
        <v>tier - 1</v>
      </c>
      <c r="M1646" t="s">
        <v>16</v>
      </c>
      <c r="N1646" t="str">
        <f t="shared" si="128"/>
        <v>R1012</v>
      </c>
      <c r="O1646" t="s">
        <v>23</v>
      </c>
    </row>
    <row r="1647" spans="1:15" x14ac:dyDescent="0.35">
      <c r="A1647" t="s">
        <v>1678</v>
      </c>
      <c r="C1647">
        <f t="shared" si="125"/>
        <v>1967</v>
      </c>
      <c r="D1647">
        <v>1967</v>
      </c>
      <c r="E1647" t="str">
        <f t="shared" si="129"/>
        <v>Aug</v>
      </c>
      <c r="F1647" t="s">
        <v>35</v>
      </c>
      <c r="G1647">
        <v>15</v>
      </c>
      <c r="H1647">
        <v>0</v>
      </c>
      <c r="I1647" s="21">
        <v>14426.66</v>
      </c>
      <c r="J1647" t="str">
        <f t="shared" si="126"/>
        <v>tier - 2</v>
      </c>
      <c r="K1647" t="s">
        <v>11</v>
      </c>
      <c r="L1647" t="str">
        <f t="shared" si="127"/>
        <v>tier - 2</v>
      </c>
      <c r="M1647" t="s">
        <v>11</v>
      </c>
      <c r="N1647" t="str">
        <f t="shared" si="128"/>
        <v>R1026</v>
      </c>
      <c r="O1647" t="s">
        <v>535</v>
      </c>
    </row>
    <row r="1648" spans="1:15" x14ac:dyDescent="0.35">
      <c r="A1648" t="s">
        <v>1679</v>
      </c>
      <c r="C1648">
        <f t="shared" si="125"/>
        <v>1967</v>
      </c>
      <c r="D1648">
        <v>1967</v>
      </c>
      <c r="E1648" t="str">
        <f t="shared" si="129"/>
        <v>Nov</v>
      </c>
      <c r="F1648" t="s">
        <v>15</v>
      </c>
      <c r="G1648">
        <v>4</v>
      </c>
      <c r="H1648">
        <v>0</v>
      </c>
      <c r="I1648" s="21">
        <v>14427.63</v>
      </c>
      <c r="J1648" t="str">
        <f t="shared" si="126"/>
        <v>tier - 2</v>
      </c>
      <c r="K1648" t="s">
        <v>11</v>
      </c>
      <c r="L1648" t="str">
        <f t="shared" si="127"/>
        <v>tier - 2</v>
      </c>
      <c r="M1648" t="s">
        <v>11</v>
      </c>
      <c r="N1648" t="str">
        <f t="shared" si="128"/>
        <v>R1021</v>
      </c>
      <c r="O1648" t="s">
        <v>300</v>
      </c>
    </row>
    <row r="1649" spans="1:15" x14ac:dyDescent="0.35">
      <c r="A1649" t="s">
        <v>1680</v>
      </c>
      <c r="C1649">
        <f t="shared" si="125"/>
        <v>1959</v>
      </c>
      <c r="D1649">
        <v>1959</v>
      </c>
      <c r="E1649" t="str">
        <f t="shared" si="129"/>
        <v>Jun</v>
      </c>
      <c r="F1649" t="s">
        <v>18</v>
      </c>
      <c r="G1649">
        <v>29</v>
      </c>
      <c r="H1649">
        <v>0</v>
      </c>
      <c r="I1649" s="21">
        <v>14449.85</v>
      </c>
      <c r="J1649" t="str">
        <f t="shared" si="126"/>
        <v>tier - 2</v>
      </c>
      <c r="K1649" t="s">
        <v>11</v>
      </c>
      <c r="L1649" t="str">
        <f t="shared" si="127"/>
        <v>tier - 1</v>
      </c>
      <c r="M1649" t="s">
        <v>16</v>
      </c>
      <c r="N1649" t="str">
        <f t="shared" si="128"/>
        <v>R1024</v>
      </c>
      <c r="O1649" t="s">
        <v>247</v>
      </c>
    </row>
    <row r="1650" spans="1:15" x14ac:dyDescent="0.35">
      <c r="A1650" t="s">
        <v>1681</v>
      </c>
      <c r="C1650">
        <f t="shared" si="125"/>
        <v>1959</v>
      </c>
      <c r="D1650">
        <v>1959</v>
      </c>
      <c r="E1650" t="str">
        <f t="shared" si="129"/>
        <v>Aug</v>
      </c>
      <c r="F1650" t="s">
        <v>35</v>
      </c>
      <c r="G1650">
        <v>3</v>
      </c>
      <c r="H1650">
        <v>0</v>
      </c>
      <c r="I1650" s="21">
        <v>14451.84</v>
      </c>
      <c r="J1650" t="str">
        <f t="shared" si="126"/>
        <v>tier - 2</v>
      </c>
      <c r="K1650" t="s">
        <v>11</v>
      </c>
      <c r="L1650" t="str">
        <f t="shared" si="127"/>
        <v>tier - 3</v>
      </c>
      <c r="M1650" t="s">
        <v>12</v>
      </c>
      <c r="N1650" t="str">
        <f t="shared" si="128"/>
        <v>R1023</v>
      </c>
      <c r="O1650" t="s">
        <v>249</v>
      </c>
    </row>
    <row r="1651" spans="1:15" x14ac:dyDescent="0.35">
      <c r="A1651" t="s">
        <v>1682</v>
      </c>
      <c r="C1651">
        <f t="shared" si="125"/>
        <v>1996</v>
      </c>
      <c r="D1651">
        <v>1996</v>
      </c>
      <c r="E1651" t="str">
        <f t="shared" si="129"/>
        <v>Nov</v>
      </c>
      <c r="F1651" t="s">
        <v>15</v>
      </c>
      <c r="G1651">
        <v>10</v>
      </c>
      <c r="H1651">
        <v>2</v>
      </c>
      <c r="I1651" s="21">
        <v>14455.64</v>
      </c>
      <c r="J1651" t="str">
        <f t="shared" si="126"/>
        <v>tier - 2</v>
      </c>
      <c r="K1651" t="s">
        <v>11</v>
      </c>
      <c r="L1651" t="str">
        <f t="shared" si="127"/>
        <v>tier - 3</v>
      </c>
      <c r="M1651" t="s">
        <v>12</v>
      </c>
      <c r="N1651" t="str">
        <f t="shared" si="128"/>
        <v>R1024</v>
      </c>
      <c r="O1651" t="s">
        <v>247</v>
      </c>
    </row>
    <row r="1652" spans="1:15" x14ac:dyDescent="0.35">
      <c r="A1652" t="s">
        <v>1683</v>
      </c>
      <c r="C1652">
        <f t="shared" si="125"/>
        <v>1976</v>
      </c>
      <c r="D1652">
        <v>1976</v>
      </c>
      <c r="E1652" t="str">
        <f t="shared" si="129"/>
        <v>Nov</v>
      </c>
      <c r="F1652" t="s">
        <v>15</v>
      </c>
      <c r="G1652">
        <v>27</v>
      </c>
      <c r="H1652">
        <v>2</v>
      </c>
      <c r="I1652" s="21">
        <v>14470.01</v>
      </c>
      <c r="J1652" t="str">
        <f t="shared" si="126"/>
        <v>tier - 2</v>
      </c>
      <c r="K1652" t="s">
        <v>11</v>
      </c>
      <c r="L1652" t="str">
        <f t="shared" si="127"/>
        <v>tier - 3</v>
      </c>
      <c r="M1652" t="s">
        <v>12</v>
      </c>
      <c r="N1652" t="str">
        <f t="shared" si="128"/>
        <v>R1012</v>
      </c>
      <c r="O1652" t="s">
        <v>23</v>
      </c>
    </row>
    <row r="1653" spans="1:15" x14ac:dyDescent="0.35">
      <c r="A1653" t="s">
        <v>1684</v>
      </c>
      <c r="C1653">
        <f t="shared" si="125"/>
        <v>1959</v>
      </c>
      <c r="D1653">
        <v>1959</v>
      </c>
      <c r="E1653" t="str">
        <f t="shared" si="129"/>
        <v>Nov</v>
      </c>
      <c r="F1653" t="s">
        <v>15</v>
      </c>
      <c r="G1653">
        <v>20</v>
      </c>
      <c r="H1653">
        <v>1</v>
      </c>
      <c r="I1653" s="21">
        <v>14474.68</v>
      </c>
      <c r="J1653" t="str">
        <f t="shared" si="126"/>
        <v>tier - 2</v>
      </c>
      <c r="K1653" t="s">
        <v>11</v>
      </c>
      <c r="L1653" t="str">
        <f t="shared" si="127"/>
        <v>tier - 2</v>
      </c>
      <c r="M1653" t="s">
        <v>11</v>
      </c>
      <c r="N1653" t="str">
        <f t="shared" si="128"/>
        <v>R1013</v>
      </c>
      <c r="O1653" t="s">
        <v>13</v>
      </c>
    </row>
    <row r="1654" spans="1:15" x14ac:dyDescent="0.35">
      <c r="A1654" t="s">
        <v>1685</v>
      </c>
      <c r="C1654">
        <f t="shared" si="125"/>
        <v>1979</v>
      </c>
      <c r="D1654">
        <v>1979</v>
      </c>
      <c r="E1654" t="str">
        <f t="shared" si="129"/>
        <v>Oct</v>
      </c>
      <c r="F1654" t="s">
        <v>37</v>
      </c>
      <c r="G1654">
        <v>20</v>
      </c>
      <c r="H1654">
        <v>5</v>
      </c>
      <c r="I1654" s="21">
        <v>14478.33</v>
      </c>
      <c r="J1654" t="str">
        <f t="shared" si="126"/>
        <v>tier - 2</v>
      </c>
      <c r="K1654" t="s">
        <v>11</v>
      </c>
      <c r="L1654" t="str">
        <f t="shared" si="127"/>
        <v>tier - 2</v>
      </c>
      <c r="M1654" t="s">
        <v>11</v>
      </c>
      <c r="N1654" t="str">
        <f t="shared" si="128"/>
        <v>R1013</v>
      </c>
      <c r="O1654" t="s">
        <v>13</v>
      </c>
    </row>
    <row r="1655" spans="1:15" x14ac:dyDescent="0.35">
      <c r="A1655" t="s">
        <v>1686</v>
      </c>
      <c r="C1655">
        <f t="shared" si="125"/>
        <v>1989</v>
      </c>
      <c r="D1655">
        <v>1989</v>
      </c>
      <c r="E1655" t="str">
        <f t="shared" si="129"/>
        <v>Jul</v>
      </c>
      <c r="F1655" t="s">
        <v>10</v>
      </c>
      <c r="G1655">
        <v>22</v>
      </c>
      <c r="H1655">
        <v>3</v>
      </c>
      <c r="I1655" s="21">
        <v>14507.46</v>
      </c>
      <c r="J1655" t="str">
        <f t="shared" si="126"/>
        <v>tier - 2</v>
      </c>
      <c r="K1655" t="s">
        <v>11</v>
      </c>
      <c r="L1655" t="str">
        <f t="shared" si="127"/>
        <v>tier - 3</v>
      </c>
      <c r="M1655" t="s">
        <v>12</v>
      </c>
      <c r="N1655" t="str">
        <f t="shared" si="128"/>
        <v>R1012</v>
      </c>
      <c r="O1655" t="s">
        <v>23</v>
      </c>
    </row>
    <row r="1656" spans="1:15" x14ac:dyDescent="0.35">
      <c r="A1656" t="s">
        <v>1687</v>
      </c>
      <c r="C1656">
        <f t="shared" si="125"/>
        <v>1989</v>
      </c>
      <c r="D1656">
        <v>1989</v>
      </c>
      <c r="E1656" t="str">
        <f t="shared" si="129"/>
        <v>Jul</v>
      </c>
      <c r="F1656" t="s">
        <v>10</v>
      </c>
      <c r="G1656">
        <v>14</v>
      </c>
      <c r="H1656">
        <v>3</v>
      </c>
      <c r="I1656" s="21">
        <v>14547.26</v>
      </c>
      <c r="J1656" t="str">
        <f t="shared" si="126"/>
        <v>tier - 2</v>
      </c>
      <c r="K1656" t="s">
        <v>11</v>
      </c>
      <c r="L1656" t="str">
        <f t="shared" si="127"/>
        <v>tier - 3</v>
      </c>
      <c r="M1656" t="s">
        <v>12</v>
      </c>
      <c r="N1656" t="str">
        <f t="shared" si="128"/>
        <v>R1011</v>
      </c>
      <c r="O1656" t="s">
        <v>42</v>
      </c>
    </row>
    <row r="1657" spans="1:15" x14ac:dyDescent="0.35">
      <c r="A1657" t="s">
        <v>1688</v>
      </c>
      <c r="C1657">
        <f t="shared" si="125"/>
        <v>1998</v>
      </c>
      <c r="D1657">
        <v>1998</v>
      </c>
      <c r="E1657" t="str">
        <f t="shared" si="129"/>
        <v>Sep</v>
      </c>
      <c r="F1657" t="s">
        <v>20</v>
      </c>
      <c r="G1657">
        <v>12</v>
      </c>
      <c r="H1657">
        <v>0</v>
      </c>
      <c r="I1657" s="21">
        <v>14571.89</v>
      </c>
      <c r="J1657" t="str">
        <f t="shared" si="126"/>
        <v>tier - 2</v>
      </c>
      <c r="K1657" t="s">
        <v>11</v>
      </c>
      <c r="L1657" t="str">
        <f t="shared" si="127"/>
        <v>tier - 1</v>
      </c>
      <c r="M1657" t="s">
        <v>16</v>
      </c>
      <c r="N1657" t="str">
        <f t="shared" si="128"/>
        <v>R1024</v>
      </c>
      <c r="O1657" t="s">
        <v>247</v>
      </c>
    </row>
    <row r="1658" spans="1:15" x14ac:dyDescent="0.35">
      <c r="A1658" t="s">
        <v>1689</v>
      </c>
      <c r="C1658">
        <f t="shared" si="125"/>
        <v>1962</v>
      </c>
      <c r="D1658">
        <v>1962</v>
      </c>
      <c r="E1658" t="str">
        <f t="shared" si="129"/>
        <v>Dec</v>
      </c>
      <c r="F1658" t="s">
        <v>30</v>
      </c>
      <c r="G1658">
        <v>3</v>
      </c>
      <c r="H1658">
        <v>0</v>
      </c>
      <c r="I1658" s="21">
        <v>14574.64</v>
      </c>
      <c r="J1658" t="str">
        <f t="shared" si="126"/>
        <v>tier - 2</v>
      </c>
      <c r="K1658" t="s">
        <v>11</v>
      </c>
      <c r="L1658" t="str">
        <f t="shared" si="127"/>
        <v>tier - 1</v>
      </c>
      <c r="M1658" t="s">
        <v>16</v>
      </c>
      <c r="N1658" t="str">
        <f t="shared" si="128"/>
        <v>R1025</v>
      </c>
      <c r="O1658" t="s">
        <v>200</v>
      </c>
    </row>
    <row r="1659" spans="1:15" x14ac:dyDescent="0.35">
      <c r="A1659" t="s">
        <v>1690</v>
      </c>
      <c r="C1659">
        <f t="shared" si="125"/>
        <v>1963</v>
      </c>
      <c r="D1659">
        <v>1963</v>
      </c>
      <c r="E1659" t="str">
        <f t="shared" si="129"/>
        <v>Oct</v>
      </c>
      <c r="F1659" t="s">
        <v>37</v>
      </c>
      <c r="G1659">
        <v>14</v>
      </c>
      <c r="H1659">
        <v>3</v>
      </c>
      <c r="I1659" s="21">
        <v>14590.63</v>
      </c>
      <c r="J1659" t="str">
        <f t="shared" si="126"/>
        <v>tier - 2</v>
      </c>
      <c r="K1659" t="s">
        <v>11</v>
      </c>
      <c r="L1659" t="str">
        <f t="shared" si="127"/>
        <v>tier - 1</v>
      </c>
      <c r="M1659" t="s">
        <v>16</v>
      </c>
      <c r="N1659" t="str">
        <f t="shared" si="128"/>
        <v>R1024</v>
      </c>
      <c r="O1659" t="s">
        <v>247</v>
      </c>
    </row>
    <row r="1660" spans="1:15" x14ac:dyDescent="0.35">
      <c r="A1660" t="s">
        <v>1691</v>
      </c>
      <c r="C1660">
        <f t="shared" si="125"/>
        <v>1967</v>
      </c>
      <c r="D1660">
        <v>1967</v>
      </c>
      <c r="E1660" t="str">
        <f t="shared" si="129"/>
        <v>Jul</v>
      </c>
      <c r="F1660" t="s">
        <v>10</v>
      </c>
      <c r="G1660">
        <v>18</v>
      </c>
      <c r="H1660">
        <v>0</v>
      </c>
      <c r="I1660" s="21">
        <v>14600.62</v>
      </c>
      <c r="J1660" t="str">
        <f t="shared" si="126"/>
        <v>tier - 2</v>
      </c>
      <c r="K1660" t="s">
        <v>11</v>
      </c>
      <c r="L1660" t="str">
        <f t="shared" si="127"/>
        <v>tier - 3</v>
      </c>
      <c r="M1660" t="s">
        <v>12</v>
      </c>
      <c r="N1660" t="str">
        <f t="shared" si="128"/>
        <v>R1022</v>
      </c>
      <c r="O1660" t="s">
        <v>632</v>
      </c>
    </row>
    <row r="1661" spans="1:15" x14ac:dyDescent="0.35">
      <c r="A1661" t="s">
        <v>1692</v>
      </c>
      <c r="C1661">
        <f t="shared" si="125"/>
        <v>1965</v>
      </c>
      <c r="D1661">
        <v>1965</v>
      </c>
      <c r="E1661" t="str">
        <f t="shared" si="129"/>
        <v>Nov</v>
      </c>
      <c r="F1661" t="s">
        <v>15</v>
      </c>
      <c r="G1661">
        <v>8</v>
      </c>
      <c r="H1661">
        <v>0</v>
      </c>
      <c r="I1661" s="21">
        <v>14612.33</v>
      </c>
      <c r="J1661" t="str">
        <f t="shared" si="126"/>
        <v>tier - 2</v>
      </c>
      <c r="K1661" t="s">
        <v>11</v>
      </c>
      <c r="L1661" t="str">
        <f t="shared" si="127"/>
        <v>tier - 3</v>
      </c>
      <c r="M1661" t="s">
        <v>12</v>
      </c>
      <c r="N1661" t="str">
        <f t="shared" si="128"/>
        <v>R1021</v>
      </c>
      <c r="O1661" t="s">
        <v>300</v>
      </c>
    </row>
    <row r="1662" spans="1:15" x14ac:dyDescent="0.35">
      <c r="A1662" t="s">
        <v>1693</v>
      </c>
      <c r="C1662">
        <f t="shared" si="125"/>
        <v>1991</v>
      </c>
      <c r="D1662">
        <v>1991</v>
      </c>
      <c r="E1662" t="str">
        <f t="shared" si="129"/>
        <v>Aug</v>
      </c>
      <c r="F1662" t="s">
        <v>35</v>
      </c>
      <c r="G1662">
        <v>21</v>
      </c>
      <c r="H1662">
        <v>3</v>
      </c>
      <c r="I1662" s="21">
        <v>14630.52</v>
      </c>
      <c r="J1662" t="str">
        <f t="shared" si="126"/>
        <v>tier - 2</v>
      </c>
      <c r="K1662" t="s">
        <v>11</v>
      </c>
      <c r="L1662" t="str">
        <f t="shared" si="127"/>
        <v>tier - 3</v>
      </c>
      <c r="M1662" t="s">
        <v>12</v>
      </c>
      <c r="N1662" t="str">
        <f t="shared" si="128"/>
        <v>R1011</v>
      </c>
      <c r="O1662" t="s">
        <v>42</v>
      </c>
    </row>
    <row r="1663" spans="1:15" x14ac:dyDescent="0.35">
      <c r="A1663" t="s">
        <v>1694</v>
      </c>
      <c r="C1663">
        <f t="shared" si="125"/>
        <v>1967</v>
      </c>
      <c r="D1663">
        <v>1967</v>
      </c>
      <c r="E1663" t="str">
        <f t="shared" si="129"/>
        <v>Sep</v>
      </c>
      <c r="F1663" t="s">
        <v>20</v>
      </c>
      <c r="G1663">
        <v>1</v>
      </c>
      <c r="H1663">
        <v>0</v>
      </c>
      <c r="I1663" s="21">
        <v>14640.35</v>
      </c>
      <c r="J1663" t="str">
        <f t="shared" si="126"/>
        <v>tier - 2</v>
      </c>
      <c r="K1663" t="s">
        <v>11</v>
      </c>
      <c r="L1663" t="str">
        <f t="shared" si="127"/>
        <v>tier - 3</v>
      </c>
      <c r="M1663" t="s">
        <v>12</v>
      </c>
      <c r="N1663" t="str">
        <f t="shared" si="128"/>
        <v>R1026</v>
      </c>
      <c r="O1663" t="s">
        <v>535</v>
      </c>
    </row>
    <row r="1664" spans="1:15" x14ac:dyDescent="0.35">
      <c r="A1664" t="s">
        <v>1695</v>
      </c>
      <c r="C1664">
        <f t="shared" si="125"/>
        <v>1981</v>
      </c>
      <c r="D1664">
        <v>1981</v>
      </c>
      <c r="E1664" t="str">
        <f t="shared" si="129"/>
        <v>Nov</v>
      </c>
      <c r="F1664" t="s">
        <v>15</v>
      </c>
      <c r="G1664">
        <v>13</v>
      </c>
      <c r="H1664">
        <v>1</v>
      </c>
      <c r="I1664" s="21">
        <v>14657.2</v>
      </c>
      <c r="J1664" t="str">
        <f t="shared" si="126"/>
        <v>tier - 2</v>
      </c>
      <c r="K1664" t="s">
        <v>11</v>
      </c>
      <c r="L1664" t="str">
        <f t="shared" si="127"/>
        <v>tier - 1</v>
      </c>
      <c r="M1664" t="s">
        <v>16</v>
      </c>
      <c r="N1664" t="str">
        <f t="shared" si="128"/>
        <v>R1012</v>
      </c>
      <c r="O1664" t="s">
        <v>23</v>
      </c>
    </row>
    <row r="1665" spans="1:15" x14ac:dyDescent="0.35">
      <c r="A1665" t="s">
        <v>1696</v>
      </c>
      <c r="C1665">
        <f t="shared" si="125"/>
        <v>1969</v>
      </c>
      <c r="D1665">
        <v>1969</v>
      </c>
      <c r="E1665" t="str">
        <f t="shared" si="129"/>
        <v>Oct</v>
      </c>
      <c r="F1665" t="s">
        <v>37</v>
      </c>
      <c r="G1665">
        <v>20</v>
      </c>
      <c r="H1665">
        <v>0</v>
      </c>
      <c r="I1665" s="21">
        <v>14665.75</v>
      </c>
      <c r="J1665" t="str">
        <f t="shared" si="126"/>
        <v>tier - 2</v>
      </c>
      <c r="K1665" t="s">
        <v>11</v>
      </c>
      <c r="L1665" t="str">
        <f t="shared" si="127"/>
        <v>tier - 1</v>
      </c>
      <c r="M1665" t="s">
        <v>16</v>
      </c>
      <c r="N1665" t="str">
        <f t="shared" si="128"/>
        <v>R1012</v>
      </c>
      <c r="O1665" t="s">
        <v>23</v>
      </c>
    </row>
    <row r="1666" spans="1:15" x14ac:dyDescent="0.35">
      <c r="A1666" t="s">
        <v>1697</v>
      </c>
      <c r="C1666">
        <f t="shared" si="125"/>
        <v>1958</v>
      </c>
      <c r="D1666">
        <v>1958</v>
      </c>
      <c r="E1666" t="str">
        <f t="shared" si="129"/>
        <v>Jul</v>
      </c>
      <c r="F1666" t="s">
        <v>10</v>
      </c>
      <c r="G1666">
        <v>23</v>
      </c>
      <c r="H1666">
        <v>0</v>
      </c>
      <c r="I1666" s="21">
        <v>14692.67</v>
      </c>
      <c r="J1666" t="str">
        <f t="shared" si="126"/>
        <v>tier - 2</v>
      </c>
      <c r="K1666" t="s">
        <v>11</v>
      </c>
      <c r="L1666" t="str">
        <f t="shared" si="127"/>
        <v>tier - 1</v>
      </c>
      <c r="M1666" t="s">
        <v>16</v>
      </c>
      <c r="N1666" t="str">
        <f t="shared" si="128"/>
        <v>R1012</v>
      </c>
      <c r="O1666" t="s">
        <v>23</v>
      </c>
    </row>
    <row r="1667" spans="1:15" x14ac:dyDescent="0.35">
      <c r="A1667" t="s">
        <v>1698</v>
      </c>
      <c r="C1667">
        <f t="shared" ref="C1667:C1730" si="130">IF(OR(D1667="?", ISBLANK(D1667)), 1983, D1667)</f>
        <v>1982</v>
      </c>
      <c r="D1667">
        <v>1982</v>
      </c>
      <c r="E1667" t="str">
        <f t="shared" si="129"/>
        <v>Sep</v>
      </c>
      <c r="F1667" t="s">
        <v>20</v>
      </c>
      <c r="G1667">
        <v>4</v>
      </c>
      <c r="H1667">
        <v>3</v>
      </c>
      <c r="I1667" s="21">
        <v>14696.77</v>
      </c>
      <c r="J1667" t="str">
        <f t="shared" ref="J1667:J1730" si="131">IF(OR(K1667="?", ISBLANK(K1667)), "Tier 2", K1667)</f>
        <v>tier - 2</v>
      </c>
      <c r="K1667" t="s">
        <v>11</v>
      </c>
      <c r="L1667" t="str">
        <f t="shared" ref="L1667:L1730" si="132">IF(OR(M1667="?", ISBLANK(M1667)), "Tier 2", M1667)</f>
        <v>tier - 2</v>
      </c>
      <c r="M1667" t="s">
        <v>11</v>
      </c>
      <c r="N1667" t="str">
        <f t="shared" ref="N1667:N1730" si="133">IF(OR(O1667="?", ISBLANK(O1667)), "Unknown", O1667)</f>
        <v>R1011</v>
      </c>
      <c r="O1667" t="s">
        <v>42</v>
      </c>
    </row>
    <row r="1668" spans="1:15" x14ac:dyDescent="0.35">
      <c r="A1668" t="s">
        <v>1699</v>
      </c>
      <c r="C1668">
        <f t="shared" si="130"/>
        <v>2002</v>
      </c>
      <c r="D1668">
        <v>2002</v>
      </c>
      <c r="E1668" t="str">
        <f t="shared" ref="E1668:E1731" si="134">IF(OR(F1668="?", ISBLANK(F1668)), "Sep", F1668)</f>
        <v>Sep</v>
      </c>
      <c r="F1668" t="s">
        <v>20</v>
      </c>
      <c r="G1668">
        <v>24</v>
      </c>
      <c r="H1668">
        <v>0</v>
      </c>
      <c r="I1668" s="21">
        <v>14711.74</v>
      </c>
      <c r="J1668" t="str">
        <f t="shared" si="131"/>
        <v>tier - 2</v>
      </c>
      <c r="K1668" t="s">
        <v>11</v>
      </c>
      <c r="L1668" t="str">
        <f t="shared" si="132"/>
        <v>tier - 2</v>
      </c>
      <c r="M1668" t="s">
        <v>11</v>
      </c>
      <c r="N1668" t="str">
        <f t="shared" si="133"/>
        <v>R1012</v>
      </c>
      <c r="O1668" t="s">
        <v>23</v>
      </c>
    </row>
    <row r="1669" spans="1:15" x14ac:dyDescent="0.35">
      <c r="A1669" t="s">
        <v>1700</v>
      </c>
      <c r="C1669">
        <f t="shared" si="130"/>
        <v>1962</v>
      </c>
      <c r="D1669">
        <v>1962</v>
      </c>
      <c r="E1669" t="str">
        <f t="shared" si="134"/>
        <v>Jul</v>
      </c>
      <c r="F1669" t="s">
        <v>10</v>
      </c>
      <c r="G1669">
        <v>29</v>
      </c>
      <c r="H1669">
        <v>0</v>
      </c>
      <c r="I1669" s="21">
        <v>14738.43</v>
      </c>
      <c r="J1669" t="str">
        <f t="shared" si="131"/>
        <v>tier - 2</v>
      </c>
      <c r="K1669" t="s">
        <v>11</v>
      </c>
      <c r="L1669" t="str">
        <f t="shared" si="132"/>
        <v>tier - 3</v>
      </c>
      <c r="M1669" t="s">
        <v>12</v>
      </c>
      <c r="N1669" t="str">
        <f t="shared" si="133"/>
        <v>R1021</v>
      </c>
      <c r="O1669" t="s">
        <v>300</v>
      </c>
    </row>
    <row r="1670" spans="1:15" x14ac:dyDescent="0.35">
      <c r="A1670" t="s">
        <v>1701</v>
      </c>
      <c r="C1670">
        <f t="shared" si="130"/>
        <v>1965</v>
      </c>
      <c r="D1670">
        <v>1965</v>
      </c>
      <c r="E1670" t="str">
        <f t="shared" si="134"/>
        <v>Jul</v>
      </c>
      <c r="F1670" t="s">
        <v>10</v>
      </c>
      <c r="G1670">
        <v>27</v>
      </c>
      <c r="H1670">
        <v>0</v>
      </c>
      <c r="I1670" s="21">
        <v>14750.42</v>
      </c>
      <c r="J1670" t="str">
        <f t="shared" si="131"/>
        <v>tier - 2</v>
      </c>
      <c r="K1670" t="s">
        <v>11</v>
      </c>
      <c r="L1670" t="str">
        <f t="shared" si="132"/>
        <v>tier - 2</v>
      </c>
      <c r="M1670" t="s">
        <v>11</v>
      </c>
      <c r="N1670" t="str">
        <f t="shared" si="133"/>
        <v>R1026</v>
      </c>
      <c r="O1670" t="s">
        <v>535</v>
      </c>
    </row>
    <row r="1671" spans="1:15" x14ac:dyDescent="0.35">
      <c r="A1671" t="s">
        <v>1702</v>
      </c>
      <c r="C1671">
        <f t="shared" si="130"/>
        <v>1975</v>
      </c>
      <c r="D1671">
        <v>1975</v>
      </c>
      <c r="E1671" t="str">
        <f t="shared" si="134"/>
        <v>Dec</v>
      </c>
      <c r="F1671" t="s">
        <v>30</v>
      </c>
      <c r="G1671">
        <v>10</v>
      </c>
      <c r="H1671">
        <v>1</v>
      </c>
      <c r="I1671" s="21">
        <v>14819</v>
      </c>
      <c r="J1671" t="str">
        <f t="shared" si="131"/>
        <v>tier - 2</v>
      </c>
      <c r="K1671" t="s">
        <v>11</v>
      </c>
      <c r="L1671" t="str">
        <f t="shared" si="132"/>
        <v>tier - 3</v>
      </c>
      <c r="M1671" t="s">
        <v>12</v>
      </c>
      <c r="N1671" t="str">
        <f t="shared" si="133"/>
        <v>R1023</v>
      </c>
      <c r="O1671" t="s">
        <v>249</v>
      </c>
    </row>
    <row r="1672" spans="1:15" x14ac:dyDescent="0.35">
      <c r="A1672" t="s">
        <v>1703</v>
      </c>
      <c r="C1672">
        <f t="shared" si="130"/>
        <v>1979</v>
      </c>
      <c r="D1672">
        <v>1979</v>
      </c>
      <c r="E1672" t="str">
        <f t="shared" si="134"/>
        <v>Oct</v>
      </c>
      <c r="F1672" t="s">
        <v>37</v>
      </c>
      <c r="G1672">
        <v>18</v>
      </c>
      <c r="H1672">
        <v>2</v>
      </c>
      <c r="I1672" s="21">
        <v>14839.34</v>
      </c>
      <c r="J1672" t="str">
        <f t="shared" si="131"/>
        <v>tier - 2</v>
      </c>
      <c r="K1672" t="s">
        <v>11</v>
      </c>
      <c r="L1672" t="str">
        <f t="shared" si="132"/>
        <v>tier - 3</v>
      </c>
      <c r="M1672" t="s">
        <v>12</v>
      </c>
      <c r="N1672" t="str">
        <f t="shared" si="133"/>
        <v>R1026</v>
      </c>
      <c r="O1672" t="s">
        <v>535</v>
      </c>
    </row>
    <row r="1673" spans="1:15" x14ac:dyDescent="0.35">
      <c r="A1673" t="s">
        <v>1704</v>
      </c>
      <c r="C1673">
        <f t="shared" si="130"/>
        <v>1981</v>
      </c>
      <c r="D1673">
        <v>1981</v>
      </c>
      <c r="E1673" t="str">
        <f t="shared" si="134"/>
        <v>Jun</v>
      </c>
      <c r="F1673" t="s">
        <v>18</v>
      </c>
      <c r="G1673">
        <v>5</v>
      </c>
      <c r="H1673">
        <v>1</v>
      </c>
      <c r="I1673" s="21">
        <v>14843.96</v>
      </c>
      <c r="J1673" t="str">
        <f t="shared" si="131"/>
        <v>tier - 2</v>
      </c>
      <c r="K1673" t="s">
        <v>11</v>
      </c>
      <c r="L1673" t="str">
        <f t="shared" si="132"/>
        <v>tier - 3</v>
      </c>
      <c r="M1673" t="s">
        <v>12</v>
      </c>
      <c r="N1673" t="str">
        <f t="shared" si="133"/>
        <v>R1026</v>
      </c>
      <c r="O1673" t="s">
        <v>535</v>
      </c>
    </row>
    <row r="1674" spans="1:15" x14ac:dyDescent="0.35">
      <c r="A1674" t="s">
        <v>1705</v>
      </c>
      <c r="C1674">
        <f t="shared" si="130"/>
        <v>1970</v>
      </c>
      <c r="D1674">
        <v>1970</v>
      </c>
      <c r="E1674" t="str">
        <f t="shared" si="134"/>
        <v>Nov</v>
      </c>
      <c r="F1674" t="s">
        <v>15</v>
      </c>
      <c r="G1674">
        <v>11</v>
      </c>
      <c r="H1674">
        <v>0</v>
      </c>
      <c r="I1674" s="21">
        <v>14847.63</v>
      </c>
      <c r="J1674" t="str">
        <f t="shared" si="131"/>
        <v>tier - 2</v>
      </c>
      <c r="K1674" t="s">
        <v>11</v>
      </c>
      <c r="L1674" t="str">
        <f t="shared" si="132"/>
        <v>tier - 2</v>
      </c>
      <c r="M1674" t="s">
        <v>11</v>
      </c>
      <c r="N1674" t="str">
        <f t="shared" si="133"/>
        <v>R1023</v>
      </c>
      <c r="O1674" t="s">
        <v>249</v>
      </c>
    </row>
    <row r="1675" spans="1:15" x14ac:dyDescent="0.35">
      <c r="A1675" t="s">
        <v>1706</v>
      </c>
      <c r="C1675">
        <f t="shared" si="130"/>
        <v>1958</v>
      </c>
      <c r="D1675">
        <v>1958</v>
      </c>
      <c r="E1675" t="str">
        <f t="shared" si="134"/>
        <v>Oct</v>
      </c>
      <c r="F1675" t="s">
        <v>37</v>
      </c>
      <c r="G1675">
        <v>17</v>
      </c>
      <c r="H1675">
        <v>0</v>
      </c>
      <c r="I1675" s="21">
        <v>14901.52</v>
      </c>
      <c r="J1675" t="str">
        <f t="shared" si="131"/>
        <v>tier - 2</v>
      </c>
      <c r="K1675" t="s">
        <v>11</v>
      </c>
      <c r="L1675" t="str">
        <f t="shared" si="132"/>
        <v>tier - 2</v>
      </c>
      <c r="M1675" t="s">
        <v>11</v>
      </c>
      <c r="N1675" t="str">
        <f t="shared" si="133"/>
        <v>R1024</v>
      </c>
      <c r="O1675" t="s">
        <v>247</v>
      </c>
    </row>
    <row r="1676" spans="1:15" x14ac:dyDescent="0.35">
      <c r="A1676" t="s">
        <v>1707</v>
      </c>
      <c r="C1676">
        <f t="shared" si="130"/>
        <v>1981</v>
      </c>
      <c r="D1676">
        <v>1981</v>
      </c>
      <c r="E1676" t="str">
        <f t="shared" si="134"/>
        <v>Jul</v>
      </c>
      <c r="F1676" t="s">
        <v>10</v>
      </c>
      <c r="G1676">
        <v>4</v>
      </c>
      <c r="H1676">
        <v>1</v>
      </c>
      <c r="I1676" s="21">
        <v>14908.27</v>
      </c>
      <c r="J1676" t="str">
        <f t="shared" si="131"/>
        <v>tier - 2</v>
      </c>
      <c r="K1676" t="s">
        <v>11</v>
      </c>
      <c r="L1676" t="str">
        <f t="shared" si="132"/>
        <v>tier - 1</v>
      </c>
      <c r="M1676" t="s">
        <v>16</v>
      </c>
      <c r="N1676" t="str">
        <f t="shared" si="133"/>
        <v>R1011</v>
      </c>
      <c r="O1676" t="s">
        <v>42</v>
      </c>
    </row>
    <row r="1677" spans="1:15" x14ac:dyDescent="0.35">
      <c r="A1677" t="s">
        <v>1708</v>
      </c>
      <c r="C1677">
        <f t="shared" si="130"/>
        <v>1968</v>
      </c>
      <c r="D1677">
        <v>1968</v>
      </c>
      <c r="E1677" t="str">
        <f t="shared" si="134"/>
        <v>Nov</v>
      </c>
      <c r="F1677" t="s">
        <v>15</v>
      </c>
      <c r="G1677">
        <v>8</v>
      </c>
      <c r="H1677">
        <v>0</v>
      </c>
      <c r="I1677" s="21">
        <v>14926.97</v>
      </c>
      <c r="J1677" t="str">
        <f t="shared" si="131"/>
        <v>tier - 2</v>
      </c>
      <c r="K1677" t="s">
        <v>11</v>
      </c>
      <c r="L1677" t="str">
        <f t="shared" si="132"/>
        <v>tier - 2</v>
      </c>
      <c r="M1677" t="s">
        <v>11</v>
      </c>
      <c r="N1677" t="str">
        <f t="shared" si="133"/>
        <v>R1012</v>
      </c>
      <c r="O1677" t="s">
        <v>23</v>
      </c>
    </row>
    <row r="1678" spans="1:15" x14ac:dyDescent="0.35">
      <c r="A1678" t="s">
        <v>1709</v>
      </c>
      <c r="C1678">
        <f t="shared" si="130"/>
        <v>1962</v>
      </c>
      <c r="D1678">
        <v>1962</v>
      </c>
      <c r="E1678" t="str">
        <f t="shared" si="134"/>
        <v>Nov</v>
      </c>
      <c r="F1678" t="s">
        <v>15</v>
      </c>
      <c r="G1678">
        <v>29</v>
      </c>
      <c r="H1678">
        <v>0</v>
      </c>
      <c r="I1678" s="21">
        <v>14945.34</v>
      </c>
      <c r="J1678" t="str">
        <f t="shared" si="131"/>
        <v>tier - 2</v>
      </c>
      <c r="K1678" t="s">
        <v>11</v>
      </c>
      <c r="L1678" t="str">
        <f t="shared" si="132"/>
        <v>tier - 1</v>
      </c>
      <c r="M1678" t="s">
        <v>16</v>
      </c>
      <c r="N1678" t="str">
        <f t="shared" si="133"/>
        <v>R1021</v>
      </c>
      <c r="O1678" t="s">
        <v>300</v>
      </c>
    </row>
    <row r="1679" spans="1:15" x14ac:dyDescent="0.35">
      <c r="A1679" t="s">
        <v>1710</v>
      </c>
      <c r="C1679">
        <f t="shared" si="130"/>
        <v>1958</v>
      </c>
      <c r="D1679">
        <v>1958</v>
      </c>
      <c r="E1679" t="str">
        <f t="shared" si="134"/>
        <v>Jul</v>
      </c>
      <c r="F1679" t="s">
        <v>10</v>
      </c>
      <c r="G1679">
        <v>29</v>
      </c>
      <c r="H1679">
        <v>2</v>
      </c>
      <c r="I1679" s="21">
        <v>14988.43</v>
      </c>
      <c r="J1679" t="str">
        <f t="shared" si="131"/>
        <v>tier - 2</v>
      </c>
      <c r="K1679" t="s">
        <v>11</v>
      </c>
      <c r="L1679" t="str">
        <f t="shared" si="132"/>
        <v>tier - 3</v>
      </c>
      <c r="M1679" t="s">
        <v>12</v>
      </c>
      <c r="N1679" t="str">
        <f t="shared" si="133"/>
        <v>R1011</v>
      </c>
      <c r="O1679" t="s">
        <v>42</v>
      </c>
    </row>
    <row r="1680" spans="1:15" x14ac:dyDescent="0.35">
      <c r="A1680" t="s">
        <v>1711</v>
      </c>
      <c r="C1680">
        <f t="shared" si="130"/>
        <v>1995</v>
      </c>
      <c r="D1680">
        <v>1995</v>
      </c>
      <c r="E1680" t="str">
        <f t="shared" si="134"/>
        <v>Aug</v>
      </c>
      <c r="F1680" t="s">
        <v>35</v>
      </c>
      <c r="G1680">
        <v>2</v>
      </c>
      <c r="H1680">
        <v>2</v>
      </c>
      <c r="I1680" s="21">
        <v>15006.58</v>
      </c>
      <c r="J1680" t="str">
        <f t="shared" si="131"/>
        <v>tier - 2</v>
      </c>
      <c r="K1680" t="s">
        <v>11</v>
      </c>
      <c r="L1680" t="str">
        <f t="shared" si="132"/>
        <v>tier - 2</v>
      </c>
      <c r="M1680" t="s">
        <v>11</v>
      </c>
      <c r="N1680" t="str">
        <f t="shared" si="133"/>
        <v>R1024</v>
      </c>
      <c r="O1680" t="s">
        <v>247</v>
      </c>
    </row>
    <row r="1681" spans="1:15" x14ac:dyDescent="0.35">
      <c r="A1681" t="s">
        <v>1712</v>
      </c>
      <c r="C1681">
        <f t="shared" si="130"/>
        <v>1960</v>
      </c>
      <c r="D1681">
        <v>1960</v>
      </c>
      <c r="E1681" t="str">
        <f t="shared" si="134"/>
        <v>Aug</v>
      </c>
      <c r="F1681" t="s">
        <v>35</v>
      </c>
      <c r="G1681">
        <v>8</v>
      </c>
      <c r="H1681">
        <v>2</v>
      </c>
      <c r="I1681" s="21">
        <v>15019.76</v>
      </c>
      <c r="J1681" t="str">
        <f t="shared" si="131"/>
        <v>tier - 2</v>
      </c>
      <c r="K1681" t="s">
        <v>11</v>
      </c>
      <c r="L1681" t="str">
        <f t="shared" si="132"/>
        <v>tier - 2</v>
      </c>
      <c r="M1681" t="s">
        <v>11</v>
      </c>
      <c r="N1681" t="str">
        <f t="shared" si="133"/>
        <v>R1012</v>
      </c>
      <c r="O1681" t="s">
        <v>23</v>
      </c>
    </row>
    <row r="1682" spans="1:15" x14ac:dyDescent="0.35">
      <c r="A1682" t="s">
        <v>1713</v>
      </c>
      <c r="C1682">
        <f t="shared" si="130"/>
        <v>1979</v>
      </c>
      <c r="D1682">
        <v>1979</v>
      </c>
      <c r="E1682" t="str">
        <f t="shared" si="134"/>
        <v>Nov</v>
      </c>
      <c r="F1682" t="s">
        <v>15</v>
      </c>
      <c r="G1682">
        <v>25</v>
      </c>
      <c r="H1682">
        <v>2</v>
      </c>
      <c r="I1682" s="21">
        <v>15025.76</v>
      </c>
      <c r="J1682" t="str">
        <f t="shared" si="131"/>
        <v>tier - 2</v>
      </c>
      <c r="K1682" t="s">
        <v>11</v>
      </c>
      <c r="L1682" t="str">
        <f t="shared" si="132"/>
        <v>tier - 1</v>
      </c>
      <c r="M1682" t="s">
        <v>16</v>
      </c>
      <c r="N1682" t="str">
        <f t="shared" si="133"/>
        <v>R1011</v>
      </c>
      <c r="O1682" t="s">
        <v>42</v>
      </c>
    </row>
    <row r="1683" spans="1:15" x14ac:dyDescent="0.35">
      <c r="A1683" t="s">
        <v>1714</v>
      </c>
      <c r="C1683">
        <f t="shared" si="130"/>
        <v>1970</v>
      </c>
      <c r="D1683">
        <v>1970</v>
      </c>
      <c r="E1683" t="str">
        <f t="shared" si="134"/>
        <v>Sep</v>
      </c>
      <c r="F1683" t="s">
        <v>20</v>
      </c>
      <c r="G1683">
        <v>11</v>
      </c>
      <c r="H1683">
        <v>0</v>
      </c>
      <c r="I1683" s="21">
        <v>15026.3</v>
      </c>
      <c r="J1683" t="str">
        <f t="shared" si="131"/>
        <v>tier - 2</v>
      </c>
      <c r="K1683" t="s">
        <v>11</v>
      </c>
      <c r="L1683" t="str">
        <f t="shared" si="132"/>
        <v>tier - 3</v>
      </c>
      <c r="M1683" t="s">
        <v>12</v>
      </c>
      <c r="N1683" t="str">
        <f t="shared" si="133"/>
        <v>R1011</v>
      </c>
      <c r="O1683" t="s">
        <v>42</v>
      </c>
    </row>
    <row r="1684" spans="1:15" x14ac:dyDescent="0.35">
      <c r="A1684" t="s">
        <v>1715</v>
      </c>
      <c r="C1684">
        <f t="shared" si="130"/>
        <v>1971</v>
      </c>
      <c r="D1684">
        <v>1971</v>
      </c>
      <c r="E1684" t="str">
        <f t="shared" si="134"/>
        <v>Aug</v>
      </c>
      <c r="F1684" t="s">
        <v>35</v>
      </c>
      <c r="G1684">
        <v>15</v>
      </c>
      <c r="H1684">
        <v>0</v>
      </c>
      <c r="I1684" s="21">
        <v>15038.51</v>
      </c>
      <c r="J1684" t="str">
        <f t="shared" si="131"/>
        <v>tier - 2</v>
      </c>
      <c r="K1684" t="s">
        <v>11</v>
      </c>
      <c r="L1684" t="str">
        <f t="shared" si="132"/>
        <v>tier - 3</v>
      </c>
      <c r="M1684" t="s">
        <v>12</v>
      </c>
      <c r="N1684" t="str">
        <f t="shared" si="133"/>
        <v>R1023</v>
      </c>
      <c r="O1684" t="s">
        <v>249</v>
      </c>
    </row>
    <row r="1685" spans="1:15" x14ac:dyDescent="0.35">
      <c r="A1685" t="s">
        <v>1716</v>
      </c>
      <c r="C1685">
        <f t="shared" si="130"/>
        <v>1968</v>
      </c>
      <c r="D1685">
        <v>1968</v>
      </c>
      <c r="E1685" t="str">
        <f t="shared" si="134"/>
        <v>Jun</v>
      </c>
      <c r="F1685" t="s">
        <v>18</v>
      </c>
      <c r="G1685">
        <v>12</v>
      </c>
      <c r="H1685">
        <v>0</v>
      </c>
      <c r="I1685" s="21">
        <v>15052.68</v>
      </c>
      <c r="J1685" t="str">
        <f t="shared" si="131"/>
        <v>tier - 2</v>
      </c>
      <c r="K1685" t="s">
        <v>11</v>
      </c>
      <c r="L1685" t="str">
        <f t="shared" si="132"/>
        <v>tier - 2</v>
      </c>
      <c r="M1685" t="s">
        <v>11</v>
      </c>
      <c r="N1685" t="str">
        <f t="shared" si="133"/>
        <v>R1022</v>
      </c>
      <c r="O1685" t="s">
        <v>632</v>
      </c>
    </row>
    <row r="1686" spans="1:15" x14ac:dyDescent="0.35">
      <c r="A1686" t="s">
        <v>1717</v>
      </c>
      <c r="C1686">
        <f t="shared" si="130"/>
        <v>1975</v>
      </c>
      <c r="D1686">
        <v>1975</v>
      </c>
      <c r="E1686" t="str">
        <f t="shared" si="134"/>
        <v>Oct</v>
      </c>
      <c r="F1686" t="s">
        <v>37</v>
      </c>
      <c r="G1686">
        <v>26</v>
      </c>
      <c r="H1686">
        <v>1</v>
      </c>
      <c r="I1686" s="21">
        <v>15090.35</v>
      </c>
      <c r="J1686" t="str">
        <f t="shared" si="131"/>
        <v>tier - 2</v>
      </c>
      <c r="K1686" t="s">
        <v>11</v>
      </c>
      <c r="L1686" t="str">
        <f t="shared" si="132"/>
        <v>tier - 1</v>
      </c>
      <c r="M1686" t="s">
        <v>16</v>
      </c>
      <c r="N1686" t="str">
        <f t="shared" si="133"/>
        <v>R1023</v>
      </c>
      <c r="O1686" t="s">
        <v>249</v>
      </c>
    </row>
    <row r="1687" spans="1:15" x14ac:dyDescent="0.35">
      <c r="A1687" t="s">
        <v>1718</v>
      </c>
      <c r="C1687">
        <f t="shared" si="130"/>
        <v>1972</v>
      </c>
      <c r="D1687">
        <v>1972</v>
      </c>
      <c r="E1687" t="str">
        <f t="shared" si="134"/>
        <v>Nov</v>
      </c>
      <c r="F1687" t="s">
        <v>15</v>
      </c>
      <c r="G1687">
        <v>7</v>
      </c>
      <c r="H1687">
        <v>0</v>
      </c>
      <c r="I1687" s="21">
        <v>15103.69</v>
      </c>
      <c r="J1687" t="str">
        <f t="shared" si="131"/>
        <v>tier - 2</v>
      </c>
      <c r="K1687" t="s">
        <v>11</v>
      </c>
      <c r="L1687" t="str">
        <f t="shared" si="132"/>
        <v>tier - 1</v>
      </c>
      <c r="M1687" t="s">
        <v>16</v>
      </c>
      <c r="N1687" t="str">
        <f t="shared" si="133"/>
        <v>R1012</v>
      </c>
      <c r="O1687" t="s">
        <v>23</v>
      </c>
    </row>
    <row r="1688" spans="1:15" x14ac:dyDescent="0.35">
      <c r="A1688" t="s">
        <v>1719</v>
      </c>
      <c r="C1688">
        <f t="shared" si="130"/>
        <v>1978</v>
      </c>
      <c r="D1688">
        <v>1978</v>
      </c>
      <c r="E1688" t="str">
        <f t="shared" si="134"/>
        <v>Sep</v>
      </c>
      <c r="F1688" t="s">
        <v>20</v>
      </c>
      <c r="G1688">
        <v>5</v>
      </c>
      <c r="H1688">
        <v>2</v>
      </c>
      <c r="I1688" s="21">
        <v>15123.19</v>
      </c>
      <c r="J1688" t="str">
        <f t="shared" si="131"/>
        <v>tier - 2</v>
      </c>
      <c r="K1688" t="s">
        <v>11</v>
      </c>
      <c r="L1688" t="str">
        <f t="shared" si="132"/>
        <v>tier - 1</v>
      </c>
      <c r="M1688" t="s">
        <v>16</v>
      </c>
      <c r="N1688" t="str">
        <f t="shared" si="133"/>
        <v>R1011</v>
      </c>
      <c r="O1688" t="s">
        <v>42</v>
      </c>
    </row>
    <row r="1689" spans="1:15" x14ac:dyDescent="0.35">
      <c r="A1689" t="s">
        <v>1720</v>
      </c>
      <c r="C1689">
        <f t="shared" si="130"/>
        <v>1971</v>
      </c>
      <c r="D1689">
        <v>1971</v>
      </c>
      <c r="E1689" t="str">
        <f t="shared" si="134"/>
        <v>Nov</v>
      </c>
      <c r="F1689" t="s">
        <v>15</v>
      </c>
      <c r="G1689">
        <v>25</v>
      </c>
      <c r="H1689">
        <v>0</v>
      </c>
      <c r="I1689" s="21">
        <v>15150.44</v>
      </c>
      <c r="J1689" t="str">
        <f t="shared" si="131"/>
        <v>tier - 2</v>
      </c>
      <c r="K1689" t="s">
        <v>11</v>
      </c>
      <c r="L1689" t="str">
        <f t="shared" si="132"/>
        <v>tier - 1</v>
      </c>
      <c r="M1689" t="s">
        <v>16</v>
      </c>
      <c r="N1689" t="str">
        <f t="shared" si="133"/>
        <v>R1023</v>
      </c>
      <c r="O1689" t="s">
        <v>249</v>
      </c>
    </row>
    <row r="1690" spans="1:15" x14ac:dyDescent="0.35">
      <c r="A1690" t="s">
        <v>1721</v>
      </c>
      <c r="C1690">
        <f t="shared" si="130"/>
        <v>1962</v>
      </c>
      <c r="D1690">
        <v>1962</v>
      </c>
      <c r="E1690" t="str">
        <f t="shared" si="134"/>
        <v>Oct</v>
      </c>
      <c r="F1690" t="s">
        <v>37</v>
      </c>
      <c r="G1690">
        <v>25</v>
      </c>
      <c r="H1690">
        <v>0</v>
      </c>
      <c r="I1690" s="21">
        <v>15161.25</v>
      </c>
      <c r="J1690" t="str">
        <f t="shared" si="131"/>
        <v>tier - 2</v>
      </c>
      <c r="K1690" t="s">
        <v>11</v>
      </c>
      <c r="L1690" t="str">
        <f t="shared" si="132"/>
        <v>tier - 2</v>
      </c>
      <c r="M1690" t="s">
        <v>11</v>
      </c>
      <c r="N1690" t="str">
        <f t="shared" si="133"/>
        <v>R1012</v>
      </c>
      <c r="O1690" t="s">
        <v>23</v>
      </c>
    </row>
    <row r="1691" spans="1:15" x14ac:dyDescent="0.35">
      <c r="A1691" t="s">
        <v>1722</v>
      </c>
      <c r="C1691">
        <f t="shared" si="130"/>
        <v>1959</v>
      </c>
      <c r="D1691">
        <v>1959</v>
      </c>
      <c r="E1691" t="str">
        <f t="shared" si="134"/>
        <v>Jun</v>
      </c>
      <c r="F1691" t="s">
        <v>18</v>
      </c>
      <c r="G1691">
        <v>4</v>
      </c>
      <c r="H1691">
        <v>3</v>
      </c>
      <c r="I1691" s="21">
        <v>15161.53</v>
      </c>
      <c r="J1691" t="str">
        <f t="shared" si="131"/>
        <v>tier - 2</v>
      </c>
      <c r="K1691" t="s">
        <v>11</v>
      </c>
      <c r="L1691" t="str">
        <f t="shared" si="132"/>
        <v>tier - 1</v>
      </c>
      <c r="M1691" t="s">
        <v>16</v>
      </c>
      <c r="N1691" t="str">
        <f t="shared" si="133"/>
        <v>R1013</v>
      </c>
      <c r="O1691" t="s">
        <v>13</v>
      </c>
    </row>
    <row r="1692" spans="1:15" x14ac:dyDescent="0.35">
      <c r="A1692" t="s">
        <v>1723</v>
      </c>
      <c r="C1692">
        <f t="shared" si="130"/>
        <v>1959</v>
      </c>
      <c r="D1692">
        <v>1959</v>
      </c>
      <c r="E1692" t="str">
        <f t="shared" si="134"/>
        <v>Dec</v>
      </c>
      <c r="F1692" t="s">
        <v>30</v>
      </c>
      <c r="G1692">
        <v>3</v>
      </c>
      <c r="H1692">
        <v>3</v>
      </c>
      <c r="I1692" s="21">
        <v>15170.07</v>
      </c>
      <c r="J1692" t="str">
        <f t="shared" si="131"/>
        <v>tier - 2</v>
      </c>
      <c r="K1692" t="s">
        <v>11</v>
      </c>
      <c r="L1692" t="str">
        <f t="shared" si="132"/>
        <v>tier - 3</v>
      </c>
      <c r="M1692" t="s">
        <v>12</v>
      </c>
      <c r="N1692" t="str">
        <f t="shared" si="133"/>
        <v>R1011</v>
      </c>
      <c r="O1692" t="s">
        <v>42</v>
      </c>
    </row>
    <row r="1693" spans="1:15" x14ac:dyDescent="0.35">
      <c r="A1693" t="s">
        <v>1724</v>
      </c>
      <c r="C1693">
        <f t="shared" si="130"/>
        <v>1962</v>
      </c>
      <c r="D1693">
        <v>1962</v>
      </c>
      <c r="E1693" t="str">
        <f t="shared" si="134"/>
        <v>Jun</v>
      </c>
      <c r="F1693" t="s">
        <v>18</v>
      </c>
      <c r="G1693">
        <v>17</v>
      </c>
      <c r="H1693">
        <v>0</v>
      </c>
      <c r="I1693" s="21">
        <v>15174.81</v>
      </c>
      <c r="J1693" t="str">
        <f t="shared" si="131"/>
        <v>tier - 2</v>
      </c>
      <c r="K1693" t="s">
        <v>11</v>
      </c>
      <c r="L1693" t="str">
        <f t="shared" si="132"/>
        <v>tier - 1</v>
      </c>
      <c r="M1693" t="s">
        <v>16</v>
      </c>
      <c r="N1693" t="str">
        <f t="shared" si="133"/>
        <v>R1012</v>
      </c>
      <c r="O1693" t="s">
        <v>23</v>
      </c>
    </row>
    <row r="1694" spans="1:15" x14ac:dyDescent="0.35">
      <c r="A1694" t="s">
        <v>1725</v>
      </c>
      <c r="C1694">
        <f t="shared" si="130"/>
        <v>1978</v>
      </c>
      <c r="D1694">
        <v>1978</v>
      </c>
      <c r="E1694" t="str">
        <f t="shared" si="134"/>
        <v>Nov</v>
      </c>
      <c r="F1694" t="s">
        <v>15</v>
      </c>
      <c r="G1694">
        <v>23</v>
      </c>
      <c r="H1694">
        <v>2</v>
      </c>
      <c r="I1694" s="21">
        <v>15207.92</v>
      </c>
      <c r="J1694" t="str">
        <f t="shared" si="131"/>
        <v>tier - 2</v>
      </c>
      <c r="K1694" t="s">
        <v>11</v>
      </c>
      <c r="L1694" t="str">
        <f t="shared" si="132"/>
        <v>tier - 1</v>
      </c>
      <c r="M1694" t="s">
        <v>16</v>
      </c>
      <c r="N1694" t="str">
        <f t="shared" si="133"/>
        <v>R1012</v>
      </c>
      <c r="O1694" t="s">
        <v>23</v>
      </c>
    </row>
    <row r="1695" spans="1:15" x14ac:dyDescent="0.35">
      <c r="A1695" t="s">
        <v>1726</v>
      </c>
      <c r="C1695">
        <f t="shared" si="130"/>
        <v>1960</v>
      </c>
      <c r="D1695">
        <v>1960</v>
      </c>
      <c r="E1695" t="str">
        <f t="shared" si="134"/>
        <v>Jul</v>
      </c>
      <c r="F1695" t="s">
        <v>10</v>
      </c>
      <c r="G1695">
        <v>25</v>
      </c>
      <c r="H1695">
        <v>2</v>
      </c>
      <c r="I1695" s="21">
        <v>15230.32</v>
      </c>
      <c r="J1695" t="str">
        <f t="shared" si="131"/>
        <v>tier - 2</v>
      </c>
      <c r="K1695" t="s">
        <v>11</v>
      </c>
      <c r="L1695" t="str">
        <f t="shared" si="132"/>
        <v>tier - 2</v>
      </c>
      <c r="M1695" t="s">
        <v>11</v>
      </c>
      <c r="N1695" t="str">
        <f t="shared" si="133"/>
        <v>R1024</v>
      </c>
      <c r="O1695" t="s">
        <v>247</v>
      </c>
    </row>
    <row r="1696" spans="1:15" x14ac:dyDescent="0.35">
      <c r="A1696" t="s">
        <v>1727</v>
      </c>
      <c r="C1696">
        <f t="shared" si="130"/>
        <v>1969</v>
      </c>
      <c r="D1696">
        <v>1969</v>
      </c>
      <c r="E1696" t="str">
        <f t="shared" si="134"/>
        <v>Sep</v>
      </c>
      <c r="F1696" t="s">
        <v>20</v>
      </c>
      <c r="G1696">
        <v>16</v>
      </c>
      <c r="H1696">
        <v>0</v>
      </c>
      <c r="I1696" s="21">
        <v>15260.52</v>
      </c>
      <c r="J1696" t="str">
        <f t="shared" si="131"/>
        <v>tier - 2</v>
      </c>
      <c r="K1696" t="s">
        <v>11</v>
      </c>
      <c r="L1696" t="str">
        <f t="shared" si="132"/>
        <v>tier - 2</v>
      </c>
      <c r="M1696" t="s">
        <v>11</v>
      </c>
      <c r="N1696" t="str">
        <f t="shared" si="133"/>
        <v>R1023</v>
      </c>
      <c r="O1696" t="s">
        <v>249</v>
      </c>
    </row>
    <row r="1697" spans="1:15" x14ac:dyDescent="0.35">
      <c r="A1697" t="s">
        <v>1728</v>
      </c>
      <c r="C1697">
        <f t="shared" si="130"/>
        <v>1963</v>
      </c>
      <c r="D1697">
        <v>1963</v>
      </c>
      <c r="E1697" t="str">
        <f t="shared" si="134"/>
        <v>Dec</v>
      </c>
      <c r="F1697" t="s">
        <v>30</v>
      </c>
      <c r="G1697">
        <v>13</v>
      </c>
      <c r="H1697">
        <v>0</v>
      </c>
      <c r="I1697" s="21">
        <v>15322.77</v>
      </c>
      <c r="J1697" t="str">
        <f t="shared" si="131"/>
        <v>tier - 2</v>
      </c>
      <c r="K1697" t="s">
        <v>11</v>
      </c>
      <c r="L1697" t="str">
        <f t="shared" si="132"/>
        <v>tier - 3</v>
      </c>
      <c r="M1697" t="s">
        <v>12</v>
      </c>
      <c r="N1697" t="str">
        <f t="shared" si="133"/>
        <v>R1021</v>
      </c>
      <c r="O1697" t="s">
        <v>300</v>
      </c>
    </row>
    <row r="1698" spans="1:15" x14ac:dyDescent="0.35">
      <c r="A1698" t="s">
        <v>1729</v>
      </c>
      <c r="C1698">
        <f t="shared" si="130"/>
        <v>2001</v>
      </c>
      <c r="D1698">
        <v>2001</v>
      </c>
      <c r="E1698" t="str">
        <f t="shared" si="134"/>
        <v>Jul</v>
      </c>
      <c r="F1698" t="s">
        <v>10</v>
      </c>
      <c r="G1698">
        <v>14</v>
      </c>
      <c r="H1698">
        <v>1</v>
      </c>
      <c r="I1698" s="21">
        <v>15359.1</v>
      </c>
      <c r="J1698" t="str">
        <f t="shared" si="131"/>
        <v>tier - 2</v>
      </c>
      <c r="K1698" t="s">
        <v>11</v>
      </c>
      <c r="L1698" t="str">
        <f t="shared" si="132"/>
        <v>tier - 3</v>
      </c>
      <c r="M1698" t="s">
        <v>12</v>
      </c>
      <c r="N1698" t="str">
        <f t="shared" si="133"/>
        <v>R1024</v>
      </c>
      <c r="O1698" t="s">
        <v>247</v>
      </c>
    </row>
    <row r="1699" spans="1:15" x14ac:dyDescent="0.35">
      <c r="A1699" t="s">
        <v>1730</v>
      </c>
      <c r="C1699">
        <f t="shared" si="130"/>
        <v>1988</v>
      </c>
      <c r="D1699">
        <v>1988</v>
      </c>
      <c r="E1699" t="str">
        <f t="shared" si="134"/>
        <v>Dec</v>
      </c>
      <c r="F1699" t="s">
        <v>30</v>
      </c>
      <c r="G1699">
        <v>17</v>
      </c>
      <c r="H1699">
        <v>3</v>
      </c>
      <c r="I1699" s="21">
        <v>15361.5</v>
      </c>
      <c r="J1699" t="str">
        <f t="shared" si="131"/>
        <v>tier - 2</v>
      </c>
      <c r="K1699" t="s">
        <v>11</v>
      </c>
      <c r="L1699" t="str">
        <f t="shared" si="132"/>
        <v>tier - 3</v>
      </c>
      <c r="M1699" t="s">
        <v>12</v>
      </c>
      <c r="N1699" t="str">
        <f t="shared" si="133"/>
        <v>R1023</v>
      </c>
      <c r="O1699" t="s">
        <v>249</v>
      </c>
    </row>
    <row r="1700" spans="1:15" x14ac:dyDescent="0.35">
      <c r="A1700" t="s">
        <v>1731</v>
      </c>
      <c r="C1700">
        <f t="shared" si="130"/>
        <v>1968</v>
      </c>
      <c r="D1700">
        <v>1968</v>
      </c>
      <c r="E1700" t="str">
        <f t="shared" si="134"/>
        <v>Jul</v>
      </c>
      <c r="F1700" t="s">
        <v>10</v>
      </c>
      <c r="G1700">
        <v>18</v>
      </c>
      <c r="H1700">
        <v>0</v>
      </c>
      <c r="I1700" s="21">
        <v>15363.77</v>
      </c>
      <c r="J1700" t="str">
        <f t="shared" si="131"/>
        <v>tier - 2</v>
      </c>
      <c r="K1700" t="s">
        <v>11</v>
      </c>
      <c r="L1700" t="str">
        <f t="shared" si="132"/>
        <v>tier - 1</v>
      </c>
      <c r="M1700" t="s">
        <v>16</v>
      </c>
      <c r="N1700" t="str">
        <f t="shared" si="133"/>
        <v>R1026</v>
      </c>
      <c r="O1700" t="s">
        <v>535</v>
      </c>
    </row>
    <row r="1701" spans="1:15" x14ac:dyDescent="0.35">
      <c r="A1701" t="s">
        <v>1732</v>
      </c>
      <c r="C1701">
        <f t="shared" si="130"/>
        <v>1962</v>
      </c>
      <c r="D1701">
        <v>1962</v>
      </c>
      <c r="E1701" t="str">
        <f t="shared" si="134"/>
        <v>Sep</v>
      </c>
      <c r="F1701" t="s">
        <v>20</v>
      </c>
      <c r="G1701">
        <v>6</v>
      </c>
      <c r="H1701">
        <v>0</v>
      </c>
      <c r="I1701" s="21">
        <v>15368.22</v>
      </c>
      <c r="J1701" t="str">
        <f t="shared" si="131"/>
        <v>tier - 2</v>
      </c>
      <c r="K1701" t="s">
        <v>11</v>
      </c>
      <c r="L1701" t="str">
        <f t="shared" si="132"/>
        <v>tier - 2</v>
      </c>
      <c r="M1701" t="s">
        <v>11</v>
      </c>
      <c r="N1701" t="str">
        <f t="shared" si="133"/>
        <v>R1011</v>
      </c>
      <c r="O1701" t="s">
        <v>42</v>
      </c>
    </row>
    <row r="1702" spans="1:15" x14ac:dyDescent="0.35">
      <c r="A1702" t="s">
        <v>1733</v>
      </c>
      <c r="C1702">
        <f t="shared" si="130"/>
        <v>1964</v>
      </c>
      <c r="D1702">
        <v>1964</v>
      </c>
      <c r="E1702" t="str">
        <f t="shared" si="134"/>
        <v>Sep</v>
      </c>
      <c r="F1702" t="s">
        <v>20</v>
      </c>
      <c r="G1702">
        <v>4</v>
      </c>
      <c r="H1702">
        <v>0</v>
      </c>
      <c r="I1702" s="21">
        <v>15377.77</v>
      </c>
      <c r="J1702" t="str">
        <f t="shared" si="131"/>
        <v>tier - 2</v>
      </c>
      <c r="K1702" t="s">
        <v>11</v>
      </c>
      <c r="L1702" t="str">
        <f t="shared" si="132"/>
        <v>tier - 2</v>
      </c>
      <c r="M1702" t="s">
        <v>11</v>
      </c>
      <c r="N1702" t="str">
        <f t="shared" si="133"/>
        <v>R1012</v>
      </c>
      <c r="O1702" t="s">
        <v>23</v>
      </c>
    </row>
    <row r="1703" spans="1:15" x14ac:dyDescent="0.35">
      <c r="A1703" t="s">
        <v>1734</v>
      </c>
      <c r="C1703">
        <f t="shared" si="130"/>
        <v>1990</v>
      </c>
      <c r="D1703">
        <v>1990</v>
      </c>
      <c r="E1703" t="str">
        <f t="shared" si="134"/>
        <v>Oct</v>
      </c>
      <c r="F1703" t="s">
        <v>37</v>
      </c>
      <c r="G1703">
        <v>25</v>
      </c>
      <c r="H1703">
        <v>3</v>
      </c>
      <c r="I1703" s="21">
        <v>15440.2</v>
      </c>
      <c r="J1703" t="str">
        <f t="shared" si="131"/>
        <v>tier - 2</v>
      </c>
      <c r="K1703" t="s">
        <v>11</v>
      </c>
      <c r="L1703" t="str">
        <f t="shared" si="132"/>
        <v>tier - 1</v>
      </c>
      <c r="M1703" t="s">
        <v>16</v>
      </c>
      <c r="N1703" t="str">
        <f t="shared" si="133"/>
        <v>R1012</v>
      </c>
      <c r="O1703" t="s">
        <v>23</v>
      </c>
    </row>
    <row r="1704" spans="1:15" x14ac:dyDescent="0.35">
      <c r="A1704" t="s">
        <v>1735</v>
      </c>
      <c r="C1704">
        <f t="shared" si="130"/>
        <v>1976</v>
      </c>
      <c r="D1704">
        <v>1976</v>
      </c>
      <c r="E1704" t="str">
        <f t="shared" si="134"/>
        <v>Jul</v>
      </c>
      <c r="F1704" t="s">
        <v>10</v>
      </c>
      <c r="G1704">
        <v>20</v>
      </c>
      <c r="H1704">
        <v>2</v>
      </c>
      <c r="I1704" s="21">
        <v>15450.48</v>
      </c>
      <c r="J1704" t="str">
        <f t="shared" si="131"/>
        <v>tier - 2</v>
      </c>
      <c r="K1704" t="s">
        <v>11</v>
      </c>
      <c r="L1704" t="str">
        <f t="shared" si="132"/>
        <v>tier - 1</v>
      </c>
      <c r="M1704" t="s">
        <v>16</v>
      </c>
      <c r="N1704" t="str">
        <f t="shared" si="133"/>
        <v>R1026</v>
      </c>
      <c r="O1704" t="s">
        <v>535</v>
      </c>
    </row>
    <row r="1705" spans="1:15" x14ac:dyDescent="0.35">
      <c r="A1705" t="s">
        <v>1736</v>
      </c>
      <c r="C1705">
        <f t="shared" si="130"/>
        <v>2004</v>
      </c>
      <c r="D1705">
        <v>2004</v>
      </c>
      <c r="E1705" t="str">
        <f t="shared" si="134"/>
        <v>Jul</v>
      </c>
      <c r="F1705" t="s">
        <v>10</v>
      </c>
      <c r="G1705">
        <v>17</v>
      </c>
      <c r="H1705">
        <v>0</v>
      </c>
      <c r="I1705" s="21">
        <v>15518.18</v>
      </c>
      <c r="J1705" t="str">
        <f t="shared" si="131"/>
        <v>tier - 2</v>
      </c>
      <c r="K1705" t="s">
        <v>11</v>
      </c>
      <c r="L1705" t="str">
        <f t="shared" si="132"/>
        <v>tier - 3</v>
      </c>
      <c r="M1705" t="s">
        <v>12</v>
      </c>
      <c r="N1705" t="str">
        <f t="shared" si="133"/>
        <v>R1015</v>
      </c>
      <c r="O1705" t="s">
        <v>164</v>
      </c>
    </row>
    <row r="1706" spans="1:15" x14ac:dyDescent="0.35">
      <c r="A1706" t="s">
        <v>1737</v>
      </c>
      <c r="C1706">
        <f t="shared" si="130"/>
        <v>1974</v>
      </c>
      <c r="D1706">
        <v>1974</v>
      </c>
      <c r="E1706" t="str">
        <f t="shared" si="134"/>
        <v>Jun</v>
      </c>
      <c r="F1706" t="s">
        <v>18</v>
      </c>
      <c r="G1706">
        <v>28</v>
      </c>
      <c r="H1706">
        <v>0</v>
      </c>
      <c r="I1706" s="21">
        <v>15532.16</v>
      </c>
      <c r="J1706" t="str">
        <f t="shared" si="131"/>
        <v>tier - 2</v>
      </c>
      <c r="K1706" t="s">
        <v>11</v>
      </c>
      <c r="L1706" t="str">
        <f t="shared" si="132"/>
        <v>tier - 2</v>
      </c>
      <c r="M1706" t="s">
        <v>11</v>
      </c>
      <c r="N1706" t="str">
        <f t="shared" si="133"/>
        <v>R1026</v>
      </c>
      <c r="O1706" t="s">
        <v>535</v>
      </c>
    </row>
    <row r="1707" spans="1:15" x14ac:dyDescent="0.35">
      <c r="A1707" t="s">
        <v>1738</v>
      </c>
      <c r="C1707">
        <f t="shared" si="130"/>
        <v>1959</v>
      </c>
      <c r="D1707">
        <v>1959</v>
      </c>
      <c r="E1707" t="str">
        <f t="shared" si="134"/>
        <v>Oct</v>
      </c>
      <c r="F1707" t="s">
        <v>37</v>
      </c>
      <c r="G1707">
        <v>2</v>
      </c>
      <c r="H1707">
        <v>3</v>
      </c>
      <c r="I1707" s="21">
        <v>15555.19</v>
      </c>
      <c r="J1707" t="str">
        <f t="shared" si="131"/>
        <v>tier - 2</v>
      </c>
      <c r="K1707" t="s">
        <v>11</v>
      </c>
      <c r="L1707" t="str">
        <f t="shared" si="132"/>
        <v>tier - 3</v>
      </c>
      <c r="M1707" t="s">
        <v>12</v>
      </c>
      <c r="N1707" t="str">
        <f t="shared" si="133"/>
        <v>R1012</v>
      </c>
      <c r="O1707" t="s">
        <v>23</v>
      </c>
    </row>
    <row r="1708" spans="1:15" x14ac:dyDescent="0.35">
      <c r="A1708" t="s">
        <v>1739</v>
      </c>
      <c r="C1708">
        <f t="shared" si="130"/>
        <v>1974</v>
      </c>
      <c r="D1708">
        <v>1974</v>
      </c>
      <c r="E1708" t="str">
        <f t="shared" si="134"/>
        <v>Jul</v>
      </c>
      <c r="F1708" t="s">
        <v>10</v>
      </c>
      <c r="G1708">
        <v>30</v>
      </c>
      <c r="H1708">
        <v>0</v>
      </c>
      <c r="I1708" s="21">
        <v>15556.67</v>
      </c>
      <c r="J1708" t="str">
        <f t="shared" si="131"/>
        <v>tier - 2</v>
      </c>
      <c r="K1708" t="s">
        <v>11</v>
      </c>
      <c r="L1708" t="str">
        <f t="shared" si="132"/>
        <v>tier - 2</v>
      </c>
      <c r="M1708" t="s">
        <v>11</v>
      </c>
      <c r="N1708" t="str">
        <f t="shared" si="133"/>
        <v>R1012</v>
      </c>
      <c r="O1708" t="s">
        <v>23</v>
      </c>
    </row>
    <row r="1709" spans="1:15" x14ac:dyDescent="0.35">
      <c r="A1709" t="s">
        <v>1740</v>
      </c>
      <c r="C1709">
        <f t="shared" si="130"/>
        <v>1965</v>
      </c>
      <c r="D1709">
        <v>1965</v>
      </c>
      <c r="E1709" t="str">
        <f t="shared" si="134"/>
        <v>Oct</v>
      </c>
      <c r="F1709" t="s">
        <v>37</v>
      </c>
      <c r="G1709">
        <v>28</v>
      </c>
      <c r="H1709">
        <v>0</v>
      </c>
      <c r="I1709" s="21">
        <v>15608.58</v>
      </c>
      <c r="J1709" t="str">
        <f t="shared" si="131"/>
        <v>tier - 2</v>
      </c>
      <c r="K1709" t="s">
        <v>11</v>
      </c>
      <c r="L1709" t="str">
        <f t="shared" si="132"/>
        <v>tier - 2</v>
      </c>
      <c r="M1709" t="s">
        <v>11</v>
      </c>
      <c r="N1709" t="str">
        <f t="shared" si="133"/>
        <v>R1026</v>
      </c>
      <c r="O1709" t="s">
        <v>535</v>
      </c>
    </row>
    <row r="1710" spans="1:15" x14ac:dyDescent="0.35">
      <c r="A1710" t="s">
        <v>1741</v>
      </c>
      <c r="C1710">
        <f t="shared" si="130"/>
        <v>1960</v>
      </c>
      <c r="D1710">
        <v>1960</v>
      </c>
      <c r="E1710" t="str">
        <f t="shared" si="134"/>
        <v>Jun</v>
      </c>
      <c r="F1710" t="s">
        <v>18</v>
      </c>
      <c r="G1710">
        <v>6</v>
      </c>
      <c r="H1710">
        <v>3</v>
      </c>
      <c r="I1710" s="21">
        <v>15612.19</v>
      </c>
      <c r="J1710" t="str">
        <f t="shared" si="131"/>
        <v>tier - 2</v>
      </c>
      <c r="K1710" t="s">
        <v>11</v>
      </c>
      <c r="L1710" t="str">
        <f t="shared" si="132"/>
        <v>tier - 2</v>
      </c>
      <c r="M1710" t="s">
        <v>11</v>
      </c>
      <c r="N1710" t="str">
        <f t="shared" si="133"/>
        <v>R1012</v>
      </c>
      <c r="O1710" t="s">
        <v>23</v>
      </c>
    </row>
    <row r="1711" spans="1:15" x14ac:dyDescent="0.35">
      <c r="A1711" t="s">
        <v>1742</v>
      </c>
      <c r="C1711">
        <f t="shared" si="130"/>
        <v>1988</v>
      </c>
      <c r="D1711">
        <v>1988</v>
      </c>
      <c r="E1711" t="str">
        <f t="shared" si="134"/>
        <v>Dec</v>
      </c>
      <c r="F1711" t="s">
        <v>30</v>
      </c>
      <c r="G1711">
        <v>22</v>
      </c>
      <c r="H1711">
        <v>3</v>
      </c>
      <c r="I1711" s="21">
        <v>15646.28</v>
      </c>
      <c r="J1711" t="str">
        <f t="shared" si="131"/>
        <v>tier - 2</v>
      </c>
      <c r="K1711" t="s">
        <v>11</v>
      </c>
      <c r="L1711" t="str">
        <f t="shared" si="132"/>
        <v>tier - 2</v>
      </c>
      <c r="M1711" t="s">
        <v>11</v>
      </c>
      <c r="N1711" t="str">
        <f t="shared" si="133"/>
        <v>R1011</v>
      </c>
      <c r="O1711" t="s">
        <v>42</v>
      </c>
    </row>
    <row r="1712" spans="1:15" x14ac:dyDescent="0.35">
      <c r="A1712" t="s">
        <v>1743</v>
      </c>
      <c r="C1712">
        <f t="shared" si="130"/>
        <v>1973</v>
      </c>
      <c r="D1712">
        <v>1973</v>
      </c>
      <c r="E1712" t="str">
        <f t="shared" si="134"/>
        <v>Jun</v>
      </c>
      <c r="F1712" t="s">
        <v>18</v>
      </c>
      <c r="G1712">
        <v>26</v>
      </c>
      <c r="H1712">
        <v>0</v>
      </c>
      <c r="I1712" s="21">
        <v>15670.3</v>
      </c>
      <c r="J1712" t="str">
        <f t="shared" si="131"/>
        <v>tier - 2</v>
      </c>
      <c r="K1712" t="s">
        <v>11</v>
      </c>
      <c r="L1712" t="str">
        <f t="shared" si="132"/>
        <v>tier - 2</v>
      </c>
      <c r="M1712" t="s">
        <v>11</v>
      </c>
      <c r="N1712" t="str">
        <f t="shared" si="133"/>
        <v>R1026</v>
      </c>
      <c r="O1712" t="s">
        <v>535</v>
      </c>
    </row>
    <row r="1713" spans="1:15" x14ac:dyDescent="0.35">
      <c r="A1713" t="s">
        <v>1744</v>
      </c>
      <c r="C1713">
        <f t="shared" si="130"/>
        <v>1976</v>
      </c>
      <c r="D1713">
        <v>1976</v>
      </c>
      <c r="E1713" t="str">
        <f t="shared" si="134"/>
        <v>Sep</v>
      </c>
      <c r="F1713" t="s">
        <v>20</v>
      </c>
      <c r="G1713">
        <v>20</v>
      </c>
      <c r="H1713">
        <v>2</v>
      </c>
      <c r="I1713" s="21">
        <v>15698.86</v>
      </c>
      <c r="J1713" t="str">
        <f t="shared" si="131"/>
        <v>tier - 2</v>
      </c>
      <c r="K1713" t="s">
        <v>11</v>
      </c>
      <c r="L1713" t="str">
        <f t="shared" si="132"/>
        <v>tier - 2</v>
      </c>
      <c r="M1713" t="s">
        <v>11</v>
      </c>
      <c r="N1713" t="str">
        <f t="shared" si="133"/>
        <v>R1012</v>
      </c>
      <c r="O1713" t="s">
        <v>23</v>
      </c>
    </row>
    <row r="1714" spans="1:15" x14ac:dyDescent="0.35">
      <c r="A1714" t="s">
        <v>1745</v>
      </c>
      <c r="C1714">
        <f t="shared" si="130"/>
        <v>1974</v>
      </c>
      <c r="D1714">
        <v>1974</v>
      </c>
      <c r="E1714" t="str">
        <f t="shared" si="134"/>
        <v>Aug</v>
      </c>
      <c r="F1714" t="s">
        <v>35</v>
      </c>
      <c r="G1714">
        <v>29</v>
      </c>
      <c r="H1714">
        <v>0</v>
      </c>
      <c r="I1714" s="21">
        <v>15746.62</v>
      </c>
      <c r="J1714" t="str">
        <f t="shared" si="131"/>
        <v>tier - 2</v>
      </c>
      <c r="K1714" t="s">
        <v>11</v>
      </c>
      <c r="L1714" t="str">
        <f t="shared" si="132"/>
        <v>tier - 1</v>
      </c>
      <c r="M1714" t="s">
        <v>16</v>
      </c>
      <c r="N1714" t="str">
        <f t="shared" si="133"/>
        <v>R1012</v>
      </c>
      <c r="O1714" t="s">
        <v>23</v>
      </c>
    </row>
    <row r="1715" spans="1:15" x14ac:dyDescent="0.35">
      <c r="A1715" t="s">
        <v>1746</v>
      </c>
      <c r="C1715">
        <f t="shared" si="130"/>
        <v>1997</v>
      </c>
      <c r="D1715">
        <v>1997</v>
      </c>
      <c r="E1715" t="str">
        <f t="shared" si="134"/>
        <v>Oct</v>
      </c>
      <c r="F1715" t="s">
        <v>37</v>
      </c>
      <c r="G1715">
        <v>9</v>
      </c>
      <c r="H1715">
        <v>0</v>
      </c>
      <c r="I1715" s="21">
        <v>15817.99</v>
      </c>
      <c r="J1715" t="str">
        <f t="shared" si="131"/>
        <v>tier - 2</v>
      </c>
      <c r="K1715" t="s">
        <v>11</v>
      </c>
      <c r="L1715" t="str">
        <f t="shared" si="132"/>
        <v>tier - 2</v>
      </c>
      <c r="M1715" t="s">
        <v>11</v>
      </c>
      <c r="N1715" t="str">
        <f t="shared" si="133"/>
        <v>R1012</v>
      </c>
      <c r="O1715" t="s">
        <v>23</v>
      </c>
    </row>
    <row r="1716" spans="1:15" x14ac:dyDescent="0.35">
      <c r="A1716" t="s">
        <v>1747</v>
      </c>
      <c r="C1716">
        <f t="shared" si="130"/>
        <v>1984</v>
      </c>
      <c r="D1716">
        <v>1984</v>
      </c>
      <c r="E1716" t="str">
        <f t="shared" si="134"/>
        <v>Jun</v>
      </c>
      <c r="F1716" t="s">
        <v>18</v>
      </c>
      <c r="G1716">
        <v>26</v>
      </c>
      <c r="H1716">
        <v>0</v>
      </c>
      <c r="I1716" s="21">
        <v>15820.7</v>
      </c>
      <c r="J1716" t="str">
        <f t="shared" si="131"/>
        <v>tier - 2</v>
      </c>
      <c r="K1716" t="s">
        <v>11</v>
      </c>
      <c r="L1716" t="str">
        <f t="shared" si="132"/>
        <v>tier - 3</v>
      </c>
      <c r="M1716" t="s">
        <v>12</v>
      </c>
      <c r="N1716" t="str">
        <f t="shared" si="133"/>
        <v>R1011</v>
      </c>
      <c r="O1716" t="s">
        <v>42</v>
      </c>
    </row>
    <row r="1717" spans="1:15" x14ac:dyDescent="0.35">
      <c r="A1717" t="s">
        <v>1748</v>
      </c>
      <c r="C1717">
        <f t="shared" si="130"/>
        <v>1982</v>
      </c>
      <c r="D1717">
        <v>1982</v>
      </c>
      <c r="E1717" t="str">
        <f t="shared" si="134"/>
        <v>Nov</v>
      </c>
      <c r="F1717" t="s">
        <v>15</v>
      </c>
      <c r="G1717">
        <v>11</v>
      </c>
      <c r="H1717">
        <v>4</v>
      </c>
      <c r="I1717" s="21">
        <v>15828.82</v>
      </c>
      <c r="J1717" t="str">
        <f t="shared" si="131"/>
        <v>tier - 2</v>
      </c>
      <c r="K1717" t="s">
        <v>11</v>
      </c>
      <c r="L1717" t="str">
        <f t="shared" si="132"/>
        <v>tier - 3</v>
      </c>
      <c r="M1717" t="s">
        <v>12</v>
      </c>
      <c r="N1717" t="str">
        <f t="shared" si="133"/>
        <v>R1011</v>
      </c>
      <c r="O1717" t="s">
        <v>42</v>
      </c>
    </row>
    <row r="1718" spans="1:15" x14ac:dyDescent="0.35">
      <c r="A1718" t="s">
        <v>1749</v>
      </c>
      <c r="C1718">
        <f t="shared" si="130"/>
        <v>1962</v>
      </c>
      <c r="D1718">
        <v>1962</v>
      </c>
      <c r="E1718" t="str">
        <f t="shared" si="134"/>
        <v>Dec</v>
      </c>
      <c r="F1718" t="s">
        <v>30</v>
      </c>
      <c r="G1718">
        <v>25</v>
      </c>
      <c r="H1718">
        <v>0</v>
      </c>
      <c r="I1718" s="21">
        <v>15840.81</v>
      </c>
      <c r="J1718" t="str">
        <f t="shared" si="131"/>
        <v>tier - 2</v>
      </c>
      <c r="K1718" t="s">
        <v>11</v>
      </c>
      <c r="L1718" t="str">
        <f t="shared" si="132"/>
        <v>tier - 1</v>
      </c>
      <c r="M1718" t="s">
        <v>16</v>
      </c>
      <c r="N1718" t="str">
        <f t="shared" si="133"/>
        <v>R1022</v>
      </c>
      <c r="O1718" t="s">
        <v>632</v>
      </c>
    </row>
    <row r="1719" spans="1:15" x14ac:dyDescent="0.35">
      <c r="A1719" t="s">
        <v>1750</v>
      </c>
      <c r="C1719">
        <f t="shared" si="130"/>
        <v>1980</v>
      </c>
      <c r="D1719">
        <v>1980</v>
      </c>
      <c r="E1719" t="str">
        <f t="shared" si="134"/>
        <v>Oct</v>
      </c>
      <c r="F1719" t="s">
        <v>37</v>
      </c>
      <c r="G1719">
        <v>12</v>
      </c>
      <c r="H1719">
        <v>2</v>
      </c>
      <c r="I1719" s="21">
        <v>15922.29</v>
      </c>
      <c r="J1719" t="str">
        <f t="shared" si="131"/>
        <v>tier - 2</v>
      </c>
      <c r="K1719" t="s">
        <v>11</v>
      </c>
      <c r="L1719" t="str">
        <f t="shared" si="132"/>
        <v>tier - 3</v>
      </c>
      <c r="M1719" t="s">
        <v>12</v>
      </c>
      <c r="N1719" t="str">
        <f t="shared" si="133"/>
        <v>R1026</v>
      </c>
      <c r="O1719" t="s">
        <v>535</v>
      </c>
    </row>
    <row r="1720" spans="1:15" x14ac:dyDescent="0.35">
      <c r="A1720" t="s">
        <v>1751</v>
      </c>
      <c r="C1720">
        <f t="shared" si="130"/>
        <v>1982</v>
      </c>
      <c r="D1720">
        <v>1982</v>
      </c>
      <c r="E1720" t="str">
        <f t="shared" si="134"/>
        <v>Jul</v>
      </c>
      <c r="F1720" t="s">
        <v>10</v>
      </c>
      <c r="G1720">
        <v>24</v>
      </c>
      <c r="H1720">
        <v>3</v>
      </c>
      <c r="I1720" s="21">
        <v>15965.29</v>
      </c>
      <c r="J1720" t="str">
        <f t="shared" si="131"/>
        <v>tier - 2</v>
      </c>
      <c r="K1720" t="s">
        <v>11</v>
      </c>
      <c r="L1720" t="str">
        <f t="shared" si="132"/>
        <v>tier - 1</v>
      </c>
      <c r="M1720" t="s">
        <v>16</v>
      </c>
      <c r="N1720" t="str">
        <f t="shared" si="133"/>
        <v>R1012</v>
      </c>
      <c r="O1720" t="s">
        <v>23</v>
      </c>
    </row>
    <row r="1721" spans="1:15" x14ac:dyDescent="0.35">
      <c r="A1721" t="s">
        <v>1752</v>
      </c>
      <c r="C1721">
        <f t="shared" si="130"/>
        <v>1980</v>
      </c>
      <c r="D1721">
        <v>1980</v>
      </c>
      <c r="E1721" t="str">
        <f t="shared" si="134"/>
        <v>Sep</v>
      </c>
      <c r="F1721" t="s">
        <v>20</v>
      </c>
      <c r="G1721">
        <v>19</v>
      </c>
      <c r="H1721">
        <v>2</v>
      </c>
      <c r="I1721" s="21">
        <v>15966.19</v>
      </c>
      <c r="J1721" t="str">
        <f t="shared" si="131"/>
        <v>tier - 2</v>
      </c>
      <c r="K1721" t="s">
        <v>11</v>
      </c>
      <c r="L1721" t="str">
        <f t="shared" si="132"/>
        <v>tier - 2</v>
      </c>
      <c r="M1721" t="s">
        <v>11</v>
      </c>
      <c r="N1721" t="str">
        <f t="shared" si="133"/>
        <v>R1012</v>
      </c>
      <c r="O1721" t="s">
        <v>23</v>
      </c>
    </row>
    <row r="1722" spans="1:15" x14ac:dyDescent="0.35">
      <c r="A1722" t="s">
        <v>1753</v>
      </c>
      <c r="C1722">
        <f t="shared" si="130"/>
        <v>1988</v>
      </c>
      <c r="D1722">
        <v>1988</v>
      </c>
      <c r="E1722" t="str">
        <f t="shared" si="134"/>
        <v>Dec</v>
      </c>
      <c r="F1722" t="s">
        <v>30</v>
      </c>
      <c r="G1722">
        <v>5</v>
      </c>
      <c r="H1722">
        <v>3</v>
      </c>
      <c r="I1722" s="21">
        <v>16059.06</v>
      </c>
      <c r="J1722" t="str">
        <f t="shared" si="131"/>
        <v>tier - 2</v>
      </c>
      <c r="K1722" t="s">
        <v>11</v>
      </c>
      <c r="L1722" t="str">
        <f t="shared" si="132"/>
        <v>tier - 3</v>
      </c>
      <c r="M1722" t="s">
        <v>12</v>
      </c>
      <c r="N1722" t="str">
        <f t="shared" si="133"/>
        <v>R1012</v>
      </c>
      <c r="O1722" t="s">
        <v>23</v>
      </c>
    </row>
    <row r="1723" spans="1:15" x14ac:dyDescent="0.35">
      <c r="A1723" t="s">
        <v>1754</v>
      </c>
      <c r="C1723">
        <f t="shared" si="130"/>
        <v>1978</v>
      </c>
      <c r="D1723">
        <v>1978</v>
      </c>
      <c r="E1723" t="str">
        <f t="shared" si="134"/>
        <v>Sep</v>
      </c>
      <c r="F1723" t="s">
        <v>20</v>
      </c>
      <c r="G1723">
        <v>16</v>
      </c>
      <c r="H1723">
        <v>2</v>
      </c>
      <c r="I1723" s="21">
        <v>16062.89</v>
      </c>
      <c r="J1723" t="str">
        <f t="shared" si="131"/>
        <v>tier - 2</v>
      </c>
      <c r="K1723" t="s">
        <v>11</v>
      </c>
      <c r="L1723" t="str">
        <f t="shared" si="132"/>
        <v>tier - 2</v>
      </c>
      <c r="M1723" t="s">
        <v>11</v>
      </c>
      <c r="N1723" t="str">
        <f t="shared" si="133"/>
        <v>R1026</v>
      </c>
      <c r="O1723" t="s">
        <v>535</v>
      </c>
    </row>
    <row r="1724" spans="1:15" x14ac:dyDescent="0.35">
      <c r="A1724" t="s">
        <v>1755</v>
      </c>
      <c r="C1724">
        <f t="shared" si="130"/>
        <v>1958</v>
      </c>
      <c r="D1724">
        <v>1958</v>
      </c>
      <c r="E1724" t="str">
        <f t="shared" si="134"/>
        <v>Oct</v>
      </c>
      <c r="F1724" t="s">
        <v>37</v>
      </c>
      <c r="G1724">
        <v>22</v>
      </c>
      <c r="H1724">
        <v>2</v>
      </c>
      <c r="I1724" s="21">
        <v>16069.08</v>
      </c>
      <c r="J1724" t="str">
        <f t="shared" si="131"/>
        <v>tier - 2</v>
      </c>
      <c r="K1724" t="s">
        <v>11</v>
      </c>
      <c r="L1724" t="str">
        <f t="shared" si="132"/>
        <v>tier - 2</v>
      </c>
      <c r="M1724" t="s">
        <v>11</v>
      </c>
      <c r="N1724" t="str">
        <f t="shared" si="133"/>
        <v>R1024</v>
      </c>
      <c r="O1724" t="s">
        <v>247</v>
      </c>
    </row>
    <row r="1725" spans="1:15" x14ac:dyDescent="0.35">
      <c r="A1725" t="s">
        <v>1756</v>
      </c>
      <c r="C1725">
        <f t="shared" si="130"/>
        <v>1958</v>
      </c>
      <c r="D1725">
        <v>1958</v>
      </c>
      <c r="E1725" t="str">
        <f t="shared" si="134"/>
        <v>Jun</v>
      </c>
      <c r="F1725" t="s">
        <v>18</v>
      </c>
      <c r="G1725">
        <v>21</v>
      </c>
      <c r="H1725">
        <v>3</v>
      </c>
      <c r="I1725" s="21">
        <v>16085.13</v>
      </c>
      <c r="J1725" t="str">
        <f t="shared" si="131"/>
        <v>tier - 2</v>
      </c>
      <c r="K1725" t="s">
        <v>11</v>
      </c>
      <c r="L1725" t="str">
        <f t="shared" si="132"/>
        <v>tier - 2</v>
      </c>
      <c r="M1725" t="s">
        <v>11</v>
      </c>
      <c r="N1725" t="str">
        <f t="shared" si="133"/>
        <v>R1013</v>
      </c>
      <c r="O1725" t="s">
        <v>13</v>
      </c>
    </row>
    <row r="1726" spans="1:15" x14ac:dyDescent="0.35">
      <c r="A1726" t="s">
        <v>1757</v>
      </c>
      <c r="C1726">
        <f t="shared" si="130"/>
        <v>1985</v>
      </c>
      <c r="D1726">
        <v>1985</v>
      </c>
      <c r="E1726" t="str">
        <f t="shared" si="134"/>
        <v>Aug</v>
      </c>
      <c r="F1726" t="s">
        <v>35</v>
      </c>
      <c r="G1726">
        <v>27</v>
      </c>
      <c r="H1726">
        <v>3</v>
      </c>
      <c r="I1726" s="21">
        <v>16097.94</v>
      </c>
      <c r="J1726" t="str">
        <f t="shared" si="131"/>
        <v>tier - 2</v>
      </c>
      <c r="K1726" t="s">
        <v>11</v>
      </c>
      <c r="L1726" t="str">
        <f t="shared" si="132"/>
        <v>tier - 3</v>
      </c>
      <c r="M1726" t="s">
        <v>12</v>
      </c>
      <c r="N1726" t="str">
        <f t="shared" si="133"/>
        <v>R1012</v>
      </c>
      <c r="O1726" t="s">
        <v>23</v>
      </c>
    </row>
    <row r="1727" spans="1:15" x14ac:dyDescent="0.35">
      <c r="A1727" t="s">
        <v>1758</v>
      </c>
      <c r="C1727">
        <f t="shared" si="130"/>
        <v>1993</v>
      </c>
      <c r="D1727">
        <v>1993</v>
      </c>
      <c r="E1727" t="str">
        <f t="shared" si="134"/>
        <v>Aug</v>
      </c>
      <c r="F1727" t="s">
        <v>35</v>
      </c>
      <c r="G1727">
        <v>8</v>
      </c>
      <c r="H1727">
        <v>0</v>
      </c>
      <c r="I1727" s="21">
        <v>16115.3</v>
      </c>
      <c r="J1727" t="str">
        <f t="shared" si="131"/>
        <v>tier - 2</v>
      </c>
      <c r="K1727" t="s">
        <v>11</v>
      </c>
      <c r="L1727" t="str">
        <f t="shared" si="132"/>
        <v>tier - 1</v>
      </c>
      <c r="M1727" t="s">
        <v>16</v>
      </c>
      <c r="N1727" t="str">
        <f t="shared" si="133"/>
        <v>R1024</v>
      </c>
      <c r="O1727" t="s">
        <v>247</v>
      </c>
    </row>
    <row r="1728" spans="1:15" x14ac:dyDescent="0.35">
      <c r="A1728" t="s">
        <v>1759</v>
      </c>
      <c r="C1728">
        <f t="shared" si="130"/>
        <v>1987</v>
      </c>
      <c r="D1728">
        <v>1987</v>
      </c>
      <c r="E1728" t="str">
        <f t="shared" si="134"/>
        <v>Oct</v>
      </c>
      <c r="F1728" t="s">
        <v>37</v>
      </c>
      <c r="G1728">
        <v>6</v>
      </c>
      <c r="H1728">
        <v>3</v>
      </c>
      <c r="I1728" s="21">
        <v>16122.65</v>
      </c>
      <c r="J1728" t="str">
        <f t="shared" si="131"/>
        <v>tier - 2</v>
      </c>
      <c r="K1728" t="s">
        <v>11</v>
      </c>
      <c r="L1728" t="str">
        <f t="shared" si="132"/>
        <v>tier - 1</v>
      </c>
      <c r="M1728" t="s">
        <v>16</v>
      </c>
      <c r="N1728" t="str">
        <f t="shared" si="133"/>
        <v>R1011</v>
      </c>
      <c r="O1728" t="s">
        <v>42</v>
      </c>
    </row>
    <row r="1729" spans="1:15" x14ac:dyDescent="0.35">
      <c r="A1729" t="s">
        <v>1760</v>
      </c>
      <c r="C1729">
        <f t="shared" si="130"/>
        <v>1993</v>
      </c>
      <c r="D1729">
        <v>1993</v>
      </c>
      <c r="E1729" t="str">
        <f t="shared" si="134"/>
        <v>Dec</v>
      </c>
      <c r="F1729" t="s">
        <v>30</v>
      </c>
      <c r="G1729">
        <v>12</v>
      </c>
      <c r="H1729">
        <v>0</v>
      </c>
      <c r="I1729" s="21">
        <v>16138.76</v>
      </c>
      <c r="J1729" t="str">
        <f t="shared" si="131"/>
        <v>tier - 2</v>
      </c>
      <c r="K1729" t="s">
        <v>11</v>
      </c>
      <c r="L1729" t="str">
        <f t="shared" si="132"/>
        <v>tier - 3</v>
      </c>
      <c r="M1729" t="s">
        <v>12</v>
      </c>
      <c r="N1729" t="str">
        <f t="shared" si="133"/>
        <v>R1017</v>
      </c>
      <c r="O1729" t="s">
        <v>356</v>
      </c>
    </row>
    <row r="1730" spans="1:15" x14ac:dyDescent="0.35">
      <c r="A1730" t="s">
        <v>1761</v>
      </c>
      <c r="C1730">
        <f t="shared" si="130"/>
        <v>1982</v>
      </c>
      <c r="D1730">
        <v>1982</v>
      </c>
      <c r="E1730" t="str">
        <f t="shared" si="134"/>
        <v>Jul</v>
      </c>
      <c r="F1730" t="s">
        <v>10</v>
      </c>
      <c r="G1730">
        <v>6</v>
      </c>
      <c r="H1730">
        <v>3</v>
      </c>
      <c r="I1730" s="21">
        <v>16152.04</v>
      </c>
      <c r="J1730" t="str">
        <f t="shared" si="131"/>
        <v>tier - 2</v>
      </c>
      <c r="K1730" t="s">
        <v>11</v>
      </c>
      <c r="L1730" t="str">
        <f t="shared" si="132"/>
        <v>tier - 1</v>
      </c>
      <c r="M1730" t="s">
        <v>16</v>
      </c>
      <c r="N1730" t="str">
        <f t="shared" si="133"/>
        <v>R1026</v>
      </c>
      <c r="O1730" t="s">
        <v>535</v>
      </c>
    </row>
    <row r="1731" spans="1:15" x14ac:dyDescent="0.35">
      <c r="A1731" t="s">
        <v>1762</v>
      </c>
      <c r="C1731">
        <f t="shared" ref="C1731:C1794" si="135">IF(OR(D1731="?", ISBLANK(D1731)), 1983, D1731)</f>
        <v>1974</v>
      </c>
      <c r="D1731">
        <v>1974</v>
      </c>
      <c r="E1731" t="str">
        <f t="shared" si="134"/>
        <v>Sep</v>
      </c>
      <c r="F1731" t="s">
        <v>20</v>
      </c>
      <c r="G1731">
        <v>11</v>
      </c>
      <c r="H1731">
        <v>0</v>
      </c>
      <c r="I1731" s="21">
        <v>16190.97</v>
      </c>
      <c r="J1731" t="str">
        <f t="shared" ref="J1731:J1794" si="136">IF(OR(K1731="?", ISBLANK(K1731)), "Tier 2", K1731)</f>
        <v>tier - 2</v>
      </c>
      <c r="K1731" t="s">
        <v>11</v>
      </c>
      <c r="L1731" t="str">
        <f t="shared" ref="L1731:L1794" si="137">IF(OR(M1731="?", ISBLANK(M1731)), "Tier 2", M1731)</f>
        <v>tier - 3</v>
      </c>
      <c r="M1731" t="s">
        <v>12</v>
      </c>
      <c r="N1731" t="str">
        <f t="shared" ref="N1731:N1794" si="138">IF(OR(O1731="?", ISBLANK(O1731)), "Unknown", O1731)</f>
        <v>R1012</v>
      </c>
      <c r="O1731" t="s">
        <v>23</v>
      </c>
    </row>
    <row r="1732" spans="1:15" x14ac:dyDescent="0.35">
      <c r="A1732" t="s">
        <v>1763</v>
      </c>
      <c r="C1732">
        <f t="shared" si="135"/>
        <v>1988</v>
      </c>
      <c r="D1732">
        <v>1988</v>
      </c>
      <c r="E1732" t="str">
        <f t="shared" ref="E1732:E1795" si="139">IF(OR(F1732="?", ISBLANK(F1732)), "Sep", F1732)</f>
        <v>Aug</v>
      </c>
      <c r="F1732" t="s">
        <v>35</v>
      </c>
      <c r="G1732">
        <v>6</v>
      </c>
      <c r="H1732">
        <v>3</v>
      </c>
      <c r="I1732" s="21">
        <v>16199.1</v>
      </c>
      <c r="J1732" t="str">
        <f t="shared" si="136"/>
        <v>tier - 2</v>
      </c>
      <c r="K1732" t="s">
        <v>11</v>
      </c>
      <c r="L1732" t="str">
        <f t="shared" si="137"/>
        <v>tier - 2</v>
      </c>
      <c r="M1732" t="s">
        <v>11</v>
      </c>
      <c r="N1732" t="str">
        <f t="shared" si="138"/>
        <v>R1012</v>
      </c>
      <c r="O1732" t="s">
        <v>23</v>
      </c>
    </row>
    <row r="1733" spans="1:15" x14ac:dyDescent="0.35">
      <c r="A1733" t="s">
        <v>1764</v>
      </c>
      <c r="C1733">
        <f t="shared" si="135"/>
        <v>1988</v>
      </c>
      <c r="D1733">
        <v>1988</v>
      </c>
      <c r="E1733" t="str">
        <f t="shared" si="139"/>
        <v>Aug</v>
      </c>
      <c r="F1733" t="s">
        <v>35</v>
      </c>
      <c r="G1733">
        <v>21</v>
      </c>
      <c r="H1733">
        <v>3</v>
      </c>
      <c r="I1733" s="21">
        <v>16205.88</v>
      </c>
      <c r="J1733" t="str">
        <f t="shared" si="136"/>
        <v>tier - 2</v>
      </c>
      <c r="K1733" t="s">
        <v>11</v>
      </c>
      <c r="L1733" t="str">
        <f t="shared" si="137"/>
        <v>tier - 1</v>
      </c>
      <c r="M1733" t="s">
        <v>16</v>
      </c>
      <c r="N1733" t="str">
        <f t="shared" si="138"/>
        <v>R1012</v>
      </c>
      <c r="O1733" t="s">
        <v>23</v>
      </c>
    </row>
    <row r="1734" spans="1:15" x14ac:dyDescent="0.35">
      <c r="A1734" t="s">
        <v>1765</v>
      </c>
      <c r="C1734">
        <f t="shared" si="135"/>
        <v>2002</v>
      </c>
      <c r="D1734">
        <v>2002</v>
      </c>
      <c r="E1734" t="str">
        <f t="shared" si="139"/>
        <v>Sep</v>
      </c>
      <c r="F1734" t="s">
        <v>20</v>
      </c>
      <c r="G1734">
        <v>8</v>
      </c>
      <c r="H1734">
        <v>0</v>
      </c>
      <c r="I1734" s="21">
        <v>16232.85</v>
      </c>
      <c r="J1734" t="str">
        <f t="shared" si="136"/>
        <v>tier - 2</v>
      </c>
      <c r="K1734" t="s">
        <v>11</v>
      </c>
      <c r="L1734" t="str">
        <f t="shared" si="137"/>
        <v>tier - 1</v>
      </c>
      <c r="M1734" t="s">
        <v>16</v>
      </c>
      <c r="N1734" t="str">
        <f t="shared" si="138"/>
        <v>R1011</v>
      </c>
      <c r="O1734" t="s">
        <v>42</v>
      </c>
    </row>
    <row r="1735" spans="1:15" x14ac:dyDescent="0.35">
      <c r="A1735" t="s">
        <v>1766</v>
      </c>
      <c r="C1735">
        <f t="shared" si="135"/>
        <v>1972</v>
      </c>
      <c r="D1735">
        <v>1972</v>
      </c>
      <c r="E1735" t="str">
        <f t="shared" si="139"/>
        <v>Jul</v>
      </c>
      <c r="F1735" t="s">
        <v>10</v>
      </c>
      <c r="G1735">
        <v>30</v>
      </c>
      <c r="H1735">
        <v>0</v>
      </c>
      <c r="I1735" s="21">
        <v>16267.32</v>
      </c>
      <c r="J1735" t="str">
        <f t="shared" si="136"/>
        <v>tier - 2</v>
      </c>
      <c r="K1735" t="s">
        <v>11</v>
      </c>
      <c r="L1735" t="str">
        <f t="shared" si="137"/>
        <v>tier - 2</v>
      </c>
      <c r="M1735" t="s">
        <v>11</v>
      </c>
      <c r="N1735" t="str">
        <f t="shared" si="138"/>
        <v>R1023</v>
      </c>
      <c r="O1735" t="s">
        <v>249</v>
      </c>
    </row>
    <row r="1736" spans="1:15" x14ac:dyDescent="0.35">
      <c r="A1736" t="s">
        <v>1767</v>
      </c>
      <c r="C1736">
        <f t="shared" si="135"/>
        <v>2003</v>
      </c>
      <c r="D1736">
        <v>2003</v>
      </c>
      <c r="E1736" t="str">
        <f t="shared" si="139"/>
        <v>Aug</v>
      </c>
      <c r="F1736" t="s">
        <v>35</v>
      </c>
      <c r="G1736">
        <v>24</v>
      </c>
      <c r="H1736">
        <v>0</v>
      </c>
      <c r="I1736" s="21">
        <v>16297.85</v>
      </c>
      <c r="J1736" t="str">
        <f t="shared" si="136"/>
        <v>tier - 2</v>
      </c>
      <c r="K1736" t="s">
        <v>11</v>
      </c>
      <c r="L1736" t="str">
        <f t="shared" si="137"/>
        <v>tier - 3</v>
      </c>
      <c r="M1736" t="s">
        <v>12</v>
      </c>
      <c r="N1736" t="str">
        <f t="shared" si="138"/>
        <v>R1011</v>
      </c>
      <c r="O1736" t="s">
        <v>42</v>
      </c>
    </row>
    <row r="1737" spans="1:15" x14ac:dyDescent="0.35">
      <c r="A1737" t="s">
        <v>1768</v>
      </c>
      <c r="C1737">
        <f t="shared" si="135"/>
        <v>1969</v>
      </c>
      <c r="D1737">
        <v>1969</v>
      </c>
      <c r="E1737" t="str">
        <f t="shared" si="139"/>
        <v>Aug</v>
      </c>
      <c r="F1737" t="s">
        <v>35</v>
      </c>
      <c r="G1737">
        <v>8</v>
      </c>
      <c r="H1737">
        <v>0</v>
      </c>
      <c r="I1737" s="21">
        <v>16311.05</v>
      </c>
      <c r="J1737" t="str">
        <f t="shared" si="136"/>
        <v>tier - 2</v>
      </c>
      <c r="K1737" t="s">
        <v>11</v>
      </c>
      <c r="L1737" t="str">
        <f t="shared" si="137"/>
        <v>tier - 3</v>
      </c>
      <c r="M1737" t="s">
        <v>12</v>
      </c>
      <c r="N1737" t="str">
        <f t="shared" si="138"/>
        <v>R1026</v>
      </c>
      <c r="O1737" t="s">
        <v>535</v>
      </c>
    </row>
    <row r="1738" spans="1:15" x14ac:dyDescent="0.35">
      <c r="A1738" t="s">
        <v>1769</v>
      </c>
      <c r="C1738">
        <f t="shared" si="135"/>
        <v>1965</v>
      </c>
      <c r="D1738">
        <v>1965</v>
      </c>
      <c r="E1738" t="str">
        <f t="shared" si="139"/>
        <v>Dec</v>
      </c>
      <c r="F1738" t="s">
        <v>30</v>
      </c>
      <c r="G1738">
        <v>5</v>
      </c>
      <c r="H1738">
        <v>0</v>
      </c>
      <c r="I1738" s="21">
        <v>16351.42</v>
      </c>
      <c r="J1738" t="str">
        <f t="shared" si="136"/>
        <v>tier - 2</v>
      </c>
      <c r="K1738" t="s">
        <v>11</v>
      </c>
      <c r="L1738" t="str">
        <f t="shared" si="137"/>
        <v>tier - 3</v>
      </c>
      <c r="M1738" t="s">
        <v>12</v>
      </c>
      <c r="N1738" t="str">
        <f t="shared" si="138"/>
        <v>R1026</v>
      </c>
      <c r="O1738" t="s">
        <v>535</v>
      </c>
    </row>
    <row r="1739" spans="1:15" x14ac:dyDescent="0.35">
      <c r="A1739" t="s">
        <v>1770</v>
      </c>
      <c r="C1739">
        <f t="shared" si="135"/>
        <v>1995</v>
      </c>
      <c r="D1739">
        <v>1995</v>
      </c>
      <c r="E1739" t="str">
        <f t="shared" si="139"/>
        <v>Sep</v>
      </c>
      <c r="F1739" t="s">
        <v>20</v>
      </c>
      <c r="G1739">
        <v>28</v>
      </c>
      <c r="H1739">
        <v>3</v>
      </c>
      <c r="I1739" s="21">
        <v>16420.490000000002</v>
      </c>
      <c r="J1739" t="str">
        <f t="shared" si="136"/>
        <v>tier - 2</v>
      </c>
      <c r="K1739" t="s">
        <v>11</v>
      </c>
      <c r="L1739" t="str">
        <f t="shared" si="137"/>
        <v>tier - 3</v>
      </c>
      <c r="M1739" t="s">
        <v>12</v>
      </c>
      <c r="N1739" t="str">
        <f t="shared" si="138"/>
        <v>R1012</v>
      </c>
      <c r="O1739" t="s">
        <v>23</v>
      </c>
    </row>
    <row r="1740" spans="1:15" x14ac:dyDescent="0.35">
      <c r="A1740" t="s">
        <v>1771</v>
      </c>
      <c r="C1740">
        <f t="shared" si="135"/>
        <v>2003</v>
      </c>
      <c r="D1740">
        <v>2003</v>
      </c>
      <c r="E1740" t="str">
        <f t="shared" si="139"/>
        <v>Dec</v>
      </c>
      <c r="F1740" t="s">
        <v>30</v>
      </c>
      <c r="G1740">
        <v>20</v>
      </c>
      <c r="H1740">
        <v>1</v>
      </c>
      <c r="I1740" s="21">
        <v>16450.89</v>
      </c>
      <c r="J1740" t="str">
        <f t="shared" si="136"/>
        <v>tier - 2</v>
      </c>
      <c r="K1740" t="s">
        <v>11</v>
      </c>
      <c r="L1740" t="str">
        <f t="shared" si="137"/>
        <v>tier - 1</v>
      </c>
      <c r="M1740" t="s">
        <v>16</v>
      </c>
      <c r="N1740" t="str">
        <f t="shared" si="138"/>
        <v>R1012</v>
      </c>
      <c r="O1740" t="s">
        <v>23</v>
      </c>
    </row>
    <row r="1741" spans="1:15" x14ac:dyDescent="0.35">
      <c r="A1741" t="s">
        <v>1772</v>
      </c>
      <c r="C1741">
        <f t="shared" si="135"/>
        <v>1958</v>
      </c>
      <c r="D1741">
        <v>1958</v>
      </c>
      <c r="E1741" t="str">
        <f t="shared" si="139"/>
        <v>Oct</v>
      </c>
      <c r="F1741" t="s">
        <v>37</v>
      </c>
      <c r="G1741">
        <v>10</v>
      </c>
      <c r="H1741">
        <v>3</v>
      </c>
      <c r="I1741" s="21">
        <v>16455.71</v>
      </c>
      <c r="J1741" t="str">
        <f t="shared" si="136"/>
        <v>tier - 2</v>
      </c>
      <c r="K1741" t="s">
        <v>11</v>
      </c>
      <c r="L1741" t="str">
        <f t="shared" si="137"/>
        <v>tier - 2</v>
      </c>
      <c r="M1741" t="s">
        <v>11</v>
      </c>
      <c r="N1741" t="str">
        <f t="shared" si="138"/>
        <v>R1012</v>
      </c>
      <c r="O1741" t="s">
        <v>23</v>
      </c>
    </row>
    <row r="1742" spans="1:15" x14ac:dyDescent="0.35">
      <c r="A1742" t="s">
        <v>1773</v>
      </c>
      <c r="C1742">
        <f t="shared" si="135"/>
        <v>1995</v>
      </c>
      <c r="D1742">
        <v>1995</v>
      </c>
      <c r="E1742" t="str">
        <f t="shared" si="139"/>
        <v>Dec</v>
      </c>
      <c r="F1742" t="s">
        <v>30</v>
      </c>
      <c r="G1742">
        <v>23</v>
      </c>
      <c r="H1742">
        <v>0</v>
      </c>
      <c r="I1742" s="21">
        <v>16577.78</v>
      </c>
      <c r="J1742" t="str">
        <f t="shared" si="136"/>
        <v>tier - 2</v>
      </c>
      <c r="K1742" t="s">
        <v>11</v>
      </c>
      <c r="L1742" t="str">
        <f t="shared" si="137"/>
        <v>tier - 1</v>
      </c>
      <c r="M1742" t="s">
        <v>16</v>
      </c>
      <c r="N1742" t="str">
        <f t="shared" si="138"/>
        <v>R1013</v>
      </c>
      <c r="O1742" t="s">
        <v>13</v>
      </c>
    </row>
    <row r="1743" spans="1:15" x14ac:dyDescent="0.35">
      <c r="A1743" t="s">
        <v>1774</v>
      </c>
      <c r="C1743">
        <f t="shared" si="135"/>
        <v>2001</v>
      </c>
      <c r="D1743">
        <v>2001</v>
      </c>
      <c r="E1743" t="str">
        <f t="shared" si="139"/>
        <v>Jun</v>
      </c>
      <c r="F1743" t="s">
        <v>18</v>
      </c>
      <c r="G1743">
        <v>25</v>
      </c>
      <c r="H1743">
        <v>0</v>
      </c>
      <c r="I1743" s="21">
        <v>16586.5</v>
      </c>
      <c r="J1743" t="str">
        <f t="shared" si="136"/>
        <v>tier - 2</v>
      </c>
      <c r="K1743" t="s">
        <v>11</v>
      </c>
      <c r="L1743" t="str">
        <f t="shared" si="137"/>
        <v>tier - 1</v>
      </c>
      <c r="M1743" t="s">
        <v>16</v>
      </c>
      <c r="N1743" t="str">
        <f t="shared" si="138"/>
        <v>R1013</v>
      </c>
      <c r="O1743" t="s">
        <v>13</v>
      </c>
    </row>
    <row r="1744" spans="1:15" x14ac:dyDescent="0.35">
      <c r="A1744" t="s">
        <v>1775</v>
      </c>
      <c r="C1744">
        <f t="shared" si="135"/>
        <v>1963</v>
      </c>
      <c r="D1744">
        <v>1963</v>
      </c>
      <c r="E1744" t="str">
        <f t="shared" si="139"/>
        <v>Jun</v>
      </c>
      <c r="F1744" t="s">
        <v>18</v>
      </c>
      <c r="G1744">
        <v>25</v>
      </c>
      <c r="H1744">
        <v>0</v>
      </c>
      <c r="I1744" s="21">
        <v>16587.96</v>
      </c>
      <c r="J1744" t="str">
        <f t="shared" si="136"/>
        <v>tier - 2</v>
      </c>
      <c r="K1744" t="s">
        <v>11</v>
      </c>
      <c r="L1744" t="str">
        <f t="shared" si="137"/>
        <v>tier - 2</v>
      </c>
      <c r="M1744" t="s">
        <v>11</v>
      </c>
      <c r="N1744" t="str">
        <f t="shared" si="138"/>
        <v>R1023</v>
      </c>
      <c r="O1744" t="s">
        <v>249</v>
      </c>
    </row>
    <row r="1745" spans="1:15" x14ac:dyDescent="0.35">
      <c r="A1745" t="s">
        <v>1776</v>
      </c>
      <c r="C1745">
        <f t="shared" si="135"/>
        <v>1970</v>
      </c>
      <c r="D1745">
        <v>1970</v>
      </c>
      <c r="E1745" t="str">
        <f t="shared" si="139"/>
        <v>Jul</v>
      </c>
      <c r="F1745" t="s">
        <v>10</v>
      </c>
      <c r="G1745">
        <v>10</v>
      </c>
      <c r="H1745">
        <v>0</v>
      </c>
      <c r="I1745" s="21">
        <v>16600.16</v>
      </c>
      <c r="J1745" t="str">
        <f t="shared" si="136"/>
        <v>tier - 2</v>
      </c>
      <c r="K1745" t="s">
        <v>11</v>
      </c>
      <c r="L1745" t="str">
        <f t="shared" si="137"/>
        <v>tier - 2</v>
      </c>
      <c r="M1745" t="s">
        <v>11</v>
      </c>
      <c r="N1745" t="str">
        <f t="shared" si="138"/>
        <v>R1011</v>
      </c>
      <c r="O1745" t="s">
        <v>42</v>
      </c>
    </row>
    <row r="1746" spans="1:15" x14ac:dyDescent="0.35">
      <c r="A1746" t="s">
        <v>1777</v>
      </c>
      <c r="C1746">
        <f t="shared" si="135"/>
        <v>1975</v>
      </c>
      <c r="D1746">
        <v>1975</v>
      </c>
      <c r="E1746" t="str">
        <f t="shared" si="139"/>
        <v>Jul</v>
      </c>
      <c r="F1746" t="s">
        <v>10</v>
      </c>
      <c r="G1746">
        <v>24</v>
      </c>
      <c r="H1746">
        <v>1</v>
      </c>
      <c r="I1746" s="21">
        <v>16602.18</v>
      </c>
      <c r="J1746" t="str">
        <f t="shared" si="136"/>
        <v>tier - 2</v>
      </c>
      <c r="K1746" t="s">
        <v>11</v>
      </c>
      <c r="L1746" t="str">
        <f t="shared" si="137"/>
        <v>tier - 1</v>
      </c>
      <c r="M1746" t="s">
        <v>16</v>
      </c>
      <c r="N1746" t="str">
        <f t="shared" si="138"/>
        <v>R1026</v>
      </c>
      <c r="O1746" t="s">
        <v>535</v>
      </c>
    </row>
    <row r="1747" spans="1:15" x14ac:dyDescent="0.35">
      <c r="A1747" t="s">
        <v>1778</v>
      </c>
      <c r="C1747">
        <f t="shared" si="135"/>
        <v>1977</v>
      </c>
      <c r="D1747">
        <v>1977</v>
      </c>
      <c r="E1747" t="str">
        <f t="shared" si="139"/>
        <v>Sep</v>
      </c>
      <c r="F1747" t="s">
        <v>20</v>
      </c>
      <c r="G1747">
        <v>25</v>
      </c>
      <c r="H1747">
        <v>2</v>
      </c>
      <c r="I1747" s="21">
        <v>16631.61</v>
      </c>
      <c r="J1747" t="str">
        <f t="shared" si="136"/>
        <v>tier - 2</v>
      </c>
      <c r="K1747" t="s">
        <v>11</v>
      </c>
      <c r="L1747" t="str">
        <f t="shared" si="137"/>
        <v>tier - 1</v>
      </c>
      <c r="M1747" t="s">
        <v>16</v>
      </c>
      <c r="N1747" t="str">
        <f t="shared" si="138"/>
        <v>R1012</v>
      </c>
      <c r="O1747" t="s">
        <v>23</v>
      </c>
    </row>
    <row r="1748" spans="1:15" x14ac:dyDescent="0.35">
      <c r="A1748" t="s">
        <v>1779</v>
      </c>
      <c r="C1748">
        <f t="shared" si="135"/>
        <v>1993</v>
      </c>
      <c r="D1748">
        <v>1993</v>
      </c>
      <c r="E1748" t="str">
        <f t="shared" si="139"/>
        <v>Nov</v>
      </c>
      <c r="F1748" t="s">
        <v>15</v>
      </c>
      <c r="G1748">
        <v>5</v>
      </c>
      <c r="H1748">
        <v>1</v>
      </c>
      <c r="I1748" s="21">
        <v>16657.72</v>
      </c>
      <c r="J1748" t="str">
        <f t="shared" si="136"/>
        <v>tier - 2</v>
      </c>
      <c r="K1748" t="s">
        <v>11</v>
      </c>
      <c r="L1748" t="str">
        <f t="shared" si="137"/>
        <v>tier - 1</v>
      </c>
      <c r="M1748" t="s">
        <v>16</v>
      </c>
      <c r="N1748" t="str">
        <f t="shared" si="138"/>
        <v>R1024</v>
      </c>
      <c r="O1748" t="s">
        <v>247</v>
      </c>
    </row>
    <row r="1749" spans="1:15" x14ac:dyDescent="0.35">
      <c r="A1749" t="s">
        <v>1780</v>
      </c>
      <c r="C1749">
        <f t="shared" si="135"/>
        <v>1974</v>
      </c>
      <c r="D1749">
        <v>1974</v>
      </c>
      <c r="E1749" t="str">
        <f t="shared" si="139"/>
        <v>Aug</v>
      </c>
      <c r="F1749" t="s">
        <v>35</v>
      </c>
      <c r="G1749">
        <v>28</v>
      </c>
      <c r="H1749">
        <v>0</v>
      </c>
      <c r="I1749" s="21">
        <v>16770.990000000002</v>
      </c>
      <c r="J1749" t="str">
        <f t="shared" si="136"/>
        <v>tier - 2</v>
      </c>
      <c r="K1749" t="s">
        <v>11</v>
      </c>
      <c r="L1749" t="str">
        <f t="shared" si="137"/>
        <v>tier - 1</v>
      </c>
      <c r="M1749" t="s">
        <v>16</v>
      </c>
      <c r="N1749" t="str">
        <f t="shared" si="138"/>
        <v>R1012</v>
      </c>
      <c r="O1749" t="s">
        <v>23</v>
      </c>
    </row>
    <row r="1750" spans="1:15" x14ac:dyDescent="0.35">
      <c r="A1750" t="s">
        <v>1781</v>
      </c>
      <c r="C1750">
        <f t="shared" si="135"/>
        <v>1989</v>
      </c>
      <c r="D1750">
        <v>1989</v>
      </c>
      <c r="E1750" t="str">
        <f t="shared" si="139"/>
        <v>Sep</v>
      </c>
      <c r="F1750" t="s">
        <v>20</v>
      </c>
      <c r="G1750">
        <v>23</v>
      </c>
      <c r="H1750">
        <v>2</v>
      </c>
      <c r="I1750" s="21">
        <v>16776.3</v>
      </c>
      <c r="J1750" t="str">
        <f t="shared" si="136"/>
        <v>tier - 2</v>
      </c>
      <c r="K1750" t="s">
        <v>11</v>
      </c>
      <c r="L1750" t="str">
        <f t="shared" si="137"/>
        <v>tier - 2</v>
      </c>
      <c r="M1750" t="s">
        <v>11</v>
      </c>
      <c r="N1750" t="str">
        <f t="shared" si="138"/>
        <v>R1024</v>
      </c>
      <c r="O1750" t="s">
        <v>247</v>
      </c>
    </row>
    <row r="1751" spans="1:15" x14ac:dyDescent="0.35">
      <c r="A1751" t="s">
        <v>1782</v>
      </c>
      <c r="C1751">
        <f t="shared" si="135"/>
        <v>1962</v>
      </c>
      <c r="D1751">
        <v>1962</v>
      </c>
      <c r="E1751" t="str">
        <f t="shared" si="139"/>
        <v>Jul</v>
      </c>
      <c r="F1751" t="s">
        <v>10</v>
      </c>
      <c r="G1751">
        <v>29</v>
      </c>
      <c r="H1751">
        <v>0</v>
      </c>
      <c r="I1751" s="21">
        <v>16779.400000000001</v>
      </c>
      <c r="J1751" t="str">
        <f t="shared" si="136"/>
        <v>tier - 2</v>
      </c>
      <c r="K1751" t="s">
        <v>11</v>
      </c>
      <c r="L1751" t="str">
        <f t="shared" si="137"/>
        <v>tier - 2</v>
      </c>
      <c r="M1751" t="s">
        <v>11</v>
      </c>
      <c r="N1751" t="str">
        <f t="shared" si="138"/>
        <v>R1026</v>
      </c>
      <c r="O1751" t="s">
        <v>535</v>
      </c>
    </row>
    <row r="1752" spans="1:15" x14ac:dyDescent="0.35">
      <c r="A1752" t="s">
        <v>1783</v>
      </c>
      <c r="C1752">
        <f t="shared" si="135"/>
        <v>1995</v>
      </c>
      <c r="D1752">
        <v>1995</v>
      </c>
      <c r="E1752" t="str">
        <f t="shared" si="139"/>
        <v>Oct</v>
      </c>
      <c r="F1752" t="s">
        <v>37</v>
      </c>
      <c r="G1752">
        <v>19</v>
      </c>
      <c r="H1752">
        <v>1</v>
      </c>
      <c r="I1752" s="21">
        <v>16796.41</v>
      </c>
      <c r="J1752" t="str">
        <f t="shared" si="136"/>
        <v>tier - 2</v>
      </c>
      <c r="K1752" t="s">
        <v>11</v>
      </c>
      <c r="L1752" t="str">
        <f t="shared" si="137"/>
        <v>tier - 3</v>
      </c>
      <c r="M1752" t="s">
        <v>12</v>
      </c>
      <c r="N1752" t="str">
        <f t="shared" si="138"/>
        <v>R1024</v>
      </c>
      <c r="O1752" t="s">
        <v>247</v>
      </c>
    </row>
    <row r="1753" spans="1:15" x14ac:dyDescent="0.35">
      <c r="A1753" t="s">
        <v>1784</v>
      </c>
      <c r="C1753">
        <f t="shared" si="135"/>
        <v>1974</v>
      </c>
      <c r="D1753">
        <v>1974</v>
      </c>
      <c r="E1753" t="str">
        <f t="shared" si="139"/>
        <v>Aug</v>
      </c>
      <c r="F1753" t="s">
        <v>35</v>
      </c>
      <c r="G1753">
        <v>8</v>
      </c>
      <c r="H1753">
        <v>0</v>
      </c>
      <c r="I1753" s="21">
        <v>16841.32</v>
      </c>
      <c r="J1753" t="str">
        <f t="shared" si="136"/>
        <v>tier - 2</v>
      </c>
      <c r="K1753" t="s">
        <v>11</v>
      </c>
      <c r="L1753" t="str">
        <f t="shared" si="137"/>
        <v>tier - 3</v>
      </c>
      <c r="M1753" t="s">
        <v>12</v>
      </c>
      <c r="N1753" t="str">
        <f t="shared" si="138"/>
        <v>R1011</v>
      </c>
      <c r="O1753" t="s">
        <v>42</v>
      </c>
    </row>
    <row r="1754" spans="1:15" x14ac:dyDescent="0.35">
      <c r="A1754" t="s">
        <v>1785</v>
      </c>
      <c r="C1754">
        <f t="shared" si="135"/>
        <v>2003</v>
      </c>
      <c r="D1754">
        <v>2003</v>
      </c>
      <c r="E1754" t="str">
        <f t="shared" si="139"/>
        <v>Sep</v>
      </c>
      <c r="F1754" t="s">
        <v>20</v>
      </c>
      <c r="G1754">
        <v>10</v>
      </c>
      <c r="H1754">
        <v>0</v>
      </c>
      <c r="I1754" s="21">
        <v>16884.919999999998</v>
      </c>
      <c r="J1754" t="str">
        <f t="shared" si="136"/>
        <v>tier - 2</v>
      </c>
      <c r="K1754" t="s">
        <v>11</v>
      </c>
      <c r="L1754" t="str">
        <f t="shared" si="137"/>
        <v>tier - 2</v>
      </c>
      <c r="M1754" t="s">
        <v>11</v>
      </c>
      <c r="N1754" t="str">
        <f t="shared" si="138"/>
        <v>R1011</v>
      </c>
      <c r="O1754" t="s">
        <v>42</v>
      </c>
    </row>
    <row r="1755" spans="1:15" x14ac:dyDescent="0.35">
      <c r="A1755" t="s">
        <v>1786</v>
      </c>
      <c r="C1755">
        <f t="shared" si="135"/>
        <v>1968</v>
      </c>
      <c r="D1755">
        <v>1968</v>
      </c>
      <c r="E1755" t="str">
        <f t="shared" si="139"/>
        <v>Oct</v>
      </c>
      <c r="F1755" t="s">
        <v>37</v>
      </c>
      <c r="G1755">
        <v>21</v>
      </c>
      <c r="H1755">
        <v>0</v>
      </c>
      <c r="I1755" s="21">
        <v>16903.5</v>
      </c>
      <c r="J1755" t="str">
        <f t="shared" si="136"/>
        <v>tier - 2</v>
      </c>
      <c r="K1755" t="s">
        <v>11</v>
      </c>
      <c r="L1755" t="str">
        <f t="shared" si="137"/>
        <v>tier - 3</v>
      </c>
      <c r="M1755" t="s">
        <v>12</v>
      </c>
      <c r="N1755" t="str">
        <f t="shared" si="138"/>
        <v>R1012</v>
      </c>
      <c r="O1755" t="s">
        <v>23</v>
      </c>
    </row>
    <row r="1756" spans="1:15" x14ac:dyDescent="0.35">
      <c r="A1756" t="s">
        <v>1787</v>
      </c>
      <c r="C1756">
        <f t="shared" si="135"/>
        <v>1977</v>
      </c>
      <c r="D1756">
        <v>1977</v>
      </c>
      <c r="E1756" t="str">
        <f t="shared" si="139"/>
        <v>Aug</v>
      </c>
      <c r="F1756" t="s">
        <v>35</v>
      </c>
      <c r="G1756">
        <v>25</v>
      </c>
      <c r="H1756">
        <v>2</v>
      </c>
      <c r="I1756" s="21">
        <v>16921.09</v>
      </c>
      <c r="J1756" t="str">
        <f t="shared" si="136"/>
        <v>tier - 2</v>
      </c>
      <c r="K1756" t="s">
        <v>11</v>
      </c>
      <c r="L1756" t="str">
        <f t="shared" si="137"/>
        <v>tier - 3</v>
      </c>
      <c r="M1756" t="s">
        <v>12</v>
      </c>
      <c r="N1756" t="str">
        <f t="shared" si="138"/>
        <v>R1023</v>
      </c>
      <c r="O1756" t="s">
        <v>249</v>
      </c>
    </row>
    <row r="1757" spans="1:15" x14ac:dyDescent="0.35">
      <c r="A1757" t="s">
        <v>1788</v>
      </c>
      <c r="C1757">
        <f t="shared" si="135"/>
        <v>1980</v>
      </c>
      <c r="D1757">
        <v>1980</v>
      </c>
      <c r="E1757" t="str">
        <f t="shared" si="139"/>
        <v>Jul</v>
      </c>
      <c r="F1757" t="s">
        <v>10</v>
      </c>
      <c r="G1757">
        <v>16</v>
      </c>
      <c r="H1757">
        <v>2</v>
      </c>
      <c r="I1757" s="21">
        <v>16990.55</v>
      </c>
      <c r="J1757" t="str">
        <f t="shared" si="136"/>
        <v>tier - 2</v>
      </c>
      <c r="K1757" t="s">
        <v>11</v>
      </c>
      <c r="L1757" t="str">
        <f t="shared" si="137"/>
        <v>tier - 3</v>
      </c>
      <c r="M1757" t="s">
        <v>12</v>
      </c>
      <c r="N1757" t="str">
        <f t="shared" si="138"/>
        <v>R1012</v>
      </c>
      <c r="O1757" t="s">
        <v>23</v>
      </c>
    </row>
    <row r="1758" spans="1:15" x14ac:dyDescent="0.35">
      <c r="A1758" t="s">
        <v>1789</v>
      </c>
      <c r="C1758">
        <f t="shared" si="135"/>
        <v>1971</v>
      </c>
      <c r="D1758">
        <v>1971</v>
      </c>
      <c r="E1758" t="str">
        <f t="shared" si="139"/>
        <v>Aug</v>
      </c>
      <c r="F1758" t="s">
        <v>35</v>
      </c>
      <c r="G1758">
        <v>22</v>
      </c>
      <c r="H1758">
        <v>0</v>
      </c>
      <c r="I1758" s="21">
        <v>17016.009999999998</v>
      </c>
      <c r="J1758" t="str">
        <f t="shared" si="136"/>
        <v>tier - 2</v>
      </c>
      <c r="K1758" t="s">
        <v>11</v>
      </c>
      <c r="L1758" t="str">
        <f t="shared" si="137"/>
        <v>tier - 2</v>
      </c>
      <c r="M1758" t="s">
        <v>11</v>
      </c>
      <c r="N1758" t="str">
        <f t="shared" si="138"/>
        <v>R1023</v>
      </c>
      <c r="O1758" t="s">
        <v>249</v>
      </c>
    </row>
    <row r="1759" spans="1:15" x14ac:dyDescent="0.35">
      <c r="A1759" t="s">
        <v>1790</v>
      </c>
      <c r="C1759">
        <f t="shared" si="135"/>
        <v>1996</v>
      </c>
      <c r="D1759">
        <v>1996</v>
      </c>
      <c r="E1759" t="str">
        <f t="shared" si="139"/>
        <v>Jun</v>
      </c>
      <c r="F1759" t="s">
        <v>18</v>
      </c>
      <c r="G1759">
        <v>10</v>
      </c>
      <c r="H1759">
        <v>0</v>
      </c>
      <c r="I1759" s="21">
        <v>17043.34</v>
      </c>
      <c r="J1759" t="str">
        <f t="shared" si="136"/>
        <v>tier - 2</v>
      </c>
      <c r="K1759" t="s">
        <v>11</v>
      </c>
      <c r="L1759" t="str">
        <f t="shared" si="137"/>
        <v>tier - 3</v>
      </c>
      <c r="M1759" t="s">
        <v>12</v>
      </c>
      <c r="N1759" t="str">
        <f t="shared" si="138"/>
        <v>R1013</v>
      </c>
      <c r="O1759" t="s">
        <v>13</v>
      </c>
    </row>
    <row r="1760" spans="1:15" x14ac:dyDescent="0.35">
      <c r="A1760" t="s">
        <v>1791</v>
      </c>
      <c r="C1760">
        <f t="shared" si="135"/>
        <v>2003</v>
      </c>
      <c r="D1760">
        <v>2003</v>
      </c>
      <c r="E1760" t="str">
        <f t="shared" si="139"/>
        <v>Dec</v>
      </c>
      <c r="F1760" t="s">
        <v>30</v>
      </c>
      <c r="G1760">
        <v>26</v>
      </c>
      <c r="H1760">
        <v>0</v>
      </c>
      <c r="I1760" s="21">
        <v>17081.080000000002</v>
      </c>
      <c r="J1760" t="str">
        <f t="shared" si="136"/>
        <v>tier - 2</v>
      </c>
      <c r="K1760" t="s">
        <v>11</v>
      </c>
      <c r="L1760" t="str">
        <f t="shared" si="137"/>
        <v>tier - 2</v>
      </c>
      <c r="M1760" t="s">
        <v>11</v>
      </c>
      <c r="N1760" t="str">
        <f t="shared" si="138"/>
        <v>R1011</v>
      </c>
      <c r="O1760" t="s">
        <v>42</v>
      </c>
    </row>
    <row r="1761" spans="1:15" x14ac:dyDescent="0.35">
      <c r="A1761" t="s">
        <v>1792</v>
      </c>
      <c r="C1761">
        <f t="shared" si="135"/>
        <v>2002</v>
      </c>
      <c r="D1761">
        <v>2002</v>
      </c>
      <c r="E1761" t="str">
        <f t="shared" si="139"/>
        <v>Jun</v>
      </c>
      <c r="F1761" t="s">
        <v>18</v>
      </c>
      <c r="G1761">
        <v>28</v>
      </c>
      <c r="H1761">
        <v>1</v>
      </c>
      <c r="I1761" s="21">
        <v>17085.27</v>
      </c>
      <c r="J1761" t="str">
        <f t="shared" si="136"/>
        <v>tier - 2</v>
      </c>
      <c r="K1761" t="s">
        <v>11</v>
      </c>
      <c r="L1761" t="str">
        <f t="shared" si="137"/>
        <v>tier - 3</v>
      </c>
      <c r="M1761" t="s">
        <v>12</v>
      </c>
      <c r="N1761" t="str">
        <f t="shared" si="138"/>
        <v>R1013</v>
      </c>
      <c r="O1761" t="s">
        <v>13</v>
      </c>
    </row>
    <row r="1762" spans="1:15" x14ac:dyDescent="0.35">
      <c r="A1762" t="s">
        <v>1793</v>
      </c>
      <c r="C1762">
        <f t="shared" si="135"/>
        <v>1998</v>
      </c>
      <c r="D1762">
        <v>1998</v>
      </c>
      <c r="E1762" t="str">
        <f t="shared" si="139"/>
        <v>Jun</v>
      </c>
      <c r="F1762" t="s">
        <v>18</v>
      </c>
      <c r="G1762">
        <v>3</v>
      </c>
      <c r="H1762">
        <v>4</v>
      </c>
      <c r="I1762" s="21">
        <v>17128.43</v>
      </c>
      <c r="J1762" t="str">
        <f t="shared" si="136"/>
        <v>tier - 2</v>
      </c>
      <c r="K1762" t="s">
        <v>11</v>
      </c>
      <c r="L1762" t="str">
        <f t="shared" si="137"/>
        <v>tier - 3</v>
      </c>
      <c r="M1762" t="s">
        <v>12</v>
      </c>
      <c r="N1762" t="str">
        <f t="shared" si="138"/>
        <v>R1016</v>
      </c>
      <c r="O1762" t="s">
        <v>168</v>
      </c>
    </row>
    <row r="1763" spans="1:15" x14ac:dyDescent="0.35">
      <c r="A1763" t="s">
        <v>1794</v>
      </c>
      <c r="C1763">
        <f t="shared" si="135"/>
        <v>1965</v>
      </c>
      <c r="D1763">
        <v>1965</v>
      </c>
      <c r="E1763" t="str">
        <f t="shared" si="139"/>
        <v>Sep</v>
      </c>
      <c r="F1763" t="s">
        <v>20</v>
      </c>
      <c r="G1763">
        <v>16</v>
      </c>
      <c r="H1763">
        <v>0</v>
      </c>
      <c r="I1763" s="21">
        <v>17172.27</v>
      </c>
      <c r="J1763" t="str">
        <f t="shared" si="136"/>
        <v>tier - 2</v>
      </c>
      <c r="K1763" t="s">
        <v>11</v>
      </c>
      <c r="L1763" t="str">
        <f t="shared" si="137"/>
        <v>tier - 2</v>
      </c>
      <c r="M1763" t="s">
        <v>11</v>
      </c>
      <c r="N1763" t="str">
        <f t="shared" si="138"/>
        <v>R1026</v>
      </c>
      <c r="O1763" t="s">
        <v>535</v>
      </c>
    </row>
    <row r="1764" spans="1:15" x14ac:dyDescent="0.35">
      <c r="A1764" t="s">
        <v>1795</v>
      </c>
      <c r="C1764">
        <f t="shared" si="135"/>
        <v>1964</v>
      </c>
      <c r="D1764">
        <v>1964</v>
      </c>
      <c r="E1764" t="str">
        <f t="shared" si="139"/>
        <v>Jun</v>
      </c>
      <c r="F1764" t="s">
        <v>18</v>
      </c>
      <c r="G1764">
        <v>7</v>
      </c>
      <c r="H1764">
        <v>0</v>
      </c>
      <c r="I1764" s="21">
        <v>17174.52</v>
      </c>
      <c r="J1764" t="str">
        <f t="shared" si="136"/>
        <v>tier - 2</v>
      </c>
      <c r="K1764" t="s">
        <v>11</v>
      </c>
      <c r="L1764" t="str">
        <f t="shared" si="137"/>
        <v>tier - 2</v>
      </c>
      <c r="M1764" t="s">
        <v>11</v>
      </c>
      <c r="N1764" t="str">
        <f t="shared" si="138"/>
        <v>R1012</v>
      </c>
      <c r="O1764" t="s">
        <v>23</v>
      </c>
    </row>
    <row r="1765" spans="1:15" x14ac:dyDescent="0.35">
      <c r="A1765" t="s">
        <v>1796</v>
      </c>
      <c r="C1765">
        <f t="shared" si="135"/>
        <v>2004</v>
      </c>
      <c r="D1765">
        <v>2004</v>
      </c>
      <c r="E1765" t="str">
        <f t="shared" si="139"/>
        <v>Aug</v>
      </c>
      <c r="F1765" t="s">
        <v>35</v>
      </c>
      <c r="G1765">
        <v>18</v>
      </c>
      <c r="H1765">
        <v>1</v>
      </c>
      <c r="I1765" s="21">
        <v>17178.68</v>
      </c>
      <c r="J1765" t="str">
        <f t="shared" si="136"/>
        <v>tier - 2</v>
      </c>
      <c r="K1765" t="s">
        <v>11</v>
      </c>
      <c r="L1765" t="str">
        <f t="shared" si="137"/>
        <v>tier - 2</v>
      </c>
      <c r="M1765" t="s">
        <v>11</v>
      </c>
      <c r="N1765" t="str">
        <f t="shared" si="138"/>
        <v>R1019</v>
      </c>
      <c r="O1765" t="s">
        <v>166</v>
      </c>
    </row>
    <row r="1766" spans="1:15" x14ac:dyDescent="0.35">
      <c r="A1766" t="s">
        <v>1797</v>
      </c>
      <c r="C1766">
        <f t="shared" si="135"/>
        <v>1982</v>
      </c>
      <c r="D1766">
        <v>1982</v>
      </c>
      <c r="E1766" t="str">
        <f t="shared" si="139"/>
        <v>Oct</v>
      </c>
      <c r="F1766" t="s">
        <v>37</v>
      </c>
      <c r="G1766">
        <v>22</v>
      </c>
      <c r="H1766">
        <v>1</v>
      </c>
      <c r="I1766" s="21">
        <v>17179.52</v>
      </c>
      <c r="J1766" t="str">
        <f t="shared" si="136"/>
        <v>tier - 2</v>
      </c>
      <c r="K1766" t="s">
        <v>11</v>
      </c>
      <c r="L1766" t="str">
        <f t="shared" si="137"/>
        <v>tier - 1</v>
      </c>
      <c r="M1766" t="s">
        <v>16</v>
      </c>
      <c r="N1766" t="str">
        <f t="shared" si="138"/>
        <v>R1013</v>
      </c>
      <c r="O1766" t="s">
        <v>13</v>
      </c>
    </row>
    <row r="1767" spans="1:15" x14ac:dyDescent="0.35">
      <c r="A1767" t="s">
        <v>1798</v>
      </c>
      <c r="C1767">
        <f t="shared" si="135"/>
        <v>1975</v>
      </c>
      <c r="D1767">
        <v>1975</v>
      </c>
      <c r="E1767" t="str">
        <f t="shared" si="139"/>
        <v>Aug</v>
      </c>
      <c r="F1767" t="s">
        <v>35</v>
      </c>
      <c r="G1767">
        <v>25</v>
      </c>
      <c r="H1767">
        <v>1</v>
      </c>
      <c r="I1767" s="21">
        <v>17253.43</v>
      </c>
      <c r="J1767" t="str">
        <f t="shared" si="136"/>
        <v>tier - 2</v>
      </c>
      <c r="K1767" t="s">
        <v>11</v>
      </c>
      <c r="L1767" t="str">
        <f t="shared" si="137"/>
        <v>tier - 3</v>
      </c>
      <c r="M1767" t="s">
        <v>12</v>
      </c>
      <c r="N1767" t="str">
        <f t="shared" si="138"/>
        <v>R1026</v>
      </c>
      <c r="O1767" t="s">
        <v>535</v>
      </c>
    </row>
    <row r="1768" spans="1:15" x14ac:dyDescent="0.35">
      <c r="A1768" t="s">
        <v>1799</v>
      </c>
      <c r="C1768">
        <f t="shared" si="135"/>
        <v>1963</v>
      </c>
      <c r="D1768">
        <v>1963</v>
      </c>
      <c r="E1768" t="str">
        <f t="shared" si="139"/>
        <v>Jul</v>
      </c>
      <c r="F1768" t="s">
        <v>10</v>
      </c>
      <c r="G1768">
        <v>12</v>
      </c>
      <c r="H1768">
        <v>0</v>
      </c>
      <c r="I1768" s="21">
        <v>17337.580000000002</v>
      </c>
      <c r="J1768" t="str">
        <f t="shared" si="136"/>
        <v>tier - 2</v>
      </c>
      <c r="K1768" t="s">
        <v>11</v>
      </c>
      <c r="L1768" t="str">
        <f t="shared" si="137"/>
        <v>tier - 3</v>
      </c>
      <c r="M1768" t="s">
        <v>12</v>
      </c>
      <c r="N1768" t="str">
        <f t="shared" si="138"/>
        <v>R1023</v>
      </c>
      <c r="O1768" t="s">
        <v>249</v>
      </c>
    </row>
    <row r="1769" spans="1:15" x14ac:dyDescent="0.35">
      <c r="A1769" t="s">
        <v>1800</v>
      </c>
      <c r="C1769">
        <f t="shared" si="135"/>
        <v>2003</v>
      </c>
      <c r="D1769">
        <v>2003</v>
      </c>
      <c r="E1769" t="str">
        <f t="shared" si="139"/>
        <v>Nov</v>
      </c>
      <c r="F1769" t="s">
        <v>15</v>
      </c>
      <c r="G1769">
        <v>1</v>
      </c>
      <c r="H1769">
        <v>0</v>
      </c>
      <c r="I1769" s="21">
        <v>17352.68</v>
      </c>
      <c r="J1769" t="str">
        <f t="shared" si="136"/>
        <v>tier - 2</v>
      </c>
      <c r="K1769" t="s">
        <v>11</v>
      </c>
      <c r="L1769" t="str">
        <f t="shared" si="137"/>
        <v>tier - 3</v>
      </c>
      <c r="M1769" t="s">
        <v>12</v>
      </c>
      <c r="N1769" t="str">
        <f t="shared" si="138"/>
        <v>R1012</v>
      </c>
      <c r="O1769" t="s">
        <v>23</v>
      </c>
    </row>
    <row r="1770" spans="1:15" x14ac:dyDescent="0.35">
      <c r="A1770" t="s">
        <v>1801</v>
      </c>
      <c r="C1770">
        <f t="shared" si="135"/>
        <v>1992</v>
      </c>
      <c r="D1770">
        <v>1992</v>
      </c>
      <c r="E1770" t="str">
        <f t="shared" si="139"/>
        <v>Oct</v>
      </c>
      <c r="F1770" t="s">
        <v>37</v>
      </c>
      <c r="G1770">
        <v>18</v>
      </c>
      <c r="H1770">
        <v>2</v>
      </c>
      <c r="I1770" s="21">
        <v>17361.77</v>
      </c>
      <c r="J1770" t="str">
        <f t="shared" si="136"/>
        <v>tier - 2</v>
      </c>
      <c r="K1770" t="s">
        <v>11</v>
      </c>
      <c r="L1770" t="str">
        <f t="shared" si="137"/>
        <v>tier - 1</v>
      </c>
      <c r="M1770" t="s">
        <v>16</v>
      </c>
      <c r="N1770" t="str">
        <f t="shared" si="138"/>
        <v>R1012</v>
      </c>
      <c r="O1770" t="s">
        <v>23</v>
      </c>
    </row>
    <row r="1771" spans="1:15" x14ac:dyDescent="0.35">
      <c r="A1771" t="s">
        <v>1802</v>
      </c>
      <c r="C1771">
        <f t="shared" si="135"/>
        <v>2003</v>
      </c>
      <c r="D1771">
        <v>2003</v>
      </c>
      <c r="E1771" t="str">
        <f t="shared" si="139"/>
        <v>Nov</v>
      </c>
      <c r="F1771" t="s">
        <v>15</v>
      </c>
      <c r="G1771">
        <v>2</v>
      </c>
      <c r="H1771">
        <v>0</v>
      </c>
      <c r="I1771" s="21">
        <v>17468.98</v>
      </c>
      <c r="J1771" t="str">
        <f t="shared" si="136"/>
        <v>tier - 2</v>
      </c>
      <c r="K1771" t="s">
        <v>11</v>
      </c>
      <c r="L1771" t="str">
        <f t="shared" si="137"/>
        <v>tier - 1</v>
      </c>
      <c r="M1771" t="s">
        <v>16</v>
      </c>
      <c r="N1771" t="str">
        <f t="shared" si="138"/>
        <v>R1012</v>
      </c>
      <c r="O1771" t="s">
        <v>23</v>
      </c>
    </row>
    <row r="1772" spans="1:15" x14ac:dyDescent="0.35">
      <c r="A1772" t="s">
        <v>1803</v>
      </c>
      <c r="C1772">
        <f t="shared" si="135"/>
        <v>1971</v>
      </c>
      <c r="D1772">
        <v>1971</v>
      </c>
      <c r="E1772" t="str">
        <f t="shared" si="139"/>
        <v>Jun</v>
      </c>
      <c r="F1772" t="s">
        <v>18</v>
      </c>
      <c r="G1772">
        <v>8</v>
      </c>
      <c r="H1772">
        <v>0</v>
      </c>
      <c r="I1772" s="21">
        <v>17479.53</v>
      </c>
      <c r="J1772" t="str">
        <f t="shared" si="136"/>
        <v>tier - 1</v>
      </c>
      <c r="K1772" t="s">
        <v>16</v>
      </c>
      <c r="L1772" t="str">
        <f t="shared" si="137"/>
        <v>tier - 1</v>
      </c>
      <c r="M1772" t="s">
        <v>16</v>
      </c>
      <c r="N1772" t="str">
        <f t="shared" si="138"/>
        <v>R1012</v>
      </c>
      <c r="O1772" t="s">
        <v>23</v>
      </c>
    </row>
    <row r="1773" spans="1:15" x14ac:dyDescent="0.35">
      <c r="A1773" t="s">
        <v>1804</v>
      </c>
      <c r="C1773">
        <f t="shared" si="135"/>
        <v>1990</v>
      </c>
      <c r="D1773">
        <v>1990</v>
      </c>
      <c r="E1773" t="str">
        <f t="shared" si="139"/>
        <v>Dec</v>
      </c>
      <c r="F1773" t="s">
        <v>30</v>
      </c>
      <c r="G1773">
        <v>29</v>
      </c>
      <c r="H1773">
        <v>0</v>
      </c>
      <c r="I1773" s="21">
        <v>17496.310000000001</v>
      </c>
      <c r="J1773" t="str">
        <f t="shared" si="136"/>
        <v>tier - 1</v>
      </c>
      <c r="K1773" t="s">
        <v>16</v>
      </c>
      <c r="L1773" t="str">
        <f t="shared" si="137"/>
        <v>tier - 2</v>
      </c>
      <c r="M1773" t="s">
        <v>11</v>
      </c>
      <c r="N1773" t="str">
        <f t="shared" si="138"/>
        <v>R1011</v>
      </c>
      <c r="O1773" t="s">
        <v>42</v>
      </c>
    </row>
    <row r="1774" spans="1:15" x14ac:dyDescent="0.35">
      <c r="A1774" t="s">
        <v>1805</v>
      </c>
      <c r="C1774">
        <f t="shared" si="135"/>
        <v>1965</v>
      </c>
      <c r="D1774">
        <v>1965</v>
      </c>
      <c r="E1774" t="str">
        <f t="shared" si="139"/>
        <v>Jun</v>
      </c>
      <c r="F1774" t="s">
        <v>18</v>
      </c>
      <c r="G1774">
        <v>16</v>
      </c>
      <c r="H1774">
        <v>0</v>
      </c>
      <c r="I1774" s="21">
        <v>17505.650000000001</v>
      </c>
      <c r="J1774" t="str">
        <f t="shared" si="136"/>
        <v>tier - 1</v>
      </c>
      <c r="K1774" t="s">
        <v>16</v>
      </c>
      <c r="L1774" t="str">
        <f t="shared" si="137"/>
        <v>tier - 2</v>
      </c>
      <c r="M1774" t="s">
        <v>11</v>
      </c>
      <c r="N1774" t="str">
        <f t="shared" si="138"/>
        <v>R1023</v>
      </c>
      <c r="O1774" t="s">
        <v>249</v>
      </c>
    </row>
    <row r="1775" spans="1:15" x14ac:dyDescent="0.35">
      <c r="A1775" t="s">
        <v>1806</v>
      </c>
      <c r="C1775">
        <f t="shared" si="135"/>
        <v>1968</v>
      </c>
      <c r="D1775">
        <v>1968</v>
      </c>
      <c r="E1775" t="str">
        <f t="shared" si="139"/>
        <v>Jul</v>
      </c>
      <c r="F1775" t="s">
        <v>10</v>
      </c>
      <c r="G1775">
        <v>12</v>
      </c>
      <c r="H1775">
        <v>0</v>
      </c>
      <c r="I1775" s="21">
        <v>17507.47</v>
      </c>
      <c r="J1775" t="str">
        <f t="shared" si="136"/>
        <v>tier - 1</v>
      </c>
      <c r="K1775" t="s">
        <v>16</v>
      </c>
      <c r="L1775" t="str">
        <f t="shared" si="137"/>
        <v>tier - 1</v>
      </c>
      <c r="M1775" t="s">
        <v>16</v>
      </c>
      <c r="N1775" t="str">
        <f t="shared" si="138"/>
        <v>R1026</v>
      </c>
      <c r="O1775" t="s">
        <v>535</v>
      </c>
    </row>
    <row r="1776" spans="1:15" x14ac:dyDescent="0.35">
      <c r="A1776" t="s">
        <v>1807</v>
      </c>
      <c r="C1776">
        <f t="shared" si="135"/>
        <v>1963</v>
      </c>
      <c r="D1776">
        <v>1963</v>
      </c>
      <c r="E1776" t="str">
        <f t="shared" si="139"/>
        <v>Nov</v>
      </c>
      <c r="F1776" t="s">
        <v>15</v>
      </c>
      <c r="G1776">
        <v>16</v>
      </c>
      <c r="H1776">
        <v>0</v>
      </c>
      <c r="I1776" s="21">
        <v>17556.88</v>
      </c>
      <c r="J1776" t="str">
        <f t="shared" si="136"/>
        <v>tier - 1</v>
      </c>
      <c r="K1776" t="s">
        <v>16</v>
      </c>
      <c r="L1776" t="str">
        <f t="shared" si="137"/>
        <v>tier - 2</v>
      </c>
      <c r="M1776" t="s">
        <v>11</v>
      </c>
      <c r="N1776" t="str">
        <f t="shared" si="138"/>
        <v>R1012</v>
      </c>
      <c r="O1776" t="s">
        <v>23</v>
      </c>
    </row>
    <row r="1777" spans="1:15" x14ac:dyDescent="0.35">
      <c r="A1777" t="s">
        <v>1808</v>
      </c>
      <c r="C1777">
        <f t="shared" si="135"/>
        <v>2002</v>
      </c>
      <c r="D1777">
        <v>2002</v>
      </c>
      <c r="E1777" t="str">
        <f t="shared" si="139"/>
        <v>Aug</v>
      </c>
      <c r="F1777" t="s">
        <v>35</v>
      </c>
      <c r="G1777">
        <v>25</v>
      </c>
      <c r="H1777">
        <v>1</v>
      </c>
      <c r="I1777" s="21">
        <v>17560.38</v>
      </c>
      <c r="J1777" t="str">
        <f t="shared" si="136"/>
        <v>tier - 1</v>
      </c>
      <c r="K1777" t="s">
        <v>16</v>
      </c>
      <c r="L1777" t="str">
        <f t="shared" si="137"/>
        <v>tier - 1</v>
      </c>
      <c r="M1777" t="s">
        <v>16</v>
      </c>
      <c r="N1777" t="str">
        <f t="shared" si="138"/>
        <v>R1012</v>
      </c>
      <c r="O1777" t="s">
        <v>23</v>
      </c>
    </row>
    <row r="1778" spans="1:15" x14ac:dyDescent="0.35">
      <c r="A1778" t="s">
        <v>1809</v>
      </c>
      <c r="C1778">
        <f t="shared" si="135"/>
        <v>1970</v>
      </c>
      <c r="D1778">
        <v>1970</v>
      </c>
      <c r="E1778" t="str">
        <f t="shared" si="139"/>
        <v>Jul</v>
      </c>
      <c r="F1778" t="s">
        <v>10</v>
      </c>
      <c r="G1778">
        <v>26</v>
      </c>
      <c r="H1778">
        <v>0</v>
      </c>
      <c r="I1778" s="21">
        <v>17584.72</v>
      </c>
      <c r="J1778" t="str">
        <f t="shared" si="136"/>
        <v>tier - 1</v>
      </c>
      <c r="K1778" t="s">
        <v>16</v>
      </c>
      <c r="L1778" t="str">
        <f t="shared" si="137"/>
        <v>tier - 3</v>
      </c>
      <c r="M1778" t="s">
        <v>12</v>
      </c>
      <c r="N1778" t="str">
        <f t="shared" si="138"/>
        <v>R1012</v>
      </c>
      <c r="O1778" t="s">
        <v>23</v>
      </c>
    </row>
    <row r="1779" spans="1:15" x14ac:dyDescent="0.35">
      <c r="A1779" t="s">
        <v>1810</v>
      </c>
      <c r="C1779">
        <f t="shared" si="135"/>
        <v>1990</v>
      </c>
      <c r="D1779">
        <v>1990</v>
      </c>
      <c r="E1779" t="str">
        <f t="shared" si="139"/>
        <v>Oct</v>
      </c>
      <c r="F1779" t="s">
        <v>37</v>
      </c>
      <c r="G1779">
        <v>25</v>
      </c>
      <c r="H1779">
        <v>1</v>
      </c>
      <c r="I1779" s="21">
        <v>17626.240000000002</v>
      </c>
      <c r="J1779" t="str">
        <f t="shared" si="136"/>
        <v>tier - 1</v>
      </c>
      <c r="K1779" t="s">
        <v>16</v>
      </c>
      <c r="L1779" t="str">
        <f t="shared" si="137"/>
        <v>tier - 3</v>
      </c>
      <c r="M1779" t="s">
        <v>12</v>
      </c>
      <c r="N1779" t="str">
        <f t="shared" si="138"/>
        <v>R1013</v>
      </c>
      <c r="O1779" t="s">
        <v>13</v>
      </c>
    </row>
    <row r="1780" spans="1:15" x14ac:dyDescent="0.35">
      <c r="A1780" t="s">
        <v>1811</v>
      </c>
      <c r="C1780">
        <f t="shared" si="135"/>
        <v>1994</v>
      </c>
      <c r="D1780">
        <v>1994</v>
      </c>
      <c r="E1780" t="str">
        <f t="shared" si="139"/>
        <v>Jul</v>
      </c>
      <c r="F1780" t="s">
        <v>10</v>
      </c>
      <c r="G1780">
        <v>1</v>
      </c>
      <c r="H1780">
        <v>3</v>
      </c>
      <c r="I1780" s="21">
        <v>17663.14</v>
      </c>
      <c r="J1780" t="str">
        <f t="shared" si="136"/>
        <v>tier - 1</v>
      </c>
      <c r="K1780" t="s">
        <v>16</v>
      </c>
      <c r="L1780" t="str">
        <f t="shared" si="137"/>
        <v>tier - 3</v>
      </c>
      <c r="M1780" t="s">
        <v>12</v>
      </c>
      <c r="N1780" t="str">
        <f t="shared" si="138"/>
        <v>R1013</v>
      </c>
      <c r="O1780" t="s">
        <v>13</v>
      </c>
    </row>
    <row r="1781" spans="1:15" x14ac:dyDescent="0.35">
      <c r="A1781" t="s">
        <v>1812</v>
      </c>
      <c r="C1781">
        <f t="shared" si="135"/>
        <v>2003</v>
      </c>
      <c r="D1781">
        <v>2003</v>
      </c>
      <c r="E1781" t="str">
        <f t="shared" si="139"/>
        <v>Jul</v>
      </c>
      <c r="F1781" t="s">
        <v>10</v>
      </c>
      <c r="G1781">
        <v>14</v>
      </c>
      <c r="H1781">
        <v>0</v>
      </c>
      <c r="I1781" s="21">
        <v>17748.509999999998</v>
      </c>
      <c r="J1781" t="str">
        <f t="shared" si="136"/>
        <v>tier - 1</v>
      </c>
      <c r="K1781" t="s">
        <v>16</v>
      </c>
      <c r="L1781" t="str">
        <f t="shared" si="137"/>
        <v>tier - 1</v>
      </c>
      <c r="M1781" t="s">
        <v>16</v>
      </c>
      <c r="N1781" t="str">
        <f t="shared" si="138"/>
        <v>R1012</v>
      </c>
      <c r="O1781" t="s">
        <v>23</v>
      </c>
    </row>
    <row r="1782" spans="1:15" x14ac:dyDescent="0.35">
      <c r="A1782" t="s">
        <v>1813</v>
      </c>
      <c r="C1782">
        <f t="shared" si="135"/>
        <v>1966</v>
      </c>
      <c r="D1782">
        <v>1966</v>
      </c>
      <c r="E1782" t="str">
        <f t="shared" si="139"/>
        <v>Jun</v>
      </c>
      <c r="F1782" t="s">
        <v>18</v>
      </c>
      <c r="G1782">
        <v>21</v>
      </c>
      <c r="H1782">
        <v>0</v>
      </c>
      <c r="I1782" s="21">
        <v>17777.73</v>
      </c>
      <c r="J1782" t="str">
        <f t="shared" si="136"/>
        <v>tier - 1</v>
      </c>
      <c r="K1782" t="s">
        <v>16</v>
      </c>
      <c r="L1782" t="str">
        <f t="shared" si="137"/>
        <v>tier - 3</v>
      </c>
      <c r="M1782" t="s">
        <v>12</v>
      </c>
      <c r="N1782" t="str">
        <f t="shared" si="138"/>
        <v>R1012</v>
      </c>
      <c r="O1782" t="s">
        <v>23</v>
      </c>
    </row>
    <row r="1783" spans="1:15" x14ac:dyDescent="0.35">
      <c r="A1783" t="s">
        <v>1814</v>
      </c>
      <c r="C1783">
        <f t="shared" si="135"/>
        <v>1979</v>
      </c>
      <c r="D1783">
        <v>1979</v>
      </c>
      <c r="E1783" t="str">
        <f t="shared" si="139"/>
        <v>Oct</v>
      </c>
      <c r="F1783" t="s">
        <v>37</v>
      </c>
      <c r="G1783">
        <v>10</v>
      </c>
      <c r="H1783">
        <v>2</v>
      </c>
      <c r="I1783" s="21">
        <v>17779.939999999999</v>
      </c>
      <c r="J1783" t="str">
        <f t="shared" si="136"/>
        <v>tier - 1</v>
      </c>
      <c r="K1783" t="s">
        <v>16</v>
      </c>
      <c r="L1783" t="str">
        <f t="shared" si="137"/>
        <v>tier - 2</v>
      </c>
      <c r="M1783" t="s">
        <v>11</v>
      </c>
      <c r="N1783" t="str">
        <f t="shared" si="138"/>
        <v>R1012</v>
      </c>
      <c r="O1783" t="s">
        <v>23</v>
      </c>
    </row>
    <row r="1784" spans="1:15" x14ac:dyDescent="0.35">
      <c r="A1784" t="s">
        <v>1815</v>
      </c>
      <c r="C1784">
        <f t="shared" si="135"/>
        <v>1963</v>
      </c>
      <c r="D1784">
        <v>1963</v>
      </c>
      <c r="E1784" t="str">
        <f t="shared" si="139"/>
        <v>Dec</v>
      </c>
      <c r="F1784" t="s">
        <v>30</v>
      </c>
      <c r="G1784">
        <v>8</v>
      </c>
      <c r="H1784">
        <v>0</v>
      </c>
      <c r="I1784" s="21">
        <v>17832.599999999999</v>
      </c>
      <c r="J1784" t="str">
        <f t="shared" si="136"/>
        <v>tier - 1</v>
      </c>
      <c r="K1784" t="s">
        <v>16</v>
      </c>
      <c r="L1784" t="str">
        <f t="shared" si="137"/>
        <v>tier - 2</v>
      </c>
      <c r="M1784" t="s">
        <v>11</v>
      </c>
      <c r="N1784" t="str">
        <f t="shared" si="138"/>
        <v>R1012</v>
      </c>
      <c r="O1784" t="s">
        <v>23</v>
      </c>
    </row>
    <row r="1785" spans="1:15" x14ac:dyDescent="0.35">
      <c r="A1785" t="s">
        <v>1816</v>
      </c>
      <c r="C1785">
        <f t="shared" si="135"/>
        <v>1976</v>
      </c>
      <c r="D1785">
        <v>1976</v>
      </c>
      <c r="E1785" t="str">
        <f t="shared" si="139"/>
        <v>Dec</v>
      </c>
      <c r="F1785" t="s">
        <v>30</v>
      </c>
      <c r="G1785">
        <v>12</v>
      </c>
      <c r="H1785">
        <v>2</v>
      </c>
      <c r="I1785" s="21">
        <v>17862.919999999998</v>
      </c>
      <c r="J1785" t="str">
        <f t="shared" si="136"/>
        <v>tier - 1</v>
      </c>
      <c r="K1785" t="s">
        <v>16</v>
      </c>
      <c r="L1785" t="str">
        <f t="shared" si="137"/>
        <v>tier - 2</v>
      </c>
      <c r="M1785" t="s">
        <v>11</v>
      </c>
      <c r="N1785" t="str">
        <f t="shared" si="138"/>
        <v>R1012</v>
      </c>
      <c r="O1785" t="s">
        <v>23</v>
      </c>
    </row>
    <row r="1786" spans="1:15" x14ac:dyDescent="0.35">
      <c r="A1786" t="s">
        <v>1817</v>
      </c>
      <c r="C1786">
        <f t="shared" si="135"/>
        <v>1997</v>
      </c>
      <c r="D1786">
        <v>1997</v>
      </c>
      <c r="E1786" t="str">
        <f t="shared" si="139"/>
        <v>Aug</v>
      </c>
      <c r="F1786" t="s">
        <v>35</v>
      </c>
      <c r="G1786">
        <v>26</v>
      </c>
      <c r="H1786">
        <v>0</v>
      </c>
      <c r="I1786" s="21">
        <v>17878.900000000001</v>
      </c>
      <c r="J1786" t="str">
        <f t="shared" si="136"/>
        <v>tier - 1</v>
      </c>
      <c r="K1786" t="s">
        <v>16</v>
      </c>
      <c r="L1786" t="str">
        <f t="shared" si="137"/>
        <v>tier - 2</v>
      </c>
      <c r="M1786" t="s">
        <v>11</v>
      </c>
      <c r="N1786" t="str">
        <f t="shared" si="138"/>
        <v>R1024</v>
      </c>
      <c r="O1786" t="s">
        <v>247</v>
      </c>
    </row>
    <row r="1787" spans="1:15" x14ac:dyDescent="0.35">
      <c r="A1787" t="s">
        <v>1818</v>
      </c>
      <c r="C1787">
        <f t="shared" si="135"/>
        <v>1979</v>
      </c>
      <c r="D1787">
        <v>1979</v>
      </c>
      <c r="E1787" t="str">
        <f t="shared" si="139"/>
        <v>Nov</v>
      </c>
      <c r="F1787" t="s">
        <v>15</v>
      </c>
      <c r="G1787">
        <v>12</v>
      </c>
      <c r="H1787">
        <v>2</v>
      </c>
      <c r="I1787" s="21">
        <v>17882.669999999998</v>
      </c>
      <c r="J1787" t="str">
        <f t="shared" si="136"/>
        <v>tier - 1</v>
      </c>
      <c r="K1787" t="s">
        <v>16</v>
      </c>
      <c r="L1787" t="str">
        <f t="shared" si="137"/>
        <v>tier - 3</v>
      </c>
      <c r="M1787" t="s">
        <v>12</v>
      </c>
      <c r="N1787" t="str">
        <f t="shared" si="138"/>
        <v>R1012</v>
      </c>
      <c r="O1787" t="s">
        <v>23</v>
      </c>
    </row>
    <row r="1788" spans="1:15" x14ac:dyDescent="0.35">
      <c r="A1788" t="s">
        <v>1819</v>
      </c>
      <c r="C1788">
        <f t="shared" si="135"/>
        <v>1989</v>
      </c>
      <c r="D1788">
        <v>1989</v>
      </c>
      <c r="E1788" t="str">
        <f t="shared" si="139"/>
        <v>Dec</v>
      </c>
      <c r="F1788" t="s">
        <v>30</v>
      </c>
      <c r="G1788">
        <v>4</v>
      </c>
      <c r="H1788">
        <v>0</v>
      </c>
      <c r="I1788" s="21">
        <v>17904.53</v>
      </c>
      <c r="J1788" t="str">
        <f t="shared" si="136"/>
        <v>tier - 1</v>
      </c>
      <c r="K1788" t="s">
        <v>16</v>
      </c>
      <c r="L1788" t="str">
        <f t="shared" si="137"/>
        <v>tier - 2</v>
      </c>
      <c r="M1788" t="s">
        <v>11</v>
      </c>
      <c r="N1788" t="str">
        <f t="shared" si="138"/>
        <v>R1017</v>
      </c>
      <c r="O1788" t="s">
        <v>356</v>
      </c>
    </row>
    <row r="1789" spans="1:15" x14ac:dyDescent="0.35">
      <c r="A1789" t="s">
        <v>1820</v>
      </c>
      <c r="C1789">
        <f t="shared" si="135"/>
        <v>1977</v>
      </c>
      <c r="D1789">
        <v>1977</v>
      </c>
      <c r="E1789" t="str">
        <f t="shared" si="139"/>
        <v>Oct</v>
      </c>
      <c r="F1789" t="s">
        <v>37</v>
      </c>
      <c r="G1789">
        <v>17</v>
      </c>
      <c r="H1789">
        <v>0</v>
      </c>
      <c r="I1789" s="21">
        <v>17929.3</v>
      </c>
      <c r="J1789" t="str">
        <f t="shared" si="136"/>
        <v>tier - 1</v>
      </c>
      <c r="K1789" t="s">
        <v>16</v>
      </c>
      <c r="L1789" t="str">
        <f t="shared" si="137"/>
        <v>tier - 2</v>
      </c>
      <c r="M1789" t="s">
        <v>11</v>
      </c>
      <c r="N1789" t="str">
        <f t="shared" si="138"/>
        <v>R1013</v>
      </c>
      <c r="O1789" t="s">
        <v>13</v>
      </c>
    </row>
    <row r="1790" spans="1:15" x14ac:dyDescent="0.35">
      <c r="A1790" t="s">
        <v>1821</v>
      </c>
      <c r="C1790">
        <f t="shared" si="135"/>
        <v>2001</v>
      </c>
      <c r="D1790">
        <v>2001</v>
      </c>
      <c r="E1790" t="str">
        <f t="shared" si="139"/>
        <v>Sep</v>
      </c>
      <c r="F1790" t="s">
        <v>20</v>
      </c>
      <c r="G1790">
        <v>28</v>
      </c>
      <c r="H1790">
        <v>4</v>
      </c>
      <c r="I1790" s="21">
        <v>17942.11</v>
      </c>
      <c r="J1790" t="str">
        <f t="shared" si="136"/>
        <v>tier - 1</v>
      </c>
      <c r="K1790" t="s">
        <v>16</v>
      </c>
      <c r="L1790" t="str">
        <f t="shared" si="137"/>
        <v>tier - 2</v>
      </c>
      <c r="M1790" t="s">
        <v>11</v>
      </c>
      <c r="N1790" t="str">
        <f t="shared" si="138"/>
        <v>R1011</v>
      </c>
      <c r="O1790" t="s">
        <v>42</v>
      </c>
    </row>
    <row r="1791" spans="1:15" x14ac:dyDescent="0.35">
      <c r="A1791" t="s">
        <v>1822</v>
      </c>
      <c r="C1791">
        <f t="shared" si="135"/>
        <v>1975</v>
      </c>
      <c r="D1791">
        <v>1975</v>
      </c>
      <c r="E1791" t="str">
        <f t="shared" si="139"/>
        <v>Jun</v>
      </c>
      <c r="F1791" t="s">
        <v>18</v>
      </c>
      <c r="G1791">
        <v>27</v>
      </c>
      <c r="H1791">
        <v>1</v>
      </c>
      <c r="I1791" s="21">
        <v>18031.16</v>
      </c>
      <c r="J1791" t="str">
        <f t="shared" si="136"/>
        <v>tier - 1</v>
      </c>
      <c r="K1791" t="s">
        <v>16</v>
      </c>
      <c r="L1791" t="str">
        <f t="shared" si="137"/>
        <v>tier - 3</v>
      </c>
      <c r="M1791" t="s">
        <v>12</v>
      </c>
      <c r="N1791" t="str">
        <f t="shared" si="138"/>
        <v>R1023</v>
      </c>
      <c r="O1791" t="s">
        <v>249</v>
      </c>
    </row>
    <row r="1792" spans="1:15" x14ac:dyDescent="0.35">
      <c r="A1792" t="s">
        <v>1823</v>
      </c>
      <c r="C1792">
        <f t="shared" si="135"/>
        <v>1965</v>
      </c>
      <c r="D1792">
        <v>1965</v>
      </c>
      <c r="E1792" t="str">
        <f t="shared" si="139"/>
        <v>Oct</v>
      </c>
      <c r="F1792" t="s">
        <v>37</v>
      </c>
      <c r="G1792">
        <v>17</v>
      </c>
      <c r="H1792">
        <v>0</v>
      </c>
      <c r="I1792" s="21">
        <v>18031.189999999999</v>
      </c>
      <c r="J1792" t="str">
        <f t="shared" si="136"/>
        <v>tier - 1</v>
      </c>
      <c r="K1792" t="s">
        <v>16</v>
      </c>
      <c r="L1792" t="str">
        <f t="shared" si="137"/>
        <v>tier - 2</v>
      </c>
      <c r="M1792" t="s">
        <v>11</v>
      </c>
      <c r="N1792" t="str">
        <f t="shared" si="138"/>
        <v>R1012</v>
      </c>
      <c r="O1792" t="s">
        <v>23</v>
      </c>
    </row>
    <row r="1793" spans="1:15" x14ac:dyDescent="0.35">
      <c r="A1793" t="s">
        <v>1824</v>
      </c>
      <c r="C1793">
        <f t="shared" si="135"/>
        <v>1999</v>
      </c>
      <c r="D1793">
        <v>1999</v>
      </c>
      <c r="E1793" t="str">
        <f t="shared" si="139"/>
        <v>Oct</v>
      </c>
      <c r="F1793" t="s">
        <v>37</v>
      </c>
      <c r="G1793">
        <v>24</v>
      </c>
      <c r="H1793">
        <v>0</v>
      </c>
      <c r="I1793" s="21">
        <v>18033.97</v>
      </c>
      <c r="J1793" t="str">
        <f t="shared" si="136"/>
        <v>tier - 1</v>
      </c>
      <c r="K1793" t="s">
        <v>16</v>
      </c>
      <c r="L1793" t="str">
        <f t="shared" si="137"/>
        <v>tier - 1</v>
      </c>
      <c r="M1793" t="s">
        <v>16</v>
      </c>
      <c r="N1793" t="str">
        <f t="shared" si="138"/>
        <v>R1012</v>
      </c>
      <c r="O1793" t="s">
        <v>23</v>
      </c>
    </row>
    <row r="1794" spans="1:15" x14ac:dyDescent="0.35">
      <c r="A1794" t="s">
        <v>1825</v>
      </c>
      <c r="C1794">
        <f t="shared" si="135"/>
        <v>1993</v>
      </c>
      <c r="D1794">
        <v>1993</v>
      </c>
      <c r="E1794" t="str">
        <f t="shared" si="139"/>
        <v>Jul</v>
      </c>
      <c r="F1794" t="s">
        <v>10</v>
      </c>
      <c r="G1794">
        <v>12</v>
      </c>
      <c r="H1794">
        <v>2</v>
      </c>
      <c r="I1794" s="21">
        <v>18157.88</v>
      </c>
      <c r="J1794" t="str">
        <f t="shared" si="136"/>
        <v>tier - 1</v>
      </c>
      <c r="K1794" t="s">
        <v>16</v>
      </c>
      <c r="L1794" t="str">
        <f t="shared" si="137"/>
        <v>tier - 1</v>
      </c>
      <c r="M1794" t="s">
        <v>16</v>
      </c>
      <c r="N1794" t="str">
        <f t="shared" si="138"/>
        <v>R1012</v>
      </c>
      <c r="O1794" t="s">
        <v>23</v>
      </c>
    </row>
    <row r="1795" spans="1:15" x14ac:dyDescent="0.35">
      <c r="A1795" t="s">
        <v>1826</v>
      </c>
      <c r="C1795">
        <f t="shared" ref="C1795:C1858" si="140">IF(OR(D1795="?", ISBLANK(D1795)), 1983, D1795)</f>
        <v>1963</v>
      </c>
      <c r="D1795">
        <v>1963</v>
      </c>
      <c r="E1795" t="str">
        <f t="shared" si="139"/>
        <v>Jul</v>
      </c>
      <c r="F1795" t="s">
        <v>10</v>
      </c>
      <c r="G1795">
        <v>4</v>
      </c>
      <c r="H1795">
        <v>0</v>
      </c>
      <c r="I1795" s="21">
        <v>18208.34</v>
      </c>
      <c r="J1795" t="str">
        <f t="shared" ref="J1795:J1858" si="141">IF(OR(K1795="?", ISBLANK(K1795)), "Tier 2", K1795)</f>
        <v>tier - 1</v>
      </c>
      <c r="K1795" t="s">
        <v>16</v>
      </c>
      <c r="L1795" t="str">
        <f t="shared" ref="L1795:L1858" si="142">IF(OR(M1795="?", ISBLANK(M1795)), "Tier 2", M1795)</f>
        <v>tier - 2</v>
      </c>
      <c r="M1795" t="s">
        <v>11</v>
      </c>
      <c r="N1795" t="str">
        <f t="shared" ref="N1795:N1858" si="143">IF(OR(O1795="?", ISBLANK(O1795)), "Unknown", O1795)</f>
        <v>R1026</v>
      </c>
      <c r="O1795" t="s">
        <v>535</v>
      </c>
    </row>
    <row r="1796" spans="1:15" x14ac:dyDescent="0.35">
      <c r="A1796" t="s">
        <v>1827</v>
      </c>
      <c r="C1796">
        <f t="shared" si="140"/>
        <v>1997</v>
      </c>
      <c r="D1796">
        <v>1997</v>
      </c>
      <c r="E1796" t="str">
        <f t="shared" ref="E1796:E1859" si="144">IF(OR(F1796="?", ISBLANK(F1796)), "Sep", F1796)</f>
        <v>Jun</v>
      </c>
      <c r="F1796" t="s">
        <v>18</v>
      </c>
      <c r="G1796">
        <v>15</v>
      </c>
      <c r="H1796">
        <v>1</v>
      </c>
      <c r="I1796" s="21">
        <v>18218.16</v>
      </c>
      <c r="J1796" t="str">
        <f t="shared" si="141"/>
        <v>tier - 1</v>
      </c>
      <c r="K1796" t="s">
        <v>16</v>
      </c>
      <c r="L1796" t="str">
        <f t="shared" si="142"/>
        <v>tier - 1</v>
      </c>
      <c r="M1796" t="s">
        <v>16</v>
      </c>
      <c r="N1796" t="str">
        <f t="shared" si="143"/>
        <v>R1013</v>
      </c>
      <c r="O1796" t="s">
        <v>13</v>
      </c>
    </row>
    <row r="1797" spans="1:15" x14ac:dyDescent="0.35">
      <c r="A1797" t="s">
        <v>1828</v>
      </c>
      <c r="C1797">
        <f t="shared" si="140"/>
        <v>2004</v>
      </c>
      <c r="D1797">
        <v>2004</v>
      </c>
      <c r="E1797" t="str">
        <f t="shared" si="144"/>
        <v>Sep</v>
      </c>
      <c r="F1797" t="s">
        <v>20</v>
      </c>
      <c r="G1797">
        <v>10</v>
      </c>
      <c r="H1797">
        <v>3</v>
      </c>
      <c r="I1797" s="21">
        <v>18223.45</v>
      </c>
      <c r="J1797" t="str">
        <f t="shared" si="141"/>
        <v>tier - 1</v>
      </c>
      <c r="K1797" t="s">
        <v>16</v>
      </c>
      <c r="L1797" t="str">
        <f t="shared" si="142"/>
        <v>tier - 3</v>
      </c>
      <c r="M1797" t="s">
        <v>12</v>
      </c>
      <c r="N1797" t="str">
        <f t="shared" si="143"/>
        <v>R1013</v>
      </c>
      <c r="O1797" t="s">
        <v>13</v>
      </c>
    </row>
    <row r="1798" spans="1:15" x14ac:dyDescent="0.35">
      <c r="A1798" t="s">
        <v>1829</v>
      </c>
      <c r="C1798">
        <f t="shared" si="140"/>
        <v>1995</v>
      </c>
      <c r="D1798">
        <v>1995</v>
      </c>
      <c r="E1798" t="str">
        <f t="shared" si="144"/>
        <v>Aug</v>
      </c>
      <c r="F1798" t="s">
        <v>35</v>
      </c>
      <c r="G1798">
        <v>3</v>
      </c>
      <c r="H1798">
        <v>0</v>
      </c>
      <c r="I1798" s="21">
        <v>18246.5</v>
      </c>
      <c r="J1798" t="str">
        <f t="shared" si="141"/>
        <v>tier - 1</v>
      </c>
      <c r="K1798" t="s">
        <v>16</v>
      </c>
      <c r="L1798" t="str">
        <f t="shared" si="142"/>
        <v>tier - 1</v>
      </c>
      <c r="M1798" t="s">
        <v>16</v>
      </c>
      <c r="N1798" t="str">
        <f t="shared" si="143"/>
        <v>R1013</v>
      </c>
      <c r="O1798" t="s">
        <v>13</v>
      </c>
    </row>
    <row r="1799" spans="1:15" x14ac:dyDescent="0.35">
      <c r="A1799" t="s">
        <v>1830</v>
      </c>
      <c r="C1799">
        <f t="shared" si="140"/>
        <v>1992</v>
      </c>
      <c r="D1799">
        <v>1992</v>
      </c>
      <c r="E1799" t="str">
        <f t="shared" si="144"/>
        <v>Dec</v>
      </c>
      <c r="F1799" t="s">
        <v>30</v>
      </c>
      <c r="G1799">
        <v>25</v>
      </c>
      <c r="H1799">
        <v>3</v>
      </c>
      <c r="I1799" s="21">
        <v>18259.22</v>
      </c>
      <c r="J1799" t="str">
        <f t="shared" si="141"/>
        <v>tier - 1</v>
      </c>
      <c r="K1799" t="s">
        <v>16</v>
      </c>
      <c r="L1799" t="str">
        <f t="shared" si="142"/>
        <v>tier - 3</v>
      </c>
      <c r="M1799" t="s">
        <v>12</v>
      </c>
      <c r="N1799" t="str">
        <f t="shared" si="143"/>
        <v>R1011</v>
      </c>
      <c r="O1799" t="s">
        <v>42</v>
      </c>
    </row>
    <row r="1800" spans="1:15" x14ac:dyDescent="0.35">
      <c r="A1800" t="s">
        <v>1831</v>
      </c>
      <c r="C1800">
        <f t="shared" si="140"/>
        <v>1995</v>
      </c>
      <c r="D1800">
        <v>1995</v>
      </c>
      <c r="E1800" t="str">
        <f t="shared" si="144"/>
        <v>Jul</v>
      </c>
      <c r="F1800" t="s">
        <v>10</v>
      </c>
      <c r="G1800">
        <v>4</v>
      </c>
      <c r="H1800">
        <v>0</v>
      </c>
      <c r="I1800" s="21">
        <v>18310.740000000002</v>
      </c>
      <c r="J1800" t="str">
        <f t="shared" si="141"/>
        <v>tier - 1</v>
      </c>
      <c r="K1800" t="s">
        <v>16</v>
      </c>
      <c r="L1800" t="str">
        <f t="shared" si="142"/>
        <v>tier - 3</v>
      </c>
      <c r="M1800" t="s">
        <v>12</v>
      </c>
      <c r="N1800" t="str">
        <f t="shared" si="143"/>
        <v>R1012</v>
      </c>
      <c r="O1800" t="s">
        <v>23</v>
      </c>
    </row>
    <row r="1801" spans="1:15" x14ac:dyDescent="0.35">
      <c r="A1801" t="s">
        <v>1832</v>
      </c>
      <c r="C1801">
        <f t="shared" si="140"/>
        <v>1999</v>
      </c>
      <c r="D1801">
        <v>1999</v>
      </c>
      <c r="E1801" t="str">
        <f t="shared" si="144"/>
        <v>Dec</v>
      </c>
      <c r="F1801" t="s">
        <v>30</v>
      </c>
      <c r="G1801">
        <v>15</v>
      </c>
      <c r="H1801">
        <v>1</v>
      </c>
      <c r="I1801" s="21">
        <v>18328.240000000002</v>
      </c>
      <c r="J1801" t="str">
        <f t="shared" si="141"/>
        <v>tier - 1</v>
      </c>
      <c r="K1801" t="s">
        <v>16</v>
      </c>
      <c r="L1801" t="str">
        <f t="shared" si="142"/>
        <v>tier - 2</v>
      </c>
      <c r="M1801" t="s">
        <v>11</v>
      </c>
      <c r="N1801" t="str">
        <f t="shared" si="143"/>
        <v>R1013</v>
      </c>
      <c r="O1801" t="s">
        <v>13</v>
      </c>
    </row>
    <row r="1802" spans="1:15" x14ac:dyDescent="0.35">
      <c r="A1802" t="s">
        <v>1833</v>
      </c>
      <c r="C1802">
        <f t="shared" si="140"/>
        <v>1964</v>
      </c>
      <c r="D1802">
        <v>1964</v>
      </c>
      <c r="E1802" t="str">
        <f t="shared" si="144"/>
        <v>Sep</v>
      </c>
      <c r="F1802" t="s">
        <v>20</v>
      </c>
      <c r="G1802">
        <v>26</v>
      </c>
      <c r="H1802">
        <v>0</v>
      </c>
      <c r="I1802" s="21">
        <v>18443.11</v>
      </c>
      <c r="J1802" t="str">
        <f t="shared" si="141"/>
        <v>tier - 1</v>
      </c>
      <c r="K1802" t="s">
        <v>16</v>
      </c>
      <c r="L1802" t="str">
        <f t="shared" si="142"/>
        <v>tier - 2</v>
      </c>
      <c r="M1802" t="s">
        <v>11</v>
      </c>
      <c r="N1802" t="str">
        <f t="shared" si="143"/>
        <v>R1012</v>
      </c>
      <c r="O1802" t="s">
        <v>23</v>
      </c>
    </row>
    <row r="1803" spans="1:15" x14ac:dyDescent="0.35">
      <c r="A1803" t="s">
        <v>1834</v>
      </c>
      <c r="C1803">
        <f t="shared" si="140"/>
        <v>1986</v>
      </c>
      <c r="D1803">
        <v>1986</v>
      </c>
      <c r="E1803" t="str">
        <f t="shared" si="144"/>
        <v>Aug</v>
      </c>
      <c r="F1803" t="s">
        <v>35</v>
      </c>
      <c r="G1803">
        <v>12</v>
      </c>
      <c r="H1803">
        <v>2</v>
      </c>
      <c r="I1803" s="21">
        <v>18608.259999999998</v>
      </c>
      <c r="J1803" t="str">
        <f t="shared" si="141"/>
        <v>tier - 1</v>
      </c>
      <c r="K1803" t="s">
        <v>16</v>
      </c>
      <c r="L1803" t="str">
        <f t="shared" si="142"/>
        <v>tier - 3</v>
      </c>
      <c r="M1803" t="s">
        <v>12</v>
      </c>
      <c r="N1803" t="str">
        <f t="shared" si="143"/>
        <v>R1011</v>
      </c>
      <c r="O1803" t="s">
        <v>42</v>
      </c>
    </row>
    <row r="1804" spans="1:15" x14ac:dyDescent="0.35">
      <c r="A1804" t="s">
        <v>1835</v>
      </c>
      <c r="C1804">
        <f t="shared" si="140"/>
        <v>1998</v>
      </c>
      <c r="D1804">
        <v>1998</v>
      </c>
      <c r="E1804" t="str">
        <f t="shared" si="144"/>
        <v>Sep</v>
      </c>
      <c r="F1804" t="s">
        <v>20</v>
      </c>
      <c r="G1804">
        <v>23</v>
      </c>
      <c r="H1804">
        <v>0</v>
      </c>
      <c r="I1804" s="21">
        <v>18648.419999999998</v>
      </c>
      <c r="J1804" t="str">
        <f t="shared" si="141"/>
        <v>tier - 1</v>
      </c>
      <c r="K1804" t="s">
        <v>16</v>
      </c>
      <c r="L1804" t="str">
        <f t="shared" si="142"/>
        <v>tier - 1</v>
      </c>
      <c r="M1804" t="s">
        <v>16</v>
      </c>
      <c r="N1804" t="str">
        <f t="shared" si="143"/>
        <v>R1019</v>
      </c>
      <c r="O1804" t="s">
        <v>166</v>
      </c>
    </row>
    <row r="1805" spans="1:15" x14ac:dyDescent="0.35">
      <c r="A1805" t="s">
        <v>1836</v>
      </c>
      <c r="C1805">
        <f t="shared" si="140"/>
        <v>1970</v>
      </c>
      <c r="D1805">
        <v>1970</v>
      </c>
      <c r="E1805" t="str">
        <f t="shared" si="144"/>
        <v>Oct</v>
      </c>
      <c r="F1805" t="s">
        <v>37</v>
      </c>
      <c r="G1805">
        <v>17</v>
      </c>
      <c r="H1805">
        <v>0</v>
      </c>
      <c r="I1805" s="21">
        <v>18682.740000000002</v>
      </c>
      <c r="J1805" t="str">
        <f t="shared" si="141"/>
        <v>tier - 1</v>
      </c>
      <c r="K1805" t="s">
        <v>16</v>
      </c>
      <c r="L1805" t="str">
        <f t="shared" si="142"/>
        <v>tier - 3</v>
      </c>
      <c r="M1805" t="s">
        <v>12</v>
      </c>
      <c r="N1805" t="str">
        <f t="shared" si="143"/>
        <v>R1012</v>
      </c>
      <c r="O1805" t="s">
        <v>23</v>
      </c>
    </row>
    <row r="1806" spans="1:15" x14ac:dyDescent="0.35">
      <c r="A1806" t="s">
        <v>1837</v>
      </c>
      <c r="C1806">
        <f t="shared" si="140"/>
        <v>1967</v>
      </c>
      <c r="D1806">
        <v>1967</v>
      </c>
      <c r="E1806" t="str">
        <f t="shared" si="144"/>
        <v>Aug</v>
      </c>
      <c r="F1806" t="s">
        <v>35</v>
      </c>
      <c r="G1806">
        <v>30</v>
      </c>
      <c r="H1806">
        <v>0</v>
      </c>
      <c r="I1806" s="21">
        <v>18694.689999999999</v>
      </c>
      <c r="J1806" t="str">
        <f t="shared" si="141"/>
        <v>tier - 1</v>
      </c>
      <c r="K1806" t="s">
        <v>16</v>
      </c>
      <c r="L1806" t="str">
        <f t="shared" si="142"/>
        <v>tier - 1</v>
      </c>
      <c r="M1806" t="s">
        <v>16</v>
      </c>
      <c r="N1806" t="str">
        <f t="shared" si="143"/>
        <v>R1023</v>
      </c>
      <c r="O1806" t="s">
        <v>249</v>
      </c>
    </row>
    <row r="1807" spans="1:15" x14ac:dyDescent="0.35">
      <c r="A1807" t="s">
        <v>1838</v>
      </c>
      <c r="C1807">
        <f t="shared" si="140"/>
        <v>1992</v>
      </c>
      <c r="D1807">
        <v>1992</v>
      </c>
      <c r="E1807" t="str">
        <f t="shared" si="144"/>
        <v>Dec</v>
      </c>
      <c r="F1807" t="s">
        <v>30</v>
      </c>
      <c r="G1807">
        <v>27</v>
      </c>
      <c r="H1807">
        <v>3</v>
      </c>
      <c r="I1807" s="21">
        <v>18765.88</v>
      </c>
      <c r="J1807" t="str">
        <f t="shared" si="141"/>
        <v>tier - 1</v>
      </c>
      <c r="K1807" t="s">
        <v>16</v>
      </c>
      <c r="L1807" t="str">
        <f t="shared" si="142"/>
        <v>tier - 2</v>
      </c>
      <c r="M1807" t="s">
        <v>11</v>
      </c>
      <c r="N1807" t="str">
        <f t="shared" si="143"/>
        <v>R1012</v>
      </c>
      <c r="O1807" t="s">
        <v>23</v>
      </c>
    </row>
    <row r="1808" spans="1:15" x14ac:dyDescent="0.35">
      <c r="A1808" t="s">
        <v>1839</v>
      </c>
      <c r="C1808">
        <f t="shared" si="140"/>
        <v>1979</v>
      </c>
      <c r="D1808">
        <v>1979</v>
      </c>
      <c r="E1808" t="str">
        <f t="shared" si="144"/>
        <v>Nov</v>
      </c>
      <c r="F1808" t="s">
        <v>15</v>
      </c>
      <c r="G1808">
        <v>19</v>
      </c>
      <c r="H1808">
        <v>2</v>
      </c>
      <c r="I1808" s="21">
        <v>18767.740000000002</v>
      </c>
      <c r="J1808" t="str">
        <f t="shared" si="141"/>
        <v>tier - 1</v>
      </c>
      <c r="K1808" t="s">
        <v>16</v>
      </c>
      <c r="L1808" t="str">
        <f t="shared" si="142"/>
        <v>tier - 1</v>
      </c>
      <c r="M1808" t="s">
        <v>16</v>
      </c>
      <c r="N1808" t="str">
        <f t="shared" si="143"/>
        <v>R1013</v>
      </c>
      <c r="O1808" t="s">
        <v>13</v>
      </c>
    </row>
    <row r="1809" spans="1:15" x14ac:dyDescent="0.35">
      <c r="A1809" t="s">
        <v>1840</v>
      </c>
      <c r="C1809">
        <f t="shared" si="140"/>
        <v>1995</v>
      </c>
      <c r="D1809">
        <v>1995</v>
      </c>
      <c r="E1809" t="str">
        <f t="shared" si="144"/>
        <v>Nov</v>
      </c>
      <c r="F1809" t="s">
        <v>15</v>
      </c>
      <c r="G1809">
        <v>28</v>
      </c>
      <c r="H1809">
        <v>3</v>
      </c>
      <c r="I1809" s="21">
        <v>18804.75</v>
      </c>
      <c r="J1809" t="str">
        <f t="shared" si="141"/>
        <v>tier - 1</v>
      </c>
      <c r="K1809" t="s">
        <v>16</v>
      </c>
      <c r="L1809" t="str">
        <f t="shared" si="142"/>
        <v>tier - 1</v>
      </c>
      <c r="M1809" t="s">
        <v>16</v>
      </c>
      <c r="N1809" t="str">
        <f t="shared" si="143"/>
        <v>R1012</v>
      </c>
      <c r="O1809" t="s">
        <v>23</v>
      </c>
    </row>
    <row r="1810" spans="1:15" x14ac:dyDescent="0.35">
      <c r="A1810" t="s">
        <v>1841</v>
      </c>
      <c r="C1810">
        <f t="shared" si="140"/>
        <v>1979</v>
      </c>
      <c r="D1810">
        <v>1979</v>
      </c>
      <c r="E1810" t="str">
        <f t="shared" si="144"/>
        <v>Oct</v>
      </c>
      <c r="F1810" t="s">
        <v>37</v>
      </c>
      <c r="G1810">
        <v>15</v>
      </c>
      <c r="H1810">
        <v>2</v>
      </c>
      <c r="I1810" s="21">
        <v>18806.150000000001</v>
      </c>
      <c r="J1810" t="str">
        <f t="shared" si="141"/>
        <v>tier - 1</v>
      </c>
      <c r="K1810" t="s">
        <v>16</v>
      </c>
      <c r="L1810" t="str">
        <f t="shared" si="142"/>
        <v>tier - 2</v>
      </c>
      <c r="M1810" t="s">
        <v>11</v>
      </c>
      <c r="N1810" t="str">
        <f t="shared" si="143"/>
        <v>R1013</v>
      </c>
      <c r="O1810" t="s">
        <v>13</v>
      </c>
    </row>
    <row r="1811" spans="1:15" x14ac:dyDescent="0.35">
      <c r="A1811" t="s">
        <v>1842</v>
      </c>
      <c r="C1811">
        <f t="shared" si="140"/>
        <v>1962</v>
      </c>
      <c r="D1811">
        <v>1962</v>
      </c>
      <c r="E1811" t="str">
        <f t="shared" si="144"/>
        <v>Dec</v>
      </c>
      <c r="F1811" t="s">
        <v>30</v>
      </c>
      <c r="G1811">
        <v>18</v>
      </c>
      <c r="H1811">
        <v>0</v>
      </c>
      <c r="I1811" s="21">
        <v>18815.53</v>
      </c>
      <c r="J1811" t="str">
        <f t="shared" si="141"/>
        <v>tier - 1</v>
      </c>
      <c r="K1811" t="s">
        <v>16</v>
      </c>
      <c r="L1811" t="str">
        <f t="shared" si="142"/>
        <v>tier - 1</v>
      </c>
      <c r="M1811" t="s">
        <v>16</v>
      </c>
      <c r="N1811" t="str">
        <f t="shared" si="143"/>
        <v>R1023</v>
      </c>
      <c r="O1811" t="s">
        <v>249</v>
      </c>
    </row>
    <row r="1812" spans="1:15" x14ac:dyDescent="0.35">
      <c r="A1812" t="s">
        <v>1843</v>
      </c>
      <c r="C1812">
        <f t="shared" si="140"/>
        <v>2003</v>
      </c>
      <c r="D1812">
        <v>2003</v>
      </c>
      <c r="E1812" t="str">
        <f t="shared" si="144"/>
        <v>Jul</v>
      </c>
      <c r="F1812" t="s">
        <v>10</v>
      </c>
      <c r="G1812">
        <v>24</v>
      </c>
      <c r="H1812">
        <v>3</v>
      </c>
      <c r="I1812" s="21">
        <v>18838.7</v>
      </c>
      <c r="J1812" t="str">
        <f t="shared" si="141"/>
        <v>tier - 1</v>
      </c>
      <c r="K1812" t="s">
        <v>16</v>
      </c>
      <c r="L1812" t="str">
        <f t="shared" si="142"/>
        <v>tier - 3</v>
      </c>
      <c r="M1812" t="s">
        <v>12</v>
      </c>
      <c r="N1812" t="str">
        <f t="shared" si="143"/>
        <v>R1012</v>
      </c>
      <c r="O1812" t="s">
        <v>23</v>
      </c>
    </row>
    <row r="1813" spans="1:15" x14ac:dyDescent="0.35">
      <c r="A1813" t="s">
        <v>1844</v>
      </c>
      <c r="C1813">
        <f t="shared" si="140"/>
        <v>1963</v>
      </c>
      <c r="D1813">
        <v>1963</v>
      </c>
      <c r="E1813" t="str">
        <f t="shared" si="144"/>
        <v>Dec</v>
      </c>
      <c r="F1813" t="s">
        <v>30</v>
      </c>
      <c r="G1813">
        <v>6</v>
      </c>
      <c r="H1813">
        <v>0</v>
      </c>
      <c r="I1813" s="21">
        <v>18883.330000000002</v>
      </c>
      <c r="J1813" t="str">
        <f t="shared" si="141"/>
        <v>tier - 1</v>
      </c>
      <c r="K1813" t="s">
        <v>16</v>
      </c>
      <c r="L1813" t="str">
        <f t="shared" si="142"/>
        <v>tier - 1</v>
      </c>
      <c r="M1813" t="s">
        <v>16</v>
      </c>
      <c r="N1813" t="str">
        <f t="shared" si="143"/>
        <v>R1026</v>
      </c>
      <c r="O1813" t="s">
        <v>535</v>
      </c>
    </row>
    <row r="1814" spans="1:15" x14ac:dyDescent="0.35">
      <c r="A1814" t="s">
        <v>1845</v>
      </c>
      <c r="C1814">
        <f t="shared" si="140"/>
        <v>1995</v>
      </c>
      <c r="D1814">
        <v>1995</v>
      </c>
      <c r="E1814" t="str">
        <f t="shared" si="144"/>
        <v>Sep</v>
      </c>
      <c r="F1814" t="s">
        <v>20</v>
      </c>
      <c r="G1814">
        <v>27</v>
      </c>
      <c r="H1814">
        <v>1</v>
      </c>
      <c r="I1814" s="21">
        <v>18903.490000000002</v>
      </c>
      <c r="J1814" t="str">
        <f t="shared" si="141"/>
        <v>tier - 1</v>
      </c>
      <c r="K1814" t="s">
        <v>16</v>
      </c>
      <c r="L1814" t="str">
        <f t="shared" si="142"/>
        <v>tier - 2</v>
      </c>
      <c r="M1814" t="s">
        <v>11</v>
      </c>
      <c r="N1814" t="str">
        <f t="shared" si="143"/>
        <v>R1024</v>
      </c>
      <c r="O1814" t="s">
        <v>247</v>
      </c>
    </row>
    <row r="1815" spans="1:15" x14ac:dyDescent="0.35">
      <c r="A1815" t="s">
        <v>1846</v>
      </c>
      <c r="C1815">
        <f t="shared" si="140"/>
        <v>1969</v>
      </c>
      <c r="D1815">
        <v>1969</v>
      </c>
      <c r="E1815" t="str">
        <f t="shared" si="144"/>
        <v>Aug</v>
      </c>
      <c r="F1815" t="s">
        <v>35</v>
      </c>
      <c r="G1815">
        <v>3</v>
      </c>
      <c r="H1815">
        <v>0</v>
      </c>
      <c r="I1815" s="21">
        <v>18932.810000000001</v>
      </c>
      <c r="J1815" t="str">
        <f t="shared" si="141"/>
        <v>tier - 1</v>
      </c>
      <c r="K1815" t="s">
        <v>16</v>
      </c>
      <c r="L1815" t="str">
        <f t="shared" si="142"/>
        <v>tier - 3</v>
      </c>
      <c r="M1815" t="s">
        <v>12</v>
      </c>
      <c r="N1815" t="str">
        <f t="shared" si="143"/>
        <v>R1012</v>
      </c>
      <c r="O1815" t="s">
        <v>23</v>
      </c>
    </row>
    <row r="1816" spans="1:15" x14ac:dyDescent="0.35">
      <c r="A1816" t="s">
        <v>1847</v>
      </c>
      <c r="C1816">
        <f t="shared" si="140"/>
        <v>1963</v>
      </c>
      <c r="D1816">
        <v>1963</v>
      </c>
      <c r="E1816" t="str">
        <f t="shared" si="144"/>
        <v>Oct</v>
      </c>
      <c r="F1816" t="s">
        <v>37</v>
      </c>
      <c r="G1816">
        <v>20</v>
      </c>
      <c r="H1816">
        <v>0</v>
      </c>
      <c r="I1816" s="21">
        <v>18954.560000000001</v>
      </c>
      <c r="J1816" t="str">
        <f t="shared" si="141"/>
        <v>tier - 1</v>
      </c>
      <c r="K1816" t="s">
        <v>16</v>
      </c>
      <c r="L1816" t="str">
        <f t="shared" si="142"/>
        <v>tier - 1</v>
      </c>
      <c r="M1816" t="s">
        <v>16</v>
      </c>
      <c r="N1816" t="str">
        <f t="shared" si="143"/>
        <v>R1026</v>
      </c>
      <c r="O1816" t="s">
        <v>535</v>
      </c>
    </row>
    <row r="1817" spans="1:15" x14ac:dyDescent="0.35">
      <c r="A1817" t="s">
        <v>1848</v>
      </c>
      <c r="C1817">
        <f t="shared" si="140"/>
        <v>1998</v>
      </c>
      <c r="D1817">
        <v>1998</v>
      </c>
      <c r="E1817" t="str">
        <f t="shared" si="144"/>
        <v>Aug</v>
      </c>
      <c r="F1817" t="s">
        <v>35</v>
      </c>
      <c r="G1817">
        <v>6</v>
      </c>
      <c r="H1817">
        <v>0</v>
      </c>
      <c r="I1817" s="21">
        <v>18955.22</v>
      </c>
      <c r="J1817" t="str">
        <f t="shared" si="141"/>
        <v>tier - 1</v>
      </c>
      <c r="K1817" t="s">
        <v>16</v>
      </c>
      <c r="L1817" t="str">
        <f t="shared" si="142"/>
        <v>tier - 3</v>
      </c>
      <c r="M1817" t="s">
        <v>12</v>
      </c>
      <c r="N1817" t="str">
        <f t="shared" si="143"/>
        <v>R1011</v>
      </c>
      <c r="O1817" t="s">
        <v>42</v>
      </c>
    </row>
    <row r="1818" spans="1:15" x14ac:dyDescent="0.35">
      <c r="A1818" t="s">
        <v>1849</v>
      </c>
      <c r="C1818">
        <f t="shared" si="140"/>
        <v>1992</v>
      </c>
      <c r="D1818">
        <v>1992</v>
      </c>
      <c r="E1818" t="str">
        <f t="shared" si="144"/>
        <v>Nov</v>
      </c>
      <c r="F1818" t="s">
        <v>15</v>
      </c>
      <c r="G1818">
        <v>30</v>
      </c>
      <c r="H1818">
        <v>1</v>
      </c>
      <c r="I1818" s="21">
        <v>18963.169999999998</v>
      </c>
      <c r="J1818" t="str">
        <f t="shared" si="141"/>
        <v>tier - 1</v>
      </c>
      <c r="K1818" t="s">
        <v>16</v>
      </c>
      <c r="L1818" t="str">
        <f t="shared" si="142"/>
        <v>tier - 1</v>
      </c>
      <c r="M1818" t="s">
        <v>16</v>
      </c>
      <c r="N1818" t="str">
        <f t="shared" si="143"/>
        <v>R1013</v>
      </c>
      <c r="O1818" t="s">
        <v>13</v>
      </c>
    </row>
    <row r="1819" spans="1:15" x14ac:dyDescent="0.35">
      <c r="A1819" t="s">
        <v>1850</v>
      </c>
      <c r="C1819">
        <f t="shared" si="140"/>
        <v>1988</v>
      </c>
      <c r="D1819">
        <v>1988</v>
      </c>
      <c r="E1819" t="str">
        <f t="shared" si="144"/>
        <v>Oct</v>
      </c>
      <c r="F1819" t="s">
        <v>37</v>
      </c>
      <c r="G1819">
        <v>24</v>
      </c>
      <c r="H1819">
        <v>2</v>
      </c>
      <c r="I1819" s="21">
        <v>18972.5</v>
      </c>
      <c r="J1819" t="str">
        <f t="shared" si="141"/>
        <v>tier - 1</v>
      </c>
      <c r="K1819" t="s">
        <v>16</v>
      </c>
      <c r="L1819" t="str">
        <f t="shared" si="142"/>
        <v>tier - 3</v>
      </c>
      <c r="M1819" t="s">
        <v>12</v>
      </c>
      <c r="N1819" t="str">
        <f t="shared" si="143"/>
        <v>R1013</v>
      </c>
      <c r="O1819" t="s">
        <v>13</v>
      </c>
    </row>
    <row r="1820" spans="1:15" x14ac:dyDescent="0.35">
      <c r="A1820" t="s">
        <v>1851</v>
      </c>
      <c r="C1820">
        <f t="shared" si="140"/>
        <v>1983</v>
      </c>
      <c r="D1820">
        <v>1983</v>
      </c>
      <c r="E1820" t="str">
        <f t="shared" si="144"/>
        <v>Dec</v>
      </c>
      <c r="F1820" t="s">
        <v>30</v>
      </c>
      <c r="G1820">
        <v>19</v>
      </c>
      <c r="H1820">
        <v>5</v>
      </c>
      <c r="I1820" s="21">
        <v>19023.259999999998</v>
      </c>
      <c r="J1820" t="str">
        <f t="shared" si="141"/>
        <v>tier - 1</v>
      </c>
      <c r="K1820" t="s">
        <v>16</v>
      </c>
      <c r="L1820" t="str">
        <f t="shared" si="142"/>
        <v>tier - 3</v>
      </c>
      <c r="M1820" t="s">
        <v>12</v>
      </c>
      <c r="N1820" t="str">
        <f t="shared" si="143"/>
        <v>R1011</v>
      </c>
      <c r="O1820" t="s">
        <v>42</v>
      </c>
    </row>
    <row r="1821" spans="1:15" x14ac:dyDescent="0.35">
      <c r="A1821" t="s">
        <v>1852</v>
      </c>
      <c r="C1821">
        <f t="shared" si="140"/>
        <v>1989</v>
      </c>
      <c r="D1821">
        <v>1989</v>
      </c>
      <c r="E1821" t="str">
        <f t="shared" si="144"/>
        <v>Jun</v>
      </c>
      <c r="F1821" t="s">
        <v>18</v>
      </c>
      <c r="G1821">
        <v>5</v>
      </c>
      <c r="H1821">
        <v>1</v>
      </c>
      <c r="I1821" s="21">
        <v>19040.88</v>
      </c>
      <c r="J1821" t="str">
        <f t="shared" si="141"/>
        <v>tier - 1</v>
      </c>
      <c r="K1821" t="s">
        <v>16</v>
      </c>
      <c r="L1821" t="str">
        <f t="shared" si="142"/>
        <v>tier - 3</v>
      </c>
      <c r="M1821" t="s">
        <v>12</v>
      </c>
      <c r="N1821" t="str">
        <f t="shared" si="143"/>
        <v>R1011</v>
      </c>
      <c r="O1821" t="s">
        <v>42</v>
      </c>
    </row>
    <row r="1822" spans="1:15" x14ac:dyDescent="0.35">
      <c r="A1822" t="s">
        <v>1853</v>
      </c>
      <c r="C1822">
        <f t="shared" si="140"/>
        <v>1993</v>
      </c>
      <c r="D1822">
        <v>1993</v>
      </c>
      <c r="E1822" t="str">
        <f t="shared" si="144"/>
        <v>Sep</v>
      </c>
      <c r="F1822" t="s">
        <v>20</v>
      </c>
      <c r="G1822">
        <v>28</v>
      </c>
      <c r="H1822">
        <v>1</v>
      </c>
      <c r="I1822" s="21">
        <v>19107.78</v>
      </c>
      <c r="J1822" t="str">
        <f t="shared" si="141"/>
        <v>tier - 1</v>
      </c>
      <c r="K1822" t="s">
        <v>16</v>
      </c>
      <c r="L1822" t="str">
        <f t="shared" si="142"/>
        <v>tier - 2</v>
      </c>
      <c r="M1822" t="s">
        <v>11</v>
      </c>
      <c r="N1822" t="str">
        <f t="shared" si="143"/>
        <v>R1013</v>
      </c>
      <c r="O1822" t="s">
        <v>13</v>
      </c>
    </row>
    <row r="1823" spans="1:15" x14ac:dyDescent="0.35">
      <c r="A1823" t="s">
        <v>1854</v>
      </c>
      <c r="C1823">
        <f t="shared" si="140"/>
        <v>1979</v>
      </c>
      <c r="D1823">
        <v>1979</v>
      </c>
      <c r="E1823" t="str">
        <f t="shared" si="144"/>
        <v>Jul</v>
      </c>
      <c r="F1823" t="s">
        <v>10</v>
      </c>
      <c r="G1823">
        <v>2</v>
      </c>
      <c r="H1823">
        <v>2</v>
      </c>
      <c r="I1823" s="21">
        <v>19144.580000000002</v>
      </c>
      <c r="J1823" t="str">
        <f t="shared" si="141"/>
        <v>tier - 1</v>
      </c>
      <c r="K1823" t="s">
        <v>16</v>
      </c>
      <c r="L1823" t="str">
        <f t="shared" si="142"/>
        <v>tier - 1</v>
      </c>
      <c r="M1823" t="s">
        <v>16</v>
      </c>
      <c r="N1823" t="str">
        <f t="shared" si="143"/>
        <v>R1024</v>
      </c>
      <c r="O1823" t="s">
        <v>247</v>
      </c>
    </row>
    <row r="1824" spans="1:15" x14ac:dyDescent="0.35">
      <c r="A1824" t="s">
        <v>1855</v>
      </c>
      <c r="C1824">
        <f t="shared" si="140"/>
        <v>1991</v>
      </c>
      <c r="D1824">
        <v>1991</v>
      </c>
      <c r="E1824" t="str">
        <f t="shared" si="144"/>
        <v>Sep</v>
      </c>
      <c r="F1824" t="s">
        <v>20</v>
      </c>
      <c r="G1824">
        <v>16</v>
      </c>
      <c r="H1824">
        <v>3</v>
      </c>
      <c r="I1824" s="21">
        <v>19199.939999999999</v>
      </c>
      <c r="J1824" t="str">
        <f t="shared" si="141"/>
        <v>tier - 1</v>
      </c>
      <c r="K1824" t="s">
        <v>16</v>
      </c>
      <c r="L1824" t="str">
        <f t="shared" si="142"/>
        <v>tier - 3</v>
      </c>
      <c r="M1824" t="s">
        <v>12</v>
      </c>
      <c r="N1824" t="str">
        <f t="shared" si="143"/>
        <v>R1011</v>
      </c>
      <c r="O1824" t="s">
        <v>42</v>
      </c>
    </row>
    <row r="1825" spans="1:15" x14ac:dyDescent="0.35">
      <c r="A1825" t="s">
        <v>1856</v>
      </c>
      <c r="C1825">
        <f t="shared" si="140"/>
        <v>1985</v>
      </c>
      <c r="D1825">
        <v>1985</v>
      </c>
      <c r="E1825" t="str">
        <f t="shared" si="144"/>
        <v>Dec</v>
      </c>
      <c r="F1825" t="s">
        <v>30</v>
      </c>
      <c r="G1825">
        <v>28</v>
      </c>
      <c r="H1825">
        <v>0</v>
      </c>
      <c r="I1825" s="21">
        <v>19214.71</v>
      </c>
      <c r="J1825" t="str">
        <f t="shared" si="141"/>
        <v>tier - 1</v>
      </c>
      <c r="K1825" t="s">
        <v>16</v>
      </c>
      <c r="L1825" t="str">
        <f t="shared" si="142"/>
        <v>tier - 3</v>
      </c>
      <c r="M1825" t="s">
        <v>12</v>
      </c>
      <c r="N1825" t="str">
        <f t="shared" si="143"/>
        <v>R1013</v>
      </c>
      <c r="O1825" t="s">
        <v>13</v>
      </c>
    </row>
    <row r="1826" spans="1:15" x14ac:dyDescent="0.35">
      <c r="A1826" t="s">
        <v>1857</v>
      </c>
      <c r="C1826">
        <f t="shared" si="140"/>
        <v>1967</v>
      </c>
      <c r="D1826">
        <v>1967</v>
      </c>
      <c r="E1826" t="str">
        <f t="shared" si="144"/>
        <v>Jul</v>
      </c>
      <c r="F1826" t="s">
        <v>10</v>
      </c>
      <c r="G1826">
        <v>29</v>
      </c>
      <c r="H1826">
        <v>0</v>
      </c>
      <c r="I1826" s="21">
        <v>19259.96</v>
      </c>
      <c r="J1826" t="str">
        <f t="shared" si="141"/>
        <v>tier - 1</v>
      </c>
      <c r="K1826" t="s">
        <v>16</v>
      </c>
      <c r="L1826" t="str">
        <f t="shared" si="142"/>
        <v>tier - 1</v>
      </c>
      <c r="M1826" t="s">
        <v>16</v>
      </c>
      <c r="N1826" t="str">
        <f t="shared" si="143"/>
        <v>R1012</v>
      </c>
      <c r="O1826" t="s">
        <v>23</v>
      </c>
    </row>
    <row r="1827" spans="1:15" x14ac:dyDescent="0.35">
      <c r="A1827" t="s">
        <v>1858</v>
      </c>
      <c r="C1827">
        <f t="shared" si="140"/>
        <v>1966</v>
      </c>
      <c r="D1827">
        <v>1966</v>
      </c>
      <c r="E1827" t="str">
        <f t="shared" si="144"/>
        <v>Nov</v>
      </c>
      <c r="F1827" t="s">
        <v>15</v>
      </c>
      <c r="G1827">
        <v>15</v>
      </c>
      <c r="H1827">
        <v>0</v>
      </c>
      <c r="I1827" s="21">
        <v>19321.060000000001</v>
      </c>
      <c r="J1827" t="str">
        <f t="shared" si="141"/>
        <v>tier - 1</v>
      </c>
      <c r="K1827" t="s">
        <v>16</v>
      </c>
      <c r="L1827" t="str">
        <f t="shared" si="142"/>
        <v>tier - 1</v>
      </c>
      <c r="M1827" t="s">
        <v>16</v>
      </c>
      <c r="N1827" t="str">
        <f t="shared" si="143"/>
        <v>R1012</v>
      </c>
      <c r="O1827" t="s">
        <v>23</v>
      </c>
    </row>
    <row r="1828" spans="1:15" x14ac:dyDescent="0.35">
      <c r="A1828" t="s">
        <v>1859</v>
      </c>
      <c r="C1828">
        <f t="shared" si="140"/>
        <v>1991</v>
      </c>
      <c r="D1828">
        <v>1991</v>
      </c>
      <c r="E1828" t="str">
        <f t="shared" si="144"/>
        <v>Aug</v>
      </c>
      <c r="F1828" t="s">
        <v>35</v>
      </c>
      <c r="G1828">
        <v>24</v>
      </c>
      <c r="H1828">
        <v>0</v>
      </c>
      <c r="I1828" s="21">
        <v>19350.37</v>
      </c>
      <c r="J1828" t="str">
        <f t="shared" si="141"/>
        <v>tier - 1</v>
      </c>
      <c r="K1828" t="s">
        <v>16</v>
      </c>
      <c r="L1828" t="str">
        <f t="shared" si="142"/>
        <v>tier - 3</v>
      </c>
      <c r="M1828" t="s">
        <v>12</v>
      </c>
      <c r="N1828" t="str">
        <f t="shared" si="143"/>
        <v>R1013</v>
      </c>
      <c r="O1828" t="s">
        <v>13</v>
      </c>
    </row>
    <row r="1829" spans="1:15" x14ac:dyDescent="0.35">
      <c r="A1829" t="s">
        <v>1860</v>
      </c>
      <c r="C1829">
        <f t="shared" si="140"/>
        <v>1987</v>
      </c>
      <c r="D1829">
        <v>1987</v>
      </c>
      <c r="E1829" t="str">
        <f t="shared" si="144"/>
        <v>Jun</v>
      </c>
      <c r="F1829" t="s">
        <v>18</v>
      </c>
      <c r="G1829">
        <v>30</v>
      </c>
      <c r="H1829">
        <v>3</v>
      </c>
      <c r="I1829" s="21">
        <v>19362</v>
      </c>
      <c r="J1829" t="str">
        <f t="shared" si="141"/>
        <v>tier - 1</v>
      </c>
      <c r="K1829" t="s">
        <v>16</v>
      </c>
      <c r="L1829" t="str">
        <f t="shared" si="142"/>
        <v>tier - 3</v>
      </c>
      <c r="M1829" t="s">
        <v>12</v>
      </c>
      <c r="N1829" t="str">
        <f t="shared" si="143"/>
        <v>R1013</v>
      </c>
      <c r="O1829" t="s">
        <v>13</v>
      </c>
    </row>
    <row r="1830" spans="1:15" x14ac:dyDescent="0.35">
      <c r="A1830" t="s">
        <v>1861</v>
      </c>
      <c r="C1830">
        <f t="shared" si="140"/>
        <v>1993</v>
      </c>
      <c r="D1830">
        <v>1993</v>
      </c>
      <c r="E1830" t="str">
        <f t="shared" si="144"/>
        <v>Sep</v>
      </c>
      <c r="F1830" t="s">
        <v>20</v>
      </c>
      <c r="G1830">
        <v>6</v>
      </c>
      <c r="H1830">
        <v>2</v>
      </c>
      <c r="I1830" s="21">
        <v>19442.349999999999</v>
      </c>
      <c r="J1830" t="str">
        <f t="shared" si="141"/>
        <v>tier - 1</v>
      </c>
      <c r="K1830" t="s">
        <v>16</v>
      </c>
      <c r="L1830" t="str">
        <f t="shared" si="142"/>
        <v>tier - 3</v>
      </c>
      <c r="M1830" t="s">
        <v>12</v>
      </c>
      <c r="N1830" t="str">
        <f t="shared" si="143"/>
        <v>R1012</v>
      </c>
      <c r="O1830" t="s">
        <v>23</v>
      </c>
    </row>
    <row r="1831" spans="1:15" x14ac:dyDescent="0.35">
      <c r="A1831" t="s">
        <v>1862</v>
      </c>
      <c r="C1831">
        <f t="shared" si="140"/>
        <v>1982</v>
      </c>
      <c r="D1831">
        <v>1982</v>
      </c>
      <c r="E1831" t="str">
        <f t="shared" si="144"/>
        <v>Dec</v>
      </c>
      <c r="F1831" t="s">
        <v>30</v>
      </c>
      <c r="G1831">
        <v>15</v>
      </c>
      <c r="H1831">
        <v>2</v>
      </c>
      <c r="I1831" s="21">
        <v>19444.27</v>
      </c>
      <c r="J1831" t="str">
        <f t="shared" si="141"/>
        <v>tier - 1</v>
      </c>
      <c r="K1831" t="s">
        <v>16</v>
      </c>
      <c r="L1831" t="str">
        <f t="shared" si="142"/>
        <v>tier - 1</v>
      </c>
      <c r="M1831" t="s">
        <v>16</v>
      </c>
      <c r="N1831" t="str">
        <f t="shared" si="143"/>
        <v>R1013</v>
      </c>
      <c r="O1831" t="s">
        <v>13</v>
      </c>
    </row>
    <row r="1832" spans="1:15" x14ac:dyDescent="0.35">
      <c r="A1832" t="s">
        <v>1863</v>
      </c>
      <c r="C1832">
        <f t="shared" si="140"/>
        <v>1987</v>
      </c>
      <c r="D1832">
        <v>1987</v>
      </c>
      <c r="E1832" t="str">
        <f t="shared" si="144"/>
        <v>Nov</v>
      </c>
      <c r="F1832" t="s">
        <v>15</v>
      </c>
      <c r="G1832">
        <v>30</v>
      </c>
      <c r="H1832">
        <v>4</v>
      </c>
      <c r="I1832" s="21">
        <v>19496.72</v>
      </c>
      <c r="J1832" t="str">
        <f t="shared" si="141"/>
        <v>tier - 1</v>
      </c>
      <c r="K1832" t="s">
        <v>16</v>
      </c>
      <c r="L1832" t="str">
        <f t="shared" si="142"/>
        <v>tier - 3</v>
      </c>
      <c r="M1832" t="s">
        <v>12</v>
      </c>
      <c r="N1832" t="str">
        <f t="shared" si="143"/>
        <v>R1019</v>
      </c>
      <c r="O1832" t="s">
        <v>166</v>
      </c>
    </row>
    <row r="1833" spans="1:15" x14ac:dyDescent="0.35">
      <c r="A1833" t="s">
        <v>1864</v>
      </c>
      <c r="C1833">
        <f t="shared" si="140"/>
        <v>1980</v>
      </c>
      <c r="D1833">
        <v>1980</v>
      </c>
      <c r="E1833" t="str">
        <f t="shared" si="144"/>
        <v>Nov</v>
      </c>
      <c r="F1833" t="s">
        <v>15</v>
      </c>
      <c r="G1833">
        <v>8</v>
      </c>
      <c r="H1833">
        <v>0</v>
      </c>
      <c r="I1833" s="21">
        <v>19515.54</v>
      </c>
      <c r="J1833" t="str">
        <f t="shared" si="141"/>
        <v>tier - 1</v>
      </c>
      <c r="K1833" t="s">
        <v>16</v>
      </c>
      <c r="L1833" t="str">
        <f t="shared" si="142"/>
        <v>tier - 1</v>
      </c>
      <c r="M1833" t="s">
        <v>16</v>
      </c>
      <c r="N1833" t="str">
        <f t="shared" si="143"/>
        <v>R1013</v>
      </c>
      <c r="O1833" t="s">
        <v>13</v>
      </c>
    </row>
    <row r="1834" spans="1:15" x14ac:dyDescent="0.35">
      <c r="A1834" t="s">
        <v>1865</v>
      </c>
      <c r="C1834">
        <f t="shared" si="140"/>
        <v>1992</v>
      </c>
      <c r="D1834">
        <v>1992</v>
      </c>
      <c r="E1834" t="str">
        <f t="shared" si="144"/>
        <v>Aug</v>
      </c>
      <c r="F1834" t="s">
        <v>35</v>
      </c>
      <c r="G1834">
        <v>19</v>
      </c>
      <c r="H1834">
        <v>1</v>
      </c>
      <c r="I1834" s="21">
        <v>19521.97</v>
      </c>
      <c r="J1834" t="str">
        <f t="shared" si="141"/>
        <v>tier - 1</v>
      </c>
      <c r="K1834" t="s">
        <v>16</v>
      </c>
      <c r="L1834" t="str">
        <f t="shared" si="142"/>
        <v>tier - 2</v>
      </c>
      <c r="M1834" t="s">
        <v>11</v>
      </c>
      <c r="N1834" t="str">
        <f t="shared" si="143"/>
        <v>R1013</v>
      </c>
      <c r="O1834" t="s">
        <v>13</v>
      </c>
    </row>
    <row r="1835" spans="1:15" x14ac:dyDescent="0.35">
      <c r="A1835" t="s">
        <v>1866</v>
      </c>
      <c r="C1835">
        <f t="shared" si="140"/>
        <v>1985</v>
      </c>
      <c r="D1835">
        <v>1985</v>
      </c>
      <c r="E1835" t="str">
        <f t="shared" si="144"/>
        <v>Sep</v>
      </c>
      <c r="F1835" t="s">
        <v>20</v>
      </c>
      <c r="G1835">
        <v>17</v>
      </c>
      <c r="H1835">
        <v>0</v>
      </c>
      <c r="I1835" s="21">
        <v>19539.240000000002</v>
      </c>
      <c r="J1835" t="str">
        <f t="shared" si="141"/>
        <v>tier - 1</v>
      </c>
      <c r="K1835" t="s">
        <v>16</v>
      </c>
      <c r="L1835" t="str">
        <f t="shared" si="142"/>
        <v>tier - 1</v>
      </c>
      <c r="M1835" t="s">
        <v>16</v>
      </c>
      <c r="N1835" t="str">
        <f t="shared" si="143"/>
        <v>R1013</v>
      </c>
      <c r="O1835" t="s">
        <v>13</v>
      </c>
    </row>
    <row r="1836" spans="1:15" x14ac:dyDescent="0.35">
      <c r="A1836" t="s">
        <v>1867</v>
      </c>
      <c r="C1836">
        <f t="shared" si="140"/>
        <v>1963</v>
      </c>
      <c r="D1836">
        <v>1963</v>
      </c>
      <c r="E1836" t="str">
        <f t="shared" si="144"/>
        <v>Jul</v>
      </c>
      <c r="F1836" t="s">
        <v>10</v>
      </c>
      <c r="G1836">
        <v>14</v>
      </c>
      <c r="H1836">
        <v>0</v>
      </c>
      <c r="I1836" s="21">
        <v>19551.34</v>
      </c>
      <c r="J1836" t="str">
        <f t="shared" si="141"/>
        <v>tier - 1</v>
      </c>
      <c r="K1836" t="s">
        <v>16</v>
      </c>
      <c r="L1836" t="str">
        <f t="shared" si="142"/>
        <v>tier - 3</v>
      </c>
      <c r="M1836" t="s">
        <v>12</v>
      </c>
      <c r="N1836" t="str">
        <f t="shared" si="143"/>
        <v>R1012</v>
      </c>
      <c r="O1836" t="s">
        <v>23</v>
      </c>
    </row>
    <row r="1837" spans="1:15" x14ac:dyDescent="0.35">
      <c r="A1837" t="s">
        <v>1868</v>
      </c>
      <c r="C1837">
        <f t="shared" si="140"/>
        <v>1978</v>
      </c>
      <c r="D1837">
        <v>1978</v>
      </c>
      <c r="E1837" t="str">
        <f t="shared" si="144"/>
        <v>Sep</v>
      </c>
      <c r="F1837" t="s">
        <v>20</v>
      </c>
      <c r="G1837">
        <v>24</v>
      </c>
      <c r="H1837">
        <v>1</v>
      </c>
      <c r="I1837" s="21">
        <v>19594.810000000001</v>
      </c>
      <c r="J1837" t="str">
        <f t="shared" si="141"/>
        <v>tier - 1</v>
      </c>
      <c r="K1837" t="s">
        <v>16</v>
      </c>
      <c r="L1837" t="str">
        <f t="shared" si="142"/>
        <v>tier - 1</v>
      </c>
      <c r="M1837" t="s">
        <v>16</v>
      </c>
      <c r="N1837" t="str">
        <f t="shared" si="143"/>
        <v>R1024</v>
      </c>
      <c r="O1837" t="s">
        <v>247</v>
      </c>
    </row>
    <row r="1838" spans="1:15" x14ac:dyDescent="0.35">
      <c r="A1838" t="s">
        <v>1869</v>
      </c>
      <c r="C1838">
        <f t="shared" si="140"/>
        <v>1994</v>
      </c>
      <c r="D1838">
        <v>1994</v>
      </c>
      <c r="E1838" t="str">
        <f t="shared" si="144"/>
        <v>Aug</v>
      </c>
      <c r="F1838" t="s">
        <v>35</v>
      </c>
      <c r="G1838">
        <v>27</v>
      </c>
      <c r="H1838">
        <v>0</v>
      </c>
      <c r="I1838" s="21">
        <v>19673.34</v>
      </c>
      <c r="J1838" t="str">
        <f t="shared" si="141"/>
        <v>tier - 1</v>
      </c>
      <c r="K1838" t="s">
        <v>16</v>
      </c>
      <c r="L1838" t="str">
        <f t="shared" si="142"/>
        <v>tier - 2</v>
      </c>
      <c r="M1838" t="s">
        <v>11</v>
      </c>
      <c r="N1838" t="str">
        <f t="shared" si="143"/>
        <v>R1012</v>
      </c>
      <c r="O1838" t="s">
        <v>23</v>
      </c>
    </row>
    <row r="1839" spans="1:15" x14ac:dyDescent="0.35">
      <c r="A1839" t="s">
        <v>1870</v>
      </c>
      <c r="C1839">
        <f t="shared" si="140"/>
        <v>1990</v>
      </c>
      <c r="D1839">
        <v>1990</v>
      </c>
      <c r="E1839" t="str">
        <f t="shared" si="144"/>
        <v>Aug</v>
      </c>
      <c r="F1839" t="s">
        <v>35</v>
      </c>
      <c r="G1839">
        <v>8</v>
      </c>
      <c r="H1839">
        <v>1</v>
      </c>
      <c r="I1839" s="21">
        <v>19719.689999999999</v>
      </c>
      <c r="J1839" t="str">
        <f t="shared" si="141"/>
        <v>tier - 1</v>
      </c>
      <c r="K1839" t="s">
        <v>16</v>
      </c>
      <c r="L1839" t="str">
        <f t="shared" si="142"/>
        <v>tier - 2</v>
      </c>
      <c r="M1839" t="s">
        <v>11</v>
      </c>
      <c r="N1839" t="str">
        <f t="shared" si="143"/>
        <v>R1013</v>
      </c>
      <c r="O1839" t="s">
        <v>13</v>
      </c>
    </row>
    <row r="1840" spans="1:15" x14ac:dyDescent="0.35">
      <c r="A1840" t="s">
        <v>1871</v>
      </c>
      <c r="C1840">
        <f t="shared" si="140"/>
        <v>1972</v>
      </c>
      <c r="D1840">
        <v>1972</v>
      </c>
      <c r="E1840" t="str">
        <f t="shared" si="144"/>
        <v>Jun</v>
      </c>
      <c r="F1840" t="s">
        <v>18</v>
      </c>
      <c r="G1840">
        <v>14</v>
      </c>
      <c r="H1840">
        <v>3</v>
      </c>
      <c r="I1840" s="21">
        <v>19749.38</v>
      </c>
      <c r="J1840" t="str">
        <f t="shared" si="141"/>
        <v>tier - 1</v>
      </c>
      <c r="K1840" t="s">
        <v>16</v>
      </c>
      <c r="L1840" t="str">
        <f t="shared" si="142"/>
        <v>tier - 3</v>
      </c>
      <c r="M1840" t="s">
        <v>12</v>
      </c>
      <c r="N1840" t="str">
        <f t="shared" si="143"/>
        <v>R1013</v>
      </c>
      <c r="O1840" t="s">
        <v>13</v>
      </c>
    </row>
    <row r="1841" spans="1:15" x14ac:dyDescent="0.35">
      <c r="A1841" t="s">
        <v>1872</v>
      </c>
      <c r="C1841">
        <f t="shared" si="140"/>
        <v>1979</v>
      </c>
      <c r="D1841">
        <v>1979</v>
      </c>
      <c r="E1841" t="str">
        <f t="shared" si="144"/>
        <v>Oct</v>
      </c>
      <c r="F1841" t="s">
        <v>37</v>
      </c>
      <c r="G1841">
        <v>30</v>
      </c>
      <c r="H1841">
        <v>2</v>
      </c>
      <c r="I1841" s="21">
        <v>19798.05</v>
      </c>
      <c r="J1841" t="str">
        <f t="shared" si="141"/>
        <v>tier - 1</v>
      </c>
      <c r="K1841" t="s">
        <v>16</v>
      </c>
      <c r="L1841" t="str">
        <f t="shared" si="142"/>
        <v>tier - 1</v>
      </c>
      <c r="M1841" t="s">
        <v>16</v>
      </c>
      <c r="N1841" t="str">
        <f t="shared" si="143"/>
        <v>R1024</v>
      </c>
      <c r="O1841" t="s">
        <v>247</v>
      </c>
    </row>
    <row r="1842" spans="1:15" x14ac:dyDescent="0.35">
      <c r="A1842" t="s">
        <v>1873</v>
      </c>
      <c r="C1842">
        <f t="shared" si="140"/>
        <v>1997</v>
      </c>
      <c r="D1842">
        <v>1997</v>
      </c>
      <c r="E1842" t="str">
        <f t="shared" si="144"/>
        <v>Oct</v>
      </c>
      <c r="F1842" t="s">
        <v>37</v>
      </c>
      <c r="G1842">
        <v>18</v>
      </c>
      <c r="H1842">
        <v>3</v>
      </c>
      <c r="I1842" s="21">
        <v>19933.46</v>
      </c>
      <c r="J1842" t="str">
        <f t="shared" si="141"/>
        <v>tier - 1</v>
      </c>
      <c r="K1842" t="s">
        <v>16</v>
      </c>
      <c r="L1842" t="str">
        <f t="shared" si="142"/>
        <v>tier - 3</v>
      </c>
      <c r="M1842" t="s">
        <v>12</v>
      </c>
      <c r="N1842" t="str">
        <f t="shared" si="143"/>
        <v>R1011</v>
      </c>
      <c r="O1842" t="s">
        <v>42</v>
      </c>
    </row>
    <row r="1843" spans="1:15" x14ac:dyDescent="0.35">
      <c r="A1843" t="s">
        <v>1874</v>
      </c>
      <c r="C1843">
        <f t="shared" si="140"/>
        <v>1980</v>
      </c>
      <c r="D1843">
        <v>1980</v>
      </c>
      <c r="E1843" t="str">
        <f t="shared" si="144"/>
        <v>Oct</v>
      </c>
      <c r="F1843" t="s">
        <v>37</v>
      </c>
      <c r="G1843">
        <v>9</v>
      </c>
      <c r="H1843">
        <v>0</v>
      </c>
      <c r="I1843" s="21">
        <v>19964.75</v>
      </c>
      <c r="J1843" t="str">
        <f t="shared" si="141"/>
        <v>tier - 1</v>
      </c>
      <c r="K1843" t="s">
        <v>16</v>
      </c>
      <c r="L1843" t="str">
        <f t="shared" si="142"/>
        <v>tier - 2</v>
      </c>
      <c r="M1843" t="s">
        <v>11</v>
      </c>
      <c r="N1843" t="str">
        <f t="shared" si="143"/>
        <v>R1024</v>
      </c>
      <c r="O1843" t="s">
        <v>247</v>
      </c>
    </row>
    <row r="1844" spans="1:15" x14ac:dyDescent="0.35">
      <c r="A1844" t="s">
        <v>1875</v>
      </c>
      <c r="C1844">
        <f t="shared" si="140"/>
        <v>1966</v>
      </c>
      <c r="D1844">
        <v>1966</v>
      </c>
      <c r="E1844" t="str">
        <f t="shared" si="144"/>
        <v>Aug</v>
      </c>
      <c r="F1844" t="s">
        <v>35</v>
      </c>
      <c r="G1844">
        <v>10</v>
      </c>
      <c r="H1844">
        <v>0</v>
      </c>
      <c r="I1844" s="21">
        <v>19995.29</v>
      </c>
      <c r="J1844" t="str">
        <f t="shared" si="141"/>
        <v>tier - 1</v>
      </c>
      <c r="K1844" t="s">
        <v>16</v>
      </c>
      <c r="L1844" t="str">
        <f t="shared" si="142"/>
        <v>tier - 3</v>
      </c>
      <c r="M1844" t="s">
        <v>12</v>
      </c>
      <c r="N1844" t="str">
        <f t="shared" si="143"/>
        <v>R1026</v>
      </c>
      <c r="O1844" t="s">
        <v>535</v>
      </c>
    </row>
    <row r="1845" spans="1:15" x14ac:dyDescent="0.35">
      <c r="A1845" t="s">
        <v>1876</v>
      </c>
      <c r="C1845">
        <f t="shared" si="140"/>
        <v>1988</v>
      </c>
      <c r="D1845">
        <v>1988</v>
      </c>
      <c r="E1845" t="str">
        <f t="shared" si="144"/>
        <v>Jul</v>
      </c>
      <c r="F1845" t="s">
        <v>10</v>
      </c>
      <c r="G1845">
        <v>25</v>
      </c>
      <c r="H1845">
        <v>1</v>
      </c>
      <c r="I1845" s="21">
        <v>20009.63</v>
      </c>
      <c r="J1845" t="str">
        <f t="shared" si="141"/>
        <v>tier - 2</v>
      </c>
      <c r="K1845" t="s">
        <v>11</v>
      </c>
      <c r="L1845" t="str">
        <f t="shared" si="142"/>
        <v>tier - 1</v>
      </c>
      <c r="M1845" t="s">
        <v>16</v>
      </c>
      <c r="N1845" t="str">
        <f t="shared" si="143"/>
        <v>R1012</v>
      </c>
      <c r="O1845" t="s">
        <v>23</v>
      </c>
    </row>
    <row r="1846" spans="1:15" x14ac:dyDescent="0.35">
      <c r="A1846" t="s">
        <v>1877</v>
      </c>
      <c r="C1846">
        <f t="shared" si="140"/>
        <v>1983</v>
      </c>
      <c r="D1846">
        <v>1983</v>
      </c>
      <c r="E1846" t="str">
        <f t="shared" si="144"/>
        <v>Oct</v>
      </c>
      <c r="F1846" t="s">
        <v>37</v>
      </c>
      <c r="G1846">
        <v>6</v>
      </c>
      <c r="H1846">
        <v>0</v>
      </c>
      <c r="I1846" s="21">
        <v>20149.32</v>
      </c>
      <c r="J1846" t="str">
        <f t="shared" si="141"/>
        <v>tier - 2</v>
      </c>
      <c r="K1846" t="s">
        <v>11</v>
      </c>
      <c r="L1846" t="str">
        <f t="shared" si="142"/>
        <v>tier - 1</v>
      </c>
      <c r="M1846" t="s">
        <v>16</v>
      </c>
      <c r="N1846" t="str">
        <f t="shared" si="143"/>
        <v>R1016</v>
      </c>
      <c r="O1846" t="s">
        <v>168</v>
      </c>
    </row>
    <row r="1847" spans="1:15" x14ac:dyDescent="0.35">
      <c r="A1847" t="s">
        <v>1878</v>
      </c>
      <c r="C1847">
        <f t="shared" si="140"/>
        <v>2002</v>
      </c>
      <c r="D1847">
        <v>2002</v>
      </c>
      <c r="E1847" t="str">
        <f t="shared" si="144"/>
        <v>Jul</v>
      </c>
      <c r="F1847" t="s">
        <v>10</v>
      </c>
      <c r="G1847">
        <v>9</v>
      </c>
      <c r="H1847">
        <v>0</v>
      </c>
      <c r="I1847" s="21">
        <v>20167.34</v>
      </c>
      <c r="J1847" t="str">
        <f t="shared" si="141"/>
        <v>tier - 3</v>
      </c>
      <c r="K1847" t="s">
        <v>12</v>
      </c>
      <c r="L1847" t="str">
        <f t="shared" si="142"/>
        <v>tier - 3</v>
      </c>
      <c r="M1847" t="s">
        <v>12</v>
      </c>
      <c r="N1847" t="str">
        <f t="shared" si="143"/>
        <v>R1011</v>
      </c>
      <c r="O1847" t="s">
        <v>42</v>
      </c>
    </row>
    <row r="1848" spans="1:15" x14ac:dyDescent="0.35">
      <c r="A1848" t="s">
        <v>1879</v>
      </c>
      <c r="C1848">
        <f t="shared" si="140"/>
        <v>1994</v>
      </c>
      <c r="D1848">
        <v>1994</v>
      </c>
      <c r="E1848" t="str">
        <f t="shared" si="144"/>
        <v>Jun</v>
      </c>
      <c r="F1848" t="s">
        <v>18</v>
      </c>
      <c r="G1848">
        <v>8</v>
      </c>
      <c r="H1848">
        <v>2</v>
      </c>
      <c r="I1848" s="21">
        <v>20177.669999999998</v>
      </c>
      <c r="J1848" t="str">
        <f t="shared" si="141"/>
        <v>tier - 2</v>
      </c>
      <c r="K1848" t="s">
        <v>11</v>
      </c>
      <c r="L1848" t="str">
        <f t="shared" si="142"/>
        <v>tier - 1</v>
      </c>
      <c r="M1848" t="s">
        <v>16</v>
      </c>
      <c r="N1848" t="str">
        <f t="shared" si="143"/>
        <v>R1011</v>
      </c>
      <c r="O1848" t="s">
        <v>42</v>
      </c>
    </row>
    <row r="1849" spans="1:15" x14ac:dyDescent="0.35">
      <c r="A1849" t="s">
        <v>1880</v>
      </c>
      <c r="C1849">
        <f t="shared" si="140"/>
        <v>1987</v>
      </c>
      <c r="D1849">
        <v>1987</v>
      </c>
      <c r="E1849" t="str">
        <f t="shared" si="144"/>
        <v>Oct</v>
      </c>
      <c r="F1849" t="s">
        <v>37</v>
      </c>
      <c r="G1849">
        <v>17</v>
      </c>
      <c r="H1849">
        <v>0</v>
      </c>
      <c r="I1849" s="21">
        <v>20234.849999999999</v>
      </c>
      <c r="J1849" t="str">
        <f t="shared" si="141"/>
        <v>tier - 2</v>
      </c>
      <c r="K1849" t="s">
        <v>11</v>
      </c>
      <c r="L1849" t="str">
        <f t="shared" si="142"/>
        <v>tier - 3</v>
      </c>
      <c r="M1849" t="s">
        <v>12</v>
      </c>
      <c r="N1849" t="str">
        <f t="shared" si="143"/>
        <v>R1012</v>
      </c>
      <c r="O1849" t="s">
        <v>23</v>
      </c>
    </row>
    <row r="1850" spans="1:15" x14ac:dyDescent="0.35">
      <c r="A1850" t="s">
        <v>1881</v>
      </c>
      <c r="C1850">
        <f t="shared" si="140"/>
        <v>1966</v>
      </c>
      <c r="D1850">
        <v>1966</v>
      </c>
      <c r="E1850" t="str">
        <f t="shared" si="144"/>
        <v>Aug</v>
      </c>
      <c r="F1850" t="s">
        <v>35</v>
      </c>
      <c r="G1850">
        <v>22</v>
      </c>
      <c r="H1850">
        <v>0</v>
      </c>
      <c r="I1850" s="21">
        <v>20253.84</v>
      </c>
      <c r="J1850" t="str">
        <f t="shared" si="141"/>
        <v>tier - 2</v>
      </c>
      <c r="K1850" t="s">
        <v>11</v>
      </c>
      <c r="L1850" t="str">
        <f t="shared" si="142"/>
        <v>tier - 3</v>
      </c>
      <c r="M1850" t="s">
        <v>12</v>
      </c>
      <c r="N1850" t="str">
        <f t="shared" si="143"/>
        <v>R1012</v>
      </c>
      <c r="O1850" t="s">
        <v>23</v>
      </c>
    </row>
    <row r="1851" spans="1:15" x14ac:dyDescent="0.35">
      <c r="A1851" t="s">
        <v>1882</v>
      </c>
      <c r="C1851">
        <f t="shared" si="140"/>
        <v>1993</v>
      </c>
      <c r="D1851">
        <v>1993</v>
      </c>
      <c r="E1851" t="str">
        <f t="shared" si="144"/>
        <v>Sep</v>
      </c>
      <c r="F1851" t="s">
        <v>20</v>
      </c>
      <c r="G1851">
        <v>7</v>
      </c>
      <c r="H1851">
        <v>1</v>
      </c>
      <c r="I1851" s="21">
        <v>20277.810000000001</v>
      </c>
      <c r="J1851" t="str">
        <f t="shared" si="141"/>
        <v>tier - 3</v>
      </c>
      <c r="K1851" t="s">
        <v>12</v>
      </c>
      <c r="L1851" t="str">
        <f t="shared" si="142"/>
        <v>tier - 3</v>
      </c>
      <c r="M1851" t="s">
        <v>12</v>
      </c>
      <c r="N1851" t="str">
        <f t="shared" si="143"/>
        <v>R1016</v>
      </c>
      <c r="O1851" t="s">
        <v>168</v>
      </c>
    </row>
    <row r="1852" spans="1:15" x14ac:dyDescent="0.35">
      <c r="A1852" t="s">
        <v>1883</v>
      </c>
      <c r="C1852">
        <f t="shared" si="140"/>
        <v>1985</v>
      </c>
      <c r="D1852">
        <v>1985</v>
      </c>
      <c r="E1852" t="str">
        <f t="shared" si="144"/>
        <v>Sep</v>
      </c>
      <c r="F1852" t="s">
        <v>20</v>
      </c>
      <c r="G1852">
        <v>17</v>
      </c>
      <c r="H1852">
        <v>1</v>
      </c>
      <c r="I1852" s="21">
        <v>20296.86</v>
      </c>
      <c r="J1852" t="str">
        <f t="shared" si="141"/>
        <v>tier - 3</v>
      </c>
      <c r="K1852" t="s">
        <v>12</v>
      </c>
      <c r="L1852" t="str">
        <f t="shared" si="142"/>
        <v>tier - 1</v>
      </c>
      <c r="M1852" t="s">
        <v>16</v>
      </c>
      <c r="N1852" t="str">
        <f t="shared" si="143"/>
        <v>R1024</v>
      </c>
      <c r="O1852" t="s">
        <v>247</v>
      </c>
    </row>
    <row r="1853" spans="1:15" x14ac:dyDescent="0.35">
      <c r="A1853" t="s">
        <v>1884</v>
      </c>
      <c r="C1853">
        <f t="shared" si="140"/>
        <v>1962</v>
      </c>
      <c r="D1853">
        <v>1962</v>
      </c>
      <c r="E1853" t="str">
        <f t="shared" si="144"/>
        <v>Jul</v>
      </c>
      <c r="F1853" t="s">
        <v>10</v>
      </c>
      <c r="G1853">
        <v>2</v>
      </c>
      <c r="H1853">
        <v>0</v>
      </c>
      <c r="I1853" s="21">
        <v>20354.5</v>
      </c>
      <c r="J1853" t="str">
        <f t="shared" si="141"/>
        <v>tier - 3</v>
      </c>
      <c r="K1853" t="s">
        <v>12</v>
      </c>
      <c r="L1853" t="str">
        <f t="shared" si="142"/>
        <v>tier - 2</v>
      </c>
      <c r="M1853" t="s">
        <v>11</v>
      </c>
      <c r="N1853" t="str">
        <f t="shared" si="143"/>
        <v>R1026</v>
      </c>
      <c r="O1853" t="s">
        <v>535</v>
      </c>
    </row>
    <row r="1854" spans="1:15" x14ac:dyDescent="0.35">
      <c r="A1854" t="s">
        <v>1885</v>
      </c>
      <c r="C1854">
        <f t="shared" si="140"/>
        <v>1985</v>
      </c>
      <c r="D1854">
        <v>1985</v>
      </c>
      <c r="E1854" t="str">
        <f t="shared" si="144"/>
        <v>Jul</v>
      </c>
      <c r="F1854" t="s">
        <v>10</v>
      </c>
      <c r="G1854">
        <v>12</v>
      </c>
      <c r="H1854">
        <v>0</v>
      </c>
      <c r="I1854" s="21">
        <v>20420.599999999999</v>
      </c>
      <c r="J1854" t="str">
        <f t="shared" si="141"/>
        <v>tier - 3</v>
      </c>
      <c r="K1854" t="s">
        <v>12</v>
      </c>
      <c r="L1854" t="str">
        <f t="shared" si="142"/>
        <v>tier - 2</v>
      </c>
      <c r="M1854" t="s">
        <v>11</v>
      </c>
      <c r="N1854" t="str">
        <f t="shared" si="143"/>
        <v>R1011</v>
      </c>
      <c r="O1854" t="s">
        <v>42</v>
      </c>
    </row>
    <row r="1855" spans="1:15" x14ac:dyDescent="0.35">
      <c r="A1855" t="s">
        <v>1886</v>
      </c>
      <c r="C1855">
        <f t="shared" si="140"/>
        <v>1962</v>
      </c>
      <c r="D1855">
        <v>1962</v>
      </c>
      <c r="E1855" t="str">
        <f t="shared" si="144"/>
        <v>Oct</v>
      </c>
      <c r="F1855" t="s">
        <v>37</v>
      </c>
      <c r="G1855">
        <v>18</v>
      </c>
      <c r="H1855">
        <v>0</v>
      </c>
      <c r="I1855" s="21">
        <v>20446.849999999999</v>
      </c>
      <c r="J1855" t="str">
        <f t="shared" si="141"/>
        <v>tier - 2</v>
      </c>
      <c r="K1855" t="s">
        <v>11</v>
      </c>
      <c r="L1855" t="str">
        <f t="shared" si="142"/>
        <v>tier - 1</v>
      </c>
      <c r="M1855" t="s">
        <v>16</v>
      </c>
      <c r="N1855" t="str">
        <f t="shared" si="143"/>
        <v>R1012</v>
      </c>
      <c r="O1855" t="s">
        <v>23</v>
      </c>
    </row>
    <row r="1856" spans="1:15" x14ac:dyDescent="0.35">
      <c r="A1856" t="s">
        <v>1887</v>
      </c>
      <c r="C1856">
        <f t="shared" si="140"/>
        <v>1969</v>
      </c>
      <c r="D1856">
        <v>1969</v>
      </c>
      <c r="E1856" t="str">
        <f t="shared" si="144"/>
        <v>Oct</v>
      </c>
      <c r="F1856" t="s">
        <v>37</v>
      </c>
      <c r="G1856">
        <v>13</v>
      </c>
      <c r="H1856">
        <v>3</v>
      </c>
      <c r="I1856" s="21">
        <v>20463</v>
      </c>
      <c r="J1856" t="str">
        <f t="shared" si="141"/>
        <v>tier - 2</v>
      </c>
      <c r="K1856" t="s">
        <v>11</v>
      </c>
      <c r="L1856" t="str">
        <f t="shared" si="142"/>
        <v>tier - 2</v>
      </c>
      <c r="M1856" t="s">
        <v>11</v>
      </c>
      <c r="N1856" t="str">
        <f t="shared" si="143"/>
        <v>R1013</v>
      </c>
      <c r="O1856" t="s">
        <v>13</v>
      </c>
    </row>
    <row r="1857" spans="1:15" x14ac:dyDescent="0.35">
      <c r="A1857" t="s">
        <v>1888</v>
      </c>
      <c r="C1857">
        <f t="shared" si="140"/>
        <v>1966</v>
      </c>
      <c r="D1857">
        <v>1966</v>
      </c>
      <c r="E1857" t="str">
        <f t="shared" si="144"/>
        <v>Jul</v>
      </c>
      <c r="F1857" t="s">
        <v>10</v>
      </c>
      <c r="G1857">
        <v>9</v>
      </c>
      <c r="H1857">
        <v>0</v>
      </c>
      <c r="I1857" s="21">
        <v>20568.32</v>
      </c>
      <c r="J1857" t="str">
        <f t="shared" si="141"/>
        <v>tier - 3</v>
      </c>
      <c r="K1857" t="s">
        <v>12</v>
      </c>
      <c r="L1857" t="str">
        <f t="shared" si="142"/>
        <v>tier - 2</v>
      </c>
      <c r="M1857" t="s">
        <v>11</v>
      </c>
      <c r="N1857" t="str">
        <f t="shared" si="143"/>
        <v>R1012</v>
      </c>
      <c r="O1857" t="s">
        <v>23</v>
      </c>
    </row>
    <row r="1858" spans="1:15" x14ac:dyDescent="0.35">
      <c r="A1858" t="s">
        <v>1889</v>
      </c>
      <c r="C1858">
        <f t="shared" si="140"/>
        <v>1967</v>
      </c>
      <c r="D1858">
        <v>1967</v>
      </c>
      <c r="E1858" t="str">
        <f t="shared" si="144"/>
        <v>Dec</v>
      </c>
      <c r="F1858" t="s">
        <v>30</v>
      </c>
      <c r="G1858">
        <v>17</v>
      </c>
      <c r="H1858">
        <v>0</v>
      </c>
      <c r="I1858" s="21">
        <v>20630.28</v>
      </c>
      <c r="J1858" t="str">
        <f t="shared" si="141"/>
        <v>tier - 2</v>
      </c>
      <c r="K1858" t="s">
        <v>11</v>
      </c>
      <c r="L1858" t="str">
        <f t="shared" si="142"/>
        <v>tier - 3</v>
      </c>
      <c r="M1858" t="s">
        <v>12</v>
      </c>
      <c r="N1858" t="str">
        <f t="shared" si="143"/>
        <v>R1011</v>
      </c>
      <c r="O1858" t="s">
        <v>42</v>
      </c>
    </row>
    <row r="1859" spans="1:15" x14ac:dyDescent="0.35">
      <c r="A1859" t="s">
        <v>1890</v>
      </c>
      <c r="C1859">
        <f t="shared" ref="C1859:C1922" si="145">IF(OR(D1859="?", ISBLANK(D1859)), 1983, D1859)</f>
        <v>1965</v>
      </c>
      <c r="D1859">
        <v>1965</v>
      </c>
      <c r="E1859" t="str">
        <f t="shared" si="144"/>
        <v>Aug</v>
      </c>
      <c r="F1859" t="s">
        <v>35</v>
      </c>
      <c r="G1859">
        <v>1</v>
      </c>
      <c r="H1859">
        <v>0</v>
      </c>
      <c r="I1859" s="21">
        <v>20709.02</v>
      </c>
      <c r="J1859" t="str">
        <f t="shared" ref="J1859:J1922" si="146">IF(OR(K1859="?", ISBLANK(K1859)), "Tier 2", K1859)</f>
        <v>tier - 3</v>
      </c>
      <c r="K1859" t="s">
        <v>12</v>
      </c>
      <c r="L1859" t="str">
        <f t="shared" ref="L1859:L1922" si="147">IF(OR(M1859="?", ISBLANK(M1859)), "Tier 2", M1859)</f>
        <v>tier - 2</v>
      </c>
      <c r="M1859" t="s">
        <v>11</v>
      </c>
      <c r="N1859" t="str">
        <f t="shared" ref="N1859:N1922" si="148">IF(OR(O1859="?", ISBLANK(O1859)), "Unknown", O1859)</f>
        <v>R1019</v>
      </c>
      <c r="O1859" t="s">
        <v>166</v>
      </c>
    </row>
    <row r="1860" spans="1:15" x14ac:dyDescent="0.35">
      <c r="A1860" t="s">
        <v>1891</v>
      </c>
      <c r="C1860">
        <f t="shared" si="145"/>
        <v>1992</v>
      </c>
      <c r="D1860">
        <v>1992</v>
      </c>
      <c r="E1860" t="str">
        <f t="shared" ref="E1860:E1923" si="149">IF(OR(F1860="?", ISBLANK(F1860)), "Sep", F1860)</f>
        <v>Sep</v>
      </c>
      <c r="F1860" t="s">
        <v>20</v>
      </c>
      <c r="G1860">
        <v>14</v>
      </c>
      <c r="H1860">
        <v>3</v>
      </c>
      <c r="I1860" s="21">
        <v>20745.990000000002</v>
      </c>
      <c r="J1860" t="str">
        <f t="shared" si="146"/>
        <v>tier - 3</v>
      </c>
      <c r="K1860" t="s">
        <v>12</v>
      </c>
      <c r="L1860" t="str">
        <f t="shared" si="147"/>
        <v>tier - 1</v>
      </c>
      <c r="M1860" t="s">
        <v>16</v>
      </c>
      <c r="N1860" t="str">
        <f t="shared" si="148"/>
        <v>R1012</v>
      </c>
      <c r="O1860" t="s">
        <v>23</v>
      </c>
    </row>
    <row r="1861" spans="1:15" x14ac:dyDescent="0.35">
      <c r="A1861" t="s">
        <v>1892</v>
      </c>
      <c r="C1861">
        <f t="shared" si="145"/>
        <v>1986</v>
      </c>
      <c r="D1861">
        <v>1986</v>
      </c>
      <c r="E1861" t="str">
        <f t="shared" si="149"/>
        <v>Aug</v>
      </c>
      <c r="F1861" t="s">
        <v>35</v>
      </c>
      <c r="G1861">
        <v>4</v>
      </c>
      <c r="H1861">
        <v>1</v>
      </c>
      <c r="I1861" s="21">
        <v>20773.63</v>
      </c>
      <c r="J1861" t="str">
        <f t="shared" si="146"/>
        <v>tier - 2</v>
      </c>
      <c r="K1861" t="s">
        <v>11</v>
      </c>
      <c r="L1861" t="str">
        <f t="shared" si="147"/>
        <v>tier - 3</v>
      </c>
      <c r="M1861" t="s">
        <v>12</v>
      </c>
      <c r="N1861" t="str">
        <f t="shared" si="148"/>
        <v>R1017</v>
      </c>
      <c r="O1861" t="s">
        <v>356</v>
      </c>
    </row>
    <row r="1862" spans="1:15" x14ac:dyDescent="0.35">
      <c r="A1862" t="s">
        <v>1893</v>
      </c>
      <c r="C1862">
        <f t="shared" si="145"/>
        <v>1967</v>
      </c>
      <c r="D1862">
        <v>1967</v>
      </c>
      <c r="E1862" t="str">
        <f t="shared" si="149"/>
        <v>Sep</v>
      </c>
      <c r="F1862" t="s">
        <v>20</v>
      </c>
      <c r="G1862">
        <v>8</v>
      </c>
      <c r="H1862">
        <v>0</v>
      </c>
      <c r="I1862" s="21">
        <v>20781.490000000002</v>
      </c>
      <c r="J1862" t="str">
        <f t="shared" si="146"/>
        <v>tier - 2</v>
      </c>
      <c r="K1862" t="s">
        <v>11</v>
      </c>
      <c r="L1862" t="str">
        <f t="shared" si="147"/>
        <v>tier - 3</v>
      </c>
      <c r="M1862" t="s">
        <v>12</v>
      </c>
      <c r="N1862" t="str">
        <f t="shared" si="148"/>
        <v>R1013</v>
      </c>
      <c r="O1862" t="s">
        <v>13</v>
      </c>
    </row>
    <row r="1863" spans="1:15" x14ac:dyDescent="0.35">
      <c r="A1863" t="s">
        <v>1894</v>
      </c>
      <c r="C1863">
        <f t="shared" si="145"/>
        <v>1975</v>
      </c>
      <c r="D1863">
        <v>1975</v>
      </c>
      <c r="E1863" t="str">
        <f t="shared" si="149"/>
        <v>Dec</v>
      </c>
      <c r="F1863" t="s">
        <v>30</v>
      </c>
      <c r="G1863">
        <v>8</v>
      </c>
      <c r="H1863">
        <v>0</v>
      </c>
      <c r="I1863" s="21">
        <v>20878.78</v>
      </c>
      <c r="J1863" t="str">
        <f t="shared" si="146"/>
        <v>tier - 2</v>
      </c>
      <c r="K1863" t="s">
        <v>11</v>
      </c>
      <c r="L1863" t="str">
        <f t="shared" si="147"/>
        <v>tier - 1</v>
      </c>
      <c r="M1863" t="s">
        <v>16</v>
      </c>
      <c r="N1863" t="str">
        <f t="shared" si="148"/>
        <v>R1024</v>
      </c>
      <c r="O1863" t="s">
        <v>247</v>
      </c>
    </row>
    <row r="1864" spans="1:15" x14ac:dyDescent="0.35">
      <c r="A1864" t="s">
        <v>1895</v>
      </c>
      <c r="C1864">
        <f t="shared" si="145"/>
        <v>1964</v>
      </c>
      <c r="D1864">
        <v>1964</v>
      </c>
      <c r="E1864" t="str">
        <f t="shared" si="149"/>
        <v>Nov</v>
      </c>
      <c r="F1864" t="s">
        <v>15</v>
      </c>
      <c r="G1864">
        <v>19</v>
      </c>
      <c r="H1864">
        <v>0</v>
      </c>
      <c r="I1864" s="21">
        <v>20893.060000000001</v>
      </c>
      <c r="J1864" t="str">
        <f t="shared" si="146"/>
        <v>tier - 2</v>
      </c>
      <c r="K1864" t="s">
        <v>11</v>
      </c>
      <c r="L1864" t="str">
        <f t="shared" si="147"/>
        <v>tier - 3</v>
      </c>
      <c r="M1864" t="s">
        <v>12</v>
      </c>
      <c r="N1864" t="str">
        <f t="shared" si="148"/>
        <v>R1012</v>
      </c>
      <c r="O1864" t="s">
        <v>23</v>
      </c>
    </row>
    <row r="1865" spans="1:15" x14ac:dyDescent="0.35">
      <c r="A1865" t="s">
        <v>1896</v>
      </c>
      <c r="C1865">
        <f t="shared" si="145"/>
        <v>1987</v>
      </c>
      <c r="D1865">
        <v>1987</v>
      </c>
      <c r="E1865" t="str">
        <f t="shared" si="149"/>
        <v>Nov</v>
      </c>
      <c r="F1865" t="s">
        <v>15</v>
      </c>
      <c r="G1865">
        <v>27</v>
      </c>
      <c r="H1865">
        <v>2</v>
      </c>
      <c r="I1865" s="21">
        <v>20984.09</v>
      </c>
      <c r="J1865" t="str">
        <f t="shared" si="146"/>
        <v>tier - 2</v>
      </c>
      <c r="K1865" t="s">
        <v>11</v>
      </c>
      <c r="L1865" t="str">
        <f t="shared" si="147"/>
        <v>tier - 2</v>
      </c>
      <c r="M1865" t="s">
        <v>11</v>
      </c>
      <c r="N1865" t="str">
        <f t="shared" si="148"/>
        <v>R1015</v>
      </c>
      <c r="O1865" t="s">
        <v>164</v>
      </c>
    </row>
    <row r="1866" spans="1:15" x14ac:dyDescent="0.35">
      <c r="A1866" t="s">
        <v>1897</v>
      </c>
      <c r="C1866">
        <f t="shared" si="145"/>
        <v>1983</v>
      </c>
      <c r="D1866">
        <v>1983</v>
      </c>
      <c r="E1866" t="str">
        <f t="shared" si="149"/>
        <v>Jul</v>
      </c>
      <c r="F1866" t="s">
        <v>10</v>
      </c>
      <c r="G1866">
        <v>2</v>
      </c>
      <c r="H1866">
        <v>1</v>
      </c>
      <c r="I1866" s="21">
        <v>21082.16</v>
      </c>
      <c r="J1866" t="str">
        <f t="shared" si="146"/>
        <v>tier - 3</v>
      </c>
      <c r="K1866" t="s">
        <v>12</v>
      </c>
      <c r="L1866" t="str">
        <f t="shared" si="147"/>
        <v>tier - 2</v>
      </c>
      <c r="M1866" t="s">
        <v>11</v>
      </c>
      <c r="N1866" t="str">
        <f t="shared" si="148"/>
        <v>R1011</v>
      </c>
      <c r="O1866" t="s">
        <v>42</v>
      </c>
    </row>
    <row r="1867" spans="1:15" x14ac:dyDescent="0.35">
      <c r="A1867" t="s">
        <v>1898</v>
      </c>
      <c r="C1867">
        <f t="shared" si="145"/>
        <v>1977</v>
      </c>
      <c r="D1867">
        <v>1977</v>
      </c>
      <c r="E1867" t="str">
        <f t="shared" si="149"/>
        <v>Nov</v>
      </c>
      <c r="F1867" t="s">
        <v>15</v>
      </c>
      <c r="G1867">
        <v>23</v>
      </c>
      <c r="H1867">
        <v>2</v>
      </c>
      <c r="I1867" s="21">
        <v>21098.55</v>
      </c>
      <c r="J1867" t="str">
        <f t="shared" si="146"/>
        <v>tier - 3</v>
      </c>
      <c r="K1867" t="s">
        <v>12</v>
      </c>
      <c r="L1867" t="str">
        <f t="shared" si="147"/>
        <v>tier - 3</v>
      </c>
      <c r="M1867" t="s">
        <v>12</v>
      </c>
      <c r="N1867" t="str">
        <f t="shared" si="148"/>
        <v>R1012</v>
      </c>
      <c r="O1867" t="s">
        <v>23</v>
      </c>
    </row>
    <row r="1868" spans="1:15" x14ac:dyDescent="0.35">
      <c r="A1868" t="s">
        <v>1899</v>
      </c>
      <c r="C1868">
        <f t="shared" si="145"/>
        <v>1969</v>
      </c>
      <c r="D1868">
        <v>1969</v>
      </c>
      <c r="E1868" t="str">
        <f t="shared" si="149"/>
        <v>Aug</v>
      </c>
      <c r="F1868" t="s">
        <v>35</v>
      </c>
      <c r="G1868">
        <v>26</v>
      </c>
      <c r="H1868">
        <v>0</v>
      </c>
      <c r="I1868" s="21">
        <v>21195.82</v>
      </c>
      <c r="J1868" t="str">
        <f t="shared" si="146"/>
        <v>tier - 3</v>
      </c>
      <c r="K1868" t="s">
        <v>12</v>
      </c>
      <c r="L1868" t="str">
        <f t="shared" si="147"/>
        <v>tier - 1</v>
      </c>
      <c r="M1868" t="s">
        <v>16</v>
      </c>
      <c r="N1868" t="str">
        <f t="shared" si="148"/>
        <v>R1013</v>
      </c>
      <c r="O1868" t="s">
        <v>13</v>
      </c>
    </row>
    <row r="1869" spans="1:15" x14ac:dyDescent="0.35">
      <c r="A1869" t="s">
        <v>1900</v>
      </c>
      <c r="C1869">
        <f t="shared" si="145"/>
        <v>1974</v>
      </c>
      <c r="D1869">
        <v>1974</v>
      </c>
      <c r="E1869" t="str">
        <f t="shared" si="149"/>
        <v>Oct</v>
      </c>
      <c r="F1869" t="s">
        <v>37</v>
      </c>
      <c r="G1869">
        <v>14</v>
      </c>
      <c r="H1869">
        <v>0</v>
      </c>
      <c r="I1869" s="21">
        <v>21223.68</v>
      </c>
      <c r="J1869" t="str">
        <f t="shared" si="146"/>
        <v>tier - 3</v>
      </c>
      <c r="K1869" t="s">
        <v>12</v>
      </c>
      <c r="L1869" t="str">
        <f t="shared" si="147"/>
        <v>tier - 2</v>
      </c>
      <c r="M1869" t="s">
        <v>11</v>
      </c>
      <c r="N1869" t="str">
        <f t="shared" si="148"/>
        <v>R1013</v>
      </c>
      <c r="O1869" t="s">
        <v>13</v>
      </c>
    </row>
    <row r="1870" spans="1:15" x14ac:dyDescent="0.35">
      <c r="A1870" t="s">
        <v>1901</v>
      </c>
      <c r="C1870">
        <f t="shared" si="145"/>
        <v>1974</v>
      </c>
      <c r="D1870">
        <v>1974</v>
      </c>
      <c r="E1870" t="str">
        <f t="shared" si="149"/>
        <v>Sep</v>
      </c>
      <c r="F1870" t="s">
        <v>20</v>
      </c>
      <c r="G1870">
        <v>3</v>
      </c>
      <c r="H1870">
        <v>0</v>
      </c>
      <c r="I1870" s="21">
        <v>21232.18</v>
      </c>
      <c r="J1870" t="str">
        <f t="shared" si="146"/>
        <v>tier - 3</v>
      </c>
      <c r="K1870" t="s">
        <v>12</v>
      </c>
      <c r="L1870" t="str">
        <f t="shared" si="147"/>
        <v>tier - 2</v>
      </c>
      <c r="M1870" t="s">
        <v>11</v>
      </c>
      <c r="N1870" t="str">
        <f t="shared" si="148"/>
        <v>R1011</v>
      </c>
      <c r="O1870" t="s">
        <v>42</v>
      </c>
    </row>
    <row r="1871" spans="1:15" x14ac:dyDescent="0.35">
      <c r="A1871" t="s">
        <v>1902</v>
      </c>
      <c r="C1871">
        <f t="shared" si="145"/>
        <v>1980</v>
      </c>
      <c r="D1871">
        <v>1980</v>
      </c>
      <c r="E1871" t="str">
        <f t="shared" si="149"/>
        <v>Dec</v>
      </c>
      <c r="F1871" t="s">
        <v>30</v>
      </c>
      <c r="G1871">
        <v>10</v>
      </c>
      <c r="H1871">
        <v>2</v>
      </c>
      <c r="I1871" s="21">
        <v>21259.38</v>
      </c>
      <c r="J1871" t="str">
        <f t="shared" si="146"/>
        <v>tier - 3</v>
      </c>
      <c r="K1871" t="s">
        <v>12</v>
      </c>
      <c r="L1871" t="str">
        <f t="shared" si="147"/>
        <v>tier - 3</v>
      </c>
      <c r="M1871" t="s">
        <v>12</v>
      </c>
      <c r="N1871" t="str">
        <f t="shared" si="148"/>
        <v>R1019</v>
      </c>
      <c r="O1871" t="s">
        <v>166</v>
      </c>
    </row>
    <row r="1872" spans="1:15" x14ac:dyDescent="0.35">
      <c r="A1872" t="s">
        <v>1903</v>
      </c>
      <c r="C1872">
        <f t="shared" si="145"/>
        <v>2004</v>
      </c>
      <c r="D1872">
        <v>2004</v>
      </c>
      <c r="E1872" t="str">
        <f t="shared" si="149"/>
        <v>Aug</v>
      </c>
      <c r="F1872" t="s">
        <v>35</v>
      </c>
      <c r="G1872">
        <v>4</v>
      </c>
      <c r="H1872">
        <v>0</v>
      </c>
      <c r="I1872" s="21">
        <v>21344.85</v>
      </c>
      <c r="J1872" t="str">
        <f t="shared" si="146"/>
        <v>tier - 3</v>
      </c>
      <c r="K1872" t="s">
        <v>12</v>
      </c>
      <c r="L1872" t="str">
        <f t="shared" si="147"/>
        <v>tier - 1</v>
      </c>
      <c r="M1872" t="s">
        <v>16</v>
      </c>
      <c r="N1872" t="str">
        <f t="shared" si="148"/>
        <v>R1024</v>
      </c>
      <c r="O1872" t="s">
        <v>247</v>
      </c>
    </row>
    <row r="1873" spans="1:15" x14ac:dyDescent="0.35">
      <c r="A1873" t="s">
        <v>1904</v>
      </c>
      <c r="C1873">
        <f t="shared" si="145"/>
        <v>1980</v>
      </c>
      <c r="D1873">
        <v>1980</v>
      </c>
      <c r="E1873" t="str">
        <f t="shared" si="149"/>
        <v>Sep</v>
      </c>
      <c r="F1873" t="s">
        <v>20</v>
      </c>
      <c r="G1873">
        <v>4</v>
      </c>
      <c r="H1873">
        <v>0</v>
      </c>
      <c r="I1873" s="21">
        <v>21348.71</v>
      </c>
      <c r="J1873" t="str">
        <f t="shared" si="146"/>
        <v>tier - 2</v>
      </c>
      <c r="K1873" t="s">
        <v>11</v>
      </c>
      <c r="L1873" t="str">
        <f t="shared" si="147"/>
        <v>tier - 1</v>
      </c>
      <c r="M1873" t="s">
        <v>16</v>
      </c>
      <c r="N1873" t="str">
        <f t="shared" si="148"/>
        <v>R1012</v>
      </c>
      <c r="O1873" t="s">
        <v>23</v>
      </c>
    </row>
    <row r="1874" spans="1:15" x14ac:dyDescent="0.35">
      <c r="A1874" t="s">
        <v>1905</v>
      </c>
      <c r="C1874">
        <f t="shared" si="145"/>
        <v>1990</v>
      </c>
      <c r="D1874">
        <v>1990</v>
      </c>
      <c r="E1874" t="str">
        <f t="shared" si="149"/>
        <v>Nov</v>
      </c>
      <c r="F1874" t="s">
        <v>15</v>
      </c>
      <c r="G1874">
        <v>21</v>
      </c>
      <c r="H1874">
        <v>4</v>
      </c>
      <c r="I1874" s="21">
        <v>21472.48</v>
      </c>
      <c r="J1874" t="str">
        <f t="shared" si="146"/>
        <v>tier - 2</v>
      </c>
      <c r="K1874" t="s">
        <v>11</v>
      </c>
      <c r="L1874" t="str">
        <f t="shared" si="147"/>
        <v>tier - 2</v>
      </c>
      <c r="M1874" t="s">
        <v>11</v>
      </c>
      <c r="N1874" t="str">
        <f t="shared" si="148"/>
        <v>R1012</v>
      </c>
      <c r="O1874" t="s">
        <v>23</v>
      </c>
    </row>
    <row r="1875" spans="1:15" x14ac:dyDescent="0.35">
      <c r="A1875" t="s">
        <v>1906</v>
      </c>
      <c r="C1875">
        <f t="shared" si="145"/>
        <v>1999</v>
      </c>
      <c r="D1875">
        <v>1999</v>
      </c>
      <c r="E1875" t="str">
        <f t="shared" si="149"/>
        <v>Jun</v>
      </c>
      <c r="F1875" t="s">
        <v>18</v>
      </c>
      <c r="G1875">
        <v>12</v>
      </c>
      <c r="H1875">
        <v>0</v>
      </c>
      <c r="I1875" s="21">
        <v>21595.38</v>
      </c>
      <c r="J1875" t="str">
        <f t="shared" si="146"/>
        <v>tier - 2</v>
      </c>
      <c r="K1875" t="s">
        <v>11</v>
      </c>
      <c r="L1875" t="str">
        <f t="shared" si="147"/>
        <v>tier - 3</v>
      </c>
      <c r="M1875" t="s">
        <v>12</v>
      </c>
      <c r="N1875" t="str">
        <f t="shared" si="148"/>
        <v>R1012</v>
      </c>
      <c r="O1875" t="s">
        <v>23</v>
      </c>
    </row>
    <row r="1876" spans="1:15" x14ac:dyDescent="0.35">
      <c r="A1876" t="s">
        <v>1907</v>
      </c>
      <c r="C1876">
        <f t="shared" si="145"/>
        <v>1983</v>
      </c>
      <c r="D1876">
        <v>1983</v>
      </c>
      <c r="E1876" t="str">
        <f t="shared" si="149"/>
        <v>Dec</v>
      </c>
      <c r="F1876" t="s">
        <v>30</v>
      </c>
      <c r="G1876">
        <v>25</v>
      </c>
      <c r="H1876">
        <v>3</v>
      </c>
      <c r="I1876" s="21">
        <v>21659.93</v>
      </c>
      <c r="J1876" t="str">
        <f t="shared" si="146"/>
        <v>tier - 3</v>
      </c>
      <c r="K1876" t="s">
        <v>12</v>
      </c>
      <c r="L1876" t="str">
        <f t="shared" si="147"/>
        <v>tier - 3</v>
      </c>
      <c r="M1876" t="s">
        <v>12</v>
      </c>
      <c r="N1876" t="str">
        <f t="shared" si="148"/>
        <v>R1024</v>
      </c>
      <c r="O1876" t="s">
        <v>247</v>
      </c>
    </row>
    <row r="1877" spans="1:15" x14ac:dyDescent="0.35">
      <c r="A1877" t="s">
        <v>1908</v>
      </c>
      <c r="C1877">
        <f t="shared" si="145"/>
        <v>1962</v>
      </c>
      <c r="D1877">
        <v>1962</v>
      </c>
      <c r="E1877" t="str">
        <f t="shared" si="149"/>
        <v>Nov</v>
      </c>
      <c r="F1877" t="s">
        <v>15</v>
      </c>
      <c r="G1877">
        <v>16</v>
      </c>
      <c r="H1877">
        <v>0</v>
      </c>
      <c r="I1877" s="21">
        <v>21661.16</v>
      </c>
      <c r="J1877" t="str">
        <f t="shared" si="146"/>
        <v>tier - 2</v>
      </c>
      <c r="K1877" t="s">
        <v>11</v>
      </c>
      <c r="L1877" t="str">
        <f t="shared" si="147"/>
        <v>tier - 2</v>
      </c>
      <c r="M1877" t="s">
        <v>11</v>
      </c>
      <c r="N1877" t="str">
        <f t="shared" si="148"/>
        <v>R1012</v>
      </c>
      <c r="O1877" t="s">
        <v>23</v>
      </c>
    </row>
    <row r="1878" spans="1:15" x14ac:dyDescent="0.35">
      <c r="A1878" t="s">
        <v>1909</v>
      </c>
      <c r="C1878">
        <f t="shared" si="145"/>
        <v>1976</v>
      </c>
      <c r="D1878">
        <v>1976</v>
      </c>
      <c r="E1878" t="str">
        <f t="shared" si="149"/>
        <v>Jul</v>
      </c>
      <c r="F1878" t="s">
        <v>10</v>
      </c>
      <c r="G1878">
        <v>18</v>
      </c>
      <c r="H1878">
        <v>1</v>
      </c>
      <c r="I1878" s="21">
        <v>21677.279999999999</v>
      </c>
      <c r="J1878" t="str">
        <f t="shared" si="146"/>
        <v>tier - 3</v>
      </c>
      <c r="K1878" t="s">
        <v>12</v>
      </c>
      <c r="L1878" t="str">
        <f t="shared" si="147"/>
        <v>tier - 1</v>
      </c>
      <c r="M1878" t="s">
        <v>16</v>
      </c>
      <c r="N1878" t="str">
        <f t="shared" si="148"/>
        <v>R1012</v>
      </c>
      <c r="O1878" t="s">
        <v>23</v>
      </c>
    </row>
    <row r="1879" spans="1:15" x14ac:dyDescent="0.35">
      <c r="A1879" t="s">
        <v>1910</v>
      </c>
      <c r="C1879">
        <f t="shared" si="145"/>
        <v>1979</v>
      </c>
      <c r="D1879">
        <v>1979</v>
      </c>
      <c r="E1879" t="str">
        <f t="shared" si="149"/>
        <v>Sep</v>
      </c>
      <c r="F1879" t="s">
        <v>20</v>
      </c>
      <c r="G1879">
        <v>20</v>
      </c>
      <c r="H1879">
        <v>1</v>
      </c>
      <c r="I1879" s="21">
        <v>21771.34</v>
      </c>
      <c r="J1879" t="str">
        <f t="shared" si="146"/>
        <v>tier - 3</v>
      </c>
      <c r="K1879" t="s">
        <v>12</v>
      </c>
      <c r="L1879" t="str">
        <f t="shared" si="147"/>
        <v>tier - 1</v>
      </c>
      <c r="M1879" t="s">
        <v>16</v>
      </c>
      <c r="N1879" t="str">
        <f t="shared" si="148"/>
        <v>R1024</v>
      </c>
      <c r="O1879" t="s">
        <v>247</v>
      </c>
    </row>
    <row r="1880" spans="1:15" x14ac:dyDescent="0.35">
      <c r="A1880" t="s">
        <v>1911</v>
      </c>
      <c r="C1880">
        <f t="shared" si="145"/>
        <v>1979</v>
      </c>
      <c r="D1880">
        <v>1979</v>
      </c>
      <c r="E1880" t="str">
        <f t="shared" si="149"/>
        <v>Sep</v>
      </c>
      <c r="F1880" t="s">
        <v>20</v>
      </c>
      <c r="G1880">
        <v>28</v>
      </c>
      <c r="H1880">
        <v>0</v>
      </c>
      <c r="I1880" s="21">
        <v>21774.32</v>
      </c>
      <c r="J1880" t="str">
        <f t="shared" si="146"/>
        <v>tier - 3</v>
      </c>
      <c r="K1880" t="s">
        <v>12</v>
      </c>
      <c r="L1880" t="str">
        <f t="shared" si="147"/>
        <v>tier - 2</v>
      </c>
      <c r="M1880" t="s">
        <v>11</v>
      </c>
      <c r="N1880" t="str">
        <f t="shared" si="148"/>
        <v>R1012</v>
      </c>
      <c r="O1880" t="s">
        <v>23</v>
      </c>
    </row>
    <row r="1881" spans="1:15" x14ac:dyDescent="0.35">
      <c r="A1881" t="s">
        <v>1912</v>
      </c>
      <c r="C1881">
        <f t="shared" si="145"/>
        <v>1963</v>
      </c>
      <c r="D1881">
        <v>1963</v>
      </c>
      <c r="E1881" t="str">
        <f t="shared" si="149"/>
        <v>Aug</v>
      </c>
      <c r="F1881" t="s">
        <v>35</v>
      </c>
      <c r="G1881">
        <v>27</v>
      </c>
      <c r="H1881">
        <v>0</v>
      </c>
      <c r="I1881" s="21">
        <v>21797</v>
      </c>
      <c r="J1881" t="str">
        <f t="shared" si="146"/>
        <v>tier - 3</v>
      </c>
      <c r="K1881" t="s">
        <v>12</v>
      </c>
      <c r="L1881" t="str">
        <f t="shared" si="147"/>
        <v>tier - 1</v>
      </c>
      <c r="M1881" t="s">
        <v>16</v>
      </c>
      <c r="N1881" t="str">
        <f t="shared" si="148"/>
        <v>R1011</v>
      </c>
      <c r="O1881" t="s">
        <v>42</v>
      </c>
    </row>
    <row r="1882" spans="1:15" x14ac:dyDescent="0.35">
      <c r="A1882" t="s">
        <v>1913</v>
      </c>
      <c r="C1882">
        <f t="shared" si="145"/>
        <v>1979</v>
      </c>
      <c r="D1882">
        <v>1979</v>
      </c>
      <c r="E1882" t="str">
        <f t="shared" si="149"/>
        <v>Aug</v>
      </c>
      <c r="F1882" t="s">
        <v>35</v>
      </c>
      <c r="G1882">
        <v>17</v>
      </c>
      <c r="H1882">
        <v>2</v>
      </c>
      <c r="I1882" s="21">
        <v>21880.82</v>
      </c>
      <c r="J1882" t="str">
        <f t="shared" si="146"/>
        <v>tier - 3</v>
      </c>
      <c r="K1882" t="s">
        <v>12</v>
      </c>
      <c r="L1882" t="str">
        <f t="shared" si="147"/>
        <v>tier - 1</v>
      </c>
      <c r="M1882" t="s">
        <v>16</v>
      </c>
      <c r="N1882" t="str">
        <f t="shared" si="148"/>
        <v>R1012</v>
      </c>
      <c r="O1882" t="s">
        <v>23</v>
      </c>
    </row>
    <row r="1883" spans="1:15" x14ac:dyDescent="0.35">
      <c r="A1883" t="s">
        <v>1914</v>
      </c>
      <c r="C1883">
        <f t="shared" si="145"/>
        <v>2003</v>
      </c>
      <c r="D1883">
        <v>2003</v>
      </c>
      <c r="E1883" t="str">
        <f t="shared" si="149"/>
        <v>Sep</v>
      </c>
      <c r="F1883" t="s">
        <v>20</v>
      </c>
      <c r="G1883">
        <v>28</v>
      </c>
      <c r="H1883">
        <v>0</v>
      </c>
      <c r="I1883" s="21">
        <v>21882.400000000001</v>
      </c>
      <c r="J1883" t="str">
        <f t="shared" si="146"/>
        <v>tier - 2</v>
      </c>
      <c r="K1883" t="s">
        <v>11</v>
      </c>
      <c r="L1883" t="str">
        <f t="shared" si="147"/>
        <v>tier - 1</v>
      </c>
      <c r="M1883" t="s">
        <v>16</v>
      </c>
      <c r="N1883" t="str">
        <f t="shared" si="148"/>
        <v>R1011</v>
      </c>
      <c r="O1883" t="s">
        <v>42</v>
      </c>
    </row>
    <row r="1884" spans="1:15" x14ac:dyDescent="0.35">
      <c r="A1884" t="s">
        <v>1915</v>
      </c>
      <c r="C1884">
        <f t="shared" si="145"/>
        <v>1975</v>
      </c>
      <c r="D1884">
        <v>1975</v>
      </c>
      <c r="E1884" t="str">
        <f t="shared" si="149"/>
        <v>Dec</v>
      </c>
      <c r="F1884" t="s">
        <v>30</v>
      </c>
      <c r="G1884">
        <v>19</v>
      </c>
      <c r="H1884">
        <v>1</v>
      </c>
      <c r="I1884" s="21">
        <v>21978.68</v>
      </c>
      <c r="J1884" t="str">
        <f t="shared" si="146"/>
        <v>tier - 3</v>
      </c>
      <c r="K1884" t="s">
        <v>12</v>
      </c>
      <c r="L1884" t="str">
        <f t="shared" si="147"/>
        <v>tier - 3</v>
      </c>
      <c r="M1884" t="s">
        <v>12</v>
      </c>
      <c r="N1884" t="str">
        <f t="shared" si="148"/>
        <v>R1013</v>
      </c>
      <c r="O1884" t="s">
        <v>13</v>
      </c>
    </row>
    <row r="1885" spans="1:15" x14ac:dyDescent="0.35">
      <c r="A1885" t="s">
        <v>1916</v>
      </c>
      <c r="C1885">
        <f t="shared" si="145"/>
        <v>1989</v>
      </c>
      <c r="D1885">
        <v>1989</v>
      </c>
      <c r="E1885" t="str">
        <f t="shared" si="149"/>
        <v>Oct</v>
      </c>
      <c r="F1885" t="s">
        <v>37</v>
      </c>
      <c r="G1885">
        <v>14</v>
      </c>
      <c r="H1885">
        <v>0</v>
      </c>
      <c r="I1885" s="21">
        <v>21984.47</v>
      </c>
      <c r="J1885" t="str">
        <f t="shared" si="146"/>
        <v>tier - 3</v>
      </c>
      <c r="K1885" t="s">
        <v>12</v>
      </c>
      <c r="L1885" t="str">
        <f t="shared" si="147"/>
        <v>tier - 1</v>
      </c>
      <c r="M1885" t="s">
        <v>16</v>
      </c>
      <c r="N1885" t="str">
        <f t="shared" si="148"/>
        <v>R1012</v>
      </c>
      <c r="O1885" t="s">
        <v>23</v>
      </c>
    </row>
    <row r="1886" spans="1:15" x14ac:dyDescent="0.35">
      <c r="A1886" t="s">
        <v>1917</v>
      </c>
      <c r="C1886">
        <f t="shared" si="145"/>
        <v>2001</v>
      </c>
      <c r="D1886">
        <v>2001</v>
      </c>
      <c r="E1886" t="str">
        <f t="shared" si="149"/>
        <v>Aug</v>
      </c>
      <c r="F1886" t="s">
        <v>35</v>
      </c>
      <c r="G1886">
        <v>28</v>
      </c>
      <c r="H1886">
        <v>0</v>
      </c>
      <c r="I1886" s="21">
        <v>22097.62</v>
      </c>
      <c r="J1886" t="str">
        <f t="shared" si="146"/>
        <v>tier - 3</v>
      </c>
      <c r="K1886" t="s">
        <v>12</v>
      </c>
      <c r="L1886" t="str">
        <f t="shared" si="147"/>
        <v>tier - 1</v>
      </c>
      <c r="M1886" t="s">
        <v>16</v>
      </c>
      <c r="N1886" t="str">
        <f t="shared" si="148"/>
        <v>R1011</v>
      </c>
      <c r="O1886" t="s">
        <v>42</v>
      </c>
    </row>
    <row r="1887" spans="1:15" x14ac:dyDescent="0.35">
      <c r="A1887" t="s">
        <v>1918</v>
      </c>
      <c r="C1887">
        <f t="shared" si="145"/>
        <v>1980</v>
      </c>
      <c r="D1887">
        <v>1980</v>
      </c>
      <c r="E1887" t="str">
        <f t="shared" si="149"/>
        <v>Sep</v>
      </c>
      <c r="F1887" t="s">
        <v>20</v>
      </c>
      <c r="G1887">
        <v>12</v>
      </c>
      <c r="H1887">
        <v>0</v>
      </c>
      <c r="I1887" s="21">
        <v>22144.03</v>
      </c>
      <c r="J1887" t="str">
        <f t="shared" si="146"/>
        <v>tier - 2</v>
      </c>
      <c r="K1887" t="s">
        <v>11</v>
      </c>
      <c r="L1887" t="str">
        <f t="shared" si="147"/>
        <v>tier - 2</v>
      </c>
      <c r="M1887" t="s">
        <v>11</v>
      </c>
      <c r="N1887" t="str">
        <f t="shared" si="148"/>
        <v>R1011</v>
      </c>
      <c r="O1887" t="s">
        <v>42</v>
      </c>
    </row>
    <row r="1888" spans="1:15" x14ac:dyDescent="0.35">
      <c r="A1888" t="s">
        <v>1919</v>
      </c>
      <c r="C1888">
        <f t="shared" si="145"/>
        <v>1965</v>
      </c>
      <c r="D1888">
        <v>1965</v>
      </c>
      <c r="E1888" t="str">
        <f t="shared" si="149"/>
        <v>Aug</v>
      </c>
      <c r="F1888" t="s">
        <v>35</v>
      </c>
      <c r="G1888">
        <v>24</v>
      </c>
      <c r="H1888">
        <v>1</v>
      </c>
      <c r="I1888" s="21">
        <v>22192.44</v>
      </c>
      <c r="J1888" t="str">
        <f t="shared" si="146"/>
        <v>tier - 3</v>
      </c>
      <c r="K1888" t="s">
        <v>12</v>
      </c>
      <c r="L1888" t="str">
        <f t="shared" si="147"/>
        <v>tier - 1</v>
      </c>
      <c r="M1888" t="s">
        <v>16</v>
      </c>
      <c r="N1888" t="str">
        <f t="shared" si="148"/>
        <v>R1013</v>
      </c>
      <c r="O1888" t="s">
        <v>13</v>
      </c>
    </row>
    <row r="1889" spans="1:15" x14ac:dyDescent="0.35">
      <c r="A1889" t="s">
        <v>1920</v>
      </c>
      <c r="C1889">
        <f t="shared" si="145"/>
        <v>1971</v>
      </c>
      <c r="D1889">
        <v>1971</v>
      </c>
      <c r="E1889" t="str">
        <f t="shared" si="149"/>
        <v>Jun</v>
      </c>
      <c r="F1889" t="s">
        <v>18</v>
      </c>
      <c r="G1889">
        <v>16</v>
      </c>
      <c r="H1889">
        <v>1</v>
      </c>
      <c r="I1889" s="21">
        <v>22218.11</v>
      </c>
      <c r="J1889" t="str">
        <f t="shared" si="146"/>
        <v>tier - 2</v>
      </c>
      <c r="K1889" t="s">
        <v>11</v>
      </c>
      <c r="L1889" t="str">
        <f t="shared" si="147"/>
        <v>tier - 3</v>
      </c>
      <c r="M1889" t="s">
        <v>12</v>
      </c>
      <c r="N1889" t="str">
        <f t="shared" si="148"/>
        <v>R1013</v>
      </c>
      <c r="O1889" t="s">
        <v>13</v>
      </c>
    </row>
    <row r="1890" spans="1:15" x14ac:dyDescent="0.35">
      <c r="A1890" t="s">
        <v>1921</v>
      </c>
      <c r="C1890">
        <f t="shared" si="145"/>
        <v>1982</v>
      </c>
      <c r="D1890">
        <v>1982</v>
      </c>
      <c r="E1890" t="str">
        <f t="shared" si="149"/>
        <v>Dec</v>
      </c>
      <c r="F1890" t="s">
        <v>30</v>
      </c>
      <c r="G1890">
        <v>27</v>
      </c>
      <c r="H1890">
        <v>1</v>
      </c>
      <c r="I1890" s="21">
        <v>22331.57</v>
      </c>
      <c r="J1890" t="str">
        <f t="shared" si="146"/>
        <v>tier - 2</v>
      </c>
      <c r="K1890" t="s">
        <v>11</v>
      </c>
      <c r="L1890" t="str">
        <f t="shared" si="147"/>
        <v>tier - 3</v>
      </c>
      <c r="M1890" t="s">
        <v>12</v>
      </c>
      <c r="N1890" t="str">
        <f t="shared" si="148"/>
        <v>R1024</v>
      </c>
      <c r="O1890" t="s">
        <v>247</v>
      </c>
    </row>
    <row r="1891" spans="1:15" x14ac:dyDescent="0.35">
      <c r="A1891" t="s">
        <v>1922</v>
      </c>
      <c r="C1891">
        <f t="shared" si="145"/>
        <v>1999</v>
      </c>
      <c r="D1891">
        <v>1999</v>
      </c>
      <c r="E1891" t="str">
        <f t="shared" si="149"/>
        <v>Aug</v>
      </c>
      <c r="F1891" t="s">
        <v>35</v>
      </c>
      <c r="G1891">
        <v>26</v>
      </c>
      <c r="H1891">
        <v>2</v>
      </c>
      <c r="I1891" s="21">
        <v>22395.74</v>
      </c>
      <c r="J1891" t="str">
        <f t="shared" si="146"/>
        <v>tier - 3</v>
      </c>
      <c r="K1891" t="s">
        <v>12</v>
      </c>
      <c r="L1891" t="str">
        <f t="shared" si="147"/>
        <v>tier - 2</v>
      </c>
      <c r="M1891" t="s">
        <v>11</v>
      </c>
      <c r="N1891" t="str">
        <f t="shared" si="148"/>
        <v>R1024</v>
      </c>
      <c r="O1891" t="s">
        <v>247</v>
      </c>
    </row>
    <row r="1892" spans="1:15" x14ac:dyDescent="0.35">
      <c r="A1892" t="s">
        <v>1923</v>
      </c>
      <c r="C1892">
        <f t="shared" si="145"/>
        <v>1966</v>
      </c>
      <c r="D1892">
        <v>1966</v>
      </c>
      <c r="E1892" t="str">
        <f t="shared" si="149"/>
        <v>Aug</v>
      </c>
      <c r="F1892" t="s">
        <v>35</v>
      </c>
      <c r="G1892">
        <v>18</v>
      </c>
      <c r="H1892">
        <v>0</v>
      </c>
      <c r="I1892" s="21">
        <v>22412.65</v>
      </c>
      <c r="J1892" t="str">
        <f t="shared" si="146"/>
        <v>tier - 3</v>
      </c>
      <c r="K1892" t="s">
        <v>12</v>
      </c>
      <c r="L1892" t="str">
        <f t="shared" si="147"/>
        <v>tier - 3</v>
      </c>
      <c r="M1892" t="s">
        <v>12</v>
      </c>
      <c r="N1892" t="str">
        <f t="shared" si="148"/>
        <v>R1014</v>
      </c>
      <c r="O1892" t="s">
        <v>276</v>
      </c>
    </row>
    <row r="1893" spans="1:15" x14ac:dyDescent="0.35">
      <c r="A1893" t="s">
        <v>1924</v>
      </c>
      <c r="C1893">
        <f t="shared" si="145"/>
        <v>1983</v>
      </c>
      <c r="D1893">
        <v>1983</v>
      </c>
      <c r="E1893" t="str">
        <f t="shared" si="149"/>
        <v>Dec</v>
      </c>
      <c r="F1893" t="s">
        <v>30</v>
      </c>
      <c r="G1893">
        <v>21</v>
      </c>
      <c r="H1893">
        <v>1</v>
      </c>
      <c r="I1893" s="21">
        <v>22462.04</v>
      </c>
      <c r="J1893" t="str">
        <f t="shared" si="146"/>
        <v>tier - 3</v>
      </c>
      <c r="K1893" t="s">
        <v>12</v>
      </c>
      <c r="L1893" t="str">
        <f t="shared" si="147"/>
        <v>tier - 1</v>
      </c>
      <c r="M1893" t="s">
        <v>16</v>
      </c>
      <c r="N1893" t="str">
        <f t="shared" si="148"/>
        <v>R1019</v>
      </c>
      <c r="O1893" t="s">
        <v>166</v>
      </c>
    </row>
    <row r="1894" spans="1:15" x14ac:dyDescent="0.35">
      <c r="A1894" t="s">
        <v>1925</v>
      </c>
      <c r="C1894">
        <f t="shared" si="145"/>
        <v>1979</v>
      </c>
      <c r="D1894">
        <v>1979</v>
      </c>
      <c r="E1894" t="str">
        <f t="shared" si="149"/>
        <v>Nov</v>
      </c>
      <c r="F1894" t="s">
        <v>15</v>
      </c>
      <c r="G1894">
        <v>14</v>
      </c>
      <c r="H1894">
        <v>2</v>
      </c>
      <c r="I1894" s="21">
        <v>22478.6</v>
      </c>
      <c r="J1894" t="str">
        <f t="shared" si="146"/>
        <v>tier - 3</v>
      </c>
      <c r="K1894" t="s">
        <v>12</v>
      </c>
      <c r="L1894" t="str">
        <f t="shared" si="147"/>
        <v>tier - 2</v>
      </c>
      <c r="M1894" t="s">
        <v>11</v>
      </c>
      <c r="N1894" t="str">
        <f t="shared" si="148"/>
        <v>R1011</v>
      </c>
      <c r="O1894" t="s">
        <v>42</v>
      </c>
    </row>
    <row r="1895" spans="1:15" x14ac:dyDescent="0.35">
      <c r="A1895" t="s">
        <v>1926</v>
      </c>
      <c r="C1895">
        <f t="shared" si="145"/>
        <v>2003</v>
      </c>
      <c r="D1895">
        <v>2003</v>
      </c>
      <c r="E1895" t="str">
        <f t="shared" si="149"/>
        <v>Jul</v>
      </c>
      <c r="F1895" t="s">
        <v>10</v>
      </c>
      <c r="G1895">
        <v>25</v>
      </c>
      <c r="H1895">
        <v>2</v>
      </c>
      <c r="I1895" s="21">
        <v>22493.66</v>
      </c>
      <c r="J1895" t="str">
        <f t="shared" si="146"/>
        <v>tier - 2</v>
      </c>
      <c r="K1895" t="s">
        <v>11</v>
      </c>
      <c r="L1895" t="str">
        <f t="shared" si="147"/>
        <v>tier - 1</v>
      </c>
      <c r="M1895" t="s">
        <v>16</v>
      </c>
      <c r="N1895" t="str">
        <f t="shared" si="148"/>
        <v>R1012</v>
      </c>
      <c r="O1895" t="s">
        <v>23</v>
      </c>
    </row>
    <row r="1896" spans="1:15" x14ac:dyDescent="0.35">
      <c r="A1896" t="s">
        <v>1927</v>
      </c>
      <c r="C1896">
        <f t="shared" si="145"/>
        <v>1970</v>
      </c>
      <c r="D1896">
        <v>1970</v>
      </c>
      <c r="E1896" t="str">
        <f t="shared" si="149"/>
        <v>Nov</v>
      </c>
      <c r="F1896" t="s">
        <v>15</v>
      </c>
      <c r="G1896">
        <v>9</v>
      </c>
      <c r="H1896">
        <v>0</v>
      </c>
      <c r="I1896" s="21">
        <v>23045.57</v>
      </c>
      <c r="J1896" t="str">
        <f t="shared" si="146"/>
        <v>tier - 2</v>
      </c>
      <c r="K1896" t="s">
        <v>11</v>
      </c>
      <c r="L1896" t="str">
        <f t="shared" si="147"/>
        <v>tier - 2</v>
      </c>
      <c r="M1896" t="s">
        <v>11</v>
      </c>
      <c r="N1896" t="str">
        <f t="shared" si="148"/>
        <v>R1024</v>
      </c>
      <c r="O1896" t="s">
        <v>247</v>
      </c>
    </row>
    <row r="1897" spans="1:15" x14ac:dyDescent="0.35">
      <c r="A1897" t="s">
        <v>1928</v>
      </c>
      <c r="C1897">
        <f t="shared" si="145"/>
        <v>1975</v>
      </c>
      <c r="D1897">
        <v>1975</v>
      </c>
      <c r="E1897" t="str">
        <f t="shared" si="149"/>
        <v>Sep</v>
      </c>
      <c r="F1897" t="s">
        <v>20</v>
      </c>
      <c r="G1897">
        <v>9</v>
      </c>
      <c r="H1897">
        <v>0</v>
      </c>
      <c r="I1897" s="21">
        <v>23065.42</v>
      </c>
      <c r="J1897" t="str">
        <f t="shared" si="146"/>
        <v>tier - 2</v>
      </c>
      <c r="K1897" t="s">
        <v>11</v>
      </c>
      <c r="L1897" t="str">
        <f t="shared" si="147"/>
        <v>tier - 2</v>
      </c>
      <c r="M1897" t="s">
        <v>11</v>
      </c>
      <c r="N1897" t="str">
        <f t="shared" si="148"/>
        <v>R1013</v>
      </c>
      <c r="O1897" t="s">
        <v>13</v>
      </c>
    </row>
    <row r="1898" spans="1:15" x14ac:dyDescent="0.35">
      <c r="A1898" t="s">
        <v>1929</v>
      </c>
      <c r="C1898">
        <f t="shared" si="145"/>
        <v>2003</v>
      </c>
      <c r="D1898">
        <v>2003</v>
      </c>
      <c r="E1898" t="str">
        <f t="shared" si="149"/>
        <v>Dec</v>
      </c>
      <c r="F1898" t="s">
        <v>30</v>
      </c>
      <c r="G1898">
        <v>14</v>
      </c>
      <c r="H1898">
        <v>0</v>
      </c>
      <c r="I1898" s="21">
        <v>23082.959999999999</v>
      </c>
      <c r="J1898" t="str">
        <f t="shared" si="146"/>
        <v>tier - 2</v>
      </c>
      <c r="K1898" t="s">
        <v>11</v>
      </c>
      <c r="L1898" t="str">
        <f t="shared" si="147"/>
        <v>tier - 2</v>
      </c>
      <c r="M1898" t="s">
        <v>11</v>
      </c>
      <c r="N1898" t="str">
        <f t="shared" si="148"/>
        <v>R1011</v>
      </c>
      <c r="O1898" t="s">
        <v>42</v>
      </c>
    </row>
    <row r="1899" spans="1:15" x14ac:dyDescent="0.35">
      <c r="A1899" t="s">
        <v>1930</v>
      </c>
      <c r="C1899">
        <f t="shared" si="145"/>
        <v>1997</v>
      </c>
      <c r="D1899">
        <v>1997</v>
      </c>
      <c r="E1899" t="str">
        <f t="shared" si="149"/>
        <v>Aug</v>
      </c>
      <c r="F1899" t="s">
        <v>35</v>
      </c>
      <c r="G1899">
        <v>7</v>
      </c>
      <c r="H1899">
        <v>2</v>
      </c>
      <c r="I1899" s="21">
        <v>23241.47</v>
      </c>
      <c r="J1899" t="str">
        <f t="shared" si="146"/>
        <v>tier - 2</v>
      </c>
      <c r="K1899" t="s">
        <v>11</v>
      </c>
      <c r="L1899" t="str">
        <f t="shared" si="147"/>
        <v>tier - 3</v>
      </c>
      <c r="M1899" t="s">
        <v>12</v>
      </c>
      <c r="N1899" t="str">
        <f t="shared" si="148"/>
        <v>R1018</v>
      </c>
      <c r="O1899" t="s">
        <v>170</v>
      </c>
    </row>
    <row r="1900" spans="1:15" x14ac:dyDescent="0.35">
      <c r="A1900" t="s">
        <v>1931</v>
      </c>
      <c r="C1900">
        <f t="shared" si="145"/>
        <v>1969</v>
      </c>
      <c r="D1900">
        <v>1969</v>
      </c>
      <c r="E1900" t="str">
        <f t="shared" si="149"/>
        <v>Nov</v>
      </c>
      <c r="F1900" t="s">
        <v>15</v>
      </c>
      <c r="G1900">
        <v>14</v>
      </c>
      <c r="H1900">
        <v>1</v>
      </c>
      <c r="I1900" s="21">
        <v>23244.79</v>
      </c>
      <c r="J1900" t="str">
        <f t="shared" si="146"/>
        <v>tier - 2</v>
      </c>
      <c r="K1900" t="s">
        <v>11</v>
      </c>
      <c r="L1900" t="str">
        <f t="shared" si="147"/>
        <v>tier - 3</v>
      </c>
      <c r="M1900" t="s">
        <v>12</v>
      </c>
      <c r="N1900" t="str">
        <f t="shared" si="148"/>
        <v>R1013</v>
      </c>
      <c r="O1900" t="s">
        <v>13</v>
      </c>
    </row>
    <row r="1901" spans="1:15" x14ac:dyDescent="0.35">
      <c r="A1901" t="s">
        <v>1932</v>
      </c>
      <c r="C1901">
        <f t="shared" si="145"/>
        <v>1994</v>
      </c>
      <c r="D1901">
        <v>1994</v>
      </c>
      <c r="E1901" t="str">
        <f t="shared" si="149"/>
        <v>Oct</v>
      </c>
      <c r="F1901" t="s">
        <v>37</v>
      </c>
      <c r="G1901">
        <v>3</v>
      </c>
      <c r="H1901">
        <v>1</v>
      </c>
      <c r="I1901" s="21">
        <v>23288.93</v>
      </c>
      <c r="J1901" t="str">
        <f t="shared" si="146"/>
        <v>tier - 2</v>
      </c>
      <c r="K1901" t="s">
        <v>11</v>
      </c>
      <c r="L1901" t="str">
        <f t="shared" si="147"/>
        <v>tier - 3</v>
      </c>
      <c r="M1901" t="s">
        <v>12</v>
      </c>
      <c r="N1901" t="str">
        <f t="shared" si="148"/>
        <v>R1024</v>
      </c>
      <c r="O1901" t="s">
        <v>247</v>
      </c>
    </row>
    <row r="1902" spans="1:15" x14ac:dyDescent="0.35">
      <c r="A1902" t="s">
        <v>1933</v>
      </c>
      <c r="C1902">
        <f t="shared" si="145"/>
        <v>1973</v>
      </c>
      <c r="D1902">
        <v>1973</v>
      </c>
      <c r="E1902" t="str">
        <f t="shared" si="149"/>
        <v>Oct</v>
      </c>
      <c r="F1902" t="s">
        <v>37</v>
      </c>
      <c r="G1902">
        <v>22</v>
      </c>
      <c r="H1902">
        <v>2</v>
      </c>
      <c r="I1902" s="21">
        <v>23306.55</v>
      </c>
      <c r="J1902" t="str">
        <f t="shared" si="146"/>
        <v>tier - 2</v>
      </c>
      <c r="K1902" t="s">
        <v>11</v>
      </c>
      <c r="L1902" t="str">
        <f t="shared" si="147"/>
        <v>tier - 2</v>
      </c>
      <c r="M1902" t="s">
        <v>11</v>
      </c>
      <c r="N1902" t="str">
        <f t="shared" si="148"/>
        <v>R1011</v>
      </c>
      <c r="O1902" t="s">
        <v>42</v>
      </c>
    </row>
    <row r="1903" spans="1:15" x14ac:dyDescent="0.35">
      <c r="A1903" t="s">
        <v>1934</v>
      </c>
      <c r="C1903">
        <f t="shared" si="145"/>
        <v>1975</v>
      </c>
      <c r="D1903">
        <v>1975</v>
      </c>
      <c r="E1903" t="str">
        <f t="shared" si="149"/>
        <v>Nov</v>
      </c>
      <c r="F1903" t="s">
        <v>15</v>
      </c>
      <c r="G1903">
        <v>13</v>
      </c>
      <c r="H1903">
        <v>1</v>
      </c>
      <c r="I1903" s="21">
        <v>23401.31</v>
      </c>
      <c r="J1903" t="str">
        <f t="shared" si="146"/>
        <v>tier - 2</v>
      </c>
      <c r="K1903" t="s">
        <v>11</v>
      </c>
      <c r="L1903" t="str">
        <f t="shared" si="147"/>
        <v>tier - 3</v>
      </c>
      <c r="M1903" t="s">
        <v>12</v>
      </c>
      <c r="N1903" t="str">
        <f t="shared" si="148"/>
        <v>R1024</v>
      </c>
      <c r="O1903" t="s">
        <v>247</v>
      </c>
    </row>
    <row r="1904" spans="1:15" x14ac:dyDescent="0.35">
      <c r="A1904" t="s">
        <v>1935</v>
      </c>
      <c r="C1904">
        <f t="shared" si="145"/>
        <v>1983</v>
      </c>
      <c r="D1904">
        <v>1983</v>
      </c>
      <c r="E1904" t="str">
        <f t="shared" si="149"/>
        <v>Aug</v>
      </c>
      <c r="F1904" t="s">
        <v>35</v>
      </c>
      <c r="G1904">
        <v>26</v>
      </c>
      <c r="H1904">
        <v>2</v>
      </c>
      <c r="I1904" s="21">
        <v>23563.02</v>
      </c>
      <c r="J1904" t="str">
        <f t="shared" si="146"/>
        <v>tier - 2</v>
      </c>
      <c r="K1904" t="s">
        <v>11</v>
      </c>
      <c r="L1904" t="str">
        <f t="shared" si="147"/>
        <v>tier - 2</v>
      </c>
      <c r="M1904" t="s">
        <v>11</v>
      </c>
      <c r="N1904" t="str">
        <f t="shared" si="148"/>
        <v>R1013</v>
      </c>
      <c r="O1904" t="s">
        <v>13</v>
      </c>
    </row>
    <row r="1905" spans="1:15" x14ac:dyDescent="0.35">
      <c r="A1905" t="s">
        <v>1936</v>
      </c>
      <c r="C1905">
        <f t="shared" si="145"/>
        <v>1974</v>
      </c>
      <c r="D1905">
        <v>1974</v>
      </c>
      <c r="E1905" t="str">
        <f t="shared" si="149"/>
        <v>Jun</v>
      </c>
      <c r="F1905" t="s">
        <v>18</v>
      </c>
      <c r="G1905">
        <v>2</v>
      </c>
      <c r="H1905">
        <v>1</v>
      </c>
      <c r="I1905" s="21">
        <v>23568.27</v>
      </c>
      <c r="J1905" t="str">
        <f t="shared" si="146"/>
        <v>tier - 2</v>
      </c>
      <c r="K1905" t="s">
        <v>11</v>
      </c>
      <c r="L1905" t="str">
        <f t="shared" si="147"/>
        <v>tier - 2</v>
      </c>
      <c r="M1905" t="s">
        <v>11</v>
      </c>
      <c r="N1905" t="str">
        <f t="shared" si="148"/>
        <v>R1011</v>
      </c>
      <c r="O1905" t="s">
        <v>42</v>
      </c>
    </row>
    <row r="1906" spans="1:15" x14ac:dyDescent="0.35">
      <c r="A1906" t="s">
        <v>1937</v>
      </c>
      <c r="C1906">
        <f t="shared" si="145"/>
        <v>1973</v>
      </c>
      <c r="D1906">
        <v>1973</v>
      </c>
      <c r="E1906" t="str">
        <f t="shared" si="149"/>
        <v>Jun</v>
      </c>
      <c r="F1906" t="s">
        <v>18</v>
      </c>
      <c r="G1906">
        <v>27</v>
      </c>
      <c r="H1906">
        <v>2</v>
      </c>
      <c r="I1906" s="21">
        <v>23807.24</v>
      </c>
      <c r="J1906" t="str">
        <f t="shared" si="146"/>
        <v>tier - 2</v>
      </c>
      <c r="K1906" t="s">
        <v>11</v>
      </c>
      <c r="L1906" t="str">
        <f t="shared" si="147"/>
        <v>tier - 3</v>
      </c>
      <c r="M1906" t="s">
        <v>12</v>
      </c>
      <c r="N1906" t="str">
        <f t="shared" si="148"/>
        <v>R1012</v>
      </c>
      <c r="O1906" t="s">
        <v>23</v>
      </c>
    </row>
    <row r="1907" spans="1:15" x14ac:dyDescent="0.35">
      <c r="A1907" t="s">
        <v>1938</v>
      </c>
      <c r="C1907">
        <f t="shared" si="145"/>
        <v>1970</v>
      </c>
      <c r="D1907">
        <v>1970</v>
      </c>
      <c r="E1907" t="str">
        <f t="shared" si="149"/>
        <v>Aug</v>
      </c>
      <c r="F1907" t="s">
        <v>35</v>
      </c>
      <c r="G1907">
        <v>8</v>
      </c>
      <c r="H1907">
        <v>1</v>
      </c>
      <c r="I1907" s="21">
        <v>23887.66</v>
      </c>
      <c r="J1907" t="str">
        <f t="shared" si="146"/>
        <v>tier - 2</v>
      </c>
      <c r="K1907" t="s">
        <v>11</v>
      </c>
      <c r="L1907" t="str">
        <f t="shared" si="147"/>
        <v>tier - 3</v>
      </c>
      <c r="M1907" t="s">
        <v>12</v>
      </c>
      <c r="N1907" t="str">
        <f t="shared" si="148"/>
        <v>R1012</v>
      </c>
      <c r="O1907" t="s">
        <v>23</v>
      </c>
    </row>
    <row r="1908" spans="1:15" x14ac:dyDescent="0.35">
      <c r="A1908" t="s">
        <v>1939</v>
      </c>
      <c r="C1908">
        <f t="shared" si="145"/>
        <v>1971</v>
      </c>
      <c r="D1908">
        <v>1971</v>
      </c>
      <c r="E1908" t="str">
        <f t="shared" si="149"/>
        <v>Jul</v>
      </c>
      <c r="F1908" t="s">
        <v>10</v>
      </c>
      <c r="G1908">
        <v>10</v>
      </c>
      <c r="H1908">
        <v>2</v>
      </c>
      <c r="I1908" s="21">
        <v>23967.38</v>
      </c>
      <c r="J1908" t="str">
        <f t="shared" si="146"/>
        <v>tier - 2</v>
      </c>
      <c r="K1908" t="s">
        <v>11</v>
      </c>
      <c r="L1908" t="str">
        <f t="shared" si="147"/>
        <v>tier - 2</v>
      </c>
      <c r="M1908" t="s">
        <v>11</v>
      </c>
      <c r="N1908" t="str">
        <f t="shared" si="148"/>
        <v>R1012</v>
      </c>
      <c r="O1908" t="s">
        <v>23</v>
      </c>
    </row>
    <row r="1909" spans="1:15" x14ac:dyDescent="0.35">
      <c r="A1909" t="s">
        <v>1940</v>
      </c>
      <c r="C1909">
        <f t="shared" si="145"/>
        <v>2003</v>
      </c>
      <c r="D1909">
        <v>2003</v>
      </c>
      <c r="E1909" t="str">
        <f t="shared" si="149"/>
        <v>Dec</v>
      </c>
      <c r="F1909" t="s">
        <v>30</v>
      </c>
      <c r="G1909">
        <v>30</v>
      </c>
      <c r="H1909">
        <v>2</v>
      </c>
      <c r="I1909" s="21">
        <v>24059.68</v>
      </c>
      <c r="J1909" t="str">
        <f t="shared" si="146"/>
        <v>tier - 2</v>
      </c>
      <c r="K1909" t="s">
        <v>11</v>
      </c>
      <c r="L1909" t="str">
        <f t="shared" si="147"/>
        <v>tier - 2</v>
      </c>
      <c r="M1909" t="s">
        <v>11</v>
      </c>
      <c r="N1909" t="str">
        <f t="shared" si="148"/>
        <v>R1012</v>
      </c>
      <c r="O1909" t="s">
        <v>23</v>
      </c>
    </row>
    <row r="1910" spans="1:15" x14ac:dyDescent="0.35">
      <c r="A1910" t="s">
        <v>1941</v>
      </c>
      <c r="C1910">
        <f t="shared" si="145"/>
        <v>1973</v>
      </c>
      <c r="D1910">
        <v>1973</v>
      </c>
      <c r="E1910" t="str">
        <f t="shared" si="149"/>
        <v>Jun</v>
      </c>
      <c r="F1910" t="s">
        <v>18</v>
      </c>
      <c r="G1910">
        <v>13</v>
      </c>
      <c r="H1910">
        <v>3</v>
      </c>
      <c r="I1910" s="21">
        <v>24106.91</v>
      </c>
      <c r="J1910" t="str">
        <f t="shared" si="146"/>
        <v>tier - 2</v>
      </c>
      <c r="K1910" t="s">
        <v>11</v>
      </c>
      <c r="L1910" t="str">
        <f t="shared" si="147"/>
        <v>tier - 2</v>
      </c>
      <c r="M1910" t="s">
        <v>11</v>
      </c>
      <c r="N1910" t="str">
        <f t="shared" si="148"/>
        <v>R1024</v>
      </c>
      <c r="O1910" t="s">
        <v>247</v>
      </c>
    </row>
    <row r="1911" spans="1:15" x14ac:dyDescent="0.35">
      <c r="A1911" t="s">
        <v>1942</v>
      </c>
      <c r="C1911">
        <f t="shared" si="145"/>
        <v>1974</v>
      </c>
      <c r="D1911">
        <v>1974</v>
      </c>
      <c r="E1911" t="str">
        <f t="shared" si="149"/>
        <v>Sep</v>
      </c>
      <c r="F1911" t="s">
        <v>20</v>
      </c>
      <c r="G1911">
        <v>10</v>
      </c>
      <c r="H1911">
        <v>3</v>
      </c>
      <c r="I1911" s="21">
        <v>24180.93</v>
      </c>
      <c r="J1911" t="str">
        <f t="shared" si="146"/>
        <v>tier - 2</v>
      </c>
      <c r="K1911" t="s">
        <v>11</v>
      </c>
      <c r="L1911" t="str">
        <f t="shared" si="147"/>
        <v>tier - 1</v>
      </c>
      <c r="M1911" t="s">
        <v>16</v>
      </c>
      <c r="N1911" t="str">
        <f t="shared" si="148"/>
        <v>R1013</v>
      </c>
      <c r="O1911" t="s">
        <v>13</v>
      </c>
    </row>
    <row r="1912" spans="1:15" x14ac:dyDescent="0.35">
      <c r="A1912" t="s">
        <v>1943</v>
      </c>
      <c r="C1912">
        <f t="shared" si="145"/>
        <v>1964</v>
      </c>
      <c r="D1912">
        <v>1964</v>
      </c>
      <c r="E1912" t="str">
        <f t="shared" si="149"/>
        <v>Dec</v>
      </c>
      <c r="F1912" t="s">
        <v>30</v>
      </c>
      <c r="G1912">
        <v>16</v>
      </c>
      <c r="H1912">
        <v>0</v>
      </c>
      <c r="I1912" s="21">
        <v>24227.34</v>
      </c>
      <c r="J1912" t="str">
        <f t="shared" si="146"/>
        <v>tier - 2</v>
      </c>
      <c r="K1912" t="s">
        <v>11</v>
      </c>
      <c r="L1912" t="str">
        <f t="shared" si="147"/>
        <v>tier - 1</v>
      </c>
      <c r="M1912" t="s">
        <v>16</v>
      </c>
      <c r="N1912" t="str">
        <f t="shared" si="148"/>
        <v>R1013</v>
      </c>
      <c r="O1912" t="s">
        <v>13</v>
      </c>
    </row>
    <row r="1913" spans="1:15" x14ac:dyDescent="0.35">
      <c r="A1913" t="s">
        <v>1944</v>
      </c>
      <c r="C1913">
        <f t="shared" si="145"/>
        <v>2004</v>
      </c>
      <c r="D1913">
        <v>2004</v>
      </c>
      <c r="E1913" t="str">
        <f t="shared" si="149"/>
        <v>Aug</v>
      </c>
      <c r="F1913" t="s">
        <v>35</v>
      </c>
      <c r="G1913">
        <v>3</v>
      </c>
      <c r="H1913">
        <v>0</v>
      </c>
      <c r="I1913" s="21">
        <v>24294.02</v>
      </c>
      <c r="J1913" t="str">
        <f t="shared" si="146"/>
        <v>tier - 2</v>
      </c>
      <c r="K1913" t="s">
        <v>11</v>
      </c>
      <c r="L1913" t="str">
        <f t="shared" si="147"/>
        <v>tier - 1</v>
      </c>
      <c r="M1913" t="s">
        <v>16</v>
      </c>
      <c r="N1913" t="str">
        <f t="shared" si="148"/>
        <v>R1011</v>
      </c>
      <c r="O1913" t="s">
        <v>42</v>
      </c>
    </row>
    <row r="1914" spans="1:15" x14ac:dyDescent="0.35">
      <c r="A1914" t="s">
        <v>1945</v>
      </c>
      <c r="C1914">
        <f t="shared" si="145"/>
        <v>1999</v>
      </c>
      <c r="D1914">
        <v>1999</v>
      </c>
      <c r="E1914" t="str">
        <f t="shared" si="149"/>
        <v>Oct</v>
      </c>
      <c r="F1914" t="s">
        <v>37</v>
      </c>
      <c r="G1914">
        <v>7</v>
      </c>
      <c r="H1914">
        <v>0</v>
      </c>
      <c r="I1914" s="21">
        <v>24387.74</v>
      </c>
      <c r="J1914" t="str">
        <f t="shared" si="146"/>
        <v>tier - 2</v>
      </c>
      <c r="K1914" t="s">
        <v>11</v>
      </c>
      <c r="L1914" t="str">
        <f t="shared" si="147"/>
        <v>tier - 1</v>
      </c>
      <c r="M1914" t="s">
        <v>16</v>
      </c>
      <c r="N1914" t="str">
        <f t="shared" si="148"/>
        <v>R1011</v>
      </c>
      <c r="O1914" t="s">
        <v>42</v>
      </c>
    </row>
    <row r="1915" spans="1:15" x14ac:dyDescent="0.35">
      <c r="A1915" t="s">
        <v>1946</v>
      </c>
      <c r="C1915">
        <f t="shared" si="145"/>
        <v>1970</v>
      </c>
      <c r="D1915">
        <v>1970</v>
      </c>
      <c r="E1915" t="str">
        <f t="shared" si="149"/>
        <v>Nov</v>
      </c>
      <c r="F1915" t="s">
        <v>15</v>
      </c>
      <c r="G1915">
        <v>30</v>
      </c>
      <c r="H1915">
        <v>0</v>
      </c>
      <c r="I1915" s="21">
        <v>24393.62</v>
      </c>
      <c r="J1915" t="str">
        <f t="shared" si="146"/>
        <v>tier - 2</v>
      </c>
      <c r="K1915" t="s">
        <v>11</v>
      </c>
      <c r="L1915" t="str">
        <f t="shared" si="147"/>
        <v>tier - 3</v>
      </c>
      <c r="M1915" t="s">
        <v>12</v>
      </c>
      <c r="N1915" t="str">
        <f t="shared" si="148"/>
        <v>R1012</v>
      </c>
      <c r="O1915" t="s">
        <v>23</v>
      </c>
    </row>
    <row r="1916" spans="1:15" x14ac:dyDescent="0.35">
      <c r="A1916" t="s">
        <v>1947</v>
      </c>
      <c r="C1916">
        <f t="shared" si="145"/>
        <v>1968</v>
      </c>
      <c r="D1916">
        <v>1968</v>
      </c>
      <c r="E1916" t="str">
        <f t="shared" si="149"/>
        <v>Jul</v>
      </c>
      <c r="F1916" t="s">
        <v>10</v>
      </c>
      <c r="G1916">
        <v>6</v>
      </c>
      <c r="H1916">
        <v>0</v>
      </c>
      <c r="I1916" s="21">
        <v>24476.48</v>
      </c>
      <c r="J1916" t="str">
        <f t="shared" si="146"/>
        <v>tier - 2</v>
      </c>
      <c r="K1916" t="s">
        <v>11</v>
      </c>
      <c r="L1916" t="str">
        <f t="shared" si="147"/>
        <v>tier - 2</v>
      </c>
      <c r="M1916" t="s">
        <v>11</v>
      </c>
      <c r="N1916" t="str">
        <f t="shared" si="148"/>
        <v>R1012</v>
      </c>
      <c r="O1916" t="s">
        <v>23</v>
      </c>
    </row>
    <row r="1917" spans="1:15" x14ac:dyDescent="0.35">
      <c r="A1917" t="s">
        <v>1948</v>
      </c>
      <c r="C1917">
        <f t="shared" si="145"/>
        <v>1961</v>
      </c>
      <c r="D1917">
        <v>1961</v>
      </c>
      <c r="E1917" t="str">
        <f t="shared" si="149"/>
        <v>Oct</v>
      </c>
      <c r="F1917" t="s">
        <v>37</v>
      </c>
      <c r="G1917">
        <v>21</v>
      </c>
      <c r="H1917">
        <v>0</v>
      </c>
      <c r="I1917" s="21">
        <v>24513.09</v>
      </c>
      <c r="J1917" t="str">
        <f t="shared" si="146"/>
        <v>tier - 2</v>
      </c>
      <c r="K1917" t="s">
        <v>11</v>
      </c>
      <c r="L1917" t="str">
        <f t="shared" si="147"/>
        <v>tier - 2</v>
      </c>
      <c r="M1917" t="s">
        <v>11</v>
      </c>
      <c r="N1917" t="str">
        <f t="shared" si="148"/>
        <v>R1013</v>
      </c>
      <c r="O1917" t="s">
        <v>13</v>
      </c>
    </row>
    <row r="1918" spans="1:15" x14ac:dyDescent="0.35">
      <c r="A1918" t="s">
        <v>1949</v>
      </c>
      <c r="C1918">
        <f t="shared" si="145"/>
        <v>1972</v>
      </c>
      <c r="D1918">
        <v>1972</v>
      </c>
      <c r="E1918" t="str">
        <f t="shared" si="149"/>
        <v>Sep</v>
      </c>
      <c r="F1918" t="s">
        <v>20</v>
      </c>
      <c r="G1918">
        <v>14</v>
      </c>
      <c r="H1918">
        <v>1</v>
      </c>
      <c r="I1918" s="21">
        <v>24520.26</v>
      </c>
      <c r="J1918" t="str">
        <f t="shared" si="146"/>
        <v>tier - 2</v>
      </c>
      <c r="K1918" t="s">
        <v>11</v>
      </c>
      <c r="L1918" t="str">
        <f t="shared" si="147"/>
        <v>tier - 3</v>
      </c>
      <c r="M1918" t="s">
        <v>12</v>
      </c>
      <c r="N1918" t="str">
        <f t="shared" si="148"/>
        <v>R1011</v>
      </c>
      <c r="O1918" t="s">
        <v>42</v>
      </c>
    </row>
    <row r="1919" spans="1:15" x14ac:dyDescent="0.35">
      <c r="A1919" t="s">
        <v>1950</v>
      </c>
      <c r="C1919">
        <f t="shared" si="145"/>
        <v>1975</v>
      </c>
      <c r="D1919">
        <v>1975</v>
      </c>
      <c r="E1919" t="str">
        <f t="shared" si="149"/>
        <v>Jun</v>
      </c>
      <c r="F1919" t="s">
        <v>18</v>
      </c>
      <c r="G1919">
        <v>13</v>
      </c>
      <c r="H1919">
        <v>2</v>
      </c>
      <c r="I1919" s="21">
        <v>24535.7</v>
      </c>
      <c r="J1919" t="str">
        <f t="shared" si="146"/>
        <v>tier - 2</v>
      </c>
      <c r="K1919" t="s">
        <v>11</v>
      </c>
      <c r="L1919" t="str">
        <f t="shared" si="147"/>
        <v>tier - 2</v>
      </c>
      <c r="M1919" t="s">
        <v>11</v>
      </c>
      <c r="N1919" t="str">
        <f t="shared" si="148"/>
        <v>R1012</v>
      </c>
      <c r="O1919" t="s">
        <v>23</v>
      </c>
    </row>
    <row r="1920" spans="1:15" x14ac:dyDescent="0.35">
      <c r="A1920" t="s">
        <v>1951</v>
      </c>
      <c r="C1920">
        <f t="shared" si="145"/>
        <v>1976</v>
      </c>
      <c r="D1920">
        <v>1976</v>
      </c>
      <c r="E1920" t="str">
        <f t="shared" si="149"/>
        <v>Oct</v>
      </c>
      <c r="F1920" t="s">
        <v>37</v>
      </c>
      <c r="G1920">
        <v>12</v>
      </c>
      <c r="H1920">
        <v>0</v>
      </c>
      <c r="I1920" s="21">
        <v>24603.05</v>
      </c>
      <c r="J1920" t="str">
        <f t="shared" si="146"/>
        <v>tier - 2</v>
      </c>
      <c r="K1920" t="s">
        <v>11</v>
      </c>
      <c r="L1920" t="str">
        <f t="shared" si="147"/>
        <v>tier - 2</v>
      </c>
      <c r="M1920" t="s">
        <v>11</v>
      </c>
      <c r="N1920" t="str">
        <f t="shared" si="148"/>
        <v>R1011</v>
      </c>
      <c r="O1920" t="s">
        <v>42</v>
      </c>
    </row>
    <row r="1921" spans="1:15" x14ac:dyDescent="0.35">
      <c r="A1921" t="s">
        <v>1952</v>
      </c>
      <c r="C1921">
        <f t="shared" si="145"/>
        <v>1970</v>
      </c>
      <c r="D1921">
        <v>1970</v>
      </c>
      <c r="E1921" t="str">
        <f t="shared" si="149"/>
        <v>Jun</v>
      </c>
      <c r="F1921" t="s">
        <v>18</v>
      </c>
      <c r="G1921">
        <v>12</v>
      </c>
      <c r="H1921">
        <v>2</v>
      </c>
      <c r="I1921" s="21">
        <v>24667.42</v>
      </c>
      <c r="J1921" t="str">
        <f t="shared" si="146"/>
        <v>tier - 2</v>
      </c>
      <c r="K1921" t="s">
        <v>11</v>
      </c>
      <c r="L1921" t="str">
        <f t="shared" si="147"/>
        <v>tier - 3</v>
      </c>
      <c r="M1921" t="s">
        <v>12</v>
      </c>
      <c r="N1921" t="str">
        <f t="shared" si="148"/>
        <v>R1013</v>
      </c>
      <c r="O1921" t="s">
        <v>13</v>
      </c>
    </row>
    <row r="1922" spans="1:15" x14ac:dyDescent="0.35">
      <c r="A1922" t="s">
        <v>1953</v>
      </c>
      <c r="C1922">
        <f t="shared" si="145"/>
        <v>1996</v>
      </c>
      <c r="D1922">
        <v>1996</v>
      </c>
      <c r="E1922" t="str">
        <f t="shared" si="149"/>
        <v>Aug</v>
      </c>
      <c r="F1922" t="s">
        <v>35</v>
      </c>
      <c r="G1922">
        <v>28</v>
      </c>
      <c r="H1922">
        <v>4</v>
      </c>
      <c r="I1922" s="21">
        <v>24671.66</v>
      </c>
      <c r="J1922" t="str">
        <f t="shared" si="146"/>
        <v>tier - 2</v>
      </c>
      <c r="K1922" t="s">
        <v>11</v>
      </c>
      <c r="L1922" t="str">
        <f t="shared" si="147"/>
        <v>tier - 1</v>
      </c>
      <c r="M1922" t="s">
        <v>16</v>
      </c>
      <c r="N1922" t="str">
        <f t="shared" si="148"/>
        <v>R1024</v>
      </c>
      <c r="O1922" t="s">
        <v>247</v>
      </c>
    </row>
    <row r="1923" spans="1:15" x14ac:dyDescent="0.35">
      <c r="A1923" t="s">
        <v>1954</v>
      </c>
      <c r="C1923">
        <f t="shared" ref="C1923:C1986" si="150">IF(OR(D1923="?", ISBLANK(D1923)), 1983, D1923)</f>
        <v>1992</v>
      </c>
      <c r="D1923">
        <v>1992</v>
      </c>
      <c r="E1923" t="str">
        <f t="shared" si="149"/>
        <v>Oct</v>
      </c>
      <c r="F1923" t="s">
        <v>37</v>
      </c>
      <c r="G1923">
        <v>11</v>
      </c>
      <c r="H1923">
        <v>0</v>
      </c>
      <c r="I1923" s="21">
        <v>24795.040000000001</v>
      </c>
      <c r="J1923" t="str">
        <f t="shared" ref="J1923:J1986" si="151">IF(OR(K1923="?", ISBLANK(K1923)), "Tier 2", K1923)</f>
        <v>tier - 2</v>
      </c>
      <c r="K1923" t="s">
        <v>11</v>
      </c>
      <c r="L1923" t="str">
        <f t="shared" ref="L1923:L1986" si="152">IF(OR(M1923="?", ISBLANK(M1923)), "Tier 2", M1923)</f>
        <v>tier - 3</v>
      </c>
      <c r="M1923" t="s">
        <v>12</v>
      </c>
      <c r="N1923" t="str">
        <f t="shared" ref="N1923:N1986" si="153">IF(OR(O1923="?", ISBLANK(O1923)), "Unknown", O1923)</f>
        <v>R1011</v>
      </c>
      <c r="O1923" t="s">
        <v>42</v>
      </c>
    </row>
    <row r="1924" spans="1:15" x14ac:dyDescent="0.35">
      <c r="A1924" t="s">
        <v>1955</v>
      </c>
      <c r="C1924">
        <f t="shared" si="150"/>
        <v>1994</v>
      </c>
      <c r="D1924">
        <v>1994</v>
      </c>
      <c r="E1924" t="str">
        <f t="shared" ref="E1924:E1987" si="154">IF(OR(F1924="?", ISBLANK(F1924)), "Sep", F1924)</f>
        <v>Sep</v>
      </c>
      <c r="F1924" t="s">
        <v>20</v>
      </c>
      <c r="G1924">
        <v>9</v>
      </c>
      <c r="H1924">
        <v>0</v>
      </c>
      <c r="I1924" s="21">
        <v>24817.25</v>
      </c>
      <c r="J1924" t="str">
        <f t="shared" si="151"/>
        <v>tier - 2</v>
      </c>
      <c r="K1924" t="s">
        <v>11</v>
      </c>
      <c r="L1924" t="str">
        <f t="shared" si="152"/>
        <v>tier - 2</v>
      </c>
      <c r="M1924" t="s">
        <v>11</v>
      </c>
      <c r="N1924" t="str">
        <f t="shared" si="153"/>
        <v>R1011</v>
      </c>
      <c r="O1924" t="s">
        <v>42</v>
      </c>
    </row>
    <row r="1925" spans="1:15" x14ac:dyDescent="0.35">
      <c r="A1925" t="s">
        <v>1956</v>
      </c>
      <c r="C1925">
        <f t="shared" si="150"/>
        <v>1995</v>
      </c>
      <c r="D1925">
        <v>1995</v>
      </c>
      <c r="E1925" t="str">
        <f t="shared" si="154"/>
        <v>Jun</v>
      </c>
      <c r="F1925" t="s">
        <v>18</v>
      </c>
      <c r="G1925">
        <v>10</v>
      </c>
      <c r="H1925">
        <v>0</v>
      </c>
      <c r="I1925" s="21">
        <v>24863.25</v>
      </c>
      <c r="J1925" t="str">
        <f t="shared" si="151"/>
        <v>tier - 2</v>
      </c>
      <c r="K1925" t="s">
        <v>11</v>
      </c>
      <c r="L1925" t="str">
        <f t="shared" si="152"/>
        <v>tier - 3</v>
      </c>
      <c r="M1925" t="s">
        <v>12</v>
      </c>
      <c r="N1925" t="str">
        <f t="shared" si="153"/>
        <v>R1011</v>
      </c>
      <c r="O1925" t="s">
        <v>42</v>
      </c>
    </row>
    <row r="1926" spans="1:15" x14ac:dyDescent="0.35">
      <c r="A1926" t="s">
        <v>1957</v>
      </c>
      <c r="C1926">
        <f t="shared" si="150"/>
        <v>1970</v>
      </c>
      <c r="D1926">
        <v>1970</v>
      </c>
      <c r="E1926" t="str">
        <f t="shared" si="154"/>
        <v>Nov</v>
      </c>
      <c r="F1926" t="s">
        <v>15</v>
      </c>
      <c r="G1926">
        <v>26</v>
      </c>
      <c r="H1926">
        <v>3</v>
      </c>
      <c r="I1926" s="21">
        <v>24869.84</v>
      </c>
      <c r="J1926" t="str">
        <f t="shared" si="151"/>
        <v>tier - 2</v>
      </c>
      <c r="K1926" t="s">
        <v>11</v>
      </c>
      <c r="L1926" t="str">
        <f t="shared" si="152"/>
        <v>tier - 2</v>
      </c>
      <c r="M1926" t="s">
        <v>11</v>
      </c>
      <c r="N1926" t="str">
        <f t="shared" si="153"/>
        <v>R1016</v>
      </c>
      <c r="O1926" t="s">
        <v>168</v>
      </c>
    </row>
    <row r="1927" spans="1:15" x14ac:dyDescent="0.35">
      <c r="A1927" t="s">
        <v>1958</v>
      </c>
      <c r="C1927">
        <f t="shared" si="150"/>
        <v>1969</v>
      </c>
      <c r="D1927">
        <v>1969</v>
      </c>
      <c r="E1927" t="str">
        <f t="shared" si="154"/>
        <v>Jul</v>
      </c>
      <c r="F1927" t="s">
        <v>10</v>
      </c>
      <c r="G1927">
        <v>23</v>
      </c>
      <c r="H1927">
        <v>3</v>
      </c>
      <c r="I1927" s="21">
        <v>24873.38</v>
      </c>
      <c r="J1927" t="str">
        <f t="shared" si="151"/>
        <v>tier - 2</v>
      </c>
      <c r="K1927" t="s">
        <v>11</v>
      </c>
      <c r="L1927" t="str">
        <f t="shared" si="152"/>
        <v>tier - 1</v>
      </c>
      <c r="M1927" t="s">
        <v>16</v>
      </c>
      <c r="N1927" t="str">
        <f t="shared" si="153"/>
        <v>R1024</v>
      </c>
      <c r="O1927" t="s">
        <v>247</v>
      </c>
    </row>
    <row r="1928" spans="1:15" x14ac:dyDescent="0.35">
      <c r="A1928" t="s">
        <v>1959</v>
      </c>
      <c r="C1928">
        <f t="shared" si="150"/>
        <v>1987</v>
      </c>
      <c r="D1928">
        <v>1987</v>
      </c>
      <c r="E1928" t="str">
        <f t="shared" si="154"/>
        <v>Jun</v>
      </c>
      <c r="F1928" t="s">
        <v>18</v>
      </c>
      <c r="G1928">
        <v>14</v>
      </c>
      <c r="H1928">
        <v>2</v>
      </c>
      <c r="I1928" s="21">
        <v>24915.05</v>
      </c>
      <c r="J1928" t="str">
        <f t="shared" si="151"/>
        <v>tier - 2</v>
      </c>
      <c r="K1928" t="s">
        <v>11</v>
      </c>
      <c r="L1928" t="str">
        <f t="shared" si="152"/>
        <v>tier - 1</v>
      </c>
      <c r="M1928" t="s">
        <v>16</v>
      </c>
      <c r="N1928" t="str">
        <f t="shared" si="153"/>
        <v>R1024</v>
      </c>
      <c r="O1928" t="s">
        <v>247</v>
      </c>
    </row>
    <row r="1929" spans="1:15" x14ac:dyDescent="0.35">
      <c r="A1929" t="s">
        <v>1960</v>
      </c>
      <c r="C1929">
        <f t="shared" si="150"/>
        <v>1975</v>
      </c>
      <c r="D1929">
        <v>1975</v>
      </c>
      <c r="E1929" t="str">
        <f t="shared" si="154"/>
        <v>Nov</v>
      </c>
      <c r="F1929" t="s">
        <v>15</v>
      </c>
      <c r="G1929">
        <v>14</v>
      </c>
      <c r="H1929">
        <v>3</v>
      </c>
      <c r="I1929" s="21">
        <v>24915.22</v>
      </c>
      <c r="J1929" t="str">
        <f t="shared" si="151"/>
        <v>tier - 2</v>
      </c>
      <c r="K1929" t="s">
        <v>11</v>
      </c>
      <c r="L1929" t="str">
        <f t="shared" si="152"/>
        <v>tier - 3</v>
      </c>
      <c r="M1929" t="s">
        <v>12</v>
      </c>
      <c r="N1929" t="str">
        <f t="shared" si="153"/>
        <v>R1012</v>
      </c>
      <c r="O1929" t="s">
        <v>23</v>
      </c>
    </row>
    <row r="1930" spans="1:15" x14ac:dyDescent="0.35">
      <c r="A1930" t="s">
        <v>1961</v>
      </c>
      <c r="C1930">
        <f t="shared" si="150"/>
        <v>1995</v>
      </c>
      <c r="D1930">
        <v>1995</v>
      </c>
      <c r="E1930" t="str">
        <f t="shared" si="154"/>
        <v>Dec</v>
      </c>
      <c r="F1930" t="s">
        <v>30</v>
      </c>
      <c r="G1930">
        <v>4</v>
      </c>
      <c r="H1930">
        <v>0</v>
      </c>
      <c r="I1930" s="21">
        <v>25075.97</v>
      </c>
      <c r="J1930" t="str">
        <f t="shared" si="151"/>
        <v>tier - 2</v>
      </c>
      <c r="K1930" t="s">
        <v>11</v>
      </c>
      <c r="L1930" t="str">
        <f t="shared" si="152"/>
        <v>tier - 2</v>
      </c>
      <c r="M1930" t="s">
        <v>11</v>
      </c>
      <c r="N1930" t="str">
        <f t="shared" si="153"/>
        <v>R1011</v>
      </c>
      <c r="O1930" t="s">
        <v>42</v>
      </c>
    </row>
    <row r="1931" spans="1:15" x14ac:dyDescent="0.35">
      <c r="A1931" t="s">
        <v>1962</v>
      </c>
      <c r="C1931">
        <f t="shared" si="150"/>
        <v>1998</v>
      </c>
      <c r="D1931">
        <v>1998</v>
      </c>
      <c r="E1931" t="str">
        <f t="shared" si="154"/>
        <v>Jun</v>
      </c>
      <c r="F1931" t="s">
        <v>18</v>
      </c>
      <c r="G1931">
        <v>14</v>
      </c>
      <c r="H1931">
        <v>0</v>
      </c>
      <c r="I1931" s="21">
        <v>25081.77</v>
      </c>
      <c r="J1931" t="str">
        <f t="shared" si="151"/>
        <v>tier - 2</v>
      </c>
      <c r="K1931" t="s">
        <v>11</v>
      </c>
      <c r="L1931" t="str">
        <f t="shared" si="152"/>
        <v>tier - 2</v>
      </c>
      <c r="M1931" t="s">
        <v>11</v>
      </c>
      <c r="N1931" t="str">
        <f t="shared" si="153"/>
        <v>R1013</v>
      </c>
      <c r="O1931" t="s">
        <v>13</v>
      </c>
    </row>
    <row r="1932" spans="1:15" x14ac:dyDescent="0.35">
      <c r="A1932" t="s">
        <v>1963</v>
      </c>
      <c r="C1932">
        <f t="shared" si="150"/>
        <v>1998</v>
      </c>
      <c r="D1932">
        <v>1998</v>
      </c>
      <c r="E1932" t="str">
        <f t="shared" si="154"/>
        <v>Nov</v>
      </c>
      <c r="F1932" t="s">
        <v>15</v>
      </c>
      <c r="G1932">
        <v>24</v>
      </c>
      <c r="H1932">
        <v>0</v>
      </c>
      <c r="I1932" s="21">
        <v>25127.22</v>
      </c>
      <c r="J1932" t="str">
        <f t="shared" si="151"/>
        <v>tier - 2</v>
      </c>
      <c r="K1932" t="s">
        <v>11</v>
      </c>
      <c r="L1932" t="str">
        <f t="shared" si="152"/>
        <v>tier - 3</v>
      </c>
      <c r="M1932" t="s">
        <v>12</v>
      </c>
      <c r="N1932" t="str">
        <f t="shared" si="153"/>
        <v>R1011</v>
      </c>
      <c r="O1932" t="s">
        <v>42</v>
      </c>
    </row>
    <row r="1933" spans="1:15" x14ac:dyDescent="0.35">
      <c r="A1933" t="s">
        <v>1964</v>
      </c>
      <c r="C1933">
        <f t="shared" si="150"/>
        <v>1975</v>
      </c>
      <c r="D1933">
        <v>1975</v>
      </c>
      <c r="E1933" t="str">
        <f t="shared" si="154"/>
        <v>Dec</v>
      </c>
      <c r="F1933" t="s">
        <v>30</v>
      </c>
      <c r="G1933">
        <v>14</v>
      </c>
      <c r="H1933">
        <v>3</v>
      </c>
      <c r="I1933" s="21">
        <v>25309.49</v>
      </c>
      <c r="J1933" t="str">
        <f t="shared" si="151"/>
        <v>tier - 2</v>
      </c>
      <c r="K1933" t="s">
        <v>11</v>
      </c>
      <c r="L1933" t="str">
        <f t="shared" si="152"/>
        <v>tier - 1</v>
      </c>
      <c r="M1933" t="s">
        <v>16</v>
      </c>
      <c r="N1933" t="str">
        <f t="shared" si="153"/>
        <v>R1011</v>
      </c>
      <c r="O1933" t="s">
        <v>42</v>
      </c>
    </row>
    <row r="1934" spans="1:15" x14ac:dyDescent="0.35">
      <c r="A1934" t="s">
        <v>1965</v>
      </c>
      <c r="C1934">
        <f t="shared" si="150"/>
        <v>1972</v>
      </c>
      <c r="D1934">
        <v>1972</v>
      </c>
      <c r="E1934" t="str">
        <f t="shared" si="154"/>
        <v>Sep</v>
      </c>
      <c r="F1934" t="s">
        <v>20</v>
      </c>
      <c r="G1934">
        <v>26</v>
      </c>
      <c r="H1934">
        <v>2</v>
      </c>
      <c r="I1934" s="21">
        <v>25333.33</v>
      </c>
      <c r="J1934" t="str">
        <f t="shared" si="151"/>
        <v>tier - 2</v>
      </c>
      <c r="K1934" t="s">
        <v>11</v>
      </c>
      <c r="L1934" t="str">
        <f t="shared" si="152"/>
        <v>tier - 2</v>
      </c>
      <c r="M1934" t="s">
        <v>11</v>
      </c>
      <c r="N1934" t="str">
        <f t="shared" si="153"/>
        <v>R1017</v>
      </c>
      <c r="O1934" t="s">
        <v>356</v>
      </c>
    </row>
    <row r="1935" spans="1:15" x14ac:dyDescent="0.35">
      <c r="A1935" t="s">
        <v>1966</v>
      </c>
      <c r="C1935">
        <f t="shared" si="150"/>
        <v>1968</v>
      </c>
      <c r="D1935">
        <v>1968</v>
      </c>
      <c r="E1935" t="str">
        <f t="shared" si="154"/>
        <v>Aug</v>
      </c>
      <c r="F1935" t="s">
        <v>35</v>
      </c>
      <c r="G1935">
        <v>22</v>
      </c>
      <c r="H1935">
        <v>3</v>
      </c>
      <c r="I1935" s="21">
        <v>25382.3</v>
      </c>
      <c r="J1935" t="str">
        <f t="shared" si="151"/>
        <v>tier - 2</v>
      </c>
      <c r="K1935" t="s">
        <v>11</v>
      </c>
      <c r="L1935" t="str">
        <f t="shared" si="152"/>
        <v>tier - 2</v>
      </c>
      <c r="M1935" t="s">
        <v>11</v>
      </c>
      <c r="N1935" t="str">
        <f t="shared" si="153"/>
        <v>R1011</v>
      </c>
      <c r="O1935" t="s">
        <v>42</v>
      </c>
    </row>
    <row r="1936" spans="1:15" x14ac:dyDescent="0.35">
      <c r="A1936" t="s">
        <v>1967</v>
      </c>
      <c r="C1936">
        <f t="shared" si="150"/>
        <v>1968</v>
      </c>
      <c r="D1936">
        <v>1968</v>
      </c>
      <c r="E1936" t="str">
        <f t="shared" si="154"/>
        <v>Dec</v>
      </c>
      <c r="F1936" t="s">
        <v>30</v>
      </c>
      <c r="G1936">
        <v>11</v>
      </c>
      <c r="H1936">
        <v>1</v>
      </c>
      <c r="I1936" s="21">
        <v>25517.11</v>
      </c>
      <c r="J1936" t="str">
        <f t="shared" si="151"/>
        <v>tier - 2</v>
      </c>
      <c r="K1936" t="s">
        <v>11</v>
      </c>
      <c r="L1936" t="str">
        <f t="shared" si="152"/>
        <v>tier - 3</v>
      </c>
      <c r="M1936" t="s">
        <v>12</v>
      </c>
      <c r="N1936" t="str">
        <f t="shared" si="153"/>
        <v>R1017</v>
      </c>
      <c r="O1936" t="s">
        <v>356</v>
      </c>
    </row>
    <row r="1937" spans="1:15" x14ac:dyDescent="0.35">
      <c r="A1937" t="s">
        <v>1968</v>
      </c>
      <c r="C1937">
        <f t="shared" si="150"/>
        <v>2001</v>
      </c>
      <c r="D1937">
        <v>2001</v>
      </c>
      <c r="E1937" t="str">
        <f t="shared" si="154"/>
        <v>Aug</v>
      </c>
      <c r="F1937" t="s">
        <v>35</v>
      </c>
      <c r="G1937">
        <v>2</v>
      </c>
      <c r="H1937">
        <v>0</v>
      </c>
      <c r="I1937" s="21">
        <v>25648.98</v>
      </c>
      <c r="J1937" t="str">
        <f t="shared" si="151"/>
        <v>tier - 2</v>
      </c>
      <c r="K1937" t="s">
        <v>11</v>
      </c>
      <c r="L1937" t="str">
        <f t="shared" si="152"/>
        <v>tier - 1</v>
      </c>
      <c r="M1937" t="s">
        <v>16</v>
      </c>
      <c r="N1937" t="str">
        <f t="shared" si="153"/>
        <v>R1011</v>
      </c>
      <c r="O1937" t="s">
        <v>42</v>
      </c>
    </row>
    <row r="1938" spans="1:15" x14ac:dyDescent="0.35">
      <c r="A1938" t="s">
        <v>1969</v>
      </c>
      <c r="C1938">
        <f t="shared" si="150"/>
        <v>1972</v>
      </c>
      <c r="D1938">
        <v>1972</v>
      </c>
      <c r="E1938" t="str">
        <f t="shared" si="154"/>
        <v>Jul</v>
      </c>
      <c r="F1938" t="s">
        <v>10</v>
      </c>
      <c r="G1938">
        <v>17</v>
      </c>
      <c r="H1938">
        <v>0</v>
      </c>
      <c r="I1938" s="21">
        <v>25656.58</v>
      </c>
      <c r="J1938" t="str">
        <f t="shared" si="151"/>
        <v>tier - 2</v>
      </c>
      <c r="K1938" t="s">
        <v>11</v>
      </c>
      <c r="L1938" t="str">
        <f t="shared" si="152"/>
        <v>tier - 3</v>
      </c>
      <c r="M1938" t="s">
        <v>12</v>
      </c>
      <c r="N1938" t="str">
        <f t="shared" si="153"/>
        <v>R1024</v>
      </c>
      <c r="O1938" t="s">
        <v>247</v>
      </c>
    </row>
    <row r="1939" spans="1:15" x14ac:dyDescent="0.35">
      <c r="A1939" t="s">
        <v>1970</v>
      </c>
      <c r="C1939">
        <f t="shared" si="150"/>
        <v>1963</v>
      </c>
      <c r="D1939">
        <v>1963</v>
      </c>
      <c r="E1939" t="str">
        <f t="shared" si="154"/>
        <v>Aug</v>
      </c>
      <c r="F1939" t="s">
        <v>35</v>
      </c>
      <c r="G1939">
        <v>21</v>
      </c>
      <c r="H1939">
        <v>0</v>
      </c>
      <c r="I1939" s="21">
        <v>25678.78</v>
      </c>
      <c r="J1939" t="str">
        <f t="shared" si="151"/>
        <v>tier - 2</v>
      </c>
      <c r="K1939" t="s">
        <v>11</v>
      </c>
      <c r="L1939" t="str">
        <f t="shared" si="152"/>
        <v>tier - 3</v>
      </c>
      <c r="M1939" t="s">
        <v>12</v>
      </c>
      <c r="N1939" t="str">
        <f t="shared" si="153"/>
        <v>R1012</v>
      </c>
      <c r="O1939" t="s">
        <v>23</v>
      </c>
    </row>
    <row r="1940" spans="1:15" x14ac:dyDescent="0.35">
      <c r="A1940" t="s">
        <v>1971</v>
      </c>
      <c r="C1940">
        <f t="shared" si="150"/>
        <v>1970</v>
      </c>
      <c r="D1940">
        <v>1970</v>
      </c>
      <c r="E1940" t="str">
        <f t="shared" si="154"/>
        <v>Dec</v>
      </c>
      <c r="F1940" t="s">
        <v>30</v>
      </c>
      <c r="G1940">
        <v>3</v>
      </c>
      <c r="H1940">
        <v>3</v>
      </c>
      <c r="I1940" s="21">
        <v>25992.82</v>
      </c>
      <c r="J1940" t="str">
        <f t="shared" si="151"/>
        <v>tier - 2</v>
      </c>
      <c r="K1940" t="s">
        <v>11</v>
      </c>
      <c r="L1940" t="str">
        <f t="shared" si="152"/>
        <v>tier - 2</v>
      </c>
      <c r="M1940" t="s">
        <v>11</v>
      </c>
      <c r="N1940" t="str">
        <f t="shared" si="153"/>
        <v>R1013</v>
      </c>
      <c r="O1940" t="s">
        <v>13</v>
      </c>
    </row>
    <row r="1941" spans="1:15" x14ac:dyDescent="0.35">
      <c r="A1941" t="s">
        <v>1972</v>
      </c>
      <c r="C1941">
        <f t="shared" si="150"/>
        <v>2001</v>
      </c>
      <c r="D1941">
        <v>2001</v>
      </c>
      <c r="E1941" t="str">
        <f t="shared" si="154"/>
        <v>Jun</v>
      </c>
      <c r="F1941" t="s">
        <v>18</v>
      </c>
      <c r="G1941">
        <v>5</v>
      </c>
      <c r="H1941">
        <v>2</v>
      </c>
      <c r="I1941" s="21">
        <v>26018.95</v>
      </c>
      <c r="J1941" t="str">
        <f t="shared" si="151"/>
        <v>tier - 2</v>
      </c>
      <c r="K1941" t="s">
        <v>11</v>
      </c>
      <c r="L1941" t="str">
        <f t="shared" si="152"/>
        <v>tier - 2</v>
      </c>
      <c r="M1941" t="s">
        <v>11</v>
      </c>
      <c r="N1941" t="str">
        <f t="shared" si="153"/>
        <v>R1012</v>
      </c>
      <c r="O1941" t="s">
        <v>23</v>
      </c>
    </row>
    <row r="1942" spans="1:15" x14ac:dyDescent="0.35">
      <c r="A1942" t="s">
        <v>1973</v>
      </c>
      <c r="C1942">
        <f t="shared" si="150"/>
        <v>2000</v>
      </c>
      <c r="D1942">
        <v>2000</v>
      </c>
      <c r="E1942" t="str">
        <f t="shared" si="154"/>
        <v>Dec</v>
      </c>
      <c r="F1942" t="s">
        <v>30</v>
      </c>
      <c r="G1942">
        <v>26</v>
      </c>
      <c r="H1942">
        <v>0</v>
      </c>
      <c r="I1942" s="21">
        <v>26026.97</v>
      </c>
      <c r="J1942" t="str">
        <f t="shared" si="151"/>
        <v>tier - 2</v>
      </c>
      <c r="K1942" t="s">
        <v>11</v>
      </c>
      <c r="L1942" t="str">
        <f t="shared" si="152"/>
        <v>tier - 3</v>
      </c>
      <c r="M1942" t="s">
        <v>12</v>
      </c>
      <c r="N1942" t="str">
        <f t="shared" si="153"/>
        <v>R1011</v>
      </c>
      <c r="O1942" t="s">
        <v>42</v>
      </c>
    </row>
    <row r="1943" spans="1:15" x14ac:dyDescent="0.35">
      <c r="A1943" t="s">
        <v>1974</v>
      </c>
      <c r="C1943">
        <f t="shared" si="150"/>
        <v>1966</v>
      </c>
      <c r="D1943">
        <v>1966</v>
      </c>
      <c r="E1943" t="str">
        <f t="shared" si="154"/>
        <v>Jul</v>
      </c>
      <c r="F1943" t="s">
        <v>10</v>
      </c>
      <c r="G1943">
        <v>9</v>
      </c>
      <c r="H1943">
        <v>1</v>
      </c>
      <c r="I1943" s="21">
        <v>26109.33</v>
      </c>
      <c r="J1943" t="str">
        <f t="shared" si="151"/>
        <v>tier - 2</v>
      </c>
      <c r="K1943" t="s">
        <v>11</v>
      </c>
      <c r="L1943" t="str">
        <f t="shared" si="152"/>
        <v>tier - 3</v>
      </c>
      <c r="M1943" t="s">
        <v>12</v>
      </c>
      <c r="N1943" t="str">
        <f t="shared" si="153"/>
        <v>R1012</v>
      </c>
      <c r="O1943" t="s">
        <v>23</v>
      </c>
    </row>
    <row r="1944" spans="1:15" x14ac:dyDescent="0.35">
      <c r="A1944" t="s">
        <v>1975</v>
      </c>
      <c r="C1944">
        <f t="shared" si="150"/>
        <v>2002</v>
      </c>
      <c r="D1944">
        <v>2002</v>
      </c>
      <c r="E1944" t="str">
        <f t="shared" si="154"/>
        <v>Oct</v>
      </c>
      <c r="F1944" t="s">
        <v>37</v>
      </c>
      <c r="G1944">
        <v>11</v>
      </c>
      <c r="H1944">
        <v>0</v>
      </c>
      <c r="I1944" s="21">
        <v>26125.67</v>
      </c>
      <c r="J1944" t="str">
        <f t="shared" si="151"/>
        <v>tier - 2</v>
      </c>
      <c r="K1944" t="s">
        <v>11</v>
      </c>
      <c r="L1944" t="str">
        <f t="shared" si="152"/>
        <v>tier - 1</v>
      </c>
      <c r="M1944" t="s">
        <v>16</v>
      </c>
      <c r="N1944" t="str">
        <f t="shared" si="153"/>
        <v>R1013</v>
      </c>
      <c r="O1944" t="s">
        <v>13</v>
      </c>
    </row>
    <row r="1945" spans="1:15" x14ac:dyDescent="0.35">
      <c r="A1945" t="s">
        <v>1976</v>
      </c>
      <c r="C1945">
        <f t="shared" si="150"/>
        <v>1973</v>
      </c>
      <c r="D1945">
        <v>1973</v>
      </c>
      <c r="E1945" t="str">
        <f t="shared" si="154"/>
        <v>Jul</v>
      </c>
      <c r="F1945" t="s">
        <v>10</v>
      </c>
      <c r="G1945">
        <v>7</v>
      </c>
      <c r="H1945">
        <v>1</v>
      </c>
      <c r="I1945" s="21">
        <v>26140.36</v>
      </c>
      <c r="J1945" t="str">
        <f t="shared" si="151"/>
        <v>tier - 2</v>
      </c>
      <c r="K1945" t="s">
        <v>11</v>
      </c>
      <c r="L1945" t="str">
        <f t="shared" si="152"/>
        <v>tier - 3</v>
      </c>
      <c r="M1945" t="s">
        <v>12</v>
      </c>
      <c r="N1945" t="str">
        <f t="shared" si="153"/>
        <v>R1011</v>
      </c>
      <c r="O1945" t="s">
        <v>42</v>
      </c>
    </row>
    <row r="1946" spans="1:15" x14ac:dyDescent="0.35">
      <c r="A1946" t="s">
        <v>1977</v>
      </c>
      <c r="C1946">
        <f t="shared" si="150"/>
        <v>1975</v>
      </c>
      <c r="D1946">
        <v>1975</v>
      </c>
      <c r="E1946" t="str">
        <f t="shared" si="154"/>
        <v>Jun</v>
      </c>
      <c r="F1946" t="s">
        <v>18</v>
      </c>
      <c r="G1946">
        <v>4</v>
      </c>
      <c r="H1946">
        <v>1</v>
      </c>
      <c r="I1946" s="21">
        <v>26236.58</v>
      </c>
      <c r="J1946" t="str">
        <f t="shared" si="151"/>
        <v>tier - 2</v>
      </c>
      <c r="K1946" t="s">
        <v>11</v>
      </c>
      <c r="L1946" t="str">
        <f t="shared" si="152"/>
        <v>tier - 1</v>
      </c>
      <c r="M1946" t="s">
        <v>16</v>
      </c>
      <c r="N1946" t="str">
        <f t="shared" si="153"/>
        <v>R1011</v>
      </c>
      <c r="O1946" t="s">
        <v>42</v>
      </c>
    </row>
    <row r="1947" spans="1:15" x14ac:dyDescent="0.35">
      <c r="A1947" t="s">
        <v>1978</v>
      </c>
      <c r="C1947">
        <f t="shared" si="150"/>
        <v>2004</v>
      </c>
      <c r="D1947">
        <v>2004</v>
      </c>
      <c r="E1947" t="str">
        <f t="shared" si="154"/>
        <v>Dec</v>
      </c>
      <c r="F1947" t="s">
        <v>30</v>
      </c>
      <c r="G1947">
        <v>5</v>
      </c>
      <c r="H1947">
        <v>0</v>
      </c>
      <c r="I1947" s="21">
        <v>26316.59</v>
      </c>
      <c r="J1947" t="str">
        <f t="shared" si="151"/>
        <v>tier - 2</v>
      </c>
      <c r="K1947" t="s">
        <v>11</v>
      </c>
      <c r="L1947" t="str">
        <f t="shared" si="152"/>
        <v>tier - 3</v>
      </c>
      <c r="M1947" t="s">
        <v>12</v>
      </c>
      <c r="N1947" t="str">
        <f t="shared" si="153"/>
        <v>R1011</v>
      </c>
      <c r="O1947" t="s">
        <v>42</v>
      </c>
    </row>
    <row r="1948" spans="1:15" x14ac:dyDescent="0.35">
      <c r="A1948" t="s">
        <v>1979</v>
      </c>
      <c r="C1948">
        <f t="shared" si="150"/>
        <v>1974</v>
      </c>
      <c r="D1948">
        <v>1974</v>
      </c>
      <c r="E1948" t="str">
        <f t="shared" si="154"/>
        <v>Sep</v>
      </c>
      <c r="F1948" t="s">
        <v>20</v>
      </c>
      <c r="G1948">
        <v>21</v>
      </c>
      <c r="H1948">
        <v>1</v>
      </c>
      <c r="I1948" s="21">
        <v>26392.26</v>
      </c>
      <c r="J1948" t="str">
        <f t="shared" si="151"/>
        <v>tier - 2</v>
      </c>
      <c r="K1948" t="s">
        <v>11</v>
      </c>
      <c r="L1948" t="str">
        <f t="shared" si="152"/>
        <v>tier - 2</v>
      </c>
      <c r="M1948" t="s">
        <v>11</v>
      </c>
      <c r="N1948" t="str">
        <f t="shared" si="153"/>
        <v>R1024</v>
      </c>
      <c r="O1948" t="s">
        <v>247</v>
      </c>
    </row>
    <row r="1949" spans="1:15" x14ac:dyDescent="0.35">
      <c r="A1949" t="s">
        <v>1980</v>
      </c>
      <c r="C1949">
        <f t="shared" si="150"/>
        <v>1970</v>
      </c>
      <c r="D1949">
        <v>1970</v>
      </c>
      <c r="E1949" t="str">
        <f t="shared" si="154"/>
        <v>Aug</v>
      </c>
      <c r="F1949" t="s">
        <v>35</v>
      </c>
      <c r="G1949">
        <v>27</v>
      </c>
      <c r="H1949">
        <v>2</v>
      </c>
      <c r="I1949" s="21">
        <v>26467.1</v>
      </c>
      <c r="J1949" t="str">
        <f t="shared" si="151"/>
        <v>tier - 2</v>
      </c>
      <c r="K1949" t="s">
        <v>11</v>
      </c>
      <c r="L1949" t="str">
        <f t="shared" si="152"/>
        <v>tier - 3</v>
      </c>
      <c r="M1949" t="s">
        <v>12</v>
      </c>
      <c r="N1949" t="str">
        <f t="shared" si="153"/>
        <v>R1012</v>
      </c>
      <c r="O1949" t="s">
        <v>23</v>
      </c>
    </row>
    <row r="1950" spans="1:15" x14ac:dyDescent="0.35">
      <c r="A1950" t="s">
        <v>1981</v>
      </c>
      <c r="C1950">
        <f t="shared" si="150"/>
        <v>2004</v>
      </c>
      <c r="D1950">
        <v>2004</v>
      </c>
      <c r="E1950" t="str">
        <f t="shared" si="154"/>
        <v>Sep</v>
      </c>
      <c r="F1950" t="s">
        <v>20</v>
      </c>
      <c r="G1950">
        <v>5</v>
      </c>
      <c r="H1950">
        <v>0</v>
      </c>
      <c r="I1950" s="21">
        <v>26479.4</v>
      </c>
      <c r="J1950" t="str">
        <f t="shared" si="151"/>
        <v>tier - 2</v>
      </c>
      <c r="K1950" t="s">
        <v>11</v>
      </c>
      <c r="L1950" t="str">
        <f t="shared" si="152"/>
        <v>tier - 2</v>
      </c>
      <c r="M1950" t="s">
        <v>11</v>
      </c>
      <c r="N1950" t="str">
        <f t="shared" si="153"/>
        <v>R1011</v>
      </c>
      <c r="O1950" t="s">
        <v>42</v>
      </c>
    </row>
    <row r="1951" spans="1:15" x14ac:dyDescent="0.35">
      <c r="A1951" t="s">
        <v>1982</v>
      </c>
      <c r="C1951">
        <f t="shared" si="150"/>
        <v>1988</v>
      </c>
      <c r="D1951">
        <v>1988</v>
      </c>
      <c r="E1951" t="str">
        <f t="shared" si="154"/>
        <v>Jul</v>
      </c>
      <c r="F1951" t="s">
        <v>10</v>
      </c>
      <c r="G1951">
        <v>22</v>
      </c>
      <c r="H1951">
        <v>3</v>
      </c>
      <c r="I1951" s="21">
        <v>26607.89</v>
      </c>
      <c r="J1951" t="str">
        <f t="shared" si="151"/>
        <v>tier - 2</v>
      </c>
      <c r="K1951" t="s">
        <v>11</v>
      </c>
      <c r="L1951" t="str">
        <f t="shared" si="152"/>
        <v>tier - 1</v>
      </c>
      <c r="M1951" t="s">
        <v>16</v>
      </c>
      <c r="N1951" t="str">
        <f t="shared" si="153"/>
        <v>R1011</v>
      </c>
      <c r="O1951" t="s">
        <v>42</v>
      </c>
    </row>
    <row r="1952" spans="1:15" x14ac:dyDescent="0.35">
      <c r="A1952" t="s">
        <v>1983</v>
      </c>
      <c r="C1952">
        <f t="shared" si="150"/>
        <v>1991</v>
      </c>
      <c r="D1952">
        <v>1991</v>
      </c>
      <c r="E1952" t="str">
        <f t="shared" si="154"/>
        <v>Aug</v>
      </c>
      <c r="F1952" t="s">
        <v>35</v>
      </c>
      <c r="G1952">
        <v>22</v>
      </c>
      <c r="H1952">
        <v>3</v>
      </c>
      <c r="I1952" s="21">
        <v>26912.560000000001</v>
      </c>
      <c r="J1952" t="str">
        <f t="shared" si="151"/>
        <v>tier - 2</v>
      </c>
      <c r="K1952" t="s">
        <v>11</v>
      </c>
      <c r="L1952" t="str">
        <f t="shared" si="152"/>
        <v>tier - 2</v>
      </c>
      <c r="M1952" t="s">
        <v>11</v>
      </c>
      <c r="N1952" t="str">
        <f t="shared" si="153"/>
        <v>R1011</v>
      </c>
      <c r="O1952" t="s">
        <v>42</v>
      </c>
    </row>
    <row r="1953" spans="1:15" x14ac:dyDescent="0.35">
      <c r="A1953" t="s">
        <v>1984</v>
      </c>
      <c r="C1953">
        <f t="shared" si="150"/>
        <v>1958</v>
      </c>
      <c r="D1953">
        <v>1958</v>
      </c>
      <c r="E1953" t="str">
        <f t="shared" si="154"/>
        <v>Dec</v>
      </c>
      <c r="F1953" t="s">
        <v>30</v>
      </c>
      <c r="G1953">
        <v>25</v>
      </c>
      <c r="H1953">
        <v>0</v>
      </c>
      <c r="I1953" s="21">
        <v>26926.51</v>
      </c>
      <c r="J1953" t="str">
        <f t="shared" si="151"/>
        <v>tier - 2</v>
      </c>
      <c r="K1953" t="s">
        <v>11</v>
      </c>
      <c r="L1953" t="str">
        <f t="shared" si="152"/>
        <v>tier - 1</v>
      </c>
      <c r="M1953" t="s">
        <v>16</v>
      </c>
      <c r="N1953" t="str">
        <f t="shared" si="153"/>
        <v>R1013</v>
      </c>
      <c r="O1953" t="s">
        <v>13</v>
      </c>
    </row>
    <row r="1954" spans="1:15" x14ac:dyDescent="0.35">
      <c r="A1954" t="s">
        <v>1985</v>
      </c>
      <c r="C1954">
        <f t="shared" si="150"/>
        <v>2002</v>
      </c>
      <c r="D1954">
        <v>2002</v>
      </c>
      <c r="E1954" t="str">
        <f t="shared" si="154"/>
        <v>Jun</v>
      </c>
      <c r="F1954" t="s">
        <v>18</v>
      </c>
      <c r="G1954">
        <v>17</v>
      </c>
      <c r="H1954">
        <v>0</v>
      </c>
      <c r="I1954" s="21">
        <v>26927.69</v>
      </c>
      <c r="J1954" t="str">
        <f t="shared" si="151"/>
        <v>tier - 2</v>
      </c>
      <c r="K1954" t="s">
        <v>11</v>
      </c>
      <c r="L1954" t="str">
        <f t="shared" si="152"/>
        <v>tier - 2</v>
      </c>
      <c r="M1954" t="s">
        <v>11</v>
      </c>
      <c r="N1954" t="str">
        <f t="shared" si="153"/>
        <v>R1011</v>
      </c>
      <c r="O1954" t="s">
        <v>42</v>
      </c>
    </row>
    <row r="1955" spans="1:15" x14ac:dyDescent="0.35">
      <c r="A1955" t="s">
        <v>1986</v>
      </c>
      <c r="C1955">
        <f t="shared" si="150"/>
        <v>2000</v>
      </c>
      <c r="D1955">
        <v>2000</v>
      </c>
      <c r="E1955" t="str">
        <f t="shared" si="154"/>
        <v>Nov</v>
      </c>
      <c r="F1955" t="s">
        <v>15</v>
      </c>
      <c r="G1955">
        <v>9</v>
      </c>
      <c r="H1955">
        <v>0</v>
      </c>
      <c r="I1955" s="21">
        <v>26936.98</v>
      </c>
      <c r="J1955" t="str">
        <f t="shared" si="151"/>
        <v>tier - 2</v>
      </c>
      <c r="K1955" t="s">
        <v>11</v>
      </c>
      <c r="L1955" t="str">
        <f t="shared" si="152"/>
        <v>tier - 3</v>
      </c>
      <c r="M1955" t="s">
        <v>12</v>
      </c>
      <c r="N1955" t="str">
        <f t="shared" si="153"/>
        <v>R1011</v>
      </c>
      <c r="O1955" t="s">
        <v>42</v>
      </c>
    </row>
    <row r="1956" spans="1:15" x14ac:dyDescent="0.35">
      <c r="A1956" t="s">
        <v>1987</v>
      </c>
      <c r="C1956">
        <f t="shared" si="150"/>
        <v>1960</v>
      </c>
      <c r="D1956">
        <v>1960</v>
      </c>
      <c r="E1956" t="str">
        <f t="shared" si="154"/>
        <v>Jul</v>
      </c>
      <c r="F1956" t="s">
        <v>10</v>
      </c>
      <c r="G1956">
        <v>9</v>
      </c>
      <c r="H1956">
        <v>1</v>
      </c>
      <c r="I1956" s="21">
        <v>27000.98</v>
      </c>
      <c r="J1956" t="str">
        <f t="shared" si="151"/>
        <v>tier - 2</v>
      </c>
      <c r="K1956" t="s">
        <v>11</v>
      </c>
      <c r="L1956" t="str">
        <f t="shared" si="152"/>
        <v>tier - 2</v>
      </c>
      <c r="M1956" t="s">
        <v>11</v>
      </c>
      <c r="N1956" t="str">
        <f t="shared" si="153"/>
        <v>R1013</v>
      </c>
      <c r="O1956" t="s">
        <v>13</v>
      </c>
    </row>
    <row r="1957" spans="1:15" x14ac:dyDescent="0.35">
      <c r="A1957" t="s">
        <v>1988</v>
      </c>
      <c r="C1957">
        <f t="shared" si="150"/>
        <v>1958</v>
      </c>
      <c r="D1957">
        <v>1958</v>
      </c>
      <c r="E1957" t="str">
        <f t="shared" si="154"/>
        <v>Jun</v>
      </c>
      <c r="F1957" t="s">
        <v>18</v>
      </c>
      <c r="G1957">
        <v>30</v>
      </c>
      <c r="H1957">
        <v>0</v>
      </c>
      <c r="I1957" s="21">
        <v>27037.91</v>
      </c>
      <c r="J1957" t="str">
        <f t="shared" si="151"/>
        <v>tier - 2</v>
      </c>
      <c r="K1957" t="s">
        <v>11</v>
      </c>
      <c r="L1957" t="str">
        <f t="shared" si="152"/>
        <v>tier - 2</v>
      </c>
      <c r="M1957" t="s">
        <v>11</v>
      </c>
      <c r="N1957" t="str">
        <f t="shared" si="153"/>
        <v>R1013</v>
      </c>
      <c r="O1957" t="s">
        <v>13</v>
      </c>
    </row>
    <row r="1958" spans="1:15" x14ac:dyDescent="0.35">
      <c r="A1958" t="s">
        <v>1989</v>
      </c>
      <c r="C1958">
        <f t="shared" si="150"/>
        <v>1994</v>
      </c>
      <c r="D1958">
        <v>1994</v>
      </c>
      <c r="E1958" t="str">
        <f t="shared" si="154"/>
        <v>Jul</v>
      </c>
      <c r="F1958" t="s">
        <v>10</v>
      </c>
      <c r="G1958">
        <v>2</v>
      </c>
      <c r="H1958">
        <v>0</v>
      </c>
      <c r="I1958" s="21">
        <v>27080.639999999999</v>
      </c>
      <c r="J1958" t="str">
        <f t="shared" si="151"/>
        <v>tier - 2</v>
      </c>
      <c r="K1958" t="s">
        <v>11</v>
      </c>
      <c r="L1958" t="str">
        <f t="shared" si="152"/>
        <v>tier - 2</v>
      </c>
      <c r="M1958" t="s">
        <v>11</v>
      </c>
      <c r="N1958" t="str">
        <f t="shared" si="153"/>
        <v>R1011</v>
      </c>
      <c r="O1958" t="s">
        <v>42</v>
      </c>
    </row>
    <row r="1959" spans="1:15" x14ac:dyDescent="0.35">
      <c r="A1959" t="s">
        <v>1990</v>
      </c>
      <c r="C1959">
        <f t="shared" si="150"/>
        <v>1990</v>
      </c>
      <c r="D1959">
        <v>1990</v>
      </c>
      <c r="E1959" t="str">
        <f t="shared" si="154"/>
        <v>Dec</v>
      </c>
      <c r="F1959" t="s">
        <v>30</v>
      </c>
      <c r="G1959">
        <v>13</v>
      </c>
      <c r="H1959">
        <v>3</v>
      </c>
      <c r="I1959" s="21">
        <v>27092.38</v>
      </c>
      <c r="J1959" t="str">
        <f t="shared" si="151"/>
        <v>tier - 2</v>
      </c>
      <c r="K1959" t="s">
        <v>11</v>
      </c>
      <c r="L1959" t="str">
        <f t="shared" si="152"/>
        <v>tier - 3</v>
      </c>
      <c r="M1959" t="s">
        <v>12</v>
      </c>
      <c r="N1959" t="str">
        <f t="shared" si="153"/>
        <v>R1011</v>
      </c>
      <c r="O1959" t="s">
        <v>42</v>
      </c>
    </row>
    <row r="1960" spans="1:15" x14ac:dyDescent="0.35">
      <c r="A1960" t="s">
        <v>1991</v>
      </c>
      <c r="C1960">
        <f t="shared" si="150"/>
        <v>1970</v>
      </c>
      <c r="D1960">
        <v>1970</v>
      </c>
      <c r="E1960" t="str">
        <f t="shared" si="154"/>
        <v>Oct</v>
      </c>
      <c r="F1960" t="s">
        <v>37</v>
      </c>
      <c r="G1960">
        <v>2</v>
      </c>
      <c r="H1960">
        <v>0</v>
      </c>
      <c r="I1960" s="21">
        <v>27117.99</v>
      </c>
      <c r="J1960" t="str">
        <f t="shared" si="151"/>
        <v>tier - 2</v>
      </c>
      <c r="K1960" t="s">
        <v>11</v>
      </c>
      <c r="L1960" t="str">
        <f t="shared" si="152"/>
        <v>tier - 2</v>
      </c>
      <c r="M1960" t="s">
        <v>11</v>
      </c>
      <c r="N1960" t="str">
        <f t="shared" si="153"/>
        <v>R1013</v>
      </c>
      <c r="O1960" t="s">
        <v>13</v>
      </c>
    </row>
    <row r="1961" spans="1:15" x14ac:dyDescent="0.35">
      <c r="A1961" t="s">
        <v>1992</v>
      </c>
      <c r="C1961">
        <f t="shared" si="150"/>
        <v>1965</v>
      </c>
      <c r="D1961">
        <v>1965</v>
      </c>
      <c r="E1961" t="str">
        <f t="shared" si="154"/>
        <v>Dec</v>
      </c>
      <c r="F1961" t="s">
        <v>30</v>
      </c>
      <c r="G1961">
        <v>21</v>
      </c>
      <c r="H1961">
        <v>0</v>
      </c>
      <c r="I1961" s="21">
        <v>27218.44</v>
      </c>
      <c r="J1961" t="str">
        <f t="shared" si="151"/>
        <v>tier - 2</v>
      </c>
      <c r="K1961" t="s">
        <v>11</v>
      </c>
      <c r="L1961" t="str">
        <f t="shared" si="152"/>
        <v>tier - 1</v>
      </c>
      <c r="M1961" t="s">
        <v>16</v>
      </c>
      <c r="N1961" t="str">
        <f t="shared" si="153"/>
        <v>R1017</v>
      </c>
      <c r="O1961" t="s">
        <v>356</v>
      </c>
    </row>
    <row r="1962" spans="1:15" x14ac:dyDescent="0.35">
      <c r="A1962" t="s">
        <v>1993</v>
      </c>
      <c r="C1962">
        <f t="shared" si="150"/>
        <v>1999</v>
      </c>
      <c r="D1962">
        <v>1999</v>
      </c>
      <c r="E1962" t="str">
        <f t="shared" si="154"/>
        <v>Dec</v>
      </c>
      <c r="F1962" t="s">
        <v>30</v>
      </c>
      <c r="G1962">
        <v>2</v>
      </c>
      <c r="H1962">
        <v>0</v>
      </c>
      <c r="I1962" s="21">
        <v>27236.959999999999</v>
      </c>
      <c r="J1962" t="str">
        <f t="shared" si="151"/>
        <v>tier - 2</v>
      </c>
      <c r="K1962" t="s">
        <v>11</v>
      </c>
      <c r="L1962" t="str">
        <f t="shared" si="152"/>
        <v>tier - 1</v>
      </c>
      <c r="M1962" t="s">
        <v>16</v>
      </c>
      <c r="N1962" t="str">
        <f t="shared" si="153"/>
        <v>R1011</v>
      </c>
      <c r="O1962" t="s">
        <v>42</v>
      </c>
    </row>
    <row r="1963" spans="1:15" x14ac:dyDescent="0.35">
      <c r="A1963" t="s">
        <v>1994</v>
      </c>
      <c r="C1963">
        <f t="shared" si="150"/>
        <v>1968</v>
      </c>
      <c r="D1963">
        <v>1968</v>
      </c>
      <c r="E1963" t="str">
        <f t="shared" si="154"/>
        <v>Jun</v>
      </c>
      <c r="F1963" t="s">
        <v>18</v>
      </c>
      <c r="G1963">
        <v>6</v>
      </c>
      <c r="H1963">
        <v>3</v>
      </c>
      <c r="I1963" s="21">
        <v>27322.73</v>
      </c>
      <c r="J1963" t="str">
        <f t="shared" si="151"/>
        <v>tier - 2</v>
      </c>
      <c r="K1963" t="s">
        <v>11</v>
      </c>
      <c r="L1963" t="str">
        <f t="shared" si="152"/>
        <v>tier - 2</v>
      </c>
      <c r="M1963" t="s">
        <v>11</v>
      </c>
      <c r="N1963" t="str">
        <f t="shared" si="153"/>
        <v>R1013</v>
      </c>
      <c r="O1963" t="s">
        <v>13</v>
      </c>
    </row>
    <row r="1964" spans="1:15" x14ac:dyDescent="0.35">
      <c r="A1964" t="s">
        <v>1995</v>
      </c>
      <c r="C1964">
        <f t="shared" si="150"/>
        <v>1969</v>
      </c>
      <c r="D1964">
        <v>1969</v>
      </c>
      <c r="E1964" t="str">
        <f t="shared" si="154"/>
        <v>Oct</v>
      </c>
      <c r="F1964" t="s">
        <v>37</v>
      </c>
      <c r="G1964">
        <v>16</v>
      </c>
      <c r="H1964">
        <v>0</v>
      </c>
      <c r="I1964" s="21">
        <v>27346.04</v>
      </c>
      <c r="J1964" t="str">
        <f t="shared" si="151"/>
        <v>tier - 2</v>
      </c>
      <c r="K1964" t="s">
        <v>11</v>
      </c>
      <c r="L1964" t="str">
        <f t="shared" si="152"/>
        <v>tier - 2</v>
      </c>
      <c r="M1964" t="s">
        <v>11</v>
      </c>
      <c r="N1964" t="str">
        <f t="shared" si="153"/>
        <v>R1013</v>
      </c>
      <c r="O1964" t="s">
        <v>13</v>
      </c>
    </row>
    <row r="1965" spans="1:15" x14ac:dyDescent="0.35">
      <c r="A1965" t="s">
        <v>1996</v>
      </c>
      <c r="C1965">
        <f t="shared" si="150"/>
        <v>1988</v>
      </c>
      <c r="D1965">
        <v>1988</v>
      </c>
      <c r="E1965" t="str">
        <f t="shared" si="154"/>
        <v>Sep</v>
      </c>
      <c r="F1965" t="s">
        <v>20</v>
      </c>
      <c r="G1965">
        <v>15</v>
      </c>
      <c r="H1965">
        <v>2</v>
      </c>
      <c r="I1965" s="21">
        <v>27375.9</v>
      </c>
      <c r="J1965" t="str">
        <f t="shared" si="151"/>
        <v>tier - 2</v>
      </c>
      <c r="K1965" t="s">
        <v>11</v>
      </c>
      <c r="L1965" t="str">
        <f t="shared" si="152"/>
        <v>tier - 3</v>
      </c>
      <c r="M1965" t="s">
        <v>12</v>
      </c>
      <c r="N1965" t="str">
        <f t="shared" si="153"/>
        <v>R1015</v>
      </c>
      <c r="O1965" t="s">
        <v>164</v>
      </c>
    </row>
    <row r="1966" spans="1:15" x14ac:dyDescent="0.35">
      <c r="A1966" t="s">
        <v>1997</v>
      </c>
      <c r="C1966">
        <f t="shared" si="150"/>
        <v>1985</v>
      </c>
      <c r="D1966">
        <v>1985</v>
      </c>
      <c r="E1966" t="str">
        <f t="shared" si="154"/>
        <v>Dec</v>
      </c>
      <c r="F1966" t="s">
        <v>30</v>
      </c>
      <c r="G1966">
        <v>5</v>
      </c>
      <c r="H1966">
        <v>3</v>
      </c>
      <c r="I1966" s="21">
        <v>27432.73</v>
      </c>
      <c r="J1966" t="str">
        <f t="shared" si="151"/>
        <v>tier - 2</v>
      </c>
      <c r="K1966" t="s">
        <v>11</v>
      </c>
      <c r="L1966" t="str">
        <f t="shared" si="152"/>
        <v>tier - 1</v>
      </c>
      <c r="M1966" t="s">
        <v>16</v>
      </c>
      <c r="N1966" t="str">
        <f t="shared" si="153"/>
        <v>R1011</v>
      </c>
      <c r="O1966" t="s">
        <v>42</v>
      </c>
    </row>
    <row r="1967" spans="1:15" x14ac:dyDescent="0.35">
      <c r="A1967" t="s">
        <v>1998</v>
      </c>
      <c r="C1967">
        <f t="shared" si="150"/>
        <v>1981</v>
      </c>
      <c r="D1967">
        <v>1981</v>
      </c>
      <c r="E1967" t="str">
        <f t="shared" si="154"/>
        <v>Oct</v>
      </c>
      <c r="F1967" t="s">
        <v>37</v>
      </c>
      <c r="G1967">
        <v>3</v>
      </c>
      <c r="H1967">
        <v>1</v>
      </c>
      <c r="I1967" s="21">
        <v>27495.59</v>
      </c>
      <c r="J1967" t="str">
        <f t="shared" si="151"/>
        <v>tier - 2</v>
      </c>
      <c r="K1967" t="s">
        <v>11</v>
      </c>
      <c r="L1967" t="str">
        <f t="shared" si="152"/>
        <v>tier - 1</v>
      </c>
      <c r="M1967" t="s">
        <v>16</v>
      </c>
      <c r="N1967" t="str">
        <f t="shared" si="153"/>
        <v>R1011</v>
      </c>
      <c r="O1967" t="s">
        <v>42</v>
      </c>
    </row>
    <row r="1968" spans="1:15" x14ac:dyDescent="0.35">
      <c r="A1968" t="s">
        <v>1999</v>
      </c>
      <c r="C1968">
        <f t="shared" si="150"/>
        <v>1965</v>
      </c>
      <c r="D1968">
        <v>1965</v>
      </c>
      <c r="E1968" t="str">
        <f t="shared" si="154"/>
        <v>Oct</v>
      </c>
      <c r="F1968" t="s">
        <v>37</v>
      </c>
      <c r="G1968">
        <v>19</v>
      </c>
      <c r="H1968">
        <v>0</v>
      </c>
      <c r="I1968" s="21">
        <v>27533.91</v>
      </c>
      <c r="J1968" t="str">
        <f t="shared" si="151"/>
        <v>tier - 2</v>
      </c>
      <c r="K1968" t="s">
        <v>11</v>
      </c>
      <c r="L1968" t="str">
        <f t="shared" si="152"/>
        <v>tier - 3</v>
      </c>
      <c r="M1968" t="s">
        <v>12</v>
      </c>
      <c r="N1968" t="str">
        <f t="shared" si="153"/>
        <v>R1013</v>
      </c>
      <c r="O1968" t="s">
        <v>13</v>
      </c>
    </row>
    <row r="1969" spans="1:15" x14ac:dyDescent="0.35">
      <c r="A1969" t="s">
        <v>2000</v>
      </c>
      <c r="C1969">
        <f t="shared" si="150"/>
        <v>1984</v>
      </c>
      <c r="D1969">
        <v>1984</v>
      </c>
      <c r="E1969" t="str">
        <f t="shared" si="154"/>
        <v>Jul</v>
      </c>
      <c r="F1969" t="s">
        <v>10</v>
      </c>
      <c r="G1969">
        <v>22</v>
      </c>
      <c r="H1969">
        <v>3</v>
      </c>
      <c r="I1969" s="21">
        <v>27534.53</v>
      </c>
      <c r="J1969" t="str">
        <f t="shared" si="151"/>
        <v>tier - 2</v>
      </c>
      <c r="K1969" t="s">
        <v>11</v>
      </c>
      <c r="L1969" t="str">
        <f t="shared" si="152"/>
        <v>tier - 2</v>
      </c>
      <c r="M1969" t="s">
        <v>11</v>
      </c>
      <c r="N1969" t="str">
        <f t="shared" si="153"/>
        <v>R1011</v>
      </c>
      <c r="O1969" t="s">
        <v>42</v>
      </c>
    </row>
    <row r="1970" spans="1:15" x14ac:dyDescent="0.35">
      <c r="A1970" t="s">
        <v>2001</v>
      </c>
      <c r="C1970">
        <f t="shared" si="150"/>
        <v>1985</v>
      </c>
      <c r="D1970">
        <v>1985</v>
      </c>
      <c r="E1970" t="str">
        <f t="shared" si="154"/>
        <v>Nov</v>
      </c>
      <c r="F1970" t="s">
        <v>15</v>
      </c>
      <c r="G1970">
        <v>6</v>
      </c>
      <c r="H1970">
        <v>3</v>
      </c>
      <c r="I1970" s="21">
        <v>27598.93</v>
      </c>
      <c r="J1970" t="str">
        <f t="shared" si="151"/>
        <v>tier - 2</v>
      </c>
      <c r="K1970" t="s">
        <v>11</v>
      </c>
      <c r="L1970" t="str">
        <f t="shared" si="152"/>
        <v>tier - 1</v>
      </c>
      <c r="M1970" t="s">
        <v>16</v>
      </c>
      <c r="N1970" t="str">
        <f t="shared" si="153"/>
        <v>R1011</v>
      </c>
      <c r="O1970" t="s">
        <v>42</v>
      </c>
    </row>
    <row r="1971" spans="1:15" x14ac:dyDescent="0.35">
      <c r="A1971" t="s">
        <v>2002</v>
      </c>
      <c r="C1971">
        <f t="shared" si="150"/>
        <v>1992</v>
      </c>
      <c r="D1971">
        <v>1992</v>
      </c>
      <c r="E1971" t="str">
        <f t="shared" si="154"/>
        <v>Jun</v>
      </c>
      <c r="F1971" t="s">
        <v>18</v>
      </c>
      <c r="G1971">
        <v>11</v>
      </c>
      <c r="H1971">
        <v>0</v>
      </c>
      <c r="I1971" s="21">
        <v>27614.71</v>
      </c>
      <c r="J1971" t="str">
        <f t="shared" si="151"/>
        <v>tier - 2</v>
      </c>
      <c r="K1971" t="s">
        <v>11</v>
      </c>
      <c r="L1971" t="str">
        <f t="shared" si="152"/>
        <v>tier - 3</v>
      </c>
      <c r="M1971" t="s">
        <v>12</v>
      </c>
      <c r="N1971" t="str">
        <f t="shared" si="153"/>
        <v>R1011</v>
      </c>
      <c r="O1971" t="s">
        <v>42</v>
      </c>
    </row>
    <row r="1972" spans="1:15" x14ac:dyDescent="0.35">
      <c r="A1972" t="s">
        <v>2003</v>
      </c>
      <c r="C1972">
        <f t="shared" si="150"/>
        <v>1997</v>
      </c>
      <c r="D1972">
        <v>1997</v>
      </c>
      <c r="E1972" t="str">
        <f t="shared" si="154"/>
        <v>Sep</v>
      </c>
      <c r="F1972" t="s">
        <v>20</v>
      </c>
      <c r="G1972">
        <v>9</v>
      </c>
      <c r="H1972">
        <v>0</v>
      </c>
      <c r="I1972" s="21">
        <v>27619.360000000001</v>
      </c>
      <c r="J1972" t="str">
        <f t="shared" si="151"/>
        <v>tier - 2</v>
      </c>
      <c r="K1972" t="s">
        <v>11</v>
      </c>
      <c r="L1972" t="str">
        <f t="shared" si="152"/>
        <v>tier - 3</v>
      </c>
      <c r="M1972" t="s">
        <v>12</v>
      </c>
      <c r="N1972" t="str">
        <f t="shared" si="153"/>
        <v>R1011</v>
      </c>
      <c r="O1972" t="s">
        <v>42</v>
      </c>
    </row>
    <row r="1973" spans="1:15" x14ac:dyDescent="0.35">
      <c r="A1973" t="s">
        <v>2004</v>
      </c>
      <c r="C1973">
        <f t="shared" si="150"/>
        <v>1997</v>
      </c>
      <c r="D1973">
        <v>1997</v>
      </c>
      <c r="E1973" t="str">
        <f t="shared" si="154"/>
        <v>Oct</v>
      </c>
      <c r="F1973" t="s">
        <v>37</v>
      </c>
      <c r="G1973">
        <v>7</v>
      </c>
      <c r="H1973">
        <v>0</v>
      </c>
      <c r="I1973" s="21">
        <v>27625.17</v>
      </c>
      <c r="J1973" t="str">
        <f t="shared" si="151"/>
        <v>tier - 1</v>
      </c>
      <c r="K1973" t="s">
        <v>16</v>
      </c>
      <c r="L1973" t="str">
        <f t="shared" si="152"/>
        <v>tier - 1</v>
      </c>
      <c r="M1973" t="s">
        <v>16</v>
      </c>
      <c r="N1973" t="str">
        <f t="shared" si="153"/>
        <v>R1011</v>
      </c>
      <c r="O1973" t="s">
        <v>42</v>
      </c>
    </row>
    <row r="1974" spans="1:15" x14ac:dyDescent="0.35">
      <c r="A1974" t="s">
        <v>2005</v>
      </c>
      <c r="C1974">
        <f t="shared" si="150"/>
        <v>1992</v>
      </c>
      <c r="D1974">
        <v>1992</v>
      </c>
      <c r="E1974" t="str">
        <f t="shared" si="154"/>
        <v>Jul</v>
      </c>
      <c r="F1974" t="s">
        <v>10</v>
      </c>
      <c r="G1974">
        <v>3</v>
      </c>
      <c r="H1974">
        <v>0</v>
      </c>
      <c r="I1974" s="21">
        <v>27696.11</v>
      </c>
      <c r="J1974" t="str">
        <f t="shared" si="151"/>
        <v>tier - 1</v>
      </c>
      <c r="K1974" t="s">
        <v>16</v>
      </c>
      <c r="L1974" t="str">
        <f t="shared" si="152"/>
        <v>tier - 2</v>
      </c>
      <c r="M1974" t="s">
        <v>11</v>
      </c>
      <c r="N1974" t="str">
        <f t="shared" si="153"/>
        <v>R1011</v>
      </c>
      <c r="O1974" t="s">
        <v>42</v>
      </c>
    </row>
    <row r="1975" spans="1:15" x14ac:dyDescent="0.35">
      <c r="A1975" t="s">
        <v>2006</v>
      </c>
      <c r="C1975">
        <f t="shared" si="150"/>
        <v>2002</v>
      </c>
      <c r="D1975">
        <v>2002</v>
      </c>
      <c r="E1975" t="str">
        <f t="shared" si="154"/>
        <v>Dec</v>
      </c>
      <c r="F1975" t="s">
        <v>30</v>
      </c>
      <c r="G1975">
        <v>6</v>
      </c>
      <c r="H1975">
        <v>1</v>
      </c>
      <c r="I1975" s="21">
        <v>27724.29</v>
      </c>
      <c r="J1975" t="str">
        <f t="shared" si="151"/>
        <v>tier - 1</v>
      </c>
      <c r="K1975" t="s">
        <v>16</v>
      </c>
      <c r="L1975" t="str">
        <f t="shared" si="152"/>
        <v>tier - 3</v>
      </c>
      <c r="M1975" t="s">
        <v>12</v>
      </c>
      <c r="N1975" t="str">
        <f t="shared" si="153"/>
        <v>R1013</v>
      </c>
      <c r="O1975" t="s">
        <v>13</v>
      </c>
    </row>
    <row r="1976" spans="1:15" x14ac:dyDescent="0.35">
      <c r="A1976" t="s">
        <v>2007</v>
      </c>
      <c r="C1976">
        <f t="shared" si="150"/>
        <v>1960</v>
      </c>
      <c r="D1976">
        <v>1960</v>
      </c>
      <c r="E1976" t="str">
        <f t="shared" si="154"/>
        <v>Jul</v>
      </c>
      <c r="F1976" t="s">
        <v>10</v>
      </c>
      <c r="G1976">
        <v>6</v>
      </c>
      <c r="H1976">
        <v>0</v>
      </c>
      <c r="I1976" s="21">
        <v>27808.73</v>
      </c>
      <c r="J1976" t="str">
        <f t="shared" si="151"/>
        <v>tier - 1</v>
      </c>
      <c r="K1976" t="s">
        <v>16</v>
      </c>
      <c r="L1976" t="str">
        <f t="shared" si="152"/>
        <v>tier - 1</v>
      </c>
      <c r="M1976" t="s">
        <v>16</v>
      </c>
      <c r="N1976" t="str">
        <f t="shared" si="153"/>
        <v>R1013</v>
      </c>
      <c r="O1976" t="s">
        <v>13</v>
      </c>
    </row>
    <row r="1977" spans="1:15" x14ac:dyDescent="0.35">
      <c r="A1977" t="s">
        <v>2008</v>
      </c>
      <c r="C1977">
        <f t="shared" si="150"/>
        <v>1985</v>
      </c>
      <c r="D1977">
        <v>1985</v>
      </c>
      <c r="E1977" t="str">
        <f t="shared" si="154"/>
        <v>Dec</v>
      </c>
      <c r="F1977" t="s">
        <v>30</v>
      </c>
      <c r="G1977">
        <v>4</v>
      </c>
      <c r="H1977">
        <v>3</v>
      </c>
      <c r="I1977" s="21">
        <v>27849.94</v>
      </c>
      <c r="J1977" t="str">
        <f t="shared" si="151"/>
        <v>tier - 1</v>
      </c>
      <c r="K1977" t="s">
        <v>16</v>
      </c>
      <c r="L1977" t="str">
        <f t="shared" si="152"/>
        <v>tier - 1</v>
      </c>
      <c r="M1977" t="s">
        <v>16</v>
      </c>
      <c r="N1977" t="str">
        <f t="shared" si="153"/>
        <v>R1011</v>
      </c>
      <c r="O1977" t="s">
        <v>42</v>
      </c>
    </row>
    <row r="1978" spans="1:15" x14ac:dyDescent="0.35">
      <c r="A1978" t="s">
        <v>2009</v>
      </c>
      <c r="C1978">
        <f t="shared" si="150"/>
        <v>1989</v>
      </c>
      <c r="D1978">
        <v>1989</v>
      </c>
      <c r="E1978" t="str">
        <f t="shared" si="154"/>
        <v>Nov</v>
      </c>
      <c r="F1978" t="s">
        <v>15</v>
      </c>
      <c r="G1978">
        <v>21</v>
      </c>
      <c r="H1978">
        <v>3</v>
      </c>
      <c r="I1978" s="21">
        <v>27925.86</v>
      </c>
      <c r="J1978" t="str">
        <f t="shared" si="151"/>
        <v>tier - 1</v>
      </c>
      <c r="K1978" t="s">
        <v>16</v>
      </c>
      <c r="L1978" t="str">
        <f t="shared" si="152"/>
        <v>tier - 2</v>
      </c>
      <c r="M1978" t="s">
        <v>11</v>
      </c>
      <c r="N1978" t="str">
        <f t="shared" si="153"/>
        <v>R1011</v>
      </c>
      <c r="O1978" t="s">
        <v>42</v>
      </c>
    </row>
    <row r="1979" spans="1:15" x14ac:dyDescent="0.35">
      <c r="A1979" t="s">
        <v>2010</v>
      </c>
      <c r="C1979">
        <f t="shared" si="150"/>
        <v>1991</v>
      </c>
      <c r="D1979">
        <v>1991</v>
      </c>
      <c r="E1979" t="str">
        <f t="shared" si="154"/>
        <v>Jun</v>
      </c>
      <c r="F1979" t="s">
        <v>18</v>
      </c>
      <c r="G1979">
        <v>4</v>
      </c>
      <c r="H1979">
        <v>3</v>
      </c>
      <c r="I1979" s="21">
        <v>27931.11</v>
      </c>
      <c r="J1979" t="str">
        <f t="shared" si="151"/>
        <v>tier - 1</v>
      </c>
      <c r="K1979" t="s">
        <v>16</v>
      </c>
      <c r="L1979" t="str">
        <f t="shared" si="152"/>
        <v>tier - 3</v>
      </c>
      <c r="M1979" t="s">
        <v>12</v>
      </c>
      <c r="N1979" t="str">
        <f t="shared" si="153"/>
        <v>R1011</v>
      </c>
      <c r="O1979" t="s">
        <v>42</v>
      </c>
    </row>
    <row r="1980" spans="1:15" x14ac:dyDescent="0.35">
      <c r="A1980" t="s">
        <v>2011</v>
      </c>
      <c r="C1980">
        <f t="shared" si="150"/>
        <v>1961</v>
      </c>
      <c r="D1980">
        <v>1961</v>
      </c>
      <c r="E1980" t="str">
        <f t="shared" si="154"/>
        <v>Jul</v>
      </c>
      <c r="F1980" t="s">
        <v>10</v>
      </c>
      <c r="G1980">
        <v>28</v>
      </c>
      <c r="H1980">
        <v>3</v>
      </c>
      <c r="I1980" s="21">
        <v>27941.29</v>
      </c>
      <c r="J1980" t="str">
        <f t="shared" si="151"/>
        <v>tier - 1</v>
      </c>
      <c r="K1980" t="s">
        <v>16</v>
      </c>
      <c r="L1980" t="str">
        <f t="shared" si="152"/>
        <v>tier - 3</v>
      </c>
      <c r="M1980" t="s">
        <v>12</v>
      </c>
      <c r="N1980" t="str">
        <f t="shared" si="153"/>
        <v>R1011</v>
      </c>
      <c r="O1980" t="s">
        <v>42</v>
      </c>
    </row>
    <row r="1981" spans="1:15" x14ac:dyDescent="0.35">
      <c r="A1981" t="s">
        <v>2012</v>
      </c>
      <c r="C1981">
        <f t="shared" si="150"/>
        <v>1999</v>
      </c>
      <c r="D1981">
        <v>1999</v>
      </c>
      <c r="E1981" t="str">
        <f t="shared" si="154"/>
        <v>Dec</v>
      </c>
      <c r="F1981" t="s">
        <v>30</v>
      </c>
      <c r="G1981">
        <v>21</v>
      </c>
      <c r="H1981">
        <v>0</v>
      </c>
      <c r="I1981" s="21">
        <v>27980.77</v>
      </c>
      <c r="J1981" t="str">
        <f t="shared" si="151"/>
        <v>tier - 1</v>
      </c>
      <c r="K1981" t="s">
        <v>16</v>
      </c>
      <c r="L1981" t="str">
        <f t="shared" si="152"/>
        <v>tier - 1</v>
      </c>
      <c r="M1981" t="s">
        <v>16</v>
      </c>
      <c r="N1981" t="str">
        <f t="shared" si="153"/>
        <v>R1011</v>
      </c>
      <c r="O1981" t="s">
        <v>42</v>
      </c>
    </row>
    <row r="1982" spans="1:15" x14ac:dyDescent="0.35">
      <c r="A1982" t="s">
        <v>2013</v>
      </c>
      <c r="C1982">
        <f t="shared" si="150"/>
        <v>1985</v>
      </c>
      <c r="D1982">
        <v>1985</v>
      </c>
      <c r="E1982" t="str">
        <f t="shared" si="154"/>
        <v>Nov</v>
      </c>
      <c r="F1982" t="s">
        <v>15</v>
      </c>
      <c r="G1982">
        <v>29</v>
      </c>
      <c r="H1982">
        <v>3</v>
      </c>
      <c r="I1982" s="21">
        <v>28006.94</v>
      </c>
      <c r="J1982" t="str">
        <f t="shared" si="151"/>
        <v>tier - 1</v>
      </c>
      <c r="K1982" t="s">
        <v>16</v>
      </c>
      <c r="L1982" t="str">
        <f t="shared" si="152"/>
        <v>tier - 2</v>
      </c>
      <c r="M1982" t="s">
        <v>11</v>
      </c>
      <c r="N1982" t="str">
        <f t="shared" si="153"/>
        <v>R1011</v>
      </c>
      <c r="O1982" t="s">
        <v>42</v>
      </c>
    </row>
    <row r="1983" spans="1:15" x14ac:dyDescent="0.35">
      <c r="A1983" t="s">
        <v>2014</v>
      </c>
      <c r="C1983">
        <f t="shared" si="150"/>
        <v>1960</v>
      </c>
      <c r="D1983">
        <v>1960</v>
      </c>
      <c r="E1983" t="str">
        <f t="shared" si="154"/>
        <v>Nov</v>
      </c>
      <c r="F1983" t="s">
        <v>15</v>
      </c>
      <c r="G1983">
        <v>22</v>
      </c>
      <c r="H1983">
        <v>0</v>
      </c>
      <c r="I1983" s="21">
        <v>28101.33</v>
      </c>
      <c r="J1983" t="str">
        <f t="shared" si="151"/>
        <v>tier - 1</v>
      </c>
      <c r="K1983" t="s">
        <v>16</v>
      </c>
      <c r="L1983" t="str">
        <f t="shared" si="152"/>
        <v>tier - 2</v>
      </c>
      <c r="M1983" t="s">
        <v>11</v>
      </c>
      <c r="N1983" t="str">
        <f t="shared" si="153"/>
        <v>R1019</v>
      </c>
      <c r="O1983" t="s">
        <v>166</v>
      </c>
    </row>
    <row r="1984" spans="1:15" x14ac:dyDescent="0.35">
      <c r="A1984" t="s">
        <v>2015</v>
      </c>
      <c r="C1984">
        <f t="shared" si="150"/>
        <v>1999</v>
      </c>
      <c r="D1984">
        <v>1999</v>
      </c>
      <c r="E1984" t="str">
        <f t="shared" si="154"/>
        <v>Sep</v>
      </c>
      <c r="F1984" t="s">
        <v>20</v>
      </c>
      <c r="G1984">
        <v>6</v>
      </c>
      <c r="H1984">
        <v>0</v>
      </c>
      <c r="I1984" s="21">
        <v>28245.34</v>
      </c>
      <c r="J1984" t="str">
        <f t="shared" si="151"/>
        <v>tier - 1</v>
      </c>
      <c r="K1984" t="s">
        <v>16</v>
      </c>
      <c r="L1984" t="str">
        <f t="shared" si="152"/>
        <v>tier - 3</v>
      </c>
      <c r="M1984" t="s">
        <v>12</v>
      </c>
      <c r="N1984" t="str">
        <f t="shared" si="153"/>
        <v>R1011</v>
      </c>
      <c r="O1984" t="s">
        <v>42</v>
      </c>
    </row>
    <row r="1985" spans="1:15" x14ac:dyDescent="0.35">
      <c r="A1985" t="s">
        <v>2016</v>
      </c>
      <c r="C1985">
        <f t="shared" si="150"/>
        <v>1963</v>
      </c>
      <c r="D1985">
        <v>1963</v>
      </c>
      <c r="E1985" t="str">
        <f t="shared" si="154"/>
        <v>Nov</v>
      </c>
      <c r="F1985" t="s">
        <v>15</v>
      </c>
      <c r="G1985">
        <v>25</v>
      </c>
      <c r="H1985">
        <v>1</v>
      </c>
      <c r="I1985" s="21">
        <v>28287.9</v>
      </c>
      <c r="J1985" t="str">
        <f t="shared" si="151"/>
        <v>tier - 1</v>
      </c>
      <c r="K1985" t="s">
        <v>16</v>
      </c>
      <c r="L1985" t="str">
        <f t="shared" si="152"/>
        <v>tier - 1</v>
      </c>
      <c r="M1985" t="s">
        <v>16</v>
      </c>
      <c r="N1985" t="str">
        <f t="shared" si="153"/>
        <v>R1013</v>
      </c>
      <c r="O1985" t="s">
        <v>13</v>
      </c>
    </row>
    <row r="1986" spans="1:15" x14ac:dyDescent="0.35">
      <c r="A1986" t="s">
        <v>2017</v>
      </c>
      <c r="C1986">
        <f t="shared" si="150"/>
        <v>1990</v>
      </c>
      <c r="D1986">
        <v>1990</v>
      </c>
      <c r="E1986" t="str">
        <f t="shared" si="154"/>
        <v>Dec</v>
      </c>
      <c r="F1986" t="s">
        <v>30</v>
      </c>
      <c r="G1986">
        <v>24</v>
      </c>
      <c r="H1986">
        <v>3</v>
      </c>
      <c r="I1986" s="21">
        <v>28302.33</v>
      </c>
      <c r="J1986" t="str">
        <f t="shared" si="151"/>
        <v>tier - 1</v>
      </c>
      <c r="K1986" t="s">
        <v>16</v>
      </c>
      <c r="L1986" t="str">
        <f t="shared" si="152"/>
        <v>tier - 2</v>
      </c>
      <c r="M1986" t="s">
        <v>11</v>
      </c>
      <c r="N1986" t="str">
        <f t="shared" si="153"/>
        <v>R1011</v>
      </c>
      <c r="O1986" t="s">
        <v>42</v>
      </c>
    </row>
    <row r="1987" spans="1:15" x14ac:dyDescent="0.35">
      <c r="A1987" t="s">
        <v>2018</v>
      </c>
      <c r="C1987">
        <f t="shared" ref="C1987:C2050" si="155">IF(OR(D1987="?", ISBLANK(D1987)), 1983, D1987)</f>
        <v>1977</v>
      </c>
      <c r="D1987">
        <v>1977</v>
      </c>
      <c r="E1987" t="str">
        <f t="shared" si="154"/>
        <v>Dec</v>
      </c>
      <c r="F1987" t="s">
        <v>30</v>
      </c>
      <c r="G1987">
        <v>2</v>
      </c>
      <c r="H1987">
        <v>1</v>
      </c>
      <c r="I1987" s="21">
        <v>28340.19</v>
      </c>
      <c r="J1987" t="str">
        <f t="shared" ref="J1987:J2050" si="156">IF(OR(K1987="?", ISBLANK(K1987)), "Tier 2", K1987)</f>
        <v>tier - 1</v>
      </c>
      <c r="K1987" t="s">
        <v>16</v>
      </c>
      <c r="L1987" t="str">
        <f t="shared" ref="L1987:L2050" si="157">IF(OR(M1987="?", ISBLANK(M1987)), "Tier 2", M1987)</f>
        <v>tier - 2</v>
      </c>
      <c r="M1987" t="s">
        <v>11</v>
      </c>
      <c r="N1987" t="str">
        <f t="shared" ref="N1987:N2050" si="158">IF(OR(O1987="?", ISBLANK(O1987)), "Unknown", O1987)</f>
        <v>R1012</v>
      </c>
      <c r="O1987" t="s">
        <v>23</v>
      </c>
    </row>
    <row r="1988" spans="1:15" x14ac:dyDescent="0.35">
      <c r="A1988" t="s">
        <v>2019</v>
      </c>
      <c r="C1988">
        <f t="shared" si="155"/>
        <v>1974</v>
      </c>
      <c r="D1988">
        <v>1974</v>
      </c>
      <c r="E1988" t="str">
        <f t="shared" ref="E1988:E2051" si="159">IF(OR(F1988="?", ISBLANK(F1988)), "Sep", F1988)</f>
        <v>Sep</v>
      </c>
      <c r="F1988" t="s">
        <v>20</v>
      </c>
      <c r="G1988">
        <v>16</v>
      </c>
      <c r="H1988">
        <v>1</v>
      </c>
      <c r="I1988" s="21">
        <v>28468.92</v>
      </c>
      <c r="J1988" t="str">
        <f t="shared" si="156"/>
        <v>tier - 1</v>
      </c>
      <c r="K1988" t="s">
        <v>16</v>
      </c>
      <c r="L1988" t="str">
        <f t="shared" si="157"/>
        <v>tier - 1</v>
      </c>
      <c r="M1988" t="s">
        <v>16</v>
      </c>
      <c r="N1988" t="str">
        <f t="shared" si="158"/>
        <v>R1012</v>
      </c>
      <c r="O1988" t="s">
        <v>23</v>
      </c>
    </row>
    <row r="1989" spans="1:15" x14ac:dyDescent="0.35">
      <c r="A1989" t="s">
        <v>2020</v>
      </c>
      <c r="C1989">
        <f t="shared" si="155"/>
        <v>1982</v>
      </c>
      <c r="D1989">
        <v>1982</v>
      </c>
      <c r="E1989" t="str">
        <f t="shared" si="159"/>
        <v>Dec</v>
      </c>
      <c r="F1989" t="s">
        <v>30</v>
      </c>
      <c r="G1989">
        <v>11</v>
      </c>
      <c r="H1989">
        <v>1</v>
      </c>
      <c r="I1989" s="21">
        <v>28476.73</v>
      </c>
      <c r="J1989" t="str">
        <f t="shared" si="156"/>
        <v>tier - 1</v>
      </c>
      <c r="K1989" t="s">
        <v>16</v>
      </c>
      <c r="L1989" t="str">
        <f t="shared" si="157"/>
        <v>tier - 2</v>
      </c>
      <c r="M1989" t="s">
        <v>11</v>
      </c>
      <c r="N1989" t="str">
        <f t="shared" si="158"/>
        <v>R1012</v>
      </c>
      <c r="O1989" t="s">
        <v>23</v>
      </c>
    </row>
    <row r="1990" spans="1:15" x14ac:dyDescent="0.35">
      <c r="A1990" t="s">
        <v>2021</v>
      </c>
      <c r="C1990">
        <f t="shared" si="155"/>
        <v>1985</v>
      </c>
      <c r="D1990">
        <v>1985</v>
      </c>
      <c r="E1990" t="str">
        <f t="shared" si="159"/>
        <v>Sep</v>
      </c>
      <c r="F1990" t="s">
        <v>20</v>
      </c>
      <c r="G1990">
        <v>27</v>
      </c>
      <c r="H1990">
        <v>3</v>
      </c>
      <c r="I1990" s="21">
        <v>28542.86</v>
      </c>
      <c r="J1990" t="str">
        <f t="shared" si="156"/>
        <v>tier - 1</v>
      </c>
      <c r="K1990" t="s">
        <v>16</v>
      </c>
      <c r="L1990" t="str">
        <f t="shared" si="157"/>
        <v>tier - 3</v>
      </c>
      <c r="M1990" t="s">
        <v>12</v>
      </c>
      <c r="N1990" t="str">
        <f t="shared" si="158"/>
        <v>R1011</v>
      </c>
      <c r="O1990" t="s">
        <v>42</v>
      </c>
    </row>
    <row r="1991" spans="1:15" x14ac:dyDescent="0.35">
      <c r="A1991" t="s">
        <v>2022</v>
      </c>
      <c r="C1991">
        <f t="shared" si="155"/>
        <v>1990</v>
      </c>
      <c r="D1991">
        <v>1990</v>
      </c>
      <c r="E1991" t="str">
        <f t="shared" si="159"/>
        <v>Dec</v>
      </c>
      <c r="F1991" t="s">
        <v>30</v>
      </c>
      <c r="G1991">
        <v>5</v>
      </c>
      <c r="H1991">
        <v>3</v>
      </c>
      <c r="I1991" s="21">
        <v>28716.14</v>
      </c>
      <c r="J1991" t="str">
        <f t="shared" si="156"/>
        <v>tier - 1</v>
      </c>
      <c r="K1991" t="s">
        <v>16</v>
      </c>
      <c r="L1991" t="str">
        <f t="shared" si="157"/>
        <v>tier - 3</v>
      </c>
      <c r="M1991" t="s">
        <v>12</v>
      </c>
      <c r="N1991" t="str">
        <f t="shared" si="158"/>
        <v>R1011</v>
      </c>
      <c r="O1991" t="s">
        <v>42</v>
      </c>
    </row>
    <row r="1992" spans="1:15" x14ac:dyDescent="0.35">
      <c r="A1992" t="s">
        <v>2023</v>
      </c>
      <c r="C1992">
        <f t="shared" si="155"/>
        <v>1961</v>
      </c>
      <c r="D1992">
        <v>1961</v>
      </c>
      <c r="E1992" t="str">
        <f t="shared" si="159"/>
        <v>Aug</v>
      </c>
      <c r="F1992" t="s">
        <v>35</v>
      </c>
      <c r="G1992">
        <v>3</v>
      </c>
      <c r="H1992">
        <v>1</v>
      </c>
      <c r="I1992" s="21">
        <v>28868.66</v>
      </c>
      <c r="J1992" t="str">
        <f t="shared" si="156"/>
        <v>tier - 1</v>
      </c>
      <c r="K1992" t="s">
        <v>16</v>
      </c>
      <c r="L1992" t="str">
        <f t="shared" si="157"/>
        <v>tier - 2</v>
      </c>
      <c r="M1992" t="s">
        <v>11</v>
      </c>
      <c r="N1992" t="str">
        <f t="shared" si="158"/>
        <v>R1012</v>
      </c>
      <c r="O1992" t="s">
        <v>23</v>
      </c>
    </row>
    <row r="1993" spans="1:15" x14ac:dyDescent="0.35">
      <c r="A1993" t="s">
        <v>2024</v>
      </c>
      <c r="C1993">
        <f t="shared" si="155"/>
        <v>1962</v>
      </c>
      <c r="D1993">
        <v>1962</v>
      </c>
      <c r="E1993" t="str">
        <f t="shared" si="159"/>
        <v>Jul</v>
      </c>
      <c r="F1993" t="s">
        <v>10</v>
      </c>
      <c r="G1993">
        <v>25</v>
      </c>
      <c r="H1993">
        <v>0</v>
      </c>
      <c r="I1993" s="21">
        <v>28923.14</v>
      </c>
      <c r="J1993" t="str">
        <f t="shared" si="156"/>
        <v>tier - 1</v>
      </c>
      <c r="K1993" t="s">
        <v>16</v>
      </c>
      <c r="L1993" t="str">
        <f t="shared" si="157"/>
        <v>tier - 1</v>
      </c>
      <c r="M1993" t="s">
        <v>16</v>
      </c>
      <c r="N1993" t="str">
        <f t="shared" si="158"/>
        <v>R1012</v>
      </c>
      <c r="O1993" t="s">
        <v>23</v>
      </c>
    </row>
    <row r="1994" spans="1:15" x14ac:dyDescent="0.35">
      <c r="A1994" t="s">
        <v>2025</v>
      </c>
      <c r="C1994">
        <f t="shared" si="155"/>
        <v>1959</v>
      </c>
      <c r="D1994">
        <v>1959</v>
      </c>
      <c r="E1994" t="str">
        <f t="shared" si="159"/>
        <v>Dec</v>
      </c>
      <c r="F1994" t="s">
        <v>30</v>
      </c>
      <c r="G1994">
        <v>5</v>
      </c>
      <c r="H1994">
        <v>0</v>
      </c>
      <c r="I1994" s="21">
        <v>28950.47</v>
      </c>
      <c r="J1994" t="str">
        <f t="shared" si="156"/>
        <v>tier - 1</v>
      </c>
      <c r="K1994" t="s">
        <v>16</v>
      </c>
      <c r="L1994" t="str">
        <f t="shared" si="157"/>
        <v>tier - 1</v>
      </c>
      <c r="M1994" t="s">
        <v>16</v>
      </c>
      <c r="N1994" t="str">
        <f t="shared" si="158"/>
        <v>R1012</v>
      </c>
      <c r="O1994" t="s">
        <v>23</v>
      </c>
    </row>
    <row r="1995" spans="1:15" x14ac:dyDescent="0.35">
      <c r="A1995" t="s">
        <v>2026</v>
      </c>
      <c r="C1995">
        <f t="shared" si="155"/>
        <v>2003</v>
      </c>
      <c r="D1995">
        <v>2003</v>
      </c>
      <c r="E1995" t="str">
        <f t="shared" si="159"/>
        <v>Sep</v>
      </c>
      <c r="F1995" t="s">
        <v>20</v>
      </c>
      <c r="G1995">
        <v>1</v>
      </c>
      <c r="H1995">
        <v>0</v>
      </c>
      <c r="I1995" s="21">
        <v>28998.68</v>
      </c>
      <c r="J1995" t="str">
        <f t="shared" si="156"/>
        <v>tier - 1</v>
      </c>
      <c r="K1995" t="s">
        <v>16</v>
      </c>
      <c r="L1995" t="str">
        <f t="shared" si="157"/>
        <v>tier - 3</v>
      </c>
      <c r="M1995" t="s">
        <v>12</v>
      </c>
      <c r="N1995" t="str">
        <f t="shared" si="158"/>
        <v>R1011</v>
      </c>
      <c r="O1995" t="s">
        <v>42</v>
      </c>
    </row>
    <row r="1996" spans="1:15" x14ac:dyDescent="0.35">
      <c r="A1996" t="s">
        <v>2027</v>
      </c>
      <c r="C1996">
        <f t="shared" si="155"/>
        <v>1992</v>
      </c>
      <c r="D1996">
        <v>1992</v>
      </c>
      <c r="E1996" t="str">
        <f t="shared" si="159"/>
        <v>Jul</v>
      </c>
      <c r="F1996" t="s">
        <v>10</v>
      </c>
      <c r="G1996">
        <v>7</v>
      </c>
      <c r="H1996">
        <v>0</v>
      </c>
      <c r="I1996" s="21">
        <v>29007.82</v>
      </c>
      <c r="J1996" t="str">
        <f t="shared" si="156"/>
        <v>tier - 1</v>
      </c>
      <c r="K1996" t="s">
        <v>16</v>
      </c>
      <c r="L1996" t="str">
        <f t="shared" si="157"/>
        <v>tier - 3</v>
      </c>
      <c r="M1996" t="s">
        <v>12</v>
      </c>
      <c r="N1996" t="str">
        <f t="shared" si="158"/>
        <v>R1011</v>
      </c>
      <c r="O1996" t="s">
        <v>42</v>
      </c>
    </row>
    <row r="1997" spans="1:15" x14ac:dyDescent="0.35">
      <c r="A1997" t="s">
        <v>2028</v>
      </c>
      <c r="C1997">
        <f t="shared" si="155"/>
        <v>1980</v>
      </c>
      <c r="D1997">
        <v>1980</v>
      </c>
      <c r="E1997" t="str">
        <f t="shared" si="159"/>
        <v>Jul</v>
      </c>
      <c r="F1997" t="s">
        <v>10</v>
      </c>
      <c r="G1997">
        <v>14</v>
      </c>
      <c r="H1997">
        <v>2</v>
      </c>
      <c r="I1997" s="21">
        <v>29114.21</v>
      </c>
      <c r="J1997" t="str">
        <f t="shared" si="156"/>
        <v>tier - 1</v>
      </c>
      <c r="K1997" t="s">
        <v>16</v>
      </c>
      <c r="L1997" t="str">
        <f t="shared" si="157"/>
        <v>tier - 3</v>
      </c>
      <c r="M1997" t="s">
        <v>12</v>
      </c>
      <c r="N1997" t="str">
        <f t="shared" si="158"/>
        <v>R1011</v>
      </c>
      <c r="O1997" t="s">
        <v>42</v>
      </c>
    </row>
    <row r="1998" spans="1:15" x14ac:dyDescent="0.35">
      <c r="A1998" t="s">
        <v>2029</v>
      </c>
      <c r="C1998">
        <f t="shared" si="155"/>
        <v>1978</v>
      </c>
      <c r="D1998">
        <v>1978</v>
      </c>
      <c r="E1998" t="str">
        <f t="shared" si="159"/>
        <v>Nov</v>
      </c>
      <c r="F1998" t="s">
        <v>15</v>
      </c>
      <c r="G1998">
        <v>29</v>
      </c>
      <c r="H1998">
        <v>2</v>
      </c>
      <c r="I1998" s="21">
        <v>29114.77</v>
      </c>
      <c r="J1998" t="str">
        <f t="shared" si="156"/>
        <v>tier - 1</v>
      </c>
      <c r="K1998" t="s">
        <v>16</v>
      </c>
      <c r="L1998" t="str">
        <f t="shared" si="157"/>
        <v>tier - 1</v>
      </c>
      <c r="M1998" t="s">
        <v>16</v>
      </c>
      <c r="N1998" t="str">
        <f t="shared" si="158"/>
        <v>R1011</v>
      </c>
      <c r="O1998" t="s">
        <v>42</v>
      </c>
    </row>
    <row r="1999" spans="1:15" x14ac:dyDescent="0.35">
      <c r="A1999" t="s">
        <v>2030</v>
      </c>
      <c r="C1999">
        <f t="shared" si="155"/>
        <v>1961</v>
      </c>
      <c r="D1999">
        <v>1961</v>
      </c>
      <c r="E1999" t="str">
        <f t="shared" si="159"/>
        <v>Dec</v>
      </c>
      <c r="F1999" t="s">
        <v>30</v>
      </c>
      <c r="G1999">
        <v>24</v>
      </c>
      <c r="H1999">
        <v>0</v>
      </c>
      <c r="I1999" s="21">
        <v>29141.360000000001</v>
      </c>
      <c r="J1999" t="str">
        <f t="shared" si="156"/>
        <v>tier - 1</v>
      </c>
      <c r="K1999" t="s">
        <v>16</v>
      </c>
      <c r="L1999" t="str">
        <f t="shared" si="157"/>
        <v>tier - 3</v>
      </c>
      <c r="M1999" t="s">
        <v>12</v>
      </c>
      <c r="N1999" t="str">
        <f t="shared" si="158"/>
        <v>R1012</v>
      </c>
      <c r="O1999" t="s">
        <v>23</v>
      </c>
    </row>
    <row r="2000" spans="1:15" x14ac:dyDescent="0.35">
      <c r="A2000" t="s">
        <v>2031</v>
      </c>
      <c r="C2000">
        <f t="shared" si="155"/>
        <v>1976</v>
      </c>
      <c r="D2000">
        <v>1976</v>
      </c>
      <c r="E2000" t="str">
        <f t="shared" si="159"/>
        <v>Nov</v>
      </c>
      <c r="F2000" t="s">
        <v>15</v>
      </c>
      <c r="G2000">
        <v>8</v>
      </c>
      <c r="H2000">
        <v>2</v>
      </c>
      <c r="I2000" s="21">
        <v>29160.39</v>
      </c>
      <c r="J2000" t="str">
        <f t="shared" si="156"/>
        <v>tier - 1</v>
      </c>
      <c r="K2000" t="s">
        <v>16</v>
      </c>
      <c r="L2000" t="str">
        <f t="shared" si="157"/>
        <v>tier - 2</v>
      </c>
      <c r="M2000" t="s">
        <v>11</v>
      </c>
      <c r="N2000" t="str">
        <f t="shared" si="158"/>
        <v>R1011</v>
      </c>
      <c r="O2000" t="s">
        <v>42</v>
      </c>
    </row>
    <row r="2001" spans="1:15" x14ac:dyDescent="0.35">
      <c r="A2001" t="s">
        <v>2032</v>
      </c>
      <c r="C2001">
        <f t="shared" si="155"/>
        <v>1969</v>
      </c>
      <c r="D2001">
        <v>1969</v>
      </c>
      <c r="E2001" t="str">
        <f t="shared" si="159"/>
        <v>Jul</v>
      </c>
      <c r="F2001" t="s">
        <v>10</v>
      </c>
      <c r="G2001">
        <v>9</v>
      </c>
      <c r="H2001">
        <v>2</v>
      </c>
      <c r="I2001" s="21">
        <v>29186.48</v>
      </c>
      <c r="J2001" t="str">
        <f t="shared" si="156"/>
        <v>tier - 1</v>
      </c>
      <c r="K2001" t="s">
        <v>16</v>
      </c>
      <c r="L2001" t="str">
        <f t="shared" si="157"/>
        <v>tier - 3</v>
      </c>
      <c r="M2001" t="s">
        <v>12</v>
      </c>
      <c r="N2001" t="str">
        <f t="shared" si="158"/>
        <v>R1024</v>
      </c>
      <c r="O2001" t="s">
        <v>247</v>
      </c>
    </row>
    <row r="2002" spans="1:15" x14ac:dyDescent="0.35">
      <c r="A2002" t="s">
        <v>2033</v>
      </c>
      <c r="C2002">
        <f t="shared" si="155"/>
        <v>1978</v>
      </c>
      <c r="D2002">
        <v>1978</v>
      </c>
      <c r="E2002" t="str">
        <f t="shared" si="159"/>
        <v>Jul</v>
      </c>
      <c r="F2002" t="s">
        <v>10</v>
      </c>
      <c r="G2002">
        <v>21</v>
      </c>
      <c r="H2002">
        <v>2</v>
      </c>
      <c r="I2002" s="21">
        <v>29227.599999999999</v>
      </c>
      <c r="J2002" t="str">
        <f t="shared" si="156"/>
        <v>tier - 1</v>
      </c>
      <c r="K2002" t="s">
        <v>16</v>
      </c>
      <c r="L2002" t="str">
        <f t="shared" si="157"/>
        <v>tier - 3</v>
      </c>
      <c r="M2002" t="s">
        <v>12</v>
      </c>
      <c r="N2002" t="str">
        <f t="shared" si="158"/>
        <v>R1012</v>
      </c>
      <c r="O2002" t="s">
        <v>23</v>
      </c>
    </row>
    <row r="2003" spans="1:15" x14ac:dyDescent="0.35">
      <c r="A2003" t="s">
        <v>2034</v>
      </c>
      <c r="C2003">
        <f t="shared" si="155"/>
        <v>1958</v>
      </c>
      <c r="D2003">
        <v>1958</v>
      </c>
      <c r="E2003" t="str">
        <f t="shared" si="159"/>
        <v>Jun</v>
      </c>
      <c r="F2003" t="s">
        <v>18</v>
      </c>
      <c r="G2003">
        <v>5</v>
      </c>
      <c r="H2003">
        <v>0</v>
      </c>
      <c r="I2003" s="21">
        <v>29330.98</v>
      </c>
      <c r="J2003" t="str">
        <f t="shared" si="156"/>
        <v>tier - 1</v>
      </c>
      <c r="K2003" t="s">
        <v>16</v>
      </c>
      <c r="L2003" t="str">
        <f t="shared" si="157"/>
        <v>tier - 2</v>
      </c>
      <c r="M2003" t="s">
        <v>11</v>
      </c>
      <c r="N2003" t="str">
        <f t="shared" si="158"/>
        <v>R1012</v>
      </c>
      <c r="O2003" t="s">
        <v>23</v>
      </c>
    </row>
    <row r="2004" spans="1:15" x14ac:dyDescent="0.35">
      <c r="A2004" t="s">
        <v>2035</v>
      </c>
      <c r="C2004">
        <f t="shared" si="155"/>
        <v>1985</v>
      </c>
      <c r="D2004">
        <v>1985</v>
      </c>
      <c r="E2004" t="str">
        <f t="shared" si="159"/>
        <v>Nov</v>
      </c>
      <c r="F2004" t="s">
        <v>15</v>
      </c>
      <c r="G2004">
        <v>7</v>
      </c>
      <c r="H2004">
        <v>3</v>
      </c>
      <c r="I2004" s="21">
        <v>29352.560000000001</v>
      </c>
      <c r="J2004" t="str">
        <f t="shared" si="156"/>
        <v>tier - 1</v>
      </c>
      <c r="K2004" t="s">
        <v>16</v>
      </c>
      <c r="L2004" t="str">
        <f t="shared" si="157"/>
        <v>tier - 1</v>
      </c>
      <c r="M2004" t="s">
        <v>16</v>
      </c>
      <c r="N2004" t="str">
        <f t="shared" si="158"/>
        <v>R1011</v>
      </c>
      <c r="O2004" t="s">
        <v>42</v>
      </c>
    </row>
    <row r="2005" spans="1:15" x14ac:dyDescent="0.35">
      <c r="A2005" t="s">
        <v>2036</v>
      </c>
      <c r="C2005">
        <f t="shared" si="155"/>
        <v>1987</v>
      </c>
      <c r="D2005">
        <v>1987</v>
      </c>
      <c r="E2005" t="str">
        <f t="shared" si="159"/>
        <v>Jul</v>
      </c>
      <c r="F2005" t="s">
        <v>10</v>
      </c>
      <c r="G2005">
        <v>16</v>
      </c>
      <c r="H2005">
        <v>3</v>
      </c>
      <c r="I2005" s="21">
        <v>29443.59</v>
      </c>
      <c r="J2005" t="str">
        <f t="shared" si="156"/>
        <v>tier - 1</v>
      </c>
      <c r="K2005" t="s">
        <v>16</v>
      </c>
      <c r="L2005" t="str">
        <f t="shared" si="157"/>
        <v>tier - 1</v>
      </c>
      <c r="M2005" t="s">
        <v>16</v>
      </c>
      <c r="N2005" t="str">
        <f t="shared" si="158"/>
        <v>R1011</v>
      </c>
      <c r="O2005" t="s">
        <v>42</v>
      </c>
    </row>
    <row r="2006" spans="1:15" x14ac:dyDescent="0.35">
      <c r="A2006" t="s">
        <v>2037</v>
      </c>
      <c r="C2006">
        <f t="shared" si="155"/>
        <v>1959</v>
      </c>
      <c r="D2006">
        <v>1959</v>
      </c>
      <c r="E2006" t="str">
        <f t="shared" si="159"/>
        <v>Oct</v>
      </c>
      <c r="F2006" t="s">
        <v>37</v>
      </c>
      <c r="G2006">
        <v>20</v>
      </c>
      <c r="H2006">
        <v>0</v>
      </c>
      <c r="I2006" s="21">
        <v>29523.17</v>
      </c>
      <c r="J2006" t="str">
        <f t="shared" si="156"/>
        <v>tier - 1</v>
      </c>
      <c r="K2006" t="s">
        <v>16</v>
      </c>
      <c r="L2006" t="str">
        <f t="shared" si="157"/>
        <v>tier - 2</v>
      </c>
      <c r="M2006" t="s">
        <v>11</v>
      </c>
      <c r="N2006" t="str">
        <f t="shared" si="158"/>
        <v>R1024</v>
      </c>
      <c r="O2006" t="s">
        <v>247</v>
      </c>
    </row>
    <row r="2007" spans="1:15" x14ac:dyDescent="0.35">
      <c r="A2007" t="s">
        <v>2038</v>
      </c>
      <c r="C2007">
        <f t="shared" si="155"/>
        <v>1975</v>
      </c>
      <c r="D2007">
        <v>1975</v>
      </c>
      <c r="E2007" t="str">
        <f t="shared" si="159"/>
        <v>Nov</v>
      </c>
      <c r="F2007" t="s">
        <v>15</v>
      </c>
      <c r="G2007">
        <v>3</v>
      </c>
      <c r="H2007">
        <v>1</v>
      </c>
      <c r="I2007" s="21">
        <v>29583.8</v>
      </c>
      <c r="J2007" t="str">
        <f t="shared" si="156"/>
        <v>tier - 1</v>
      </c>
      <c r="K2007" t="s">
        <v>16</v>
      </c>
      <c r="L2007" t="str">
        <f t="shared" si="157"/>
        <v>tier - 1</v>
      </c>
      <c r="M2007" t="s">
        <v>16</v>
      </c>
      <c r="N2007" t="str">
        <f t="shared" si="158"/>
        <v>R1011</v>
      </c>
      <c r="O2007" t="s">
        <v>42</v>
      </c>
    </row>
    <row r="2008" spans="1:15" x14ac:dyDescent="0.35">
      <c r="A2008" t="s">
        <v>2039</v>
      </c>
      <c r="C2008">
        <f t="shared" si="155"/>
        <v>1993</v>
      </c>
      <c r="D2008">
        <v>1993</v>
      </c>
      <c r="E2008" t="str">
        <f t="shared" si="159"/>
        <v>Jul</v>
      </c>
      <c r="F2008" t="s">
        <v>10</v>
      </c>
      <c r="G2008">
        <v>27</v>
      </c>
      <c r="H2008">
        <v>0</v>
      </c>
      <c r="I2008" s="21">
        <v>29622.69</v>
      </c>
      <c r="J2008" t="str">
        <f t="shared" si="156"/>
        <v>tier - 1</v>
      </c>
      <c r="K2008" t="s">
        <v>16</v>
      </c>
      <c r="L2008" t="str">
        <f t="shared" si="157"/>
        <v>tier - 1</v>
      </c>
      <c r="M2008" t="s">
        <v>16</v>
      </c>
      <c r="N2008" t="str">
        <f t="shared" si="158"/>
        <v>R1011</v>
      </c>
      <c r="O2008" t="s">
        <v>42</v>
      </c>
    </row>
    <row r="2009" spans="1:15" x14ac:dyDescent="0.35">
      <c r="A2009" t="s">
        <v>2040</v>
      </c>
      <c r="C2009">
        <f t="shared" si="155"/>
        <v>1973</v>
      </c>
      <c r="D2009">
        <v>1973</v>
      </c>
      <c r="E2009" t="str">
        <f t="shared" si="159"/>
        <v>Aug</v>
      </c>
      <c r="F2009" t="s">
        <v>35</v>
      </c>
      <c r="G2009">
        <v>23</v>
      </c>
      <c r="H2009">
        <v>0</v>
      </c>
      <c r="I2009" s="21">
        <v>29757.69</v>
      </c>
      <c r="J2009" t="str">
        <f t="shared" si="156"/>
        <v>tier - 1</v>
      </c>
      <c r="K2009" t="s">
        <v>16</v>
      </c>
      <c r="L2009" t="str">
        <f t="shared" si="157"/>
        <v>tier - 3</v>
      </c>
      <c r="M2009" t="s">
        <v>12</v>
      </c>
      <c r="N2009" t="str">
        <f t="shared" si="158"/>
        <v>R1011</v>
      </c>
      <c r="O2009" t="s">
        <v>42</v>
      </c>
    </row>
    <row r="2010" spans="1:15" x14ac:dyDescent="0.35">
      <c r="A2010" t="s">
        <v>2041</v>
      </c>
      <c r="C2010">
        <f t="shared" si="155"/>
        <v>1998</v>
      </c>
      <c r="D2010">
        <v>1998</v>
      </c>
      <c r="E2010" t="str">
        <f t="shared" si="159"/>
        <v>Jun</v>
      </c>
      <c r="F2010" t="s">
        <v>18</v>
      </c>
      <c r="G2010">
        <v>20</v>
      </c>
      <c r="H2010">
        <v>0</v>
      </c>
      <c r="I2010" s="21">
        <v>29760.6</v>
      </c>
      <c r="J2010" t="str">
        <f t="shared" si="156"/>
        <v>tier - 1</v>
      </c>
      <c r="K2010" t="s">
        <v>16</v>
      </c>
      <c r="L2010" t="str">
        <f t="shared" si="157"/>
        <v>tier - 2</v>
      </c>
      <c r="M2010" t="s">
        <v>11</v>
      </c>
      <c r="N2010" t="str">
        <f t="shared" si="158"/>
        <v>R1011</v>
      </c>
      <c r="O2010" t="s">
        <v>42</v>
      </c>
    </row>
    <row r="2011" spans="1:15" x14ac:dyDescent="0.35">
      <c r="A2011" t="s">
        <v>2042</v>
      </c>
      <c r="C2011">
        <f t="shared" si="155"/>
        <v>1981</v>
      </c>
      <c r="D2011">
        <v>1981</v>
      </c>
      <c r="E2011" t="str">
        <f t="shared" si="159"/>
        <v>Aug</v>
      </c>
      <c r="F2011" t="s">
        <v>35</v>
      </c>
      <c r="G2011">
        <v>13</v>
      </c>
      <c r="H2011">
        <v>1</v>
      </c>
      <c r="I2011" s="21">
        <v>29816.639999999999</v>
      </c>
      <c r="J2011" t="str">
        <f t="shared" si="156"/>
        <v>tier - 1</v>
      </c>
      <c r="K2011" t="s">
        <v>16</v>
      </c>
      <c r="L2011" t="str">
        <f t="shared" si="157"/>
        <v>tier - 2</v>
      </c>
      <c r="M2011" t="s">
        <v>11</v>
      </c>
      <c r="N2011" t="str">
        <f t="shared" si="158"/>
        <v>R1011</v>
      </c>
      <c r="O2011" t="s">
        <v>42</v>
      </c>
    </row>
    <row r="2012" spans="1:15" x14ac:dyDescent="0.35">
      <c r="A2012" t="s">
        <v>2043</v>
      </c>
      <c r="C2012">
        <f t="shared" si="155"/>
        <v>1982</v>
      </c>
      <c r="D2012">
        <v>1982</v>
      </c>
      <c r="E2012" t="str">
        <f t="shared" si="159"/>
        <v>Oct</v>
      </c>
      <c r="F2012" t="s">
        <v>37</v>
      </c>
      <c r="G2012">
        <v>29</v>
      </c>
      <c r="H2012">
        <v>3</v>
      </c>
      <c r="I2012" s="21">
        <v>29818.76</v>
      </c>
      <c r="J2012" t="str">
        <f t="shared" si="156"/>
        <v>tier - 1</v>
      </c>
      <c r="K2012" t="s">
        <v>16</v>
      </c>
      <c r="L2012" t="str">
        <f t="shared" si="157"/>
        <v>tier - 1</v>
      </c>
      <c r="M2012" t="s">
        <v>16</v>
      </c>
      <c r="N2012" t="str">
        <f t="shared" si="158"/>
        <v>R1012</v>
      </c>
      <c r="O2012" t="s">
        <v>23</v>
      </c>
    </row>
    <row r="2013" spans="1:15" x14ac:dyDescent="0.35">
      <c r="A2013" t="s">
        <v>2044</v>
      </c>
      <c r="C2013">
        <f t="shared" si="155"/>
        <v>1989</v>
      </c>
      <c r="D2013">
        <v>1989</v>
      </c>
      <c r="E2013" t="str">
        <f t="shared" si="159"/>
        <v>Dec</v>
      </c>
      <c r="F2013" t="s">
        <v>30</v>
      </c>
      <c r="G2013">
        <v>30</v>
      </c>
      <c r="H2013">
        <v>3</v>
      </c>
      <c r="I2013" s="21">
        <v>29852.48</v>
      </c>
      <c r="J2013" t="str">
        <f t="shared" si="156"/>
        <v>tier - 1</v>
      </c>
      <c r="K2013" t="s">
        <v>16</v>
      </c>
      <c r="L2013" t="str">
        <f t="shared" si="157"/>
        <v>tier - 3</v>
      </c>
      <c r="M2013" t="s">
        <v>12</v>
      </c>
      <c r="N2013" t="str">
        <f t="shared" si="158"/>
        <v>R1011</v>
      </c>
      <c r="O2013" t="s">
        <v>42</v>
      </c>
    </row>
    <row r="2014" spans="1:15" x14ac:dyDescent="0.35">
      <c r="A2014" t="s">
        <v>2045</v>
      </c>
      <c r="C2014">
        <f t="shared" si="155"/>
        <v>1975</v>
      </c>
      <c r="D2014">
        <v>1975</v>
      </c>
      <c r="E2014" t="str">
        <f t="shared" si="159"/>
        <v>Aug</v>
      </c>
      <c r="F2014" t="s">
        <v>35</v>
      </c>
      <c r="G2014">
        <v>19</v>
      </c>
      <c r="H2014">
        <v>1</v>
      </c>
      <c r="I2014" s="21">
        <v>29899.25</v>
      </c>
      <c r="J2014" t="str">
        <f t="shared" si="156"/>
        <v>tier - 1</v>
      </c>
      <c r="K2014" t="s">
        <v>16</v>
      </c>
      <c r="L2014" t="str">
        <f t="shared" si="157"/>
        <v>tier - 3</v>
      </c>
      <c r="M2014" t="s">
        <v>12</v>
      </c>
      <c r="N2014" t="str">
        <f t="shared" si="158"/>
        <v>R1011</v>
      </c>
      <c r="O2014" t="s">
        <v>42</v>
      </c>
    </row>
    <row r="2015" spans="1:15" x14ac:dyDescent="0.35">
      <c r="A2015" t="s">
        <v>2046</v>
      </c>
      <c r="C2015">
        <f t="shared" si="155"/>
        <v>1988</v>
      </c>
      <c r="D2015">
        <v>1988</v>
      </c>
      <c r="E2015" t="str">
        <f t="shared" si="159"/>
        <v>Dec</v>
      </c>
      <c r="F2015" t="s">
        <v>30</v>
      </c>
      <c r="G2015">
        <v>30</v>
      </c>
      <c r="H2015">
        <v>3</v>
      </c>
      <c r="I2015" s="21">
        <v>29929.56</v>
      </c>
      <c r="J2015" t="str">
        <f t="shared" si="156"/>
        <v>tier - 1</v>
      </c>
      <c r="K2015" t="s">
        <v>16</v>
      </c>
      <c r="L2015" t="str">
        <f t="shared" si="157"/>
        <v>tier - 1</v>
      </c>
      <c r="M2015" t="s">
        <v>16</v>
      </c>
      <c r="N2015" t="str">
        <f t="shared" si="158"/>
        <v>R1011</v>
      </c>
      <c r="O2015" t="s">
        <v>42</v>
      </c>
    </row>
    <row r="2016" spans="1:15" x14ac:dyDescent="0.35">
      <c r="A2016" t="s">
        <v>2047</v>
      </c>
      <c r="C2016">
        <f t="shared" si="155"/>
        <v>1976</v>
      </c>
      <c r="D2016">
        <v>1976</v>
      </c>
      <c r="E2016" t="str">
        <f t="shared" si="159"/>
        <v>Jun</v>
      </c>
      <c r="F2016" t="s">
        <v>18</v>
      </c>
      <c r="G2016">
        <v>12</v>
      </c>
      <c r="H2016">
        <v>2</v>
      </c>
      <c r="I2016" s="21">
        <v>29933.75</v>
      </c>
      <c r="J2016" t="str">
        <f t="shared" si="156"/>
        <v>tier - 1</v>
      </c>
      <c r="K2016" t="s">
        <v>16</v>
      </c>
      <c r="L2016" t="str">
        <f t="shared" si="157"/>
        <v>tier - 1</v>
      </c>
      <c r="M2016" t="s">
        <v>16</v>
      </c>
      <c r="N2016" t="str">
        <f t="shared" si="158"/>
        <v>R1011</v>
      </c>
      <c r="O2016" t="s">
        <v>42</v>
      </c>
    </row>
    <row r="2017" spans="1:15" x14ac:dyDescent="0.35">
      <c r="A2017" t="s">
        <v>2048</v>
      </c>
      <c r="C2017">
        <f t="shared" si="155"/>
        <v>1991</v>
      </c>
      <c r="D2017">
        <v>1991</v>
      </c>
      <c r="E2017" t="str">
        <f t="shared" si="159"/>
        <v>Oct</v>
      </c>
      <c r="F2017" t="s">
        <v>37</v>
      </c>
      <c r="G2017">
        <v>5</v>
      </c>
      <c r="H2017">
        <v>3</v>
      </c>
      <c r="I2017" s="21">
        <v>29969.67</v>
      </c>
      <c r="J2017" t="str">
        <f t="shared" si="156"/>
        <v>tier - 1</v>
      </c>
      <c r="K2017" t="s">
        <v>16</v>
      </c>
      <c r="L2017" t="str">
        <f t="shared" si="157"/>
        <v>tier - 1</v>
      </c>
      <c r="M2017" t="s">
        <v>16</v>
      </c>
      <c r="N2017" t="str">
        <f t="shared" si="158"/>
        <v>R1011</v>
      </c>
      <c r="O2017" t="s">
        <v>42</v>
      </c>
    </row>
    <row r="2018" spans="1:15" x14ac:dyDescent="0.35">
      <c r="A2018" t="s">
        <v>2049</v>
      </c>
      <c r="C2018">
        <f t="shared" si="155"/>
        <v>1981</v>
      </c>
      <c r="D2018">
        <v>1981</v>
      </c>
      <c r="E2018" t="str">
        <f t="shared" si="159"/>
        <v>Aug</v>
      </c>
      <c r="F2018" t="s">
        <v>35</v>
      </c>
      <c r="G2018">
        <v>4</v>
      </c>
      <c r="H2018">
        <v>1</v>
      </c>
      <c r="I2018" s="21">
        <v>30026.87</v>
      </c>
      <c r="J2018" t="str">
        <f t="shared" si="156"/>
        <v>tier - 2</v>
      </c>
      <c r="K2018" t="s">
        <v>11</v>
      </c>
      <c r="L2018" t="str">
        <f t="shared" si="157"/>
        <v>tier - 3</v>
      </c>
      <c r="M2018" t="s">
        <v>12</v>
      </c>
      <c r="N2018" t="str">
        <f t="shared" si="158"/>
        <v>R1012</v>
      </c>
      <c r="O2018" t="s">
        <v>23</v>
      </c>
    </row>
    <row r="2019" spans="1:15" x14ac:dyDescent="0.35">
      <c r="A2019" t="s">
        <v>2050</v>
      </c>
      <c r="C2019">
        <f t="shared" si="155"/>
        <v>1967</v>
      </c>
      <c r="D2019">
        <v>1967</v>
      </c>
      <c r="E2019" t="str">
        <f t="shared" si="159"/>
        <v>Jun</v>
      </c>
      <c r="F2019" t="s">
        <v>18</v>
      </c>
      <c r="G2019">
        <v>16</v>
      </c>
      <c r="H2019">
        <v>3</v>
      </c>
      <c r="I2019" s="21">
        <v>30063.58</v>
      </c>
      <c r="J2019" t="str">
        <f t="shared" si="156"/>
        <v>tier - 1</v>
      </c>
      <c r="K2019" t="s">
        <v>16</v>
      </c>
      <c r="L2019" t="str">
        <f t="shared" si="157"/>
        <v>tier - 1</v>
      </c>
      <c r="M2019" t="s">
        <v>16</v>
      </c>
      <c r="N2019" t="str">
        <f t="shared" si="158"/>
        <v>R1012</v>
      </c>
      <c r="O2019" t="s">
        <v>23</v>
      </c>
    </row>
    <row r="2020" spans="1:15" x14ac:dyDescent="0.35">
      <c r="A2020" t="s">
        <v>2051</v>
      </c>
      <c r="C2020">
        <f t="shared" si="155"/>
        <v>1979</v>
      </c>
      <c r="D2020">
        <v>1979</v>
      </c>
      <c r="E2020" t="str">
        <f t="shared" si="159"/>
        <v>Sep</v>
      </c>
      <c r="F2020" t="s">
        <v>20</v>
      </c>
      <c r="G2020">
        <v>2</v>
      </c>
      <c r="H2020">
        <v>2</v>
      </c>
      <c r="I2020" s="21">
        <v>30095.97</v>
      </c>
      <c r="J2020" t="str">
        <f t="shared" si="156"/>
        <v>tier - 2</v>
      </c>
      <c r="K2020" t="s">
        <v>11</v>
      </c>
      <c r="L2020" t="str">
        <f t="shared" si="157"/>
        <v>tier - 3</v>
      </c>
      <c r="M2020" t="s">
        <v>12</v>
      </c>
      <c r="N2020" t="str">
        <f t="shared" si="158"/>
        <v>R1011</v>
      </c>
      <c r="O2020" t="s">
        <v>42</v>
      </c>
    </row>
    <row r="2021" spans="1:15" x14ac:dyDescent="0.35">
      <c r="A2021" t="s">
        <v>2052</v>
      </c>
      <c r="C2021">
        <f t="shared" si="155"/>
        <v>1971</v>
      </c>
      <c r="D2021">
        <v>1971</v>
      </c>
      <c r="E2021" t="str">
        <f t="shared" si="159"/>
        <v>Dec</v>
      </c>
      <c r="F2021" t="s">
        <v>30</v>
      </c>
      <c r="G2021">
        <v>25</v>
      </c>
      <c r="H2021">
        <v>0</v>
      </c>
      <c r="I2021" s="21">
        <v>30134.75</v>
      </c>
      <c r="J2021" t="str">
        <f t="shared" si="156"/>
        <v>tier - 2</v>
      </c>
      <c r="K2021" t="s">
        <v>11</v>
      </c>
      <c r="L2021" t="str">
        <f t="shared" si="157"/>
        <v>tier - 3</v>
      </c>
      <c r="M2021" t="s">
        <v>12</v>
      </c>
      <c r="N2021" t="str">
        <f t="shared" si="158"/>
        <v>R1011</v>
      </c>
      <c r="O2021" t="s">
        <v>42</v>
      </c>
    </row>
    <row r="2022" spans="1:15" x14ac:dyDescent="0.35">
      <c r="A2022" t="s">
        <v>2053</v>
      </c>
      <c r="C2022">
        <f t="shared" si="155"/>
        <v>1958</v>
      </c>
      <c r="D2022">
        <v>1958</v>
      </c>
      <c r="E2022" t="str">
        <f t="shared" si="159"/>
        <v>Aug</v>
      </c>
      <c r="F2022" t="s">
        <v>35</v>
      </c>
      <c r="G2022">
        <v>11</v>
      </c>
      <c r="H2022">
        <v>1</v>
      </c>
      <c r="I2022" s="21">
        <v>30166.62</v>
      </c>
      <c r="J2022" t="str">
        <f t="shared" si="156"/>
        <v>tier - 1</v>
      </c>
      <c r="K2022" t="s">
        <v>16</v>
      </c>
      <c r="L2022" t="str">
        <f t="shared" si="157"/>
        <v>tier - 3</v>
      </c>
      <c r="M2022" t="s">
        <v>12</v>
      </c>
      <c r="N2022" t="str">
        <f t="shared" si="158"/>
        <v>R1012</v>
      </c>
      <c r="O2022" t="s">
        <v>23</v>
      </c>
    </row>
    <row r="2023" spans="1:15" x14ac:dyDescent="0.35">
      <c r="A2023" t="s">
        <v>2054</v>
      </c>
      <c r="C2023">
        <f t="shared" si="155"/>
        <v>1963</v>
      </c>
      <c r="D2023">
        <v>1963</v>
      </c>
      <c r="E2023" t="str">
        <f t="shared" si="159"/>
        <v>Sep</v>
      </c>
      <c r="F2023" t="s">
        <v>20</v>
      </c>
      <c r="G2023">
        <v>13</v>
      </c>
      <c r="H2023">
        <v>3</v>
      </c>
      <c r="I2023" s="21">
        <v>30184.94</v>
      </c>
      <c r="J2023" t="str">
        <f t="shared" si="156"/>
        <v>tier - 1</v>
      </c>
      <c r="K2023" t="s">
        <v>16</v>
      </c>
      <c r="L2023" t="str">
        <f t="shared" si="157"/>
        <v>tier - 1</v>
      </c>
      <c r="M2023" t="s">
        <v>16</v>
      </c>
      <c r="N2023" t="str">
        <f t="shared" si="158"/>
        <v>R1014</v>
      </c>
      <c r="O2023" t="s">
        <v>276</v>
      </c>
    </row>
    <row r="2024" spans="1:15" x14ac:dyDescent="0.35">
      <c r="A2024" t="s">
        <v>2055</v>
      </c>
      <c r="C2024">
        <f t="shared" si="155"/>
        <v>1962</v>
      </c>
      <c r="D2024">
        <v>1962</v>
      </c>
      <c r="E2024" t="str">
        <f t="shared" si="159"/>
        <v>Sep</v>
      </c>
      <c r="F2024" t="s">
        <v>20</v>
      </c>
      <c r="G2024">
        <v>15</v>
      </c>
      <c r="H2024">
        <v>0</v>
      </c>
      <c r="I2024" s="21">
        <v>30260</v>
      </c>
      <c r="J2024" t="str">
        <f t="shared" si="156"/>
        <v>tier - 1</v>
      </c>
      <c r="K2024" t="s">
        <v>16</v>
      </c>
      <c r="L2024" t="str">
        <f t="shared" si="157"/>
        <v>tier - 1</v>
      </c>
      <c r="M2024" t="s">
        <v>16</v>
      </c>
      <c r="N2024" t="str">
        <f t="shared" si="158"/>
        <v>R1014</v>
      </c>
      <c r="O2024" t="s">
        <v>276</v>
      </c>
    </row>
    <row r="2025" spans="1:15" x14ac:dyDescent="0.35">
      <c r="A2025" t="s">
        <v>2056</v>
      </c>
      <c r="C2025">
        <f t="shared" si="155"/>
        <v>1972</v>
      </c>
      <c r="D2025">
        <v>1972</v>
      </c>
      <c r="E2025" t="str">
        <f t="shared" si="159"/>
        <v>Jul</v>
      </c>
      <c r="F2025" t="s">
        <v>10</v>
      </c>
      <c r="G2025">
        <v>24</v>
      </c>
      <c r="H2025">
        <v>2</v>
      </c>
      <c r="I2025" s="21">
        <v>30284.639999999999</v>
      </c>
      <c r="J2025" t="str">
        <f t="shared" si="156"/>
        <v>tier - 1</v>
      </c>
      <c r="K2025" t="s">
        <v>16</v>
      </c>
      <c r="L2025" t="str">
        <f t="shared" si="157"/>
        <v>tier - 1</v>
      </c>
      <c r="M2025" t="s">
        <v>16</v>
      </c>
      <c r="N2025" t="str">
        <f t="shared" si="158"/>
        <v>R1012</v>
      </c>
      <c r="O2025" t="s">
        <v>23</v>
      </c>
    </row>
    <row r="2026" spans="1:15" x14ac:dyDescent="0.35">
      <c r="A2026" t="s">
        <v>2057</v>
      </c>
      <c r="C2026">
        <f t="shared" si="155"/>
        <v>2004</v>
      </c>
      <c r="D2026">
        <v>2004</v>
      </c>
      <c r="E2026" t="str">
        <f t="shared" si="159"/>
        <v>Jun</v>
      </c>
      <c r="F2026" t="s">
        <v>18</v>
      </c>
      <c r="G2026">
        <v>1</v>
      </c>
      <c r="H2026">
        <v>0</v>
      </c>
      <c r="I2026" s="21">
        <v>30328.27</v>
      </c>
      <c r="J2026" t="str">
        <f t="shared" si="156"/>
        <v>tier - 2</v>
      </c>
      <c r="K2026" t="s">
        <v>11</v>
      </c>
      <c r="L2026" t="str">
        <f t="shared" si="157"/>
        <v>tier - 2</v>
      </c>
      <c r="M2026" t="s">
        <v>11</v>
      </c>
      <c r="N2026" t="str">
        <f t="shared" si="158"/>
        <v>R1011</v>
      </c>
      <c r="O2026" t="s">
        <v>42</v>
      </c>
    </row>
    <row r="2027" spans="1:15" x14ac:dyDescent="0.35">
      <c r="A2027" t="s">
        <v>2058</v>
      </c>
      <c r="C2027">
        <f t="shared" si="155"/>
        <v>1969</v>
      </c>
      <c r="D2027">
        <v>1969</v>
      </c>
      <c r="E2027" t="str">
        <f t="shared" si="159"/>
        <v>Jul</v>
      </c>
      <c r="F2027" t="s">
        <v>10</v>
      </c>
      <c r="G2027">
        <v>30</v>
      </c>
      <c r="H2027">
        <v>0</v>
      </c>
      <c r="I2027" s="21">
        <v>30366.93</v>
      </c>
      <c r="J2027" t="str">
        <f t="shared" si="156"/>
        <v>tier - 2</v>
      </c>
      <c r="K2027" t="s">
        <v>11</v>
      </c>
      <c r="L2027" t="str">
        <f t="shared" si="157"/>
        <v>tier - 2</v>
      </c>
      <c r="M2027" t="s">
        <v>11</v>
      </c>
      <c r="N2027" t="str">
        <f t="shared" si="158"/>
        <v>R1011</v>
      </c>
      <c r="O2027" t="s">
        <v>42</v>
      </c>
    </row>
    <row r="2028" spans="1:15" x14ac:dyDescent="0.35">
      <c r="A2028" t="s">
        <v>2059</v>
      </c>
      <c r="C2028">
        <f t="shared" si="155"/>
        <v>1976</v>
      </c>
      <c r="D2028">
        <v>1976</v>
      </c>
      <c r="E2028" t="str">
        <f t="shared" si="159"/>
        <v>Sep</v>
      </c>
      <c r="F2028" t="s">
        <v>20</v>
      </c>
      <c r="G2028">
        <v>3</v>
      </c>
      <c r="H2028">
        <v>2</v>
      </c>
      <c r="I2028" s="21">
        <v>30409.53</v>
      </c>
      <c r="J2028" t="str">
        <f t="shared" si="156"/>
        <v>tier - 2</v>
      </c>
      <c r="K2028" t="s">
        <v>11</v>
      </c>
      <c r="L2028" t="str">
        <f t="shared" si="157"/>
        <v>tier - 3</v>
      </c>
      <c r="M2028" t="s">
        <v>12</v>
      </c>
      <c r="N2028" t="str">
        <f t="shared" si="158"/>
        <v>R1012</v>
      </c>
      <c r="O2028" t="s">
        <v>23</v>
      </c>
    </row>
    <row r="2029" spans="1:15" x14ac:dyDescent="0.35">
      <c r="A2029" t="s">
        <v>2060</v>
      </c>
      <c r="C2029">
        <f t="shared" si="155"/>
        <v>1998</v>
      </c>
      <c r="D2029">
        <v>1998</v>
      </c>
      <c r="E2029" t="str">
        <f t="shared" si="159"/>
        <v>Oct</v>
      </c>
      <c r="F2029" t="s">
        <v>37</v>
      </c>
      <c r="G2029">
        <v>28</v>
      </c>
      <c r="H2029">
        <v>0</v>
      </c>
      <c r="I2029" s="21">
        <v>30422.03</v>
      </c>
      <c r="J2029" t="str">
        <f t="shared" si="156"/>
        <v>tier - 2</v>
      </c>
      <c r="K2029" t="s">
        <v>11</v>
      </c>
      <c r="L2029" t="str">
        <f t="shared" si="157"/>
        <v>tier - 3</v>
      </c>
      <c r="M2029" t="s">
        <v>12</v>
      </c>
      <c r="N2029" t="str">
        <f t="shared" si="158"/>
        <v>R1011</v>
      </c>
      <c r="O2029" t="s">
        <v>42</v>
      </c>
    </row>
    <row r="2030" spans="1:15" x14ac:dyDescent="0.35">
      <c r="A2030" t="s">
        <v>2061</v>
      </c>
      <c r="C2030">
        <f t="shared" si="155"/>
        <v>1983</v>
      </c>
      <c r="D2030">
        <v>1983</v>
      </c>
      <c r="E2030" t="str">
        <f t="shared" si="159"/>
        <v>Sep</v>
      </c>
      <c r="F2030" t="s">
        <v>20</v>
      </c>
      <c r="G2030">
        <v>3</v>
      </c>
      <c r="H2030">
        <v>3</v>
      </c>
      <c r="I2030" s="21">
        <v>30457.37</v>
      </c>
      <c r="J2030" t="str">
        <f t="shared" si="156"/>
        <v>tier - 2</v>
      </c>
      <c r="K2030" t="s">
        <v>11</v>
      </c>
      <c r="L2030" t="str">
        <f t="shared" si="157"/>
        <v>tier - 1</v>
      </c>
      <c r="M2030" t="s">
        <v>16</v>
      </c>
      <c r="N2030" t="str">
        <f t="shared" si="158"/>
        <v>R1012</v>
      </c>
      <c r="O2030" t="s">
        <v>23</v>
      </c>
    </row>
    <row r="2031" spans="1:15" x14ac:dyDescent="0.35">
      <c r="A2031" t="s">
        <v>2062</v>
      </c>
      <c r="C2031">
        <f t="shared" si="155"/>
        <v>1986</v>
      </c>
      <c r="D2031">
        <v>1986</v>
      </c>
      <c r="E2031" t="str">
        <f t="shared" si="159"/>
        <v>Aug</v>
      </c>
      <c r="F2031" t="s">
        <v>35</v>
      </c>
      <c r="G2031">
        <v>10</v>
      </c>
      <c r="H2031">
        <v>3</v>
      </c>
      <c r="I2031" s="21">
        <v>30530.5</v>
      </c>
      <c r="J2031" t="str">
        <f t="shared" si="156"/>
        <v>tier - 2</v>
      </c>
      <c r="K2031" t="s">
        <v>11</v>
      </c>
      <c r="L2031" t="str">
        <f t="shared" si="157"/>
        <v>tier - 1</v>
      </c>
      <c r="M2031" t="s">
        <v>16</v>
      </c>
      <c r="N2031" t="str">
        <f t="shared" si="158"/>
        <v>R1011</v>
      </c>
      <c r="O2031" t="s">
        <v>42</v>
      </c>
    </row>
    <row r="2032" spans="1:15" x14ac:dyDescent="0.35">
      <c r="A2032" t="s">
        <v>2063</v>
      </c>
      <c r="C2032">
        <f t="shared" si="155"/>
        <v>1970</v>
      </c>
      <c r="D2032">
        <v>1970</v>
      </c>
      <c r="E2032" t="str">
        <f t="shared" si="159"/>
        <v>Nov</v>
      </c>
      <c r="F2032" t="s">
        <v>15</v>
      </c>
      <c r="G2032">
        <v>11</v>
      </c>
      <c r="H2032">
        <v>0</v>
      </c>
      <c r="I2032" s="21">
        <v>30625.65</v>
      </c>
      <c r="J2032" t="str">
        <f t="shared" si="156"/>
        <v>tier - 2</v>
      </c>
      <c r="K2032" t="s">
        <v>11</v>
      </c>
      <c r="L2032" t="str">
        <f t="shared" si="157"/>
        <v>tier - 3</v>
      </c>
      <c r="M2032" t="s">
        <v>12</v>
      </c>
      <c r="N2032" t="str">
        <f t="shared" si="158"/>
        <v>R1011</v>
      </c>
      <c r="O2032" t="s">
        <v>42</v>
      </c>
    </row>
    <row r="2033" spans="1:15" x14ac:dyDescent="0.35">
      <c r="A2033" t="s">
        <v>2064</v>
      </c>
      <c r="C2033">
        <f t="shared" si="155"/>
        <v>1999</v>
      </c>
      <c r="D2033">
        <v>1999</v>
      </c>
      <c r="E2033" t="str">
        <f t="shared" si="159"/>
        <v>Sep</v>
      </c>
      <c r="F2033" t="s">
        <v>20</v>
      </c>
      <c r="G2033">
        <v>21</v>
      </c>
      <c r="H2033">
        <v>0</v>
      </c>
      <c r="I2033" s="21">
        <v>30697.71</v>
      </c>
      <c r="J2033" t="str">
        <f t="shared" si="156"/>
        <v>tier - 1</v>
      </c>
      <c r="K2033" t="s">
        <v>16</v>
      </c>
      <c r="L2033" t="str">
        <f t="shared" si="157"/>
        <v>tier - 2</v>
      </c>
      <c r="M2033" t="s">
        <v>11</v>
      </c>
      <c r="N2033" t="str">
        <f t="shared" si="158"/>
        <v>R1011</v>
      </c>
      <c r="O2033" t="s">
        <v>42</v>
      </c>
    </row>
    <row r="2034" spans="1:15" x14ac:dyDescent="0.35">
      <c r="A2034" t="s">
        <v>2065</v>
      </c>
      <c r="C2034">
        <f t="shared" si="155"/>
        <v>1983</v>
      </c>
      <c r="D2034">
        <v>1983</v>
      </c>
      <c r="E2034" t="str">
        <f t="shared" si="159"/>
        <v>Dec</v>
      </c>
      <c r="F2034" t="s">
        <v>30</v>
      </c>
      <c r="G2034">
        <v>21</v>
      </c>
      <c r="H2034">
        <v>3</v>
      </c>
      <c r="I2034" s="21">
        <v>30724.44</v>
      </c>
      <c r="J2034" t="str">
        <f t="shared" si="156"/>
        <v>tier - 2</v>
      </c>
      <c r="K2034" t="s">
        <v>11</v>
      </c>
      <c r="L2034" t="str">
        <f t="shared" si="157"/>
        <v>tier - 3</v>
      </c>
      <c r="M2034" t="s">
        <v>12</v>
      </c>
      <c r="N2034" t="str">
        <f t="shared" si="158"/>
        <v>R1011</v>
      </c>
      <c r="O2034" t="s">
        <v>42</v>
      </c>
    </row>
    <row r="2035" spans="1:15" x14ac:dyDescent="0.35">
      <c r="A2035" t="s">
        <v>2066</v>
      </c>
      <c r="C2035">
        <f t="shared" si="155"/>
        <v>1988</v>
      </c>
      <c r="D2035">
        <v>1988</v>
      </c>
      <c r="E2035" t="str">
        <f t="shared" si="159"/>
        <v>Sep</v>
      </c>
      <c r="F2035" t="s">
        <v>20</v>
      </c>
      <c r="G2035">
        <v>5</v>
      </c>
      <c r="H2035">
        <v>3</v>
      </c>
      <c r="I2035" s="21">
        <v>30763.01</v>
      </c>
      <c r="J2035" t="str">
        <f t="shared" si="156"/>
        <v>tier - 2</v>
      </c>
      <c r="K2035" t="s">
        <v>11</v>
      </c>
      <c r="L2035" t="str">
        <f t="shared" si="157"/>
        <v>tier - 1</v>
      </c>
      <c r="M2035" t="s">
        <v>16</v>
      </c>
      <c r="N2035" t="str">
        <f t="shared" si="158"/>
        <v>R1011</v>
      </c>
      <c r="O2035" t="s">
        <v>42</v>
      </c>
    </row>
    <row r="2036" spans="1:15" x14ac:dyDescent="0.35">
      <c r="A2036" t="s">
        <v>2067</v>
      </c>
      <c r="C2036">
        <f t="shared" si="155"/>
        <v>1961</v>
      </c>
      <c r="D2036">
        <v>1961</v>
      </c>
      <c r="E2036" t="str">
        <f t="shared" si="159"/>
        <v>Sep</v>
      </c>
      <c r="F2036" t="s">
        <v>20</v>
      </c>
      <c r="G2036">
        <v>9</v>
      </c>
      <c r="H2036">
        <v>3</v>
      </c>
      <c r="I2036" s="21">
        <v>30942.19</v>
      </c>
      <c r="J2036" t="str">
        <f t="shared" si="156"/>
        <v>tier - 2</v>
      </c>
      <c r="K2036" t="s">
        <v>11</v>
      </c>
      <c r="L2036" t="str">
        <f t="shared" si="157"/>
        <v>tier - 2</v>
      </c>
      <c r="M2036" t="s">
        <v>11</v>
      </c>
      <c r="N2036" t="str">
        <f t="shared" si="158"/>
        <v>R1013</v>
      </c>
      <c r="O2036" t="s">
        <v>13</v>
      </c>
    </row>
    <row r="2037" spans="1:15" x14ac:dyDescent="0.35">
      <c r="A2037" t="s">
        <v>2068</v>
      </c>
      <c r="C2037">
        <f t="shared" si="155"/>
        <v>2004</v>
      </c>
      <c r="D2037">
        <v>2004</v>
      </c>
      <c r="E2037" t="str">
        <f t="shared" si="159"/>
        <v>Nov</v>
      </c>
      <c r="F2037" t="s">
        <v>15</v>
      </c>
      <c r="G2037">
        <v>9</v>
      </c>
      <c r="H2037">
        <v>0</v>
      </c>
      <c r="I2037" s="21">
        <v>31196.61</v>
      </c>
      <c r="J2037" t="str">
        <f t="shared" si="156"/>
        <v>tier - 2</v>
      </c>
      <c r="K2037" t="s">
        <v>11</v>
      </c>
      <c r="L2037" t="str">
        <f t="shared" si="157"/>
        <v>tier - 1</v>
      </c>
      <c r="M2037" t="s">
        <v>16</v>
      </c>
      <c r="N2037" t="str">
        <f t="shared" si="158"/>
        <v>R1011</v>
      </c>
      <c r="O2037" t="s">
        <v>42</v>
      </c>
    </row>
    <row r="2038" spans="1:15" x14ac:dyDescent="0.35">
      <c r="A2038" t="s">
        <v>2069</v>
      </c>
      <c r="C2038">
        <f t="shared" si="155"/>
        <v>2000</v>
      </c>
      <c r="D2038">
        <v>2000</v>
      </c>
      <c r="E2038" t="str">
        <f t="shared" si="159"/>
        <v>Jul</v>
      </c>
      <c r="F2038" t="s">
        <v>10</v>
      </c>
      <c r="G2038">
        <v>22</v>
      </c>
      <c r="H2038">
        <v>0</v>
      </c>
      <c r="I2038" s="21">
        <v>31234.560000000001</v>
      </c>
      <c r="J2038" t="str">
        <f t="shared" si="156"/>
        <v>tier - 1</v>
      </c>
      <c r="K2038" t="s">
        <v>16</v>
      </c>
      <c r="L2038" t="str">
        <f t="shared" si="157"/>
        <v>tier - 1</v>
      </c>
      <c r="M2038" t="s">
        <v>16</v>
      </c>
      <c r="N2038" t="str">
        <f t="shared" si="158"/>
        <v>R1011</v>
      </c>
      <c r="O2038" t="s">
        <v>42</v>
      </c>
    </row>
    <row r="2039" spans="1:15" x14ac:dyDescent="0.35">
      <c r="A2039" t="s">
        <v>2070</v>
      </c>
      <c r="C2039">
        <f t="shared" si="155"/>
        <v>1968</v>
      </c>
      <c r="D2039">
        <v>1968</v>
      </c>
      <c r="E2039" t="str">
        <f t="shared" si="159"/>
        <v>Jul</v>
      </c>
      <c r="F2039" t="s">
        <v>10</v>
      </c>
      <c r="G2039">
        <v>9</v>
      </c>
      <c r="H2039">
        <v>0</v>
      </c>
      <c r="I2039" s="21">
        <v>31322.53</v>
      </c>
      <c r="J2039" t="str">
        <f t="shared" si="156"/>
        <v>tier - 2</v>
      </c>
      <c r="K2039" t="s">
        <v>11</v>
      </c>
      <c r="L2039" t="str">
        <f t="shared" si="157"/>
        <v>tier - 1</v>
      </c>
      <c r="M2039" t="s">
        <v>16</v>
      </c>
      <c r="N2039" t="str">
        <f t="shared" si="158"/>
        <v>R1011</v>
      </c>
      <c r="O2039" t="s">
        <v>42</v>
      </c>
    </row>
    <row r="2040" spans="1:15" x14ac:dyDescent="0.35">
      <c r="A2040" t="s">
        <v>2071</v>
      </c>
      <c r="C2040">
        <f t="shared" si="155"/>
        <v>1995</v>
      </c>
      <c r="D2040">
        <v>1995</v>
      </c>
      <c r="E2040" t="str">
        <f t="shared" si="159"/>
        <v>Sep</v>
      </c>
      <c r="F2040" t="s">
        <v>20</v>
      </c>
      <c r="G2040">
        <v>27</v>
      </c>
      <c r="H2040">
        <v>0</v>
      </c>
      <c r="I2040" s="21">
        <v>31328.27</v>
      </c>
      <c r="J2040" t="str">
        <f t="shared" si="156"/>
        <v>tier - 2</v>
      </c>
      <c r="K2040" t="s">
        <v>11</v>
      </c>
      <c r="L2040" t="str">
        <f t="shared" si="157"/>
        <v>tier - 2</v>
      </c>
      <c r="M2040" t="s">
        <v>11</v>
      </c>
      <c r="N2040" t="str">
        <f t="shared" si="158"/>
        <v>R1011</v>
      </c>
      <c r="O2040" t="s">
        <v>42</v>
      </c>
    </row>
    <row r="2041" spans="1:15" x14ac:dyDescent="0.35">
      <c r="A2041" t="s">
        <v>2072</v>
      </c>
      <c r="C2041">
        <f t="shared" si="155"/>
        <v>1974</v>
      </c>
      <c r="D2041">
        <v>1974</v>
      </c>
      <c r="E2041" t="str">
        <f t="shared" si="159"/>
        <v>Oct</v>
      </c>
      <c r="F2041" t="s">
        <v>37</v>
      </c>
      <c r="G2041">
        <v>8</v>
      </c>
      <c r="H2041">
        <v>0</v>
      </c>
      <c r="I2041" s="21">
        <v>31368.81</v>
      </c>
      <c r="J2041" t="str">
        <f t="shared" si="156"/>
        <v>tier - 2</v>
      </c>
      <c r="K2041" t="s">
        <v>11</v>
      </c>
      <c r="L2041" t="str">
        <f t="shared" si="157"/>
        <v>tier - 3</v>
      </c>
      <c r="M2041" t="s">
        <v>12</v>
      </c>
      <c r="N2041" t="str">
        <f t="shared" si="158"/>
        <v>R1011</v>
      </c>
      <c r="O2041" t="s">
        <v>42</v>
      </c>
    </row>
    <row r="2042" spans="1:15" x14ac:dyDescent="0.35">
      <c r="A2042" t="s">
        <v>2073</v>
      </c>
      <c r="C2042">
        <f t="shared" si="155"/>
        <v>1975</v>
      </c>
      <c r="D2042">
        <v>1975</v>
      </c>
      <c r="E2042" t="str">
        <f t="shared" si="159"/>
        <v>Oct</v>
      </c>
      <c r="F2042" t="s">
        <v>37</v>
      </c>
      <c r="G2042">
        <v>29</v>
      </c>
      <c r="H2042">
        <v>1</v>
      </c>
      <c r="I2042" s="21">
        <v>31591.82</v>
      </c>
      <c r="J2042" t="str">
        <f t="shared" si="156"/>
        <v>tier - 2</v>
      </c>
      <c r="K2042" t="s">
        <v>11</v>
      </c>
      <c r="L2042" t="str">
        <f t="shared" si="157"/>
        <v>tier - 1</v>
      </c>
      <c r="M2042" t="s">
        <v>16</v>
      </c>
      <c r="N2042" t="str">
        <f t="shared" si="158"/>
        <v>R1011</v>
      </c>
      <c r="O2042" t="s">
        <v>42</v>
      </c>
    </row>
    <row r="2043" spans="1:15" x14ac:dyDescent="0.35">
      <c r="A2043" t="s">
        <v>2074</v>
      </c>
      <c r="C2043">
        <f t="shared" si="155"/>
        <v>1960</v>
      </c>
      <c r="D2043">
        <v>1960</v>
      </c>
      <c r="E2043" t="str">
        <f t="shared" si="159"/>
        <v>Dec</v>
      </c>
      <c r="F2043" t="s">
        <v>30</v>
      </c>
      <c r="G2043">
        <v>13</v>
      </c>
      <c r="H2043">
        <v>1</v>
      </c>
      <c r="I2043" s="21">
        <v>31620</v>
      </c>
      <c r="J2043" t="str">
        <f t="shared" si="156"/>
        <v>tier - 2</v>
      </c>
      <c r="K2043" t="s">
        <v>11</v>
      </c>
      <c r="L2043" t="str">
        <f t="shared" si="157"/>
        <v>tier - 1</v>
      </c>
      <c r="M2043" t="s">
        <v>16</v>
      </c>
      <c r="N2043" t="str">
        <f t="shared" si="158"/>
        <v>R1024</v>
      </c>
      <c r="O2043" t="s">
        <v>247</v>
      </c>
    </row>
    <row r="2044" spans="1:15" x14ac:dyDescent="0.35">
      <c r="A2044" t="s">
        <v>2075</v>
      </c>
      <c r="C2044">
        <f t="shared" si="155"/>
        <v>1977</v>
      </c>
      <c r="D2044">
        <v>1977</v>
      </c>
      <c r="E2044" t="str">
        <f t="shared" si="159"/>
        <v>Oct</v>
      </c>
      <c r="F2044" t="s">
        <v>37</v>
      </c>
      <c r="G2044">
        <v>14</v>
      </c>
      <c r="H2044">
        <v>2</v>
      </c>
      <c r="I2044" s="21">
        <v>31736.7</v>
      </c>
      <c r="J2044" t="str">
        <f t="shared" si="156"/>
        <v>tier - 2</v>
      </c>
      <c r="K2044" t="s">
        <v>11</v>
      </c>
      <c r="L2044" t="str">
        <f t="shared" si="157"/>
        <v>tier - 2</v>
      </c>
      <c r="M2044" t="s">
        <v>11</v>
      </c>
      <c r="N2044" t="str">
        <f t="shared" si="158"/>
        <v>R1012</v>
      </c>
      <c r="O2044" t="s">
        <v>23</v>
      </c>
    </row>
    <row r="2045" spans="1:15" x14ac:dyDescent="0.35">
      <c r="A2045" t="s">
        <v>2076</v>
      </c>
      <c r="C2045">
        <f t="shared" si="155"/>
        <v>1984</v>
      </c>
      <c r="D2045">
        <v>1984</v>
      </c>
      <c r="E2045" t="str">
        <f t="shared" si="159"/>
        <v>Sep</v>
      </c>
      <c r="F2045" t="s">
        <v>20</v>
      </c>
      <c r="G2045">
        <v>10</v>
      </c>
      <c r="H2045">
        <v>3</v>
      </c>
      <c r="I2045" s="21">
        <v>31743.919999999998</v>
      </c>
      <c r="J2045" t="str">
        <f t="shared" si="156"/>
        <v>tier - 2</v>
      </c>
      <c r="K2045" t="s">
        <v>11</v>
      </c>
      <c r="L2045" t="str">
        <f t="shared" si="157"/>
        <v>tier - 1</v>
      </c>
      <c r="M2045" t="s">
        <v>16</v>
      </c>
      <c r="N2045" t="str">
        <f t="shared" si="158"/>
        <v>R1011</v>
      </c>
      <c r="O2045" t="s">
        <v>42</v>
      </c>
    </row>
    <row r="2046" spans="1:15" x14ac:dyDescent="0.35">
      <c r="A2046" t="s">
        <v>2077</v>
      </c>
      <c r="C2046">
        <f t="shared" si="155"/>
        <v>1975</v>
      </c>
      <c r="D2046">
        <v>1975</v>
      </c>
      <c r="E2046" t="str">
        <f t="shared" si="159"/>
        <v>Sep</v>
      </c>
      <c r="F2046" t="s">
        <v>20</v>
      </c>
      <c r="G2046">
        <v>25</v>
      </c>
      <c r="H2046">
        <v>1</v>
      </c>
      <c r="I2046" s="21">
        <v>31897.1</v>
      </c>
      <c r="J2046" t="str">
        <f t="shared" si="156"/>
        <v>tier - 2</v>
      </c>
      <c r="K2046" t="s">
        <v>11</v>
      </c>
      <c r="L2046" t="str">
        <f t="shared" si="157"/>
        <v>tier - 3</v>
      </c>
      <c r="M2046" t="s">
        <v>12</v>
      </c>
      <c r="N2046" t="str">
        <f t="shared" si="158"/>
        <v>R1011</v>
      </c>
      <c r="O2046" t="s">
        <v>42</v>
      </c>
    </row>
    <row r="2047" spans="1:15" x14ac:dyDescent="0.35">
      <c r="A2047" t="s">
        <v>2078</v>
      </c>
      <c r="C2047">
        <f t="shared" si="155"/>
        <v>1972</v>
      </c>
      <c r="D2047">
        <v>1972</v>
      </c>
      <c r="E2047" t="str">
        <f t="shared" si="159"/>
        <v>Sep</v>
      </c>
      <c r="F2047" t="s">
        <v>20</v>
      </c>
      <c r="G2047">
        <v>21</v>
      </c>
      <c r="H2047">
        <v>0</v>
      </c>
      <c r="I2047" s="21">
        <v>31980.89</v>
      </c>
      <c r="J2047" t="str">
        <f t="shared" si="156"/>
        <v>tier - 2</v>
      </c>
      <c r="K2047" t="s">
        <v>11</v>
      </c>
      <c r="L2047" t="str">
        <f t="shared" si="157"/>
        <v>tier - 1</v>
      </c>
      <c r="M2047" t="s">
        <v>16</v>
      </c>
      <c r="N2047" t="str">
        <f t="shared" si="158"/>
        <v>R1011</v>
      </c>
      <c r="O2047" t="s">
        <v>42</v>
      </c>
    </row>
    <row r="2048" spans="1:15" x14ac:dyDescent="0.35">
      <c r="A2048" t="s">
        <v>2079</v>
      </c>
      <c r="C2048">
        <f t="shared" si="155"/>
        <v>1993</v>
      </c>
      <c r="D2048">
        <v>1993</v>
      </c>
      <c r="E2048" t="str">
        <f t="shared" si="159"/>
        <v>Sep</v>
      </c>
      <c r="F2048" t="s">
        <v>20</v>
      </c>
      <c r="G2048">
        <v>13</v>
      </c>
      <c r="H2048">
        <v>0</v>
      </c>
      <c r="I2048" s="21">
        <v>32086.21</v>
      </c>
      <c r="J2048" t="str">
        <f t="shared" si="156"/>
        <v>tier - 1</v>
      </c>
      <c r="K2048" t="s">
        <v>16</v>
      </c>
      <c r="L2048" t="str">
        <f t="shared" si="157"/>
        <v>tier - 3</v>
      </c>
      <c r="M2048" t="s">
        <v>12</v>
      </c>
      <c r="N2048" t="str">
        <f t="shared" si="158"/>
        <v>R1011</v>
      </c>
      <c r="O2048" t="s">
        <v>42</v>
      </c>
    </row>
    <row r="2049" spans="1:15" x14ac:dyDescent="0.35">
      <c r="A2049" t="s">
        <v>2080</v>
      </c>
      <c r="C2049">
        <f t="shared" si="155"/>
        <v>1978</v>
      </c>
      <c r="D2049">
        <v>1978</v>
      </c>
      <c r="E2049" t="str">
        <f t="shared" si="159"/>
        <v>Nov</v>
      </c>
      <c r="F2049" t="s">
        <v>15</v>
      </c>
      <c r="G2049">
        <v>10</v>
      </c>
      <c r="H2049">
        <v>2</v>
      </c>
      <c r="I2049" s="21">
        <v>32108.66</v>
      </c>
      <c r="J2049" t="str">
        <f t="shared" si="156"/>
        <v>tier - 1</v>
      </c>
      <c r="K2049" t="s">
        <v>16</v>
      </c>
      <c r="L2049" t="str">
        <f t="shared" si="157"/>
        <v>tier - 3</v>
      </c>
      <c r="M2049" t="s">
        <v>12</v>
      </c>
      <c r="N2049" t="str">
        <f t="shared" si="158"/>
        <v>R1017</v>
      </c>
      <c r="O2049" t="s">
        <v>356</v>
      </c>
    </row>
    <row r="2050" spans="1:15" x14ac:dyDescent="0.35">
      <c r="A2050" t="s">
        <v>2081</v>
      </c>
      <c r="C2050">
        <f t="shared" si="155"/>
        <v>1969</v>
      </c>
      <c r="D2050">
        <v>1969</v>
      </c>
      <c r="E2050" t="str">
        <f t="shared" si="159"/>
        <v>Sep</v>
      </c>
      <c r="F2050" t="s">
        <v>20</v>
      </c>
      <c r="G2050">
        <v>11</v>
      </c>
      <c r="H2050">
        <v>0</v>
      </c>
      <c r="I2050" s="21">
        <v>32192.76</v>
      </c>
      <c r="J2050" t="str">
        <f t="shared" si="156"/>
        <v>tier - 1</v>
      </c>
      <c r="K2050" t="s">
        <v>16</v>
      </c>
      <c r="L2050" t="str">
        <f t="shared" si="157"/>
        <v>tier - 2</v>
      </c>
      <c r="M2050" t="s">
        <v>11</v>
      </c>
      <c r="N2050" t="str">
        <f t="shared" si="158"/>
        <v>R1011</v>
      </c>
      <c r="O2050" t="s">
        <v>42</v>
      </c>
    </row>
    <row r="2051" spans="1:15" x14ac:dyDescent="0.35">
      <c r="A2051" t="s">
        <v>2082</v>
      </c>
      <c r="C2051">
        <f t="shared" ref="C2051:C2114" si="160">IF(OR(D2051="?", ISBLANK(D2051)), 1983, D2051)</f>
        <v>1994</v>
      </c>
      <c r="D2051">
        <v>1994</v>
      </c>
      <c r="E2051" t="str">
        <f t="shared" si="159"/>
        <v>Sep</v>
      </c>
      <c r="F2051" t="s">
        <v>20</v>
      </c>
      <c r="G2051">
        <v>8</v>
      </c>
      <c r="H2051">
        <v>0</v>
      </c>
      <c r="I2051" s="21">
        <v>32222.81</v>
      </c>
      <c r="J2051" t="str">
        <f t="shared" ref="J2051:J2114" si="161">IF(OR(K2051="?", ISBLANK(K2051)), "Tier 2", K2051)</f>
        <v>tier - 2</v>
      </c>
      <c r="K2051" t="s">
        <v>11</v>
      </c>
      <c r="L2051" t="str">
        <f t="shared" ref="L2051:L2114" si="162">IF(OR(M2051="?", ISBLANK(M2051)), "Tier 2", M2051)</f>
        <v>tier - 1</v>
      </c>
      <c r="M2051" t="s">
        <v>16</v>
      </c>
      <c r="N2051" t="str">
        <f t="shared" ref="N2051:N2114" si="163">IF(OR(O2051="?", ISBLANK(O2051)), "Unknown", O2051)</f>
        <v>R1011</v>
      </c>
      <c r="O2051" t="s">
        <v>42</v>
      </c>
    </row>
    <row r="2052" spans="1:15" x14ac:dyDescent="0.35">
      <c r="A2052" t="s">
        <v>2083</v>
      </c>
      <c r="C2052">
        <f t="shared" si="160"/>
        <v>1975</v>
      </c>
      <c r="D2052">
        <v>1975</v>
      </c>
      <c r="E2052" t="str">
        <f t="shared" ref="E2052:E2115" si="164">IF(OR(F2052="?", ISBLANK(F2052)), "Sep", F2052)</f>
        <v>Dec</v>
      </c>
      <c r="F2052" t="s">
        <v>30</v>
      </c>
      <c r="G2052">
        <v>17</v>
      </c>
      <c r="H2052">
        <v>1</v>
      </c>
      <c r="I2052" s="21">
        <v>32259.96</v>
      </c>
      <c r="J2052" t="str">
        <f t="shared" si="161"/>
        <v>tier - 2</v>
      </c>
      <c r="K2052" t="s">
        <v>11</v>
      </c>
      <c r="L2052" t="str">
        <f t="shared" si="162"/>
        <v>tier - 3</v>
      </c>
      <c r="M2052" t="s">
        <v>12</v>
      </c>
      <c r="N2052" t="str">
        <f t="shared" si="163"/>
        <v>R1012</v>
      </c>
      <c r="O2052" t="s">
        <v>23</v>
      </c>
    </row>
    <row r="2053" spans="1:15" x14ac:dyDescent="0.35">
      <c r="A2053" t="s">
        <v>2084</v>
      </c>
      <c r="C2053">
        <f t="shared" si="160"/>
        <v>1986</v>
      </c>
      <c r="D2053">
        <v>1986</v>
      </c>
      <c r="E2053" t="str">
        <f t="shared" si="164"/>
        <v>Dec</v>
      </c>
      <c r="F2053" t="s">
        <v>30</v>
      </c>
      <c r="G2053">
        <v>2</v>
      </c>
      <c r="H2053">
        <v>3</v>
      </c>
      <c r="I2053" s="21">
        <v>32288.49</v>
      </c>
      <c r="J2053" t="str">
        <f t="shared" si="161"/>
        <v>tier - 2</v>
      </c>
      <c r="K2053" t="s">
        <v>11</v>
      </c>
      <c r="L2053" t="str">
        <f t="shared" si="162"/>
        <v>tier - 2</v>
      </c>
      <c r="M2053" t="s">
        <v>11</v>
      </c>
      <c r="N2053" t="str">
        <f t="shared" si="163"/>
        <v>R1011</v>
      </c>
      <c r="O2053" t="s">
        <v>42</v>
      </c>
    </row>
    <row r="2054" spans="1:15" x14ac:dyDescent="0.35">
      <c r="A2054" t="s">
        <v>2085</v>
      </c>
      <c r="C2054">
        <f t="shared" si="160"/>
        <v>1972</v>
      </c>
      <c r="D2054">
        <v>1972</v>
      </c>
      <c r="E2054" t="str">
        <f t="shared" si="164"/>
        <v>Oct</v>
      </c>
      <c r="F2054" t="s">
        <v>37</v>
      </c>
      <c r="G2054">
        <v>19</v>
      </c>
      <c r="H2054">
        <v>0</v>
      </c>
      <c r="I2054" s="21">
        <v>32428.63</v>
      </c>
      <c r="J2054" t="str">
        <f t="shared" si="161"/>
        <v>tier - 2</v>
      </c>
      <c r="K2054" t="s">
        <v>11</v>
      </c>
      <c r="L2054" t="str">
        <f t="shared" si="162"/>
        <v>tier - 2</v>
      </c>
      <c r="M2054" t="s">
        <v>11</v>
      </c>
      <c r="N2054" t="str">
        <f t="shared" si="163"/>
        <v>R1011</v>
      </c>
      <c r="O2054" t="s">
        <v>42</v>
      </c>
    </row>
    <row r="2055" spans="1:15" x14ac:dyDescent="0.35">
      <c r="A2055" t="s">
        <v>2086</v>
      </c>
      <c r="C2055">
        <f t="shared" si="160"/>
        <v>1976</v>
      </c>
      <c r="D2055">
        <v>1976</v>
      </c>
      <c r="E2055" t="str">
        <f t="shared" si="164"/>
        <v>Aug</v>
      </c>
      <c r="F2055" t="s">
        <v>35</v>
      </c>
      <c r="G2055">
        <v>9</v>
      </c>
      <c r="H2055">
        <v>2</v>
      </c>
      <c r="I2055" s="21">
        <v>32430.22</v>
      </c>
      <c r="J2055" t="str">
        <f t="shared" si="161"/>
        <v>tier - 2</v>
      </c>
      <c r="K2055" t="s">
        <v>11</v>
      </c>
      <c r="L2055" t="str">
        <f t="shared" si="162"/>
        <v>tier - 3</v>
      </c>
      <c r="M2055" t="s">
        <v>12</v>
      </c>
      <c r="N2055" t="str">
        <f t="shared" si="163"/>
        <v>R1011</v>
      </c>
      <c r="O2055" t="s">
        <v>42</v>
      </c>
    </row>
    <row r="2056" spans="1:15" x14ac:dyDescent="0.35">
      <c r="A2056" t="s">
        <v>2087</v>
      </c>
      <c r="C2056">
        <f t="shared" si="160"/>
        <v>1981</v>
      </c>
      <c r="D2056">
        <v>1981</v>
      </c>
      <c r="E2056" t="str">
        <f t="shared" si="164"/>
        <v>Sep</v>
      </c>
      <c r="F2056" t="s">
        <v>20</v>
      </c>
      <c r="G2056">
        <v>27</v>
      </c>
      <c r="H2056">
        <v>1</v>
      </c>
      <c r="I2056" s="21">
        <v>32462.35</v>
      </c>
      <c r="J2056" t="str">
        <f t="shared" si="161"/>
        <v>tier - 2</v>
      </c>
      <c r="K2056" t="s">
        <v>11</v>
      </c>
      <c r="L2056" t="str">
        <f t="shared" si="162"/>
        <v>tier - 2</v>
      </c>
      <c r="M2056" t="s">
        <v>11</v>
      </c>
      <c r="N2056" t="str">
        <f t="shared" si="163"/>
        <v>R1011</v>
      </c>
      <c r="O2056" t="s">
        <v>42</v>
      </c>
    </row>
    <row r="2057" spans="1:15" x14ac:dyDescent="0.35">
      <c r="A2057" t="s">
        <v>2088</v>
      </c>
      <c r="C2057">
        <f t="shared" si="160"/>
        <v>1976</v>
      </c>
      <c r="D2057">
        <v>1976</v>
      </c>
      <c r="E2057" t="str">
        <f t="shared" si="164"/>
        <v>Sep</v>
      </c>
      <c r="F2057" t="s">
        <v>20</v>
      </c>
      <c r="G2057">
        <v>19</v>
      </c>
      <c r="H2057">
        <v>2</v>
      </c>
      <c r="I2057" s="21">
        <v>32485.46</v>
      </c>
      <c r="J2057" t="str">
        <f t="shared" si="161"/>
        <v>tier - 2</v>
      </c>
      <c r="K2057" t="s">
        <v>11</v>
      </c>
      <c r="L2057" t="str">
        <f t="shared" si="162"/>
        <v>tier - 1</v>
      </c>
      <c r="M2057" t="s">
        <v>16</v>
      </c>
      <c r="N2057" t="str">
        <f t="shared" si="163"/>
        <v>R1011</v>
      </c>
      <c r="O2057" t="s">
        <v>42</v>
      </c>
    </row>
    <row r="2058" spans="1:15" x14ac:dyDescent="0.35">
      <c r="A2058" t="s">
        <v>2089</v>
      </c>
      <c r="C2058">
        <f t="shared" si="160"/>
        <v>2003</v>
      </c>
      <c r="D2058">
        <v>2003</v>
      </c>
      <c r="E2058" t="str">
        <f t="shared" si="164"/>
        <v>Oct</v>
      </c>
      <c r="F2058" t="s">
        <v>37</v>
      </c>
      <c r="G2058">
        <v>8</v>
      </c>
      <c r="H2058">
        <v>0</v>
      </c>
      <c r="I2058" s="21">
        <v>32548.34</v>
      </c>
      <c r="J2058" t="str">
        <f t="shared" si="161"/>
        <v>tier - 1</v>
      </c>
      <c r="K2058" t="s">
        <v>16</v>
      </c>
      <c r="L2058" t="str">
        <f t="shared" si="162"/>
        <v>tier - 2</v>
      </c>
      <c r="M2058" t="s">
        <v>11</v>
      </c>
      <c r="N2058" t="str">
        <f t="shared" si="163"/>
        <v>R1013</v>
      </c>
      <c r="O2058" t="s">
        <v>13</v>
      </c>
    </row>
    <row r="2059" spans="1:15" x14ac:dyDescent="0.35">
      <c r="A2059" t="s">
        <v>2090</v>
      </c>
      <c r="C2059">
        <f t="shared" si="160"/>
        <v>1990</v>
      </c>
      <c r="D2059">
        <v>1990</v>
      </c>
      <c r="E2059" t="str">
        <f t="shared" si="164"/>
        <v>Jul</v>
      </c>
      <c r="F2059" t="s">
        <v>10</v>
      </c>
      <c r="G2059">
        <v>13</v>
      </c>
      <c r="H2059">
        <v>3</v>
      </c>
      <c r="I2059" s="21">
        <v>32672.11</v>
      </c>
      <c r="J2059" t="str">
        <f t="shared" si="161"/>
        <v>tier - 1</v>
      </c>
      <c r="K2059" t="s">
        <v>16</v>
      </c>
      <c r="L2059" t="str">
        <f t="shared" si="162"/>
        <v>tier - 1</v>
      </c>
      <c r="M2059" t="s">
        <v>16</v>
      </c>
      <c r="N2059" t="str">
        <f t="shared" si="163"/>
        <v>R1011</v>
      </c>
      <c r="O2059" t="s">
        <v>42</v>
      </c>
    </row>
    <row r="2060" spans="1:15" x14ac:dyDescent="0.35">
      <c r="A2060" t="s">
        <v>2091</v>
      </c>
      <c r="C2060">
        <f t="shared" si="160"/>
        <v>1968</v>
      </c>
      <c r="D2060">
        <v>1968</v>
      </c>
      <c r="E2060" t="str">
        <f t="shared" si="164"/>
        <v>Nov</v>
      </c>
      <c r="F2060" t="s">
        <v>15</v>
      </c>
      <c r="G2060">
        <v>1</v>
      </c>
      <c r="H2060">
        <v>0</v>
      </c>
      <c r="I2060" s="21">
        <v>32686.080000000002</v>
      </c>
      <c r="J2060" t="str">
        <f t="shared" si="161"/>
        <v>tier - 2</v>
      </c>
      <c r="K2060" t="s">
        <v>11</v>
      </c>
      <c r="L2060" t="str">
        <f t="shared" si="162"/>
        <v>tier - 3</v>
      </c>
      <c r="M2060" t="s">
        <v>12</v>
      </c>
      <c r="N2060" t="str">
        <f t="shared" si="163"/>
        <v>R1011</v>
      </c>
      <c r="O2060" t="s">
        <v>42</v>
      </c>
    </row>
    <row r="2061" spans="1:15" x14ac:dyDescent="0.35">
      <c r="A2061" t="s">
        <v>2092</v>
      </c>
      <c r="C2061">
        <f t="shared" si="160"/>
        <v>1990</v>
      </c>
      <c r="D2061">
        <v>1990</v>
      </c>
      <c r="E2061" t="str">
        <f t="shared" si="164"/>
        <v>Sep</v>
      </c>
      <c r="F2061" t="s">
        <v>20</v>
      </c>
      <c r="G2061">
        <v>30</v>
      </c>
      <c r="H2061">
        <v>3</v>
      </c>
      <c r="I2061" s="21">
        <v>32716.2</v>
      </c>
      <c r="J2061" t="str">
        <f t="shared" si="161"/>
        <v>tier - 1</v>
      </c>
      <c r="K2061" t="s">
        <v>16</v>
      </c>
      <c r="L2061" t="str">
        <f t="shared" si="162"/>
        <v>tier - 2</v>
      </c>
      <c r="M2061" t="s">
        <v>11</v>
      </c>
      <c r="N2061" t="str">
        <f t="shared" si="163"/>
        <v>R1011</v>
      </c>
      <c r="O2061" t="s">
        <v>42</v>
      </c>
    </row>
    <row r="2062" spans="1:15" x14ac:dyDescent="0.35">
      <c r="A2062" t="s">
        <v>2093</v>
      </c>
      <c r="C2062">
        <f t="shared" si="160"/>
        <v>1990</v>
      </c>
      <c r="D2062">
        <v>1990</v>
      </c>
      <c r="E2062" t="str">
        <f t="shared" si="164"/>
        <v>Jul</v>
      </c>
      <c r="F2062" t="s">
        <v>10</v>
      </c>
      <c r="G2062">
        <v>9</v>
      </c>
      <c r="H2062">
        <v>2</v>
      </c>
      <c r="I2062" s="21">
        <v>32734.19</v>
      </c>
      <c r="J2062" t="str">
        <f t="shared" si="161"/>
        <v>tier - 2</v>
      </c>
      <c r="K2062" t="s">
        <v>11</v>
      </c>
      <c r="L2062" t="str">
        <f t="shared" si="162"/>
        <v>tier - 1</v>
      </c>
      <c r="M2062" t="s">
        <v>16</v>
      </c>
      <c r="N2062" t="str">
        <f t="shared" si="163"/>
        <v>R1012</v>
      </c>
      <c r="O2062" t="s">
        <v>23</v>
      </c>
    </row>
    <row r="2063" spans="1:15" x14ac:dyDescent="0.35">
      <c r="A2063" t="s">
        <v>2094</v>
      </c>
      <c r="C2063">
        <f t="shared" si="160"/>
        <v>1974</v>
      </c>
      <c r="D2063">
        <v>1974</v>
      </c>
      <c r="E2063" t="str">
        <f t="shared" si="164"/>
        <v>Dec</v>
      </c>
      <c r="F2063" t="s">
        <v>30</v>
      </c>
      <c r="G2063">
        <v>6</v>
      </c>
      <c r="H2063">
        <v>0</v>
      </c>
      <c r="I2063" s="21">
        <v>32760.48</v>
      </c>
      <c r="J2063" t="str">
        <f t="shared" si="161"/>
        <v>tier - 1</v>
      </c>
      <c r="K2063" t="s">
        <v>16</v>
      </c>
      <c r="L2063" t="str">
        <f t="shared" si="162"/>
        <v>tier - 1</v>
      </c>
      <c r="M2063" t="s">
        <v>16</v>
      </c>
      <c r="N2063" t="str">
        <f t="shared" si="163"/>
        <v>R1011</v>
      </c>
      <c r="O2063" t="s">
        <v>42</v>
      </c>
    </row>
    <row r="2064" spans="1:15" x14ac:dyDescent="0.35">
      <c r="A2064" t="s">
        <v>2095</v>
      </c>
      <c r="C2064">
        <f t="shared" si="160"/>
        <v>1972</v>
      </c>
      <c r="D2064">
        <v>1972</v>
      </c>
      <c r="E2064" t="str">
        <f t="shared" si="164"/>
        <v>Nov</v>
      </c>
      <c r="F2064" t="s">
        <v>15</v>
      </c>
      <c r="G2064">
        <v>7</v>
      </c>
      <c r="H2064">
        <v>0</v>
      </c>
      <c r="I2064" s="21">
        <v>32765.33</v>
      </c>
      <c r="J2064" t="str">
        <f t="shared" si="161"/>
        <v>tier - 2</v>
      </c>
      <c r="K2064" t="s">
        <v>11</v>
      </c>
      <c r="L2064" t="str">
        <f t="shared" si="162"/>
        <v>tier - 2</v>
      </c>
      <c r="M2064" t="s">
        <v>11</v>
      </c>
      <c r="N2064" t="str">
        <f t="shared" si="163"/>
        <v>R1012</v>
      </c>
      <c r="O2064" t="s">
        <v>23</v>
      </c>
    </row>
    <row r="2065" spans="1:15" x14ac:dyDescent="0.35">
      <c r="A2065" t="s">
        <v>2096</v>
      </c>
      <c r="C2065">
        <f t="shared" si="160"/>
        <v>1980</v>
      </c>
      <c r="D2065">
        <v>1980</v>
      </c>
      <c r="E2065" t="str">
        <f t="shared" si="164"/>
        <v>Dec</v>
      </c>
      <c r="F2065" t="s">
        <v>30</v>
      </c>
      <c r="G2065">
        <v>12</v>
      </c>
      <c r="H2065">
        <v>3</v>
      </c>
      <c r="I2065" s="21">
        <v>32787.46</v>
      </c>
      <c r="J2065" t="str">
        <f t="shared" si="161"/>
        <v>tier - 1</v>
      </c>
      <c r="K2065" t="s">
        <v>16</v>
      </c>
      <c r="L2065" t="str">
        <f t="shared" si="162"/>
        <v>tier - 3</v>
      </c>
      <c r="M2065" t="s">
        <v>12</v>
      </c>
      <c r="N2065" t="str">
        <f t="shared" si="163"/>
        <v>R1012</v>
      </c>
      <c r="O2065" t="s">
        <v>23</v>
      </c>
    </row>
    <row r="2066" spans="1:15" x14ac:dyDescent="0.35">
      <c r="A2066" t="s">
        <v>2097</v>
      </c>
      <c r="C2066">
        <f t="shared" si="160"/>
        <v>1995</v>
      </c>
      <c r="D2066">
        <v>1995</v>
      </c>
      <c r="E2066" t="str">
        <f t="shared" si="164"/>
        <v>Dec</v>
      </c>
      <c r="F2066" t="s">
        <v>30</v>
      </c>
      <c r="G2066">
        <v>4</v>
      </c>
      <c r="H2066">
        <v>0</v>
      </c>
      <c r="I2066" s="21">
        <v>32827.51</v>
      </c>
      <c r="J2066" t="str">
        <f t="shared" si="161"/>
        <v>tier - 1</v>
      </c>
      <c r="K2066" t="s">
        <v>16</v>
      </c>
      <c r="L2066" t="str">
        <f t="shared" si="162"/>
        <v>tier - 2</v>
      </c>
      <c r="M2066" t="s">
        <v>11</v>
      </c>
      <c r="N2066" t="str">
        <f t="shared" si="163"/>
        <v>R1011</v>
      </c>
      <c r="O2066" t="s">
        <v>42</v>
      </c>
    </row>
    <row r="2067" spans="1:15" x14ac:dyDescent="0.35">
      <c r="A2067" t="s">
        <v>2098</v>
      </c>
      <c r="C2067">
        <f t="shared" si="160"/>
        <v>1981</v>
      </c>
      <c r="D2067">
        <v>1981</v>
      </c>
      <c r="E2067" t="str">
        <f t="shared" si="164"/>
        <v>Nov</v>
      </c>
      <c r="F2067" t="s">
        <v>15</v>
      </c>
      <c r="G2067">
        <v>17</v>
      </c>
      <c r="H2067">
        <v>1</v>
      </c>
      <c r="I2067" s="21">
        <v>32906.69</v>
      </c>
      <c r="J2067" t="str">
        <f t="shared" si="161"/>
        <v>tier - 2</v>
      </c>
      <c r="K2067" t="s">
        <v>11</v>
      </c>
      <c r="L2067" t="str">
        <f t="shared" si="162"/>
        <v>tier - 3</v>
      </c>
      <c r="M2067" t="s">
        <v>12</v>
      </c>
      <c r="N2067" t="str">
        <f t="shared" si="163"/>
        <v>R1011</v>
      </c>
      <c r="O2067" t="s">
        <v>42</v>
      </c>
    </row>
    <row r="2068" spans="1:15" x14ac:dyDescent="0.35">
      <c r="A2068" t="s">
        <v>2099</v>
      </c>
      <c r="C2068">
        <f t="shared" si="160"/>
        <v>1971</v>
      </c>
      <c r="D2068">
        <v>1971</v>
      </c>
      <c r="E2068" t="str">
        <f t="shared" si="164"/>
        <v>Aug</v>
      </c>
      <c r="F2068" t="s">
        <v>35</v>
      </c>
      <c r="G2068">
        <v>24</v>
      </c>
      <c r="H2068">
        <v>0</v>
      </c>
      <c r="I2068" s="21">
        <v>32947.629999999997</v>
      </c>
      <c r="J2068" t="str">
        <f t="shared" si="161"/>
        <v>tier - 2</v>
      </c>
      <c r="K2068" t="s">
        <v>11</v>
      </c>
      <c r="L2068" t="str">
        <f t="shared" si="162"/>
        <v>tier - 1</v>
      </c>
      <c r="M2068" t="s">
        <v>16</v>
      </c>
      <c r="N2068" t="str">
        <f t="shared" si="163"/>
        <v>R1011</v>
      </c>
      <c r="O2068" t="s">
        <v>42</v>
      </c>
    </row>
    <row r="2069" spans="1:15" x14ac:dyDescent="0.35">
      <c r="A2069" t="s">
        <v>2100</v>
      </c>
      <c r="C2069">
        <f t="shared" si="160"/>
        <v>1995</v>
      </c>
      <c r="D2069">
        <v>1995</v>
      </c>
      <c r="E2069" t="str">
        <f t="shared" si="164"/>
        <v>Jul</v>
      </c>
      <c r="F2069" t="s">
        <v>10</v>
      </c>
      <c r="G2069">
        <v>8</v>
      </c>
      <c r="H2069">
        <v>0</v>
      </c>
      <c r="I2069" s="21">
        <v>33017.46</v>
      </c>
      <c r="J2069" t="str">
        <f t="shared" si="161"/>
        <v>tier - 1</v>
      </c>
      <c r="K2069" t="s">
        <v>16</v>
      </c>
      <c r="L2069" t="str">
        <f t="shared" si="162"/>
        <v>tier - 1</v>
      </c>
      <c r="M2069" t="s">
        <v>16</v>
      </c>
      <c r="N2069" t="str">
        <f t="shared" si="163"/>
        <v>R1011</v>
      </c>
      <c r="O2069" t="s">
        <v>42</v>
      </c>
    </row>
    <row r="2070" spans="1:15" x14ac:dyDescent="0.35">
      <c r="A2070" t="s">
        <v>2101</v>
      </c>
      <c r="C2070">
        <f t="shared" si="160"/>
        <v>1967</v>
      </c>
      <c r="D2070">
        <v>1967</v>
      </c>
      <c r="E2070" t="str">
        <f t="shared" si="164"/>
        <v>Jul</v>
      </c>
      <c r="F2070" t="s">
        <v>10</v>
      </c>
      <c r="G2070">
        <v>10</v>
      </c>
      <c r="H2070">
        <v>0</v>
      </c>
      <c r="I2070" s="21">
        <v>33025.32</v>
      </c>
      <c r="J2070" t="str">
        <f t="shared" si="161"/>
        <v>tier - 2</v>
      </c>
      <c r="K2070" t="s">
        <v>11</v>
      </c>
      <c r="L2070" t="str">
        <f t="shared" si="162"/>
        <v>tier - 3</v>
      </c>
      <c r="M2070" t="s">
        <v>12</v>
      </c>
      <c r="N2070" t="str">
        <f t="shared" si="163"/>
        <v>R1011</v>
      </c>
      <c r="O2070" t="s">
        <v>42</v>
      </c>
    </row>
    <row r="2071" spans="1:15" x14ac:dyDescent="0.35">
      <c r="A2071" t="s">
        <v>2102</v>
      </c>
      <c r="C2071">
        <f t="shared" si="160"/>
        <v>1994</v>
      </c>
      <c r="D2071">
        <v>1994</v>
      </c>
      <c r="E2071" t="str">
        <f t="shared" si="164"/>
        <v>Jul</v>
      </c>
      <c r="F2071" t="s">
        <v>10</v>
      </c>
      <c r="G2071">
        <v>28</v>
      </c>
      <c r="H2071">
        <v>0</v>
      </c>
      <c r="I2071" s="21">
        <v>33057.230000000003</v>
      </c>
      <c r="J2071" t="str">
        <f t="shared" si="161"/>
        <v>tier - 1</v>
      </c>
      <c r="K2071" t="s">
        <v>16</v>
      </c>
      <c r="L2071" t="str">
        <f t="shared" si="162"/>
        <v>tier - 2</v>
      </c>
      <c r="M2071" t="s">
        <v>11</v>
      </c>
      <c r="N2071" t="str">
        <f t="shared" si="163"/>
        <v>R1011</v>
      </c>
      <c r="O2071" t="s">
        <v>42</v>
      </c>
    </row>
    <row r="2072" spans="1:15" x14ac:dyDescent="0.35">
      <c r="A2072" t="s">
        <v>2103</v>
      </c>
      <c r="C2072">
        <f t="shared" si="160"/>
        <v>1962</v>
      </c>
      <c r="D2072">
        <v>1962</v>
      </c>
      <c r="E2072" t="str">
        <f t="shared" si="164"/>
        <v>Jul</v>
      </c>
      <c r="F2072" t="s">
        <v>10</v>
      </c>
      <c r="G2072">
        <v>1</v>
      </c>
      <c r="H2072">
        <v>0</v>
      </c>
      <c r="I2072" s="21">
        <v>33074.94</v>
      </c>
      <c r="J2072" t="str">
        <f t="shared" si="161"/>
        <v>tier - 1</v>
      </c>
      <c r="K2072" t="s">
        <v>16</v>
      </c>
      <c r="L2072" t="str">
        <f t="shared" si="162"/>
        <v>tier - 2</v>
      </c>
      <c r="M2072" t="s">
        <v>11</v>
      </c>
      <c r="N2072" t="str">
        <f t="shared" si="163"/>
        <v>R1011</v>
      </c>
      <c r="O2072" t="s">
        <v>42</v>
      </c>
    </row>
    <row r="2073" spans="1:15" x14ac:dyDescent="0.35">
      <c r="A2073" t="s">
        <v>2104</v>
      </c>
      <c r="C2073">
        <f t="shared" si="160"/>
        <v>1969</v>
      </c>
      <c r="D2073">
        <v>1969</v>
      </c>
      <c r="E2073" t="str">
        <f t="shared" si="164"/>
        <v>Oct</v>
      </c>
      <c r="F2073" t="s">
        <v>37</v>
      </c>
      <c r="G2073">
        <v>30</v>
      </c>
      <c r="H2073">
        <v>0</v>
      </c>
      <c r="I2073" s="21">
        <v>33090.660000000003</v>
      </c>
      <c r="J2073" t="str">
        <f t="shared" si="161"/>
        <v>tier - 2</v>
      </c>
      <c r="K2073" t="s">
        <v>11</v>
      </c>
      <c r="L2073" t="str">
        <f t="shared" si="162"/>
        <v>tier - 2</v>
      </c>
      <c r="M2073" t="s">
        <v>11</v>
      </c>
      <c r="N2073" t="str">
        <f t="shared" si="163"/>
        <v>R1011</v>
      </c>
      <c r="O2073" t="s">
        <v>42</v>
      </c>
    </row>
    <row r="2074" spans="1:15" x14ac:dyDescent="0.35">
      <c r="A2074" t="s">
        <v>2105</v>
      </c>
      <c r="C2074">
        <f t="shared" si="160"/>
        <v>1985</v>
      </c>
      <c r="D2074">
        <v>1985</v>
      </c>
      <c r="E2074" t="str">
        <f t="shared" si="164"/>
        <v>Jul</v>
      </c>
      <c r="F2074" t="s">
        <v>10</v>
      </c>
      <c r="G2074">
        <v>15</v>
      </c>
      <c r="H2074">
        <v>3</v>
      </c>
      <c r="I2074" s="21">
        <v>33121</v>
      </c>
      <c r="J2074" t="str">
        <f t="shared" si="161"/>
        <v>tier - 2</v>
      </c>
      <c r="K2074" t="s">
        <v>11</v>
      </c>
      <c r="L2074" t="str">
        <f t="shared" si="162"/>
        <v>tier - 1</v>
      </c>
      <c r="M2074" t="s">
        <v>16</v>
      </c>
      <c r="N2074" t="str">
        <f t="shared" si="163"/>
        <v>R1011</v>
      </c>
      <c r="O2074" t="s">
        <v>42</v>
      </c>
    </row>
    <row r="2075" spans="1:15" x14ac:dyDescent="0.35">
      <c r="A2075" t="s">
        <v>2106</v>
      </c>
      <c r="C2075">
        <f t="shared" si="160"/>
        <v>1990</v>
      </c>
      <c r="D2075">
        <v>1990</v>
      </c>
      <c r="E2075" t="str">
        <f t="shared" si="164"/>
        <v>Oct</v>
      </c>
      <c r="F2075" t="s">
        <v>37</v>
      </c>
      <c r="G2075">
        <v>12</v>
      </c>
      <c r="H2075">
        <v>3</v>
      </c>
      <c r="I2075" s="21">
        <v>33292.83</v>
      </c>
      <c r="J2075" t="str">
        <f t="shared" si="161"/>
        <v>tier - 2</v>
      </c>
      <c r="K2075" t="s">
        <v>11</v>
      </c>
      <c r="L2075" t="str">
        <f t="shared" si="162"/>
        <v>tier - 1</v>
      </c>
      <c r="M2075" t="s">
        <v>16</v>
      </c>
      <c r="N2075" t="str">
        <f t="shared" si="163"/>
        <v>R1011</v>
      </c>
      <c r="O2075" t="s">
        <v>42</v>
      </c>
    </row>
    <row r="2076" spans="1:15" x14ac:dyDescent="0.35">
      <c r="A2076" t="s">
        <v>2107</v>
      </c>
      <c r="C2076">
        <f t="shared" si="160"/>
        <v>2003</v>
      </c>
      <c r="D2076">
        <v>2003</v>
      </c>
      <c r="E2076" t="str">
        <f t="shared" si="164"/>
        <v>Nov</v>
      </c>
      <c r="F2076" t="s">
        <v>15</v>
      </c>
      <c r="G2076">
        <v>28</v>
      </c>
      <c r="H2076">
        <v>0</v>
      </c>
      <c r="I2076" s="21">
        <v>33307.550000000003</v>
      </c>
      <c r="J2076" t="str">
        <f t="shared" si="161"/>
        <v>tier - 2</v>
      </c>
      <c r="K2076" t="s">
        <v>11</v>
      </c>
      <c r="L2076" t="str">
        <f t="shared" si="162"/>
        <v>tier - 3</v>
      </c>
      <c r="M2076" t="s">
        <v>12</v>
      </c>
      <c r="N2076" t="str">
        <f t="shared" si="163"/>
        <v>R1012</v>
      </c>
      <c r="O2076" t="s">
        <v>23</v>
      </c>
    </row>
    <row r="2077" spans="1:15" x14ac:dyDescent="0.35">
      <c r="A2077" t="s">
        <v>2108</v>
      </c>
      <c r="C2077">
        <f t="shared" si="160"/>
        <v>1972</v>
      </c>
      <c r="D2077">
        <v>1972</v>
      </c>
      <c r="E2077" t="str">
        <f t="shared" si="164"/>
        <v>Sep</v>
      </c>
      <c r="F2077" t="s">
        <v>20</v>
      </c>
      <c r="G2077">
        <v>5</v>
      </c>
      <c r="H2077">
        <v>0</v>
      </c>
      <c r="I2077" s="21">
        <v>33344.449999999997</v>
      </c>
      <c r="J2077" t="str">
        <f t="shared" si="161"/>
        <v>tier - 2</v>
      </c>
      <c r="K2077" t="s">
        <v>11</v>
      </c>
      <c r="L2077" t="str">
        <f t="shared" si="162"/>
        <v>tier - 3</v>
      </c>
      <c r="M2077" t="s">
        <v>12</v>
      </c>
      <c r="N2077" t="str">
        <f t="shared" si="163"/>
        <v>R1011</v>
      </c>
      <c r="O2077" t="s">
        <v>42</v>
      </c>
    </row>
    <row r="2078" spans="1:15" x14ac:dyDescent="0.35">
      <c r="A2078" t="s">
        <v>2109</v>
      </c>
      <c r="C2078">
        <f t="shared" si="160"/>
        <v>1985</v>
      </c>
      <c r="D2078">
        <v>1985</v>
      </c>
      <c r="E2078" t="str">
        <f t="shared" si="164"/>
        <v>Dec</v>
      </c>
      <c r="F2078" t="s">
        <v>30</v>
      </c>
      <c r="G2078">
        <v>7</v>
      </c>
      <c r="H2078">
        <v>3</v>
      </c>
      <c r="I2078" s="21">
        <v>33450.99</v>
      </c>
      <c r="J2078" t="str">
        <f t="shared" si="161"/>
        <v>tier - 2</v>
      </c>
      <c r="K2078" t="s">
        <v>11</v>
      </c>
      <c r="L2078" t="str">
        <f t="shared" si="162"/>
        <v>tier - 2</v>
      </c>
      <c r="M2078" t="s">
        <v>11</v>
      </c>
      <c r="N2078" t="str">
        <f t="shared" si="163"/>
        <v>R1011</v>
      </c>
      <c r="O2078" t="s">
        <v>42</v>
      </c>
    </row>
    <row r="2079" spans="1:15" x14ac:dyDescent="0.35">
      <c r="A2079" t="s">
        <v>2110</v>
      </c>
      <c r="C2079">
        <f t="shared" si="160"/>
        <v>1970</v>
      </c>
      <c r="D2079">
        <v>1970</v>
      </c>
      <c r="E2079" t="str">
        <f t="shared" si="164"/>
        <v>Jun</v>
      </c>
      <c r="F2079" t="s">
        <v>18</v>
      </c>
      <c r="G2079">
        <v>18</v>
      </c>
      <c r="H2079">
        <v>2</v>
      </c>
      <c r="I2079" s="21">
        <v>33471.97</v>
      </c>
      <c r="J2079" t="str">
        <f t="shared" si="161"/>
        <v>tier - 2</v>
      </c>
      <c r="K2079" t="s">
        <v>11</v>
      </c>
      <c r="L2079" t="str">
        <f t="shared" si="162"/>
        <v>tier - 2</v>
      </c>
      <c r="M2079" t="s">
        <v>11</v>
      </c>
      <c r="N2079" t="str">
        <f t="shared" si="163"/>
        <v>R1012</v>
      </c>
      <c r="O2079" t="s">
        <v>23</v>
      </c>
    </row>
    <row r="2080" spans="1:15" x14ac:dyDescent="0.35">
      <c r="A2080" t="s">
        <v>2111</v>
      </c>
      <c r="C2080">
        <f t="shared" si="160"/>
        <v>2002</v>
      </c>
      <c r="D2080">
        <v>2002</v>
      </c>
      <c r="E2080" t="str">
        <f t="shared" si="164"/>
        <v>Aug</v>
      </c>
      <c r="F2080" t="s">
        <v>35</v>
      </c>
      <c r="G2080">
        <v>25</v>
      </c>
      <c r="H2080">
        <v>0</v>
      </c>
      <c r="I2080" s="21">
        <v>33475.82</v>
      </c>
      <c r="J2080" t="str">
        <f t="shared" si="161"/>
        <v>tier - 1</v>
      </c>
      <c r="K2080" t="s">
        <v>16</v>
      </c>
      <c r="L2080" t="str">
        <f t="shared" si="162"/>
        <v>tier - 1</v>
      </c>
      <c r="M2080" t="s">
        <v>16</v>
      </c>
      <c r="N2080" t="str">
        <f t="shared" si="163"/>
        <v>R1018</v>
      </c>
      <c r="O2080" t="s">
        <v>170</v>
      </c>
    </row>
    <row r="2081" spans="1:15" x14ac:dyDescent="0.35">
      <c r="A2081" t="s">
        <v>2112</v>
      </c>
      <c r="C2081">
        <f t="shared" si="160"/>
        <v>1984</v>
      </c>
      <c r="D2081">
        <v>1984</v>
      </c>
      <c r="E2081" t="str">
        <f t="shared" si="164"/>
        <v>Jul</v>
      </c>
      <c r="F2081" t="s">
        <v>10</v>
      </c>
      <c r="G2081">
        <v>22</v>
      </c>
      <c r="H2081">
        <v>3</v>
      </c>
      <c r="I2081" s="21">
        <v>33527.1</v>
      </c>
      <c r="J2081" t="str">
        <f t="shared" si="161"/>
        <v>tier - 2</v>
      </c>
      <c r="K2081" t="s">
        <v>11</v>
      </c>
      <c r="L2081" t="str">
        <f t="shared" si="162"/>
        <v>tier - 3</v>
      </c>
      <c r="M2081" t="s">
        <v>12</v>
      </c>
      <c r="N2081" t="str">
        <f t="shared" si="163"/>
        <v>R1011</v>
      </c>
      <c r="O2081" t="s">
        <v>42</v>
      </c>
    </row>
    <row r="2082" spans="1:15" x14ac:dyDescent="0.35">
      <c r="A2082" t="s">
        <v>2113</v>
      </c>
      <c r="C2082">
        <f t="shared" si="160"/>
        <v>2003</v>
      </c>
      <c r="D2082">
        <v>2003</v>
      </c>
      <c r="E2082" t="str">
        <f t="shared" si="164"/>
        <v>Sep</v>
      </c>
      <c r="F2082" t="s">
        <v>20</v>
      </c>
      <c r="G2082">
        <v>9</v>
      </c>
      <c r="H2082">
        <v>0</v>
      </c>
      <c r="I2082" s="21">
        <v>33611.71</v>
      </c>
      <c r="J2082" t="str">
        <f t="shared" si="161"/>
        <v>tier - 1</v>
      </c>
      <c r="K2082" t="s">
        <v>16</v>
      </c>
      <c r="L2082" t="str">
        <f t="shared" si="162"/>
        <v>tier - 2</v>
      </c>
      <c r="M2082" t="s">
        <v>11</v>
      </c>
      <c r="N2082" t="str">
        <f t="shared" si="163"/>
        <v>R1011</v>
      </c>
      <c r="O2082" t="s">
        <v>42</v>
      </c>
    </row>
    <row r="2083" spans="1:15" x14ac:dyDescent="0.35">
      <c r="A2083" t="s">
        <v>2114</v>
      </c>
      <c r="C2083">
        <f t="shared" si="160"/>
        <v>1993</v>
      </c>
      <c r="D2083">
        <v>1993</v>
      </c>
      <c r="E2083" t="str">
        <f t="shared" si="164"/>
        <v>Nov</v>
      </c>
      <c r="F2083" t="s">
        <v>15</v>
      </c>
      <c r="G2083">
        <v>28</v>
      </c>
      <c r="H2083">
        <v>0</v>
      </c>
      <c r="I2083" s="21">
        <v>33707.550000000003</v>
      </c>
      <c r="J2083" t="str">
        <f t="shared" si="161"/>
        <v>tier - 2</v>
      </c>
      <c r="K2083" t="s">
        <v>11</v>
      </c>
      <c r="L2083" t="str">
        <f t="shared" si="162"/>
        <v>tier - 2</v>
      </c>
      <c r="M2083" t="s">
        <v>11</v>
      </c>
      <c r="N2083" t="str">
        <f t="shared" si="163"/>
        <v>R1011</v>
      </c>
      <c r="O2083" t="s">
        <v>42</v>
      </c>
    </row>
    <row r="2084" spans="1:15" x14ac:dyDescent="0.35">
      <c r="A2084" t="s">
        <v>2115</v>
      </c>
      <c r="C2084">
        <f t="shared" si="160"/>
        <v>2004</v>
      </c>
      <c r="D2084">
        <v>2004</v>
      </c>
      <c r="E2084" t="str">
        <f t="shared" si="164"/>
        <v>Nov</v>
      </c>
      <c r="F2084" t="s">
        <v>15</v>
      </c>
      <c r="G2084">
        <v>1</v>
      </c>
      <c r="H2084">
        <v>0</v>
      </c>
      <c r="I2084" s="21">
        <v>33732.69</v>
      </c>
      <c r="J2084" t="str">
        <f t="shared" si="161"/>
        <v>tier - 1</v>
      </c>
      <c r="K2084" t="s">
        <v>16</v>
      </c>
      <c r="L2084" t="str">
        <f t="shared" si="162"/>
        <v>tier - 1</v>
      </c>
      <c r="M2084" t="s">
        <v>16</v>
      </c>
      <c r="N2084" t="str">
        <f t="shared" si="163"/>
        <v>R1017</v>
      </c>
      <c r="O2084" t="s">
        <v>356</v>
      </c>
    </row>
    <row r="2085" spans="1:15" x14ac:dyDescent="0.35">
      <c r="A2085" t="s">
        <v>2116</v>
      </c>
      <c r="C2085">
        <f t="shared" si="160"/>
        <v>2003</v>
      </c>
      <c r="D2085">
        <v>2003</v>
      </c>
      <c r="E2085" t="str">
        <f t="shared" si="164"/>
        <v>Sep</v>
      </c>
      <c r="F2085" t="s">
        <v>20</v>
      </c>
      <c r="G2085">
        <v>12</v>
      </c>
      <c r="H2085">
        <v>0</v>
      </c>
      <c r="I2085" s="21">
        <v>33750.29</v>
      </c>
      <c r="J2085" t="str">
        <f t="shared" si="161"/>
        <v>tier - 1</v>
      </c>
      <c r="K2085" t="s">
        <v>16</v>
      </c>
      <c r="L2085" t="str">
        <f t="shared" si="162"/>
        <v>tier - 3</v>
      </c>
      <c r="M2085" t="s">
        <v>12</v>
      </c>
      <c r="N2085" t="str">
        <f t="shared" si="163"/>
        <v>R1012</v>
      </c>
      <c r="O2085" t="s">
        <v>23</v>
      </c>
    </row>
    <row r="2086" spans="1:15" x14ac:dyDescent="0.35">
      <c r="A2086" t="s">
        <v>2117</v>
      </c>
      <c r="C2086">
        <f t="shared" si="160"/>
        <v>1962</v>
      </c>
      <c r="D2086">
        <v>1962</v>
      </c>
      <c r="E2086" t="str">
        <f t="shared" si="164"/>
        <v>Dec</v>
      </c>
      <c r="F2086" t="s">
        <v>30</v>
      </c>
      <c r="G2086">
        <v>11</v>
      </c>
      <c r="H2086">
        <v>0</v>
      </c>
      <c r="I2086" s="21">
        <v>33753.32</v>
      </c>
      <c r="J2086" t="str">
        <f t="shared" si="161"/>
        <v>tier - 1</v>
      </c>
      <c r="K2086" t="s">
        <v>16</v>
      </c>
      <c r="L2086" t="str">
        <f t="shared" si="162"/>
        <v>tier - 3</v>
      </c>
      <c r="M2086" t="s">
        <v>12</v>
      </c>
      <c r="N2086" t="str">
        <f t="shared" si="163"/>
        <v>R1011</v>
      </c>
      <c r="O2086" t="s">
        <v>42</v>
      </c>
    </row>
    <row r="2087" spans="1:15" x14ac:dyDescent="0.35">
      <c r="A2087" t="s">
        <v>2118</v>
      </c>
      <c r="C2087">
        <f t="shared" si="160"/>
        <v>2000</v>
      </c>
      <c r="D2087">
        <v>2000</v>
      </c>
      <c r="E2087" t="str">
        <f t="shared" si="164"/>
        <v>Oct</v>
      </c>
      <c r="F2087" t="s">
        <v>37</v>
      </c>
      <c r="G2087">
        <v>26</v>
      </c>
      <c r="H2087">
        <v>0</v>
      </c>
      <c r="I2087" s="21">
        <v>33829.39</v>
      </c>
      <c r="J2087" t="str">
        <f t="shared" si="161"/>
        <v>tier - 2</v>
      </c>
      <c r="K2087" t="s">
        <v>11</v>
      </c>
      <c r="L2087" t="str">
        <f t="shared" si="162"/>
        <v>tier - 3</v>
      </c>
      <c r="M2087" t="s">
        <v>12</v>
      </c>
      <c r="N2087" t="str">
        <f t="shared" si="163"/>
        <v>R1011</v>
      </c>
      <c r="O2087" t="s">
        <v>42</v>
      </c>
    </row>
    <row r="2088" spans="1:15" x14ac:dyDescent="0.35">
      <c r="A2088" t="s">
        <v>2119</v>
      </c>
      <c r="C2088">
        <f t="shared" si="160"/>
        <v>1997</v>
      </c>
      <c r="D2088">
        <v>1997</v>
      </c>
      <c r="E2088" t="str">
        <f t="shared" si="164"/>
        <v>Aug</v>
      </c>
      <c r="F2088" t="s">
        <v>35</v>
      </c>
      <c r="G2088">
        <v>9</v>
      </c>
      <c r="H2088">
        <v>0</v>
      </c>
      <c r="I2088" s="21">
        <v>33900.65</v>
      </c>
      <c r="J2088" t="str">
        <f t="shared" si="161"/>
        <v>tier - 2</v>
      </c>
      <c r="K2088" t="s">
        <v>11</v>
      </c>
      <c r="L2088" t="str">
        <f t="shared" si="162"/>
        <v>tier - 3</v>
      </c>
      <c r="M2088" t="s">
        <v>12</v>
      </c>
      <c r="N2088" t="str">
        <f t="shared" si="163"/>
        <v>R1011</v>
      </c>
      <c r="O2088" t="s">
        <v>42</v>
      </c>
    </row>
    <row r="2089" spans="1:15" x14ac:dyDescent="0.35">
      <c r="A2089" t="s">
        <v>2120</v>
      </c>
      <c r="C2089">
        <f t="shared" si="160"/>
        <v>2000</v>
      </c>
      <c r="D2089">
        <v>2000</v>
      </c>
      <c r="E2089" t="str">
        <f t="shared" si="164"/>
        <v>Dec</v>
      </c>
      <c r="F2089" t="s">
        <v>30</v>
      </c>
      <c r="G2089">
        <v>27</v>
      </c>
      <c r="H2089">
        <v>0</v>
      </c>
      <c r="I2089" s="21">
        <v>33907.550000000003</v>
      </c>
      <c r="J2089" t="str">
        <f t="shared" si="161"/>
        <v>tier - 2</v>
      </c>
      <c r="K2089" t="s">
        <v>11</v>
      </c>
      <c r="L2089" t="str">
        <f t="shared" si="162"/>
        <v>tier - 2</v>
      </c>
      <c r="M2089" t="s">
        <v>11</v>
      </c>
      <c r="N2089" t="str">
        <f t="shared" si="163"/>
        <v>R1012</v>
      </c>
      <c r="O2089" t="s">
        <v>23</v>
      </c>
    </row>
    <row r="2090" spans="1:15" x14ac:dyDescent="0.35">
      <c r="A2090" t="s">
        <v>2121</v>
      </c>
      <c r="C2090">
        <f t="shared" si="160"/>
        <v>1994</v>
      </c>
      <c r="D2090">
        <v>1994</v>
      </c>
      <c r="E2090" t="str">
        <f t="shared" si="164"/>
        <v>Sep</v>
      </c>
      <c r="F2090" t="s">
        <v>20</v>
      </c>
      <c r="G2090">
        <v>25</v>
      </c>
      <c r="H2090">
        <v>0</v>
      </c>
      <c r="I2090" s="21">
        <v>33975.47</v>
      </c>
      <c r="J2090" t="str">
        <f t="shared" si="161"/>
        <v>tier - 2</v>
      </c>
      <c r="K2090" t="s">
        <v>11</v>
      </c>
      <c r="L2090" t="str">
        <f t="shared" si="162"/>
        <v>tier - 2</v>
      </c>
      <c r="M2090" t="s">
        <v>11</v>
      </c>
      <c r="N2090" t="str">
        <f t="shared" si="163"/>
        <v>R1011</v>
      </c>
      <c r="O2090" t="s">
        <v>42</v>
      </c>
    </row>
    <row r="2091" spans="1:15" x14ac:dyDescent="0.35">
      <c r="A2091" t="s">
        <v>2122</v>
      </c>
      <c r="C2091">
        <f t="shared" si="160"/>
        <v>1972</v>
      </c>
      <c r="D2091">
        <v>1972</v>
      </c>
      <c r="E2091" t="str">
        <f t="shared" si="164"/>
        <v>Jul</v>
      </c>
      <c r="F2091" t="s">
        <v>10</v>
      </c>
      <c r="G2091">
        <v>26</v>
      </c>
      <c r="H2091">
        <v>0</v>
      </c>
      <c r="I2091" s="21">
        <v>34053.360000000001</v>
      </c>
      <c r="J2091" t="str">
        <f t="shared" si="161"/>
        <v>tier - 2</v>
      </c>
      <c r="K2091" t="s">
        <v>11</v>
      </c>
      <c r="L2091" t="str">
        <f t="shared" si="162"/>
        <v>tier - 2</v>
      </c>
      <c r="M2091" t="s">
        <v>11</v>
      </c>
      <c r="N2091" t="str">
        <f t="shared" si="163"/>
        <v>R1011</v>
      </c>
      <c r="O2091" t="s">
        <v>42</v>
      </c>
    </row>
    <row r="2092" spans="1:15" x14ac:dyDescent="0.35">
      <c r="A2092" t="s">
        <v>2123</v>
      </c>
      <c r="C2092">
        <f t="shared" si="160"/>
        <v>2002</v>
      </c>
      <c r="D2092">
        <v>2002</v>
      </c>
      <c r="E2092" t="str">
        <f t="shared" si="164"/>
        <v>Dec</v>
      </c>
      <c r="F2092" t="s">
        <v>30</v>
      </c>
      <c r="G2092">
        <v>26</v>
      </c>
      <c r="H2092">
        <v>0</v>
      </c>
      <c r="I2092" s="21">
        <v>34084.68</v>
      </c>
      <c r="J2092" t="str">
        <f t="shared" si="161"/>
        <v>tier - 2</v>
      </c>
      <c r="K2092" t="s">
        <v>11</v>
      </c>
      <c r="L2092" t="str">
        <f t="shared" si="162"/>
        <v>tier - 3</v>
      </c>
      <c r="M2092" t="s">
        <v>12</v>
      </c>
      <c r="N2092" t="str">
        <f t="shared" si="163"/>
        <v>R1011</v>
      </c>
      <c r="O2092" t="s">
        <v>42</v>
      </c>
    </row>
    <row r="2093" spans="1:15" x14ac:dyDescent="0.35">
      <c r="A2093" t="s">
        <v>2124</v>
      </c>
      <c r="C2093">
        <f t="shared" si="160"/>
        <v>1999</v>
      </c>
      <c r="D2093">
        <v>1999</v>
      </c>
      <c r="E2093" t="str">
        <f t="shared" si="164"/>
        <v>Nov</v>
      </c>
      <c r="F2093" t="s">
        <v>15</v>
      </c>
      <c r="G2093">
        <v>6</v>
      </c>
      <c r="H2093">
        <v>0</v>
      </c>
      <c r="I2093" s="21">
        <v>34166.269999999997</v>
      </c>
      <c r="J2093" t="str">
        <f t="shared" si="161"/>
        <v>tier - 2</v>
      </c>
      <c r="K2093" t="s">
        <v>11</v>
      </c>
      <c r="L2093" t="str">
        <f t="shared" si="162"/>
        <v>tier - 3</v>
      </c>
      <c r="M2093" t="s">
        <v>12</v>
      </c>
      <c r="N2093" t="str">
        <f t="shared" si="163"/>
        <v>R1011</v>
      </c>
      <c r="O2093" t="s">
        <v>42</v>
      </c>
    </row>
    <row r="2094" spans="1:15" x14ac:dyDescent="0.35">
      <c r="A2094" t="s">
        <v>2125</v>
      </c>
      <c r="C2094">
        <f t="shared" si="160"/>
        <v>1971</v>
      </c>
      <c r="D2094">
        <v>1971</v>
      </c>
      <c r="E2094" t="str">
        <f t="shared" si="164"/>
        <v>Aug</v>
      </c>
      <c r="F2094" t="s">
        <v>35</v>
      </c>
      <c r="G2094">
        <v>25</v>
      </c>
      <c r="H2094">
        <v>0</v>
      </c>
      <c r="I2094" s="21">
        <v>34205.07</v>
      </c>
      <c r="J2094" t="str">
        <f t="shared" si="161"/>
        <v>tier - 2</v>
      </c>
      <c r="K2094" t="s">
        <v>11</v>
      </c>
      <c r="L2094" t="str">
        <f t="shared" si="162"/>
        <v>tier - 2</v>
      </c>
      <c r="M2094" t="s">
        <v>11</v>
      </c>
      <c r="N2094" t="str">
        <f t="shared" si="163"/>
        <v>R1011</v>
      </c>
      <c r="O2094" t="s">
        <v>42</v>
      </c>
    </row>
    <row r="2095" spans="1:15" x14ac:dyDescent="0.35">
      <c r="A2095" t="s">
        <v>2126</v>
      </c>
      <c r="C2095">
        <f t="shared" si="160"/>
        <v>1975</v>
      </c>
      <c r="D2095">
        <v>1975</v>
      </c>
      <c r="E2095" t="str">
        <f t="shared" si="164"/>
        <v>Jul</v>
      </c>
      <c r="F2095" t="s">
        <v>10</v>
      </c>
      <c r="G2095">
        <v>21</v>
      </c>
      <c r="H2095">
        <v>1</v>
      </c>
      <c r="I2095" s="21">
        <v>34210.33</v>
      </c>
      <c r="J2095" t="str">
        <f t="shared" si="161"/>
        <v>tier - 2</v>
      </c>
      <c r="K2095" t="s">
        <v>11</v>
      </c>
      <c r="L2095" t="str">
        <f t="shared" si="162"/>
        <v>tier - 1</v>
      </c>
      <c r="M2095" t="s">
        <v>16</v>
      </c>
      <c r="N2095" t="str">
        <f t="shared" si="163"/>
        <v>R1012</v>
      </c>
      <c r="O2095" t="s">
        <v>23</v>
      </c>
    </row>
    <row r="2096" spans="1:15" x14ac:dyDescent="0.35">
      <c r="A2096" t="s">
        <v>2127</v>
      </c>
      <c r="C2096">
        <f t="shared" si="160"/>
        <v>1962</v>
      </c>
      <c r="D2096">
        <v>1962</v>
      </c>
      <c r="E2096" t="str">
        <f t="shared" si="164"/>
        <v>Jul</v>
      </c>
      <c r="F2096" t="s">
        <v>10</v>
      </c>
      <c r="G2096">
        <v>5</v>
      </c>
      <c r="H2096">
        <v>0</v>
      </c>
      <c r="I2096" s="21">
        <v>34218.019999999997</v>
      </c>
      <c r="J2096" t="str">
        <f t="shared" si="161"/>
        <v>tier - 1</v>
      </c>
      <c r="K2096" t="s">
        <v>16</v>
      </c>
      <c r="L2096" t="str">
        <f t="shared" si="162"/>
        <v>tier - 1</v>
      </c>
      <c r="M2096" t="s">
        <v>16</v>
      </c>
      <c r="N2096" t="str">
        <f t="shared" si="163"/>
        <v>R1011</v>
      </c>
      <c r="O2096" t="s">
        <v>42</v>
      </c>
    </row>
    <row r="2097" spans="1:15" x14ac:dyDescent="0.35">
      <c r="A2097" t="s">
        <v>2128</v>
      </c>
      <c r="C2097">
        <f t="shared" si="160"/>
        <v>1998</v>
      </c>
      <c r="D2097">
        <v>1998</v>
      </c>
      <c r="E2097" t="str">
        <f t="shared" si="164"/>
        <v>Jun</v>
      </c>
      <c r="F2097" t="s">
        <v>18</v>
      </c>
      <c r="G2097">
        <v>11</v>
      </c>
      <c r="H2097">
        <v>0</v>
      </c>
      <c r="I2097" s="21">
        <v>34254.050000000003</v>
      </c>
      <c r="J2097" t="str">
        <f t="shared" si="161"/>
        <v>tier - 1</v>
      </c>
      <c r="K2097" t="s">
        <v>16</v>
      </c>
      <c r="L2097" t="str">
        <f t="shared" si="162"/>
        <v>tier - 3</v>
      </c>
      <c r="M2097" t="s">
        <v>12</v>
      </c>
      <c r="N2097" t="str">
        <f t="shared" si="163"/>
        <v>R1019</v>
      </c>
      <c r="O2097" t="s">
        <v>166</v>
      </c>
    </row>
    <row r="2098" spans="1:15" x14ac:dyDescent="0.35">
      <c r="A2098" t="s">
        <v>2129</v>
      </c>
      <c r="C2098">
        <f t="shared" si="160"/>
        <v>1995</v>
      </c>
      <c r="D2098">
        <v>1995</v>
      </c>
      <c r="E2098" t="str">
        <f t="shared" si="164"/>
        <v>Oct</v>
      </c>
      <c r="F2098" t="s">
        <v>37</v>
      </c>
      <c r="G2098">
        <v>30</v>
      </c>
      <c r="H2098">
        <v>0</v>
      </c>
      <c r="I2098" s="21">
        <v>34289.43</v>
      </c>
      <c r="J2098" t="str">
        <f t="shared" si="161"/>
        <v>tier - 1</v>
      </c>
      <c r="K2098" t="s">
        <v>16</v>
      </c>
      <c r="L2098" t="str">
        <f t="shared" si="162"/>
        <v>tier - 1</v>
      </c>
      <c r="M2098" t="s">
        <v>16</v>
      </c>
      <c r="N2098" t="str">
        <f t="shared" si="163"/>
        <v>R1011</v>
      </c>
      <c r="O2098" t="s">
        <v>42</v>
      </c>
    </row>
    <row r="2099" spans="1:15" x14ac:dyDescent="0.35">
      <c r="A2099" t="s">
        <v>2130</v>
      </c>
      <c r="C2099">
        <f t="shared" si="160"/>
        <v>1986</v>
      </c>
      <c r="D2099">
        <v>1986</v>
      </c>
      <c r="E2099" t="str">
        <f t="shared" si="164"/>
        <v>Oct</v>
      </c>
      <c r="F2099" t="s">
        <v>37</v>
      </c>
      <c r="G2099">
        <v>11</v>
      </c>
      <c r="H2099">
        <v>3</v>
      </c>
      <c r="I2099" s="21">
        <v>34293.120000000003</v>
      </c>
      <c r="J2099" t="str">
        <f t="shared" si="161"/>
        <v>tier - 1</v>
      </c>
      <c r="K2099" t="s">
        <v>16</v>
      </c>
      <c r="L2099" t="str">
        <f t="shared" si="162"/>
        <v>tier - 2</v>
      </c>
      <c r="M2099" t="s">
        <v>11</v>
      </c>
      <c r="N2099" t="str">
        <f t="shared" si="163"/>
        <v>R1011</v>
      </c>
      <c r="O2099" t="s">
        <v>42</v>
      </c>
    </row>
    <row r="2100" spans="1:15" x14ac:dyDescent="0.35">
      <c r="A2100" t="s">
        <v>2131</v>
      </c>
      <c r="C2100">
        <f t="shared" si="160"/>
        <v>2004</v>
      </c>
      <c r="D2100">
        <v>2004</v>
      </c>
      <c r="E2100" t="str">
        <f t="shared" si="164"/>
        <v>Nov</v>
      </c>
      <c r="F2100" t="s">
        <v>15</v>
      </c>
      <c r="G2100">
        <v>1</v>
      </c>
      <c r="H2100">
        <v>2</v>
      </c>
      <c r="I2100" s="21">
        <v>34303.17</v>
      </c>
      <c r="J2100" t="str">
        <f t="shared" si="161"/>
        <v>tier - 1</v>
      </c>
      <c r="K2100" t="s">
        <v>16</v>
      </c>
      <c r="L2100" t="str">
        <f t="shared" si="162"/>
        <v>tier - 3</v>
      </c>
      <c r="M2100" t="s">
        <v>12</v>
      </c>
      <c r="N2100" t="str">
        <f t="shared" si="163"/>
        <v>R1013</v>
      </c>
      <c r="O2100" t="s">
        <v>13</v>
      </c>
    </row>
    <row r="2101" spans="1:15" x14ac:dyDescent="0.35">
      <c r="A2101" t="s">
        <v>2132</v>
      </c>
      <c r="C2101">
        <f t="shared" si="160"/>
        <v>1983</v>
      </c>
      <c r="D2101">
        <v>1983</v>
      </c>
      <c r="E2101" t="str">
        <f t="shared" si="164"/>
        <v>Oct</v>
      </c>
      <c r="F2101" t="s">
        <v>37</v>
      </c>
      <c r="G2101">
        <v>2</v>
      </c>
      <c r="H2101">
        <v>3</v>
      </c>
      <c r="I2101" s="21">
        <v>34307.22</v>
      </c>
      <c r="J2101" t="str">
        <f t="shared" si="161"/>
        <v>tier - 2</v>
      </c>
      <c r="K2101" t="s">
        <v>11</v>
      </c>
      <c r="L2101" t="str">
        <f t="shared" si="162"/>
        <v>tier - 2</v>
      </c>
      <c r="M2101" t="s">
        <v>11</v>
      </c>
      <c r="N2101" t="str">
        <f t="shared" si="163"/>
        <v>R1012</v>
      </c>
      <c r="O2101" t="s">
        <v>23</v>
      </c>
    </row>
    <row r="2102" spans="1:15" x14ac:dyDescent="0.35">
      <c r="A2102" t="s">
        <v>2133</v>
      </c>
      <c r="C2102">
        <f t="shared" si="160"/>
        <v>1984</v>
      </c>
      <c r="D2102">
        <v>1984</v>
      </c>
      <c r="E2102" t="str">
        <f t="shared" si="164"/>
        <v>Oct</v>
      </c>
      <c r="F2102" t="s">
        <v>37</v>
      </c>
      <c r="G2102">
        <v>1</v>
      </c>
      <c r="H2102">
        <v>3</v>
      </c>
      <c r="I2102" s="21">
        <v>34402.22</v>
      </c>
      <c r="J2102" t="str">
        <f t="shared" si="161"/>
        <v>tier - 2</v>
      </c>
      <c r="K2102" t="s">
        <v>11</v>
      </c>
      <c r="L2102" t="str">
        <f t="shared" si="162"/>
        <v>tier - 3</v>
      </c>
      <c r="M2102" t="s">
        <v>12</v>
      </c>
      <c r="N2102" t="str">
        <f t="shared" si="163"/>
        <v>R1011</v>
      </c>
      <c r="O2102" t="s">
        <v>42</v>
      </c>
    </row>
    <row r="2103" spans="1:15" x14ac:dyDescent="0.35">
      <c r="A2103" t="s">
        <v>2134</v>
      </c>
      <c r="C2103">
        <f t="shared" si="160"/>
        <v>2003</v>
      </c>
      <c r="D2103">
        <v>2003</v>
      </c>
      <c r="E2103" t="str">
        <f t="shared" si="164"/>
        <v>Oct</v>
      </c>
      <c r="F2103" t="s">
        <v>37</v>
      </c>
      <c r="G2103">
        <v>5</v>
      </c>
      <c r="H2103">
        <v>0</v>
      </c>
      <c r="I2103" s="21">
        <v>34439.86</v>
      </c>
      <c r="J2103" t="str">
        <f t="shared" si="161"/>
        <v>tier - 2</v>
      </c>
      <c r="K2103" t="s">
        <v>11</v>
      </c>
      <c r="L2103" t="str">
        <f t="shared" si="162"/>
        <v>tier - 1</v>
      </c>
      <c r="M2103" t="s">
        <v>16</v>
      </c>
      <c r="N2103" t="str">
        <f t="shared" si="163"/>
        <v>R1013</v>
      </c>
      <c r="O2103" t="s">
        <v>13</v>
      </c>
    </row>
    <row r="2104" spans="1:15" x14ac:dyDescent="0.35">
      <c r="A2104" t="s">
        <v>2135</v>
      </c>
      <c r="C2104">
        <f t="shared" si="160"/>
        <v>1990</v>
      </c>
      <c r="D2104">
        <v>1990</v>
      </c>
      <c r="E2104" t="str">
        <f t="shared" si="164"/>
        <v>Sep</v>
      </c>
      <c r="F2104" t="s">
        <v>20</v>
      </c>
      <c r="G2104">
        <v>24</v>
      </c>
      <c r="H2104">
        <v>3</v>
      </c>
      <c r="I2104" s="21">
        <v>34456.269999999997</v>
      </c>
      <c r="J2104" t="str">
        <f t="shared" si="161"/>
        <v>tier - 1</v>
      </c>
      <c r="K2104" t="s">
        <v>16</v>
      </c>
      <c r="L2104" t="str">
        <f t="shared" si="162"/>
        <v>tier - 2</v>
      </c>
      <c r="M2104" t="s">
        <v>11</v>
      </c>
      <c r="N2104" t="str">
        <f t="shared" si="163"/>
        <v>R1011</v>
      </c>
      <c r="O2104" t="s">
        <v>42</v>
      </c>
    </row>
    <row r="2105" spans="1:15" x14ac:dyDescent="0.35">
      <c r="A2105" t="s">
        <v>2136</v>
      </c>
      <c r="C2105">
        <f t="shared" si="160"/>
        <v>1998</v>
      </c>
      <c r="D2105">
        <v>1998</v>
      </c>
      <c r="E2105" t="str">
        <f t="shared" si="164"/>
        <v>Jun</v>
      </c>
      <c r="F2105" t="s">
        <v>18</v>
      </c>
      <c r="G2105">
        <v>24</v>
      </c>
      <c r="H2105">
        <v>0</v>
      </c>
      <c r="I2105" s="21">
        <v>34472.839999999997</v>
      </c>
      <c r="J2105" t="str">
        <f t="shared" si="161"/>
        <v>tier - 1</v>
      </c>
      <c r="K2105" t="s">
        <v>16</v>
      </c>
      <c r="L2105" t="str">
        <f t="shared" si="162"/>
        <v>tier - 3</v>
      </c>
      <c r="M2105" t="s">
        <v>12</v>
      </c>
      <c r="N2105" t="str">
        <f t="shared" si="163"/>
        <v>R1011</v>
      </c>
      <c r="O2105" t="s">
        <v>42</v>
      </c>
    </row>
    <row r="2106" spans="1:15" x14ac:dyDescent="0.35">
      <c r="A2106" t="s">
        <v>2137</v>
      </c>
      <c r="C2106">
        <f t="shared" si="160"/>
        <v>1976</v>
      </c>
      <c r="D2106">
        <v>1976</v>
      </c>
      <c r="E2106" t="str">
        <f t="shared" si="164"/>
        <v>Nov</v>
      </c>
      <c r="F2106" t="s">
        <v>15</v>
      </c>
      <c r="G2106">
        <v>25</v>
      </c>
      <c r="H2106">
        <v>2</v>
      </c>
      <c r="I2106" s="21">
        <v>34543.39</v>
      </c>
      <c r="J2106" t="str">
        <f t="shared" si="161"/>
        <v>tier - 2</v>
      </c>
      <c r="K2106" t="s">
        <v>11</v>
      </c>
      <c r="L2106" t="str">
        <f t="shared" si="162"/>
        <v>tier - 3</v>
      </c>
      <c r="M2106" t="s">
        <v>12</v>
      </c>
      <c r="N2106" t="str">
        <f t="shared" si="163"/>
        <v>R1011</v>
      </c>
      <c r="O2106" t="s">
        <v>42</v>
      </c>
    </row>
    <row r="2107" spans="1:15" x14ac:dyDescent="0.35">
      <c r="A2107" t="s">
        <v>2138</v>
      </c>
      <c r="C2107">
        <f t="shared" si="160"/>
        <v>2004</v>
      </c>
      <c r="D2107">
        <v>2004</v>
      </c>
      <c r="E2107" t="str">
        <f t="shared" si="164"/>
        <v>Oct</v>
      </c>
      <c r="F2107" t="s">
        <v>37</v>
      </c>
      <c r="G2107">
        <v>9</v>
      </c>
      <c r="H2107">
        <v>0</v>
      </c>
      <c r="I2107" s="21">
        <v>34617.839999999997</v>
      </c>
      <c r="J2107" t="str">
        <f t="shared" si="161"/>
        <v>tier - 1</v>
      </c>
      <c r="K2107" t="s">
        <v>16</v>
      </c>
      <c r="L2107" t="str">
        <f t="shared" si="162"/>
        <v>tier - 3</v>
      </c>
      <c r="M2107" t="s">
        <v>12</v>
      </c>
      <c r="N2107" t="str">
        <f t="shared" si="163"/>
        <v>R1016</v>
      </c>
      <c r="O2107" t="s">
        <v>168</v>
      </c>
    </row>
    <row r="2108" spans="1:15" x14ac:dyDescent="0.35">
      <c r="A2108" t="s">
        <v>2139</v>
      </c>
      <c r="C2108">
        <f t="shared" si="160"/>
        <v>1994</v>
      </c>
      <c r="D2108">
        <v>1994</v>
      </c>
      <c r="E2108" t="str">
        <f t="shared" si="164"/>
        <v>Jul</v>
      </c>
      <c r="F2108" t="s">
        <v>10</v>
      </c>
      <c r="G2108">
        <v>7</v>
      </c>
      <c r="H2108">
        <v>0</v>
      </c>
      <c r="I2108" s="21">
        <v>34672.15</v>
      </c>
      <c r="J2108" t="str">
        <f t="shared" si="161"/>
        <v>tier - 1</v>
      </c>
      <c r="K2108" t="s">
        <v>16</v>
      </c>
      <c r="L2108" t="str">
        <f t="shared" si="162"/>
        <v>tier - 3</v>
      </c>
      <c r="M2108" t="s">
        <v>12</v>
      </c>
      <c r="N2108" t="str">
        <f t="shared" si="163"/>
        <v>R1013</v>
      </c>
      <c r="O2108" t="s">
        <v>13</v>
      </c>
    </row>
    <row r="2109" spans="1:15" x14ac:dyDescent="0.35">
      <c r="A2109" t="s">
        <v>2140</v>
      </c>
      <c r="C2109">
        <f t="shared" si="160"/>
        <v>2003</v>
      </c>
      <c r="D2109">
        <v>2003</v>
      </c>
      <c r="E2109" t="str">
        <f t="shared" si="164"/>
        <v>Jul</v>
      </c>
      <c r="F2109" t="s">
        <v>10</v>
      </c>
      <c r="G2109">
        <v>3</v>
      </c>
      <c r="H2109">
        <v>0</v>
      </c>
      <c r="I2109" s="21">
        <v>34779.620000000003</v>
      </c>
      <c r="J2109" t="str">
        <f t="shared" si="161"/>
        <v>tier - 1</v>
      </c>
      <c r="K2109" t="s">
        <v>16</v>
      </c>
      <c r="L2109" t="str">
        <f t="shared" si="162"/>
        <v>tier - 2</v>
      </c>
      <c r="M2109" t="s">
        <v>11</v>
      </c>
      <c r="N2109" t="str">
        <f t="shared" si="163"/>
        <v>R1011</v>
      </c>
      <c r="O2109" t="s">
        <v>42</v>
      </c>
    </row>
    <row r="2110" spans="1:15" x14ac:dyDescent="0.35">
      <c r="A2110" t="s">
        <v>2141</v>
      </c>
      <c r="C2110">
        <f t="shared" si="160"/>
        <v>1995</v>
      </c>
      <c r="D2110">
        <v>1995</v>
      </c>
      <c r="E2110" t="str">
        <f t="shared" si="164"/>
        <v>Dec</v>
      </c>
      <c r="F2110" t="s">
        <v>30</v>
      </c>
      <c r="G2110">
        <v>27</v>
      </c>
      <c r="H2110">
        <v>1</v>
      </c>
      <c r="I2110" s="21">
        <v>34806.47</v>
      </c>
      <c r="J2110" t="str">
        <f t="shared" si="161"/>
        <v>tier - 1</v>
      </c>
      <c r="K2110" t="s">
        <v>16</v>
      </c>
      <c r="L2110" t="str">
        <f t="shared" si="162"/>
        <v>tier - 2</v>
      </c>
      <c r="M2110" t="s">
        <v>11</v>
      </c>
      <c r="N2110" t="str">
        <f t="shared" si="163"/>
        <v>R1013</v>
      </c>
      <c r="O2110" t="s">
        <v>13</v>
      </c>
    </row>
    <row r="2111" spans="1:15" x14ac:dyDescent="0.35">
      <c r="A2111" t="s">
        <v>2142</v>
      </c>
      <c r="C2111">
        <f t="shared" si="160"/>
        <v>2003</v>
      </c>
      <c r="D2111">
        <v>2003</v>
      </c>
      <c r="E2111" t="str">
        <f t="shared" si="164"/>
        <v>Sep</v>
      </c>
      <c r="F2111" t="s">
        <v>20</v>
      </c>
      <c r="G2111">
        <v>17</v>
      </c>
      <c r="H2111">
        <v>0</v>
      </c>
      <c r="I2111" s="21">
        <v>34828.65</v>
      </c>
      <c r="J2111" t="str">
        <f t="shared" si="161"/>
        <v>tier - 1</v>
      </c>
      <c r="K2111" t="s">
        <v>16</v>
      </c>
      <c r="L2111" t="str">
        <f t="shared" si="162"/>
        <v>tier - 3</v>
      </c>
      <c r="M2111" t="s">
        <v>12</v>
      </c>
      <c r="N2111" t="str">
        <f t="shared" si="163"/>
        <v>R1011</v>
      </c>
      <c r="O2111" t="s">
        <v>42</v>
      </c>
    </row>
    <row r="2112" spans="1:15" x14ac:dyDescent="0.35">
      <c r="A2112" t="s">
        <v>2143</v>
      </c>
      <c r="C2112">
        <f t="shared" si="160"/>
        <v>1995</v>
      </c>
      <c r="D2112">
        <v>1995</v>
      </c>
      <c r="E2112" t="str">
        <f t="shared" si="164"/>
        <v>Oct</v>
      </c>
      <c r="F2112" t="s">
        <v>37</v>
      </c>
      <c r="G2112">
        <v>17</v>
      </c>
      <c r="H2112">
        <v>0</v>
      </c>
      <c r="I2112" s="21">
        <v>34838.870000000003</v>
      </c>
      <c r="J2112" t="str">
        <f t="shared" si="161"/>
        <v>tier - 2</v>
      </c>
      <c r="K2112" t="s">
        <v>11</v>
      </c>
      <c r="L2112" t="str">
        <f t="shared" si="162"/>
        <v>tier - 3</v>
      </c>
      <c r="M2112" t="s">
        <v>12</v>
      </c>
      <c r="N2112" t="str">
        <f t="shared" si="163"/>
        <v>R1011</v>
      </c>
      <c r="O2112" t="s">
        <v>42</v>
      </c>
    </row>
    <row r="2113" spans="1:15" x14ac:dyDescent="0.35">
      <c r="A2113" t="s">
        <v>2144</v>
      </c>
      <c r="C2113">
        <f t="shared" si="160"/>
        <v>1983</v>
      </c>
      <c r="D2113">
        <v>1983</v>
      </c>
      <c r="E2113" t="str">
        <f t="shared" si="164"/>
        <v>Jul</v>
      </c>
      <c r="F2113" t="s">
        <v>10</v>
      </c>
      <c r="G2113">
        <v>29</v>
      </c>
      <c r="H2113">
        <v>3</v>
      </c>
      <c r="I2113" s="21">
        <v>34940.61</v>
      </c>
      <c r="J2113" t="str">
        <f t="shared" si="161"/>
        <v>tier - 2</v>
      </c>
      <c r="K2113" t="s">
        <v>11</v>
      </c>
      <c r="L2113" t="str">
        <f t="shared" si="162"/>
        <v>tier - 3</v>
      </c>
      <c r="M2113" t="s">
        <v>12</v>
      </c>
      <c r="N2113" t="str">
        <f t="shared" si="163"/>
        <v>R1011</v>
      </c>
      <c r="O2113" t="s">
        <v>42</v>
      </c>
    </row>
    <row r="2114" spans="1:15" x14ac:dyDescent="0.35">
      <c r="A2114" t="s">
        <v>2145</v>
      </c>
      <c r="C2114">
        <f t="shared" si="160"/>
        <v>1967</v>
      </c>
      <c r="D2114">
        <v>1967</v>
      </c>
      <c r="E2114" t="str">
        <f t="shared" si="164"/>
        <v>Oct</v>
      </c>
      <c r="F2114" t="s">
        <v>37</v>
      </c>
      <c r="G2114">
        <v>7</v>
      </c>
      <c r="H2114">
        <v>0</v>
      </c>
      <c r="I2114" s="21">
        <v>34975.68</v>
      </c>
      <c r="J2114" t="str">
        <f t="shared" si="161"/>
        <v>tier - 2</v>
      </c>
      <c r="K2114" t="s">
        <v>11</v>
      </c>
      <c r="L2114" t="str">
        <f t="shared" si="162"/>
        <v>tier - 2</v>
      </c>
      <c r="M2114" t="s">
        <v>11</v>
      </c>
      <c r="N2114" t="str">
        <f t="shared" si="163"/>
        <v>R1011</v>
      </c>
      <c r="O2114" t="s">
        <v>42</v>
      </c>
    </row>
    <row r="2115" spans="1:15" x14ac:dyDescent="0.35">
      <c r="A2115" t="s">
        <v>2146</v>
      </c>
      <c r="C2115">
        <f t="shared" ref="C2115:C2178" si="165">IF(OR(D2115="?", ISBLANK(D2115)), 1983, D2115)</f>
        <v>1998</v>
      </c>
      <c r="D2115">
        <v>1998</v>
      </c>
      <c r="E2115" t="str">
        <f t="shared" si="164"/>
        <v>Aug</v>
      </c>
      <c r="F2115" t="s">
        <v>35</v>
      </c>
      <c r="G2115">
        <v>22</v>
      </c>
      <c r="H2115">
        <v>0</v>
      </c>
      <c r="I2115" s="21">
        <v>34976.42</v>
      </c>
      <c r="J2115" t="str">
        <f t="shared" ref="J2115:J2178" si="166">IF(OR(K2115="?", ISBLANK(K2115)), "Tier 2", K2115)</f>
        <v>tier - 2</v>
      </c>
      <c r="K2115" t="s">
        <v>11</v>
      </c>
      <c r="L2115" t="str">
        <f t="shared" ref="L2115:L2178" si="167">IF(OR(M2115="?", ISBLANK(M2115)), "Tier 2", M2115)</f>
        <v>tier - 1</v>
      </c>
      <c r="M2115" t="s">
        <v>16</v>
      </c>
      <c r="N2115" t="str">
        <f t="shared" ref="N2115:N2178" si="168">IF(OR(O2115="?", ISBLANK(O2115)), "Unknown", O2115)</f>
        <v>R1011</v>
      </c>
      <c r="O2115" t="s">
        <v>42</v>
      </c>
    </row>
    <row r="2116" spans="1:15" x14ac:dyDescent="0.35">
      <c r="A2116" t="s">
        <v>2147</v>
      </c>
      <c r="C2116">
        <f t="shared" si="165"/>
        <v>1997</v>
      </c>
      <c r="D2116">
        <v>1997</v>
      </c>
      <c r="E2116" t="str">
        <f t="shared" ref="E2116:E2179" si="169">IF(OR(F2116="?", ISBLANK(F2116)), "Sep", F2116)</f>
        <v>Aug</v>
      </c>
      <c r="F2116" t="s">
        <v>35</v>
      </c>
      <c r="G2116">
        <v>22</v>
      </c>
      <c r="H2116">
        <v>0</v>
      </c>
      <c r="I2116" s="21">
        <v>34979.86</v>
      </c>
      <c r="J2116" t="str">
        <f t="shared" si="166"/>
        <v>tier - 2</v>
      </c>
      <c r="K2116" t="s">
        <v>11</v>
      </c>
      <c r="L2116" t="str">
        <f t="shared" si="167"/>
        <v>tier - 2</v>
      </c>
      <c r="M2116" t="s">
        <v>11</v>
      </c>
      <c r="N2116" t="str">
        <f t="shared" si="168"/>
        <v>R1011</v>
      </c>
      <c r="O2116" t="s">
        <v>42</v>
      </c>
    </row>
    <row r="2117" spans="1:15" x14ac:dyDescent="0.35">
      <c r="A2117" t="s">
        <v>2148</v>
      </c>
      <c r="C2117">
        <f t="shared" si="165"/>
        <v>1982</v>
      </c>
      <c r="D2117">
        <v>1982</v>
      </c>
      <c r="E2117" t="str">
        <f t="shared" si="169"/>
        <v>Jul</v>
      </c>
      <c r="F2117" t="s">
        <v>10</v>
      </c>
      <c r="G2117">
        <v>5</v>
      </c>
      <c r="H2117">
        <v>3</v>
      </c>
      <c r="I2117" s="21">
        <v>35000.730000000003</v>
      </c>
      <c r="J2117" t="str">
        <f t="shared" si="166"/>
        <v>tier - 2</v>
      </c>
      <c r="K2117" t="s">
        <v>11</v>
      </c>
      <c r="L2117" t="str">
        <f t="shared" si="167"/>
        <v>tier - 3</v>
      </c>
      <c r="M2117" t="s">
        <v>12</v>
      </c>
      <c r="N2117" t="str">
        <f t="shared" si="168"/>
        <v>R1011</v>
      </c>
      <c r="O2117" t="s">
        <v>42</v>
      </c>
    </row>
    <row r="2118" spans="1:15" x14ac:dyDescent="0.35">
      <c r="A2118" t="s">
        <v>2149</v>
      </c>
      <c r="C2118">
        <f t="shared" si="165"/>
        <v>1975</v>
      </c>
      <c r="D2118">
        <v>1975</v>
      </c>
      <c r="E2118" t="str">
        <f t="shared" si="169"/>
        <v>Aug</v>
      </c>
      <c r="F2118" t="s">
        <v>35</v>
      </c>
      <c r="G2118">
        <v>29</v>
      </c>
      <c r="H2118">
        <v>1</v>
      </c>
      <c r="I2118" s="21">
        <v>35050.620000000003</v>
      </c>
      <c r="J2118" t="str">
        <f t="shared" si="166"/>
        <v>tier - 2</v>
      </c>
      <c r="K2118" t="s">
        <v>11</v>
      </c>
      <c r="L2118" t="str">
        <f t="shared" si="167"/>
        <v>tier - 1</v>
      </c>
      <c r="M2118" t="s">
        <v>16</v>
      </c>
      <c r="N2118" t="str">
        <f t="shared" si="168"/>
        <v>R1011</v>
      </c>
      <c r="O2118" t="s">
        <v>42</v>
      </c>
    </row>
    <row r="2119" spans="1:15" x14ac:dyDescent="0.35">
      <c r="A2119" t="s">
        <v>2150</v>
      </c>
      <c r="C2119">
        <f t="shared" si="165"/>
        <v>1977</v>
      </c>
      <c r="D2119">
        <v>1977</v>
      </c>
      <c r="E2119" t="str">
        <f t="shared" si="169"/>
        <v>Jun</v>
      </c>
      <c r="F2119" t="s">
        <v>18</v>
      </c>
      <c r="G2119">
        <v>29</v>
      </c>
      <c r="H2119">
        <v>0</v>
      </c>
      <c r="I2119" s="21">
        <v>35069.370000000003</v>
      </c>
      <c r="J2119" t="str">
        <f t="shared" si="166"/>
        <v>tier - 1</v>
      </c>
      <c r="K2119" t="s">
        <v>16</v>
      </c>
      <c r="L2119" t="str">
        <f t="shared" si="167"/>
        <v>tier - 1</v>
      </c>
      <c r="M2119" t="s">
        <v>16</v>
      </c>
      <c r="N2119" t="str">
        <f t="shared" si="168"/>
        <v>R1017</v>
      </c>
      <c r="O2119" t="s">
        <v>356</v>
      </c>
    </row>
    <row r="2120" spans="1:15" x14ac:dyDescent="0.35">
      <c r="A2120" t="s">
        <v>2151</v>
      </c>
      <c r="C2120">
        <f t="shared" si="165"/>
        <v>1998</v>
      </c>
      <c r="D2120">
        <v>1998</v>
      </c>
      <c r="E2120" t="str">
        <f t="shared" si="169"/>
        <v>Dec</v>
      </c>
      <c r="F2120" t="s">
        <v>30</v>
      </c>
      <c r="G2120">
        <v>22</v>
      </c>
      <c r="H2120">
        <v>0</v>
      </c>
      <c r="I2120" s="21">
        <v>35147.53</v>
      </c>
      <c r="J2120" t="str">
        <f t="shared" si="166"/>
        <v>tier - 1</v>
      </c>
      <c r="K2120" t="s">
        <v>16</v>
      </c>
      <c r="L2120" t="str">
        <f t="shared" si="167"/>
        <v>tier - 1</v>
      </c>
      <c r="M2120" t="s">
        <v>16</v>
      </c>
      <c r="N2120" t="str">
        <f t="shared" si="168"/>
        <v>R1016</v>
      </c>
      <c r="O2120" t="s">
        <v>168</v>
      </c>
    </row>
    <row r="2121" spans="1:15" x14ac:dyDescent="0.35">
      <c r="A2121" t="s">
        <v>2152</v>
      </c>
      <c r="C2121">
        <f t="shared" si="165"/>
        <v>1967</v>
      </c>
      <c r="D2121">
        <v>1967</v>
      </c>
      <c r="E2121" t="str">
        <f t="shared" si="169"/>
        <v>Dec</v>
      </c>
      <c r="F2121" t="s">
        <v>30</v>
      </c>
      <c r="G2121">
        <v>30</v>
      </c>
      <c r="H2121">
        <v>1</v>
      </c>
      <c r="I2121" s="21">
        <v>35160.129999999997</v>
      </c>
      <c r="J2121" t="str">
        <f t="shared" si="166"/>
        <v>tier - 2</v>
      </c>
      <c r="K2121" t="s">
        <v>11</v>
      </c>
      <c r="L2121" t="str">
        <f t="shared" si="167"/>
        <v>tier - 2</v>
      </c>
      <c r="M2121" t="s">
        <v>11</v>
      </c>
      <c r="N2121" t="str">
        <f t="shared" si="168"/>
        <v>R1011</v>
      </c>
      <c r="O2121" t="s">
        <v>42</v>
      </c>
    </row>
    <row r="2122" spans="1:15" x14ac:dyDescent="0.35">
      <c r="A2122" t="s">
        <v>2153</v>
      </c>
      <c r="C2122">
        <f t="shared" si="165"/>
        <v>1997</v>
      </c>
      <c r="D2122">
        <v>1997</v>
      </c>
      <c r="E2122" t="str">
        <f t="shared" si="169"/>
        <v>Jul</v>
      </c>
      <c r="F2122" t="s">
        <v>10</v>
      </c>
      <c r="G2122">
        <v>9</v>
      </c>
      <c r="H2122">
        <v>0</v>
      </c>
      <c r="I2122" s="21">
        <v>35302.089999999997</v>
      </c>
      <c r="J2122" t="str">
        <f t="shared" si="166"/>
        <v>tier - 1</v>
      </c>
      <c r="K2122" t="s">
        <v>16</v>
      </c>
      <c r="L2122" t="str">
        <f t="shared" si="167"/>
        <v>tier - 2</v>
      </c>
      <c r="M2122" t="s">
        <v>11</v>
      </c>
      <c r="N2122" t="str">
        <f t="shared" si="168"/>
        <v>R1011</v>
      </c>
      <c r="O2122" t="s">
        <v>42</v>
      </c>
    </row>
    <row r="2123" spans="1:15" x14ac:dyDescent="0.35">
      <c r="A2123" t="s">
        <v>2154</v>
      </c>
      <c r="C2123">
        <f t="shared" si="165"/>
        <v>1988</v>
      </c>
      <c r="D2123">
        <v>1988</v>
      </c>
      <c r="E2123" t="str">
        <f t="shared" si="169"/>
        <v>Sep</v>
      </c>
      <c r="F2123" t="s">
        <v>20</v>
      </c>
      <c r="G2123">
        <v>19</v>
      </c>
      <c r="H2123">
        <v>3</v>
      </c>
      <c r="I2123" s="21">
        <v>35315.96</v>
      </c>
      <c r="J2123" t="str">
        <f t="shared" si="166"/>
        <v>tier - 2</v>
      </c>
      <c r="K2123" t="s">
        <v>11</v>
      </c>
      <c r="L2123" t="str">
        <f t="shared" si="167"/>
        <v>tier - 1</v>
      </c>
      <c r="M2123" t="s">
        <v>16</v>
      </c>
      <c r="N2123" t="str">
        <f t="shared" si="168"/>
        <v>R1011</v>
      </c>
      <c r="O2123" t="s">
        <v>42</v>
      </c>
    </row>
    <row r="2124" spans="1:15" x14ac:dyDescent="0.35">
      <c r="A2124" t="s">
        <v>2155</v>
      </c>
      <c r="C2124">
        <f t="shared" si="165"/>
        <v>1971</v>
      </c>
      <c r="D2124">
        <v>1971</v>
      </c>
      <c r="E2124" t="str">
        <f t="shared" si="169"/>
        <v>Sep</v>
      </c>
      <c r="F2124" t="s">
        <v>20</v>
      </c>
      <c r="G2124">
        <v>22</v>
      </c>
      <c r="H2124">
        <v>0</v>
      </c>
      <c r="I2124" s="21">
        <v>35345.730000000003</v>
      </c>
      <c r="J2124" t="str">
        <f t="shared" si="166"/>
        <v>tier - 2</v>
      </c>
      <c r="K2124" t="s">
        <v>11</v>
      </c>
      <c r="L2124" t="str">
        <f t="shared" si="167"/>
        <v>tier - 3</v>
      </c>
      <c r="M2124" t="s">
        <v>12</v>
      </c>
      <c r="N2124" t="str">
        <f t="shared" si="168"/>
        <v>R1011</v>
      </c>
      <c r="O2124" t="s">
        <v>42</v>
      </c>
    </row>
    <row r="2125" spans="1:15" x14ac:dyDescent="0.35">
      <c r="A2125" t="s">
        <v>2156</v>
      </c>
      <c r="C2125">
        <f t="shared" si="165"/>
        <v>1988</v>
      </c>
      <c r="D2125">
        <v>1988</v>
      </c>
      <c r="E2125" t="str">
        <f t="shared" si="169"/>
        <v>Nov</v>
      </c>
      <c r="F2125" t="s">
        <v>15</v>
      </c>
      <c r="G2125">
        <v>20</v>
      </c>
      <c r="H2125">
        <v>0</v>
      </c>
      <c r="I2125" s="21">
        <v>35491.64</v>
      </c>
      <c r="J2125" t="str">
        <f t="shared" si="166"/>
        <v>tier - 1</v>
      </c>
      <c r="K2125" t="s">
        <v>16</v>
      </c>
      <c r="L2125" t="str">
        <f t="shared" si="167"/>
        <v>tier - 2</v>
      </c>
      <c r="M2125" t="s">
        <v>11</v>
      </c>
      <c r="N2125" t="str">
        <f t="shared" si="168"/>
        <v>R1011</v>
      </c>
      <c r="O2125" t="s">
        <v>42</v>
      </c>
    </row>
    <row r="2126" spans="1:15" x14ac:dyDescent="0.35">
      <c r="A2126" t="s">
        <v>2157</v>
      </c>
      <c r="C2126">
        <f t="shared" si="165"/>
        <v>1973</v>
      </c>
      <c r="D2126">
        <v>1973</v>
      </c>
      <c r="E2126" t="str">
        <f t="shared" si="169"/>
        <v>Dec</v>
      </c>
      <c r="F2126" t="s">
        <v>30</v>
      </c>
      <c r="G2126">
        <v>16</v>
      </c>
      <c r="H2126">
        <v>0</v>
      </c>
      <c r="I2126" s="21">
        <v>35517.19</v>
      </c>
      <c r="J2126" t="str">
        <f t="shared" si="166"/>
        <v>tier - 2</v>
      </c>
      <c r="K2126" t="s">
        <v>11</v>
      </c>
      <c r="L2126" t="str">
        <f t="shared" si="167"/>
        <v>tier - 2</v>
      </c>
      <c r="M2126" t="s">
        <v>11</v>
      </c>
      <c r="N2126" t="str">
        <f t="shared" si="168"/>
        <v>R1011</v>
      </c>
      <c r="O2126" t="s">
        <v>42</v>
      </c>
    </row>
    <row r="2127" spans="1:15" x14ac:dyDescent="0.35">
      <c r="A2127" t="s">
        <v>2158</v>
      </c>
      <c r="C2127">
        <f t="shared" si="165"/>
        <v>1992</v>
      </c>
      <c r="D2127">
        <v>1992</v>
      </c>
      <c r="E2127" t="str">
        <f t="shared" si="169"/>
        <v>Sep</v>
      </c>
      <c r="F2127" t="s">
        <v>20</v>
      </c>
      <c r="G2127">
        <v>13</v>
      </c>
      <c r="H2127">
        <v>0</v>
      </c>
      <c r="I2127" s="21">
        <v>35547.47</v>
      </c>
      <c r="J2127" t="str">
        <f t="shared" si="166"/>
        <v>tier - 2</v>
      </c>
      <c r="K2127" t="s">
        <v>11</v>
      </c>
      <c r="L2127" t="str">
        <f t="shared" si="167"/>
        <v>tier - 3</v>
      </c>
      <c r="M2127" t="s">
        <v>12</v>
      </c>
      <c r="N2127" t="str">
        <f t="shared" si="168"/>
        <v>R1011</v>
      </c>
      <c r="O2127" t="s">
        <v>42</v>
      </c>
    </row>
    <row r="2128" spans="1:15" x14ac:dyDescent="0.35">
      <c r="A2128" t="s">
        <v>2159</v>
      </c>
      <c r="C2128">
        <f t="shared" si="165"/>
        <v>1973</v>
      </c>
      <c r="D2128">
        <v>1973</v>
      </c>
      <c r="E2128" t="str">
        <f t="shared" si="169"/>
        <v>Oct</v>
      </c>
      <c r="F2128" t="s">
        <v>37</v>
      </c>
      <c r="G2128">
        <v>27</v>
      </c>
      <c r="H2128">
        <v>0</v>
      </c>
      <c r="I2128" s="21">
        <v>35547.72</v>
      </c>
      <c r="J2128" t="str">
        <f t="shared" si="166"/>
        <v>tier - 1</v>
      </c>
      <c r="K2128" t="s">
        <v>16</v>
      </c>
      <c r="L2128" t="str">
        <f t="shared" si="167"/>
        <v>tier - 1</v>
      </c>
      <c r="M2128" t="s">
        <v>16</v>
      </c>
      <c r="N2128" t="str">
        <f t="shared" si="168"/>
        <v>R1011</v>
      </c>
      <c r="O2128" t="s">
        <v>42</v>
      </c>
    </row>
    <row r="2129" spans="1:15" x14ac:dyDescent="0.35">
      <c r="A2129" t="s">
        <v>2160</v>
      </c>
      <c r="C2129">
        <f t="shared" si="165"/>
        <v>1964</v>
      </c>
      <c r="D2129">
        <v>1964</v>
      </c>
      <c r="E2129" t="str">
        <f t="shared" si="169"/>
        <v>Aug</v>
      </c>
      <c r="F2129" t="s">
        <v>35</v>
      </c>
      <c r="G2129">
        <v>29</v>
      </c>
      <c r="H2129">
        <v>0</v>
      </c>
      <c r="I2129" s="21">
        <v>35573.26</v>
      </c>
      <c r="J2129" t="str">
        <f t="shared" si="166"/>
        <v>tier - 2</v>
      </c>
      <c r="K2129" t="s">
        <v>11</v>
      </c>
      <c r="L2129" t="str">
        <f t="shared" si="167"/>
        <v>tier - 1</v>
      </c>
      <c r="M2129" t="s">
        <v>16</v>
      </c>
      <c r="N2129" t="str">
        <f t="shared" si="168"/>
        <v>R1011</v>
      </c>
      <c r="O2129" t="s">
        <v>42</v>
      </c>
    </row>
    <row r="2130" spans="1:15" x14ac:dyDescent="0.35">
      <c r="A2130" t="s">
        <v>2161</v>
      </c>
      <c r="C2130">
        <f t="shared" si="165"/>
        <v>1971</v>
      </c>
      <c r="D2130">
        <v>1971</v>
      </c>
      <c r="E2130" t="str">
        <f t="shared" si="169"/>
        <v>Aug</v>
      </c>
      <c r="F2130" t="s">
        <v>35</v>
      </c>
      <c r="G2130">
        <v>10</v>
      </c>
      <c r="H2130">
        <v>0</v>
      </c>
      <c r="I2130" s="21">
        <v>35583.17</v>
      </c>
      <c r="J2130" t="str">
        <f t="shared" si="166"/>
        <v>tier - 1</v>
      </c>
      <c r="K2130" t="s">
        <v>16</v>
      </c>
      <c r="L2130" t="str">
        <f t="shared" si="167"/>
        <v>tier - 3</v>
      </c>
      <c r="M2130" t="s">
        <v>12</v>
      </c>
      <c r="N2130" t="str">
        <f t="shared" si="168"/>
        <v>R1011</v>
      </c>
      <c r="O2130" t="s">
        <v>42</v>
      </c>
    </row>
    <row r="2131" spans="1:15" x14ac:dyDescent="0.35">
      <c r="A2131" t="s">
        <v>31</v>
      </c>
      <c r="C2131">
        <f t="shared" si="165"/>
        <v>2000</v>
      </c>
      <c r="D2131">
        <v>2000</v>
      </c>
      <c r="E2131" t="str">
        <f t="shared" si="169"/>
        <v>Oct</v>
      </c>
      <c r="F2131" t="s">
        <v>37</v>
      </c>
      <c r="G2131">
        <v>13</v>
      </c>
      <c r="H2131">
        <v>0</v>
      </c>
      <c r="I2131" s="21">
        <v>35585.58</v>
      </c>
      <c r="J2131" t="str">
        <f t="shared" si="166"/>
        <v>tier - 1</v>
      </c>
      <c r="K2131" t="s">
        <v>16</v>
      </c>
      <c r="L2131" t="str">
        <f t="shared" si="167"/>
        <v>tier - 2</v>
      </c>
      <c r="M2131" t="s">
        <v>11</v>
      </c>
      <c r="N2131" t="str">
        <f t="shared" si="168"/>
        <v>R1011</v>
      </c>
      <c r="O2131" t="s">
        <v>42</v>
      </c>
    </row>
    <row r="2132" spans="1:15" x14ac:dyDescent="0.35">
      <c r="A2132" t="s">
        <v>2162</v>
      </c>
      <c r="C2132">
        <f t="shared" si="165"/>
        <v>2000</v>
      </c>
      <c r="D2132">
        <v>2000</v>
      </c>
      <c r="E2132" t="str">
        <f t="shared" si="169"/>
        <v>Nov</v>
      </c>
      <c r="F2132" t="s">
        <v>15</v>
      </c>
      <c r="G2132">
        <v>19</v>
      </c>
      <c r="H2132">
        <v>0</v>
      </c>
      <c r="I2132" s="21">
        <v>35585.58</v>
      </c>
      <c r="J2132" t="str">
        <f t="shared" si="166"/>
        <v>tier - 2</v>
      </c>
      <c r="K2132" t="s">
        <v>11</v>
      </c>
      <c r="L2132" t="str">
        <f t="shared" si="167"/>
        <v>tier - 3</v>
      </c>
      <c r="M2132" t="s">
        <v>12</v>
      </c>
      <c r="N2132" t="str">
        <f t="shared" si="168"/>
        <v>R1011</v>
      </c>
      <c r="O2132" t="s">
        <v>42</v>
      </c>
    </row>
    <row r="2133" spans="1:15" x14ac:dyDescent="0.35">
      <c r="A2133" t="s">
        <v>2163</v>
      </c>
      <c r="C2133">
        <f t="shared" si="165"/>
        <v>2000</v>
      </c>
      <c r="D2133">
        <v>2000</v>
      </c>
      <c r="E2133" t="str">
        <f t="shared" si="169"/>
        <v>Dec</v>
      </c>
      <c r="F2133" t="s">
        <v>30</v>
      </c>
      <c r="G2133">
        <v>17</v>
      </c>
      <c r="H2133">
        <v>3</v>
      </c>
      <c r="I2133" s="21">
        <v>35595.589999999997</v>
      </c>
      <c r="J2133" t="str">
        <f t="shared" si="166"/>
        <v>tier - 2</v>
      </c>
      <c r="K2133" t="s">
        <v>11</v>
      </c>
      <c r="L2133" t="str">
        <f t="shared" si="167"/>
        <v>tier - 3</v>
      </c>
      <c r="M2133" t="s">
        <v>12</v>
      </c>
      <c r="N2133" t="str">
        <f t="shared" si="168"/>
        <v>R1013</v>
      </c>
      <c r="O2133" t="s">
        <v>13</v>
      </c>
    </row>
    <row r="2134" spans="1:15" x14ac:dyDescent="0.35">
      <c r="A2134" t="s">
        <v>2164</v>
      </c>
      <c r="C2134">
        <f t="shared" si="165"/>
        <v>1978</v>
      </c>
      <c r="D2134">
        <v>1978</v>
      </c>
      <c r="E2134" t="str">
        <f t="shared" si="169"/>
        <v>Dec</v>
      </c>
      <c r="F2134" t="s">
        <v>30</v>
      </c>
      <c r="G2134">
        <v>19</v>
      </c>
      <c r="H2134">
        <v>2</v>
      </c>
      <c r="I2134" s="21">
        <v>35701.9</v>
      </c>
      <c r="J2134" t="str">
        <f t="shared" si="166"/>
        <v>tier - 2</v>
      </c>
      <c r="K2134" t="s">
        <v>11</v>
      </c>
      <c r="L2134" t="str">
        <f t="shared" si="167"/>
        <v>tier - 1</v>
      </c>
      <c r="M2134" t="s">
        <v>16</v>
      </c>
      <c r="N2134" t="str">
        <f t="shared" si="168"/>
        <v>R1011</v>
      </c>
      <c r="O2134" t="s">
        <v>42</v>
      </c>
    </row>
    <row r="2135" spans="1:15" x14ac:dyDescent="0.35">
      <c r="A2135" t="s">
        <v>2165</v>
      </c>
      <c r="C2135">
        <f t="shared" si="165"/>
        <v>1974</v>
      </c>
      <c r="D2135">
        <v>1974</v>
      </c>
      <c r="E2135" t="str">
        <f t="shared" si="169"/>
        <v>Jul</v>
      </c>
      <c r="F2135" t="s">
        <v>10</v>
      </c>
      <c r="G2135">
        <v>15</v>
      </c>
      <c r="H2135">
        <v>0</v>
      </c>
      <c r="I2135" s="21">
        <v>35711.39</v>
      </c>
      <c r="J2135" t="str">
        <f t="shared" si="166"/>
        <v>tier - 2</v>
      </c>
      <c r="K2135" t="s">
        <v>11</v>
      </c>
      <c r="L2135" t="str">
        <f t="shared" si="167"/>
        <v>tier - 3</v>
      </c>
      <c r="M2135" t="s">
        <v>12</v>
      </c>
      <c r="N2135" t="str">
        <f t="shared" si="168"/>
        <v>R1012</v>
      </c>
      <c r="O2135" t="s">
        <v>23</v>
      </c>
    </row>
    <row r="2136" spans="1:15" x14ac:dyDescent="0.35">
      <c r="A2136" t="s">
        <v>2166</v>
      </c>
      <c r="C2136">
        <f t="shared" si="165"/>
        <v>1976</v>
      </c>
      <c r="D2136">
        <v>1976</v>
      </c>
      <c r="E2136" t="str">
        <f t="shared" si="169"/>
        <v>Oct</v>
      </c>
      <c r="F2136" t="s">
        <v>37</v>
      </c>
      <c r="G2136">
        <v>4</v>
      </c>
      <c r="H2136">
        <v>2</v>
      </c>
      <c r="I2136" s="21">
        <v>35733.96</v>
      </c>
      <c r="J2136" t="str">
        <f t="shared" si="166"/>
        <v>tier - 2</v>
      </c>
      <c r="K2136" t="s">
        <v>11</v>
      </c>
      <c r="L2136" t="str">
        <f t="shared" si="167"/>
        <v>tier - 2</v>
      </c>
      <c r="M2136" t="s">
        <v>11</v>
      </c>
      <c r="N2136" t="str">
        <f t="shared" si="168"/>
        <v>R1011</v>
      </c>
      <c r="O2136" t="s">
        <v>42</v>
      </c>
    </row>
    <row r="2137" spans="1:15" x14ac:dyDescent="0.35">
      <c r="A2137" t="s">
        <v>2167</v>
      </c>
      <c r="C2137">
        <f t="shared" si="165"/>
        <v>1992</v>
      </c>
      <c r="D2137">
        <v>1992</v>
      </c>
      <c r="E2137" t="str">
        <f t="shared" si="169"/>
        <v>Jun</v>
      </c>
      <c r="F2137" t="s">
        <v>18</v>
      </c>
      <c r="G2137">
        <v>18</v>
      </c>
      <c r="H2137">
        <v>0</v>
      </c>
      <c r="I2137" s="21">
        <v>35883.269999999997</v>
      </c>
      <c r="J2137" t="str">
        <f t="shared" si="166"/>
        <v>tier - 2</v>
      </c>
      <c r="K2137" t="s">
        <v>11</v>
      </c>
      <c r="L2137" t="str">
        <f t="shared" si="167"/>
        <v>tier - 1</v>
      </c>
      <c r="M2137" t="s">
        <v>16</v>
      </c>
      <c r="N2137" t="str">
        <f t="shared" si="168"/>
        <v>R1011</v>
      </c>
      <c r="O2137" t="s">
        <v>42</v>
      </c>
    </row>
    <row r="2138" spans="1:15" x14ac:dyDescent="0.35">
      <c r="A2138" t="s">
        <v>2168</v>
      </c>
      <c r="C2138">
        <f t="shared" si="165"/>
        <v>1981</v>
      </c>
      <c r="D2138">
        <v>1981</v>
      </c>
      <c r="E2138" t="str">
        <f t="shared" si="169"/>
        <v>Nov</v>
      </c>
      <c r="F2138" t="s">
        <v>15</v>
      </c>
      <c r="G2138">
        <v>22</v>
      </c>
      <c r="H2138">
        <v>1</v>
      </c>
      <c r="I2138" s="21">
        <v>35952.65</v>
      </c>
      <c r="J2138" t="str">
        <f t="shared" si="166"/>
        <v>tier - 1</v>
      </c>
      <c r="K2138" t="s">
        <v>16</v>
      </c>
      <c r="L2138" t="str">
        <f t="shared" si="167"/>
        <v>tier - 3</v>
      </c>
      <c r="M2138" t="s">
        <v>12</v>
      </c>
      <c r="N2138" t="str">
        <f t="shared" si="168"/>
        <v>R1011</v>
      </c>
      <c r="O2138" t="s">
        <v>42</v>
      </c>
    </row>
    <row r="2139" spans="1:15" x14ac:dyDescent="0.35">
      <c r="A2139" t="s">
        <v>2169</v>
      </c>
      <c r="C2139">
        <f t="shared" si="165"/>
        <v>1999</v>
      </c>
      <c r="D2139">
        <v>1999</v>
      </c>
      <c r="E2139" t="str">
        <f t="shared" si="169"/>
        <v>Sep</v>
      </c>
      <c r="F2139" t="s">
        <v>20</v>
      </c>
      <c r="G2139">
        <v>4</v>
      </c>
      <c r="H2139">
        <v>2</v>
      </c>
      <c r="I2139" s="21">
        <v>36021.01</v>
      </c>
      <c r="J2139" t="str">
        <f t="shared" si="166"/>
        <v>tier - 2</v>
      </c>
      <c r="K2139" t="s">
        <v>11</v>
      </c>
      <c r="L2139" t="str">
        <f t="shared" si="167"/>
        <v>tier - 3</v>
      </c>
      <c r="M2139" t="s">
        <v>12</v>
      </c>
      <c r="N2139" t="str">
        <f t="shared" si="168"/>
        <v>R1013</v>
      </c>
      <c r="O2139" t="s">
        <v>13</v>
      </c>
    </row>
    <row r="2140" spans="1:15" x14ac:dyDescent="0.35">
      <c r="A2140" t="s">
        <v>2170</v>
      </c>
      <c r="C2140">
        <f t="shared" si="165"/>
        <v>1963</v>
      </c>
      <c r="D2140">
        <v>1963</v>
      </c>
      <c r="E2140" t="str">
        <f t="shared" si="169"/>
        <v>Jul</v>
      </c>
      <c r="F2140" t="s">
        <v>10</v>
      </c>
      <c r="G2140">
        <v>22</v>
      </c>
      <c r="H2140">
        <v>0</v>
      </c>
      <c r="I2140" s="21">
        <v>36074.339999999997</v>
      </c>
      <c r="J2140" t="str">
        <f t="shared" si="166"/>
        <v>tier - 2</v>
      </c>
      <c r="K2140" t="s">
        <v>11</v>
      </c>
      <c r="L2140" t="str">
        <f t="shared" si="167"/>
        <v>tier - 1</v>
      </c>
      <c r="M2140" t="s">
        <v>16</v>
      </c>
      <c r="N2140" t="str">
        <f t="shared" si="168"/>
        <v>R1011</v>
      </c>
      <c r="O2140" t="s">
        <v>42</v>
      </c>
    </row>
    <row r="2141" spans="1:15" x14ac:dyDescent="0.35">
      <c r="A2141" t="s">
        <v>2171</v>
      </c>
      <c r="C2141">
        <f t="shared" si="165"/>
        <v>1996</v>
      </c>
      <c r="D2141">
        <v>1996</v>
      </c>
      <c r="E2141" t="str">
        <f t="shared" si="169"/>
        <v>Aug</v>
      </c>
      <c r="F2141" t="s">
        <v>35</v>
      </c>
      <c r="G2141">
        <v>20</v>
      </c>
      <c r="H2141">
        <v>2</v>
      </c>
      <c r="I2141" s="21">
        <v>36085.22</v>
      </c>
      <c r="J2141" t="str">
        <f t="shared" si="166"/>
        <v>tier - 1</v>
      </c>
      <c r="K2141" t="s">
        <v>16</v>
      </c>
      <c r="L2141" t="str">
        <f t="shared" si="167"/>
        <v>tier - 1</v>
      </c>
      <c r="M2141" t="s">
        <v>16</v>
      </c>
      <c r="N2141" t="str">
        <f t="shared" si="168"/>
        <v>R1011</v>
      </c>
      <c r="O2141" t="s">
        <v>42</v>
      </c>
    </row>
    <row r="2142" spans="1:15" x14ac:dyDescent="0.35">
      <c r="A2142" t="s">
        <v>2172</v>
      </c>
      <c r="C2142">
        <f t="shared" si="165"/>
        <v>1979</v>
      </c>
      <c r="D2142">
        <v>1979</v>
      </c>
      <c r="E2142" t="str">
        <f t="shared" si="169"/>
        <v>Nov</v>
      </c>
      <c r="F2142" t="s">
        <v>15</v>
      </c>
      <c r="G2142">
        <v>4</v>
      </c>
      <c r="H2142">
        <v>2</v>
      </c>
      <c r="I2142" s="21">
        <v>36090.49</v>
      </c>
      <c r="J2142" t="str">
        <f t="shared" si="166"/>
        <v>tier - 2</v>
      </c>
      <c r="K2142" t="s">
        <v>11</v>
      </c>
      <c r="L2142" t="str">
        <f t="shared" si="167"/>
        <v>tier - 2</v>
      </c>
      <c r="M2142" t="s">
        <v>11</v>
      </c>
      <c r="N2142" t="str">
        <f t="shared" si="168"/>
        <v>R1011</v>
      </c>
      <c r="O2142" t="s">
        <v>42</v>
      </c>
    </row>
    <row r="2143" spans="1:15" x14ac:dyDescent="0.35">
      <c r="A2143" t="s">
        <v>2173</v>
      </c>
      <c r="C2143">
        <f t="shared" si="165"/>
        <v>1997</v>
      </c>
      <c r="D2143">
        <v>1997</v>
      </c>
      <c r="E2143" t="str">
        <f t="shared" si="169"/>
        <v>Jun</v>
      </c>
      <c r="F2143" t="s">
        <v>18</v>
      </c>
      <c r="G2143">
        <v>12</v>
      </c>
      <c r="H2143">
        <v>2</v>
      </c>
      <c r="I2143" s="21">
        <v>36124.57</v>
      </c>
      <c r="J2143" t="str">
        <f t="shared" si="166"/>
        <v>tier - 1</v>
      </c>
      <c r="K2143" t="s">
        <v>16</v>
      </c>
      <c r="L2143" t="str">
        <f t="shared" si="167"/>
        <v>tier - 3</v>
      </c>
      <c r="M2143" t="s">
        <v>12</v>
      </c>
      <c r="N2143" t="str">
        <f t="shared" si="168"/>
        <v>R1013</v>
      </c>
      <c r="O2143" t="s">
        <v>13</v>
      </c>
    </row>
    <row r="2144" spans="1:15" x14ac:dyDescent="0.35">
      <c r="A2144" t="s">
        <v>2174</v>
      </c>
      <c r="C2144">
        <f t="shared" si="165"/>
        <v>2004</v>
      </c>
      <c r="D2144">
        <v>2004</v>
      </c>
      <c r="E2144" t="str">
        <f t="shared" si="169"/>
        <v>Aug</v>
      </c>
      <c r="F2144" t="s">
        <v>35</v>
      </c>
      <c r="G2144">
        <v>30</v>
      </c>
      <c r="H2144">
        <v>0</v>
      </c>
      <c r="I2144" s="21">
        <v>36149.480000000003</v>
      </c>
      <c r="J2144" t="str">
        <f t="shared" si="166"/>
        <v>tier - 2</v>
      </c>
      <c r="K2144" t="s">
        <v>11</v>
      </c>
      <c r="L2144" t="str">
        <f t="shared" si="167"/>
        <v>tier - 2</v>
      </c>
      <c r="M2144" t="s">
        <v>11</v>
      </c>
      <c r="N2144" t="str">
        <f t="shared" si="168"/>
        <v>R1013</v>
      </c>
      <c r="O2144" t="s">
        <v>13</v>
      </c>
    </row>
    <row r="2145" spans="1:15" x14ac:dyDescent="0.35">
      <c r="A2145" t="s">
        <v>2175</v>
      </c>
      <c r="C2145">
        <f t="shared" si="165"/>
        <v>1974</v>
      </c>
      <c r="D2145">
        <v>1974</v>
      </c>
      <c r="E2145" t="str">
        <f t="shared" si="169"/>
        <v>Dec</v>
      </c>
      <c r="F2145" t="s">
        <v>30</v>
      </c>
      <c r="G2145">
        <v>6</v>
      </c>
      <c r="H2145">
        <v>0</v>
      </c>
      <c r="I2145" s="21">
        <v>36182.870000000003</v>
      </c>
      <c r="J2145" t="str">
        <f t="shared" si="166"/>
        <v>tier - 2</v>
      </c>
      <c r="K2145" t="s">
        <v>11</v>
      </c>
      <c r="L2145" t="str">
        <f t="shared" si="167"/>
        <v>tier - 3</v>
      </c>
      <c r="M2145" t="s">
        <v>12</v>
      </c>
      <c r="N2145" t="str">
        <f t="shared" si="168"/>
        <v>R1012</v>
      </c>
      <c r="O2145" t="s">
        <v>23</v>
      </c>
    </row>
    <row r="2146" spans="1:15" x14ac:dyDescent="0.35">
      <c r="A2146" t="s">
        <v>2176</v>
      </c>
      <c r="C2146">
        <f t="shared" si="165"/>
        <v>1999</v>
      </c>
      <c r="D2146">
        <v>1999</v>
      </c>
      <c r="E2146" t="str">
        <f t="shared" si="169"/>
        <v>Oct</v>
      </c>
      <c r="F2146" t="s">
        <v>37</v>
      </c>
      <c r="G2146">
        <v>1</v>
      </c>
      <c r="H2146">
        <v>3</v>
      </c>
      <c r="I2146" s="21">
        <v>36189.1</v>
      </c>
      <c r="J2146" t="str">
        <f t="shared" si="166"/>
        <v>tier - 1</v>
      </c>
      <c r="K2146" t="s">
        <v>16</v>
      </c>
      <c r="L2146" t="str">
        <f t="shared" si="167"/>
        <v>tier - 3</v>
      </c>
      <c r="M2146" t="s">
        <v>12</v>
      </c>
      <c r="N2146" t="str">
        <f t="shared" si="168"/>
        <v>R1016</v>
      </c>
      <c r="O2146" t="s">
        <v>168</v>
      </c>
    </row>
    <row r="2147" spans="1:15" x14ac:dyDescent="0.35">
      <c r="A2147" t="s">
        <v>2177</v>
      </c>
      <c r="C2147">
        <f t="shared" si="165"/>
        <v>1993</v>
      </c>
      <c r="D2147">
        <v>1993</v>
      </c>
      <c r="E2147" t="str">
        <f t="shared" si="169"/>
        <v>Dec</v>
      </c>
      <c r="F2147" t="s">
        <v>30</v>
      </c>
      <c r="G2147">
        <v>28</v>
      </c>
      <c r="H2147">
        <v>0</v>
      </c>
      <c r="I2147" s="21">
        <v>36197.699999999997</v>
      </c>
      <c r="J2147" t="str">
        <f t="shared" si="166"/>
        <v>tier - 1</v>
      </c>
      <c r="K2147" t="s">
        <v>16</v>
      </c>
      <c r="L2147" t="str">
        <f t="shared" si="167"/>
        <v>tier - 3</v>
      </c>
      <c r="M2147" t="s">
        <v>12</v>
      </c>
      <c r="N2147" t="str">
        <f t="shared" si="168"/>
        <v>R1011</v>
      </c>
      <c r="O2147" t="s">
        <v>42</v>
      </c>
    </row>
    <row r="2148" spans="1:15" x14ac:dyDescent="0.35">
      <c r="A2148" t="s">
        <v>2178</v>
      </c>
      <c r="C2148">
        <f t="shared" si="165"/>
        <v>2003</v>
      </c>
      <c r="D2148">
        <v>2003</v>
      </c>
      <c r="E2148" t="str">
        <f t="shared" si="169"/>
        <v>Sep</v>
      </c>
      <c r="F2148" t="s">
        <v>20</v>
      </c>
      <c r="G2148">
        <v>5</v>
      </c>
      <c r="H2148">
        <v>0</v>
      </c>
      <c r="I2148" s="21">
        <v>36219.410000000003</v>
      </c>
      <c r="J2148" t="str">
        <f t="shared" si="166"/>
        <v>tier - 1</v>
      </c>
      <c r="K2148" t="s">
        <v>16</v>
      </c>
      <c r="L2148" t="str">
        <f t="shared" si="167"/>
        <v>tier - 1</v>
      </c>
      <c r="M2148" t="s">
        <v>16</v>
      </c>
      <c r="N2148" t="str">
        <f t="shared" si="168"/>
        <v>R1012</v>
      </c>
      <c r="O2148" t="s">
        <v>23</v>
      </c>
    </row>
    <row r="2149" spans="1:15" x14ac:dyDescent="0.35">
      <c r="A2149" t="s">
        <v>2179</v>
      </c>
      <c r="C2149">
        <f t="shared" si="165"/>
        <v>2004</v>
      </c>
      <c r="D2149">
        <v>2004</v>
      </c>
      <c r="E2149" t="str">
        <f t="shared" si="169"/>
        <v>Dec</v>
      </c>
      <c r="F2149" t="s">
        <v>30</v>
      </c>
      <c r="G2149">
        <v>25</v>
      </c>
      <c r="H2149">
        <v>0</v>
      </c>
      <c r="I2149" s="21">
        <v>36307.800000000003</v>
      </c>
      <c r="J2149" t="str">
        <f t="shared" si="166"/>
        <v>tier - 1</v>
      </c>
      <c r="K2149" t="s">
        <v>16</v>
      </c>
      <c r="L2149" t="str">
        <f t="shared" si="167"/>
        <v>tier - 2</v>
      </c>
      <c r="M2149" t="s">
        <v>11</v>
      </c>
      <c r="N2149" t="str">
        <f t="shared" si="168"/>
        <v>R1013</v>
      </c>
      <c r="O2149" t="s">
        <v>13</v>
      </c>
    </row>
    <row r="2150" spans="1:15" x14ac:dyDescent="0.35">
      <c r="A2150" t="s">
        <v>2180</v>
      </c>
      <c r="C2150">
        <f t="shared" si="165"/>
        <v>1992</v>
      </c>
      <c r="D2150">
        <v>1992</v>
      </c>
      <c r="E2150" t="str">
        <f t="shared" si="169"/>
        <v>Jun</v>
      </c>
      <c r="F2150" t="s">
        <v>18</v>
      </c>
      <c r="G2150">
        <v>16</v>
      </c>
      <c r="H2150">
        <v>0</v>
      </c>
      <c r="I2150" s="21">
        <v>36314.050000000003</v>
      </c>
      <c r="J2150" t="str">
        <f t="shared" si="166"/>
        <v>tier - 2</v>
      </c>
      <c r="K2150" t="s">
        <v>11</v>
      </c>
      <c r="L2150" t="str">
        <f t="shared" si="167"/>
        <v>tier - 2</v>
      </c>
      <c r="M2150" t="s">
        <v>11</v>
      </c>
      <c r="N2150" t="str">
        <f t="shared" si="168"/>
        <v>R1011</v>
      </c>
      <c r="O2150" t="s">
        <v>42</v>
      </c>
    </row>
    <row r="2151" spans="1:15" x14ac:dyDescent="0.35">
      <c r="A2151" t="s">
        <v>2181</v>
      </c>
      <c r="C2151">
        <f t="shared" si="165"/>
        <v>1967</v>
      </c>
      <c r="D2151">
        <v>1967</v>
      </c>
      <c r="E2151" t="str">
        <f t="shared" si="169"/>
        <v>Oct</v>
      </c>
      <c r="F2151" t="s">
        <v>37</v>
      </c>
      <c r="G2151">
        <v>18</v>
      </c>
      <c r="H2151">
        <v>0</v>
      </c>
      <c r="I2151" s="21">
        <v>36332.449999999997</v>
      </c>
      <c r="J2151" t="str">
        <f t="shared" si="166"/>
        <v>tier - 1</v>
      </c>
      <c r="K2151" t="s">
        <v>16</v>
      </c>
      <c r="L2151" t="str">
        <f t="shared" si="167"/>
        <v>tier - 3</v>
      </c>
      <c r="M2151" t="s">
        <v>12</v>
      </c>
      <c r="N2151" t="str">
        <f t="shared" si="168"/>
        <v>R1011</v>
      </c>
      <c r="O2151" t="s">
        <v>42</v>
      </c>
    </row>
    <row r="2152" spans="1:15" x14ac:dyDescent="0.35">
      <c r="A2152" t="s">
        <v>2182</v>
      </c>
      <c r="C2152">
        <f t="shared" si="165"/>
        <v>1975</v>
      </c>
      <c r="D2152">
        <v>1975</v>
      </c>
      <c r="E2152" t="str">
        <f t="shared" si="169"/>
        <v>Jun</v>
      </c>
      <c r="F2152" t="s">
        <v>18</v>
      </c>
      <c r="G2152">
        <v>5</v>
      </c>
      <c r="H2152">
        <v>1</v>
      </c>
      <c r="I2152" s="21">
        <v>36350.71</v>
      </c>
      <c r="J2152" t="str">
        <f t="shared" si="166"/>
        <v>tier - 1</v>
      </c>
      <c r="K2152" t="s">
        <v>16</v>
      </c>
      <c r="L2152" t="str">
        <f t="shared" si="167"/>
        <v>tier - 2</v>
      </c>
      <c r="M2152" t="s">
        <v>11</v>
      </c>
      <c r="N2152" t="str">
        <f t="shared" si="168"/>
        <v>R1011</v>
      </c>
      <c r="O2152" t="s">
        <v>42</v>
      </c>
    </row>
    <row r="2153" spans="1:15" x14ac:dyDescent="0.35">
      <c r="A2153" t="s">
        <v>2183</v>
      </c>
      <c r="C2153">
        <f t="shared" si="165"/>
        <v>2003</v>
      </c>
      <c r="D2153">
        <v>2003</v>
      </c>
      <c r="E2153" t="str">
        <f t="shared" si="169"/>
        <v>Dec</v>
      </c>
      <c r="F2153" t="s">
        <v>30</v>
      </c>
      <c r="G2153">
        <v>9</v>
      </c>
      <c r="H2153">
        <v>2</v>
      </c>
      <c r="I2153" s="21">
        <v>36397.58</v>
      </c>
      <c r="J2153" t="str">
        <f t="shared" si="166"/>
        <v>tier - 2</v>
      </c>
      <c r="K2153" t="s">
        <v>11</v>
      </c>
      <c r="L2153" t="str">
        <f t="shared" si="167"/>
        <v>tier - 3</v>
      </c>
      <c r="M2153" t="s">
        <v>12</v>
      </c>
      <c r="N2153" t="str">
        <f t="shared" si="168"/>
        <v>R1011</v>
      </c>
      <c r="O2153" t="s">
        <v>42</v>
      </c>
    </row>
    <row r="2154" spans="1:15" x14ac:dyDescent="0.35">
      <c r="A2154" t="s">
        <v>2184</v>
      </c>
      <c r="C2154">
        <f t="shared" si="165"/>
        <v>1962</v>
      </c>
      <c r="D2154">
        <v>1962</v>
      </c>
      <c r="E2154" t="str">
        <f t="shared" si="169"/>
        <v>Nov</v>
      </c>
      <c r="F2154" t="s">
        <v>15</v>
      </c>
      <c r="G2154">
        <v>19</v>
      </c>
      <c r="H2154">
        <v>0</v>
      </c>
      <c r="I2154" s="21">
        <v>36445.550000000003</v>
      </c>
      <c r="J2154" t="str">
        <f t="shared" si="166"/>
        <v>tier - 2</v>
      </c>
      <c r="K2154" t="s">
        <v>11</v>
      </c>
      <c r="L2154" t="str">
        <f t="shared" si="167"/>
        <v>tier - 2</v>
      </c>
      <c r="M2154" t="s">
        <v>11</v>
      </c>
      <c r="N2154" t="str">
        <f t="shared" si="168"/>
        <v>R1011</v>
      </c>
      <c r="O2154" t="s">
        <v>42</v>
      </c>
    </row>
    <row r="2155" spans="1:15" x14ac:dyDescent="0.35">
      <c r="A2155" t="s">
        <v>2185</v>
      </c>
      <c r="C2155">
        <f t="shared" si="165"/>
        <v>1973</v>
      </c>
      <c r="D2155">
        <v>1973</v>
      </c>
      <c r="E2155" t="str">
        <f t="shared" si="169"/>
        <v>Aug</v>
      </c>
      <c r="F2155" t="s">
        <v>35</v>
      </c>
      <c r="G2155">
        <v>9</v>
      </c>
      <c r="H2155">
        <v>0</v>
      </c>
      <c r="I2155" s="21">
        <v>36541.550000000003</v>
      </c>
      <c r="J2155" t="str">
        <f t="shared" si="166"/>
        <v>tier - 2</v>
      </c>
      <c r="K2155" t="s">
        <v>11</v>
      </c>
      <c r="L2155" t="str">
        <f t="shared" si="167"/>
        <v>tier - 3</v>
      </c>
      <c r="M2155" t="s">
        <v>12</v>
      </c>
      <c r="N2155" t="str">
        <f t="shared" si="168"/>
        <v>R1011</v>
      </c>
      <c r="O2155" t="s">
        <v>42</v>
      </c>
    </row>
    <row r="2156" spans="1:15" x14ac:dyDescent="0.35">
      <c r="A2156" t="s">
        <v>2186</v>
      </c>
      <c r="C2156">
        <f t="shared" si="165"/>
        <v>1992</v>
      </c>
      <c r="D2156">
        <v>1992</v>
      </c>
      <c r="E2156" t="str">
        <f t="shared" si="169"/>
        <v>Oct</v>
      </c>
      <c r="F2156" t="s">
        <v>37</v>
      </c>
      <c r="G2156">
        <v>9</v>
      </c>
      <c r="H2156">
        <v>0</v>
      </c>
      <c r="I2156" s="21">
        <v>36572.800000000003</v>
      </c>
      <c r="J2156" t="str">
        <f t="shared" si="166"/>
        <v>tier - 1</v>
      </c>
      <c r="K2156" t="s">
        <v>16</v>
      </c>
      <c r="L2156" t="str">
        <f t="shared" si="167"/>
        <v>tier - 2</v>
      </c>
      <c r="M2156" t="s">
        <v>11</v>
      </c>
      <c r="N2156" t="str">
        <f t="shared" si="168"/>
        <v>R1011</v>
      </c>
      <c r="O2156" t="s">
        <v>42</v>
      </c>
    </row>
    <row r="2157" spans="1:15" x14ac:dyDescent="0.35">
      <c r="A2157" t="s">
        <v>2187</v>
      </c>
      <c r="C2157">
        <f t="shared" si="165"/>
        <v>1961</v>
      </c>
      <c r="D2157">
        <v>1961</v>
      </c>
      <c r="E2157" t="str">
        <f t="shared" si="169"/>
        <v>Jul</v>
      </c>
      <c r="F2157" t="s">
        <v>10</v>
      </c>
      <c r="G2157">
        <v>29</v>
      </c>
      <c r="H2157">
        <v>4</v>
      </c>
      <c r="I2157" s="21">
        <v>36580.28</v>
      </c>
      <c r="J2157" t="str">
        <f t="shared" si="166"/>
        <v>tier - 2</v>
      </c>
      <c r="K2157" t="s">
        <v>11</v>
      </c>
      <c r="L2157" t="str">
        <f t="shared" si="167"/>
        <v>tier - 2</v>
      </c>
      <c r="M2157" t="s">
        <v>11</v>
      </c>
      <c r="N2157" t="str">
        <f t="shared" si="168"/>
        <v>R1013</v>
      </c>
      <c r="O2157" t="s">
        <v>13</v>
      </c>
    </row>
    <row r="2158" spans="1:15" x14ac:dyDescent="0.35">
      <c r="A2158" t="s">
        <v>2188</v>
      </c>
      <c r="C2158">
        <f t="shared" si="165"/>
        <v>1970</v>
      </c>
      <c r="D2158">
        <v>1970</v>
      </c>
      <c r="E2158" t="str">
        <f t="shared" si="169"/>
        <v>Jul</v>
      </c>
      <c r="F2158" t="s">
        <v>10</v>
      </c>
      <c r="G2158">
        <v>14</v>
      </c>
      <c r="H2158">
        <v>0</v>
      </c>
      <c r="I2158" s="21">
        <v>36786.370000000003</v>
      </c>
      <c r="J2158" t="str">
        <f t="shared" si="166"/>
        <v>tier - 1</v>
      </c>
      <c r="K2158" t="s">
        <v>16</v>
      </c>
      <c r="L2158" t="str">
        <f t="shared" si="167"/>
        <v>tier - 1</v>
      </c>
      <c r="M2158" t="s">
        <v>16</v>
      </c>
      <c r="N2158" t="str">
        <f t="shared" si="168"/>
        <v>R1011</v>
      </c>
      <c r="O2158" t="s">
        <v>42</v>
      </c>
    </row>
    <row r="2159" spans="1:15" x14ac:dyDescent="0.35">
      <c r="A2159" t="s">
        <v>2189</v>
      </c>
      <c r="C2159">
        <f t="shared" si="165"/>
        <v>1965</v>
      </c>
      <c r="D2159">
        <v>1965</v>
      </c>
      <c r="E2159" t="str">
        <f t="shared" si="169"/>
        <v>Dec</v>
      </c>
      <c r="F2159" t="s">
        <v>30</v>
      </c>
      <c r="G2159">
        <v>28</v>
      </c>
      <c r="H2159">
        <v>0</v>
      </c>
      <c r="I2159" s="21">
        <v>36795.29</v>
      </c>
      <c r="J2159" t="str">
        <f t="shared" si="166"/>
        <v>tier - 2</v>
      </c>
      <c r="K2159" t="s">
        <v>11</v>
      </c>
      <c r="L2159" t="str">
        <f t="shared" si="167"/>
        <v>tier - 1</v>
      </c>
      <c r="M2159" t="s">
        <v>16</v>
      </c>
      <c r="N2159" t="str">
        <f t="shared" si="168"/>
        <v>R1011</v>
      </c>
      <c r="O2159" t="s">
        <v>42</v>
      </c>
    </row>
    <row r="2160" spans="1:15" x14ac:dyDescent="0.35">
      <c r="A2160" t="s">
        <v>31</v>
      </c>
      <c r="C2160">
        <f t="shared" si="165"/>
        <v>1992</v>
      </c>
      <c r="D2160">
        <v>1992</v>
      </c>
      <c r="E2160" t="str">
        <f t="shared" si="169"/>
        <v>Oct</v>
      </c>
      <c r="F2160" t="s">
        <v>37</v>
      </c>
      <c r="G2160">
        <v>6</v>
      </c>
      <c r="H2160">
        <v>0</v>
      </c>
      <c r="I2160" s="21">
        <v>36837.47</v>
      </c>
      <c r="J2160" t="str">
        <f t="shared" si="166"/>
        <v>tier - 1</v>
      </c>
      <c r="K2160" t="s">
        <v>16</v>
      </c>
      <c r="L2160" t="str">
        <f t="shared" si="167"/>
        <v>tier - 2</v>
      </c>
      <c r="M2160" t="s">
        <v>11</v>
      </c>
      <c r="N2160" t="str">
        <f t="shared" si="168"/>
        <v>R1011</v>
      </c>
      <c r="O2160" t="s">
        <v>42</v>
      </c>
    </row>
    <row r="2161" spans="1:15" x14ac:dyDescent="0.35">
      <c r="A2161" t="s">
        <v>2190</v>
      </c>
      <c r="C2161">
        <f t="shared" si="165"/>
        <v>1992</v>
      </c>
      <c r="D2161">
        <v>1992</v>
      </c>
      <c r="E2161" t="str">
        <f t="shared" si="169"/>
        <v>Jul</v>
      </c>
      <c r="F2161" t="s">
        <v>10</v>
      </c>
      <c r="G2161">
        <v>4</v>
      </c>
      <c r="H2161">
        <v>0</v>
      </c>
      <c r="I2161" s="21">
        <v>36837.47</v>
      </c>
      <c r="J2161" t="str">
        <f t="shared" si="166"/>
        <v>tier - 2</v>
      </c>
      <c r="K2161" t="s">
        <v>11</v>
      </c>
      <c r="L2161" t="str">
        <f t="shared" si="167"/>
        <v>tier - 3</v>
      </c>
      <c r="M2161" t="s">
        <v>12</v>
      </c>
      <c r="N2161" t="str">
        <f t="shared" si="168"/>
        <v>R1011</v>
      </c>
      <c r="O2161" t="s">
        <v>42</v>
      </c>
    </row>
    <row r="2162" spans="1:15" x14ac:dyDescent="0.35">
      <c r="A2162" t="s">
        <v>2191</v>
      </c>
      <c r="C2162">
        <f t="shared" si="165"/>
        <v>1972</v>
      </c>
      <c r="D2162">
        <v>1972</v>
      </c>
      <c r="E2162" t="str">
        <f t="shared" si="169"/>
        <v>Dec</v>
      </c>
      <c r="F2162" t="s">
        <v>30</v>
      </c>
      <c r="G2162">
        <v>5</v>
      </c>
      <c r="H2162">
        <v>0</v>
      </c>
      <c r="I2162" s="21">
        <v>36889.99</v>
      </c>
      <c r="J2162" t="str">
        <f t="shared" si="166"/>
        <v>tier - 1</v>
      </c>
      <c r="K2162" t="s">
        <v>16</v>
      </c>
      <c r="L2162" t="str">
        <f t="shared" si="167"/>
        <v>tier - 3</v>
      </c>
      <c r="M2162" t="s">
        <v>12</v>
      </c>
      <c r="N2162" t="str">
        <f t="shared" si="168"/>
        <v>R1011</v>
      </c>
      <c r="O2162" t="s">
        <v>42</v>
      </c>
    </row>
    <row r="2163" spans="1:15" x14ac:dyDescent="0.35">
      <c r="A2163" t="s">
        <v>2192</v>
      </c>
      <c r="C2163">
        <f t="shared" si="165"/>
        <v>2003</v>
      </c>
      <c r="D2163">
        <v>2003</v>
      </c>
      <c r="E2163" t="str">
        <f t="shared" si="169"/>
        <v>Jun</v>
      </c>
      <c r="F2163" t="s">
        <v>18</v>
      </c>
      <c r="G2163">
        <v>21</v>
      </c>
      <c r="H2163">
        <v>0</v>
      </c>
      <c r="I2163" s="21">
        <v>36898.730000000003</v>
      </c>
      <c r="J2163" t="str">
        <f t="shared" si="166"/>
        <v>tier - 2</v>
      </c>
      <c r="K2163" t="s">
        <v>11</v>
      </c>
      <c r="L2163" t="str">
        <f t="shared" si="167"/>
        <v>tier - 1</v>
      </c>
      <c r="M2163" t="s">
        <v>16</v>
      </c>
      <c r="N2163" t="str">
        <f t="shared" si="168"/>
        <v>R1012</v>
      </c>
      <c r="O2163" t="s">
        <v>23</v>
      </c>
    </row>
    <row r="2164" spans="1:15" x14ac:dyDescent="0.35">
      <c r="A2164" t="s">
        <v>2193</v>
      </c>
      <c r="C2164">
        <f t="shared" si="165"/>
        <v>1963</v>
      </c>
      <c r="D2164">
        <v>1963</v>
      </c>
      <c r="E2164" t="str">
        <f t="shared" si="169"/>
        <v>Jul</v>
      </c>
      <c r="F2164" t="s">
        <v>10</v>
      </c>
      <c r="G2164">
        <v>24</v>
      </c>
      <c r="H2164">
        <v>2</v>
      </c>
      <c r="I2164" s="21">
        <v>36910.61</v>
      </c>
      <c r="J2164" t="str">
        <f t="shared" si="166"/>
        <v>tier - 2</v>
      </c>
      <c r="K2164" t="s">
        <v>11</v>
      </c>
      <c r="L2164" t="str">
        <f t="shared" si="167"/>
        <v>tier - 2</v>
      </c>
      <c r="M2164" t="s">
        <v>11</v>
      </c>
      <c r="N2164" t="str">
        <f t="shared" si="168"/>
        <v>R1011</v>
      </c>
      <c r="O2164" t="s">
        <v>42</v>
      </c>
    </row>
    <row r="2165" spans="1:15" x14ac:dyDescent="0.35">
      <c r="A2165" t="s">
        <v>2194</v>
      </c>
      <c r="C2165">
        <f t="shared" si="165"/>
        <v>1991</v>
      </c>
      <c r="D2165">
        <v>1991</v>
      </c>
      <c r="E2165" t="str">
        <f t="shared" si="169"/>
        <v>Jun</v>
      </c>
      <c r="F2165" t="s">
        <v>18</v>
      </c>
      <c r="G2165">
        <v>10</v>
      </c>
      <c r="H2165">
        <v>3</v>
      </c>
      <c r="I2165" s="21">
        <v>36911.99</v>
      </c>
      <c r="J2165" t="str">
        <f t="shared" si="166"/>
        <v>tier - 2</v>
      </c>
      <c r="K2165" t="s">
        <v>11</v>
      </c>
      <c r="L2165" t="str">
        <f t="shared" si="167"/>
        <v>tier - 2</v>
      </c>
      <c r="M2165" t="s">
        <v>11</v>
      </c>
      <c r="N2165" t="str">
        <f t="shared" si="168"/>
        <v>R1011</v>
      </c>
      <c r="O2165" t="s">
        <v>42</v>
      </c>
    </row>
    <row r="2166" spans="1:15" x14ac:dyDescent="0.35">
      <c r="A2166" t="s">
        <v>2195</v>
      </c>
      <c r="C2166">
        <f t="shared" si="165"/>
        <v>1968</v>
      </c>
      <c r="D2166">
        <v>1968</v>
      </c>
      <c r="E2166" t="str">
        <f t="shared" si="169"/>
        <v>Oct</v>
      </c>
      <c r="F2166" t="s">
        <v>37</v>
      </c>
      <c r="G2166">
        <v>22</v>
      </c>
      <c r="H2166">
        <v>0</v>
      </c>
      <c r="I2166" s="21">
        <v>36922.61</v>
      </c>
      <c r="J2166" t="str">
        <f t="shared" si="166"/>
        <v>tier - 2</v>
      </c>
      <c r="K2166" t="s">
        <v>11</v>
      </c>
      <c r="L2166" t="str">
        <f t="shared" si="167"/>
        <v>tier - 1</v>
      </c>
      <c r="M2166" t="s">
        <v>16</v>
      </c>
      <c r="N2166" t="str">
        <f t="shared" si="168"/>
        <v>R1011</v>
      </c>
      <c r="O2166" t="s">
        <v>42</v>
      </c>
    </row>
    <row r="2167" spans="1:15" x14ac:dyDescent="0.35">
      <c r="A2167" t="s">
        <v>2196</v>
      </c>
      <c r="C2167">
        <f t="shared" si="165"/>
        <v>1977</v>
      </c>
      <c r="D2167">
        <v>1977</v>
      </c>
      <c r="E2167" t="str">
        <f t="shared" si="169"/>
        <v>Aug</v>
      </c>
      <c r="F2167" t="s">
        <v>35</v>
      </c>
      <c r="G2167">
        <v>13</v>
      </c>
      <c r="H2167">
        <v>2</v>
      </c>
      <c r="I2167" s="21">
        <v>36935.64</v>
      </c>
      <c r="J2167" t="str">
        <f t="shared" si="166"/>
        <v>tier - 2</v>
      </c>
      <c r="K2167" t="s">
        <v>11</v>
      </c>
      <c r="L2167" t="str">
        <f t="shared" si="167"/>
        <v>tier - 1</v>
      </c>
      <c r="M2167" t="s">
        <v>16</v>
      </c>
      <c r="N2167" t="str">
        <f t="shared" si="168"/>
        <v>R1011</v>
      </c>
      <c r="O2167" t="s">
        <v>42</v>
      </c>
    </row>
    <row r="2168" spans="1:15" x14ac:dyDescent="0.35">
      <c r="A2168" t="s">
        <v>2197</v>
      </c>
      <c r="C2168">
        <f t="shared" si="165"/>
        <v>1992</v>
      </c>
      <c r="D2168">
        <v>1992</v>
      </c>
      <c r="E2168" t="str">
        <f t="shared" si="169"/>
        <v>Aug</v>
      </c>
      <c r="F2168" t="s">
        <v>35</v>
      </c>
      <c r="G2168">
        <v>25</v>
      </c>
      <c r="H2168">
        <v>0</v>
      </c>
      <c r="I2168" s="21">
        <v>36950.26</v>
      </c>
      <c r="J2168" t="str">
        <f t="shared" si="166"/>
        <v>tier - 1</v>
      </c>
      <c r="K2168" t="s">
        <v>16</v>
      </c>
      <c r="L2168" t="str">
        <f t="shared" si="167"/>
        <v>tier - 1</v>
      </c>
      <c r="M2168" t="s">
        <v>16</v>
      </c>
      <c r="N2168" t="str">
        <f t="shared" si="168"/>
        <v>R1013</v>
      </c>
      <c r="O2168" t="s">
        <v>13</v>
      </c>
    </row>
    <row r="2169" spans="1:15" x14ac:dyDescent="0.35">
      <c r="A2169" t="s">
        <v>2198</v>
      </c>
      <c r="C2169">
        <f t="shared" si="165"/>
        <v>1992</v>
      </c>
      <c r="D2169">
        <v>1992</v>
      </c>
      <c r="E2169" t="str">
        <f t="shared" si="169"/>
        <v>Sep</v>
      </c>
      <c r="F2169" t="s">
        <v>20</v>
      </c>
      <c r="G2169">
        <v>13</v>
      </c>
      <c r="H2169">
        <v>0</v>
      </c>
      <c r="I2169" s="21">
        <v>36976.449999999997</v>
      </c>
      <c r="J2169" t="str">
        <f t="shared" si="166"/>
        <v>tier - 2</v>
      </c>
      <c r="K2169" t="s">
        <v>11</v>
      </c>
      <c r="L2169" t="str">
        <f t="shared" si="167"/>
        <v>tier - 3</v>
      </c>
      <c r="M2169" t="s">
        <v>12</v>
      </c>
      <c r="N2169" t="str">
        <f t="shared" si="168"/>
        <v>R1011</v>
      </c>
      <c r="O2169" t="s">
        <v>42</v>
      </c>
    </row>
    <row r="2170" spans="1:15" x14ac:dyDescent="0.35">
      <c r="A2170" t="s">
        <v>2199</v>
      </c>
      <c r="C2170">
        <f t="shared" si="165"/>
        <v>1991</v>
      </c>
      <c r="D2170">
        <v>1991</v>
      </c>
      <c r="E2170" t="str">
        <f t="shared" si="169"/>
        <v>Nov</v>
      </c>
      <c r="F2170" t="s">
        <v>15</v>
      </c>
      <c r="G2170">
        <v>1</v>
      </c>
      <c r="H2170">
        <v>3</v>
      </c>
      <c r="I2170" s="21">
        <v>37040.879999999997</v>
      </c>
      <c r="J2170" t="str">
        <f t="shared" si="166"/>
        <v>tier - 2</v>
      </c>
      <c r="K2170" t="s">
        <v>11</v>
      </c>
      <c r="L2170" t="str">
        <f t="shared" si="167"/>
        <v>tier - 2</v>
      </c>
      <c r="M2170" t="s">
        <v>11</v>
      </c>
      <c r="N2170" t="str">
        <f t="shared" si="168"/>
        <v>R1011</v>
      </c>
      <c r="O2170" t="s">
        <v>42</v>
      </c>
    </row>
    <row r="2171" spans="1:15" x14ac:dyDescent="0.35">
      <c r="A2171" t="s">
        <v>2200</v>
      </c>
      <c r="C2171">
        <f t="shared" si="165"/>
        <v>1988</v>
      </c>
      <c r="D2171">
        <v>1988</v>
      </c>
      <c r="E2171" t="str">
        <f t="shared" si="169"/>
        <v>Dec</v>
      </c>
      <c r="F2171" t="s">
        <v>30</v>
      </c>
      <c r="G2171">
        <v>17</v>
      </c>
      <c r="H2171">
        <v>3</v>
      </c>
      <c r="I2171" s="21">
        <v>37076.370000000003</v>
      </c>
      <c r="J2171" t="str">
        <f t="shared" si="166"/>
        <v>tier - 2</v>
      </c>
      <c r="K2171" t="s">
        <v>11</v>
      </c>
      <c r="L2171" t="str">
        <f t="shared" si="167"/>
        <v>tier - 1</v>
      </c>
      <c r="M2171" t="s">
        <v>16</v>
      </c>
      <c r="N2171" t="str">
        <f t="shared" si="168"/>
        <v>R1011</v>
      </c>
      <c r="O2171" t="s">
        <v>42</v>
      </c>
    </row>
    <row r="2172" spans="1:15" x14ac:dyDescent="0.35">
      <c r="A2172" t="s">
        <v>2201</v>
      </c>
      <c r="C2172">
        <f t="shared" si="165"/>
        <v>1989</v>
      </c>
      <c r="D2172">
        <v>1989</v>
      </c>
      <c r="E2172" t="str">
        <f t="shared" si="169"/>
        <v>Jun</v>
      </c>
      <c r="F2172" t="s">
        <v>18</v>
      </c>
      <c r="G2172">
        <v>10</v>
      </c>
      <c r="H2172">
        <v>0</v>
      </c>
      <c r="I2172" s="21">
        <v>37079.370000000003</v>
      </c>
      <c r="J2172" t="str">
        <f t="shared" si="166"/>
        <v>tier - 2</v>
      </c>
      <c r="K2172" t="s">
        <v>11</v>
      </c>
      <c r="L2172" t="str">
        <f t="shared" si="167"/>
        <v>tier - 3</v>
      </c>
      <c r="M2172" t="s">
        <v>12</v>
      </c>
      <c r="N2172" t="str">
        <f t="shared" si="168"/>
        <v>R1011</v>
      </c>
      <c r="O2172" t="s">
        <v>42</v>
      </c>
    </row>
    <row r="2173" spans="1:15" x14ac:dyDescent="0.35">
      <c r="A2173" t="s">
        <v>2202</v>
      </c>
      <c r="C2173">
        <f t="shared" si="165"/>
        <v>1995</v>
      </c>
      <c r="D2173">
        <v>1995</v>
      </c>
      <c r="E2173" t="str">
        <f t="shared" si="169"/>
        <v>Oct</v>
      </c>
      <c r="F2173" t="s">
        <v>37</v>
      </c>
      <c r="G2173">
        <v>30</v>
      </c>
      <c r="H2173">
        <v>0</v>
      </c>
      <c r="I2173" s="21">
        <v>37133.9</v>
      </c>
      <c r="J2173" t="str">
        <f t="shared" si="166"/>
        <v>tier - 2</v>
      </c>
      <c r="K2173" t="s">
        <v>11</v>
      </c>
      <c r="L2173" t="str">
        <f t="shared" si="167"/>
        <v>tier - 2</v>
      </c>
      <c r="M2173" t="s">
        <v>11</v>
      </c>
      <c r="N2173" t="str">
        <f t="shared" si="168"/>
        <v>R1013</v>
      </c>
      <c r="O2173" t="s">
        <v>13</v>
      </c>
    </row>
    <row r="2174" spans="1:15" x14ac:dyDescent="0.35">
      <c r="A2174" t="s">
        <v>2203</v>
      </c>
      <c r="C2174">
        <f t="shared" si="165"/>
        <v>2000</v>
      </c>
      <c r="D2174">
        <v>2000</v>
      </c>
      <c r="E2174" t="str">
        <f t="shared" si="169"/>
        <v>Sep</v>
      </c>
      <c r="F2174" t="s">
        <v>20</v>
      </c>
      <c r="G2174">
        <v>5</v>
      </c>
      <c r="H2174">
        <v>1</v>
      </c>
      <c r="I2174" s="21">
        <v>37165.160000000003</v>
      </c>
      <c r="J2174" t="str">
        <f t="shared" si="166"/>
        <v>tier - 1</v>
      </c>
      <c r="K2174" t="s">
        <v>16</v>
      </c>
      <c r="L2174" t="str">
        <f t="shared" si="167"/>
        <v>tier - 3</v>
      </c>
      <c r="M2174" t="s">
        <v>12</v>
      </c>
      <c r="N2174" t="str">
        <f t="shared" si="168"/>
        <v>Unknown</v>
      </c>
      <c r="O2174" t="s">
        <v>31</v>
      </c>
    </row>
    <row r="2175" spans="1:15" x14ac:dyDescent="0.35">
      <c r="A2175" t="s">
        <v>2204</v>
      </c>
      <c r="C2175">
        <f t="shared" si="165"/>
        <v>1990</v>
      </c>
      <c r="D2175">
        <v>1990</v>
      </c>
      <c r="E2175" t="str">
        <f t="shared" si="169"/>
        <v>Oct</v>
      </c>
      <c r="F2175" t="s">
        <v>37</v>
      </c>
      <c r="G2175">
        <v>17</v>
      </c>
      <c r="H2175">
        <v>3</v>
      </c>
      <c r="I2175" s="21">
        <v>37251.22</v>
      </c>
      <c r="J2175" t="str">
        <f t="shared" si="166"/>
        <v>tier - 2</v>
      </c>
      <c r="K2175" t="s">
        <v>11</v>
      </c>
      <c r="L2175" t="str">
        <f t="shared" si="167"/>
        <v>tier - 2</v>
      </c>
      <c r="M2175" t="s">
        <v>11</v>
      </c>
      <c r="N2175" t="str">
        <f t="shared" si="168"/>
        <v>R1011</v>
      </c>
      <c r="O2175" t="s">
        <v>42</v>
      </c>
    </row>
    <row r="2176" spans="1:15" x14ac:dyDescent="0.35">
      <c r="A2176" t="s">
        <v>2205</v>
      </c>
      <c r="C2176">
        <f t="shared" si="165"/>
        <v>1985</v>
      </c>
      <c r="D2176">
        <v>1985</v>
      </c>
      <c r="E2176" t="str">
        <f t="shared" si="169"/>
        <v>Nov</v>
      </c>
      <c r="F2176" t="s">
        <v>15</v>
      </c>
      <c r="G2176">
        <v>17</v>
      </c>
      <c r="H2176">
        <v>0</v>
      </c>
      <c r="I2176" s="21">
        <v>37270.15</v>
      </c>
      <c r="J2176" t="str">
        <f t="shared" si="166"/>
        <v>tier - 2</v>
      </c>
      <c r="K2176" t="s">
        <v>11</v>
      </c>
      <c r="L2176" t="str">
        <f t="shared" si="167"/>
        <v>tier - 1</v>
      </c>
      <c r="M2176" t="s">
        <v>16</v>
      </c>
      <c r="N2176" t="str">
        <f t="shared" si="168"/>
        <v>R1024</v>
      </c>
      <c r="O2176" t="s">
        <v>247</v>
      </c>
    </row>
    <row r="2177" spans="1:15" x14ac:dyDescent="0.35">
      <c r="A2177" t="s">
        <v>2206</v>
      </c>
      <c r="C2177">
        <f t="shared" si="165"/>
        <v>1975</v>
      </c>
      <c r="D2177">
        <v>1975</v>
      </c>
      <c r="E2177" t="str">
        <f t="shared" si="169"/>
        <v>Nov</v>
      </c>
      <c r="F2177" t="s">
        <v>15</v>
      </c>
      <c r="G2177">
        <v>9</v>
      </c>
      <c r="H2177">
        <v>1</v>
      </c>
      <c r="I2177" s="21">
        <v>37272.339999999997</v>
      </c>
      <c r="J2177" t="str">
        <f t="shared" si="166"/>
        <v>tier - 2</v>
      </c>
      <c r="K2177" t="s">
        <v>11</v>
      </c>
      <c r="L2177" t="str">
        <f t="shared" si="167"/>
        <v>tier - 3</v>
      </c>
      <c r="M2177" t="s">
        <v>12</v>
      </c>
      <c r="N2177" t="str">
        <f t="shared" si="168"/>
        <v>R1011</v>
      </c>
      <c r="O2177" t="s">
        <v>42</v>
      </c>
    </row>
    <row r="2178" spans="1:15" x14ac:dyDescent="0.35">
      <c r="A2178" t="s">
        <v>2207</v>
      </c>
      <c r="C2178">
        <f t="shared" si="165"/>
        <v>1969</v>
      </c>
      <c r="D2178">
        <v>1969</v>
      </c>
      <c r="E2178" t="str">
        <f t="shared" si="169"/>
        <v>Oct</v>
      </c>
      <c r="F2178" t="s">
        <v>37</v>
      </c>
      <c r="G2178">
        <v>30</v>
      </c>
      <c r="H2178">
        <v>0</v>
      </c>
      <c r="I2178" s="21">
        <v>37277.269999999997</v>
      </c>
      <c r="J2178" t="str">
        <f t="shared" si="166"/>
        <v>tier - 1</v>
      </c>
      <c r="K2178" t="s">
        <v>16</v>
      </c>
      <c r="L2178" t="str">
        <f t="shared" si="167"/>
        <v>tier - 3</v>
      </c>
      <c r="M2178" t="s">
        <v>12</v>
      </c>
      <c r="N2178" t="str">
        <f t="shared" si="168"/>
        <v>R1011</v>
      </c>
      <c r="O2178" t="s">
        <v>42</v>
      </c>
    </row>
    <row r="2179" spans="1:15" x14ac:dyDescent="0.35">
      <c r="A2179" t="s">
        <v>2208</v>
      </c>
      <c r="C2179">
        <f t="shared" ref="C2179:C2242" si="170">IF(OR(D2179="?", ISBLANK(D2179)), 1983, D2179)</f>
        <v>1979</v>
      </c>
      <c r="D2179">
        <v>1979</v>
      </c>
      <c r="E2179" t="str">
        <f t="shared" si="169"/>
        <v>Aug</v>
      </c>
      <c r="F2179" t="s">
        <v>35</v>
      </c>
      <c r="G2179">
        <v>3</v>
      </c>
      <c r="H2179">
        <v>2</v>
      </c>
      <c r="I2179" s="21">
        <v>37425.94</v>
      </c>
      <c r="J2179" t="str">
        <f t="shared" ref="J2179:J2242" si="171">IF(OR(K2179="?", ISBLANK(K2179)), "Tier 2", K2179)</f>
        <v>tier - 2</v>
      </c>
      <c r="K2179" t="s">
        <v>11</v>
      </c>
      <c r="L2179" t="str">
        <f t="shared" ref="L2179:L2242" si="172">IF(OR(M2179="?", ISBLANK(M2179)), "Tier 2", M2179)</f>
        <v>tier - 1</v>
      </c>
      <c r="M2179" t="s">
        <v>16</v>
      </c>
      <c r="N2179" t="str">
        <f t="shared" ref="N2179:N2242" si="173">IF(OR(O2179="?", ISBLANK(O2179)), "Unknown", O2179)</f>
        <v>R1011</v>
      </c>
      <c r="O2179" t="s">
        <v>42</v>
      </c>
    </row>
    <row r="2180" spans="1:15" x14ac:dyDescent="0.35">
      <c r="A2180" t="s">
        <v>2209</v>
      </c>
      <c r="C2180">
        <f t="shared" si="170"/>
        <v>2002</v>
      </c>
      <c r="D2180">
        <v>2002</v>
      </c>
      <c r="E2180" t="str">
        <f t="shared" ref="E2180:E2243" si="174">IF(OR(F2180="?", ISBLANK(F2180)), "Sep", F2180)</f>
        <v>Sep</v>
      </c>
      <c r="F2180" t="s">
        <v>20</v>
      </c>
      <c r="G2180">
        <v>27</v>
      </c>
      <c r="H2180">
        <v>3</v>
      </c>
      <c r="I2180" s="21">
        <v>37465.339999999997</v>
      </c>
      <c r="J2180" t="str">
        <f t="shared" si="171"/>
        <v>tier - 1</v>
      </c>
      <c r="K2180" t="s">
        <v>16</v>
      </c>
      <c r="L2180" t="str">
        <f t="shared" si="172"/>
        <v>tier - 2</v>
      </c>
      <c r="M2180" t="s">
        <v>11</v>
      </c>
      <c r="N2180" t="str">
        <f t="shared" si="173"/>
        <v>R1012</v>
      </c>
      <c r="O2180" t="s">
        <v>23</v>
      </c>
    </row>
    <row r="2181" spans="1:15" x14ac:dyDescent="0.35">
      <c r="A2181" t="s">
        <v>2210</v>
      </c>
      <c r="C2181">
        <f t="shared" si="170"/>
        <v>2000</v>
      </c>
      <c r="D2181">
        <v>2000</v>
      </c>
      <c r="E2181" t="str">
        <f t="shared" si="174"/>
        <v>Oct</v>
      </c>
      <c r="F2181" t="s">
        <v>37</v>
      </c>
      <c r="G2181">
        <v>12</v>
      </c>
      <c r="H2181">
        <v>2</v>
      </c>
      <c r="I2181" s="21">
        <v>37484.449999999997</v>
      </c>
      <c r="J2181" t="str">
        <f t="shared" si="171"/>
        <v>tier - 1</v>
      </c>
      <c r="K2181" t="s">
        <v>16</v>
      </c>
      <c r="L2181" t="str">
        <f t="shared" si="172"/>
        <v>tier - 1</v>
      </c>
      <c r="M2181" t="s">
        <v>16</v>
      </c>
      <c r="N2181" t="str">
        <f t="shared" si="173"/>
        <v>R1013</v>
      </c>
      <c r="O2181" t="s">
        <v>13</v>
      </c>
    </row>
    <row r="2182" spans="1:15" x14ac:dyDescent="0.35">
      <c r="A2182" t="s">
        <v>2211</v>
      </c>
      <c r="C2182">
        <f t="shared" si="170"/>
        <v>1990</v>
      </c>
      <c r="D2182">
        <v>1990</v>
      </c>
      <c r="E2182" t="str">
        <f t="shared" si="174"/>
        <v>Nov</v>
      </c>
      <c r="F2182" t="s">
        <v>15</v>
      </c>
      <c r="G2182">
        <v>16</v>
      </c>
      <c r="H2182">
        <v>1</v>
      </c>
      <c r="I2182" s="21">
        <v>37607.53</v>
      </c>
      <c r="J2182" t="str">
        <f t="shared" si="171"/>
        <v>tier - 1</v>
      </c>
      <c r="K2182" t="s">
        <v>16</v>
      </c>
      <c r="L2182" t="str">
        <f t="shared" si="172"/>
        <v>tier - 2</v>
      </c>
      <c r="M2182" t="s">
        <v>11</v>
      </c>
      <c r="N2182" t="str">
        <f t="shared" si="173"/>
        <v>R1019</v>
      </c>
      <c r="O2182" t="s">
        <v>166</v>
      </c>
    </row>
    <row r="2183" spans="1:15" x14ac:dyDescent="0.35">
      <c r="A2183" t="s">
        <v>2212</v>
      </c>
      <c r="C2183">
        <f t="shared" si="170"/>
        <v>1982</v>
      </c>
      <c r="D2183">
        <v>1982</v>
      </c>
      <c r="E2183" t="str">
        <f t="shared" si="174"/>
        <v>Jun</v>
      </c>
      <c r="F2183" t="s">
        <v>18</v>
      </c>
      <c r="G2183">
        <v>20</v>
      </c>
      <c r="H2183">
        <v>3</v>
      </c>
      <c r="I2183" s="21">
        <v>37650.74</v>
      </c>
      <c r="J2183" t="str">
        <f t="shared" si="171"/>
        <v>tier - 2</v>
      </c>
      <c r="K2183" t="s">
        <v>11</v>
      </c>
      <c r="L2183" t="str">
        <f t="shared" si="172"/>
        <v>tier - 2</v>
      </c>
      <c r="M2183" t="s">
        <v>11</v>
      </c>
      <c r="N2183" t="str">
        <f t="shared" si="173"/>
        <v>R1012</v>
      </c>
      <c r="O2183" t="s">
        <v>23</v>
      </c>
    </row>
    <row r="2184" spans="1:15" x14ac:dyDescent="0.35">
      <c r="A2184" t="s">
        <v>2213</v>
      </c>
      <c r="C2184">
        <f t="shared" si="170"/>
        <v>1970</v>
      </c>
      <c r="D2184">
        <v>1970</v>
      </c>
      <c r="E2184" t="str">
        <f t="shared" si="174"/>
        <v>Oct</v>
      </c>
      <c r="F2184" t="s">
        <v>37</v>
      </c>
      <c r="G2184">
        <v>28</v>
      </c>
      <c r="H2184">
        <v>0</v>
      </c>
      <c r="I2184" s="21">
        <v>37675.06</v>
      </c>
      <c r="J2184" t="str">
        <f t="shared" si="171"/>
        <v>tier - 2</v>
      </c>
      <c r="K2184" t="s">
        <v>11</v>
      </c>
      <c r="L2184" t="str">
        <f t="shared" si="172"/>
        <v>tier - 3</v>
      </c>
      <c r="M2184" t="s">
        <v>12</v>
      </c>
      <c r="N2184" t="str">
        <f t="shared" si="173"/>
        <v>R1011</v>
      </c>
      <c r="O2184" t="s">
        <v>42</v>
      </c>
    </row>
    <row r="2185" spans="1:15" x14ac:dyDescent="0.35">
      <c r="A2185" t="s">
        <v>2214</v>
      </c>
      <c r="C2185">
        <f t="shared" si="170"/>
        <v>1988</v>
      </c>
      <c r="D2185">
        <v>1988</v>
      </c>
      <c r="E2185" t="str">
        <f t="shared" si="174"/>
        <v>Oct</v>
      </c>
      <c r="F2185" t="s">
        <v>37</v>
      </c>
      <c r="G2185">
        <v>10</v>
      </c>
      <c r="H2185">
        <v>1</v>
      </c>
      <c r="I2185" s="21">
        <v>37701.879999999997</v>
      </c>
      <c r="J2185" t="str">
        <f t="shared" si="171"/>
        <v>tier - 2</v>
      </c>
      <c r="K2185" t="s">
        <v>11</v>
      </c>
      <c r="L2185" t="str">
        <f t="shared" si="172"/>
        <v>tier - 3</v>
      </c>
      <c r="M2185" t="s">
        <v>12</v>
      </c>
      <c r="N2185" t="str">
        <f t="shared" si="173"/>
        <v>R1023</v>
      </c>
      <c r="O2185" t="s">
        <v>249</v>
      </c>
    </row>
    <row r="2186" spans="1:15" x14ac:dyDescent="0.35">
      <c r="A2186" t="s">
        <v>2215</v>
      </c>
      <c r="C2186">
        <f t="shared" si="170"/>
        <v>1976</v>
      </c>
      <c r="D2186">
        <v>1976</v>
      </c>
      <c r="E2186" t="str">
        <f t="shared" si="174"/>
        <v>Sep</v>
      </c>
      <c r="F2186" t="s">
        <v>20</v>
      </c>
      <c r="G2186">
        <v>18</v>
      </c>
      <c r="H2186">
        <v>2</v>
      </c>
      <c r="I2186" s="21">
        <v>37735.199999999997</v>
      </c>
      <c r="J2186" t="str">
        <f t="shared" si="171"/>
        <v>tier - 2</v>
      </c>
      <c r="K2186" t="s">
        <v>11</v>
      </c>
      <c r="L2186" t="str">
        <f t="shared" si="172"/>
        <v>tier - 2</v>
      </c>
      <c r="M2186" t="s">
        <v>11</v>
      </c>
      <c r="N2186" t="str">
        <f t="shared" si="173"/>
        <v>R1011</v>
      </c>
      <c r="O2186" t="s">
        <v>42</v>
      </c>
    </row>
    <row r="2187" spans="1:15" x14ac:dyDescent="0.35">
      <c r="A2187" t="s">
        <v>2216</v>
      </c>
      <c r="C2187">
        <f t="shared" si="170"/>
        <v>1986</v>
      </c>
      <c r="D2187">
        <v>1986</v>
      </c>
      <c r="E2187" t="str">
        <f t="shared" si="174"/>
        <v>Aug</v>
      </c>
      <c r="F2187" t="s">
        <v>35</v>
      </c>
      <c r="G2187">
        <v>15</v>
      </c>
      <c r="H2187">
        <v>0</v>
      </c>
      <c r="I2187" s="21">
        <v>37742.58</v>
      </c>
      <c r="J2187" t="str">
        <f t="shared" si="171"/>
        <v>tier - 1</v>
      </c>
      <c r="K2187" t="s">
        <v>16</v>
      </c>
      <c r="L2187" t="str">
        <f t="shared" si="172"/>
        <v>tier - 1</v>
      </c>
      <c r="M2187" t="s">
        <v>16</v>
      </c>
      <c r="N2187" t="str">
        <f t="shared" si="173"/>
        <v>R1013</v>
      </c>
      <c r="O2187" t="s">
        <v>13</v>
      </c>
    </row>
    <row r="2188" spans="1:15" x14ac:dyDescent="0.35">
      <c r="A2188" t="s">
        <v>2217</v>
      </c>
      <c r="C2188">
        <f t="shared" si="170"/>
        <v>1983</v>
      </c>
      <c r="D2188">
        <v>1983</v>
      </c>
      <c r="E2188" t="str">
        <f t="shared" si="174"/>
        <v>Jul</v>
      </c>
      <c r="F2188" t="s">
        <v>10</v>
      </c>
      <c r="G2188">
        <v>26</v>
      </c>
      <c r="H2188">
        <v>3</v>
      </c>
      <c r="I2188" s="21">
        <v>37800.980000000003</v>
      </c>
      <c r="J2188" t="str">
        <f t="shared" si="171"/>
        <v>tier - 2</v>
      </c>
      <c r="K2188" t="s">
        <v>11</v>
      </c>
      <c r="L2188" t="str">
        <f t="shared" si="172"/>
        <v>tier - 2</v>
      </c>
      <c r="M2188" t="s">
        <v>11</v>
      </c>
      <c r="N2188" t="str">
        <f t="shared" si="173"/>
        <v>R1011</v>
      </c>
      <c r="O2188" t="s">
        <v>42</v>
      </c>
    </row>
    <row r="2189" spans="1:15" x14ac:dyDescent="0.35">
      <c r="A2189" t="s">
        <v>2218</v>
      </c>
      <c r="C2189">
        <f t="shared" si="170"/>
        <v>1979</v>
      </c>
      <c r="D2189">
        <v>1979</v>
      </c>
      <c r="E2189" t="str">
        <f t="shared" si="174"/>
        <v>Sep</v>
      </c>
      <c r="F2189" t="s">
        <v>20</v>
      </c>
      <c r="G2189">
        <v>9</v>
      </c>
      <c r="H2189">
        <v>0</v>
      </c>
      <c r="I2189" s="21">
        <v>37829.72</v>
      </c>
      <c r="J2189" t="str">
        <f t="shared" si="171"/>
        <v>tier - 1</v>
      </c>
      <c r="K2189" t="s">
        <v>16</v>
      </c>
      <c r="L2189" t="str">
        <f t="shared" si="172"/>
        <v>tier - 2</v>
      </c>
      <c r="M2189" t="s">
        <v>11</v>
      </c>
      <c r="N2189" t="str">
        <f t="shared" si="173"/>
        <v>R1011</v>
      </c>
      <c r="O2189" t="s">
        <v>42</v>
      </c>
    </row>
    <row r="2190" spans="1:15" x14ac:dyDescent="0.35">
      <c r="A2190" t="s">
        <v>2219</v>
      </c>
      <c r="C2190">
        <f t="shared" si="170"/>
        <v>1998</v>
      </c>
      <c r="D2190">
        <v>1998</v>
      </c>
      <c r="E2190" t="str">
        <f t="shared" si="174"/>
        <v>Jul</v>
      </c>
      <c r="F2190" t="s">
        <v>10</v>
      </c>
      <c r="G2190">
        <v>29</v>
      </c>
      <c r="H2190">
        <v>0</v>
      </c>
      <c r="I2190" s="21">
        <v>38126.25</v>
      </c>
      <c r="J2190" t="str">
        <f t="shared" si="171"/>
        <v>tier - 1</v>
      </c>
      <c r="K2190" t="s">
        <v>16</v>
      </c>
      <c r="L2190" t="str">
        <f t="shared" si="172"/>
        <v>tier - 3</v>
      </c>
      <c r="M2190" t="s">
        <v>12</v>
      </c>
      <c r="N2190" t="str">
        <f t="shared" si="173"/>
        <v>R1013</v>
      </c>
      <c r="O2190" t="s">
        <v>13</v>
      </c>
    </row>
    <row r="2191" spans="1:15" x14ac:dyDescent="0.35">
      <c r="A2191" t="s">
        <v>2220</v>
      </c>
      <c r="C2191">
        <f t="shared" si="170"/>
        <v>1972</v>
      </c>
      <c r="D2191">
        <v>1972</v>
      </c>
      <c r="E2191" t="str">
        <f t="shared" si="174"/>
        <v>Nov</v>
      </c>
      <c r="F2191" t="s">
        <v>15</v>
      </c>
      <c r="G2191">
        <v>19</v>
      </c>
      <c r="H2191">
        <v>0</v>
      </c>
      <c r="I2191" s="21">
        <v>38189.1</v>
      </c>
      <c r="J2191" t="str">
        <f t="shared" si="171"/>
        <v>tier - 2</v>
      </c>
      <c r="K2191" t="s">
        <v>11</v>
      </c>
      <c r="L2191" t="str">
        <f t="shared" si="172"/>
        <v>tier - 2</v>
      </c>
      <c r="M2191" t="s">
        <v>11</v>
      </c>
      <c r="N2191" t="str">
        <f t="shared" si="173"/>
        <v>R1011</v>
      </c>
      <c r="O2191" t="s">
        <v>42</v>
      </c>
    </row>
    <row r="2192" spans="1:15" x14ac:dyDescent="0.35">
      <c r="A2192" t="s">
        <v>2221</v>
      </c>
      <c r="C2192">
        <f t="shared" si="170"/>
        <v>1989</v>
      </c>
      <c r="D2192">
        <v>1989</v>
      </c>
      <c r="E2192" t="str">
        <f t="shared" si="174"/>
        <v>Sep</v>
      </c>
      <c r="F2192" t="s">
        <v>20</v>
      </c>
      <c r="G2192">
        <v>8</v>
      </c>
      <c r="H2192">
        <v>3</v>
      </c>
      <c r="I2192" s="21">
        <v>38237.339999999997</v>
      </c>
      <c r="J2192" t="str">
        <f t="shared" si="171"/>
        <v>tier - 2</v>
      </c>
      <c r="K2192" t="s">
        <v>11</v>
      </c>
      <c r="L2192" t="str">
        <f t="shared" si="172"/>
        <v>tier - 3</v>
      </c>
      <c r="M2192" t="s">
        <v>12</v>
      </c>
      <c r="N2192" t="str">
        <f t="shared" si="173"/>
        <v>R1011</v>
      </c>
      <c r="O2192" t="s">
        <v>42</v>
      </c>
    </row>
    <row r="2193" spans="1:15" x14ac:dyDescent="0.35">
      <c r="A2193" t="s">
        <v>2222</v>
      </c>
      <c r="C2193">
        <f t="shared" si="170"/>
        <v>1964</v>
      </c>
      <c r="D2193">
        <v>1964</v>
      </c>
      <c r="E2193" t="str">
        <f t="shared" si="174"/>
        <v>Jun</v>
      </c>
      <c r="F2193" t="s">
        <v>18</v>
      </c>
      <c r="G2193">
        <v>16</v>
      </c>
      <c r="H2193">
        <v>0</v>
      </c>
      <c r="I2193" s="21">
        <v>38241.74</v>
      </c>
      <c r="J2193" t="str">
        <f t="shared" si="171"/>
        <v>tier - 2</v>
      </c>
      <c r="K2193" t="s">
        <v>11</v>
      </c>
      <c r="L2193" t="str">
        <f t="shared" si="172"/>
        <v>tier - 3</v>
      </c>
      <c r="M2193" t="s">
        <v>12</v>
      </c>
      <c r="N2193" t="str">
        <f t="shared" si="173"/>
        <v>R1011</v>
      </c>
      <c r="O2193" t="s">
        <v>42</v>
      </c>
    </row>
    <row r="2194" spans="1:15" x14ac:dyDescent="0.35">
      <c r="A2194" t="s">
        <v>2223</v>
      </c>
      <c r="C2194">
        <f t="shared" si="170"/>
        <v>1980</v>
      </c>
      <c r="D2194">
        <v>1980</v>
      </c>
      <c r="E2194" t="str">
        <f t="shared" si="174"/>
        <v>Aug</v>
      </c>
      <c r="F2194" t="s">
        <v>35</v>
      </c>
      <c r="G2194">
        <v>16</v>
      </c>
      <c r="H2194">
        <v>1</v>
      </c>
      <c r="I2194" s="21">
        <v>38245.589999999997</v>
      </c>
      <c r="J2194" t="str">
        <f t="shared" si="171"/>
        <v>tier - 1</v>
      </c>
      <c r="K2194" t="s">
        <v>16</v>
      </c>
      <c r="L2194" t="str">
        <f t="shared" si="172"/>
        <v>tier - 2</v>
      </c>
      <c r="M2194" t="s">
        <v>11</v>
      </c>
      <c r="N2194" t="str">
        <f t="shared" si="173"/>
        <v>R1013</v>
      </c>
      <c r="O2194" t="s">
        <v>13</v>
      </c>
    </row>
    <row r="2195" spans="1:15" x14ac:dyDescent="0.35">
      <c r="A2195" t="s">
        <v>2224</v>
      </c>
      <c r="C2195">
        <f t="shared" si="170"/>
        <v>1989</v>
      </c>
      <c r="D2195">
        <v>1989</v>
      </c>
      <c r="E2195" t="str">
        <f t="shared" si="174"/>
        <v>Oct</v>
      </c>
      <c r="F2195" t="s">
        <v>37</v>
      </c>
      <c r="G2195">
        <v>30</v>
      </c>
      <c r="H2195">
        <v>1</v>
      </c>
      <c r="I2195" s="21">
        <v>38282.75</v>
      </c>
      <c r="J2195" t="str">
        <f t="shared" si="171"/>
        <v>tier - 1</v>
      </c>
      <c r="K2195" t="s">
        <v>16</v>
      </c>
      <c r="L2195" t="str">
        <f t="shared" si="172"/>
        <v>tier - 2</v>
      </c>
      <c r="M2195" t="s">
        <v>11</v>
      </c>
      <c r="N2195" t="str">
        <f t="shared" si="173"/>
        <v>R1013</v>
      </c>
      <c r="O2195" t="s">
        <v>13</v>
      </c>
    </row>
    <row r="2196" spans="1:15" x14ac:dyDescent="0.35">
      <c r="A2196" t="s">
        <v>2225</v>
      </c>
      <c r="C2196">
        <f t="shared" si="170"/>
        <v>1980</v>
      </c>
      <c r="D2196">
        <v>1980</v>
      </c>
      <c r="E2196" t="str">
        <f t="shared" si="174"/>
        <v>Jun</v>
      </c>
      <c r="F2196" t="s">
        <v>18</v>
      </c>
      <c r="G2196">
        <v>12</v>
      </c>
      <c r="H2196">
        <v>2</v>
      </c>
      <c r="I2196" s="21">
        <v>38313.129999999997</v>
      </c>
      <c r="J2196" t="str">
        <f t="shared" si="171"/>
        <v>tier - 1</v>
      </c>
      <c r="K2196" t="s">
        <v>16</v>
      </c>
      <c r="L2196" t="str">
        <f t="shared" si="172"/>
        <v>tier - 3</v>
      </c>
      <c r="M2196" t="s">
        <v>12</v>
      </c>
      <c r="N2196" t="str">
        <f t="shared" si="173"/>
        <v>R1011</v>
      </c>
      <c r="O2196" t="s">
        <v>42</v>
      </c>
    </row>
    <row r="2197" spans="1:15" x14ac:dyDescent="0.35">
      <c r="A2197" t="s">
        <v>2226</v>
      </c>
      <c r="C2197">
        <f t="shared" si="170"/>
        <v>2002</v>
      </c>
      <c r="D2197">
        <v>2002</v>
      </c>
      <c r="E2197" t="str">
        <f t="shared" si="174"/>
        <v>Sep</v>
      </c>
      <c r="F2197" t="s">
        <v>20</v>
      </c>
      <c r="G2197">
        <v>17</v>
      </c>
      <c r="H2197">
        <v>2</v>
      </c>
      <c r="I2197" s="21">
        <v>38344.57</v>
      </c>
      <c r="J2197" t="str">
        <f t="shared" si="171"/>
        <v>tier - 1</v>
      </c>
      <c r="K2197" t="s">
        <v>16</v>
      </c>
      <c r="L2197" t="str">
        <f t="shared" si="172"/>
        <v>tier - 3</v>
      </c>
      <c r="M2197" t="s">
        <v>12</v>
      </c>
      <c r="N2197" t="str">
        <f t="shared" si="173"/>
        <v>R1011</v>
      </c>
      <c r="O2197" t="s">
        <v>42</v>
      </c>
    </row>
    <row r="2198" spans="1:15" x14ac:dyDescent="0.35">
      <c r="A2198" t="s">
        <v>2227</v>
      </c>
      <c r="C2198">
        <f t="shared" si="170"/>
        <v>1970</v>
      </c>
      <c r="D2198">
        <v>1970</v>
      </c>
      <c r="E2198" t="str">
        <f t="shared" si="174"/>
        <v>Aug</v>
      </c>
      <c r="F2198" t="s">
        <v>35</v>
      </c>
      <c r="G2198">
        <v>22</v>
      </c>
      <c r="H2198">
        <v>0</v>
      </c>
      <c r="I2198" s="21">
        <v>38389.79</v>
      </c>
      <c r="J2198" t="str">
        <f t="shared" si="171"/>
        <v>tier - 2</v>
      </c>
      <c r="K2198" t="s">
        <v>11</v>
      </c>
      <c r="L2198" t="str">
        <f t="shared" si="172"/>
        <v>tier - 3</v>
      </c>
      <c r="M2198" t="s">
        <v>12</v>
      </c>
      <c r="N2198" t="str">
        <f t="shared" si="173"/>
        <v>R1011</v>
      </c>
      <c r="O2198" t="s">
        <v>42</v>
      </c>
    </row>
    <row r="2199" spans="1:15" x14ac:dyDescent="0.35">
      <c r="A2199" t="s">
        <v>2228</v>
      </c>
      <c r="C2199">
        <f t="shared" si="170"/>
        <v>1971</v>
      </c>
      <c r="D2199">
        <v>1971</v>
      </c>
      <c r="E2199" t="str">
        <f t="shared" si="174"/>
        <v>Dec</v>
      </c>
      <c r="F2199" t="s">
        <v>30</v>
      </c>
      <c r="G2199">
        <v>23</v>
      </c>
      <c r="H2199">
        <v>0</v>
      </c>
      <c r="I2199" s="21">
        <v>38405.26</v>
      </c>
      <c r="J2199" t="str">
        <f t="shared" si="171"/>
        <v>tier - 2</v>
      </c>
      <c r="K2199" t="s">
        <v>11</v>
      </c>
      <c r="L2199" t="str">
        <f t="shared" si="172"/>
        <v>tier - 1</v>
      </c>
      <c r="M2199" t="s">
        <v>16</v>
      </c>
      <c r="N2199" t="str">
        <f t="shared" si="173"/>
        <v>R1011</v>
      </c>
      <c r="O2199" t="s">
        <v>42</v>
      </c>
    </row>
    <row r="2200" spans="1:15" x14ac:dyDescent="0.35">
      <c r="A2200" t="s">
        <v>2229</v>
      </c>
      <c r="C2200">
        <f t="shared" si="170"/>
        <v>1986</v>
      </c>
      <c r="D2200">
        <v>1986</v>
      </c>
      <c r="E2200" t="str">
        <f t="shared" si="174"/>
        <v>Jun</v>
      </c>
      <c r="F2200" t="s">
        <v>18</v>
      </c>
      <c r="G2200">
        <v>21</v>
      </c>
      <c r="H2200">
        <v>2</v>
      </c>
      <c r="I2200" s="21">
        <v>38415.47</v>
      </c>
      <c r="J2200" t="str">
        <f t="shared" si="171"/>
        <v>tier - 1</v>
      </c>
      <c r="K2200" t="s">
        <v>16</v>
      </c>
      <c r="L2200" t="str">
        <f t="shared" si="172"/>
        <v>tier - 2</v>
      </c>
      <c r="M2200" t="s">
        <v>11</v>
      </c>
      <c r="N2200" t="str">
        <f t="shared" si="173"/>
        <v>R1011</v>
      </c>
      <c r="O2200" t="s">
        <v>42</v>
      </c>
    </row>
    <row r="2201" spans="1:15" x14ac:dyDescent="0.35">
      <c r="A2201" t="s">
        <v>2230</v>
      </c>
      <c r="C2201">
        <f t="shared" si="170"/>
        <v>1999</v>
      </c>
      <c r="D2201">
        <v>1999</v>
      </c>
      <c r="E2201" t="str">
        <f t="shared" si="174"/>
        <v>Nov</v>
      </c>
      <c r="F2201" t="s">
        <v>15</v>
      </c>
      <c r="G2201">
        <v>12</v>
      </c>
      <c r="H2201">
        <v>2</v>
      </c>
      <c r="I2201" s="21">
        <v>38511.629999999997</v>
      </c>
      <c r="J2201" t="str">
        <f t="shared" si="171"/>
        <v>tier - 2</v>
      </c>
      <c r="K2201" t="s">
        <v>11</v>
      </c>
      <c r="L2201" t="str">
        <f t="shared" si="172"/>
        <v>tier - 2</v>
      </c>
      <c r="M2201" t="s">
        <v>11</v>
      </c>
      <c r="N2201" t="str">
        <f t="shared" si="173"/>
        <v>R1024</v>
      </c>
      <c r="O2201" t="s">
        <v>247</v>
      </c>
    </row>
    <row r="2202" spans="1:15" x14ac:dyDescent="0.35">
      <c r="A2202" t="s">
        <v>2231</v>
      </c>
      <c r="C2202">
        <f t="shared" si="170"/>
        <v>1990</v>
      </c>
      <c r="D2202">
        <v>1990</v>
      </c>
      <c r="E2202" t="str">
        <f t="shared" si="174"/>
        <v>Jul</v>
      </c>
      <c r="F2202" t="s">
        <v>10</v>
      </c>
      <c r="G2202">
        <v>13</v>
      </c>
      <c r="H2202">
        <v>3</v>
      </c>
      <c r="I2202" s="21">
        <v>38652.089999999997</v>
      </c>
      <c r="J2202" t="str">
        <f t="shared" si="171"/>
        <v>tier - 2</v>
      </c>
      <c r="K2202" t="s">
        <v>11</v>
      </c>
      <c r="L2202" t="str">
        <f t="shared" si="172"/>
        <v>tier - 2</v>
      </c>
      <c r="M2202" t="s">
        <v>11</v>
      </c>
      <c r="N2202" t="str">
        <f t="shared" si="173"/>
        <v>R1011</v>
      </c>
      <c r="O2202" t="s">
        <v>42</v>
      </c>
    </row>
    <row r="2203" spans="1:15" x14ac:dyDescent="0.35">
      <c r="A2203" t="s">
        <v>2232</v>
      </c>
      <c r="C2203">
        <f t="shared" si="170"/>
        <v>1986</v>
      </c>
      <c r="D2203">
        <v>1986</v>
      </c>
      <c r="E2203" t="str">
        <f t="shared" si="174"/>
        <v>Jul</v>
      </c>
      <c r="F2203" t="s">
        <v>10</v>
      </c>
      <c r="G2203">
        <v>20</v>
      </c>
      <c r="H2203">
        <v>1</v>
      </c>
      <c r="I2203" s="21">
        <v>38709.18</v>
      </c>
      <c r="J2203" t="str">
        <f t="shared" si="171"/>
        <v>tier - 1</v>
      </c>
      <c r="K2203" t="s">
        <v>16</v>
      </c>
      <c r="L2203" t="str">
        <f t="shared" si="172"/>
        <v>tier - 3</v>
      </c>
      <c r="M2203" t="s">
        <v>12</v>
      </c>
      <c r="N2203" t="str">
        <f t="shared" si="173"/>
        <v>R1013</v>
      </c>
      <c r="O2203" t="s">
        <v>13</v>
      </c>
    </row>
    <row r="2204" spans="1:15" x14ac:dyDescent="0.35">
      <c r="A2204" t="s">
        <v>31</v>
      </c>
      <c r="C2204">
        <f t="shared" si="170"/>
        <v>1991</v>
      </c>
      <c r="D2204">
        <v>1991</v>
      </c>
      <c r="E2204" t="str">
        <f t="shared" si="174"/>
        <v>Nov</v>
      </c>
      <c r="F2204" t="s">
        <v>15</v>
      </c>
      <c r="G2204">
        <v>22</v>
      </c>
      <c r="H2204">
        <v>2</v>
      </c>
      <c r="I2204" s="21">
        <v>38711</v>
      </c>
      <c r="J2204" t="str">
        <f t="shared" si="171"/>
        <v>tier - 1</v>
      </c>
      <c r="K2204" t="s">
        <v>16</v>
      </c>
      <c r="L2204" t="str">
        <f t="shared" si="172"/>
        <v>tier - 3</v>
      </c>
      <c r="M2204" t="s">
        <v>12</v>
      </c>
      <c r="N2204" t="str">
        <f t="shared" si="173"/>
        <v>R1011</v>
      </c>
      <c r="O2204" t="s">
        <v>42</v>
      </c>
    </row>
    <row r="2205" spans="1:15" x14ac:dyDescent="0.35">
      <c r="A2205" t="s">
        <v>2233</v>
      </c>
      <c r="C2205">
        <f t="shared" si="170"/>
        <v>1991</v>
      </c>
      <c r="D2205">
        <v>1991</v>
      </c>
      <c r="E2205" t="str">
        <f t="shared" si="174"/>
        <v>Nov</v>
      </c>
      <c r="F2205" t="s">
        <v>15</v>
      </c>
      <c r="G2205">
        <v>2</v>
      </c>
      <c r="H2205">
        <v>2</v>
      </c>
      <c r="I2205" s="21">
        <v>38711</v>
      </c>
      <c r="J2205" t="str">
        <f t="shared" si="171"/>
        <v>tier - 2</v>
      </c>
      <c r="K2205" t="s">
        <v>11</v>
      </c>
      <c r="L2205" t="str">
        <f t="shared" si="172"/>
        <v>tier - 2</v>
      </c>
      <c r="M2205" t="s">
        <v>11</v>
      </c>
      <c r="N2205" t="str">
        <f t="shared" si="173"/>
        <v>R1011</v>
      </c>
      <c r="O2205" t="s">
        <v>42</v>
      </c>
    </row>
    <row r="2206" spans="1:15" x14ac:dyDescent="0.35">
      <c r="A2206" t="s">
        <v>2234</v>
      </c>
      <c r="C2206">
        <f t="shared" si="170"/>
        <v>1976</v>
      </c>
      <c r="D2206">
        <v>1976</v>
      </c>
      <c r="E2206" t="str">
        <f t="shared" si="174"/>
        <v>Jun</v>
      </c>
      <c r="F2206" t="s">
        <v>18</v>
      </c>
      <c r="G2206">
        <v>15</v>
      </c>
      <c r="H2206">
        <v>2</v>
      </c>
      <c r="I2206" s="21">
        <v>38740.120000000003</v>
      </c>
      <c r="J2206" t="str">
        <f t="shared" si="171"/>
        <v>tier - 2</v>
      </c>
      <c r="K2206" t="s">
        <v>11</v>
      </c>
      <c r="L2206" t="str">
        <f t="shared" si="172"/>
        <v>tier - 2</v>
      </c>
      <c r="M2206" t="s">
        <v>11</v>
      </c>
      <c r="N2206" t="str">
        <f t="shared" si="173"/>
        <v>R1012</v>
      </c>
      <c r="O2206" t="s">
        <v>23</v>
      </c>
    </row>
    <row r="2207" spans="1:15" x14ac:dyDescent="0.35">
      <c r="A2207" t="s">
        <v>2235</v>
      </c>
      <c r="C2207">
        <f t="shared" si="170"/>
        <v>1991</v>
      </c>
      <c r="D2207">
        <v>1991</v>
      </c>
      <c r="E2207" t="str">
        <f t="shared" si="174"/>
        <v>Nov</v>
      </c>
      <c r="F2207" t="s">
        <v>15</v>
      </c>
      <c r="G2207">
        <v>8</v>
      </c>
      <c r="H2207">
        <v>3</v>
      </c>
      <c r="I2207" s="21">
        <v>38746.36</v>
      </c>
      <c r="J2207" t="str">
        <f t="shared" si="171"/>
        <v>tier - 1</v>
      </c>
      <c r="K2207" t="s">
        <v>16</v>
      </c>
      <c r="L2207" t="str">
        <f t="shared" si="172"/>
        <v>tier - 2</v>
      </c>
      <c r="M2207" t="s">
        <v>11</v>
      </c>
      <c r="N2207" t="str">
        <f t="shared" si="173"/>
        <v>R1012</v>
      </c>
      <c r="O2207" t="s">
        <v>23</v>
      </c>
    </row>
    <row r="2208" spans="1:15" x14ac:dyDescent="0.35">
      <c r="A2208" t="s">
        <v>2236</v>
      </c>
      <c r="C2208">
        <f t="shared" si="170"/>
        <v>2004</v>
      </c>
      <c r="D2208">
        <v>2004</v>
      </c>
      <c r="E2208" t="str">
        <f t="shared" si="174"/>
        <v>Dec</v>
      </c>
      <c r="F2208" t="s">
        <v>30</v>
      </c>
      <c r="G2208">
        <v>5</v>
      </c>
      <c r="H2208">
        <v>0</v>
      </c>
      <c r="I2208" s="21">
        <v>38792.69</v>
      </c>
      <c r="J2208" t="str">
        <f t="shared" si="171"/>
        <v>tier - 2</v>
      </c>
      <c r="K2208" t="s">
        <v>11</v>
      </c>
      <c r="L2208" t="str">
        <f t="shared" si="172"/>
        <v>tier - 2</v>
      </c>
      <c r="M2208" t="s">
        <v>11</v>
      </c>
      <c r="N2208" t="str">
        <f t="shared" si="173"/>
        <v>R1013</v>
      </c>
      <c r="O2208" t="s">
        <v>13</v>
      </c>
    </row>
    <row r="2209" spans="1:15" x14ac:dyDescent="0.35">
      <c r="A2209" t="s">
        <v>2237</v>
      </c>
      <c r="C2209">
        <f t="shared" si="170"/>
        <v>1979</v>
      </c>
      <c r="D2209">
        <v>1979</v>
      </c>
      <c r="E2209" t="str">
        <f t="shared" si="174"/>
        <v>Dec</v>
      </c>
      <c r="F2209" t="s">
        <v>30</v>
      </c>
      <c r="G2209">
        <v>3</v>
      </c>
      <c r="H2209">
        <v>2</v>
      </c>
      <c r="I2209" s="21">
        <v>38836.980000000003</v>
      </c>
      <c r="J2209" t="str">
        <f t="shared" si="171"/>
        <v>tier - 2</v>
      </c>
      <c r="K2209" t="s">
        <v>11</v>
      </c>
      <c r="L2209" t="str">
        <f t="shared" si="172"/>
        <v>tier - 1</v>
      </c>
      <c r="M2209" t="s">
        <v>16</v>
      </c>
      <c r="N2209" t="str">
        <f t="shared" si="173"/>
        <v>R1011</v>
      </c>
      <c r="O2209" t="s">
        <v>42</v>
      </c>
    </row>
    <row r="2210" spans="1:15" x14ac:dyDescent="0.35">
      <c r="A2210" t="s">
        <v>2238</v>
      </c>
      <c r="C2210">
        <f t="shared" si="170"/>
        <v>1964</v>
      </c>
      <c r="D2210">
        <v>1964</v>
      </c>
      <c r="E2210" t="str">
        <f t="shared" si="174"/>
        <v>Jun</v>
      </c>
      <c r="F2210" t="s">
        <v>18</v>
      </c>
      <c r="G2210">
        <v>6</v>
      </c>
      <c r="H2210">
        <v>0</v>
      </c>
      <c r="I2210" s="21">
        <v>38869.25</v>
      </c>
      <c r="J2210" t="str">
        <f t="shared" si="171"/>
        <v>tier - 2</v>
      </c>
      <c r="K2210" t="s">
        <v>11</v>
      </c>
      <c r="L2210" t="str">
        <f t="shared" si="172"/>
        <v>tier - 2</v>
      </c>
      <c r="M2210" t="s">
        <v>11</v>
      </c>
      <c r="N2210" t="str">
        <f t="shared" si="173"/>
        <v>R1011</v>
      </c>
      <c r="O2210" t="s">
        <v>42</v>
      </c>
    </row>
    <row r="2211" spans="1:15" x14ac:dyDescent="0.35">
      <c r="A2211" t="s">
        <v>2239</v>
      </c>
      <c r="C2211">
        <f t="shared" si="170"/>
        <v>1967</v>
      </c>
      <c r="D2211">
        <v>1967</v>
      </c>
      <c r="E2211" t="str">
        <f t="shared" si="174"/>
        <v>Jul</v>
      </c>
      <c r="F2211" t="s">
        <v>10</v>
      </c>
      <c r="G2211">
        <v>30</v>
      </c>
      <c r="H2211">
        <v>0</v>
      </c>
      <c r="I2211" s="21">
        <v>38893.360000000001</v>
      </c>
      <c r="J2211" t="str">
        <f t="shared" si="171"/>
        <v>tier - 1</v>
      </c>
      <c r="K2211" t="s">
        <v>16</v>
      </c>
      <c r="L2211" t="str">
        <f t="shared" si="172"/>
        <v>tier - 2</v>
      </c>
      <c r="M2211" t="s">
        <v>11</v>
      </c>
      <c r="N2211" t="str">
        <f t="shared" si="173"/>
        <v>R1011</v>
      </c>
      <c r="O2211" t="s">
        <v>42</v>
      </c>
    </row>
    <row r="2212" spans="1:15" x14ac:dyDescent="0.35">
      <c r="A2212" t="s">
        <v>2240</v>
      </c>
      <c r="C2212">
        <f t="shared" si="170"/>
        <v>1987</v>
      </c>
      <c r="D2212">
        <v>1987</v>
      </c>
      <c r="E2212" t="str">
        <f t="shared" si="174"/>
        <v>Jun</v>
      </c>
      <c r="F2212" t="s">
        <v>18</v>
      </c>
      <c r="G2212">
        <v>16</v>
      </c>
      <c r="H2212">
        <v>3</v>
      </c>
      <c r="I2212" s="21">
        <v>38924.04</v>
      </c>
      <c r="J2212" t="str">
        <f t="shared" si="171"/>
        <v>tier - 2</v>
      </c>
      <c r="K2212" t="s">
        <v>11</v>
      </c>
      <c r="L2212" t="str">
        <f t="shared" si="172"/>
        <v>tier - 2</v>
      </c>
      <c r="M2212" t="s">
        <v>11</v>
      </c>
      <c r="N2212" t="str">
        <f t="shared" si="173"/>
        <v>R1011</v>
      </c>
      <c r="O2212" t="s">
        <v>42</v>
      </c>
    </row>
    <row r="2213" spans="1:15" x14ac:dyDescent="0.35">
      <c r="A2213" t="s">
        <v>2241</v>
      </c>
      <c r="C2213">
        <f t="shared" si="170"/>
        <v>1976</v>
      </c>
      <c r="D2213">
        <v>1976</v>
      </c>
      <c r="E2213" t="str">
        <f t="shared" si="174"/>
        <v>Dec</v>
      </c>
      <c r="F2213" t="s">
        <v>30</v>
      </c>
      <c r="G2213">
        <v>15</v>
      </c>
      <c r="H2213">
        <v>2</v>
      </c>
      <c r="I2213" s="21">
        <v>38932.559999999998</v>
      </c>
      <c r="J2213" t="str">
        <f t="shared" si="171"/>
        <v>tier - 2</v>
      </c>
      <c r="K2213" t="s">
        <v>11</v>
      </c>
      <c r="L2213" t="str">
        <f t="shared" si="172"/>
        <v>tier - 3</v>
      </c>
      <c r="M2213" t="s">
        <v>12</v>
      </c>
      <c r="N2213" t="str">
        <f t="shared" si="173"/>
        <v>R1011</v>
      </c>
      <c r="O2213" t="s">
        <v>42</v>
      </c>
    </row>
    <row r="2214" spans="1:15" x14ac:dyDescent="0.35">
      <c r="A2214" t="s">
        <v>2242</v>
      </c>
      <c r="C2214">
        <f t="shared" si="170"/>
        <v>1980</v>
      </c>
      <c r="D2214">
        <v>1980</v>
      </c>
      <c r="E2214" t="str">
        <f t="shared" si="174"/>
        <v>Sep</v>
      </c>
      <c r="F2214" t="s">
        <v>20</v>
      </c>
      <c r="G2214">
        <v>24</v>
      </c>
      <c r="H2214">
        <v>2</v>
      </c>
      <c r="I2214" s="21">
        <v>38947.43</v>
      </c>
      <c r="J2214" t="str">
        <f t="shared" si="171"/>
        <v>tier - 2</v>
      </c>
      <c r="K2214" t="s">
        <v>11</v>
      </c>
      <c r="L2214" t="str">
        <f t="shared" si="172"/>
        <v>tier - 3</v>
      </c>
      <c r="M2214" t="s">
        <v>12</v>
      </c>
      <c r="N2214" t="str">
        <f t="shared" si="173"/>
        <v>R1011</v>
      </c>
      <c r="O2214" t="s">
        <v>42</v>
      </c>
    </row>
    <row r="2215" spans="1:15" x14ac:dyDescent="0.35">
      <c r="A2215" t="s">
        <v>2243</v>
      </c>
      <c r="C2215">
        <f t="shared" si="170"/>
        <v>1978</v>
      </c>
      <c r="D2215">
        <v>1978</v>
      </c>
      <c r="E2215" t="str">
        <f t="shared" si="174"/>
        <v>Oct</v>
      </c>
      <c r="F2215" t="s">
        <v>37</v>
      </c>
      <c r="G2215">
        <v>12</v>
      </c>
      <c r="H2215">
        <v>2</v>
      </c>
      <c r="I2215" s="21">
        <v>38998.550000000003</v>
      </c>
      <c r="J2215" t="str">
        <f t="shared" si="171"/>
        <v>tier - 1</v>
      </c>
      <c r="K2215" t="s">
        <v>16</v>
      </c>
      <c r="L2215" t="str">
        <f t="shared" si="172"/>
        <v>tier - 1</v>
      </c>
      <c r="M2215" t="s">
        <v>16</v>
      </c>
      <c r="N2215" t="str">
        <f t="shared" si="173"/>
        <v>R1011</v>
      </c>
      <c r="O2215" t="s">
        <v>42</v>
      </c>
    </row>
    <row r="2216" spans="1:15" x14ac:dyDescent="0.35">
      <c r="A2216" t="s">
        <v>2244</v>
      </c>
      <c r="C2216">
        <f t="shared" si="170"/>
        <v>1985</v>
      </c>
      <c r="D2216">
        <v>1985</v>
      </c>
      <c r="E2216" t="str">
        <f t="shared" si="174"/>
        <v>Sep</v>
      </c>
      <c r="F2216" t="s">
        <v>20</v>
      </c>
      <c r="G2216">
        <v>20</v>
      </c>
      <c r="H2216">
        <v>1</v>
      </c>
      <c r="I2216" s="21">
        <v>39047.29</v>
      </c>
      <c r="J2216" t="str">
        <f t="shared" si="171"/>
        <v>tier - 1</v>
      </c>
      <c r="K2216" t="s">
        <v>16</v>
      </c>
      <c r="L2216" t="str">
        <f t="shared" si="172"/>
        <v>tier - 3</v>
      </c>
      <c r="M2216" t="s">
        <v>12</v>
      </c>
      <c r="N2216" t="str">
        <f t="shared" si="173"/>
        <v>R1017</v>
      </c>
      <c r="O2216" t="s">
        <v>356</v>
      </c>
    </row>
    <row r="2217" spans="1:15" x14ac:dyDescent="0.35">
      <c r="A2217" t="s">
        <v>2245</v>
      </c>
      <c r="C2217">
        <f t="shared" si="170"/>
        <v>1982</v>
      </c>
      <c r="D2217">
        <v>1982</v>
      </c>
      <c r="E2217" t="str">
        <f t="shared" si="174"/>
        <v>Aug</v>
      </c>
      <c r="F2217" t="s">
        <v>35</v>
      </c>
      <c r="G2217">
        <v>4</v>
      </c>
      <c r="H2217">
        <v>1</v>
      </c>
      <c r="I2217" s="21">
        <v>39125.33</v>
      </c>
      <c r="J2217" t="str">
        <f t="shared" si="171"/>
        <v>tier - 1</v>
      </c>
      <c r="K2217" t="s">
        <v>16</v>
      </c>
      <c r="L2217" t="str">
        <f t="shared" si="172"/>
        <v>tier - 1</v>
      </c>
      <c r="M2217" t="s">
        <v>16</v>
      </c>
      <c r="N2217" t="str">
        <f t="shared" si="173"/>
        <v>R1016</v>
      </c>
      <c r="O2217" t="s">
        <v>168</v>
      </c>
    </row>
    <row r="2218" spans="1:15" x14ac:dyDescent="0.35">
      <c r="A2218" t="s">
        <v>2246</v>
      </c>
      <c r="C2218">
        <f t="shared" si="170"/>
        <v>1962</v>
      </c>
      <c r="D2218">
        <v>1962</v>
      </c>
      <c r="E2218" t="str">
        <f t="shared" si="174"/>
        <v>Jul</v>
      </c>
      <c r="F2218" t="s">
        <v>10</v>
      </c>
      <c r="G2218">
        <v>7</v>
      </c>
      <c r="H2218">
        <v>0</v>
      </c>
      <c r="I2218" s="21">
        <v>39221.120000000003</v>
      </c>
      <c r="J2218" t="str">
        <f t="shared" si="171"/>
        <v>tier - 2</v>
      </c>
      <c r="K2218" t="s">
        <v>11</v>
      </c>
      <c r="L2218" t="str">
        <f t="shared" si="172"/>
        <v>tier - 1</v>
      </c>
      <c r="M2218" t="s">
        <v>16</v>
      </c>
      <c r="N2218" t="str">
        <f t="shared" si="173"/>
        <v>R1011</v>
      </c>
      <c r="O2218" t="s">
        <v>42</v>
      </c>
    </row>
    <row r="2219" spans="1:15" x14ac:dyDescent="0.35">
      <c r="A2219" t="s">
        <v>2247</v>
      </c>
      <c r="C2219">
        <f t="shared" si="170"/>
        <v>1992</v>
      </c>
      <c r="D2219">
        <v>1992</v>
      </c>
      <c r="E2219" t="str">
        <f t="shared" si="174"/>
        <v>Nov</v>
      </c>
      <c r="F2219" t="s">
        <v>15</v>
      </c>
      <c r="G2219">
        <v>30</v>
      </c>
      <c r="H2219">
        <v>2</v>
      </c>
      <c r="I2219" s="21">
        <v>39241.440000000002</v>
      </c>
      <c r="J2219" t="str">
        <f t="shared" si="171"/>
        <v>tier - 1</v>
      </c>
      <c r="K2219" t="s">
        <v>16</v>
      </c>
      <c r="L2219" t="str">
        <f t="shared" si="172"/>
        <v>tier - 3</v>
      </c>
      <c r="M2219" t="s">
        <v>12</v>
      </c>
      <c r="N2219" t="str">
        <f t="shared" si="173"/>
        <v>R1011</v>
      </c>
      <c r="O2219" t="s">
        <v>42</v>
      </c>
    </row>
    <row r="2220" spans="1:15" x14ac:dyDescent="0.35">
      <c r="A2220" t="s">
        <v>2248</v>
      </c>
      <c r="C2220">
        <f t="shared" si="170"/>
        <v>1982</v>
      </c>
      <c r="D2220">
        <v>1982</v>
      </c>
      <c r="E2220" t="str">
        <f t="shared" si="174"/>
        <v>Aug</v>
      </c>
      <c r="F2220" t="s">
        <v>35</v>
      </c>
      <c r="G2220">
        <v>16</v>
      </c>
      <c r="H2220">
        <v>3</v>
      </c>
      <c r="I2220" s="21">
        <v>39315.279999999999</v>
      </c>
      <c r="J2220" t="str">
        <f t="shared" si="171"/>
        <v>tier - 2</v>
      </c>
      <c r="K2220" t="s">
        <v>11</v>
      </c>
      <c r="L2220" t="str">
        <f t="shared" si="172"/>
        <v>tier - 3</v>
      </c>
      <c r="M2220" t="s">
        <v>12</v>
      </c>
      <c r="N2220" t="str">
        <f t="shared" si="173"/>
        <v>R1011</v>
      </c>
      <c r="O2220" t="s">
        <v>42</v>
      </c>
    </row>
    <row r="2221" spans="1:15" x14ac:dyDescent="0.35">
      <c r="A2221" t="s">
        <v>2249</v>
      </c>
      <c r="C2221">
        <f t="shared" si="170"/>
        <v>1978</v>
      </c>
      <c r="D2221">
        <v>1978</v>
      </c>
      <c r="E2221" t="str">
        <f t="shared" si="174"/>
        <v>Aug</v>
      </c>
      <c r="F2221" t="s">
        <v>35</v>
      </c>
      <c r="G2221">
        <v>5</v>
      </c>
      <c r="H2221">
        <v>2</v>
      </c>
      <c r="I2221" s="21">
        <v>39352.6</v>
      </c>
      <c r="J2221" t="str">
        <f t="shared" si="171"/>
        <v>tier - 2</v>
      </c>
      <c r="K2221" t="s">
        <v>11</v>
      </c>
      <c r="L2221" t="str">
        <f t="shared" si="172"/>
        <v>tier - 3</v>
      </c>
      <c r="M2221" t="s">
        <v>12</v>
      </c>
      <c r="N2221" t="str">
        <f t="shared" si="173"/>
        <v>R1011</v>
      </c>
      <c r="O2221" t="s">
        <v>42</v>
      </c>
    </row>
    <row r="2222" spans="1:15" x14ac:dyDescent="0.35">
      <c r="A2222" t="s">
        <v>2250</v>
      </c>
      <c r="C2222">
        <f t="shared" si="170"/>
        <v>1966</v>
      </c>
      <c r="D2222">
        <v>1966</v>
      </c>
      <c r="E2222" t="str">
        <f t="shared" si="174"/>
        <v>Jun</v>
      </c>
      <c r="F2222" t="s">
        <v>18</v>
      </c>
      <c r="G2222">
        <v>24</v>
      </c>
      <c r="H2222">
        <v>0</v>
      </c>
      <c r="I2222" s="21">
        <v>39396.86</v>
      </c>
      <c r="J2222" t="str">
        <f t="shared" si="171"/>
        <v>tier - 2</v>
      </c>
      <c r="K2222" t="s">
        <v>11</v>
      </c>
      <c r="L2222" t="str">
        <f t="shared" si="172"/>
        <v>tier - 2</v>
      </c>
      <c r="M2222" t="s">
        <v>11</v>
      </c>
      <c r="N2222" t="str">
        <f t="shared" si="173"/>
        <v>R1011</v>
      </c>
      <c r="O2222" t="s">
        <v>42</v>
      </c>
    </row>
    <row r="2223" spans="1:15" x14ac:dyDescent="0.35">
      <c r="A2223" t="s">
        <v>2251</v>
      </c>
      <c r="C2223">
        <f t="shared" si="170"/>
        <v>1978</v>
      </c>
      <c r="D2223">
        <v>1978</v>
      </c>
      <c r="E2223" t="str">
        <f t="shared" si="174"/>
        <v>Jul</v>
      </c>
      <c r="F2223" t="s">
        <v>10</v>
      </c>
      <c r="G2223">
        <v>12</v>
      </c>
      <c r="H2223">
        <v>1</v>
      </c>
      <c r="I2223" s="21">
        <v>39556.49</v>
      </c>
      <c r="J2223" t="str">
        <f t="shared" si="171"/>
        <v>tier - 1</v>
      </c>
      <c r="K2223" t="s">
        <v>16</v>
      </c>
      <c r="L2223" t="str">
        <f t="shared" si="172"/>
        <v>tier - 2</v>
      </c>
      <c r="M2223" t="s">
        <v>11</v>
      </c>
      <c r="N2223" t="str">
        <f t="shared" si="173"/>
        <v>R1015</v>
      </c>
      <c r="O2223" t="s">
        <v>164</v>
      </c>
    </row>
    <row r="2224" spans="1:15" x14ac:dyDescent="0.35">
      <c r="A2224" t="s">
        <v>2252</v>
      </c>
      <c r="C2224">
        <f t="shared" si="170"/>
        <v>1981</v>
      </c>
      <c r="D2224">
        <v>1981</v>
      </c>
      <c r="E2224" t="str">
        <f t="shared" si="174"/>
        <v>Jul</v>
      </c>
      <c r="F2224" t="s">
        <v>10</v>
      </c>
      <c r="G2224">
        <v>5</v>
      </c>
      <c r="H2224">
        <v>3</v>
      </c>
      <c r="I2224" s="21">
        <v>39597.410000000003</v>
      </c>
      <c r="J2224" t="str">
        <f t="shared" si="171"/>
        <v>tier - 1</v>
      </c>
      <c r="K2224" t="s">
        <v>16</v>
      </c>
      <c r="L2224" t="str">
        <f t="shared" si="172"/>
        <v>tier - 2</v>
      </c>
      <c r="M2224" t="s">
        <v>11</v>
      </c>
      <c r="N2224" t="str">
        <f t="shared" si="173"/>
        <v>R1017</v>
      </c>
      <c r="O2224" t="s">
        <v>356</v>
      </c>
    </row>
    <row r="2225" spans="1:15" x14ac:dyDescent="0.35">
      <c r="A2225" t="s">
        <v>2253</v>
      </c>
      <c r="C2225">
        <f t="shared" si="170"/>
        <v>1995</v>
      </c>
      <c r="D2225">
        <v>1995</v>
      </c>
      <c r="E2225" t="str">
        <f t="shared" si="174"/>
        <v>Aug</v>
      </c>
      <c r="F2225" t="s">
        <v>35</v>
      </c>
      <c r="G2225">
        <v>7</v>
      </c>
      <c r="H2225">
        <v>0</v>
      </c>
      <c r="I2225" s="21">
        <v>39611.760000000002</v>
      </c>
      <c r="J2225" t="str">
        <f t="shared" si="171"/>
        <v>tier - 1</v>
      </c>
      <c r="K2225" t="s">
        <v>16</v>
      </c>
      <c r="L2225" t="str">
        <f t="shared" si="172"/>
        <v>tier - 3</v>
      </c>
      <c r="M2225" t="s">
        <v>12</v>
      </c>
      <c r="N2225" t="str">
        <f t="shared" si="173"/>
        <v>R1013</v>
      </c>
      <c r="O2225" t="s">
        <v>13</v>
      </c>
    </row>
    <row r="2226" spans="1:15" x14ac:dyDescent="0.35">
      <c r="A2226" t="s">
        <v>2254</v>
      </c>
      <c r="C2226">
        <f t="shared" si="170"/>
        <v>1977</v>
      </c>
      <c r="D2226">
        <v>1977</v>
      </c>
      <c r="E2226" t="str">
        <f t="shared" si="174"/>
        <v>Dec</v>
      </c>
      <c r="F2226" t="s">
        <v>30</v>
      </c>
      <c r="G2226">
        <v>17</v>
      </c>
      <c r="H2226">
        <v>2</v>
      </c>
      <c r="I2226" s="21">
        <v>39670.44</v>
      </c>
      <c r="J2226" t="str">
        <f t="shared" si="171"/>
        <v>tier - 2</v>
      </c>
      <c r="K2226" t="s">
        <v>11</v>
      </c>
      <c r="L2226" t="str">
        <f t="shared" si="172"/>
        <v>tier - 1</v>
      </c>
      <c r="M2226" t="s">
        <v>16</v>
      </c>
      <c r="N2226" t="str">
        <f t="shared" si="173"/>
        <v>R1012</v>
      </c>
      <c r="O2226" t="s">
        <v>23</v>
      </c>
    </row>
    <row r="2227" spans="1:15" x14ac:dyDescent="0.35">
      <c r="A2227" t="s">
        <v>2255</v>
      </c>
      <c r="C2227">
        <f t="shared" si="170"/>
        <v>1968</v>
      </c>
      <c r="D2227">
        <v>1968</v>
      </c>
      <c r="E2227" t="str">
        <f t="shared" si="174"/>
        <v>Sep</v>
      </c>
      <c r="F2227" t="s">
        <v>20</v>
      </c>
      <c r="G2227">
        <v>29</v>
      </c>
      <c r="H2227">
        <v>0</v>
      </c>
      <c r="I2227" s="21">
        <v>39721.93</v>
      </c>
      <c r="J2227" t="str">
        <f t="shared" si="171"/>
        <v>tier - 2</v>
      </c>
      <c r="K2227" t="s">
        <v>11</v>
      </c>
      <c r="L2227" t="str">
        <f t="shared" si="172"/>
        <v>tier - 2</v>
      </c>
      <c r="M2227" t="s">
        <v>11</v>
      </c>
      <c r="N2227" t="str">
        <f t="shared" si="173"/>
        <v>R1011</v>
      </c>
      <c r="O2227" t="s">
        <v>42</v>
      </c>
    </row>
    <row r="2228" spans="1:15" x14ac:dyDescent="0.35">
      <c r="A2228" t="s">
        <v>2256</v>
      </c>
      <c r="C2228">
        <f t="shared" si="170"/>
        <v>2003</v>
      </c>
      <c r="D2228">
        <v>2003</v>
      </c>
      <c r="E2228" t="str">
        <f t="shared" si="174"/>
        <v>Jul</v>
      </c>
      <c r="F2228" t="s">
        <v>10</v>
      </c>
      <c r="G2228">
        <v>16</v>
      </c>
      <c r="H2228">
        <v>0</v>
      </c>
      <c r="I2228" s="21">
        <v>39722.75</v>
      </c>
      <c r="J2228" t="str">
        <f t="shared" si="171"/>
        <v>tier - 1</v>
      </c>
      <c r="K2228" t="s">
        <v>16</v>
      </c>
      <c r="L2228" t="str">
        <f t="shared" si="172"/>
        <v>tier - 1</v>
      </c>
      <c r="M2228" t="s">
        <v>16</v>
      </c>
      <c r="N2228" t="str">
        <f t="shared" si="173"/>
        <v>R1013</v>
      </c>
      <c r="O2228" t="s">
        <v>13</v>
      </c>
    </row>
    <row r="2229" spans="1:15" x14ac:dyDescent="0.35">
      <c r="A2229" t="s">
        <v>2257</v>
      </c>
      <c r="C2229">
        <f t="shared" si="170"/>
        <v>1977</v>
      </c>
      <c r="D2229">
        <v>1977</v>
      </c>
      <c r="E2229" t="str">
        <f t="shared" si="174"/>
        <v>Aug</v>
      </c>
      <c r="F2229" t="s">
        <v>35</v>
      </c>
      <c r="G2229">
        <v>12</v>
      </c>
      <c r="H2229">
        <v>1</v>
      </c>
      <c r="I2229" s="21">
        <v>39725.519999999997</v>
      </c>
      <c r="J2229" t="str">
        <f t="shared" si="171"/>
        <v>tier - 2</v>
      </c>
      <c r="K2229" t="s">
        <v>11</v>
      </c>
      <c r="L2229" t="str">
        <f t="shared" si="172"/>
        <v>tier - 1</v>
      </c>
      <c r="M2229" t="s">
        <v>16</v>
      </c>
      <c r="N2229" t="str">
        <f t="shared" si="173"/>
        <v>R1012</v>
      </c>
      <c r="O2229" t="s">
        <v>23</v>
      </c>
    </row>
    <row r="2230" spans="1:15" x14ac:dyDescent="0.35">
      <c r="A2230" t="s">
        <v>2258</v>
      </c>
      <c r="C2230">
        <f t="shared" si="170"/>
        <v>1973</v>
      </c>
      <c r="D2230">
        <v>1973</v>
      </c>
      <c r="E2230" t="str">
        <f t="shared" si="174"/>
        <v>Dec</v>
      </c>
      <c r="F2230" t="s">
        <v>30</v>
      </c>
      <c r="G2230">
        <v>17</v>
      </c>
      <c r="H2230">
        <v>0</v>
      </c>
      <c r="I2230" s="21">
        <v>39727.61</v>
      </c>
      <c r="J2230" t="str">
        <f t="shared" si="171"/>
        <v>tier - 1</v>
      </c>
      <c r="K2230" t="s">
        <v>16</v>
      </c>
      <c r="L2230" t="str">
        <f t="shared" si="172"/>
        <v>tier - 2</v>
      </c>
      <c r="M2230" t="s">
        <v>11</v>
      </c>
      <c r="N2230" t="str">
        <f t="shared" si="173"/>
        <v>R1011</v>
      </c>
      <c r="O2230" t="s">
        <v>42</v>
      </c>
    </row>
    <row r="2231" spans="1:15" x14ac:dyDescent="0.35">
      <c r="A2231" t="s">
        <v>2259</v>
      </c>
      <c r="C2231">
        <f t="shared" si="170"/>
        <v>1987</v>
      </c>
      <c r="D2231">
        <v>1987</v>
      </c>
      <c r="E2231" t="str">
        <f t="shared" si="174"/>
        <v>Jul</v>
      </c>
      <c r="F2231" t="s">
        <v>10</v>
      </c>
      <c r="G2231">
        <v>24</v>
      </c>
      <c r="H2231">
        <v>1</v>
      </c>
      <c r="I2231" s="21">
        <v>39774.28</v>
      </c>
      <c r="J2231" t="str">
        <f t="shared" si="171"/>
        <v>tier - 1</v>
      </c>
      <c r="K2231" t="s">
        <v>16</v>
      </c>
      <c r="L2231" t="str">
        <f t="shared" si="172"/>
        <v>tier - 1</v>
      </c>
      <c r="M2231" t="s">
        <v>16</v>
      </c>
      <c r="N2231" t="str">
        <f t="shared" si="173"/>
        <v>R1014</v>
      </c>
      <c r="O2231" t="s">
        <v>276</v>
      </c>
    </row>
    <row r="2232" spans="1:15" x14ac:dyDescent="0.35">
      <c r="A2232" t="s">
        <v>2260</v>
      </c>
      <c r="C2232">
        <f t="shared" si="170"/>
        <v>1985</v>
      </c>
      <c r="D2232">
        <v>1985</v>
      </c>
      <c r="E2232" t="str">
        <f t="shared" si="174"/>
        <v>Jul</v>
      </c>
      <c r="F2232" t="s">
        <v>10</v>
      </c>
      <c r="G2232">
        <v>17</v>
      </c>
      <c r="H2232">
        <v>2</v>
      </c>
      <c r="I2232" s="21">
        <v>39836.519999999997</v>
      </c>
      <c r="J2232" t="str">
        <f t="shared" si="171"/>
        <v>tier - 2</v>
      </c>
      <c r="K2232" t="s">
        <v>11</v>
      </c>
      <c r="L2232" t="str">
        <f t="shared" si="172"/>
        <v>tier - 1</v>
      </c>
      <c r="M2232" t="s">
        <v>16</v>
      </c>
      <c r="N2232" t="str">
        <f t="shared" si="173"/>
        <v>R1011</v>
      </c>
      <c r="O2232" t="s">
        <v>42</v>
      </c>
    </row>
    <row r="2233" spans="1:15" x14ac:dyDescent="0.35">
      <c r="A2233" t="s">
        <v>2261</v>
      </c>
      <c r="C2233">
        <f t="shared" si="170"/>
        <v>1983</v>
      </c>
      <c r="D2233">
        <v>1983</v>
      </c>
      <c r="E2233" t="str">
        <f t="shared" si="174"/>
        <v>Jun</v>
      </c>
      <c r="F2233" t="s">
        <v>18</v>
      </c>
      <c r="G2233">
        <v>1</v>
      </c>
      <c r="H2233">
        <v>3</v>
      </c>
      <c r="I2233" s="21">
        <v>39865.699999999997</v>
      </c>
      <c r="J2233" t="str">
        <f t="shared" si="171"/>
        <v>tier - 2</v>
      </c>
      <c r="K2233" t="s">
        <v>11</v>
      </c>
      <c r="L2233" t="str">
        <f t="shared" si="172"/>
        <v>tier - 2</v>
      </c>
      <c r="M2233" t="s">
        <v>11</v>
      </c>
      <c r="N2233" t="str">
        <f t="shared" si="173"/>
        <v>R1011</v>
      </c>
      <c r="O2233" t="s">
        <v>42</v>
      </c>
    </row>
    <row r="2234" spans="1:15" x14ac:dyDescent="0.35">
      <c r="A2234" t="s">
        <v>2262</v>
      </c>
      <c r="C2234">
        <f t="shared" si="170"/>
        <v>1985</v>
      </c>
      <c r="D2234">
        <v>1985</v>
      </c>
      <c r="E2234" t="str">
        <f t="shared" si="174"/>
        <v>Aug</v>
      </c>
      <c r="F2234" t="s">
        <v>35</v>
      </c>
      <c r="G2234">
        <v>22</v>
      </c>
      <c r="H2234">
        <v>1</v>
      </c>
      <c r="I2234" s="21">
        <v>39871.699999999997</v>
      </c>
      <c r="J2234" t="str">
        <f t="shared" si="171"/>
        <v>tier - 1</v>
      </c>
      <c r="K2234" t="s">
        <v>16</v>
      </c>
      <c r="L2234" t="str">
        <f t="shared" si="172"/>
        <v>tier - 2</v>
      </c>
      <c r="M2234" t="s">
        <v>11</v>
      </c>
      <c r="N2234" t="str">
        <f t="shared" si="173"/>
        <v>R1013</v>
      </c>
      <c r="O2234" t="s">
        <v>13</v>
      </c>
    </row>
    <row r="2235" spans="1:15" x14ac:dyDescent="0.35">
      <c r="A2235" t="s">
        <v>2263</v>
      </c>
      <c r="C2235">
        <f t="shared" si="170"/>
        <v>1975</v>
      </c>
      <c r="D2235">
        <v>1975</v>
      </c>
      <c r="E2235" t="str">
        <f t="shared" si="174"/>
        <v>Dec</v>
      </c>
      <c r="F2235" t="s">
        <v>30</v>
      </c>
      <c r="G2235">
        <v>2</v>
      </c>
      <c r="H2235">
        <v>1</v>
      </c>
      <c r="I2235" s="21">
        <v>39963.120000000003</v>
      </c>
      <c r="J2235" t="str">
        <f t="shared" si="171"/>
        <v>tier - 2</v>
      </c>
      <c r="K2235" t="s">
        <v>11</v>
      </c>
      <c r="L2235" t="str">
        <f t="shared" si="172"/>
        <v>tier - 2</v>
      </c>
      <c r="M2235" t="s">
        <v>11</v>
      </c>
      <c r="N2235" t="str">
        <f t="shared" si="173"/>
        <v>R1011</v>
      </c>
      <c r="O2235" t="s">
        <v>42</v>
      </c>
    </row>
    <row r="2236" spans="1:15" x14ac:dyDescent="0.35">
      <c r="A2236" t="s">
        <v>2264</v>
      </c>
      <c r="C2236">
        <f t="shared" si="170"/>
        <v>1987</v>
      </c>
      <c r="D2236">
        <v>1987</v>
      </c>
      <c r="E2236" t="str">
        <f t="shared" si="174"/>
        <v>Aug</v>
      </c>
      <c r="F2236" t="s">
        <v>35</v>
      </c>
      <c r="G2236">
        <v>8</v>
      </c>
      <c r="H2236">
        <v>3</v>
      </c>
      <c r="I2236" s="21">
        <v>39983.43</v>
      </c>
      <c r="J2236" t="str">
        <f t="shared" si="171"/>
        <v>tier - 2</v>
      </c>
      <c r="K2236" t="s">
        <v>11</v>
      </c>
      <c r="L2236" t="str">
        <f t="shared" si="172"/>
        <v>tier - 3</v>
      </c>
      <c r="M2236" t="s">
        <v>12</v>
      </c>
      <c r="N2236" t="str">
        <f t="shared" si="173"/>
        <v>R1012</v>
      </c>
      <c r="O2236" t="s">
        <v>23</v>
      </c>
    </row>
    <row r="2237" spans="1:15" x14ac:dyDescent="0.35">
      <c r="A2237" t="s">
        <v>2265</v>
      </c>
      <c r="C2237">
        <f t="shared" si="170"/>
        <v>1982</v>
      </c>
      <c r="D2237">
        <v>1982</v>
      </c>
      <c r="E2237" t="str">
        <f t="shared" si="174"/>
        <v>Dec</v>
      </c>
      <c r="F2237" t="s">
        <v>30</v>
      </c>
      <c r="G2237">
        <v>25</v>
      </c>
      <c r="H2237">
        <v>2</v>
      </c>
      <c r="I2237" s="21">
        <v>40003.33</v>
      </c>
      <c r="J2237" t="str">
        <f t="shared" si="171"/>
        <v>tier - 1</v>
      </c>
      <c r="K2237" t="s">
        <v>16</v>
      </c>
      <c r="L2237" t="str">
        <f t="shared" si="172"/>
        <v>tier - 1</v>
      </c>
      <c r="M2237" t="s">
        <v>16</v>
      </c>
      <c r="N2237" t="str">
        <f t="shared" si="173"/>
        <v>R1012</v>
      </c>
      <c r="O2237" t="s">
        <v>23</v>
      </c>
    </row>
    <row r="2238" spans="1:15" x14ac:dyDescent="0.35">
      <c r="A2238" t="s">
        <v>2266</v>
      </c>
      <c r="C2238">
        <f t="shared" si="170"/>
        <v>1978</v>
      </c>
      <c r="D2238">
        <v>1978</v>
      </c>
      <c r="E2238" t="str">
        <f t="shared" si="174"/>
        <v>Dec</v>
      </c>
      <c r="F2238" t="s">
        <v>30</v>
      </c>
      <c r="G2238">
        <v>20</v>
      </c>
      <c r="H2238">
        <v>2</v>
      </c>
      <c r="I2238" s="21">
        <v>40054.730000000003</v>
      </c>
      <c r="J2238" t="str">
        <f t="shared" si="171"/>
        <v>tier - 1</v>
      </c>
      <c r="K2238" t="s">
        <v>16</v>
      </c>
      <c r="L2238" t="str">
        <f t="shared" si="172"/>
        <v>tier - 3</v>
      </c>
      <c r="M2238" t="s">
        <v>12</v>
      </c>
      <c r="N2238" t="str">
        <f t="shared" si="173"/>
        <v>R1011</v>
      </c>
      <c r="O2238" t="s">
        <v>42</v>
      </c>
    </row>
    <row r="2239" spans="1:15" x14ac:dyDescent="0.35">
      <c r="A2239" t="s">
        <v>2267</v>
      </c>
      <c r="C2239">
        <f t="shared" si="170"/>
        <v>1966</v>
      </c>
      <c r="D2239">
        <v>1966</v>
      </c>
      <c r="E2239" t="str">
        <f t="shared" si="174"/>
        <v>Aug</v>
      </c>
      <c r="F2239" t="s">
        <v>35</v>
      </c>
      <c r="G2239">
        <v>12</v>
      </c>
      <c r="H2239">
        <v>0</v>
      </c>
      <c r="I2239" s="21">
        <v>40069.440000000002</v>
      </c>
      <c r="J2239" t="str">
        <f t="shared" si="171"/>
        <v>tier - 1</v>
      </c>
      <c r="K2239" t="s">
        <v>16</v>
      </c>
      <c r="L2239" t="str">
        <f t="shared" si="172"/>
        <v>tier - 3</v>
      </c>
      <c r="M2239" t="s">
        <v>12</v>
      </c>
      <c r="N2239" t="str">
        <f t="shared" si="173"/>
        <v>R1011</v>
      </c>
      <c r="O2239" t="s">
        <v>42</v>
      </c>
    </row>
    <row r="2240" spans="1:15" x14ac:dyDescent="0.35">
      <c r="A2240" t="s">
        <v>2268</v>
      </c>
      <c r="C2240">
        <f t="shared" si="170"/>
        <v>1983</v>
      </c>
      <c r="D2240">
        <v>1983</v>
      </c>
      <c r="E2240" t="str">
        <f t="shared" si="174"/>
        <v>Oct</v>
      </c>
      <c r="F2240" t="s">
        <v>37</v>
      </c>
      <c r="G2240">
        <v>14</v>
      </c>
      <c r="H2240">
        <v>2</v>
      </c>
      <c r="I2240" s="21">
        <v>40103.89</v>
      </c>
      <c r="J2240" t="str">
        <f t="shared" si="171"/>
        <v>tier - 1</v>
      </c>
      <c r="K2240" t="s">
        <v>16</v>
      </c>
      <c r="L2240" t="str">
        <f t="shared" si="172"/>
        <v>tier - 2</v>
      </c>
      <c r="M2240" t="s">
        <v>11</v>
      </c>
      <c r="N2240" t="str">
        <f t="shared" si="173"/>
        <v>R1011</v>
      </c>
      <c r="O2240" t="s">
        <v>42</v>
      </c>
    </row>
    <row r="2241" spans="1:15" x14ac:dyDescent="0.35">
      <c r="A2241" t="s">
        <v>2269</v>
      </c>
      <c r="C2241">
        <f t="shared" si="170"/>
        <v>1985</v>
      </c>
      <c r="D2241">
        <v>1985</v>
      </c>
      <c r="E2241" t="str">
        <f t="shared" si="174"/>
        <v>Oct</v>
      </c>
      <c r="F2241" t="s">
        <v>37</v>
      </c>
      <c r="G2241">
        <v>21</v>
      </c>
      <c r="H2241">
        <v>4</v>
      </c>
      <c r="I2241" s="21">
        <v>40182.25</v>
      </c>
      <c r="J2241" t="str">
        <f t="shared" si="171"/>
        <v>tier - 1</v>
      </c>
      <c r="K2241" t="s">
        <v>16</v>
      </c>
      <c r="L2241" t="str">
        <f t="shared" si="172"/>
        <v>tier - 2</v>
      </c>
      <c r="M2241" t="s">
        <v>11</v>
      </c>
      <c r="N2241" t="str">
        <f t="shared" si="173"/>
        <v>R1011</v>
      </c>
      <c r="O2241" t="s">
        <v>42</v>
      </c>
    </row>
    <row r="2242" spans="1:15" x14ac:dyDescent="0.35">
      <c r="A2242" t="s">
        <v>2270</v>
      </c>
      <c r="C2242">
        <f t="shared" si="170"/>
        <v>1979</v>
      </c>
      <c r="D2242">
        <v>1979</v>
      </c>
      <c r="E2242" t="str">
        <f t="shared" si="174"/>
        <v>Aug</v>
      </c>
      <c r="F2242" t="s">
        <v>35</v>
      </c>
      <c r="G2242">
        <v>18</v>
      </c>
      <c r="H2242">
        <v>2</v>
      </c>
      <c r="I2242" s="21">
        <v>40204.83</v>
      </c>
      <c r="J2242" t="str">
        <f t="shared" si="171"/>
        <v>tier - 1</v>
      </c>
      <c r="K2242" t="s">
        <v>16</v>
      </c>
      <c r="L2242" t="str">
        <f t="shared" si="172"/>
        <v>tier - 3</v>
      </c>
      <c r="M2242" t="s">
        <v>12</v>
      </c>
      <c r="N2242" t="str">
        <f t="shared" si="173"/>
        <v>R1012</v>
      </c>
      <c r="O2242" t="s">
        <v>23</v>
      </c>
    </row>
    <row r="2243" spans="1:15" x14ac:dyDescent="0.35">
      <c r="A2243" t="s">
        <v>2271</v>
      </c>
      <c r="C2243">
        <f t="shared" ref="C2243:C2306" si="175">IF(OR(D2243="?", ISBLANK(D2243)), 1983, D2243)</f>
        <v>1981</v>
      </c>
      <c r="D2243">
        <v>1981</v>
      </c>
      <c r="E2243" t="str">
        <f t="shared" si="174"/>
        <v>Jul</v>
      </c>
      <c r="F2243" t="s">
        <v>10</v>
      </c>
      <c r="G2243">
        <v>28</v>
      </c>
      <c r="H2243">
        <v>1</v>
      </c>
      <c r="I2243" s="21">
        <v>40208.559999999998</v>
      </c>
      <c r="J2243" t="str">
        <f t="shared" ref="J2243:J2306" si="176">IF(OR(K2243="?", ISBLANK(K2243)), "Tier 2", K2243)</f>
        <v>tier - 1</v>
      </c>
      <c r="K2243" t="s">
        <v>16</v>
      </c>
      <c r="L2243" t="str">
        <f t="shared" ref="L2243:L2306" si="177">IF(OR(M2243="?", ISBLANK(M2243)), "Tier 2", M2243)</f>
        <v>tier - 2</v>
      </c>
      <c r="M2243" t="s">
        <v>11</v>
      </c>
      <c r="N2243" t="str">
        <f t="shared" ref="N2243:N2306" si="178">IF(OR(O2243="?", ISBLANK(O2243)), "Unknown", O2243)</f>
        <v>R1011</v>
      </c>
      <c r="O2243" t="s">
        <v>42</v>
      </c>
    </row>
    <row r="2244" spans="1:15" x14ac:dyDescent="0.35">
      <c r="A2244" t="s">
        <v>2272</v>
      </c>
      <c r="C2244">
        <f t="shared" si="175"/>
        <v>1981</v>
      </c>
      <c r="D2244">
        <v>1981</v>
      </c>
      <c r="E2244" t="str">
        <f t="shared" ref="E2244:E2307" si="179">IF(OR(F2244="?", ISBLANK(F2244)), "Sep", F2244)</f>
        <v>Oct</v>
      </c>
      <c r="F2244" t="s">
        <v>37</v>
      </c>
      <c r="G2244">
        <v>4</v>
      </c>
      <c r="H2244">
        <v>1</v>
      </c>
      <c r="I2244" s="21">
        <v>40273.65</v>
      </c>
      <c r="J2244" t="str">
        <f t="shared" si="176"/>
        <v>tier - 1</v>
      </c>
      <c r="K2244" t="s">
        <v>16</v>
      </c>
      <c r="L2244" t="str">
        <f t="shared" si="177"/>
        <v>tier - 3</v>
      </c>
      <c r="M2244" t="s">
        <v>12</v>
      </c>
      <c r="N2244" t="str">
        <f t="shared" si="178"/>
        <v>R1013</v>
      </c>
      <c r="O2244" t="s">
        <v>13</v>
      </c>
    </row>
    <row r="2245" spans="1:15" x14ac:dyDescent="0.35">
      <c r="A2245" t="s">
        <v>2273</v>
      </c>
      <c r="C2245">
        <f t="shared" si="175"/>
        <v>1977</v>
      </c>
      <c r="D2245">
        <v>1977</v>
      </c>
      <c r="E2245" t="str">
        <f t="shared" si="179"/>
        <v>Jun</v>
      </c>
      <c r="F2245" t="s">
        <v>18</v>
      </c>
      <c r="G2245">
        <v>27</v>
      </c>
      <c r="H2245">
        <v>2</v>
      </c>
      <c r="I2245" s="21">
        <v>40284.379999999997</v>
      </c>
      <c r="J2245" t="str">
        <f t="shared" si="176"/>
        <v>tier - 1</v>
      </c>
      <c r="K2245" t="s">
        <v>16</v>
      </c>
      <c r="L2245" t="str">
        <f t="shared" si="177"/>
        <v>tier - 3</v>
      </c>
      <c r="M2245" t="s">
        <v>12</v>
      </c>
      <c r="N2245" t="str">
        <f t="shared" si="178"/>
        <v>R1012</v>
      </c>
      <c r="O2245" t="s">
        <v>23</v>
      </c>
    </row>
    <row r="2246" spans="1:15" x14ac:dyDescent="0.35">
      <c r="A2246" t="s">
        <v>2274</v>
      </c>
      <c r="C2246">
        <f t="shared" si="175"/>
        <v>1962</v>
      </c>
      <c r="D2246">
        <v>1962</v>
      </c>
      <c r="E2246" t="str">
        <f t="shared" si="179"/>
        <v>Sep</v>
      </c>
      <c r="F2246" t="s">
        <v>20</v>
      </c>
      <c r="G2246">
        <v>4</v>
      </c>
      <c r="H2246">
        <v>0</v>
      </c>
      <c r="I2246" s="21">
        <v>40309.93</v>
      </c>
      <c r="J2246" t="str">
        <f t="shared" si="176"/>
        <v>tier - 1</v>
      </c>
      <c r="K2246" t="s">
        <v>16</v>
      </c>
      <c r="L2246" t="str">
        <f t="shared" si="177"/>
        <v>tier - 3</v>
      </c>
      <c r="M2246" t="s">
        <v>12</v>
      </c>
      <c r="N2246" t="str">
        <f t="shared" si="178"/>
        <v>R1011</v>
      </c>
      <c r="O2246" t="s">
        <v>42</v>
      </c>
    </row>
    <row r="2247" spans="1:15" x14ac:dyDescent="0.35">
      <c r="A2247" t="s">
        <v>2275</v>
      </c>
      <c r="C2247">
        <f t="shared" si="175"/>
        <v>1966</v>
      </c>
      <c r="D2247">
        <v>1966</v>
      </c>
      <c r="E2247" t="str">
        <f t="shared" si="179"/>
        <v>Aug</v>
      </c>
      <c r="F2247" t="s">
        <v>35</v>
      </c>
      <c r="G2247">
        <v>12</v>
      </c>
      <c r="H2247">
        <v>0</v>
      </c>
      <c r="I2247" s="21">
        <v>40373.74</v>
      </c>
      <c r="J2247" t="str">
        <f t="shared" si="176"/>
        <v>tier - 1</v>
      </c>
      <c r="K2247" t="s">
        <v>16</v>
      </c>
      <c r="L2247" t="str">
        <f t="shared" si="177"/>
        <v>tier - 3</v>
      </c>
      <c r="M2247" t="s">
        <v>12</v>
      </c>
      <c r="N2247" t="str">
        <f t="shared" si="178"/>
        <v>R1011</v>
      </c>
      <c r="O2247" t="s">
        <v>42</v>
      </c>
    </row>
    <row r="2248" spans="1:15" x14ac:dyDescent="0.35">
      <c r="A2248" t="s">
        <v>2276</v>
      </c>
      <c r="C2248">
        <f t="shared" si="175"/>
        <v>1985</v>
      </c>
      <c r="D2248">
        <v>1985</v>
      </c>
      <c r="E2248" t="str">
        <f t="shared" si="179"/>
        <v>Nov</v>
      </c>
      <c r="F2248" t="s">
        <v>15</v>
      </c>
      <c r="G2248">
        <v>3</v>
      </c>
      <c r="H2248">
        <v>0</v>
      </c>
      <c r="I2248" s="21">
        <v>40419.019999999997</v>
      </c>
      <c r="J2248" t="str">
        <f t="shared" si="176"/>
        <v>tier - 1</v>
      </c>
      <c r="K2248" t="s">
        <v>16</v>
      </c>
      <c r="L2248" t="str">
        <f t="shared" si="177"/>
        <v>tier - 2</v>
      </c>
      <c r="M2248" t="s">
        <v>11</v>
      </c>
      <c r="N2248" t="str">
        <f t="shared" si="178"/>
        <v>R1013</v>
      </c>
      <c r="O2248" t="s">
        <v>13</v>
      </c>
    </row>
    <row r="2249" spans="1:15" x14ac:dyDescent="0.35">
      <c r="A2249" t="s">
        <v>2277</v>
      </c>
      <c r="C2249">
        <f t="shared" si="175"/>
        <v>1975</v>
      </c>
      <c r="D2249">
        <v>1975</v>
      </c>
      <c r="E2249" t="str">
        <f t="shared" si="179"/>
        <v>Jul</v>
      </c>
      <c r="F2249" t="s">
        <v>10</v>
      </c>
      <c r="G2249">
        <v>10</v>
      </c>
      <c r="H2249">
        <v>1</v>
      </c>
      <c r="I2249" s="21">
        <v>40590.550000000003</v>
      </c>
      <c r="J2249" t="str">
        <f t="shared" si="176"/>
        <v>tier - 1</v>
      </c>
      <c r="K2249" t="s">
        <v>16</v>
      </c>
      <c r="L2249" t="str">
        <f t="shared" si="177"/>
        <v>tier - 3</v>
      </c>
      <c r="M2249" t="s">
        <v>12</v>
      </c>
      <c r="N2249" t="str">
        <f t="shared" si="178"/>
        <v>R1012</v>
      </c>
      <c r="O2249" t="s">
        <v>23</v>
      </c>
    </row>
    <row r="2250" spans="1:15" x14ac:dyDescent="0.35">
      <c r="A2250" t="s">
        <v>2278</v>
      </c>
      <c r="C2250">
        <f t="shared" si="175"/>
        <v>1970</v>
      </c>
      <c r="D2250">
        <v>1970</v>
      </c>
      <c r="E2250" t="str">
        <f t="shared" si="179"/>
        <v>Sep</v>
      </c>
      <c r="F2250" t="s">
        <v>20</v>
      </c>
      <c r="G2250">
        <v>25</v>
      </c>
      <c r="H2250">
        <v>0</v>
      </c>
      <c r="I2250" s="21">
        <v>40692.910000000003</v>
      </c>
      <c r="J2250" t="str">
        <f t="shared" si="176"/>
        <v>tier - 1</v>
      </c>
      <c r="K2250" t="s">
        <v>16</v>
      </c>
      <c r="L2250" t="str">
        <f t="shared" si="177"/>
        <v>tier - 1</v>
      </c>
      <c r="M2250" t="s">
        <v>16</v>
      </c>
      <c r="N2250" t="str">
        <f t="shared" si="178"/>
        <v>R1011</v>
      </c>
      <c r="O2250" t="s">
        <v>42</v>
      </c>
    </row>
    <row r="2251" spans="1:15" x14ac:dyDescent="0.35">
      <c r="A2251" t="s">
        <v>2279</v>
      </c>
      <c r="C2251">
        <f t="shared" si="175"/>
        <v>1976</v>
      </c>
      <c r="D2251">
        <v>1976</v>
      </c>
      <c r="E2251" t="str">
        <f t="shared" si="179"/>
        <v>Dec</v>
      </c>
      <c r="F2251" t="s">
        <v>30</v>
      </c>
      <c r="G2251">
        <v>26</v>
      </c>
      <c r="H2251">
        <v>3</v>
      </c>
      <c r="I2251" s="21">
        <v>40720.550000000003</v>
      </c>
      <c r="J2251" t="str">
        <f t="shared" si="176"/>
        <v>tier - 1</v>
      </c>
      <c r="K2251" t="s">
        <v>16</v>
      </c>
      <c r="L2251" t="str">
        <f t="shared" si="177"/>
        <v>tier - 3</v>
      </c>
      <c r="M2251" t="s">
        <v>12</v>
      </c>
      <c r="N2251" t="str">
        <f t="shared" si="178"/>
        <v>R1012</v>
      </c>
      <c r="O2251" t="s">
        <v>23</v>
      </c>
    </row>
    <row r="2252" spans="1:15" x14ac:dyDescent="0.35">
      <c r="A2252" t="s">
        <v>2280</v>
      </c>
      <c r="C2252">
        <f t="shared" si="175"/>
        <v>1972</v>
      </c>
      <c r="D2252">
        <v>1972</v>
      </c>
      <c r="E2252" t="str">
        <f t="shared" si="179"/>
        <v>Jun</v>
      </c>
      <c r="F2252" t="s">
        <v>18</v>
      </c>
      <c r="G2252">
        <v>10</v>
      </c>
      <c r="H2252">
        <v>0</v>
      </c>
      <c r="I2252" s="21">
        <v>40817.85</v>
      </c>
      <c r="J2252" t="str">
        <f t="shared" si="176"/>
        <v>tier - 1</v>
      </c>
      <c r="K2252" t="s">
        <v>16</v>
      </c>
      <c r="L2252" t="str">
        <f t="shared" si="177"/>
        <v>tier - 3</v>
      </c>
      <c r="M2252" t="s">
        <v>12</v>
      </c>
      <c r="N2252" t="str">
        <f t="shared" si="178"/>
        <v>R1011</v>
      </c>
      <c r="O2252" t="s">
        <v>42</v>
      </c>
    </row>
    <row r="2253" spans="1:15" x14ac:dyDescent="0.35">
      <c r="A2253" t="s">
        <v>2281</v>
      </c>
      <c r="C2253">
        <f t="shared" si="175"/>
        <v>1999</v>
      </c>
      <c r="D2253">
        <v>1999</v>
      </c>
      <c r="E2253" t="str">
        <f t="shared" si="179"/>
        <v>Jul</v>
      </c>
      <c r="F2253" t="s">
        <v>10</v>
      </c>
      <c r="G2253">
        <v>2</v>
      </c>
      <c r="H2253">
        <v>1</v>
      </c>
      <c r="I2253" s="21">
        <v>40904.199999999997</v>
      </c>
      <c r="J2253" t="str">
        <f t="shared" si="176"/>
        <v>tier - 1</v>
      </c>
      <c r="K2253" t="s">
        <v>16</v>
      </c>
      <c r="L2253" t="str">
        <f t="shared" si="177"/>
        <v>tier - 1</v>
      </c>
      <c r="M2253" t="s">
        <v>16</v>
      </c>
      <c r="N2253" t="str">
        <f t="shared" si="178"/>
        <v>R1024</v>
      </c>
      <c r="O2253" t="s">
        <v>247</v>
      </c>
    </row>
    <row r="2254" spans="1:15" x14ac:dyDescent="0.35">
      <c r="A2254" t="s">
        <v>2282</v>
      </c>
      <c r="C2254">
        <f t="shared" si="175"/>
        <v>1992</v>
      </c>
      <c r="D2254">
        <v>1992</v>
      </c>
      <c r="E2254" t="str">
        <f t="shared" si="179"/>
        <v>Aug</v>
      </c>
      <c r="F2254" t="s">
        <v>35</v>
      </c>
      <c r="G2254">
        <v>4</v>
      </c>
      <c r="H2254">
        <v>3</v>
      </c>
      <c r="I2254" s="21">
        <v>40932.43</v>
      </c>
      <c r="J2254" t="str">
        <f t="shared" si="176"/>
        <v>tier - 1</v>
      </c>
      <c r="K2254" t="s">
        <v>16</v>
      </c>
      <c r="L2254" t="str">
        <f t="shared" si="177"/>
        <v>tier - 2</v>
      </c>
      <c r="M2254" t="s">
        <v>11</v>
      </c>
      <c r="N2254" t="str">
        <f t="shared" si="178"/>
        <v>R1013</v>
      </c>
      <c r="O2254" t="s">
        <v>13</v>
      </c>
    </row>
    <row r="2255" spans="1:15" x14ac:dyDescent="0.35">
      <c r="A2255" t="s">
        <v>2283</v>
      </c>
      <c r="C2255">
        <f t="shared" si="175"/>
        <v>1979</v>
      </c>
      <c r="D2255">
        <v>1979</v>
      </c>
      <c r="E2255" t="str">
        <f t="shared" si="179"/>
        <v>Sep</v>
      </c>
      <c r="F2255" t="s">
        <v>20</v>
      </c>
      <c r="G2255">
        <v>16</v>
      </c>
      <c r="H2255">
        <v>3</v>
      </c>
      <c r="I2255" s="21">
        <v>40941.29</v>
      </c>
      <c r="J2255" t="str">
        <f t="shared" si="176"/>
        <v>tier - 1</v>
      </c>
      <c r="K2255" t="s">
        <v>16</v>
      </c>
      <c r="L2255" t="str">
        <f t="shared" si="177"/>
        <v>tier - 2</v>
      </c>
      <c r="M2255" t="s">
        <v>11</v>
      </c>
      <c r="N2255" t="str">
        <f t="shared" si="178"/>
        <v>R1013</v>
      </c>
      <c r="O2255" t="s">
        <v>13</v>
      </c>
    </row>
    <row r="2256" spans="1:15" x14ac:dyDescent="0.35">
      <c r="A2256" t="s">
        <v>2284</v>
      </c>
      <c r="C2256">
        <f t="shared" si="175"/>
        <v>1983</v>
      </c>
      <c r="D2256">
        <v>1983</v>
      </c>
      <c r="E2256" t="str">
        <f t="shared" si="179"/>
        <v>Sep</v>
      </c>
      <c r="F2256" t="s">
        <v>20</v>
      </c>
      <c r="G2256">
        <v>8</v>
      </c>
      <c r="H2256">
        <v>3</v>
      </c>
      <c r="I2256" s="21">
        <v>40961.29</v>
      </c>
      <c r="J2256" t="str">
        <f t="shared" si="176"/>
        <v>tier - 1</v>
      </c>
      <c r="K2256" t="s">
        <v>16</v>
      </c>
      <c r="L2256" t="str">
        <f t="shared" si="177"/>
        <v>tier - 2</v>
      </c>
      <c r="M2256" t="s">
        <v>11</v>
      </c>
      <c r="N2256" t="str">
        <f t="shared" si="178"/>
        <v>R1011</v>
      </c>
      <c r="O2256" t="s">
        <v>42</v>
      </c>
    </row>
    <row r="2257" spans="1:15" x14ac:dyDescent="0.35">
      <c r="A2257" t="s">
        <v>2285</v>
      </c>
      <c r="C2257">
        <f t="shared" si="175"/>
        <v>1974</v>
      </c>
      <c r="D2257">
        <v>1974</v>
      </c>
      <c r="E2257" t="str">
        <f t="shared" si="179"/>
        <v>Jun</v>
      </c>
      <c r="F2257" t="s">
        <v>18</v>
      </c>
      <c r="G2257">
        <v>5</v>
      </c>
      <c r="H2257">
        <v>0</v>
      </c>
      <c r="I2257" s="21">
        <v>40974.160000000003</v>
      </c>
      <c r="J2257" t="str">
        <f t="shared" si="176"/>
        <v>tier - 1</v>
      </c>
      <c r="K2257" t="s">
        <v>16</v>
      </c>
      <c r="L2257" t="str">
        <f t="shared" si="177"/>
        <v>tier - 2</v>
      </c>
      <c r="M2257" t="s">
        <v>11</v>
      </c>
      <c r="N2257" t="str">
        <f t="shared" si="178"/>
        <v>R1013</v>
      </c>
      <c r="O2257" t="s">
        <v>13</v>
      </c>
    </row>
    <row r="2258" spans="1:15" x14ac:dyDescent="0.35">
      <c r="A2258" t="s">
        <v>2286</v>
      </c>
      <c r="C2258">
        <f t="shared" si="175"/>
        <v>1979</v>
      </c>
      <c r="D2258">
        <v>1979</v>
      </c>
      <c r="E2258" t="str">
        <f t="shared" si="179"/>
        <v>Oct</v>
      </c>
      <c r="F2258" t="s">
        <v>37</v>
      </c>
      <c r="G2258">
        <v>11</v>
      </c>
      <c r="H2258">
        <v>1</v>
      </c>
      <c r="I2258" s="21">
        <v>41034.22</v>
      </c>
      <c r="J2258" t="str">
        <f t="shared" si="176"/>
        <v>tier - 1</v>
      </c>
      <c r="K2258" t="s">
        <v>16</v>
      </c>
      <c r="L2258" t="str">
        <f t="shared" si="177"/>
        <v>tier - 3</v>
      </c>
      <c r="M2258" t="s">
        <v>12</v>
      </c>
      <c r="N2258" t="str">
        <f t="shared" si="178"/>
        <v>R1017</v>
      </c>
      <c r="O2258" t="s">
        <v>356</v>
      </c>
    </row>
    <row r="2259" spans="1:15" x14ac:dyDescent="0.35">
      <c r="A2259" t="s">
        <v>2287</v>
      </c>
      <c r="C2259">
        <f t="shared" si="175"/>
        <v>1972</v>
      </c>
      <c r="D2259">
        <v>1972</v>
      </c>
      <c r="E2259" t="str">
        <f t="shared" si="179"/>
        <v>Aug</v>
      </c>
      <c r="F2259" t="s">
        <v>35</v>
      </c>
      <c r="G2259">
        <v>12</v>
      </c>
      <c r="H2259">
        <v>0</v>
      </c>
      <c r="I2259" s="21">
        <v>41055.29</v>
      </c>
      <c r="J2259" t="str">
        <f t="shared" si="176"/>
        <v>tier - 1</v>
      </c>
      <c r="K2259" t="s">
        <v>16</v>
      </c>
      <c r="L2259" t="str">
        <f t="shared" si="177"/>
        <v>tier - 2</v>
      </c>
      <c r="M2259" t="s">
        <v>11</v>
      </c>
      <c r="N2259" t="str">
        <f t="shared" si="178"/>
        <v>R1011</v>
      </c>
      <c r="O2259" t="s">
        <v>42</v>
      </c>
    </row>
    <row r="2260" spans="1:15" x14ac:dyDescent="0.35">
      <c r="A2260" t="s">
        <v>2288</v>
      </c>
      <c r="C2260">
        <f t="shared" si="175"/>
        <v>1972</v>
      </c>
      <c r="D2260">
        <v>1972</v>
      </c>
      <c r="E2260" t="str">
        <f t="shared" si="179"/>
        <v>Sep</v>
      </c>
      <c r="F2260" t="s">
        <v>20</v>
      </c>
      <c r="G2260">
        <v>6</v>
      </c>
      <c r="H2260">
        <v>0</v>
      </c>
      <c r="I2260" s="21">
        <v>41097.160000000003</v>
      </c>
      <c r="J2260" t="str">
        <f t="shared" si="176"/>
        <v>tier - 1</v>
      </c>
      <c r="K2260" t="s">
        <v>16</v>
      </c>
      <c r="L2260" t="str">
        <f t="shared" si="177"/>
        <v>tier - 3</v>
      </c>
      <c r="M2260" t="s">
        <v>12</v>
      </c>
      <c r="N2260" t="str">
        <f t="shared" si="178"/>
        <v>R1016</v>
      </c>
      <c r="O2260" t="s">
        <v>168</v>
      </c>
    </row>
    <row r="2261" spans="1:15" x14ac:dyDescent="0.35">
      <c r="A2261" t="s">
        <v>2289</v>
      </c>
      <c r="C2261">
        <f t="shared" si="175"/>
        <v>1969</v>
      </c>
      <c r="D2261">
        <v>1969</v>
      </c>
      <c r="E2261" t="str">
        <f t="shared" si="179"/>
        <v>Aug</v>
      </c>
      <c r="F2261" t="s">
        <v>35</v>
      </c>
      <c r="G2261">
        <v>8</v>
      </c>
      <c r="H2261">
        <v>0</v>
      </c>
      <c r="I2261" s="21">
        <v>41191.57</v>
      </c>
      <c r="J2261" t="str">
        <f t="shared" si="176"/>
        <v>tier - 1</v>
      </c>
      <c r="K2261" t="s">
        <v>16</v>
      </c>
      <c r="L2261" t="str">
        <f t="shared" si="177"/>
        <v>tier - 2</v>
      </c>
      <c r="M2261" t="s">
        <v>11</v>
      </c>
      <c r="N2261" t="str">
        <f t="shared" si="178"/>
        <v>R1011</v>
      </c>
      <c r="O2261" t="s">
        <v>42</v>
      </c>
    </row>
    <row r="2262" spans="1:15" x14ac:dyDescent="0.35">
      <c r="A2262" t="s">
        <v>2290</v>
      </c>
      <c r="C2262">
        <f t="shared" si="175"/>
        <v>1964</v>
      </c>
      <c r="D2262">
        <v>1964</v>
      </c>
      <c r="E2262" t="str">
        <f t="shared" si="179"/>
        <v>Jun</v>
      </c>
      <c r="F2262" t="s">
        <v>18</v>
      </c>
      <c r="G2262">
        <v>6</v>
      </c>
      <c r="H2262">
        <v>0</v>
      </c>
      <c r="I2262" s="21">
        <v>41250.39</v>
      </c>
      <c r="J2262" t="str">
        <f t="shared" si="176"/>
        <v>tier - 1</v>
      </c>
      <c r="K2262" t="s">
        <v>16</v>
      </c>
      <c r="L2262" t="str">
        <f t="shared" si="177"/>
        <v>tier - 3</v>
      </c>
      <c r="M2262" t="s">
        <v>12</v>
      </c>
      <c r="N2262" t="str">
        <f t="shared" si="178"/>
        <v>R1011</v>
      </c>
      <c r="O2262" t="s">
        <v>42</v>
      </c>
    </row>
    <row r="2263" spans="1:15" x14ac:dyDescent="0.35">
      <c r="A2263" t="s">
        <v>2291</v>
      </c>
      <c r="C2263">
        <f t="shared" si="175"/>
        <v>1977</v>
      </c>
      <c r="D2263">
        <v>1977</v>
      </c>
      <c r="E2263" t="str">
        <f t="shared" si="179"/>
        <v>Aug</v>
      </c>
      <c r="F2263" t="s">
        <v>35</v>
      </c>
      <c r="G2263">
        <v>27</v>
      </c>
      <c r="H2263">
        <v>2</v>
      </c>
      <c r="I2263" s="21">
        <v>41271.5</v>
      </c>
      <c r="J2263" t="str">
        <f t="shared" si="176"/>
        <v>tier - 1</v>
      </c>
      <c r="K2263" t="s">
        <v>16</v>
      </c>
      <c r="L2263" t="str">
        <f t="shared" si="177"/>
        <v>tier - 2</v>
      </c>
      <c r="M2263" t="s">
        <v>11</v>
      </c>
      <c r="N2263" t="str">
        <f t="shared" si="178"/>
        <v>R1011</v>
      </c>
      <c r="O2263" t="s">
        <v>42</v>
      </c>
    </row>
    <row r="2264" spans="1:15" x14ac:dyDescent="0.35">
      <c r="A2264" t="s">
        <v>2292</v>
      </c>
      <c r="C2264">
        <f t="shared" si="175"/>
        <v>1964</v>
      </c>
      <c r="D2264">
        <v>1964</v>
      </c>
      <c r="E2264" t="str">
        <f t="shared" si="179"/>
        <v>Oct</v>
      </c>
      <c r="F2264" t="s">
        <v>37</v>
      </c>
      <c r="G2264">
        <v>7</v>
      </c>
      <c r="H2264">
        <v>0</v>
      </c>
      <c r="I2264" s="21">
        <v>41331.79</v>
      </c>
      <c r="J2264" t="str">
        <f t="shared" si="176"/>
        <v>tier - 1</v>
      </c>
      <c r="K2264" t="s">
        <v>16</v>
      </c>
      <c r="L2264" t="str">
        <f t="shared" si="177"/>
        <v>tier - 2</v>
      </c>
      <c r="M2264" t="s">
        <v>11</v>
      </c>
      <c r="N2264" t="str">
        <f t="shared" si="178"/>
        <v>R1011</v>
      </c>
      <c r="O2264" t="s">
        <v>42</v>
      </c>
    </row>
    <row r="2265" spans="1:15" x14ac:dyDescent="0.35">
      <c r="A2265" t="s">
        <v>2293</v>
      </c>
      <c r="C2265">
        <f t="shared" si="175"/>
        <v>1971</v>
      </c>
      <c r="D2265">
        <v>1971</v>
      </c>
      <c r="E2265" t="str">
        <f t="shared" si="179"/>
        <v>Oct</v>
      </c>
      <c r="F2265" t="s">
        <v>37</v>
      </c>
      <c r="G2265">
        <v>16</v>
      </c>
      <c r="H2265">
        <v>0</v>
      </c>
      <c r="I2265" s="21">
        <v>41351.879999999997</v>
      </c>
      <c r="J2265" t="str">
        <f t="shared" si="176"/>
        <v>tier - 1</v>
      </c>
      <c r="K2265" t="s">
        <v>16</v>
      </c>
      <c r="L2265" t="str">
        <f t="shared" si="177"/>
        <v>tier - 2</v>
      </c>
      <c r="M2265" t="s">
        <v>11</v>
      </c>
      <c r="N2265" t="str">
        <f t="shared" si="178"/>
        <v>R1011</v>
      </c>
      <c r="O2265" t="s">
        <v>42</v>
      </c>
    </row>
    <row r="2266" spans="1:15" x14ac:dyDescent="0.35">
      <c r="A2266" t="s">
        <v>2294</v>
      </c>
      <c r="C2266">
        <f t="shared" si="175"/>
        <v>1967</v>
      </c>
      <c r="D2266">
        <v>1967</v>
      </c>
      <c r="E2266" t="str">
        <f t="shared" si="179"/>
        <v>Dec</v>
      </c>
      <c r="F2266" t="s">
        <v>30</v>
      </c>
      <c r="G2266">
        <v>22</v>
      </c>
      <c r="H2266">
        <v>0</v>
      </c>
      <c r="I2266" s="21">
        <v>41505.15</v>
      </c>
      <c r="J2266" t="str">
        <f t="shared" si="176"/>
        <v>tier - 1</v>
      </c>
      <c r="K2266" t="s">
        <v>16</v>
      </c>
      <c r="L2266" t="str">
        <f t="shared" si="177"/>
        <v>tier - 2</v>
      </c>
      <c r="M2266" t="s">
        <v>11</v>
      </c>
      <c r="N2266" t="str">
        <f t="shared" si="178"/>
        <v>R1011</v>
      </c>
      <c r="O2266" t="s">
        <v>42</v>
      </c>
    </row>
    <row r="2267" spans="1:15" x14ac:dyDescent="0.35">
      <c r="A2267" t="s">
        <v>2295</v>
      </c>
      <c r="C2267">
        <f t="shared" si="175"/>
        <v>1974</v>
      </c>
      <c r="D2267">
        <v>1974</v>
      </c>
      <c r="E2267" t="str">
        <f t="shared" si="179"/>
        <v>Nov</v>
      </c>
      <c r="F2267" t="s">
        <v>15</v>
      </c>
      <c r="G2267">
        <v>24</v>
      </c>
      <c r="H2267">
        <v>0</v>
      </c>
      <c r="I2267" s="21">
        <v>41636.199999999997</v>
      </c>
      <c r="J2267" t="str">
        <f t="shared" si="176"/>
        <v>tier - 1</v>
      </c>
      <c r="K2267" t="s">
        <v>16</v>
      </c>
      <c r="L2267" t="str">
        <f t="shared" si="177"/>
        <v>tier - 1</v>
      </c>
      <c r="M2267" t="s">
        <v>16</v>
      </c>
      <c r="N2267" t="str">
        <f t="shared" si="178"/>
        <v>R1011</v>
      </c>
      <c r="O2267" t="s">
        <v>42</v>
      </c>
    </row>
    <row r="2268" spans="1:15" x14ac:dyDescent="0.35">
      <c r="A2268" t="s">
        <v>2296</v>
      </c>
      <c r="C2268">
        <f t="shared" si="175"/>
        <v>1976</v>
      </c>
      <c r="D2268">
        <v>1976</v>
      </c>
      <c r="E2268" t="str">
        <f t="shared" si="179"/>
        <v>Oct</v>
      </c>
      <c r="F2268" t="s">
        <v>37</v>
      </c>
      <c r="G2268">
        <v>29</v>
      </c>
      <c r="H2268">
        <v>1</v>
      </c>
      <c r="I2268" s="21">
        <v>41661.599999999999</v>
      </c>
      <c r="J2268" t="str">
        <f t="shared" si="176"/>
        <v>tier - 1</v>
      </c>
      <c r="K2268" t="s">
        <v>16</v>
      </c>
      <c r="L2268" t="str">
        <f t="shared" si="177"/>
        <v>tier - 3</v>
      </c>
      <c r="M2268" t="s">
        <v>12</v>
      </c>
      <c r="N2268" t="str">
        <f t="shared" si="178"/>
        <v>R1011</v>
      </c>
      <c r="O2268" t="s">
        <v>42</v>
      </c>
    </row>
    <row r="2269" spans="1:15" x14ac:dyDescent="0.35">
      <c r="A2269" t="s">
        <v>2297</v>
      </c>
      <c r="C2269">
        <f t="shared" si="175"/>
        <v>1975</v>
      </c>
      <c r="D2269">
        <v>1975</v>
      </c>
      <c r="E2269" t="str">
        <f t="shared" si="179"/>
        <v>Nov</v>
      </c>
      <c r="F2269" t="s">
        <v>15</v>
      </c>
      <c r="G2269">
        <v>14</v>
      </c>
      <c r="H2269">
        <v>0</v>
      </c>
      <c r="I2269" s="21">
        <v>41676.080000000002</v>
      </c>
      <c r="J2269" t="str">
        <f t="shared" si="176"/>
        <v>tier - 1</v>
      </c>
      <c r="K2269" t="s">
        <v>16</v>
      </c>
      <c r="L2269" t="str">
        <f t="shared" si="177"/>
        <v>tier - 2</v>
      </c>
      <c r="M2269" t="s">
        <v>11</v>
      </c>
      <c r="N2269" t="str">
        <f t="shared" si="178"/>
        <v>R1013</v>
      </c>
      <c r="O2269" t="s">
        <v>13</v>
      </c>
    </row>
    <row r="2270" spans="1:15" x14ac:dyDescent="0.35">
      <c r="A2270" t="s">
        <v>2298</v>
      </c>
      <c r="C2270">
        <f t="shared" si="175"/>
        <v>1975</v>
      </c>
      <c r="D2270">
        <v>1975</v>
      </c>
      <c r="E2270" t="str">
        <f t="shared" si="179"/>
        <v>Sep</v>
      </c>
      <c r="F2270" t="s">
        <v>20</v>
      </c>
      <c r="G2270">
        <v>29</v>
      </c>
      <c r="H2270">
        <v>1</v>
      </c>
      <c r="I2270" s="21">
        <v>41681.86</v>
      </c>
      <c r="J2270" t="str">
        <f t="shared" si="176"/>
        <v>tier - 1</v>
      </c>
      <c r="K2270" t="s">
        <v>16</v>
      </c>
      <c r="L2270" t="str">
        <f t="shared" si="177"/>
        <v>tier - 1</v>
      </c>
      <c r="M2270" t="s">
        <v>16</v>
      </c>
      <c r="N2270" t="str">
        <f t="shared" si="178"/>
        <v>R1011</v>
      </c>
      <c r="O2270" t="s">
        <v>42</v>
      </c>
    </row>
    <row r="2271" spans="1:15" x14ac:dyDescent="0.35">
      <c r="A2271" t="s">
        <v>2299</v>
      </c>
      <c r="C2271">
        <f t="shared" si="175"/>
        <v>1962</v>
      </c>
      <c r="D2271">
        <v>1962</v>
      </c>
      <c r="E2271" t="str">
        <f t="shared" si="179"/>
        <v>Sep</v>
      </c>
      <c r="F2271" t="s">
        <v>20</v>
      </c>
      <c r="G2271">
        <v>22</v>
      </c>
      <c r="H2271">
        <v>0</v>
      </c>
      <c r="I2271" s="21">
        <v>41794.629999999997</v>
      </c>
      <c r="J2271" t="str">
        <f t="shared" si="176"/>
        <v>tier - 1</v>
      </c>
      <c r="K2271" t="s">
        <v>16</v>
      </c>
      <c r="L2271" t="str">
        <f t="shared" si="177"/>
        <v>tier - 3</v>
      </c>
      <c r="M2271" t="s">
        <v>12</v>
      </c>
      <c r="N2271" t="str">
        <f t="shared" si="178"/>
        <v>R1011</v>
      </c>
      <c r="O2271" t="s">
        <v>42</v>
      </c>
    </row>
    <row r="2272" spans="1:15" x14ac:dyDescent="0.35">
      <c r="A2272" t="s">
        <v>2300</v>
      </c>
      <c r="C2272">
        <f t="shared" si="175"/>
        <v>1966</v>
      </c>
      <c r="D2272">
        <v>1966</v>
      </c>
      <c r="E2272" t="str">
        <f t="shared" si="179"/>
        <v>Sep</v>
      </c>
      <c r="F2272" t="s">
        <v>20</v>
      </c>
      <c r="G2272">
        <v>21</v>
      </c>
      <c r="H2272">
        <v>0</v>
      </c>
      <c r="I2272" s="21">
        <v>41886.54</v>
      </c>
      <c r="J2272" t="str">
        <f t="shared" si="176"/>
        <v>tier - 1</v>
      </c>
      <c r="K2272" t="s">
        <v>16</v>
      </c>
      <c r="L2272" t="str">
        <f t="shared" si="177"/>
        <v>tier - 3</v>
      </c>
      <c r="M2272" t="s">
        <v>12</v>
      </c>
      <c r="N2272" t="str">
        <f t="shared" si="178"/>
        <v>R1011</v>
      </c>
      <c r="O2272" t="s">
        <v>42</v>
      </c>
    </row>
    <row r="2273" spans="1:15" x14ac:dyDescent="0.35">
      <c r="A2273" t="s">
        <v>2301</v>
      </c>
      <c r="C2273">
        <f t="shared" si="175"/>
        <v>1972</v>
      </c>
      <c r="D2273">
        <v>1972</v>
      </c>
      <c r="E2273" t="str">
        <f t="shared" si="179"/>
        <v>Jun</v>
      </c>
      <c r="F2273" t="s">
        <v>18</v>
      </c>
      <c r="G2273">
        <v>8</v>
      </c>
      <c r="H2273">
        <v>1</v>
      </c>
      <c r="I2273" s="21">
        <v>41919.1</v>
      </c>
      <c r="J2273" t="str">
        <f t="shared" si="176"/>
        <v>tier - 1</v>
      </c>
      <c r="K2273" t="s">
        <v>16</v>
      </c>
      <c r="L2273" t="str">
        <f t="shared" si="177"/>
        <v>tier - 1</v>
      </c>
      <c r="M2273" t="s">
        <v>16</v>
      </c>
      <c r="N2273" t="str">
        <f t="shared" si="178"/>
        <v>R1016</v>
      </c>
      <c r="O2273" t="s">
        <v>168</v>
      </c>
    </row>
    <row r="2274" spans="1:15" x14ac:dyDescent="0.35">
      <c r="A2274" t="s">
        <v>2302</v>
      </c>
      <c r="C2274">
        <f t="shared" si="175"/>
        <v>1984</v>
      </c>
      <c r="D2274">
        <v>1984</v>
      </c>
      <c r="E2274" t="str">
        <f t="shared" si="179"/>
        <v>Nov</v>
      </c>
      <c r="F2274" t="s">
        <v>15</v>
      </c>
      <c r="G2274">
        <v>10</v>
      </c>
      <c r="H2274">
        <v>3</v>
      </c>
      <c r="I2274" s="21">
        <v>41949.24</v>
      </c>
      <c r="J2274" t="str">
        <f t="shared" si="176"/>
        <v>tier - 1</v>
      </c>
      <c r="K2274" t="s">
        <v>16</v>
      </c>
      <c r="L2274" t="str">
        <f t="shared" si="177"/>
        <v>tier - 1</v>
      </c>
      <c r="M2274" t="s">
        <v>16</v>
      </c>
      <c r="N2274" t="str">
        <f t="shared" si="178"/>
        <v>R1013</v>
      </c>
      <c r="O2274" t="s">
        <v>13</v>
      </c>
    </row>
    <row r="2275" spans="1:15" x14ac:dyDescent="0.35">
      <c r="A2275" t="s">
        <v>2303</v>
      </c>
      <c r="C2275">
        <f t="shared" si="175"/>
        <v>1968</v>
      </c>
      <c r="D2275">
        <v>1968</v>
      </c>
      <c r="E2275" t="str">
        <f t="shared" si="179"/>
        <v>Dec</v>
      </c>
      <c r="F2275" t="s">
        <v>30</v>
      </c>
      <c r="G2275">
        <v>19</v>
      </c>
      <c r="H2275">
        <v>1</v>
      </c>
      <c r="I2275" s="21">
        <v>41999.519999999997</v>
      </c>
      <c r="J2275" t="str">
        <f t="shared" si="176"/>
        <v>tier - 1</v>
      </c>
      <c r="K2275" t="s">
        <v>16</v>
      </c>
      <c r="L2275" t="str">
        <f t="shared" si="177"/>
        <v>tier - 3</v>
      </c>
      <c r="M2275" t="s">
        <v>12</v>
      </c>
      <c r="N2275" t="str">
        <f t="shared" si="178"/>
        <v>R1013</v>
      </c>
      <c r="O2275" t="s">
        <v>13</v>
      </c>
    </row>
    <row r="2276" spans="1:15" x14ac:dyDescent="0.35">
      <c r="A2276" t="s">
        <v>2304</v>
      </c>
      <c r="C2276">
        <f t="shared" si="175"/>
        <v>1976</v>
      </c>
      <c r="D2276">
        <v>1976</v>
      </c>
      <c r="E2276" t="str">
        <f t="shared" si="179"/>
        <v>Nov</v>
      </c>
      <c r="F2276" t="s">
        <v>15</v>
      </c>
      <c r="G2276">
        <v>28</v>
      </c>
      <c r="H2276">
        <v>0</v>
      </c>
      <c r="I2276" s="21">
        <v>42111.66</v>
      </c>
      <c r="J2276" t="str">
        <f t="shared" si="176"/>
        <v>tier - 1</v>
      </c>
      <c r="K2276" t="s">
        <v>16</v>
      </c>
      <c r="L2276" t="str">
        <f t="shared" si="177"/>
        <v>tier - 1</v>
      </c>
      <c r="M2276" t="s">
        <v>16</v>
      </c>
      <c r="N2276" t="str">
        <f t="shared" si="178"/>
        <v>R1024</v>
      </c>
      <c r="O2276" t="s">
        <v>247</v>
      </c>
    </row>
    <row r="2277" spans="1:15" x14ac:dyDescent="0.35">
      <c r="A2277" t="s">
        <v>2305</v>
      </c>
      <c r="C2277">
        <f t="shared" si="175"/>
        <v>1997</v>
      </c>
      <c r="D2277">
        <v>1997</v>
      </c>
      <c r="E2277" t="str">
        <f t="shared" si="179"/>
        <v>Dec</v>
      </c>
      <c r="F2277" t="s">
        <v>30</v>
      </c>
      <c r="G2277">
        <v>9</v>
      </c>
      <c r="H2277">
        <v>2</v>
      </c>
      <c r="I2277" s="21">
        <v>42112.24</v>
      </c>
      <c r="J2277" t="str">
        <f t="shared" si="176"/>
        <v>tier - 1</v>
      </c>
      <c r="K2277" t="s">
        <v>16</v>
      </c>
      <c r="L2277" t="str">
        <f t="shared" si="177"/>
        <v>tier - 3</v>
      </c>
      <c r="M2277" t="s">
        <v>12</v>
      </c>
      <c r="N2277" t="str">
        <f t="shared" si="178"/>
        <v>R1013</v>
      </c>
      <c r="O2277" t="s">
        <v>13</v>
      </c>
    </row>
    <row r="2278" spans="1:15" x14ac:dyDescent="0.35">
      <c r="A2278" t="s">
        <v>2306</v>
      </c>
      <c r="C2278">
        <f t="shared" si="175"/>
        <v>1979</v>
      </c>
      <c r="D2278">
        <v>1979</v>
      </c>
      <c r="E2278" t="str">
        <f t="shared" si="179"/>
        <v>Jul</v>
      </c>
      <c r="F2278" t="s">
        <v>10</v>
      </c>
      <c r="G2278">
        <v>3</v>
      </c>
      <c r="H2278">
        <v>3</v>
      </c>
      <c r="I2278" s="21">
        <v>42124.52</v>
      </c>
      <c r="J2278" t="str">
        <f t="shared" si="176"/>
        <v>tier - 1</v>
      </c>
      <c r="K2278" t="s">
        <v>16</v>
      </c>
      <c r="L2278" t="str">
        <f t="shared" si="177"/>
        <v>tier - 1</v>
      </c>
      <c r="M2278" t="s">
        <v>16</v>
      </c>
      <c r="N2278" t="str">
        <f t="shared" si="178"/>
        <v>R1013</v>
      </c>
      <c r="O2278" t="s">
        <v>13</v>
      </c>
    </row>
    <row r="2279" spans="1:15" x14ac:dyDescent="0.35">
      <c r="A2279" t="s">
        <v>2307</v>
      </c>
      <c r="C2279">
        <f t="shared" si="175"/>
        <v>1973</v>
      </c>
      <c r="D2279">
        <v>1973</v>
      </c>
      <c r="E2279" t="str">
        <f t="shared" si="179"/>
        <v>Sep</v>
      </c>
      <c r="F2279" t="s">
        <v>20</v>
      </c>
      <c r="G2279">
        <v>18</v>
      </c>
      <c r="H2279">
        <v>0</v>
      </c>
      <c r="I2279" s="21">
        <v>42188.15</v>
      </c>
      <c r="J2279" t="str">
        <f t="shared" si="176"/>
        <v>tier - 1</v>
      </c>
      <c r="K2279" t="s">
        <v>16</v>
      </c>
      <c r="L2279" t="str">
        <f t="shared" si="177"/>
        <v>tier - 1</v>
      </c>
      <c r="M2279" t="s">
        <v>16</v>
      </c>
      <c r="N2279" t="str">
        <f t="shared" si="178"/>
        <v>R1011</v>
      </c>
      <c r="O2279" t="s">
        <v>42</v>
      </c>
    </row>
    <row r="2280" spans="1:15" x14ac:dyDescent="0.35">
      <c r="A2280" t="s">
        <v>2308</v>
      </c>
      <c r="C2280">
        <f t="shared" si="175"/>
        <v>1975</v>
      </c>
      <c r="D2280">
        <v>1975</v>
      </c>
      <c r="E2280" t="str">
        <f t="shared" si="179"/>
        <v>Aug</v>
      </c>
      <c r="F2280" t="s">
        <v>35</v>
      </c>
      <c r="G2280">
        <v>15</v>
      </c>
      <c r="H2280">
        <v>1</v>
      </c>
      <c r="I2280" s="21">
        <v>42211.14</v>
      </c>
      <c r="J2280" t="str">
        <f t="shared" si="176"/>
        <v>tier - 1</v>
      </c>
      <c r="K2280" t="s">
        <v>16</v>
      </c>
      <c r="L2280" t="str">
        <f t="shared" si="177"/>
        <v>tier - 3</v>
      </c>
      <c r="M2280" t="s">
        <v>12</v>
      </c>
      <c r="N2280" t="str">
        <f t="shared" si="178"/>
        <v>R1013</v>
      </c>
      <c r="O2280" t="s">
        <v>13</v>
      </c>
    </row>
    <row r="2281" spans="1:15" x14ac:dyDescent="0.35">
      <c r="A2281" t="s">
        <v>2309</v>
      </c>
      <c r="C2281">
        <f t="shared" si="175"/>
        <v>1967</v>
      </c>
      <c r="D2281">
        <v>1967</v>
      </c>
      <c r="E2281" t="str">
        <f t="shared" si="179"/>
        <v>Jun</v>
      </c>
      <c r="F2281" t="s">
        <v>18</v>
      </c>
      <c r="G2281">
        <v>28</v>
      </c>
      <c r="H2281">
        <v>0</v>
      </c>
      <c r="I2281" s="21">
        <v>42303.69</v>
      </c>
      <c r="J2281" t="str">
        <f t="shared" si="176"/>
        <v>tier - 1</v>
      </c>
      <c r="K2281" t="s">
        <v>16</v>
      </c>
      <c r="L2281" t="str">
        <f t="shared" si="177"/>
        <v>tier - 2</v>
      </c>
      <c r="M2281" t="s">
        <v>11</v>
      </c>
      <c r="N2281" t="str">
        <f t="shared" si="178"/>
        <v>R1016</v>
      </c>
      <c r="O2281" t="s">
        <v>168</v>
      </c>
    </row>
    <row r="2282" spans="1:15" x14ac:dyDescent="0.35">
      <c r="A2282" t="s">
        <v>2310</v>
      </c>
      <c r="C2282">
        <f t="shared" si="175"/>
        <v>1968</v>
      </c>
      <c r="D2282">
        <v>1968</v>
      </c>
      <c r="E2282" t="str">
        <f t="shared" si="179"/>
        <v>Aug</v>
      </c>
      <c r="F2282" t="s">
        <v>35</v>
      </c>
      <c r="G2282">
        <v>3</v>
      </c>
      <c r="H2282">
        <v>0</v>
      </c>
      <c r="I2282" s="21">
        <v>42478.6</v>
      </c>
      <c r="J2282" t="str">
        <f t="shared" si="176"/>
        <v>tier - 1</v>
      </c>
      <c r="K2282" t="s">
        <v>16</v>
      </c>
      <c r="L2282" t="str">
        <f t="shared" si="177"/>
        <v>tier - 2</v>
      </c>
      <c r="M2282" t="s">
        <v>11</v>
      </c>
      <c r="N2282" t="str">
        <f t="shared" si="178"/>
        <v>R1011</v>
      </c>
      <c r="O2282" t="s">
        <v>42</v>
      </c>
    </row>
    <row r="2283" spans="1:15" x14ac:dyDescent="0.35">
      <c r="A2283" t="s">
        <v>2311</v>
      </c>
      <c r="C2283">
        <f t="shared" si="175"/>
        <v>1967</v>
      </c>
      <c r="D2283">
        <v>1967</v>
      </c>
      <c r="E2283" t="str">
        <f t="shared" si="179"/>
        <v>Jun</v>
      </c>
      <c r="F2283" t="s">
        <v>18</v>
      </c>
      <c r="G2283">
        <v>27</v>
      </c>
      <c r="H2283">
        <v>0</v>
      </c>
      <c r="I2283" s="21">
        <v>42538.720000000001</v>
      </c>
      <c r="J2283" t="str">
        <f t="shared" si="176"/>
        <v>tier - 1</v>
      </c>
      <c r="K2283" t="s">
        <v>16</v>
      </c>
      <c r="L2283" t="str">
        <f t="shared" si="177"/>
        <v>tier - 3</v>
      </c>
      <c r="M2283" t="s">
        <v>12</v>
      </c>
      <c r="N2283" t="str">
        <f t="shared" si="178"/>
        <v>R1011</v>
      </c>
      <c r="O2283" t="s">
        <v>42</v>
      </c>
    </row>
    <row r="2284" spans="1:15" x14ac:dyDescent="0.35">
      <c r="A2284" t="s">
        <v>2312</v>
      </c>
      <c r="C2284">
        <f t="shared" si="175"/>
        <v>1979</v>
      </c>
      <c r="D2284">
        <v>1979</v>
      </c>
      <c r="E2284" t="str">
        <f t="shared" si="179"/>
        <v>Dec</v>
      </c>
      <c r="F2284" t="s">
        <v>30</v>
      </c>
      <c r="G2284">
        <v>27</v>
      </c>
      <c r="H2284">
        <v>2</v>
      </c>
      <c r="I2284" s="21">
        <v>42560.43</v>
      </c>
      <c r="J2284" t="str">
        <f t="shared" si="176"/>
        <v>tier - 1</v>
      </c>
      <c r="K2284" t="s">
        <v>16</v>
      </c>
      <c r="L2284" t="str">
        <f t="shared" si="177"/>
        <v>tier - 3</v>
      </c>
      <c r="M2284" t="s">
        <v>12</v>
      </c>
      <c r="N2284" t="str">
        <f t="shared" si="178"/>
        <v>R1013</v>
      </c>
      <c r="O2284" t="s">
        <v>13</v>
      </c>
    </row>
    <row r="2285" spans="1:15" x14ac:dyDescent="0.35">
      <c r="A2285" t="s">
        <v>2313</v>
      </c>
      <c r="C2285">
        <f t="shared" si="175"/>
        <v>1971</v>
      </c>
      <c r="D2285">
        <v>1971</v>
      </c>
      <c r="E2285" t="str">
        <f t="shared" si="179"/>
        <v>Nov</v>
      </c>
      <c r="F2285" t="s">
        <v>15</v>
      </c>
      <c r="G2285">
        <v>3</v>
      </c>
      <c r="H2285">
        <v>0</v>
      </c>
      <c r="I2285" s="21">
        <v>42644.2</v>
      </c>
      <c r="J2285" t="str">
        <f t="shared" si="176"/>
        <v>tier - 1</v>
      </c>
      <c r="K2285" t="s">
        <v>16</v>
      </c>
      <c r="L2285" t="str">
        <f t="shared" si="177"/>
        <v>tier - 3</v>
      </c>
      <c r="M2285" t="s">
        <v>12</v>
      </c>
      <c r="N2285" t="str">
        <f t="shared" si="178"/>
        <v>R1011</v>
      </c>
      <c r="O2285" t="s">
        <v>42</v>
      </c>
    </row>
    <row r="2286" spans="1:15" x14ac:dyDescent="0.35">
      <c r="A2286" t="s">
        <v>2314</v>
      </c>
      <c r="C2286">
        <f t="shared" si="175"/>
        <v>1977</v>
      </c>
      <c r="D2286">
        <v>1977</v>
      </c>
      <c r="E2286" t="str">
        <f t="shared" si="179"/>
        <v>Oct</v>
      </c>
      <c r="F2286" t="s">
        <v>37</v>
      </c>
      <c r="G2286">
        <v>21</v>
      </c>
      <c r="H2286">
        <v>2</v>
      </c>
      <c r="I2286" s="21">
        <v>42760.5</v>
      </c>
      <c r="J2286" t="str">
        <f t="shared" si="176"/>
        <v>tier - 1</v>
      </c>
      <c r="K2286" t="s">
        <v>16</v>
      </c>
      <c r="L2286" t="str">
        <f t="shared" si="177"/>
        <v>tier - 2</v>
      </c>
      <c r="M2286" t="s">
        <v>11</v>
      </c>
      <c r="N2286" t="str">
        <f t="shared" si="178"/>
        <v>R1012</v>
      </c>
      <c r="O2286" t="s">
        <v>23</v>
      </c>
    </row>
    <row r="2287" spans="1:15" x14ac:dyDescent="0.35">
      <c r="A2287" t="s">
        <v>2315</v>
      </c>
      <c r="C2287">
        <f t="shared" si="175"/>
        <v>1965</v>
      </c>
      <c r="D2287">
        <v>1965</v>
      </c>
      <c r="E2287" t="str">
        <f t="shared" si="179"/>
        <v>Oct</v>
      </c>
      <c r="F2287" t="s">
        <v>37</v>
      </c>
      <c r="G2287">
        <v>29</v>
      </c>
      <c r="H2287">
        <v>0</v>
      </c>
      <c r="I2287" s="21">
        <v>42764.12</v>
      </c>
      <c r="J2287" t="str">
        <f t="shared" si="176"/>
        <v>tier - 1</v>
      </c>
      <c r="K2287" t="s">
        <v>16</v>
      </c>
      <c r="L2287" t="str">
        <f t="shared" si="177"/>
        <v>tier - 2</v>
      </c>
      <c r="M2287" t="s">
        <v>11</v>
      </c>
      <c r="N2287" t="str">
        <f t="shared" si="178"/>
        <v>R1011</v>
      </c>
      <c r="O2287" t="s">
        <v>42</v>
      </c>
    </row>
    <row r="2288" spans="1:15" x14ac:dyDescent="0.35">
      <c r="A2288" t="s">
        <v>2316</v>
      </c>
      <c r="C2288">
        <f t="shared" si="175"/>
        <v>1972</v>
      </c>
      <c r="D2288">
        <v>1972</v>
      </c>
      <c r="E2288" t="str">
        <f t="shared" si="179"/>
        <v>Sep</v>
      </c>
      <c r="F2288" t="s">
        <v>20</v>
      </c>
      <c r="G2288">
        <v>10</v>
      </c>
      <c r="H2288">
        <v>2</v>
      </c>
      <c r="I2288" s="21">
        <v>42856.84</v>
      </c>
      <c r="J2288" t="str">
        <f t="shared" si="176"/>
        <v>tier - 1</v>
      </c>
      <c r="K2288" t="s">
        <v>16</v>
      </c>
      <c r="L2288" t="str">
        <f t="shared" si="177"/>
        <v>tier - 1</v>
      </c>
      <c r="M2288" t="s">
        <v>16</v>
      </c>
      <c r="N2288" t="str">
        <f t="shared" si="178"/>
        <v>R1011</v>
      </c>
      <c r="O2288" t="s">
        <v>42</v>
      </c>
    </row>
    <row r="2289" spans="1:15" x14ac:dyDescent="0.35">
      <c r="A2289" t="s">
        <v>2317</v>
      </c>
      <c r="C2289">
        <f t="shared" si="175"/>
        <v>1975</v>
      </c>
      <c r="D2289">
        <v>1975</v>
      </c>
      <c r="E2289" t="str">
        <f t="shared" si="179"/>
        <v>Oct</v>
      </c>
      <c r="F2289" t="s">
        <v>37</v>
      </c>
      <c r="G2289">
        <v>23</v>
      </c>
      <c r="H2289">
        <v>1</v>
      </c>
      <c r="I2289" s="21">
        <v>42969.85</v>
      </c>
      <c r="J2289" t="str">
        <f t="shared" si="176"/>
        <v>tier - 1</v>
      </c>
      <c r="K2289" t="s">
        <v>16</v>
      </c>
      <c r="L2289" t="str">
        <f t="shared" si="177"/>
        <v>tier - 3</v>
      </c>
      <c r="M2289" t="s">
        <v>12</v>
      </c>
      <c r="N2289" t="str">
        <f t="shared" si="178"/>
        <v>R1013</v>
      </c>
      <c r="O2289" t="s">
        <v>13</v>
      </c>
    </row>
    <row r="2290" spans="1:15" x14ac:dyDescent="0.35">
      <c r="A2290" t="s">
        <v>2318</v>
      </c>
      <c r="C2290">
        <f t="shared" si="175"/>
        <v>1978</v>
      </c>
      <c r="D2290">
        <v>1978</v>
      </c>
      <c r="E2290" t="str">
        <f t="shared" si="179"/>
        <v>Nov</v>
      </c>
      <c r="F2290" t="s">
        <v>15</v>
      </c>
      <c r="G2290">
        <v>4</v>
      </c>
      <c r="H2290">
        <v>0</v>
      </c>
      <c r="I2290" s="21">
        <v>42983.46</v>
      </c>
      <c r="J2290" t="str">
        <f t="shared" si="176"/>
        <v>tier - 1</v>
      </c>
      <c r="K2290" t="s">
        <v>16</v>
      </c>
      <c r="L2290" t="str">
        <f t="shared" si="177"/>
        <v>tier - 2</v>
      </c>
      <c r="M2290" t="s">
        <v>11</v>
      </c>
      <c r="N2290" t="str">
        <f t="shared" si="178"/>
        <v>R1012</v>
      </c>
      <c r="O2290" t="s">
        <v>23</v>
      </c>
    </row>
    <row r="2291" spans="1:15" x14ac:dyDescent="0.35">
      <c r="A2291" t="s">
        <v>2319</v>
      </c>
      <c r="C2291">
        <f t="shared" si="175"/>
        <v>1965</v>
      </c>
      <c r="D2291">
        <v>1965</v>
      </c>
      <c r="E2291" t="str">
        <f t="shared" si="179"/>
        <v>Nov</v>
      </c>
      <c r="F2291" t="s">
        <v>15</v>
      </c>
      <c r="G2291">
        <v>29</v>
      </c>
      <c r="H2291">
        <v>0</v>
      </c>
      <c r="I2291" s="21">
        <v>43073.760000000002</v>
      </c>
      <c r="J2291" t="str">
        <f t="shared" si="176"/>
        <v>tier - 2</v>
      </c>
      <c r="K2291" t="s">
        <v>11</v>
      </c>
      <c r="L2291" t="str">
        <f t="shared" si="177"/>
        <v>tier - 2</v>
      </c>
      <c r="M2291" t="s">
        <v>11</v>
      </c>
      <c r="N2291" t="str">
        <f t="shared" si="178"/>
        <v>R1011</v>
      </c>
      <c r="O2291" t="s">
        <v>42</v>
      </c>
    </row>
    <row r="2292" spans="1:15" x14ac:dyDescent="0.35">
      <c r="A2292" t="s">
        <v>2320</v>
      </c>
      <c r="C2292">
        <f t="shared" si="175"/>
        <v>1969</v>
      </c>
      <c r="D2292">
        <v>1969</v>
      </c>
      <c r="E2292" t="str">
        <f t="shared" si="179"/>
        <v>Dec</v>
      </c>
      <c r="F2292" t="s">
        <v>30</v>
      </c>
      <c r="G2292">
        <v>3</v>
      </c>
      <c r="H2292">
        <v>0</v>
      </c>
      <c r="I2292" s="21">
        <v>43254.42</v>
      </c>
      <c r="J2292" t="str">
        <f t="shared" si="176"/>
        <v>tier - 2</v>
      </c>
      <c r="K2292" t="s">
        <v>11</v>
      </c>
      <c r="L2292" t="str">
        <f t="shared" si="177"/>
        <v>tier - 2</v>
      </c>
      <c r="M2292" t="s">
        <v>11</v>
      </c>
      <c r="N2292" t="str">
        <f t="shared" si="178"/>
        <v>R1016</v>
      </c>
      <c r="O2292" t="s">
        <v>168</v>
      </c>
    </row>
    <row r="2293" spans="1:15" x14ac:dyDescent="0.35">
      <c r="A2293" t="s">
        <v>2321</v>
      </c>
      <c r="C2293">
        <f t="shared" si="175"/>
        <v>1965</v>
      </c>
      <c r="D2293">
        <v>1965</v>
      </c>
      <c r="E2293" t="str">
        <f t="shared" si="179"/>
        <v>Aug</v>
      </c>
      <c r="F2293" t="s">
        <v>35</v>
      </c>
      <c r="G2293">
        <v>22</v>
      </c>
      <c r="H2293">
        <v>0</v>
      </c>
      <c r="I2293" s="21">
        <v>43578.94</v>
      </c>
      <c r="J2293" t="str">
        <f t="shared" si="176"/>
        <v>tier - 2</v>
      </c>
      <c r="K2293" t="s">
        <v>11</v>
      </c>
      <c r="L2293" t="str">
        <f t="shared" si="177"/>
        <v>tier - 2</v>
      </c>
      <c r="M2293" t="s">
        <v>11</v>
      </c>
      <c r="N2293" t="str">
        <f t="shared" si="178"/>
        <v>R1012</v>
      </c>
      <c r="O2293" t="s">
        <v>23</v>
      </c>
    </row>
    <row r="2294" spans="1:15" x14ac:dyDescent="0.35">
      <c r="A2294" t="s">
        <v>2322</v>
      </c>
      <c r="C2294">
        <f t="shared" si="175"/>
        <v>1986</v>
      </c>
      <c r="D2294">
        <v>1986</v>
      </c>
      <c r="E2294" t="str">
        <f t="shared" si="179"/>
        <v>Dec</v>
      </c>
      <c r="F2294" t="s">
        <v>30</v>
      </c>
      <c r="G2294">
        <v>29</v>
      </c>
      <c r="H2294">
        <v>3</v>
      </c>
      <c r="I2294" s="21">
        <v>43753.34</v>
      </c>
      <c r="J2294" t="str">
        <f t="shared" si="176"/>
        <v>tier - 2</v>
      </c>
      <c r="K2294" t="s">
        <v>11</v>
      </c>
      <c r="L2294" t="str">
        <f t="shared" si="177"/>
        <v>tier - 1</v>
      </c>
      <c r="M2294" t="s">
        <v>16</v>
      </c>
      <c r="N2294" t="str">
        <f t="shared" si="178"/>
        <v>R1015</v>
      </c>
      <c r="O2294" t="s">
        <v>164</v>
      </c>
    </row>
    <row r="2295" spans="1:15" x14ac:dyDescent="0.35">
      <c r="A2295" t="s">
        <v>2323</v>
      </c>
      <c r="C2295">
        <f t="shared" si="175"/>
        <v>1966</v>
      </c>
      <c r="D2295">
        <v>1966</v>
      </c>
      <c r="E2295" t="str">
        <f t="shared" si="179"/>
        <v>Oct</v>
      </c>
      <c r="F2295" t="s">
        <v>37</v>
      </c>
      <c r="G2295">
        <v>25</v>
      </c>
      <c r="H2295">
        <v>2</v>
      </c>
      <c r="I2295" s="21">
        <v>43813.87</v>
      </c>
      <c r="J2295" t="str">
        <f t="shared" si="176"/>
        <v>tier - 2</v>
      </c>
      <c r="K2295" t="s">
        <v>11</v>
      </c>
      <c r="L2295" t="str">
        <f t="shared" si="177"/>
        <v>tier - 2</v>
      </c>
      <c r="M2295" t="s">
        <v>11</v>
      </c>
      <c r="N2295" t="str">
        <f t="shared" si="178"/>
        <v>R1013</v>
      </c>
      <c r="O2295" t="s">
        <v>13</v>
      </c>
    </row>
    <row r="2296" spans="1:15" x14ac:dyDescent="0.35">
      <c r="A2296" t="s">
        <v>2324</v>
      </c>
      <c r="C2296">
        <f t="shared" si="175"/>
        <v>1966</v>
      </c>
      <c r="D2296">
        <v>1966</v>
      </c>
      <c r="E2296" t="str">
        <f t="shared" si="179"/>
        <v>Jul</v>
      </c>
      <c r="F2296" t="s">
        <v>10</v>
      </c>
      <c r="G2296">
        <v>2</v>
      </c>
      <c r="H2296">
        <v>0</v>
      </c>
      <c r="I2296" s="21">
        <v>43817.45</v>
      </c>
      <c r="J2296" t="str">
        <f t="shared" si="176"/>
        <v>tier - 2</v>
      </c>
      <c r="K2296" t="s">
        <v>11</v>
      </c>
      <c r="L2296" t="str">
        <f t="shared" si="177"/>
        <v>tier - 3</v>
      </c>
      <c r="M2296" t="s">
        <v>12</v>
      </c>
      <c r="N2296" t="str">
        <f t="shared" si="178"/>
        <v>R1012</v>
      </c>
      <c r="O2296" t="s">
        <v>23</v>
      </c>
    </row>
    <row r="2297" spans="1:15" x14ac:dyDescent="0.35">
      <c r="A2297" t="s">
        <v>2325</v>
      </c>
      <c r="C2297">
        <f t="shared" si="175"/>
        <v>1980</v>
      </c>
      <c r="D2297">
        <v>1980</v>
      </c>
      <c r="E2297" t="str">
        <f t="shared" si="179"/>
        <v>Nov</v>
      </c>
      <c r="F2297" t="s">
        <v>15</v>
      </c>
      <c r="G2297">
        <v>10</v>
      </c>
      <c r="H2297">
        <v>2</v>
      </c>
      <c r="I2297" s="21">
        <v>43896.38</v>
      </c>
      <c r="J2297" t="str">
        <f t="shared" si="176"/>
        <v>tier - 2</v>
      </c>
      <c r="K2297" t="s">
        <v>11</v>
      </c>
      <c r="L2297" t="str">
        <f t="shared" si="177"/>
        <v>tier - 1</v>
      </c>
      <c r="M2297" t="s">
        <v>16</v>
      </c>
      <c r="N2297" t="str">
        <f t="shared" si="178"/>
        <v>R1013</v>
      </c>
      <c r="O2297" t="s">
        <v>13</v>
      </c>
    </row>
    <row r="2298" spans="1:15" x14ac:dyDescent="0.35">
      <c r="A2298" t="s">
        <v>2326</v>
      </c>
      <c r="C2298">
        <f t="shared" si="175"/>
        <v>1966</v>
      </c>
      <c r="D2298">
        <v>1966</v>
      </c>
      <c r="E2298" t="str">
        <f t="shared" si="179"/>
        <v>Oct</v>
      </c>
      <c r="F2298" t="s">
        <v>37</v>
      </c>
      <c r="G2298">
        <v>5</v>
      </c>
      <c r="H2298">
        <v>0</v>
      </c>
      <c r="I2298" s="21">
        <v>43921.18</v>
      </c>
      <c r="J2298" t="str">
        <f t="shared" si="176"/>
        <v>tier - 2</v>
      </c>
      <c r="K2298" t="s">
        <v>11</v>
      </c>
      <c r="L2298" t="str">
        <f t="shared" si="177"/>
        <v>tier - 2</v>
      </c>
      <c r="M2298" t="s">
        <v>11</v>
      </c>
      <c r="N2298" t="str">
        <f t="shared" si="178"/>
        <v>R1012</v>
      </c>
      <c r="O2298" t="s">
        <v>23</v>
      </c>
    </row>
    <row r="2299" spans="1:15" x14ac:dyDescent="0.35">
      <c r="A2299" t="s">
        <v>2327</v>
      </c>
      <c r="C2299">
        <f t="shared" si="175"/>
        <v>1988</v>
      </c>
      <c r="D2299">
        <v>1988</v>
      </c>
      <c r="E2299" t="str">
        <f t="shared" si="179"/>
        <v>Jul</v>
      </c>
      <c r="F2299" t="s">
        <v>10</v>
      </c>
      <c r="G2299">
        <v>16</v>
      </c>
      <c r="H2299">
        <v>1</v>
      </c>
      <c r="I2299" s="21">
        <v>43943.88</v>
      </c>
      <c r="J2299" t="str">
        <f t="shared" si="176"/>
        <v>tier - 2</v>
      </c>
      <c r="K2299" t="s">
        <v>11</v>
      </c>
      <c r="L2299" t="str">
        <f t="shared" si="177"/>
        <v>tier - 1</v>
      </c>
      <c r="M2299" t="s">
        <v>16</v>
      </c>
      <c r="N2299" t="str">
        <f t="shared" si="178"/>
        <v>R1012</v>
      </c>
      <c r="O2299" t="s">
        <v>23</v>
      </c>
    </row>
    <row r="2300" spans="1:15" x14ac:dyDescent="0.35">
      <c r="A2300" t="s">
        <v>2328</v>
      </c>
      <c r="C2300">
        <f t="shared" si="175"/>
        <v>1975</v>
      </c>
      <c r="D2300">
        <v>1975</v>
      </c>
      <c r="E2300" t="str">
        <f t="shared" si="179"/>
        <v>Jun</v>
      </c>
      <c r="F2300" t="s">
        <v>18</v>
      </c>
      <c r="G2300">
        <v>1</v>
      </c>
      <c r="H2300">
        <v>2</v>
      </c>
      <c r="I2300" s="21">
        <v>44202.65</v>
      </c>
      <c r="J2300" t="str">
        <f t="shared" si="176"/>
        <v>tier - 2</v>
      </c>
      <c r="K2300" t="s">
        <v>11</v>
      </c>
      <c r="L2300" t="str">
        <f t="shared" si="177"/>
        <v>tier - 2</v>
      </c>
      <c r="M2300" t="s">
        <v>11</v>
      </c>
      <c r="N2300" t="str">
        <f t="shared" si="178"/>
        <v>R1013</v>
      </c>
      <c r="O2300" t="s">
        <v>13</v>
      </c>
    </row>
    <row r="2301" spans="1:15" x14ac:dyDescent="0.35">
      <c r="A2301" t="s">
        <v>2329</v>
      </c>
      <c r="C2301">
        <f t="shared" si="175"/>
        <v>1968</v>
      </c>
      <c r="D2301">
        <v>1968</v>
      </c>
      <c r="E2301" t="str">
        <f t="shared" si="179"/>
        <v>Nov</v>
      </c>
      <c r="F2301" t="s">
        <v>15</v>
      </c>
      <c r="G2301">
        <v>24</v>
      </c>
      <c r="H2301">
        <v>2</v>
      </c>
      <c r="I2301" s="21">
        <v>44260.75</v>
      </c>
      <c r="J2301" t="str">
        <f t="shared" si="176"/>
        <v>tier - 2</v>
      </c>
      <c r="K2301" t="s">
        <v>11</v>
      </c>
      <c r="L2301" t="str">
        <f t="shared" si="177"/>
        <v>tier - 1</v>
      </c>
      <c r="M2301" t="s">
        <v>16</v>
      </c>
      <c r="N2301" t="str">
        <f t="shared" si="178"/>
        <v>R1013</v>
      </c>
      <c r="O2301" t="s">
        <v>13</v>
      </c>
    </row>
    <row r="2302" spans="1:15" x14ac:dyDescent="0.35">
      <c r="A2302" t="s">
        <v>2330</v>
      </c>
      <c r="C2302">
        <f t="shared" si="175"/>
        <v>1971</v>
      </c>
      <c r="D2302">
        <v>1971</v>
      </c>
      <c r="E2302" t="str">
        <f t="shared" si="179"/>
        <v>Oct</v>
      </c>
      <c r="F2302" t="s">
        <v>37</v>
      </c>
      <c r="G2302">
        <v>29</v>
      </c>
      <c r="H2302">
        <v>0</v>
      </c>
      <c r="I2302" s="21">
        <v>44400.41</v>
      </c>
      <c r="J2302" t="str">
        <f t="shared" si="176"/>
        <v>tier - 2</v>
      </c>
      <c r="K2302" t="s">
        <v>11</v>
      </c>
      <c r="L2302" t="str">
        <f t="shared" si="177"/>
        <v>tier - 2</v>
      </c>
      <c r="M2302" t="s">
        <v>11</v>
      </c>
      <c r="N2302" t="str">
        <f t="shared" si="178"/>
        <v>R1013</v>
      </c>
      <c r="O2302" t="s">
        <v>13</v>
      </c>
    </row>
    <row r="2303" spans="1:15" x14ac:dyDescent="0.35">
      <c r="A2303" t="s">
        <v>2331</v>
      </c>
      <c r="C2303">
        <f t="shared" si="175"/>
        <v>1967</v>
      </c>
      <c r="D2303">
        <v>1967</v>
      </c>
      <c r="E2303" t="str">
        <f t="shared" si="179"/>
        <v>Sep</v>
      </c>
      <c r="F2303" t="s">
        <v>20</v>
      </c>
      <c r="G2303">
        <v>14</v>
      </c>
      <c r="H2303">
        <v>0</v>
      </c>
      <c r="I2303" s="21">
        <v>44423.8</v>
      </c>
      <c r="J2303" t="str">
        <f t="shared" si="176"/>
        <v>tier - 2</v>
      </c>
      <c r="K2303" t="s">
        <v>11</v>
      </c>
      <c r="L2303" t="str">
        <f t="shared" si="177"/>
        <v>tier - 3</v>
      </c>
      <c r="M2303" t="s">
        <v>12</v>
      </c>
      <c r="N2303" t="str">
        <f t="shared" si="178"/>
        <v>R1013</v>
      </c>
      <c r="O2303" t="s">
        <v>13</v>
      </c>
    </row>
    <row r="2304" spans="1:15" x14ac:dyDescent="0.35">
      <c r="A2304" t="s">
        <v>2332</v>
      </c>
      <c r="C2304">
        <f t="shared" si="175"/>
        <v>2000</v>
      </c>
      <c r="D2304">
        <v>2000</v>
      </c>
      <c r="E2304" t="str">
        <f t="shared" si="179"/>
        <v>Aug</v>
      </c>
      <c r="F2304" t="s">
        <v>35</v>
      </c>
      <c r="G2304">
        <v>2</v>
      </c>
      <c r="H2304">
        <v>1</v>
      </c>
      <c r="I2304" s="21">
        <v>44501.4</v>
      </c>
      <c r="J2304" t="str">
        <f t="shared" si="176"/>
        <v>tier - 2</v>
      </c>
      <c r="K2304" t="s">
        <v>11</v>
      </c>
      <c r="L2304" t="str">
        <f t="shared" si="177"/>
        <v>tier - 3</v>
      </c>
      <c r="M2304" t="s">
        <v>12</v>
      </c>
      <c r="N2304" t="str">
        <f t="shared" si="178"/>
        <v>R1013</v>
      </c>
      <c r="O2304" t="s">
        <v>13</v>
      </c>
    </row>
    <row r="2305" spans="1:15" x14ac:dyDescent="0.35">
      <c r="A2305" t="s">
        <v>2333</v>
      </c>
      <c r="C2305">
        <f t="shared" si="175"/>
        <v>1993</v>
      </c>
      <c r="D2305">
        <v>1993</v>
      </c>
      <c r="E2305" t="str">
        <f t="shared" si="179"/>
        <v>Oct</v>
      </c>
      <c r="F2305" t="s">
        <v>37</v>
      </c>
      <c r="G2305">
        <v>11</v>
      </c>
      <c r="H2305">
        <v>2</v>
      </c>
      <c r="I2305" s="21">
        <v>44585.46</v>
      </c>
      <c r="J2305" t="str">
        <f t="shared" si="176"/>
        <v>tier - 2</v>
      </c>
      <c r="K2305" t="s">
        <v>11</v>
      </c>
      <c r="L2305" t="str">
        <f t="shared" si="177"/>
        <v>tier - 2</v>
      </c>
      <c r="M2305" t="s">
        <v>11</v>
      </c>
      <c r="N2305" t="str">
        <f t="shared" si="178"/>
        <v>R1011</v>
      </c>
      <c r="O2305" t="s">
        <v>42</v>
      </c>
    </row>
    <row r="2306" spans="1:15" x14ac:dyDescent="0.35">
      <c r="A2306" t="s">
        <v>2334</v>
      </c>
      <c r="C2306">
        <f t="shared" si="175"/>
        <v>1971</v>
      </c>
      <c r="D2306">
        <v>1971</v>
      </c>
      <c r="E2306" t="str">
        <f t="shared" si="179"/>
        <v>Aug</v>
      </c>
      <c r="F2306" t="s">
        <v>35</v>
      </c>
      <c r="G2306">
        <v>13</v>
      </c>
      <c r="H2306">
        <v>2</v>
      </c>
      <c r="I2306" s="21">
        <v>44641.2</v>
      </c>
      <c r="J2306" t="str">
        <f t="shared" si="176"/>
        <v>tier - 2</v>
      </c>
      <c r="K2306" t="s">
        <v>11</v>
      </c>
      <c r="L2306" t="str">
        <f t="shared" si="177"/>
        <v>tier - 3</v>
      </c>
      <c r="M2306" t="s">
        <v>12</v>
      </c>
      <c r="N2306" t="str">
        <f t="shared" si="178"/>
        <v>R1024</v>
      </c>
      <c r="O2306" t="s">
        <v>247</v>
      </c>
    </row>
    <row r="2307" spans="1:15" x14ac:dyDescent="0.35">
      <c r="A2307" t="s">
        <v>2335</v>
      </c>
      <c r="C2307">
        <f t="shared" ref="C2307:C2344" si="180">IF(OR(D2307="?", ISBLANK(D2307)), 1983, D2307)</f>
        <v>1962</v>
      </c>
      <c r="D2307">
        <v>1962</v>
      </c>
      <c r="E2307" t="str">
        <f t="shared" si="179"/>
        <v>Dec</v>
      </c>
      <c r="F2307" t="s">
        <v>30</v>
      </c>
      <c r="G2307">
        <v>17</v>
      </c>
      <c r="H2307">
        <v>0</v>
      </c>
      <c r="I2307" s="21">
        <v>45008.959999999999</v>
      </c>
      <c r="J2307" t="str">
        <f t="shared" ref="J2307:J2344" si="181">IF(OR(K2307="?", ISBLANK(K2307)), "Tier 2", K2307)</f>
        <v>tier - 2</v>
      </c>
      <c r="K2307" t="s">
        <v>11</v>
      </c>
      <c r="L2307" t="str">
        <f t="shared" ref="L2307:L2344" si="182">IF(OR(M2307="?", ISBLANK(M2307)), "Tier 2", M2307)</f>
        <v>tier - 2</v>
      </c>
      <c r="M2307" t="s">
        <v>11</v>
      </c>
      <c r="N2307" t="str">
        <f t="shared" ref="N2307:N2344" si="183">IF(OR(O2307="?", ISBLANK(O2307)), "Unknown", O2307)</f>
        <v>R1013</v>
      </c>
      <c r="O2307" t="s">
        <v>13</v>
      </c>
    </row>
    <row r="2308" spans="1:15" x14ac:dyDescent="0.35">
      <c r="A2308" t="s">
        <v>2336</v>
      </c>
      <c r="C2308">
        <f t="shared" si="180"/>
        <v>1974</v>
      </c>
      <c r="D2308">
        <v>1974</v>
      </c>
      <c r="E2308" t="str">
        <f t="shared" ref="E2308:E2344" si="184">IF(OR(F2308="?", ISBLANK(F2308)), "Sep", F2308)</f>
        <v>Aug</v>
      </c>
      <c r="F2308" t="s">
        <v>35</v>
      </c>
      <c r="G2308">
        <v>9</v>
      </c>
      <c r="H2308">
        <v>2</v>
      </c>
      <c r="I2308" s="21">
        <v>45702.02</v>
      </c>
      <c r="J2308" t="str">
        <f t="shared" si="181"/>
        <v>tier - 2</v>
      </c>
      <c r="K2308" t="s">
        <v>11</v>
      </c>
      <c r="L2308" t="str">
        <f t="shared" si="182"/>
        <v>tier - 2</v>
      </c>
      <c r="M2308" t="s">
        <v>11</v>
      </c>
      <c r="N2308" t="str">
        <f t="shared" si="183"/>
        <v>R1012</v>
      </c>
      <c r="O2308" t="s">
        <v>23</v>
      </c>
    </row>
    <row r="2309" spans="1:15" x14ac:dyDescent="0.35">
      <c r="A2309" t="s">
        <v>2337</v>
      </c>
      <c r="C2309">
        <f t="shared" si="180"/>
        <v>1960</v>
      </c>
      <c r="D2309">
        <v>1960</v>
      </c>
      <c r="E2309" t="str">
        <f t="shared" si="184"/>
        <v>Dec</v>
      </c>
      <c r="F2309" t="s">
        <v>30</v>
      </c>
      <c r="G2309">
        <v>21</v>
      </c>
      <c r="H2309">
        <v>0</v>
      </c>
      <c r="I2309" s="21">
        <v>45710.21</v>
      </c>
      <c r="J2309" t="str">
        <f t="shared" si="181"/>
        <v>tier - 2</v>
      </c>
      <c r="K2309" t="s">
        <v>11</v>
      </c>
      <c r="L2309" t="str">
        <f t="shared" si="182"/>
        <v>tier - 2</v>
      </c>
      <c r="M2309" t="s">
        <v>11</v>
      </c>
      <c r="N2309" t="str">
        <f t="shared" si="183"/>
        <v>R1016</v>
      </c>
      <c r="O2309" t="s">
        <v>168</v>
      </c>
    </row>
    <row r="2310" spans="1:15" x14ac:dyDescent="0.35">
      <c r="A2310" t="s">
        <v>2338</v>
      </c>
      <c r="C2310">
        <f t="shared" si="180"/>
        <v>1979</v>
      </c>
      <c r="D2310">
        <v>1979</v>
      </c>
      <c r="E2310" t="str">
        <f t="shared" si="184"/>
        <v>Aug</v>
      </c>
      <c r="F2310" t="s">
        <v>35</v>
      </c>
      <c r="G2310">
        <v>12</v>
      </c>
      <c r="H2310">
        <v>0</v>
      </c>
      <c r="I2310" s="21">
        <v>45863.21</v>
      </c>
      <c r="J2310" t="str">
        <f t="shared" si="181"/>
        <v>tier - 2</v>
      </c>
      <c r="K2310" t="s">
        <v>11</v>
      </c>
      <c r="L2310" t="str">
        <f t="shared" si="182"/>
        <v>tier - 1</v>
      </c>
      <c r="M2310" t="s">
        <v>16</v>
      </c>
      <c r="N2310" t="str">
        <f t="shared" si="183"/>
        <v>R1013</v>
      </c>
      <c r="O2310" t="s">
        <v>13</v>
      </c>
    </row>
    <row r="2311" spans="1:15" x14ac:dyDescent="0.35">
      <c r="A2311" t="s">
        <v>2339</v>
      </c>
      <c r="C2311">
        <f t="shared" si="180"/>
        <v>1985</v>
      </c>
      <c r="D2311">
        <v>1985</v>
      </c>
      <c r="E2311" t="str">
        <f t="shared" si="184"/>
        <v>Sep</v>
      </c>
      <c r="F2311" t="s">
        <v>20</v>
      </c>
      <c r="G2311">
        <v>30</v>
      </c>
      <c r="H2311">
        <v>2</v>
      </c>
      <c r="I2311" s="21">
        <v>46113.51</v>
      </c>
      <c r="J2311" t="str">
        <f t="shared" si="181"/>
        <v>tier - 2</v>
      </c>
      <c r="K2311" t="s">
        <v>11</v>
      </c>
      <c r="L2311" t="str">
        <f t="shared" si="182"/>
        <v>tier - 3</v>
      </c>
      <c r="M2311" t="s">
        <v>12</v>
      </c>
      <c r="N2311" t="str">
        <f t="shared" si="183"/>
        <v>R1011</v>
      </c>
      <c r="O2311" t="s">
        <v>42</v>
      </c>
    </row>
    <row r="2312" spans="1:15" x14ac:dyDescent="0.35">
      <c r="A2312" t="s">
        <v>2340</v>
      </c>
      <c r="C2312">
        <f t="shared" si="180"/>
        <v>1962</v>
      </c>
      <c r="D2312">
        <v>1962</v>
      </c>
      <c r="E2312" t="str">
        <f t="shared" si="184"/>
        <v>Dec</v>
      </c>
      <c r="F2312" t="s">
        <v>30</v>
      </c>
      <c r="G2312">
        <v>4</v>
      </c>
      <c r="H2312">
        <v>3</v>
      </c>
      <c r="I2312" s="21">
        <v>46130.53</v>
      </c>
      <c r="J2312" t="str">
        <f t="shared" si="181"/>
        <v>tier - 1</v>
      </c>
      <c r="K2312" t="s">
        <v>16</v>
      </c>
      <c r="L2312" t="str">
        <f t="shared" si="182"/>
        <v>tier - 1</v>
      </c>
      <c r="M2312" t="s">
        <v>16</v>
      </c>
      <c r="N2312" t="str">
        <f t="shared" si="183"/>
        <v>R1012</v>
      </c>
      <c r="O2312" t="s">
        <v>23</v>
      </c>
    </row>
    <row r="2313" spans="1:15" x14ac:dyDescent="0.35">
      <c r="A2313" t="s">
        <v>2341</v>
      </c>
      <c r="C2313">
        <f t="shared" si="180"/>
        <v>1976</v>
      </c>
      <c r="D2313">
        <v>1976</v>
      </c>
      <c r="E2313" t="str">
        <f t="shared" si="184"/>
        <v>Dec</v>
      </c>
      <c r="F2313" t="s">
        <v>30</v>
      </c>
      <c r="G2313">
        <v>2</v>
      </c>
      <c r="H2313">
        <v>3</v>
      </c>
      <c r="I2313" s="21">
        <v>46151.12</v>
      </c>
      <c r="J2313" t="str">
        <f t="shared" si="181"/>
        <v>tier - 1</v>
      </c>
      <c r="K2313" t="s">
        <v>16</v>
      </c>
      <c r="L2313" t="str">
        <f t="shared" si="182"/>
        <v>tier - 3</v>
      </c>
      <c r="M2313" t="s">
        <v>12</v>
      </c>
      <c r="N2313" t="str">
        <f t="shared" si="183"/>
        <v>R1013</v>
      </c>
      <c r="O2313" t="s">
        <v>13</v>
      </c>
    </row>
    <row r="2314" spans="1:15" x14ac:dyDescent="0.35">
      <c r="A2314" t="s">
        <v>2342</v>
      </c>
      <c r="C2314">
        <f t="shared" si="180"/>
        <v>1978</v>
      </c>
      <c r="D2314">
        <v>1978</v>
      </c>
      <c r="E2314" t="str">
        <f t="shared" si="184"/>
        <v>Aug</v>
      </c>
      <c r="F2314" t="s">
        <v>35</v>
      </c>
      <c r="G2314">
        <v>17</v>
      </c>
      <c r="H2314">
        <v>2</v>
      </c>
      <c r="I2314" s="21">
        <v>46200.99</v>
      </c>
      <c r="J2314" t="str">
        <f t="shared" si="181"/>
        <v>tier - 1</v>
      </c>
      <c r="K2314" t="s">
        <v>16</v>
      </c>
      <c r="L2314" t="str">
        <f t="shared" si="182"/>
        <v>tier - 1</v>
      </c>
      <c r="M2314" t="s">
        <v>16</v>
      </c>
      <c r="N2314" t="str">
        <f t="shared" si="183"/>
        <v>R1013</v>
      </c>
      <c r="O2314" t="s">
        <v>13</v>
      </c>
    </row>
    <row r="2315" spans="1:15" x14ac:dyDescent="0.35">
      <c r="A2315" t="s">
        <v>2343</v>
      </c>
      <c r="C2315">
        <f t="shared" si="180"/>
        <v>1971</v>
      </c>
      <c r="D2315">
        <v>1971</v>
      </c>
      <c r="E2315" t="str">
        <f t="shared" si="184"/>
        <v>Dec</v>
      </c>
      <c r="F2315" t="s">
        <v>30</v>
      </c>
      <c r="G2315">
        <v>6</v>
      </c>
      <c r="H2315">
        <v>3</v>
      </c>
      <c r="I2315" s="21">
        <v>46255.11</v>
      </c>
      <c r="J2315" t="str">
        <f t="shared" si="181"/>
        <v>tier - 1</v>
      </c>
      <c r="K2315" t="s">
        <v>16</v>
      </c>
      <c r="L2315" t="str">
        <f t="shared" si="182"/>
        <v>tier - 3</v>
      </c>
      <c r="M2315" t="s">
        <v>12</v>
      </c>
      <c r="N2315" t="str">
        <f t="shared" si="183"/>
        <v>R1024</v>
      </c>
      <c r="O2315" t="s">
        <v>247</v>
      </c>
    </row>
    <row r="2316" spans="1:15" x14ac:dyDescent="0.35">
      <c r="A2316" t="s">
        <v>2344</v>
      </c>
      <c r="C2316">
        <f t="shared" si="180"/>
        <v>1961</v>
      </c>
      <c r="D2316">
        <v>1961</v>
      </c>
      <c r="E2316" t="str">
        <f t="shared" si="184"/>
        <v>Aug</v>
      </c>
      <c r="F2316" t="s">
        <v>35</v>
      </c>
      <c r="G2316">
        <v>8</v>
      </c>
      <c r="H2316">
        <v>0</v>
      </c>
      <c r="I2316" s="21">
        <v>46599.11</v>
      </c>
      <c r="J2316" t="str">
        <f t="shared" si="181"/>
        <v>tier - 1</v>
      </c>
      <c r="K2316" t="s">
        <v>16</v>
      </c>
      <c r="L2316" t="str">
        <f t="shared" si="182"/>
        <v>tier - 1</v>
      </c>
      <c r="M2316" t="s">
        <v>16</v>
      </c>
      <c r="N2316" t="str">
        <f t="shared" si="183"/>
        <v>R1013</v>
      </c>
      <c r="O2316" t="s">
        <v>13</v>
      </c>
    </row>
    <row r="2317" spans="1:15" x14ac:dyDescent="0.35">
      <c r="A2317" t="s">
        <v>2345</v>
      </c>
      <c r="C2317">
        <f t="shared" si="180"/>
        <v>1969</v>
      </c>
      <c r="D2317">
        <v>1969</v>
      </c>
      <c r="E2317" t="str">
        <f t="shared" si="184"/>
        <v>Jun</v>
      </c>
      <c r="F2317" t="s">
        <v>18</v>
      </c>
      <c r="G2317">
        <v>23</v>
      </c>
      <c r="H2317">
        <v>3</v>
      </c>
      <c r="I2317" s="21">
        <v>46661.440000000002</v>
      </c>
      <c r="J2317" t="str">
        <f t="shared" si="181"/>
        <v>tier - 1</v>
      </c>
      <c r="K2317" t="s">
        <v>16</v>
      </c>
      <c r="L2317" t="str">
        <f t="shared" si="182"/>
        <v>tier - 3</v>
      </c>
      <c r="M2317" t="s">
        <v>12</v>
      </c>
      <c r="N2317" t="str">
        <f t="shared" si="183"/>
        <v>R1012</v>
      </c>
      <c r="O2317" t="s">
        <v>23</v>
      </c>
    </row>
    <row r="2318" spans="1:15" x14ac:dyDescent="0.35">
      <c r="A2318" t="s">
        <v>2346</v>
      </c>
      <c r="C2318">
        <f t="shared" si="180"/>
        <v>1960</v>
      </c>
      <c r="D2318">
        <v>1960</v>
      </c>
      <c r="E2318" t="str">
        <f t="shared" si="184"/>
        <v>Nov</v>
      </c>
      <c r="F2318" t="s">
        <v>15</v>
      </c>
      <c r="G2318">
        <v>17</v>
      </c>
      <c r="H2318">
        <v>3</v>
      </c>
      <c r="I2318" s="21">
        <v>46718.16</v>
      </c>
      <c r="J2318" t="str">
        <f t="shared" si="181"/>
        <v>tier - 1</v>
      </c>
      <c r="K2318" t="s">
        <v>16</v>
      </c>
      <c r="L2318" t="str">
        <f t="shared" si="182"/>
        <v>tier - 1</v>
      </c>
      <c r="M2318" t="s">
        <v>16</v>
      </c>
      <c r="N2318" t="str">
        <f t="shared" si="183"/>
        <v>R1012</v>
      </c>
      <c r="O2318" t="s">
        <v>23</v>
      </c>
    </row>
    <row r="2319" spans="1:15" x14ac:dyDescent="0.35">
      <c r="A2319" t="s">
        <v>2347</v>
      </c>
      <c r="C2319">
        <f t="shared" si="180"/>
        <v>1958</v>
      </c>
      <c r="D2319">
        <v>1958</v>
      </c>
      <c r="E2319" t="str">
        <f t="shared" si="184"/>
        <v>Sep</v>
      </c>
      <c r="F2319" t="s">
        <v>20</v>
      </c>
      <c r="G2319">
        <v>15</v>
      </c>
      <c r="H2319">
        <v>0</v>
      </c>
      <c r="I2319" s="21">
        <v>46889.26</v>
      </c>
      <c r="J2319" t="str">
        <f t="shared" si="181"/>
        <v>tier - 2</v>
      </c>
      <c r="K2319" t="s">
        <v>11</v>
      </c>
      <c r="L2319" t="str">
        <f t="shared" si="182"/>
        <v>tier - 3</v>
      </c>
      <c r="M2319" t="s">
        <v>12</v>
      </c>
      <c r="N2319" t="str">
        <f t="shared" si="183"/>
        <v>R1013</v>
      </c>
      <c r="O2319" t="s">
        <v>13</v>
      </c>
    </row>
    <row r="2320" spans="1:15" x14ac:dyDescent="0.35">
      <c r="A2320" t="s">
        <v>2348</v>
      </c>
      <c r="C2320">
        <f t="shared" si="180"/>
        <v>1959</v>
      </c>
      <c r="D2320">
        <v>1959</v>
      </c>
      <c r="E2320" t="str">
        <f t="shared" si="184"/>
        <v>Jul</v>
      </c>
      <c r="F2320" t="s">
        <v>10</v>
      </c>
      <c r="G2320">
        <v>14</v>
      </c>
      <c r="H2320">
        <v>0</v>
      </c>
      <c r="I2320" s="21">
        <v>47055.53</v>
      </c>
      <c r="J2320" t="str">
        <f t="shared" si="181"/>
        <v>tier - 2</v>
      </c>
      <c r="K2320" t="s">
        <v>11</v>
      </c>
      <c r="L2320" t="str">
        <f t="shared" si="182"/>
        <v>tier - 1</v>
      </c>
      <c r="M2320" t="s">
        <v>16</v>
      </c>
      <c r="N2320" t="str">
        <f t="shared" si="183"/>
        <v>R1013</v>
      </c>
      <c r="O2320" t="s">
        <v>13</v>
      </c>
    </row>
    <row r="2321" spans="1:15" x14ac:dyDescent="0.35">
      <c r="A2321" t="s">
        <v>2349</v>
      </c>
      <c r="C2321">
        <f t="shared" si="180"/>
        <v>1970</v>
      </c>
      <c r="D2321">
        <v>1970</v>
      </c>
      <c r="E2321" t="str">
        <f t="shared" si="184"/>
        <v>Dec</v>
      </c>
      <c r="F2321" t="s">
        <v>30</v>
      </c>
      <c r="G2321">
        <v>28</v>
      </c>
      <c r="H2321">
        <v>2</v>
      </c>
      <c r="I2321" s="21">
        <v>47269.85</v>
      </c>
      <c r="J2321" t="str">
        <f t="shared" si="181"/>
        <v>tier - 1</v>
      </c>
      <c r="K2321" t="s">
        <v>16</v>
      </c>
      <c r="L2321" t="str">
        <f t="shared" si="182"/>
        <v>tier - 2</v>
      </c>
      <c r="M2321" t="s">
        <v>11</v>
      </c>
      <c r="N2321" t="str">
        <f t="shared" si="183"/>
        <v>R1013</v>
      </c>
      <c r="O2321" t="s">
        <v>13</v>
      </c>
    </row>
    <row r="2322" spans="1:15" x14ac:dyDescent="0.35">
      <c r="A2322" t="s">
        <v>2350</v>
      </c>
      <c r="C2322">
        <f t="shared" si="180"/>
        <v>1958</v>
      </c>
      <c r="D2322">
        <v>1958</v>
      </c>
      <c r="E2322" t="str">
        <f t="shared" si="184"/>
        <v>Sep</v>
      </c>
      <c r="F2322" t="s">
        <v>20</v>
      </c>
      <c r="G2322">
        <v>3</v>
      </c>
      <c r="H2322">
        <v>2</v>
      </c>
      <c r="I2322" s="21">
        <v>47291.06</v>
      </c>
      <c r="J2322" t="str">
        <f t="shared" si="181"/>
        <v>tier - 2</v>
      </c>
      <c r="K2322" t="s">
        <v>11</v>
      </c>
      <c r="L2322" t="str">
        <f t="shared" si="182"/>
        <v>tier - 1</v>
      </c>
      <c r="M2322" t="s">
        <v>16</v>
      </c>
      <c r="N2322" t="str">
        <f t="shared" si="183"/>
        <v>R1011</v>
      </c>
      <c r="O2322" t="s">
        <v>42</v>
      </c>
    </row>
    <row r="2323" spans="1:15" x14ac:dyDescent="0.35">
      <c r="A2323" t="s">
        <v>2351</v>
      </c>
      <c r="C2323">
        <f t="shared" si="180"/>
        <v>1959</v>
      </c>
      <c r="D2323">
        <v>1959</v>
      </c>
      <c r="E2323" t="str">
        <f t="shared" si="184"/>
        <v>Oct</v>
      </c>
      <c r="F2323" t="s">
        <v>37</v>
      </c>
      <c r="G2323">
        <v>4</v>
      </c>
      <c r="H2323">
        <v>2</v>
      </c>
      <c r="I2323" s="21">
        <v>47305.31</v>
      </c>
      <c r="J2323" t="str">
        <f t="shared" si="181"/>
        <v>tier - 2</v>
      </c>
      <c r="K2323" t="s">
        <v>11</v>
      </c>
      <c r="L2323" t="str">
        <f t="shared" si="182"/>
        <v>tier - 1</v>
      </c>
      <c r="M2323" t="s">
        <v>16</v>
      </c>
      <c r="N2323" t="str">
        <f t="shared" si="183"/>
        <v>R1011</v>
      </c>
      <c r="O2323" t="s">
        <v>42</v>
      </c>
    </row>
    <row r="2324" spans="1:15" x14ac:dyDescent="0.35">
      <c r="A2324" t="s">
        <v>2352</v>
      </c>
      <c r="C2324">
        <f t="shared" si="180"/>
        <v>1961</v>
      </c>
      <c r="D2324">
        <v>1961</v>
      </c>
      <c r="E2324" t="str">
        <f t="shared" si="184"/>
        <v>Jun</v>
      </c>
      <c r="F2324" t="s">
        <v>18</v>
      </c>
      <c r="G2324">
        <v>13</v>
      </c>
      <c r="H2324">
        <v>1</v>
      </c>
      <c r="I2324" s="21">
        <v>47403.88</v>
      </c>
      <c r="J2324" t="str">
        <f t="shared" si="181"/>
        <v>tier - 1</v>
      </c>
      <c r="K2324" t="s">
        <v>16</v>
      </c>
      <c r="L2324" t="str">
        <f t="shared" si="182"/>
        <v>tier - 3</v>
      </c>
      <c r="M2324" t="s">
        <v>12</v>
      </c>
      <c r="N2324" t="str">
        <f t="shared" si="183"/>
        <v>R1011</v>
      </c>
      <c r="O2324" t="s">
        <v>42</v>
      </c>
    </row>
    <row r="2325" spans="1:15" x14ac:dyDescent="0.35">
      <c r="A2325" t="s">
        <v>2353</v>
      </c>
      <c r="C2325">
        <f t="shared" si="180"/>
        <v>1971</v>
      </c>
      <c r="D2325">
        <v>1971</v>
      </c>
      <c r="E2325" t="str">
        <f t="shared" si="184"/>
        <v>Sep</v>
      </c>
      <c r="F2325" t="s">
        <v>20</v>
      </c>
      <c r="G2325">
        <v>27</v>
      </c>
      <c r="H2325">
        <v>2</v>
      </c>
      <c r="I2325" s="21">
        <v>47462.89</v>
      </c>
      <c r="J2325" t="str">
        <f t="shared" si="181"/>
        <v>tier - 1</v>
      </c>
      <c r="K2325" t="s">
        <v>16</v>
      </c>
      <c r="L2325" t="str">
        <f t="shared" si="182"/>
        <v>tier - 2</v>
      </c>
      <c r="M2325" t="s">
        <v>11</v>
      </c>
      <c r="N2325" t="str">
        <f t="shared" si="183"/>
        <v>R1013</v>
      </c>
      <c r="O2325" t="s">
        <v>13</v>
      </c>
    </row>
    <row r="2326" spans="1:15" x14ac:dyDescent="0.35">
      <c r="A2326" t="s">
        <v>2354</v>
      </c>
      <c r="C2326">
        <f t="shared" si="180"/>
        <v>1964</v>
      </c>
      <c r="D2326">
        <v>1964</v>
      </c>
      <c r="E2326" t="str">
        <f t="shared" si="184"/>
        <v>Nov</v>
      </c>
      <c r="F2326" t="s">
        <v>15</v>
      </c>
      <c r="G2326">
        <v>7</v>
      </c>
      <c r="H2326">
        <v>2</v>
      </c>
      <c r="I2326" s="21">
        <v>47496.49</v>
      </c>
      <c r="J2326" t="str">
        <f t="shared" si="181"/>
        <v>tier - 1</v>
      </c>
      <c r="K2326" t="s">
        <v>16</v>
      </c>
      <c r="L2326" t="str">
        <f t="shared" si="182"/>
        <v>tier - 3</v>
      </c>
      <c r="M2326" t="s">
        <v>12</v>
      </c>
      <c r="N2326" t="str">
        <f t="shared" si="183"/>
        <v>R1012</v>
      </c>
      <c r="O2326" t="s">
        <v>23</v>
      </c>
    </row>
    <row r="2327" spans="1:15" x14ac:dyDescent="0.35">
      <c r="A2327" t="s">
        <v>2355</v>
      </c>
      <c r="C2327">
        <f t="shared" si="180"/>
        <v>1963</v>
      </c>
      <c r="D2327">
        <v>1963</v>
      </c>
      <c r="E2327" t="str">
        <f t="shared" si="184"/>
        <v>Aug</v>
      </c>
      <c r="F2327" t="s">
        <v>35</v>
      </c>
      <c r="G2327">
        <v>5</v>
      </c>
      <c r="H2327">
        <v>1</v>
      </c>
      <c r="I2327" s="21">
        <v>47896.79</v>
      </c>
      <c r="J2327" t="str">
        <f t="shared" si="181"/>
        <v>tier - 1</v>
      </c>
      <c r="K2327" t="s">
        <v>16</v>
      </c>
      <c r="L2327" t="str">
        <f t="shared" si="182"/>
        <v>tier - 3</v>
      </c>
      <c r="M2327" t="s">
        <v>12</v>
      </c>
      <c r="N2327" t="str">
        <f t="shared" si="183"/>
        <v>R1024</v>
      </c>
      <c r="O2327" t="s">
        <v>247</v>
      </c>
    </row>
    <row r="2328" spans="1:15" x14ac:dyDescent="0.35">
      <c r="A2328" t="s">
        <v>2356</v>
      </c>
      <c r="C2328">
        <f t="shared" si="180"/>
        <v>1958</v>
      </c>
      <c r="D2328">
        <v>1958</v>
      </c>
      <c r="E2328" t="str">
        <f t="shared" si="184"/>
        <v>Nov</v>
      </c>
      <c r="F2328" t="s">
        <v>15</v>
      </c>
      <c r="G2328">
        <v>16</v>
      </c>
      <c r="H2328">
        <v>1</v>
      </c>
      <c r="I2328" s="21">
        <v>47928.03</v>
      </c>
      <c r="J2328" t="str">
        <f t="shared" si="181"/>
        <v>tier - 2</v>
      </c>
      <c r="K2328" t="s">
        <v>11</v>
      </c>
      <c r="L2328" t="str">
        <f t="shared" si="182"/>
        <v>tier - 3</v>
      </c>
      <c r="M2328" t="s">
        <v>12</v>
      </c>
      <c r="N2328" t="str">
        <f t="shared" si="183"/>
        <v>R1011</v>
      </c>
      <c r="O2328" t="s">
        <v>42</v>
      </c>
    </row>
    <row r="2329" spans="1:15" x14ac:dyDescent="0.35">
      <c r="A2329" t="s">
        <v>2357</v>
      </c>
      <c r="C2329">
        <f t="shared" si="180"/>
        <v>1962</v>
      </c>
      <c r="D2329">
        <v>1962</v>
      </c>
      <c r="E2329" t="str">
        <f t="shared" si="184"/>
        <v>Aug</v>
      </c>
      <c r="F2329" t="s">
        <v>35</v>
      </c>
      <c r="G2329">
        <v>27</v>
      </c>
      <c r="H2329">
        <v>0</v>
      </c>
      <c r="I2329" s="21">
        <v>48173.36</v>
      </c>
      <c r="J2329" t="str">
        <f t="shared" si="181"/>
        <v>tier - 1</v>
      </c>
      <c r="K2329" t="s">
        <v>16</v>
      </c>
      <c r="L2329" t="str">
        <f t="shared" si="182"/>
        <v>tier - 3</v>
      </c>
      <c r="M2329" t="s">
        <v>12</v>
      </c>
      <c r="N2329" t="str">
        <f t="shared" si="183"/>
        <v>R1011</v>
      </c>
      <c r="O2329" t="s">
        <v>42</v>
      </c>
    </row>
    <row r="2330" spans="1:15" x14ac:dyDescent="0.35">
      <c r="A2330" t="s">
        <v>2358</v>
      </c>
      <c r="C2330">
        <f t="shared" si="180"/>
        <v>1961</v>
      </c>
      <c r="D2330">
        <v>1961</v>
      </c>
      <c r="E2330" t="str">
        <f t="shared" si="184"/>
        <v>Dec</v>
      </c>
      <c r="F2330" t="s">
        <v>30</v>
      </c>
      <c r="G2330">
        <v>21</v>
      </c>
      <c r="H2330">
        <v>1</v>
      </c>
      <c r="I2330" s="21">
        <v>48517.56</v>
      </c>
      <c r="J2330" t="str">
        <f t="shared" si="181"/>
        <v>tier - 1</v>
      </c>
      <c r="K2330" t="s">
        <v>16</v>
      </c>
      <c r="L2330" t="str">
        <f t="shared" si="182"/>
        <v>tier - 3</v>
      </c>
      <c r="M2330" t="s">
        <v>12</v>
      </c>
      <c r="N2330" t="str">
        <f t="shared" si="183"/>
        <v>R1024</v>
      </c>
      <c r="O2330" t="s">
        <v>247</v>
      </c>
    </row>
    <row r="2331" spans="1:15" x14ac:dyDescent="0.35">
      <c r="A2331" t="s">
        <v>2359</v>
      </c>
      <c r="C2331">
        <f t="shared" si="180"/>
        <v>1968</v>
      </c>
      <c r="D2331">
        <v>1968</v>
      </c>
      <c r="E2331" t="str">
        <f t="shared" si="184"/>
        <v>Dec</v>
      </c>
      <c r="F2331" t="s">
        <v>30</v>
      </c>
      <c r="G2331">
        <v>1</v>
      </c>
      <c r="H2331">
        <v>3</v>
      </c>
      <c r="I2331" s="21">
        <v>48549.18</v>
      </c>
      <c r="J2331" t="str">
        <f t="shared" si="181"/>
        <v>tier - 1</v>
      </c>
      <c r="K2331" t="s">
        <v>16</v>
      </c>
      <c r="L2331" t="str">
        <f t="shared" si="182"/>
        <v>tier - 3</v>
      </c>
      <c r="M2331" t="s">
        <v>12</v>
      </c>
      <c r="N2331" t="str">
        <f t="shared" si="183"/>
        <v>R1016</v>
      </c>
      <c r="O2331" t="s">
        <v>168</v>
      </c>
    </row>
    <row r="2332" spans="1:15" x14ac:dyDescent="0.35">
      <c r="A2332" t="s">
        <v>2360</v>
      </c>
      <c r="C2332">
        <f t="shared" si="180"/>
        <v>1962</v>
      </c>
      <c r="D2332">
        <v>1962</v>
      </c>
      <c r="E2332" t="str">
        <f t="shared" si="184"/>
        <v>Oct</v>
      </c>
      <c r="F2332" t="s">
        <v>37</v>
      </c>
      <c r="G2332">
        <v>11</v>
      </c>
      <c r="H2332">
        <v>0</v>
      </c>
      <c r="I2332" s="21">
        <v>48673.56</v>
      </c>
      <c r="J2332" t="str">
        <f t="shared" si="181"/>
        <v>tier - 1</v>
      </c>
      <c r="K2332" t="s">
        <v>16</v>
      </c>
      <c r="L2332" t="str">
        <f t="shared" si="182"/>
        <v>tier - 2</v>
      </c>
      <c r="M2332" t="s">
        <v>11</v>
      </c>
      <c r="N2332" t="str">
        <f t="shared" si="183"/>
        <v>R1013</v>
      </c>
      <c r="O2332" t="s">
        <v>13</v>
      </c>
    </row>
    <row r="2333" spans="1:15" x14ac:dyDescent="0.35">
      <c r="A2333" t="s">
        <v>2361</v>
      </c>
      <c r="C2333">
        <f t="shared" si="180"/>
        <v>1965</v>
      </c>
      <c r="D2333">
        <v>1965</v>
      </c>
      <c r="E2333" t="str">
        <f t="shared" si="184"/>
        <v>Oct</v>
      </c>
      <c r="F2333" t="s">
        <v>37</v>
      </c>
      <c r="G2333">
        <v>27</v>
      </c>
      <c r="H2333">
        <v>1</v>
      </c>
      <c r="I2333" s="21">
        <v>48675.519999999997</v>
      </c>
      <c r="J2333" t="str">
        <f t="shared" si="181"/>
        <v>tier - 1</v>
      </c>
      <c r="K2333" t="s">
        <v>16</v>
      </c>
      <c r="L2333" t="str">
        <f t="shared" si="182"/>
        <v>tier - 2</v>
      </c>
      <c r="M2333" t="s">
        <v>11</v>
      </c>
      <c r="N2333" t="str">
        <f t="shared" si="183"/>
        <v>R1013</v>
      </c>
      <c r="O2333" t="s">
        <v>13</v>
      </c>
    </row>
    <row r="2334" spans="1:15" x14ac:dyDescent="0.35">
      <c r="A2334" t="s">
        <v>2362</v>
      </c>
      <c r="C2334">
        <f t="shared" si="180"/>
        <v>1959</v>
      </c>
      <c r="D2334">
        <v>1959</v>
      </c>
      <c r="E2334" t="str">
        <f t="shared" si="184"/>
        <v>Jul</v>
      </c>
      <c r="F2334" t="s">
        <v>10</v>
      </c>
      <c r="G2334">
        <v>22</v>
      </c>
      <c r="H2334">
        <v>0</v>
      </c>
      <c r="I2334" s="21">
        <v>48824.45</v>
      </c>
      <c r="J2334" t="str">
        <f t="shared" si="181"/>
        <v>tier - 2</v>
      </c>
      <c r="K2334" t="s">
        <v>11</v>
      </c>
      <c r="L2334" t="str">
        <f t="shared" si="182"/>
        <v>tier - 1</v>
      </c>
      <c r="M2334" t="s">
        <v>16</v>
      </c>
      <c r="N2334" t="str">
        <f t="shared" si="183"/>
        <v>R1011</v>
      </c>
      <c r="O2334" t="s">
        <v>42</v>
      </c>
    </row>
    <row r="2335" spans="1:15" x14ac:dyDescent="0.35">
      <c r="A2335" t="s">
        <v>2363</v>
      </c>
      <c r="C2335">
        <f t="shared" si="180"/>
        <v>1978</v>
      </c>
      <c r="D2335">
        <v>1978</v>
      </c>
      <c r="E2335" t="str">
        <f t="shared" si="184"/>
        <v>Dec</v>
      </c>
      <c r="F2335" t="s">
        <v>30</v>
      </c>
      <c r="G2335">
        <v>29</v>
      </c>
      <c r="H2335">
        <v>0</v>
      </c>
      <c r="I2335" s="21">
        <v>48885.14</v>
      </c>
      <c r="J2335" t="str">
        <f t="shared" si="181"/>
        <v>tier - 1</v>
      </c>
      <c r="K2335" t="s">
        <v>16</v>
      </c>
      <c r="L2335" t="str">
        <f t="shared" si="182"/>
        <v>tier - 2</v>
      </c>
      <c r="M2335" t="s">
        <v>11</v>
      </c>
      <c r="N2335" t="str">
        <f t="shared" si="183"/>
        <v>R1013</v>
      </c>
      <c r="O2335" t="s">
        <v>13</v>
      </c>
    </row>
    <row r="2336" spans="1:15" x14ac:dyDescent="0.35">
      <c r="A2336" t="s">
        <v>2364</v>
      </c>
      <c r="C2336">
        <f t="shared" si="180"/>
        <v>1963</v>
      </c>
      <c r="D2336">
        <v>1963</v>
      </c>
      <c r="E2336" t="str">
        <f t="shared" si="184"/>
        <v>Sep</v>
      </c>
      <c r="F2336" t="s">
        <v>20</v>
      </c>
      <c r="G2336">
        <v>4</v>
      </c>
      <c r="H2336">
        <v>1</v>
      </c>
      <c r="I2336" s="21">
        <v>48970.25</v>
      </c>
      <c r="J2336" t="str">
        <f t="shared" si="181"/>
        <v>tier - 1</v>
      </c>
      <c r="K2336" t="s">
        <v>16</v>
      </c>
      <c r="L2336" t="str">
        <f t="shared" si="182"/>
        <v>tier - 2</v>
      </c>
      <c r="M2336" t="s">
        <v>11</v>
      </c>
      <c r="N2336" t="str">
        <f t="shared" si="183"/>
        <v>R1013</v>
      </c>
      <c r="O2336" t="s">
        <v>13</v>
      </c>
    </row>
    <row r="2337" spans="1:15" x14ac:dyDescent="0.35">
      <c r="A2337" t="s">
        <v>2365</v>
      </c>
      <c r="C2337">
        <f t="shared" si="180"/>
        <v>1958</v>
      </c>
      <c r="D2337">
        <v>1958</v>
      </c>
      <c r="E2337" t="str">
        <f t="shared" si="184"/>
        <v>Jun</v>
      </c>
      <c r="F2337" t="s">
        <v>18</v>
      </c>
      <c r="G2337">
        <v>27</v>
      </c>
      <c r="H2337">
        <v>2</v>
      </c>
      <c r="I2337" s="21">
        <v>49577.66</v>
      </c>
      <c r="J2337" t="str">
        <f t="shared" si="181"/>
        <v>tier - 2</v>
      </c>
      <c r="K2337" t="s">
        <v>11</v>
      </c>
      <c r="L2337" t="str">
        <f t="shared" si="182"/>
        <v>tier - 2</v>
      </c>
      <c r="M2337" t="s">
        <v>11</v>
      </c>
      <c r="N2337" t="str">
        <f t="shared" si="183"/>
        <v>R1013</v>
      </c>
      <c r="O2337" t="s">
        <v>13</v>
      </c>
    </row>
    <row r="2338" spans="1:15" x14ac:dyDescent="0.35">
      <c r="A2338" t="s">
        <v>2366</v>
      </c>
      <c r="C2338">
        <f t="shared" si="180"/>
        <v>1994</v>
      </c>
      <c r="D2338">
        <v>1994</v>
      </c>
      <c r="E2338" t="str">
        <f t="shared" si="184"/>
        <v>Oct</v>
      </c>
      <c r="F2338" t="s">
        <v>37</v>
      </c>
      <c r="G2338">
        <v>27</v>
      </c>
      <c r="H2338">
        <v>1</v>
      </c>
      <c r="I2338" s="21">
        <v>51194.559999999998</v>
      </c>
      <c r="J2338" t="str">
        <f t="shared" si="181"/>
        <v>tier - 1</v>
      </c>
      <c r="K2338" t="s">
        <v>16</v>
      </c>
      <c r="L2338" t="str">
        <f t="shared" si="182"/>
        <v>tier - 3</v>
      </c>
      <c r="M2338" t="s">
        <v>12</v>
      </c>
      <c r="N2338" t="str">
        <f t="shared" si="183"/>
        <v>R1011</v>
      </c>
      <c r="O2338" t="s">
        <v>42</v>
      </c>
    </row>
    <row r="2339" spans="1:15" x14ac:dyDescent="0.35">
      <c r="A2339" t="s">
        <v>2367</v>
      </c>
      <c r="C2339">
        <f t="shared" si="180"/>
        <v>1962</v>
      </c>
      <c r="D2339">
        <v>1962</v>
      </c>
      <c r="E2339" t="str">
        <f t="shared" si="184"/>
        <v>Aug</v>
      </c>
      <c r="F2339" t="s">
        <v>35</v>
      </c>
      <c r="G2339">
        <v>4</v>
      </c>
      <c r="H2339">
        <v>0</v>
      </c>
      <c r="I2339" s="21">
        <v>52590.83</v>
      </c>
      <c r="J2339" t="str">
        <f t="shared" si="181"/>
        <v>tier - 1</v>
      </c>
      <c r="K2339" t="s">
        <v>16</v>
      </c>
      <c r="L2339" t="str">
        <f t="shared" si="182"/>
        <v>tier - 3</v>
      </c>
      <c r="M2339" t="s">
        <v>12</v>
      </c>
      <c r="N2339" t="str">
        <f t="shared" si="183"/>
        <v>R1011</v>
      </c>
      <c r="O2339" t="s">
        <v>42</v>
      </c>
    </row>
    <row r="2340" spans="1:15" x14ac:dyDescent="0.35">
      <c r="A2340" t="s">
        <v>2368</v>
      </c>
      <c r="C2340">
        <f t="shared" si="180"/>
        <v>1989</v>
      </c>
      <c r="D2340">
        <v>1989</v>
      </c>
      <c r="E2340" t="str">
        <f t="shared" si="184"/>
        <v>Jun</v>
      </c>
      <c r="F2340" t="s">
        <v>18</v>
      </c>
      <c r="G2340">
        <v>19</v>
      </c>
      <c r="H2340">
        <v>0</v>
      </c>
      <c r="I2340" s="21">
        <v>55135.4</v>
      </c>
      <c r="J2340" t="str">
        <f t="shared" si="181"/>
        <v>tier - 1</v>
      </c>
      <c r="K2340" t="s">
        <v>16</v>
      </c>
      <c r="L2340" t="str">
        <f t="shared" si="182"/>
        <v>tier - 2</v>
      </c>
      <c r="M2340" t="s">
        <v>11</v>
      </c>
      <c r="N2340" t="str">
        <f t="shared" si="183"/>
        <v>R1012</v>
      </c>
      <c r="O2340" t="s">
        <v>23</v>
      </c>
    </row>
    <row r="2341" spans="1:15" x14ac:dyDescent="0.35">
      <c r="A2341" t="s">
        <v>2369</v>
      </c>
      <c r="C2341">
        <f t="shared" si="180"/>
        <v>1991</v>
      </c>
      <c r="D2341">
        <v>1991</v>
      </c>
      <c r="E2341" t="str">
        <f t="shared" si="184"/>
        <v>Jun</v>
      </c>
      <c r="F2341" t="s">
        <v>18</v>
      </c>
      <c r="G2341">
        <v>6</v>
      </c>
      <c r="H2341">
        <v>1</v>
      </c>
      <c r="I2341" s="21">
        <v>58571.07</v>
      </c>
      <c r="J2341" t="str">
        <f t="shared" si="181"/>
        <v>tier - 1</v>
      </c>
      <c r="K2341" t="s">
        <v>16</v>
      </c>
      <c r="L2341" t="str">
        <f t="shared" si="182"/>
        <v>tier - 3</v>
      </c>
      <c r="M2341" t="s">
        <v>12</v>
      </c>
      <c r="N2341" t="str">
        <f t="shared" si="183"/>
        <v>R1024</v>
      </c>
      <c r="O2341" t="s">
        <v>247</v>
      </c>
    </row>
    <row r="2342" spans="1:15" x14ac:dyDescent="0.35">
      <c r="A2342" t="s">
        <v>2370</v>
      </c>
      <c r="C2342">
        <f t="shared" si="180"/>
        <v>1970</v>
      </c>
      <c r="D2342">
        <v>1970</v>
      </c>
      <c r="E2342" t="str">
        <f t="shared" si="184"/>
        <v>Sep</v>
      </c>
      <c r="F2342" t="s">
        <v>31</v>
      </c>
      <c r="G2342">
        <v>11</v>
      </c>
      <c r="H2342">
        <v>3</v>
      </c>
      <c r="I2342" s="21">
        <v>60021.4</v>
      </c>
      <c r="J2342" t="str">
        <f t="shared" si="181"/>
        <v>tier - 1</v>
      </c>
      <c r="K2342" t="s">
        <v>16</v>
      </c>
      <c r="L2342" t="str">
        <f t="shared" si="182"/>
        <v>tier - 1</v>
      </c>
      <c r="M2342" t="s">
        <v>16</v>
      </c>
      <c r="N2342" t="str">
        <f t="shared" si="183"/>
        <v>R1012</v>
      </c>
      <c r="O2342" t="s">
        <v>23</v>
      </c>
    </row>
    <row r="2343" spans="1:15" x14ac:dyDescent="0.35">
      <c r="A2343" t="s">
        <v>2371</v>
      </c>
      <c r="C2343">
        <f t="shared" si="180"/>
        <v>1977</v>
      </c>
      <c r="D2343">
        <v>1977</v>
      </c>
      <c r="E2343" t="str">
        <f t="shared" si="184"/>
        <v>Jun</v>
      </c>
      <c r="F2343" t="s">
        <v>18</v>
      </c>
      <c r="G2343">
        <v>8</v>
      </c>
      <c r="H2343">
        <v>0</v>
      </c>
      <c r="I2343" s="21">
        <v>62592.87</v>
      </c>
      <c r="J2343" t="str">
        <f t="shared" si="181"/>
        <v>tier - 2</v>
      </c>
      <c r="K2343" t="s">
        <v>11</v>
      </c>
      <c r="L2343" t="str">
        <f t="shared" si="182"/>
        <v>tier - 3</v>
      </c>
      <c r="M2343" t="s">
        <v>12</v>
      </c>
      <c r="N2343" t="str">
        <f t="shared" si="183"/>
        <v>R1013</v>
      </c>
      <c r="O2343" t="s">
        <v>13</v>
      </c>
    </row>
    <row r="2344" spans="1:15" x14ac:dyDescent="0.35">
      <c r="A2344" t="s">
        <v>2372</v>
      </c>
      <c r="C2344">
        <f t="shared" si="180"/>
        <v>1968</v>
      </c>
      <c r="D2344">
        <v>1968</v>
      </c>
      <c r="E2344" t="str">
        <f t="shared" si="184"/>
        <v>Oct</v>
      </c>
      <c r="F2344" t="s">
        <v>37</v>
      </c>
      <c r="G2344">
        <v>12</v>
      </c>
      <c r="H2344">
        <v>0</v>
      </c>
      <c r="I2344" s="21">
        <v>63770.43</v>
      </c>
      <c r="J2344" t="str">
        <f t="shared" si="181"/>
        <v>tier - 1</v>
      </c>
      <c r="K2344" t="s">
        <v>16</v>
      </c>
      <c r="L2344" t="str">
        <f t="shared" si="182"/>
        <v>tier - 3</v>
      </c>
      <c r="M2344" t="s">
        <v>12</v>
      </c>
      <c r="N2344" t="str">
        <f t="shared" si="183"/>
        <v>R1013</v>
      </c>
      <c r="O2344" t="s">
        <v>13</v>
      </c>
    </row>
  </sheetData>
  <mergeCells count="1">
    <mergeCell ref="R13:S1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3AF0-36D5-44A6-908B-B0B48CE20F7D}">
  <dimension ref="A3:E8"/>
  <sheetViews>
    <sheetView tabSelected="1" topLeftCell="B2" workbookViewId="0">
      <selection activeCell="G20" sqref="G20"/>
    </sheetView>
  </sheetViews>
  <sheetFormatPr defaultRowHeight="14.5" x14ac:dyDescent="0.35"/>
  <cols>
    <col min="1" max="1" width="19.1796875" bestFit="1" customWidth="1"/>
    <col min="2" max="2" width="15.26953125" bestFit="1" customWidth="1"/>
    <col min="3" max="4" width="7.1796875" bestFit="1" customWidth="1"/>
    <col min="5" max="5" width="10.7265625" bestFit="1" customWidth="1"/>
  </cols>
  <sheetData>
    <row r="3" spans="1:5" x14ac:dyDescent="0.35">
      <c r="A3" s="22" t="s">
        <v>6018</v>
      </c>
      <c r="B3" s="22" t="s">
        <v>6017</v>
      </c>
    </row>
    <row r="4" spans="1:5" x14ac:dyDescent="0.35">
      <c r="A4" s="22" t="s">
        <v>6014</v>
      </c>
      <c r="B4" t="s">
        <v>2380</v>
      </c>
      <c r="C4" t="s">
        <v>2383</v>
      </c>
      <c r="D4" t="s">
        <v>6015</v>
      </c>
      <c r="E4" t="s">
        <v>6016</v>
      </c>
    </row>
    <row r="5" spans="1:5" x14ac:dyDescent="0.35">
      <c r="A5" s="23" t="s">
        <v>2380</v>
      </c>
      <c r="B5" s="24">
        <v>0.83378451543042775</v>
      </c>
      <c r="C5" s="24">
        <v>0.16621548456957227</v>
      </c>
      <c r="D5" s="24">
        <v>0</v>
      </c>
      <c r="E5" s="24">
        <v>1</v>
      </c>
    </row>
    <row r="6" spans="1:5" x14ac:dyDescent="0.35">
      <c r="A6" s="23" t="s">
        <v>2382</v>
      </c>
      <c r="B6" s="24">
        <v>0.82786885245901642</v>
      </c>
      <c r="C6" s="24">
        <v>0.1721311475409836</v>
      </c>
      <c r="D6" s="24">
        <v>0</v>
      </c>
      <c r="E6" s="24">
        <v>1</v>
      </c>
    </row>
    <row r="7" spans="1:5" x14ac:dyDescent="0.35">
      <c r="A7" s="23" t="s">
        <v>6015</v>
      </c>
      <c r="B7" s="24" t="e">
        <v>#DIV/0!</v>
      </c>
      <c r="C7" s="24" t="e">
        <v>#DIV/0!</v>
      </c>
      <c r="D7" s="24" t="e">
        <v>#DIV/0!</v>
      </c>
      <c r="E7" s="24" t="e">
        <v>#DIV/0!</v>
      </c>
    </row>
    <row r="8" spans="1:5" x14ac:dyDescent="0.35">
      <c r="A8" s="23" t="s">
        <v>6016</v>
      </c>
      <c r="B8" s="24">
        <v>0.8325481798715203</v>
      </c>
      <c r="C8" s="24">
        <v>0.16745182012847964</v>
      </c>
      <c r="D8" s="24">
        <v>0</v>
      </c>
      <c r="E8" s="24">
        <v>1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5DF88-92E8-495A-9F0D-C9727BFC352A}">
  <dimension ref="A1:P2336"/>
  <sheetViews>
    <sheetView workbookViewId="0">
      <selection sqref="A1:XFD1048576"/>
    </sheetView>
  </sheetViews>
  <sheetFormatPr defaultRowHeight="14.5" x14ac:dyDescent="0.35"/>
  <cols>
    <col min="1" max="1" width="10.6328125" customWidth="1"/>
    <col min="2" max="2" width="16.81640625" customWidth="1"/>
    <col min="4" max="4" width="10.81640625" customWidth="1"/>
    <col min="5" max="5" width="11.81640625" customWidth="1"/>
    <col min="6" max="6" width="13.7265625" customWidth="1"/>
    <col min="7" max="7" width="15.08984375" customWidth="1"/>
    <col min="8" max="8" width="22.36328125" customWidth="1"/>
    <col min="11" max="11" width="13.7265625" customWidth="1"/>
    <col min="12" max="12" width="11.6328125" customWidth="1"/>
  </cols>
  <sheetData>
    <row r="1" spans="1:16" x14ac:dyDescent="0.35">
      <c r="A1" s="8" t="s">
        <v>0</v>
      </c>
      <c r="B1" s="8" t="s">
        <v>2396</v>
      </c>
      <c r="C1" s="8" t="s">
        <v>2373</v>
      </c>
      <c r="D1" s="8" t="s">
        <v>2374</v>
      </c>
      <c r="E1" s="8" t="s">
        <v>2375</v>
      </c>
      <c r="F1" s="8" t="s">
        <v>2376</v>
      </c>
      <c r="G1" s="8" t="s">
        <v>2377</v>
      </c>
      <c r="H1" s="8" t="s">
        <v>2378</v>
      </c>
      <c r="I1" s="8" t="s">
        <v>2379</v>
      </c>
      <c r="J1" s="8" t="s">
        <v>6007</v>
      </c>
      <c r="K1" s="8" t="s">
        <v>6010</v>
      </c>
      <c r="L1" s="8" t="s">
        <v>6009</v>
      </c>
      <c r="M1" s="8" t="s">
        <v>5</v>
      </c>
      <c r="N1" s="8" t="s">
        <v>7</v>
      </c>
      <c r="O1" s="8" t="s">
        <v>8</v>
      </c>
      <c r="P1" s="8" t="s">
        <v>6011</v>
      </c>
    </row>
    <row r="2" spans="1:16" ht="15.5" x14ac:dyDescent="0.35">
      <c r="A2" s="1" t="s">
        <v>2372</v>
      </c>
      <c r="B2" t="str">
        <f>VLOOKUP($A2, 'Customer Names'!A:D, 3, FALSE)</f>
        <v>Hawks</v>
      </c>
      <c r="C2" t="s">
        <v>6012</v>
      </c>
      <c r="D2">
        <v>3</v>
      </c>
      <c r="E2" t="s">
        <v>6013</v>
      </c>
      <c r="F2" t="str">
        <f>VLOOKUP($A2, 'Medical Examinations'!A:G, 7, FALSE)</f>
        <v>No</v>
      </c>
      <c r="G2" t="str">
        <f>VLOOKUP($A2, 'Medical Examinations'!A:H, 8, FALSE)</f>
        <v>No</v>
      </c>
      <c r="H2" t="str">
        <f>VLOOKUP($A2, 'Medical Examinations'!A:J, 10, FALSE)</f>
        <v>No major surgery</v>
      </c>
      <c r="I2" t="str">
        <f>VLOOKUP($A2, 'Medical Examinations'!A:K, 11, FALSE)</f>
        <v>yes</v>
      </c>
      <c r="J2" t="str">
        <f>VLOOKUP($A2, 'Medical Examinations'!A:B, 2, FALSE)</f>
        <v>Obesity</v>
      </c>
      <c r="K2" t="str">
        <f>VLOOKUP($A2, 'Medical Examinations'!A:D, 4, FALSE)</f>
        <v>Diabetes</v>
      </c>
    </row>
    <row r="3" spans="1:16" ht="15.5" x14ac:dyDescent="0.35">
      <c r="A3" s="1" t="s">
        <v>2371</v>
      </c>
      <c r="B3" t="str">
        <f>VLOOKUP($A3, 'Customer Names'!A:D, 3, FALSE)</f>
        <v>Lehner</v>
      </c>
      <c r="C3">
        <f>VLOOKUP($A3,'Medical Examinations'!A:C, 3, FALSE)</f>
        <v>30.36</v>
      </c>
      <c r="D3" t="str">
        <f>VLOOKUP($A3, 'Medical Examinations'!A:D, 4, FALSE)</f>
        <v>Prediabetes</v>
      </c>
      <c r="E3" t="str">
        <f>VLOOKUP($A3, 'Medical Examinations'!A:F, 6, FALSE)</f>
        <v>No</v>
      </c>
      <c r="F3" t="str">
        <f>VLOOKUP($A3, 'Medical Examinations'!A:G, 7, FALSE)</f>
        <v>No</v>
      </c>
      <c r="G3" t="str">
        <f>VLOOKUP($A3, 'Medical Examinations'!A:H, 8, FALSE)</f>
        <v>No</v>
      </c>
      <c r="H3" t="str">
        <f>VLOOKUP($A3, 'Medical Examinations'!A:J, 10, FALSE)</f>
        <v>No major surgery</v>
      </c>
      <c r="I3" t="str">
        <f>VLOOKUP($A3, 'Medical Examinations'!A:K, 11, FALSE)</f>
        <v>yes</v>
      </c>
      <c r="J3" t="str">
        <f>VLOOKUP($A3, 'Medical Examinations'!A:B, 2, FALSE)</f>
        <v>Obesity</v>
      </c>
      <c r="K3" t="str">
        <f>VLOOKUP($A3, 'Medical Examinations'!A:D, 4, FALSE)</f>
        <v>Prediabetes</v>
      </c>
    </row>
    <row r="4" spans="1:16" ht="15.5" x14ac:dyDescent="0.35">
      <c r="A4" s="1" t="s">
        <v>2370</v>
      </c>
      <c r="B4" t="str">
        <f>VLOOKUP($A4, 'Customer Names'!A:D, 3, FALSE)</f>
        <v>Lu</v>
      </c>
      <c r="C4">
        <f>VLOOKUP($A4,'Medical Examinations'!A:C, 3, FALSE)</f>
        <v>34.484999999999999</v>
      </c>
      <c r="D4" t="str">
        <f>VLOOKUP($A4, 'Medical Examinations'!A:D, 4, FALSE)</f>
        <v>Diabetes</v>
      </c>
      <c r="E4" t="str">
        <f>VLOOKUP($A4, 'Medical Examinations'!A:F, 6, FALSE)</f>
        <v>yes</v>
      </c>
      <c r="F4" t="str">
        <f>VLOOKUP($A4, 'Medical Examinations'!A:G, 7, FALSE)</f>
        <v>No</v>
      </c>
      <c r="G4" t="str">
        <f>VLOOKUP($A4, 'Medical Examinations'!A:H, 8, FALSE)</f>
        <v>No</v>
      </c>
      <c r="H4">
        <f>VLOOKUP($A4, 'Medical Examinations'!A:J, 10, FALSE)</f>
        <v>2</v>
      </c>
      <c r="I4" t="str">
        <f>VLOOKUP($A4, 'Medical Examinations'!A:K, 11, FALSE)</f>
        <v>yes</v>
      </c>
      <c r="J4" t="str">
        <f>VLOOKUP($A4, 'Medical Examinations'!A:B, 2, FALSE)</f>
        <v>Obesity</v>
      </c>
      <c r="K4" t="str">
        <f>VLOOKUP($A4, 'Medical Examinations'!A:D, 4, FALSE)</f>
        <v>Diabetes</v>
      </c>
    </row>
    <row r="5" spans="1:16" ht="15.5" x14ac:dyDescent="0.35">
      <c r="A5" s="1" t="s">
        <v>2369</v>
      </c>
      <c r="B5" t="str">
        <f>VLOOKUP($A5, 'Customer Names'!A:D, 3, FALSE)</f>
        <v>Osborne</v>
      </c>
      <c r="C5">
        <f>VLOOKUP($A5,'Medical Examinations'!A:C, 3, FALSE)</f>
        <v>38.094999999999999</v>
      </c>
      <c r="D5" t="str">
        <f>VLOOKUP($A5, 'Medical Examinations'!A:D, 4, FALSE)</f>
        <v>Prediabetes</v>
      </c>
      <c r="E5" t="str">
        <f>VLOOKUP($A5, 'Medical Examinations'!A:F, 6, FALSE)</f>
        <v>No</v>
      </c>
      <c r="F5" t="str">
        <f>VLOOKUP($A5, 'Medical Examinations'!A:G, 7, FALSE)</f>
        <v>No</v>
      </c>
      <c r="G5" t="str">
        <f>VLOOKUP($A5, 'Medical Examinations'!A:H, 8, FALSE)</f>
        <v>No</v>
      </c>
      <c r="H5" t="str">
        <f>VLOOKUP($A5, 'Medical Examinations'!A:J, 10, FALSE)</f>
        <v>No major surgery</v>
      </c>
      <c r="I5" t="str">
        <f>VLOOKUP($A5, 'Medical Examinations'!A:K, 11, FALSE)</f>
        <v>yes</v>
      </c>
      <c r="J5" t="str">
        <f>VLOOKUP($A5, 'Medical Examinations'!A:B, 2, FALSE)</f>
        <v>Obesity</v>
      </c>
      <c r="K5" t="str">
        <f>VLOOKUP($A5, 'Medical Examinations'!A:D, 4, FALSE)</f>
        <v>Prediabetes</v>
      </c>
    </row>
    <row r="6" spans="1:16" ht="15.5" x14ac:dyDescent="0.35">
      <c r="A6" s="1" t="s">
        <v>2368</v>
      </c>
      <c r="B6" t="str">
        <f>VLOOKUP($A6, 'Customer Names'!A:D, 3, FALSE)</f>
        <v>Kadala</v>
      </c>
      <c r="C6">
        <f>VLOOKUP($A6,'Medical Examinations'!A:C, 3, FALSE)</f>
        <v>35.53</v>
      </c>
      <c r="D6" t="str">
        <f>VLOOKUP($A6, 'Medical Examinations'!A:D, 4, FALSE)</f>
        <v>Normal</v>
      </c>
      <c r="E6" t="str">
        <f>VLOOKUP($A6, 'Medical Examinations'!A:F, 6, FALSE)</f>
        <v>No</v>
      </c>
      <c r="F6" t="str">
        <f>VLOOKUP($A6, 'Medical Examinations'!A:G, 7, FALSE)</f>
        <v>No</v>
      </c>
      <c r="G6" t="str">
        <f>VLOOKUP($A6, 'Medical Examinations'!A:H, 8, FALSE)</f>
        <v>No</v>
      </c>
      <c r="H6" t="str">
        <f>VLOOKUP($A6, 'Medical Examinations'!A:J, 10, FALSE)</f>
        <v>No major surgery</v>
      </c>
      <c r="I6" t="str">
        <f>VLOOKUP($A6, 'Medical Examinations'!A:K, 11, FALSE)</f>
        <v>yes</v>
      </c>
      <c r="J6" t="str">
        <f>VLOOKUP($A6, 'Medical Examinations'!A:B, 2, FALSE)</f>
        <v>Obesity</v>
      </c>
      <c r="K6" t="str">
        <f>VLOOKUP($A6, 'Medical Examinations'!A:D, 4, FALSE)</f>
        <v>Normal</v>
      </c>
    </row>
    <row r="7" spans="1:16" ht="15.5" x14ac:dyDescent="0.35">
      <c r="A7" s="1" t="s">
        <v>2367</v>
      </c>
      <c r="B7" t="str">
        <f>VLOOKUP($A7, 'Customer Names'!A:D, 3, FALSE)</f>
        <v>Baker</v>
      </c>
      <c r="C7">
        <f>VLOOKUP($A7,'Medical Examinations'!A:C, 3, FALSE)</f>
        <v>32.799999999999997</v>
      </c>
      <c r="D7" t="str">
        <f>VLOOKUP($A7, 'Medical Examinations'!A:D, 4, FALSE)</f>
        <v>Diabetes</v>
      </c>
      <c r="E7" t="str">
        <f>VLOOKUP($A7, 'Medical Examinations'!A:F, 6, FALSE)</f>
        <v>No</v>
      </c>
      <c r="F7" t="str">
        <f>VLOOKUP($A7, 'Medical Examinations'!A:G, 7, FALSE)</f>
        <v>No</v>
      </c>
      <c r="G7" t="str">
        <f>VLOOKUP($A7, 'Medical Examinations'!A:H, 8, FALSE)</f>
        <v>No</v>
      </c>
      <c r="H7" t="str">
        <f>VLOOKUP($A7, 'Medical Examinations'!A:J, 10, FALSE)</f>
        <v>No major surgery</v>
      </c>
      <c r="I7" t="str">
        <f>VLOOKUP($A7, 'Medical Examinations'!A:K, 11, FALSE)</f>
        <v>yes</v>
      </c>
      <c r="J7" t="str">
        <f>VLOOKUP($A7, 'Medical Examinations'!A:B, 2, FALSE)</f>
        <v>Obesity</v>
      </c>
      <c r="K7" t="str">
        <f>VLOOKUP($A7, 'Medical Examinations'!A:D, 4, FALSE)</f>
        <v>Diabetes</v>
      </c>
    </row>
    <row r="8" spans="1:16" ht="15.5" x14ac:dyDescent="0.35">
      <c r="A8" s="1" t="s">
        <v>2366</v>
      </c>
      <c r="B8" t="str">
        <f>VLOOKUP($A8, 'Customer Names'!A:D, 3, FALSE)</f>
        <v>Macpherson</v>
      </c>
      <c r="C8">
        <f>VLOOKUP($A8,'Medical Examinations'!A:C, 3, FALSE)</f>
        <v>36.4</v>
      </c>
      <c r="D8" t="str">
        <f>VLOOKUP($A8, 'Medical Examinations'!A:D, 4, FALSE)</f>
        <v>Prediabetes</v>
      </c>
      <c r="E8" t="str">
        <f>VLOOKUP($A8, 'Medical Examinations'!A:F, 6, FALSE)</f>
        <v>No</v>
      </c>
      <c r="F8" t="str">
        <f>VLOOKUP($A8, 'Medical Examinations'!A:G, 7, FALSE)</f>
        <v>No</v>
      </c>
      <c r="G8" t="str">
        <f>VLOOKUP($A8, 'Medical Examinations'!A:H, 8, FALSE)</f>
        <v>No</v>
      </c>
      <c r="H8" t="str">
        <f>VLOOKUP($A8, 'Medical Examinations'!A:J, 10, FALSE)</f>
        <v>No major surgery</v>
      </c>
      <c r="I8" t="str">
        <f>VLOOKUP($A8, 'Medical Examinations'!A:K, 11, FALSE)</f>
        <v>yes</v>
      </c>
      <c r="J8" t="str">
        <f>VLOOKUP($A8, 'Medical Examinations'!A:B, 2, FALSE)</f>
        <v>Obesity</v>
      </c>
      <c r="K8" t="str">
        <f>VLOOKUP($A8, 'Medical Examinations'!A:D, 4, FALSE)</f>
        <v>Prediabetes</v>
      </c>
    </row>
    <row r="9" spans="1:16" ht="15.5" x14ac:dyDescent="0.35">
      <c r="A9" s="1" t="s">
        <v>2365</v>
      </c>
      <c r="B9" t="str">
        <f>VLOOKUP($A9, 'Customer Names'!A:D, 3, FALSE)</f>
        <v>Hallman</v>
      </c>
      <c r="C9">
        <f>VLOOKUP($A9,'Medical Examinations'!A:C, 3, FALSE)</f>
        <v>36.96</v>
      </c>
      <c r="D9" t="str">
        <f>VLOOKUP($A9, 'Medical Examinations'!A:D, 4, FALSE)</f>
        <v>Diabetes</v>
      </c>
      <c r="E9" t="str">
        <f>VLOOKUP($A9, 'Medical Examinations'!A:F, 6, FALSE)</f>
        <v>No</v>
      </c>
      <c r="F9" t="str">
        <f>VLOOKUP($A9, 'Medical Examinations'!A:G, 7, FALSE)</f>
        <v>No</v>
      </c>
      <c r="G9" t="str">
        <f>VLOOKUP($A9, 'Medical Examinations'!A:H, 8, FALSE)</f>
        <v>No</v>
      </c>
      <c r="H9">
        <f>VLOOKUP($A9, 'Medical Examinations'!A:J, 10, FALSE)</f>
        <v>3</v>
      </c>
      <c r="I9" t="str">
        <f>VLOOKUP($A9, 'Medical Examinations'!A:K, 11, FALSE)</f>
        <v>yes</v>
      </c>
      <c r="J9" t="str">
        <f>VLOOKUP($A9, 'Medical Examinations'!A:B, 2, FALSE)</f>
        <v>Obesity</v>
      </c>
      <c r="K9" t="str">
        <f>VLOOKUP($A9, 'Medical Examinations'!A:D, 4, FALSE)</f>
        <v>Diabetes</v>
      </c>
    </row>
    <row r="10" spans="1:16" ht="15.5" x14ac:dyDescent="0.35">
      <c r="A10" s="1" t="s">
        <v>2364</v>
      </c>
      <c r="B10" t="str">
        <f>VLOOKUP($A10, 'Customer Names'!A:D, 3, FALSE)</f>
        <v>Moran</v>
      </c>
      <c r="C10">
        <f>VLOOKUP($A10,'Medical Examinations'!A:C, 3, FALSE)</f>
        <v>41.14</v>
      </c>
      <c r="D10" t="str">
        <f>VLOOKUP($A10, 'Medical Examinations'!A:D, 4, FALSE)</f>
        <v>Diabetes</v>
      </c>
      <c r="E10" t="str">
        <f>VLOOKUP($A10, 'Medical Examinations'!A:F, 6, FALSE)</f>
        <v>yes</v>
      </c>
      <c r="F10" t="str">
        <f>VLOOKUP($A10, 'Medical Examinations'!A:G, 7, FALSE)</f>
        <v>No</v>
      </c>
      <c r="G10" t="str">
        <f>VLOOKUP($A10, 'Medical Examinations'!A:H, 8, FALSE)</f>
        <v>Yes</v>
      </c>
      <c r="H10">
        <f>VLOOKUP($A10, 'Medical Examinations'!A:J, 10, FALSE)</f>
        <v>1</v>
      </c>
      <c r="I10" t="str">
        <f>VLOOKUP($A10, 'Medical Examinations'!A:K, 11, FALSE)</f>
        <v>yes</v>
      </c>
      <c r="J10" t="str">
        <f>VLOOKUP($A10, 'Medical Examinations'!A:B, 2, FALSE)</f>
        <v>Obesity</v>
      </c>
      <c r="K10" t="str">
        <f>VLOOKUP($A10, 'Medical Examinations'!A:D, 4, FALSE)</f>
        <v>Diabetes</v>
      </c>
    </row>
    <row r="11" spans="1:16" ht="15.5" x14ac:dyDescent="0.35">
      <c r="A11" s="1" t="s">
        <v>2363</v>
      </c>
      <c r="B11" t="str">
        <f>VLOOKUP($A11, 'Customer Names'!A:D, 3, FALSE)</f>
        <v>Benner</v>
      </c>
      <c r="C11">
        <f>VLOOKUP($A11,'Medical Examinations'!A:C, 3, FALSE)</f>
        <v>38.06</v>
      </c>
      <c r="D11" t="str">
        <f>VLOOKUP($A11, 'Medical Examinations'!A:D, 4, FALSE)</f>
        <v>Diabetes</v>
      </c>
      <c r="E11" t="str">
        <f>VLOOKUP($A11, 'Medical Examinations'!A:F, 6, FALSE)</f>
        <v>No</v>
      </c>
      <c r="F11" t="str">
        <f>VLOOKUP($A11, 'Medical Examinations'!A:G, 7, FALSE)</f>
        <v>No</v>
      </c>
      <c r="G11" t="str">
        <f>VLOOKUP($A11, 'Medical Examinations'!A:H, 8, FALSE)</f>
        <v>No</v>
      </c>
      <c r="H11" t="str">
        <f>VLOOKUP($A11, 'Medical Examinations'!A:J, 10, FALSE)</f>
        <v>No major surgery</v>
      </c>
      <c r="I11" t="str">
        <f>VLOOKUP($A11, 'Medical Examinations'!A:K, 11, FALSE)</f>
        <v>yes</v>
      </c>
      <c r="J11" t="str">
        <f>VLOOKUP($A11, 'Medical Examinations'!A:B, 2, FALSE)</f>
        <v>Obesity</v>
      </c>
      <c r="K11" t="str">
        <f>VLOOKUP($A11, 'Medical Examinations'!A:D, 4, FALSE)</f>
        <v>Diabetes</v>
      </c>
    </row>
    <row r="12" spans="1:16" ht="15.5" x14ac:dyDescent="0.35">
      <c r="A12" s="1" t="s">
        <v>2362</v>
      </c>
      <c r="B12" t="str">
        <f>VLOOKUP($A12, 'Customer Names'!A:D, 3, FALSE)</f>
        <v>Fierro Vargas</v>
      </c>
      <c r="C12">
        <f>VLOOKUP($A12,'Medical Examinations'!A:C, 3, FALSE)</f>
        <v>37.700000000000003</v>
      </c>
      <c r="D12" t="str">
        <f>VLOOKUP($A12, 'Medical Examinations'!A:D, 4, FALSE)</f>
        <v>Prediabetes</v>
      </c>
      <c r="E12" t="str">
        <f>VLOOKUP($A12, 'Medical Examinations'!A:F, 6, FALSE)</f>
        <v>yes</v>
      </c>
      <c r="F12" t="str">
        <f>VLOOKUP($A12, 'Medical Examinations'!A:G, 7, FALSE)</f>
        <v>No</v>
      </c>
      <c r="G12" t="str">
        <f>VLOOKUP($A12, 'Medical Examinations'!A:H, 8, FALSE)</f>
        <v>No</v>
      </c>
      <c r="H12">
        <f>VLOOKUP($A12, 'Medical Examinations'!A:J, 10, FALSE)</f>
        <v>2</v>
      </c>
      <c r="I12" t="str">
        <f>VLOOKUP($A12, 'Medical Examinations'!A:K, 11, FALSE)</f>
        <v>yes</v>
      </c>
      <c r="J12" t="str">
        <f>VLOOKUP($A12, 'Medical Examinations'!A:B, 2, FALSE)</f>
        <v>Obesity</v>
      </c>
      <c r="K12" t="str">
        <f>VLOOKUP($A12, 'Medical Examinations'!A:D, 4, FALSE)</f>
        <v>Prediabetes</v>
      </c>
    </row>
    <row r="13" spans="1:16" ht="15.5" x14ac:dyDescent="0.35">
      <c r="A13" s="1" t="s">
        <v>2361</v>
      </c>
      <c r="B13" t="str">
        <f>VLOOKUP($A13, 'Customer Names'!A:D, 3, FALSE)</f>
        <v>Franz</v>
      </c>
      <c r="C13">
        <f>VLOOKUP($A13,'Medical Examinations'!A:C, 3, FALSE)</f>
        <v>42.13</v>
      </c>
      <c r="D13" t="str">
        <f>VLOOKUP($A13, 'Medical Examinations'!A:D, 4, FALSE)</f>
        <v>Diabetes</v>
      </c>
      <c r="E13" t="str">
        <f>VLOOKUP($A13, 'Medical Examinations'!A:F, 6, FALSE)</f>
        <v>No</v>
      </c>
      <c r="F13" t="str">
        <f>VLOOKUP($A13, 'Medical Examinations'!A:G, 7, FALSE)</f>
        <v>No</v>
      </c>
      <c r="G13" t="str">
        <f>VLOOKUP($A13, 'Medical Examinations'!A:H, 8, FALSE)</f>
        <v>No</v>
      </c>
      <c r="H13" t="str">
        <f>VLOOKUP($A13, 'Medical Examinations'!A:J, 10, FALSE)</f>
        <v>No major surgery</v>
      </c>
      <c r="I13" t="str">
        <f>VLOOKUP($A13, 'Medical Examinations'!A:K, 11, FALSE)</f>
        <v>yes</v>
      </c>
      <c r="J13" t="str">
        <f>VLOOKUP($A13, 'Medical Examinations'!A:B, 2, FALSE)</f>
        <v>Obesity</v>
      </c>
      <c r="K13" t="str">
        <f>VLOOKUP($A13, 'Medical Examinations'!A:D, 4, FALSE)</f>
        <v>Diabetes</v>
      </c>
    </row>
    <row r="14" spans="1:16" ht="15.5" x14ac:dyDescent="0.35">
      <c r="A14" s="1" t="s">
        <v>2360</v>
      </c>
      <c r="B14" t="str">
        <f>VLOOKUP($A14, 'Customer Names'!A:D, 3, FALSE)</f>
        <v>Foster</v>
      </c>
      <c r="C14">
        <f>VLOOKUP($A14,'Medical Examinations'!A:C, 3, FALSE)</f>
        <v>40.92</v>
      </c>
      <c r="D14" t="str">
        <f>VLOOKUP($A14, 'Medical Examinations'!A:D, 4, FALSE)</f>
        <v>Diabetes</v>
      </c>
      <c r="E14" t="str">
        <f>VLOOKUP($A14, 'Medical Examinations'!A:F, 6, FALSE)</f>
        <v>No</v>
      </c>
      <c r="F14" t="str">
        <f>VLOOKUP($A14, 'Medical Examinations'!A:G, 7, FALSE)</f>
        <v>No</v>
      </c>
      <c r="G14" t="str">
        <f>VLOOKUP($A14, 'Medical Examinations'!A:H, 8, FALSE)</f>
        <v>No</v>
      </c>
      <c r="H14" t="str">
        <f>VLOOKUP($A14, 'Medical Examinations'!A:J, 10, FALSE)</f>
        <v>No major surgery</v>
      </c>
      <c r="I14" t="str">
        <f>VLOOKUP($A14, 'Medical Examinations'!A:K, 11, FALSE)</f>
        <v>yes</v>
      </c>
      <c r="J14" t="str">
        <f>VLOOKUP($A14, 'Medical Examinations'!A:B, 2, FALSE)</f>
        <v>Obesity</v>
      </c>
      <c r="K14" t="str">
        <f>VLOOKUP($A14, 'Medical Examinations'!A:D, 4, FALSE)</f>
        <v>Diabetes</v>
      </c>
    </row>
    <row r="15" spans="1:16" ht="15.5" x14ac:dyDescent="0.35">
      <c r="A15" s="1" t="s">
        <v>2359</v>
      </c>
      <c r="B15" t="str">
        <f>VLOOKUP($A15, 'Customer Names'!A:D, 3, FALSE)</f>
        <v>Tenorio</v>
      </c>
      <c r="C15">
        <f>VLOOKUP($A15,'Medical Examinations'!A:C, 3, FALSE)</f>
        <v>40.564999999999998</v>
      </c>
      <c r="D15" t="str">
        <f>VLOOKUP($A15, 'Medical Examinations'!A:D, 4, FALSE)</f>
        <v>Diabetes</v>
      </c>
      <c r="E15" t="str">
        <f>VLOOKUP($A15, 'Medical Examinations'!A:F, 6, FALSE)</f>
        <v>No</v>
      </c>
      <c r="F15" t="str">
        <f>VLOOKUP($A15, 'Medical Examinations'!A:G, 7, FALSE)</f>
        <v>No</v>
      </c>
      <c r="G15" t="str">
        <f>VLOOKUP($A15, 'Medical Examinations'!A:H, 8, FALSE)</f>
        <v>No</v>
      </c>
      <c r="H15" t="str">
        <f>VLOOKUP($A15, 'Medical Examinations'!A:J, 10, FALSE)</f>
        <v>No major surgery</v>
      </c>
      <c r="I15" t="str">
        <f>VLOOKUP($A15, 'Medical Examinations'!A:K, 11, FALSE)</f>
        <v>yes</v>
      </c>
      <c r="J15" t="str">
        <f>VLOOKUP($A15, 'Medical Examinations'!A:B, 2, FALSE)</f>
        <v>Obesity</v>
      </c>
      <c r="K15" t="str">
        <f>VLOOKUP($A15, 'Medical Examinations'!A:D, 4, FALSE)</f>
        <v>Diabetes</v>
      </c>
    </row>
    <row r="16" spans="1:16" ht="15.5" x14ac:dyDescent="0.35">
      <c r="A16" s="1" t="s">
        <v>2358</v>
      </c>
      <c r="B16" t="str">
        <f>VLOOKUP($A16, 'Customer Names'!A:D, 3, FALSE)</f>
        <v>Rios</v>
      </c>
      <c r="C16">
        <f>VLOOKUP($A16,'Medical Examinations'!A:C, 3, FALSE)</f>
        <v>36.384999999999998</v>
      </c>
      <c r="D16" t="str">
        <f>VLOOKUP($A16, 'Medical Examinations'!A:D, 4, FALSE)</f>
        <v>Diabetes</v>
      </c>
      <c r="E16" t="str">
        <f>VLOOKUP($A16, 'Medical Examinations'!A:F, 6, FALSE)</f>
        <v>yes</v>
      </c>
      <c r="F16" t="str">
        <f>VLOOKUP($A16, 'Medical Examinations'!A:G, 7, FALSE)</f>
        <v>No</v>
      </c>
      <c r="G16" t="str">
        <f>VLOOKUP($A16, 'Medical Examinations'!A:H, 8, FALSE)</f>
        <v>No</v>
      </c>
      <c r="H16">
        <f>VLOOKUP($A16, 'Medical Examinations'!A:J, 10, FALSE)</f>
        <v>2</v>
      </c>
      <c r="I16" t="str">
        <f>VLOOKUP($A16, 'Medical Examinations'!A:K, 11, FALSE)</f>
        <v>yes</v>
      </c>
      <c r="J16" t="str">
        <f>VLOOKUP($A16, 'Medical Examinations'!A:B, 2, FALSE)</f>
        <v>Obesity</v>
      </c>
      <c r="K16" t="str">
        <f>VLOOKUP($A16, 'Medical Examinations'!A:D, 4, FALSE)</f>
        <v>Diabetes</v>
      </c>
    </row>
    <row r="17" spans="1:11" ht="15.5" x14ac:dyDescent="0.35">
      <c r="A17" s="1" t="s">
        <v>2357</v>
      </c>
      <c r="B17" t="str">
        <f>VLOOKUP($A17, 'Customer Names'!A:D, 3, FALSE)</f>
        <v>Viau-Dupuis</v>
      </c>
      <c r="C17">
        <f>VLOOKUP($A17,'Medical Examinations'!A:C, 3, FALSE)</f>
        <v>39.9</v>
      </c>
      <c r="D17" t="str">
        <f>VLOOKUP($A17, 'Medical Examinations'!A:D, 4, FALSE)</f>
        <v>Diabetes</v>
      </c>
      <c r="E17" t="str">
        <f>VLOOKUP($A17, 'Medical Examinations'!A:F, 6, FALSE)</f>
        <v>No</v>
      </c>
      <c r="F17" t="str">
        <f>VLOOKUP($A17, 'Medical Examinations'!A:G, 7, FALSE)</f>
        <v>No</v>
      </c>
      <c r="G17" t="str">
        <f>VLOOKUP($A17, 'Medical Examinations'!A:H, 8, FALSE)</f>
        <v>No</v>
      </c>
      <c r="H17" t="str">
        <f>VLOOKUP($A17, 'Medical Examinations'!A:J, 10, FALSE)</f>
        <v>No major surgery</v>
      </c>
      <c r="I17" t="str">
        <f>VLOOKUP($A17, 'Medical Examinations'!A:K, 11, FALSE)</f>
        <v>yes</v>
      </c>
      <c r="J17" t="str">
        <f>VLOOKUP($A17, 'Medical Examinations'!A:B, 2, FALSE)</f>
        <v>Obesity</v>
      </c>
      <c r="K17" t="str">
        <f>VLOOKUP($A17, 'Medical Examinations'!A:D, 4, FALSE)</f>
        <v>Diabetes</v>
      </c>
    </row>
    <row r="18" spans="1:11" ht="15.5" x14ac:dyDescent="0.35">
      <c r="A18" s="1" t="s">
        <v>2356</v>
      </c>
      <c r="B18" t="str">
        <f>VLOOKUP($A18, 'Customer Names'!A:D, 3, FALSE)</f>
        <v>Cronin</v>
      </c>
      <c r="C18">
        <f>VLOOKUP($A18,'Medical Examinations'!A:C, 3, FALSE)</f>
        <v>33.799999999999997</v>
      </c>
      <c r="D18" t="str">
        <f>VLOOKUP($A18, 'Medical Examinations'!A:D, 4, FALSE)</f>
        <v>Diabetes</v>
      </c>
      <c r="E18" t="str">
        <f>VLOOKUP($A18, 'Medical Examinations'!A:F, 6, FALSE)</f>
        <v>No</v>
      </c>
      <c r="F18" t="str">
        <f>VLOOKUP($A18, 'Medical Examinations'!A:G, 7, FALSE)</f>
        <v>No</v>
      </c>
      <c r="G18" t="str">
        <f>VLOOKUP($A18, 'Medical Examinations'!A:H, 8, FALSE)</f>
        <v>No</v>
      </c>
      <c r="H18">
        <f>VLOOKUP($A18, 'Medical Examinations'!A:J, 10, FALSE)</f>
        <v>3</v>
      </c>
      <c r="I18" t="str">
        <f>VLOOKUP($A18, 'Medical Examinations'!A:K, 11, FALSE)</f>
        <v>yes</v>
      </c>
      <c r="J18" t="str">
        <f>VLOOKUP($A18, 'Medical Examinations'!A:B, 2, FALSE)</f>
        <v>Obesity</v>
      </c>
      <c r="K18" t="str">
        <f>VLOOKUP($A18, 'Medical Examinations'!A:D, 4, FALSE)</f>
        <v>Diabetes</v>
      </c>
    </row>
    <row r="19" spans="1:11" ht="15.5" x14ac:dyDescent="0.35">
      <c r="A19" s="1" t="s">
        <v>2355</v>
      </c>
      <c r="B19" t="str">
        <f>VLOOKUP($A19, 'Customer Names'!A:D, 3, FALSE)</f>
        <v>Noordstar</v>
      </c>
      <c r="C19">
        <f>VLOOKUP($A19,'Medical Examinations'!A:C, 3, FALSE)</f>
        <v>36.765000000000001</v>
      </c>
      <c r="D19" t="str">
        <f>VLOOKUP($A19, 'Medical Examinations'!A:D, 4, FALSE)</f>
        <v>Diabetes</v>
      </c>
      <c r="E19" t="str">
        <f>VLOOKUP($A19, 'Medical Examinations'!A:F, 6, FALSE)</f>
        <v>yes</v>
      </c>
      <c r="F19" t="str">
        <f>VLOOKUP($A19, 'Medical Examinations'!A:G, 7, FALSE)</f>
        <v>No</v>
      </c>
      <c r="G19" t="str">
        <f>VLOOKUP($A19, 'Medical Examinations'!A:H, 8, FALSE)</f>
        <v>Yes</v>
      </c>
      <c r="H19">
        <f>VLOOKUP($A19, 'Medical Examinations'!A:J, 10, FALSE)</f>
        <v>1</v>
      </c>
      <c r="I19" t="str">
        <f>VLOOKUP($A19, 'Medical Examinations'!A:K, 11, FALSE)</f>
        <v>yes</v>
      </c>
      <c r="J19" t="str">
        <f>VLOOKUP($A19, 'Medical Examinations'!A:B, 2, FALSE)</f>
        <v>Obesity</v>
      </c>
      <c r="K19" t="str">
        <f>VLOOKUP($A19, 'Medical Examinations'!A:D, 4, FALSE)</f>
        <v>Diabetes</v>
      </c>
    </row>
    <row r="20" spans="1:11" ht="15.5" x14ac:dyDescent="0.35">
      <c r="A20" s="1" t="s">
        <v>2354</v>
      </c>
      <c r="B20" t="str">
        <f>VLOOKUP($A20, 'Customer Names'!A:D, 3, FALSE)</f>
        <v>Boudalia</v>
      </c>
      <c r="C20">
        <f>VLOOKUP($A20,'Medical Examinations'!A:C, 3, FALSE)</f>
        <v>36.954999999999998</v>
      </c>
      <c r="D20" t="str">
        <f>VLOOKUP($A20, 'Medical Examinations'!A:D, 4, FALSE)</f>
        <v>Normal</v>
      </c>
      <c r="E20" t="str">
        <f>VLOOKUP($A20, 'Medical Examinations'!A:F, 6, FALSE)</f>
        <v>yes</v>
      </c>
      <c r="F20" t="str">
        <f>VLOOKUP($A20, 'Medical Examinations'!A:G, 7, FALSE)</f>
        <v>No</v>
      </c>
      <c r="G20" t="str">
        <f>VLOOKUP($A20, 'Medical Examinations'!A:H, 8, FALSE)</f>
        <v>No</v>
      </c>
      <c r="H20">
        <f>VLOOKUP($A20, 'Medical Examinations'!A:J, 10, FALSE)</f>
        <v>1</v>
      </c>
      <c r="I20" t="str">
        <f>VLOOKUP($A20, 'Medical Examinations'!A:K, 11, FALSE)</f>
        <v>yes</v>
      </c>
      <c r="J20" t="str">
        <f>VLOOKUP($A20, 'Medical Examinations'!A:B, 2, FALSE)</f>
        <v>Obesity</v>
      </c>
      <c r="K20" t="str">
        <f>VLOOKUP($A20, 'Medical Examinations'!A:D, 4, FALSE)</f>
        <v>Normal</v>
      </c>
    </row>
    <row r="21" spans="1:11" ht="15.5" x14ac:dyDescent="0.35">
      <c r="A21" s="1" t="s">
        <v>2353</v>
      </c>
      <c r="B21" t="str">
        <f>VLOOKUP($A21, 'Customer Names'!A:D, 3, FALSE)</f>
        <v>Flor</v>
      </c>
      <c r="C21">
        <f>VLOOKUP($A21,'Medical Examinations'!A:C, 3, FALSE)</f>
        <v>42.9</v>
      </c>
      <c r="D21" t="str">
        <f>VLOOKUP($A21, 'Medical Examinations'!A:D, 4, FALSE)</f>
        <v>Diabetes</v>
      </c>
      <c r="E21" t="str">
        <f>VLOOKUP($A21, 'Medical Examinations'!A:F, 6, FALSE)</f>
        <v>No</v>
      </c>
      <c r="F21" t="str">
        <f>VLOOKUP($A21, 'Medical Examinations'!A:G, 7, FALSE)</f>
        <v>No</v>
      </c>
      <c r="G21" t="str">
        <f>VLOOKUP($A21, 'Medical Examinations'!A:H, 8, FALSE)</f>
        <v>No</v>
      </c>
      <c r="H21" t="str">
        <f>VLOOKUP($A21, 'Medical Examinations'!A:J, 10, FALSE)</f>
        <v>No major surgery</v>
      </c>
      <c r="I21" t="str">
        <f>VLOOKUP($A21, 'Medical Examinations'!A:K, 11, FALSE)</f>
        <v>yes</v>
      </c>
      <c r="J21" t="str">
        <f>VLOOKUP($A21, 'Medical Examinations'!A:B, 2, FALSE)</f>
        <v>Obesity</v>
      </c>
      <c r="K21" t="str">
        <f>VLOOKUP($A21, 'Medical Examinations'!A:D, 4, FALSE)</f>
        <v>Diabetes</v>
      </c>
    </row>
    <row r="22" spans="1:11" ht="15.5" x14ac:dyDescent="0.35">
      <c r="A22" s="1" t="s">
        <v>2352</v>
      </c>
      <c r="B22" t="str">
        <f>VLOOKUP($A22, 'Customer Names'!A:D, 3, FALSE)</f>
        <v>Fennon</v>
      </c>
      <c r="C22">
        <f>VLOOKUP($A22,'Medical Examinations'!A:C, 3, FALSE)</f>
        <v>36.299999999999997</v>
      </c>
      <c r="D22" t="str">
        <f>VLOOKUP($A22, 'Medical Examinations'!A:D, 4, FALSE)</f>
        <v>Diabetes</v>
      </c>
      <c r="E22" t="str">
        <f>VLOOKUP($A22, 'Medical Examinations'!A:F, 6, FALSE)</f>
        <v>yes</v>
      </c>
      <c r="F22" t="str">
        <f>VLOOKUP($A22, 'Medical Examinations'!A:G, 7, FALSE)</f>
        <v>No</v>
      </c>
      <c r="G22" t="str">
        <f>VLOOKUP($A22, 'Medical Examinations'!A:H, 8, FALSE)</f>
        <v>No</v>
      </c>
      <c r="H22">
        <f>VLOOKUP($A22, 'Medical Examinations'!A:J, 10, FALSE)</f>
        <v>2</v>
      </c>
      <c r="I22" t="str">
        <f>VLOOKUP($A22, 'Medical Examinations'!A:K, 11, FALSE)</f>
        <v>yes</v>
      </c>
      <c r="J22" t="str">
        <f>VLOOKUP($A22, 'Medical Examinations'!A:B, 2, FALSE)</f>
        <v>Obesity</v>
      </c>
      <c r="K22" t="str">
        <f>VLOOKUP($A22, 'Medical Examinations'!A:D, 4, FALSE)</f>
        <v>Diabetes</v>
      </c>
    </row>
    <row r="23" spans="1:11" ht="15.5" x14ac:dyDescent="0.35">
      <c r="A23" s="1" t="s">
        <v>2351</v>
      </c>
      <c r="B23" t="str">
        <f>VLOOKUP($A23, 'Customer Names'!A:D, 3, FALSE)</f>
        <v>Hribar</v>
      </c>
      <c r="C23">
        <f>VLOOKUP($A23,'Medical Examinations'!A:C, 3, FALSE)</f>
        <v>32.200000000000003</v>
      </c>
      <c r="D23" t="str">
        <f>VLOOKUP($A23, 'Medical Examinations'!A:D, 4, FALSE)</f>
        <v>Prediabetes</v>
      </c>
      <c r="E23" t="str">
        <f>VLOOKUP($A23, 'Medical Examinations'!A:F, 6, FALSE)</f>
        <v>yes</v>
      </c>
      <c r="F23" t="str">
        <f>VLOOKUP($A23, 'Medical Examinations'!A:G, 7, FALSE)</f>
        <v>No</v>
      </c>
      <c r="G23" t="str">
        <f>VLOOKUP($A23, 'Medical Examinations'!A:H, 8, FALSE)</f>
        <v>No</v>
      </c>
      <c r="H23">
        <f>VLOOKUP($A23, 'Medical Examinations'!A:J, 10, FALSE)</f>
        <v>2</v>
      </c>
      <c r="I23" t="str">
        <f>VLOOKUP($A23, 'Medical Examinations'!A:K, 11, FALSE)</f>
        <v>yes</v>
      </c>
      <c r="J23" t="str">
        <f>VLOOKUP($A23, 'Medical Examinations'!A:B, 2, FALSE)</f>
        <v>Obesity</v>
      </c>
      <c r="K23" t="str">
        <f>VLOOKUP($A23, 'Medical Examinations'!A:D, 4, FALSE)</f>
        <v>Prediabetes</v>
      </c>
    </row>
    <row r="24" spans="1:11" ht="15.5" x14ac:dyDescent="0.35">
      <c r="A24" s="1" t="s">
        <v>2350</v>
      </c>
      <c r="B24" t="str">
        <f>VLOOKUP($A24, 'Customer Names'!A:D, 3, FALSE)</f>
        <v>Tassello</v>
      </c>
      <c r="C24">
        <f>VLOOKUP($A24,'Medical Examinations'!A:C, 3, FALSE)</f>
        <v>31.3</v>
      </c>
      <c r="D24" t="str">
        <f>VLOOKUP($A24, 'Medical Examinations'!A:D, 4, FALSE)</f>
        <v>Diabetes</v>
      </c>
      <c r="E24" t="str">
        <f>VLOOKUP($A24, 'Medical Examinations'!A:F, 6, FALSE)</f>
        <v>No</v>
      </c>
      <c r="F24" t="str">
        <f>VLOOKUP($A24, 'Medical Examinations'!A:G, 7, FALSE)</f>
        <v>No</v>
      </c>
      <c r="G24" t="str">
        <f>VLOOKUP($A24, 'Medical Examinations'!A:H, 8, FALSE)</f>
        <v>No</v>
      </c>
      <c r="H24">
        <f>VLOOKUP($A24, 'Medical Examinations'!A:J, 10, FALSE)</f>
        <v>3</v>
      </c>
      <c r="I24" t="str">
        <f>VLOOKUP($A24, 'Medical Examinations'!A:K, 11, FALSE)</f>
        <v>yes</v>
      </c>
      <c r="J24" t="str">
        <f>VLOOKUP($A24, 'Medical Examinations'!A:B, 2, FALSE)</f>
        <v>Obesity</v>
      </c>
      <c r="K24" t="str">
        <f>VLOOKUP($A24, 'Medical Examinations'!A:D, 4, FALSE)</f>
        <v>Diabetes</v>
      </c>
    </row>
    <row r="25" spans="1:11" ht="15.5" x14ac:dyDescent="0.35">
      <c r="A25" s="1" t="s">
        <v>2349</v>
      </c>
      <c r="B25" t="str">
        <f>VLOOKUP($A25, 'Customer Names'!A:D, 3, FALSE)</f>
        <v>Mauricette</v>
      </c>
      <c r="C25">
        <f>VLOOKUP($A25,'Medical Examinations'!A:C, 3, FALSE)</f>
        <v>41.8</v>
      </c>
      <c r="D25" t="str">
        <f>VLOOKUP($A25, 'Medical Examinations'!A:D, 4, FALSE)</f>
        <v>Diabetes</v>
      </c>
      <c r="E25" t="str">
        <f>VLOOKUP($A25, 'Medical Examinations'!A:F, 6, FALSE)</f>
        <v>yes</v>
      </c>
      <c r="F25" t="str">
        <f>VLOOKUP($A25, 'Medical Examinations'!A:G, 7, FALSE)</f>
        <v>No</v>
      </c>
      <c r="G25" t="str">
        <f>VLOOKUP($A25, 'Medical Examinations'!A:H, 8, FALSE)</f>
        <v>No</v>
      </c>
      <c r="H25">
        <f>VLOOKUP($A25, 'Medical Examinations'!A:J, 10, FALSE)</f>
        <v>2</v>
      </c>
      <c r="I25" t="str">
        <f>VLOOKUP($A25, 'Medical Examinations'!A:K, 11, FALSE)</f>
        <v>yes</v>
      </c>
      <c r="J25" t="str">
        <f>VLOOKUP($A25, 'Medical Examinations'!A:B, 2, FALSE)</f>
        <v>Obesity</v>
      </c>
      <c r="K25" t="str">
        <f>VLOOKUP($A25, 'Medical Examinations'!A:D, 4, FALSE)</f>
        <v>Diabetes</v>
      </c>
    </row>
    <row r="26" spans="1:11" ht="15.5" x14ac:dyDescent="0.35">
      <c r="A26" s="1" t="s">
        <v>2348</v>
      </c>
      <c r="B26" t="str">
        <f>VLOOKUP($A26, 'Customer Names'!A:D, 3, FALSE)</f>
        <v>Garcia</v>
      </c>
      <c r="C26">
        <f>VLOOKUP($A26,'Medical Examinations'!A:C, 3, FALSE)</f>
        <v>35.090000000000003</v>
      </c>
      <c r="D26" t="str">
        <f>VLOOKUP($A26, 'Medical Examinations'!A:D, 4, FALSE)</f>
        <v>Normal</v>
      </c>
      <c r="E26" t="str">
        <f>VLOOKUP($A26, 'Medical Examinations'!A:F, 6, FALSE)</f>
        <v>yes</v>
      </c>
      <c r="F26" t="str">
        <f>VLOOKUP($A26, 'Medical Examinations'!A:G, 7, FALSE)</f>
        <v>No</v>
      </c>
      <c r="G26" t="str">
        <f>VLOOKUP($A26, 'Medical Examinations'!A:H, 8, FALSE)</f>
        <v>No</v>
      </c>
      <c r="H26">
        <f>VLOOKUP($A26, 'Medical Examinations'!A:J, 10, FALSE)</f>
        <v>2</v>
      </c>
      <c r="I26" t="str">
        <f>VLOOKUP($A26, 'Medical Examinations'!A:K, 11, FALSE)</f>
        <v>yes</v>
      </c>
      <c r="J26" t="str">
        <f>VLOOKUP($A26, 'Medical Examinations'!A:B, 2, FALSE)</f>
        <v>Obesity</v>
      </c>
      <c r="K26" t="str">
        <f>VLOOKUP($A26, 'Medical Examinations'!A:D, 4, FALSE)</f>
        <v>Normal</v>
      </c>
    </row>
    <row r="27" spans="1:11" ht="15.5" x14ac:dyDescent="0.35">
      <c r="A27" s="1" t="s">
        <v>2347</v>
      </c>
      <c r="B27" t="str">
        <f>VLOOKUP($A27, 'Customer Names'!A:D, 3, FALSE)</f>
        <v>Airoldi</v>
      </c>
      <c r="C27">
        <f>VLOOKUP($A27,'Medical Examinations'!A:C, 3, FALSE)</f>
        <v>33.880000000000003</v>
      </c>
      <c r="D27" t="str">
        <f>VLOOKUP($A27, 'Medical Examinations'!A:D, 4, FALSE)</f>
        <v>Diabetes</v>
      </c>
      <c r="E27" t="str">
        <f>VLOOKUP($A27, 'Medical Examinations'!A:F, 6, FALSE)</f>
        <v>No</v>
      </c>
      <c r="F27" t="str">
        <f>VLOOKUP($A27, 'Medical Examinations'!A:G, 7, FALSE)</f>
        <v>No</v>
      </c>
      <c r="G27" t="str">
        <f>VLOOKUP($A27, 'Medical Examinations'!A:H, 8, FALSE)</f>
        <v>No</v>
      </c>
      <c r="H27">
        <f>VLOOKUP($A27, 'Medical Examinations'!A:J, 10, FALSE)</f>
        <v>3</v>
      </c>
      <c r="I27" t="str">
        <f>VLOOKUP($A27, 'Medical Examinations'!A:K, 11, FALSE)</f>
        <v>yes</v>
      </c>
      <c r="J27" t="str">
        <f>VLOOKUP($A27, 'Medical Examinations'!A:B, 2, FALSE)</f>
        <v>Obesity</v>
      </c>
      <c r="K27" t="str">
        <f>VLOOKUP($A27, 'Medical Examinations'!A:D, 4, FALSE)</f>
        <v>Diabetes</v>
      </c>
    </row>
    <row r="28" spans="1:11" ht="15.5" x14ac:dyDescent="0.35">
      <c r="A28" s="1" t="s">
        <v>2346</v>
      </c>
      <c r="B28" t="str">
        <f>VLOOKUP($A28, 'Customer Names'!A:D, 3, FALSE)</f>
        <v>Cater-Cyker</v>
      </c>
      <c r="C28">
        <f>VLOOKUP($A28,'Medical Examinations'!A:C, 3, FALSE)</f>
        <v>30.875</v>
      </c>
      <c r="D28" t="str">
        <f>VLOOKUP($A28, 'Medical Examinations'!A:D, 4, FALSE)</f>
        <v>Diabetes</v>
      </c>
      <c r="E28" t="str">
        <f>VLOOKUP($A28, 'Medical Examinations'!A:F, 6, FALSE)</f>
        <v>No</v>
      </c>
      <c r="F28" t="str">
        <f>VLOOKUP($A28, 'Medical Examinations'!A:G, 7, FALSE)</f>
        <v>No</v>
      </c>
      <c r="G28" t="str">
        <f>VLOOKUP($A28, 'Medical Examinations'!A:H, 8, FALSE)</f>
        <v>No</v>
      </c>
      <c r="H28" t="str">
        <f>VLOOKUP($A28, 'Medical Examinations'!A:J, 10, FALSE)</f>
        <v>No major surgery</v>
      </c>
      <c r="I28" t="str">
        <f>VLOOKUP($A28, 'Medical Examinations'!A:K, 11, FALSE)</f>
        <v>yes</v>
      </c>
      <c r="J28" t="str">
        <f>VLOOKUP($A28, 'Medical Examinations'!A:B, 2, FALSE)</f>
        <v>Obesity</v>
      </c>
      <c r="K28" t="str">
        <f>VLOOKUP($A28, 'Medical Examinations'!A:D, 4, FALSE)</f>
        <v>Diabetes</v>
      </c>
    </row>
    <row r="29" spans="1:11" ht="15.5" x14ac:dyDescent="0.35">
      <c r="A29" s="1" t="s">
        <v>2345</v>
      </c>
      <c r="B29" t="str">
        <f>VLOOKUP($A29, 'Customer Names'!A:D, 3, FALSE)</f>
        <v>Hamm</v>
      </c>
      <c r="C29">
        <f>VLOOKUP($A29,'Medical Examinations'!A:C, 3, FALSE)</f>
        <v>36.86</v>
      </c>
      <c r="D29" t="str">
        <f>VLOOKUP($A29, 'Medical Examinations'!A:D, 4, FALSE)</f>
        <v>Normal</v>
      </c>
      <c r="E29" t="str">
        <f>VLOOKUP($A29, 'Medical Examinations'!A:F, 6, FALSE)</f>
        <v>yes</v>
      </c>
      <c r="F29" t="str">
        <f>VLOOKUP($A29, 'Medical Examinations'!A:G, 7, FALSE)</f>
        <v>No</v>
      </c>
      <c r="G29" t="str">
        <f>VLOOKUP($A29, 'Medical Examinations'!A:H, 8, FALSE)</f>
        <v>Yes</v>
      </c>
      <c r="H29">
        <f>VLOOKUP($A29, 'Medical Examinations'!A:J, 10, FALSE)</f>
        <v>1</v>
      </c>
      <c r="I29" t="str">
        <f>VLOOKUP($A29, 'Medical Examinations'!A:K, 11, FALSE)</f>
        <v>yes</v>
      </c>
      <c r="J29" t="str">
        <f>VLOOKUP($A29, 'Medical Examinations'!A:B, 2, FALSE)</f>
        <v>Obesity</v>
      </c>
      <c r="K29" t="str">
        <f>VLOOKUP($A29, 'Medical Examinations'!A:D, 4, FALSE)</f>
        <v>Normal</v>
      </c>
    </row>
    <row r="30" spans="1:11" ht="15.5" x14ac:dyDescent="0.35">
      <c r="A30" s="1" t="s">
        <v>2344</v>
      </c>
      <c r="B30" t="str">
        <f>VLOOKUP($A30, 'Customer Names'!A:D, 3, FALSE)</f>
        <v>Cox</v>
      </c>
      <c r="C30">
        <f>VLOOKUP($A30,'Medical Examinations'!A:C, 3, FALSE)</f>
        <v>35.86</v>
      </c>
      <c r="D30" t="str">
        <f>VLOOKUP($A30, 'Medical Examinations'!A:D, 4, FALSE)</f>
        <v>Diabetes</v>
      </c>
      <c r="E30" t="str">
        <f>VLOOKUP($A30, 'Medical Examinations'!A:F, 6, FALSE)</f>
        <v>yes</v>
      </c>
      <c r="F30" t="str">
        <f>VLOOKUP($A30, 'Medical Examinations'!A:G, 7, FALSE)</f>
        <v>No</v>
      </c>
      <c r="G30" t="str">
        <f>VLOOKUP($A30, 'Medical Examinations'!A:H, 8, FALSE)</f>
        <v>No</v>
      </c>
      <c r="H30">
        <f>VLOOKUP($A30, 'Medical Examinations'!A:J, 10, FALSE)</f>
        <v>2</v>
      </c>
      <c r="I30" t="str">
        <f>VLOOKUP($A30, 'Medical Examinations'!A:K, 11, FALSE)</f>
        <v>yes</v>
      </c>
      <c r="J30" t="str">
        <f>VLOOKUP($A30, 'Medical Examinations'!A:B, 2, FALSE)</f>
        <v>Obesity</v>
      </c>
      <c r="K30" t="str">
        <f>VLOOKUP($A30, 'Medical Examinations'!A:D, 4, FALSE)</f>
        <v>Diabetes</v>
      </c>
    </row>
    <row r="31" spans="1:11" ht="15.5" x14ac:dyDescent="0.35">
      <c r="A31" s="1" t="s">
        <v>2343</v>
      </c>
      <c r="B31" t="str">
        <f>VLOOKUP($A31, 'Customer Names'!A:D, 3, FALSE)</f>
        <v>Sachrajda</v>
      </c>
      <c r="C31">
        <f>VLOOKUP($A31,'Medical Examinations'!A:C, 3, FALSE)</f>
        <v>37.049999999999997</v>
      </c>
      <c r="D31" t="str">
        <f>VLOOKUP($A31, 'Medical Examinations'!A:D, 4, FALSE)</f>
        <v>Diabetes</v>
      </c>
      <c r="E31" t="str">
        <f>VLOOKUP($A31, 'Medical Examinations'!A:F, 6, FALSE)</f>
        <v>No</v>
      </c>
      <c r="F31" t="str">
        <f>VLOOKUP($A31, 'Medical Examinations'!A:G, 7, FALSE)</f>
        <v>No</v>
      </c>
      <c r="G31" t="str">
        <f>VLOOKUP($A31, 'Medical Examinations'!A:H, 8, FALSE)</f>
        <v>No</v>
      </c>
      <c r="H31" t="str">
        <f>VLOOKUP($A31, 'Medical Examinations'!A:J, 10, FALSE)</f>
        <v>No major surgery</v>
      </c>
      <c r="I31" t="str">
        <f>VLOOKUP($A31, 'Medical Examinations'!A:K, 11, FALSE)</f>
        <v>yes</v>
      </c>
      <c r="J31" t="str">
        <f>VLOOKUP($A31, 'Medical Examinations'!A:B, 2, FALSE)</f>
        <v>Obesity</v>
      </c>
      <c r="K31" t="str">
        <f>VLOOKUP($A31, 'Medical Examinations'!A:D, 4, FALSE)</f>
        <v>Diabetes</v>
      </c>
    </row>
    <row r="32" spans="1:11" ht="15.5" x14ac:dyDescent="0.35">
      <c r="A32" s="1" t="s">
        <v>2342</v>
      </c>
      <c r="B32" t="str">
        <f>VLOOKUP($A32, 'Customer Names'!A:D, 3, FALSE)</f>
        <v>Gareri</v>
      </c>
      <c r="C32">
        <f>VLOOKUP($A32,'Medical Examinations'!A:C, 3, FALSE)</f>
        <v>43.89</v>
      </c>
      <c r="D32" t="str">
        <f>VLOOKUP($A32, 'Medical Examinations'!A:D, 4, FALSE)</f>
        <v>Diabetes</v>
      </c>
      <c r="E32" t="str">
        <f>VLOOKUP($A32, 'Medical Examinations'!A:F, 6, FALSE)</f>
        <v>No</v>
      </c>
      <c r="F32" t="str">
        <f>VLOOKUP($A32, 'Medical Examinations'!A:G, 7, FALSE)</f>
        <v>No</v>
      </c>
      <c r="G32" t="str">
        <f>VLOOKUP($A32, 'Medical Examinations'!A:H, 8, FALSE)</f>
        <v>No</v>
      </c>
      <c r="H32" t="str">
        <f>VLOOKUP($A32, 'Medical Examinations'!A:J, 10, FALSE)</f>
        <v>No major surgery</v>
      </c>
      <c r="I32" t="str">
        <f>VLOOKUP($A32, 'Medical Examinations'!A:K, 11, FALSE)</f>
        <v>yes</v>
      </c>
      <c r="J32" t="str">
        <f>VLOOKUP($A32, 'Medical Examinations'!A:B, 2, FALSE)</f>
        <v>Obesity</v>
      </c>
      <c r="K32" t="str">
        <f>VLOOKUP($A32, 'Medical Examinations'!A:D, 4, FALSE)</f>
        <v>Diabetes</v>
      </c>
    </row>
    <row r="33" spans="1:11" ht="15.5" x14ac:dyDescent="0.35">
      <c r="A33" s="1" t="s">
        <v>2341</v>
      </c>
      <c r="B33" t="str">
        <f>VLOOKUP($A33, 'Customer Names'!A:D, 3, FALSE)</f>
        <v>Welch</v>
      </c>
      <c r="C33">
        <f>VLOOKUP($A33,'Medical Examinations'!A:C, 3, FALSE)</f>
        <v>42.35</v>
      </c>
      <c r="D33" t="str">
        <f>VLOOKUP($A33, 'Medical Examinations'!A:D, 4, FALSE)</f>
        <v>Normal</v>
      </c>
      <c r="E33" t="str">
        <f>VLOOKUP($A33, 'Medical Examinations'!A:F, 6, FALSE)</f>
        <v>yes</v>
      </c>
      <c r="F33" t="str">
        <f>VLOOKUP($A33, 'Medical Examinations'!A:G, 7, FALSE)</f>
        <v>No</v>
      </c>
      <c r="G33" t="str">
        <f>VLOOKUP($A33, 'Medical Examinations'!A:H, 8, FALSE)</f>
        <v>No</v>
      </c>
      <c r="H33" t="str">
        <f>VLOOKUP($A33, 'Medical Examinations'!A:J, 10, FALSE)</f>
        <v>No major surgery</v>
      </c>
      <c r="I33" t="str">
        <f>VLOOKUP($A33, 'Medical Examinations'!A:K, 11, FALSE)</f>
        <v>yes</v>
      </c>
      <c r="J33" t="str">
        <f>VLOOKUP($A33, 'Medical Examinations'!A:B, 2, FALSE)</f>
        <v>Obesity</v>
      </c>
      <c r="K33" t="str">
        <f>VLOOKUP($A33, 'Medical Examinations'!A:D, 4, FALSE)</f>
        <v>Normal</v>
      </c>
    </row>
    <row r="34" spans="1:11" ht="15.5" x14ac:dyDescent="0.35">
      <c r="A34" s="1" t="s">
        <v>2340</v>
      </c>
      <c r="B34" t="str">
        <f>VLOOKUP($A34, 'Customer Names'!A:D, 3, FALSE)</f>
        <v>Prindiville</v>
      </c>
      <c r="C34">
        <f>VLOOKUP($A34,'Medical Examinations'!A:C, 3, FALSE)</f>
        <v>31.35</v>
      </c>
      <c r="D34" t="str">
        <f>VLOOKUP($A34, 'Medical Examinations'!A:D, 4, FALSE)</f>
        <v>Diabetes</v>
      </c>
      <c r="E34" t="str">
        <f>VLOOKUP($A34, 'Medical Examinations'!A:F, 6, FALSE)</f>
        <v>No</v>
      </c>
      <c r="F34" t="str">
        <f>VLOOKUP($A34, 'Medical Examinations'!A:G, 7, FALSE)</f>
        <v>No</v>
      </c>
      <c r="G34" t="str">
        <f>VLOOKUP($A34, 'Medical Examinations'!A:H, 8, FALSE)</f>
        <v>No</v>
      </c>
      <c r="H34" t="str">
        <f>VLOOKUP($A34, 'Medical Examinations'!A:J, 10, FALSE)</f>
        <v>No major surgery</v>
      </c>
      <c r="I34" t="str">
        <f>VLOOKUP($A34, 'Medical Examinations'!A:K, 11, FALSE)</f>
        <v>yes</v>
      </c>
      <c r="J34" t="str">
        <f>VLOOKUP($A34, 'Medical Examinations'!A:B, 2, FALSE)</f>
        <v>Obesity</v>
      </c>
      <c r="K34" t="str">
        <f>VLOOKUP($A34, 'Medical Examinations'!A:D, 4, FALSE)</f>
        <v>Diabetes</v>
      </c>
    </row>
    <row r="35" spans="1:11" ht="15.5" x14ac:dyDescent="0.35">
      <c r="A35" s="1" t="s">
        <v>2339</v>
      </c>
      <c r="B35" t="str">
        <f>VLOOKUP($A35, 'Customer Names'!A:D, 3, FALSE)</f>
        <v>Kincaid</v>
      </c>
      <c r="C35">
        <f>VLOOKUP($A35,'Medical Examinations'!A:C, 3, FALSE)</f>
        <v>47.6</v>
      </c>
      <c r="D35" t="str">
        <f>VLOOKUP($A35, 'Medical Examinations'!A:D, 4, FALSE)</f>
        <v>Prediabetes</v>
      </c>
      <c r="E35" t="str">
        <f>VLOOKUP($A35, 'Medical Examinations'!A:F, 6, FALSE)</f>
        <v>yes</v>
      </c>
      <c r="F35" t="str">
        <f>VLOOKUP($A35, 'Medical Examinations'!A:G, 7, FALSE)</f>
        <v>No</v>
      </c>
      <c r="G35" t="str">
        <f>VLOOKUP($A35, 'Medical Examinations'!A:H, 8, FALSE)</f>
        <v>No</v>
      </c>
      <c r="H35" t="str">
        <f>VLOOKUP($A35, 'Medical Examinations'!A:J, 10, FALSE)</f>
        <v>No major surgery</v>
      </c>
      <c r="I35" t="str">
        <f>VLOOKUP($A35, 'Medical Examinations'!A:K, 11, FALSE)</f>
        <v>yes</v>
      </c>
      <c r="J35" t="str">
        <f>VLOOKUP($A35, 'Medical Examinations'!A:B, 2, FALSE)</f>
        <v>Obesity</v>
      </c>
      <c r="K35" t="str">
        <f>VLOOKUP($A35, 'Medical Examinations'!A:D, 4, FALSE)</f>
        <v>Prediabetes</v>
      </c>
    </row>
    <row r="36" spans="1:11" ht="15.5" x14ac:dyDescent="0.35">
      <c r="A36" s="1" t="s">
        <v>2338</v>
      </c>
      <c r="B36" t="str">
        <f>VLOOKUP($A36, 'Customer Names'!A:D, 3, FALSE)</f>
        <v>Bruestle</v>
      </c>
      <c r="C36">
        <f>VLOOKUP($A36,'Medical Examinations'!A:C, 3, FALSE)</f>
        <v>46.2</v>
      </c>
      <c r="D36" t="str">
        <f>VLOOKUP($A36, 'Medical Examinations'!A:D, 4, FALSE)</f>
        <v>Prediabetes</v>
      </c>
      <c r="E36" t="str">
        <f>VLOOKUP($A36, 'Medical Examinations'!A:F, 6, FALSE)</f>
        <v>No</v>
      </c>
      <c r="F36" t="str">
        <f>VLOOKUP($A36, 'Medical Examinations'!A:G, 7, FALSE)</f>
        <v>No</v>
      </c>
      <c r="G36" t="str">
        <f>VLOOKUP($A36, 'Medical Examinations'!A:H, 8, FALSE)</f>
        <v>Yes</v>
      </c>
      <c r="H36">
        <f>VLOOKUP($A36, 'Medical Examinations'!A:J, 10, FALSE)</f>
        <v>1</v>
      </c>
      <c r="I36" t="str">
        <f>VLOOKUP($A36, 'Medical Examinations'!A:K, 11, FALSE)</f>
        <v>yes</v>
      </c>
      <c r="J36" t="str">
        <f>VLOOKUP($A36, 'Medical Examinations'!A:B, 2, FALSE)</f>
        <v>Obesity</v>
      </c>
      <c r="K36" t="str">
        <f>VLOOKUP($A36, 'Medical Examinations'!A:D, 4, FALSE)</f>
        <v>Prediabetes</v>
      </c>
    </row>
    <row r="37" spans="1:11" ht="15.5" x14ac:dyDescent="0.35">
      <c r="A37" s="1" t="s">
        <v>2337</v>
      </c>
      <c r="B37" t="str">
        <f>VLOOKUP($A37, 'Customer Names'!A:D, 3, FALSE)</f>
        <v>Lachance</v>
      </c>
      <c r="C37">
        <f>VLOOKUP($A37,'Medical Examinations'!A:C, 3, FALSE)</f>
        <v>32.015000000000001</v>
      </c>
      <c r="D37" t="str">
        <f>VLOOKUP($A37, 'Medical Examinations'!A:D, 4, FALSE)</f>
        <v>Diabetes</v>
      </c>
      <c r="E37" t="str">
        <f>VLOOKUP($A37, 'Medical Examinations'!A:F, 6, FALSE)</f>
        <v>No</v>
      </c>
      <c r="F37" t="str">
        <f>VLOOKUP($A37, 'Medical Examinations'!A:G, 7, FALSE)</f>
        <v>No</v>
      </c>
      <c r="G37" t="str">
        <f>VLOOKUP($A37, 'Medical Examinations'!A:H, 8, FALSE)</f>
        <v>No</v>
      </c>
      <c r="H37" t="str">
        <f>VLOOKUP($A37, 'Medical Examinations'!A:J, 10, FALSE)</f>
        <v>No major surgery</v>
      </c>
      <c r="I37" t="str">
        <f>VLOOKUP($A37, 'Medical Examinations'!A:K, 11, FALSE)</f>
        <v>yes</v>
      </c>
      <c r="J37" t="str">
        <f>VLOOKUP($A37, 'Medical Examinations'!A:B, 2, FALSE)</f>
        <v>Obesity</v>
      </c>
      <c r="K37" t="str">
        <f>VLOOKUP($A37, 'Medical Examinations'!A:D, 4, FALSE)</f>
        <v>Diabetes</v>
      </c>
    </row>
    <row r="38" spans="1:11" ht="15.5" x14ac:dyDescent="0.35">
      <c r="A38" s="1" t="s">
        <v>2336</v>
      </c>
      <c r="B38" t="str">
        <f>VLOOKUP($A38, 'Customer Names'!A:D, 3, FALSE)</f>
        <v>Eason</v>
      </c>
      <c r="C38">
        <f>VLOOKUP($A38,'Medical Examinations'!A:C, 3, FALSE)</f>
        <v>40.564999999999998</v>
      </c>
      <c r="D38" t="str">
        <f>VLOOKUP($A38, 'Medical Examinations'!A:D, 4, FALSE)</f>
        <v>Diabetes</v>
      </c>
      <c r="E38" t="str">
        <f>VLOOKUP($A38, 'Medical Examinations'!A:F, 6, FALSE)</f>
        <v>No</v>
      </c>
      <c r="F38" t="str">
        <f>VLOOKUP($A38, 'Medical Examinations'!A:G, 7, FALSE)</f>
        <v>No</v>
      </c>
      <c r="G38" t="str">
        <f>VLOOKUP($A38, 'Medical Examinations'!A:H, 8, FALSE)</f>
        <v>No</v>
      </c>
      <c r="H38" t="str">
        <f>VLOOKUP($A38, 'Medical Examinations'!A:J, 10, FALSE)</f>
        <v>No major surgery</v>
      </c>
      <c r="I38" t="str">
        <f>VLOOKUP($A38, 'Medical Examinations'!A:K, 11, FALSE)</f>
        <v>yes</v>
      </c>
      <c r="J38" t="str">
        <f>VLOOKUP($A38, 'Medical Examinations'!A:B, 2, FALSE)</f>
        <v>Obesity</v>
      </c>
      <c r="K38" t="str">
        <f>VLOOKUP($A38, 'Medical Examinations'!A:D, 4, FALSE)</f>
        <v>Diabetes</v>
      </c>
    </row>
    <row r="39" spans="1:11" ht="15.5" x14ac:dyDescent="0.35">
      <c r="A39" s="1" t="s">
        <v>2335</v>
      </c>
      <c r="B39" t="str">
        <f>VLOOKUP($A39, 'Customer Names'!A:D, 3, FALSE)</f>
        <v>Grummon</v>
      </c>
      <c r="C39">
        <f>VLOOKUP($A39,'Medical Examinations'!A:C, 3, FALSE)</f>
        <v>32.450000000000003</v>
      </c>
      <c r="D39" t="str">
        <f>VLOOKUP($A39, 'Medical Examinations'!A:D, 4, FALSE)</f>
        <v>Diabetes</v>
      </c>
      <c r="E39" t="str">
        <f>VLOOKUP($A39, 'Medical Examinations'!A:F, 6, FALSE)</f>
        <v>No</v>
      </c>
      <c r="F39" t="str">
        <f>VLOOKUP($A39, 'Medical Examinations'!A:G, 7, FALSE)</f>
        <v>No</v>
      </c>
      <c r="G39" t="str">
        <f>VLOOKUP($A39, 'Medical Examinations'!A:H, 8, FALSE)</f>
        <v>No</v>
      </c>
      <c r="H39" t="str">
        <f>VLOOKUP($A39, 'Medical Examinations'!A:J, 10, FALSE)</f>
        <v>No major surgery</v>
      </c>
      <c r="I39" t="str">
        <f>VLOOKUP($A39, 'Medical Examinations'!A:K, 11, FALSE)</f>
        <v>yes</v>
      </c>
      <c r="J39" t="str">
        <f>VLOOKUP($A39, 'Medical Examinations'!A:B, 2, FALSE)</f>
        <v>Obesity</v>
      </c>
      <c r="K39" t="str">
        <f>VLOOKUP($A39, 'Medical Examinations'!A:D, 4, FALSE)</f>
        <v>Diabetes</v>
      </c>
    </row>
    <row r="40" spans="1:11" ht="15.5" x14ac:dyDescent="0.35">
      <c r="A40" s="1" t="s">
        <v>2334</v>
      </c>
      <c r="B40" t="str">
        <f>VLOOKUP($A40, 'Customer Names'!A:D, 3, FALSE)</f>
        <v>Vanwechel</v>
      </c>
      <c r="C40">
        <f>VLOOKUP($A40,'Medical Examinations'!A:C, 3, FALSE)</f>
        <v>34.96</v>
      </c>
      <c r="D40" t="str">
        <f>VLOOKUP($A40, 'Medical Examinations'!A:D, 4, FALSE)</f>
        <v>Diabetes</v>
      </c>
      <c r="E40" t="str">
        <f>VLOOKUP($A40, 'Medical Examinations'!A:F, 6, FALSE)</f>
        <v>No</v>
      </c>
      <c r="F40" t="str">
        <f>VLOOKUP($A40, 'Medical Examinations'!A:G, 7, FALSE)</f>
        <v>No</v>
      </c>
      <c r="G40" t="str">
        <f>VLOOKUP($A40, 'Medical Examinations'!A:H, 8, FALSE)</f>
        <v>No</v>
      </c>
      <c r="H40" t="str">
        <f>VLOOKUP($A40, 'Medical Examinations'!A:J, 10, FALSE)</f>
        <v>No major surgery</v>
      </c>
      <c r="I40" t="str">
        <f>VLOOKUP($A40, 'Medical Examinations'!A:K, 11, FALSE)</f>
        <v>yes</v>
      </c>
      <c r="J40" t="str">
        <f>VLOOKUP($A40, 'Medical Examinations'!A:B, 2, FALSE)</f>
        <v>Obesity</v>
      </c>
      <c r="K40" t="str">
        <f>VLOOKUP($A40, 'Medical Examinations'!A:D, 4, FALSE)</f>
        <v>Diabetes</v>
      </c>
    </row>
    <row r="41" spans="1:11" ht="15.5" x14ac:dyDescent="0.35">
      <c r="A41" s="1" t="s">
        <v>2333</v>
      </c>
      <c r="B41" t="str">
        <f>VLOOKUP($A41, 'Customer Names'!A:D, 3, FALSE)</f>
        <v>Fisher</v>
      </c>
      <c r="C41">
        <f>VLOOKUP($A41,'Medical Examinations'!A:C, 3, FALSE)</f>
        <v>35.5</v>
      </c>
      <c r="D41" t="str">
        <f>VLOOKUP($A41, 'Medical Examinations'!A:D, 4, FALSE)</f>
        <v>Normal</v>
      </c>
      <c r="E41" t="str">
        <f>VLOOKUP($A41, 'Medical Examinations'!A:F, 6, FALSE)</f>
        <v>No</v>
      </c>
      <c r="F41" t="str">
        <f>VLOOKUP($A41, 'Medical Examinations'!A:G, 7, FALSE)</f>
        <v>No</v>
      </c>
      <c r="G41" t="str">
        <f>VLOOKUP($A41, 'Medical Examinations'!A:H, 8, FALSE)</f>
        <v>Yes</v>
      </c>
      <c r="H41">
        <f>VLOOKUP($A41, 'Medical Examinations'!A:J, 10, FALSE)</f>
        <v>1</v>
      </c>
      <c r="I41" t="str">
        <f>VLOOKUP($A41, 'Medical Examinations'!A:K, 11, FALSE)</f>
        <v>yes</v>
      </c>
      <c r="J41" t="str">
        <f>VLOOKUP($A41, 'Medical Examinations'!A:B, 2, FALSE)</f>
        <v>Obesity</v>
      </c>
      <c r="K41" t="str">
        <f>VLOOKUP($A41, 'Medical Examinations'!A:D, 4, FALSE)</f>
        <v>Normal</v>
      </c>
    </row>
    <row r="42" spans="1:11" ht="15.5" x14ac:dyDescent="0.35">
      <c r="A42" s="1" t="s">
        <v>2332</v>
      </c>
      <c r="B42" t="str">
        <f>VLOOKUP($A42, 'Customer Names'!A:D, 3, FALSE)</f>
        <v>Jenkins</v>
      </c>
      <c r="C42">
        <f>VLOOKUP($A42,'Medical Examinations'!A:C, 3, FALSE)</f>
        <v>52.58</v>
      </c>
      <c r="D42" t="str">
        <f>VLOOKUP($A42, 'Medical Examinations'!A:D, 4, FALSE)</f>
        <v>Normal</v>
      </c>
      <c r="E42" t="str">
        <f>VLOOKUP($A42, 'Medical Examinations'!A:F, 6, FALSE)</f>
        <v>No</v>
      </c>
      <c r="F42" t="str">
        <f>VLOOKUP($A42, 'Medical Examinations'!A:G, 7, FALSE)</f>
        <v>yes</v>
      </c>
      <c r="G42" t="str">
        <f>VLOOKUP($A42, 'Medical Examinations'!A:H, 8, FALSE)</f>
        <v>No</v>
      </c>
      <c r="H42">
        <f>VLOOKUP($A42, 'Medical Examinations'!A:J, 10, FALSE)</f>
        <v>1</v>
      </c>
      <c r="I42" t="str">
        <f>VLOOKUP($A42, 'Medical Examinations'!A:K, 11, FALSE)</f>
        <v>yes</v>
      </c>
      <c r="J42" t="str">
        <f>VLOOKUP($A42, 'Medical Examinations'!A:B, 2, FALSE)</f>
        <v>Obesity</v>
      </c>
      <c r="K42" t="str">
        <f>VLOOKUP($A42, 'Medical Examinations'!A:D, 4, FALSE)</f>
        <v>Normal</v>
      </c>
    </row>
    <row r="43" spans="1:11" ht="15.5" x14ac:dyDescent="0.35">
      <c r="A43" s="1" t="s">
        <v>2331</v>
      </c>
      <c r="B43" t="str">
        <f>VLOOKUP($A43, 'Customer Names'!A:D, 3, FALSE)</f>
        <v>Peters</v>
      </c>
      <c r="C43">
        <f>VLOOKUP($A43,'Medical Examinations'!A:C, 3, FALSE)</f>
        <v>35.200000000000003</v>
      </c>
      <c r="D43" t="str">
        <f>VLOOKUP($A43, 'Medical Examinations'!A:D, 4, FALSE)</f>
        <v>Diabetes</v>
      </c>
      <c r="E43" t="str">
        <f>VLOOKUP($A43, 'Medical Examinations'!A:F, 6, FALSE)</f>
        <v>yes</v>
      </c>
      <c r="F43" t="str">
        <f>VLOOKUP($A43, 'Medical Examinations'!A:G, 7, FALSE)</f>
        <v>No</v>
      </c>
      <c r="G43" t="str">
        <f>VLOOKUP($A43, 'Medical Examinations'!A:H, 8, FALSE)</f>
        <v>No</v>
      </c>
      <c r="H43" t="str">
        <f>VLOOKUP($A43, 'Medical Examinations'!A:J, 10, FALSE)</f>
        <v>No major surgery</v>
      </c>
      <c r="I43" t="str">
        <f>VLOOKUP($A43, 'Medical Examinations'!A:K, 11, FALSE)</f>
        <v>yes</v>
      </c>
      <c r="J43" t="str">
        <f>VLOOKUP($A43, 'Medical Examinations'!A:B, 2, FALSE)</f>
        <v>Obesity</v>
      </c>
      <c r="K43" t="str">
        <f>VLOOKUP($A43, 'Medical Examinations'!A:D, 4, FALSE)</f>
        <v>Diabetes</v>
      </c>
    </row>
    <row r="44" spans="1:11" ht="15.5" x14ac:dyDescent="0.35">
      <c r="A44" s="1" t="s">
        <v>2330</v>
      </c>
      <c r="B44" t="str">
        <f>VLOOKUP($A44, 'Customer Names'!A:D, 3, FALSE)</f>
        <v>Aha</v>
      </c>
      <c r="C44">
        <f>VLOOKUP($A44,'Medical Examinations'!A:C, 3, FALSE)</f>
        <v>38.06</v>
      </c>
      <c r="D44" t="str">
        <f>VLOOKUP($A44, 'Medical Examinations'!A:D, 4, FALSE)</f>
        <v>Diabetes</v>
      </c>
      <c r="E44" t="str">
        <f>VLOOKUP($A44, 'Medical Examinations'!A:F, 6, FALSE)</f>
        <v>No</v>
      </c>
      <c r="F44" t="str">
        <f>VLOOKUP($A44, 'Medical Examinations'!A:G, 7, FALSE)</f>
        <v>No</v>
      </c>
      <c r="G44" t="str">
        <f>VLOOKUP($A44, 'Medical Examinations'!A:H, 8, FALSE)</f>
        <v>No</v>
      </c>
      <c r="H44" t="str">
        <f>VLOOKUP($A44, 'Medical Examinations'!A:J, 10, FALSE)</f>
        <v>No major surgery</v>
      </c>
      <c r="I44" t="str">
        <f>VLOOKUP($A44, 'Medical Examinations'!A:K, 11, FALSE)</f>
        <v>yes</v>
      </c>
      <c r="J44" t="str">
        <f>VLOOKUP($A44, 'Medical Examinations'!A:B, 2, FALSE)</f>
        <v>Obesity</v>
      </c>
      <c r="K44" t="str">
        <f>VLOOKUP($A44, 'Medical Examinations'!A:D, 4, FALSE)</f>
        <v>Diabetes</v>
      </c>
    </row>
    <row r="45" spans="1:11" ht="15.5" x14ac:dyDescent="0.35">
      <c r="A45" s="1" t="s">
        <v>2329</v>
      </c>
      <c r="B45" t="str">
        <f>VLOOKUP($A45, 'Customer Names'!A:D, 3, FALSE)</f>
        <v>McElwain</v>
      </c>
      <c r="C45">
        <f>VLOOKUP($A45,'Medical Examinations'!A:C, 3, FALSE)</f>
        <v>34.21</v>
      </c>
      <c r="D45" t="str">
        <f>VLOOKUP($A45, 'Medical Examinations'!A:D, 4, FALSE)</f>
        <v>Diabetes</v>
      </c>
      <c r="E45" t="str">
        <f>VLOOKUP($A45, 'Medical Examinations'!A:F, 6, FALSE)</f>
        <v>No</v>
      </c>
      <c r="F45" t="str">
        <f>VLOOKUP($A45, 'Medical Examinations'!A:G, 7, FALSE)</f>
        <v>No</v>
      </c>
      <c r="G45" t="str">
        <f>VLOOKUP($A45, 'Medical Examinations'!A:H, 8, FALSE)</f>
        <v>No</v>
      </c>
      <c r="H45" t="str">
        <f>VLOOKUP($A45, 'Medical Examinations'!A:J, 10, FALSE)</f>
        <v>No major surgery</v>
      </c>
      <c r="I45" t="str">
        <f>VLOOKUP($A45, 'Medical Examinations'!A:K, 11, FALSE)</f>
        <v>yes</v>
      </c>
      <c r="J45" t="str">
        <f>VLOOKUP($A45, 'Medical Examinations'!A:B, 2, FALSE)</f>
        <v>Obesity</v>
      </c>
      <c r="K45" t="str">
        <f>VLOOKUP($A45, 'Medical Examinations'!A:D, 4, FALSE)</f>
        <v>Diabetes</v>
      </c>
    </row>
    <row r="46" spans="1:11" ht="15.5" x14ac:dyDescent="0.35">
      <c r="A46" s="1" t="s">
        <v>2328</v>
      </c>
      <c r="B46" t="str">
        <f>VLOOKUP($A46, 'Customer Names'!A:D, 3, FALSE)</f>
        <v>Januszewski</v>
      </c>
      <c r="C46">
        <f>VLOOKUP($A46,'Medical Examinations'!A:C, 3, FALSE)</f>
        <v>38.94</v>
      </c>
      <c r="D46" t="str">
        <f>VLOOKUP($A46, 'Medical Examinations'!A:D, 4, FALSE)</f>
        <v>Diabetes</v>
      </c>
      <c r="E46" t="str">
        <f>VLOOKUP($A46, 'Medical Examinations'!A:F, 6, FALSE)</f>
        <v>yes</v>
      </c>
      <c r="F46" t="str">
        <f>VLOOKUP($A46, 'Medical Examinations'!A:G, 7, FALSE)</f>
        <v>No</v>
      </c>
      <c r="G46" t="str">
        <f>VLOOKUP($A46, 'Medical Examinations'!A:H, 8, FALSE)</f>
        <v>No</v>
      </c>
      <c r="H46">
        <f>VLOOKUP($A46, 'Medical Examinations'!A:J, 10, FALSE)</f>
        <v>1</v>
      </c>
      <c r="I46" t="str">
        <f>VLOOKUP($A46, 'Medical Examinations'!A:K, 11, FALSE)</f>
        <v>yes</v>
      </c>
      <c r="J46" t="str">
        <f>VLOOKUP($A46, 'Medical Examinations'!A:B, 2, FALSE)</f>
        <v>Obesity</v>
      </c>
      <c r="K46" t="str">
        <f>VLOOKUP($A46, 'Medical Examinations'!A:D, 4, FALSE)</f>
        <v>Diabetes</v>
      </c>
    </row>
    <row r="47" spans="1:11" ht="15.5" x14ac:dyDescent="0.35">
      <c r="A47" s="1" t="s">
        <v>2327</v>
      </c>
      <c r="B47" t="str">
        <f>VLOOKUP($A47, 'Customer Names'!A:D, 3, FALSE)</f>
        <v>Rohne</v>
      </c>
      <c r="C47">
        <f>VLOOKUP($A47,'Medical Examinations'!A:C, 3, FALSE)</f>
        <v>30.21</v>
      </c>
      <c r="D47" t="str">
        <f>VLOOKUP($A47, 'Medical Examinations'!A:D, 4, FALSE)</f>
        <v>Normal</v>
      </c>
      <c r="E47" t="str">
        <f>VLOOKUP($A47, 'Medical Examinations'!A:F, 6, FALSE)</f>
        <v>yes</v>
      </c>
      <c r="F47" t="str">
        <f>VLOOKUP($A47, 'Medical Examinations'!A:G, 7, FALSE)</f>
        <v>No</v>
      </c>
      <c r="G47" t="str">
        <f>VLOOKUP($A47, 'Medical Examinations'!A:H, 8, FALSE)</f>
        <v>No</v>
      </c>
      <c r="H47">
        <f>VLOOKUP($A47, 'Medical Examinations'!A:J, 10, FALSE)</f>
        <v>1</v>
      </c>
      <c r="I47" t="str">
        <f>VLOOKUP($A47, 'Medical Examinations'!A:K, 11, FALSE)</f>
        <v>yes</v>
      </c>
      <c r="J47" t="str">
        <f>VLOOKUP($A47, 'Medical Examinations'!A:B, 2, FALSE)</f>
        <v>Obesity</v>
      </c>
      <c r="K47" t="str">
        <f>VLOOKUP($A47, 'Medical Examinations'!A:D, 4, FALSE)</f>
        <v>Normal</v>
      </c>
    </row>
    <row r="48" spans="1:11" ht="15.5" x14ac:dyDescent="0.35">
      <c r="A48" s="1" t="s">
        <v>2326</v>
      </c>
      <c r="B48" t="str">
        <f>VLOOKUP($A48, 'Customer Names'!A:D, 3, FALSE)</f>
        <v>O'Grady</v>
      </c>
      <c r="C48">
        <f>VLOOKUP($A48,'Medical Examinations'!A:C, 3, FALSE)</f>
        <v>33.630000000000003</v>
      </c>
      <c r="D48" t="str">
        <f>VLOOKUP($A48, 'Medical Examinations'!A:D, 4, FALSE)</f>
        <v>Normal</v>
      </c>
      <c r="E48" t="str">
        <f>VLOOKUP($A48, 'Medical Examinations'!A:F, 6, FALSE)</f>
        <v>yes</v>
      </c>
      <c r="F48" t="str">
        <f>VLOOKUP($A48, 'Medical Examinations'!A:G, 7, FALSE)</f>
        <v>No</v>
      </c>
      <c r="G48" t="str">
        <f>VLOOKUP($A48, 'Medical Examinations'!A:H, 8, FALSE)</f>
        <v>No</v>
      </c>
      <c r="H48">
        <f>VLOOKUP($A48, 'Medical Examinations'!A:J, 10, FALSE)</f>
        <v>2</v>
      </c>
      <c r="I48" t="str">
        <f>VLOOKUP($A48, 'Medical Examinations'!A:K, 11, FALSE)</f>
        <v>yes</v>
      </c>
      <c r="J48" t="str">
        <f>VLOOKUP($A48, 'Medical Examinations'!A:B, 2, FALSE)</f>
        <v>Obesity</v>
      </c>
      <c r="K48" t="str">
        <f>VLOOKUP($A48, 'Medical Examinations'!A:D, 4, FALSE)</f>
        <v>Normal</v>
      </c>
    </row>
    <row r="49" spans="1:11" ht="15.5" x14ac:dyDescent="0.35">
      <c r="A49" s="1" t="s">
        <v>2325</v>
      </c>
      <c r="B49" t="str">
        <f>VLOOKUP($A49, 'Customer Names'!A:D, 3, FALSE)</f>
        <v>Peters</v>
      </c>
      <c r="C49">
        <f>VLOOKUP($A49,'Medical Examinations'!A:C, 3, FALSE)</f>
        <v>40.369999999999997</v>
      </c>
      <c r="D49" t="str">
        <f>VLOOKUP($A49, 'Medical Examinations'!A:D, 4, FALSE)</f>
        <v>Normal</v>
      </c>
      <c r="E49" t="str">
        <f>VLOOKUP($A49, 'Medical Examinations'!A:F, 6, FALSE)</f>
        <v>No</v>
      </c>
      <c r="F49" t="str">
        <f>VLOOKUP($A49, 'Medical Examinations'!A:G, 7, FALSE)</f>
        <v>No</v>
      </c>
      <c r="G49" t="str">
        <f>VLOOKUP($A49, 'Medical Examinations'!A:H, 8, FALSE)</f>
        <v>No</v>
      </c>
      <c r="H49" t="str">
        <f>VLOOKUP($A49, 'Medical Examinations'!A:J, 10, FALSE)</f>
        <v>No major surgery</v>
      </c>
      <c r="I49" t="str">
        <f>VLOOKUP($A49, 'Medical Examinations'!A:K, 11, FALSE)</f>
        <v>yes</v>
      </c>
      <c r="J49" t="str">
        <f>VLOOKUP($A49, 'Medical Examinations'!A:B, 2, FALSE)</f>
        <v>Obesity</v>
      </c>
      <c r="K49" t="str">
        <f>VLOOKUP($A49, 'Medical Examinations'!A:D, 4, FALSE)</f>
        <v>Normal</v>
      </c>
    </row>
    <row r="50" spans="1:11" ht="15.5" x14ac:dyDescent="0.35">
      <c r="A50" s="1" t="s">
        <v>2324</v>
      </c>
      <c r="B50" t="str">
        <f>VLOOKUP($A50, 'Customer Names'!A:D, 3, FALSE)</f>
        <v>De Simone</v>
      </c>
      <c r="C50">
        <f>VLOOKUP($A50,'Medical Examinations'!A:C, 3, FALSE)</f>
        <v>53.09</v>
      </c>
      <c r="D50" t="str">
        <f>VLOOKUP($A50, 'Medical Examinations'!A:D, 4, FALSE)</f>
        <v>Normal</v>
      </c>
      <c r="E50" t="str">
        <f>VLOOKUP($A50, 'Medical Examinations'!A:F, 6, FALSE)</f>
        <v>yes</v>
      </c>
      <c r="F50" t="str">
        <f>VLOOKUP($A50, 'Medical Examinations'!A:G, 7, FALSE)</f>
        <v>No</v>
      </c>
      <c r="G50" t="str">
        <f>VLOOKUP($A50, 'Medical Examinations'!A:H, 8, FALSE)</f>
        <v>No</v>
      </c>
      <c r="H50">
        <f>VLOOKUP($A50, 'Medical Examinations'!A:J, 10, FALSE)</f>
        <v>2</v>
      </c>
      <c r="I50" t="str">
        <f>VLOOKUP($A50, 'Medical Examinations'!A:K, 11, FALSE)</f>
        <v>yes</v>
      </c>
      <c r="J50" t="str">
        <f>VLOOKUP($A50, 'Medical Examinations'!A:B, 2, FALSE)</f>
        <v>Obesity</v>
      </c>
      <c r="K50" t="str">
        <f>VLOOKUP($A50, 'Medical Examinations'!A:D, 4, FALSE)</f>
        <v>Normal</v>
      </c>
    </row>
    <row r="51" spans="1:11" ht="15.5" x14ac:dyDescent="0.35">
      <c r="A51" s="1" t="s">
        <v>2323</v>
      </c>
      <c r="B51" t="str">
        <f>VLOOKUP($A51, 'Customer Names'!A:D, 3, FALSE)</f>
        <v>Beckett</v>
      </c>
      <c r="C51">
        <f>VLOOKUP($A51,'Medical Examinations'!A:C, 3, FALSE)</f>
        <v>31.79</v>
      </c>
      <c r="D51" t="str">
        <f>VLOOKUP($A51, 'Medical Examinations'!A:D, 4, FALSE)</f>
        <v>Normal</v>
      </c>
      <c r="E51" t="str">
        <f>VLOOKUP($A51, 'Medical Examinations'!A:F, 6, FALSE)</f>
        <v>yes</v>
      </c>
      <c r="F51" t="str">
        <f>VLOOKUP($A51, 'Medical Examinations'!A:G, 7, FALSE)</f>
        <v>No</v>
      </c>
      <c r="G51" t="str">
        <f>VLOOKUP($A51, 'Medical Examinations'!A:H, 8, FALSE)</f>
        <v>No</v>
      </c>
      <c r="H51">
        <f>VLOOKUP($A51, 'Medical Examinations'!A:J, 10, FALSE)</f>
        <v>2</v>
      </c>
      <c r="I51" t="str">
        <f>VLOOKUP($A51, 'Medical Examinations'!A:K, 11, FALSE)</f>
        <v>yes</v>
      </c>
      <c r="J51" t="str">
        <f>VLOOKUP($A51, 'Medical Examinations'!A:B, 2, FALSE)</f>
        <v>Obesity</v>
      </c>
      <c r="K51" t="str">
        <f>VLOOKUP($A51, 'Medical Examinations'!A:D, 4, FALSE)</f>
        <v>Normal</v>
      </c>
    </row>
    <row r="52" spans="1:11" ht="15.5" x14ac:dyDescent="0.35">
      <c r="A52" s="1" t="s">
        <v>2322</v>
      </c>
      <c r="B52" t="str">
        <f>VLOOKUP($A52, 'Customer Names'!A:D, 3, FALSE)</f>
        <v>Sobrilsky</v>
      </c>
      <c r="C52">
        <f>VLOOKUP($A52,'Medical Examinations'!A:C, 3, FALSE)</f>
        <v>41.895000000000003</v>
      </c>
      <c r="D52" t="str">
        <f>VLOOKUP($A52, 'Medical Examinations'!A:D, 4, FALSE)</f>
        <v>Diabetes</v>
      </c>
      <c r="E52" t="str">
        <f>VLOOKUP($A52, 'Medical Examinations'!A:F, 6, FALSE)</f>
        <v>yes</v>
      </c>
      <c r="F52" t="str">
        <f>VLOOKUP($A52, 'Medical Examinations'!A:G, 7, FALSE)</f>
        <v>No</v>
      </c>
      <c r="G52" t="str">
        <f>VLOOKUP($A52, 'Medical Examinations'!A:H, 8, FALSE)</f>
        <v>No</v>
      </c>
      <c r="H52">
        <f>VLOOKUP($A52, 'Medical Examinations'!A:J, 10, FALSE)</f>
        <v>1</v>
      </c>
      <c r="I52" t="str">
        <f>VLOOKUP($A52, 'Medical Examinations'!A:K, 11, FALSE)</f>
        <v>yes</v>
      </c>
      <c r="J52" t="str">
        <f>VLOOKUP($A52, 'Medical Examinations'!A:B, 2, FALSE)</f>
        <v>Obesity</v>
      </c>
      <c r="K52" t="str">
        <f>VLOOKUP($A52, 'Medical Examinations'!A:D, 4, FALSE)</f>
        <v>Diabetes</v>
      </c>
    </row>
    <row r="53" spans="1:11" ht="15.5" x14ac:dyDescent="0.35">
      <c r="A53" s="1" t="s">
        <v>2321</v>
      </c>
      <c r="B53" t="str">
        <f>VLOOKUP($A53, 'Customer Names'!A:D, 3, FALSE)</f>
        <v>Wang</v>
      </c>
      <c r="C53">
        <f>VLOOKUP($A53,'Medical Examinations'!A:C, 3, FALSE)</f>
        <v>31.16</v>
      </c>
      <c r="D53" t="str">
        <f>VLOOKUP($A53, 'Medical Examinations'!A:D, 4, FALSE)</f>
        <v>Diabetes</v>
      </c>
      <c r="E53" t="str">
        <f>VLOOKUP($A53, 'Medical Examinations'!A:F, 6, FALSE)</f>
        <v>No</v>
      </c>
      <c r="F53" t="str">
        <f>VLOOKUP($A53, 'Medical Examinations'!A:G, 7, FALSE)</f>
        <v>No</v>
      </c>
      <c r="G53" t="str">
        <f>VLOOKUP($A53, 'Medical Examinations'!A:H, 8, FALSE)</f>
        <v>No</v>
      </c>
      <c r="H53" t="str">
        <f>VLOOKUP($A53, 'Medical Examinations'!A:J, 10, FALSE)</f>
        <v>No major surgery</v>
      </c>
      <c r="I53" t="str">
        <f>VLOOKUP($A53, 'Medical Examinations'!A:K, 11, FALSE)</f>
        <v>yes</v>
      </c>
      <c r="J53" t="str">
        <f>VLOOKUP($A53, 'Medical Examinations'!A:B, 2, FALSE)</f>
        <v>Obesity</v>
      </c>
      <c r="K53" t="str">
        <f>VLOOKUP($A53, 'Medical Examinations'!A:D, 4, FALSE)</f>
        <v>Diabetes</v>
      </c>
    </row>
    <row r="54" spans="1:11" ht="15.5" x14ac:dyDescent="0.35">
      <c r="A54" s="1" t="s">
        <v>2320</v>
      </c>
      <c r="B54" t="str">
        <f>VLOOKUP($A54, 'Customer Names'!A:D, 3, FALSE)</f>
        <v>Campa</v>
      </c>
      <c r="C54">
        <f>VLOOKUP($A54,'Medical Examinations'!A:C, 3, FALSE)</f>
        <v>34.104999999999997</v>
      </c>
      <c r="D54" t="str">
        <f>VLOOKUP($A54, 'Medical Examinations'!A:D, 4, FALSE)</f>
        <v>Normal</v>
      </c>
      <c r="E54" t="str">
        <f>VLOOKUP($A54, 'Medical Examinations'!A:F, 6, FALSE)</f>
        <v>yes</v>
      </c>
      <c r="F54" t="str">
        <f>VLOOKUP($A54, 'Medical Examinations'!A:G, 7, FALSE)</f>
        <v>No</v>
      </c>
      <c r="G54" t="str">
        <f>VLOOKUP($A54, 'Medical Examinations'!A:H, 8, FALSE)</f>
        <v>Yes</v>
      </c>
      <c r="H54">
        <f>VLOOKUP($A54, 'Medical Examinations'!A:J, 10, FALSE)</f>
        <v>1</v>
      </c>
      <c r="I54" t="str">
        <f>VLOOKUP($A54, 'Medical Examinations'!A:K, 11, FALSE)</f>
        <v>yes</v>
      </c>
      <c r="J54" t="str">
        <f>VLOOKUP($A54, 'Medical Examinations'!A:B, 2, FALSE)</f>
        <v>Obesity</v>
      </c>
      <c r="K54" t="str">
        <f>VLOOKUP($A54, 'Medical Examinations'!A:D, 4, FALSE)</f>
        <v>Normal</v>
      </c>
    </row>
    <row r="55" spans="1:11" ht="15.5" x14ac:dyDescent="0.35">
      <c r="A55" s="1" t="s">
        <v>2319</v>
      </c>
      <c r="B55" t="str">
        <f>VLOOKUP($A55, 'Customer Names'!A:D, 3, FALSE)</f>
        <v>Clifford</v>
      </c>
      <c r="C55">
        <f>VLOOKUP($A55,'Medical Examinations'!A:C, 3, FALSE)</f>
        <v>51.93</v>
      </c>
      <c r="D55" t="str">
        <f>VLOOKUP($A55, 'Medical Examinations'!A:D, 4, FALSE)</f>
        <v>Diabetes</v>
      </c>
      <c r="E55" t="str">
        <f>VLOOKUP($A55, 'Medical Examinations'!A:F, 6, FALSE)</f>
        <v>No</v>
      </c>
      <c r="F55" t="str">
        <f>VLOOKUP($A55, 'Medical Examinations'!A:G, 7, FALSE)</f>
        <v>No</v>
      </c>
      <c r="G55" t="str">
        <f>VLOOKUP($A55, 'Medical Examinations'!A:H, 8, FALSE)</f>
        <v>No</v>
      </c>
      <c r="H55" t="str">
        <f>VLOOKUP($A55, 'Medical Examinations'!A:J, 10, FALSE)</f>
        <v>No major surgery</v>
      </c>
      <c r="I55" t="str">
        <f>VLOOKUP($A55, 'Medical Examinations'!A:K, 11, FALSE)</f>
        <v>yes</v>
      </c>
      <c r="J55" t="str">
        <f>VLOOKUP($A55, 'Medical Examinations'!A:B, 2, FALSE)</f>
        <v>Obesity</v>
      </c>
      <c r="K55" t="str">
        <f>VLOOKUP($A55, 'Medical Examinations'!A:D, 4, FALSE)</f>
        <v>Diabetes</v>
      </c>
    </row>
    <row r="56" spans="1:11" ht="15.5" x14ac:dyDescent="0.35">
      <c r="A56" s="1" t="s">
        <v>2318</v>
      </c>
      <c r="B56" t="str">
        <f>VLOOKUP($A56, 'Customer Names'!A:D, 3, FALSE)</f>
        <v>Dalmata</v>
      </c>
      <c r="C56">
        <f>VLOOKUP($A56,'Medical Examinations'!A:C, 3, FALSE)</f>
        <v>38.950000000000003</v>
      </c>
      <c r="D56" t="str">
        <f>VLOOKUP($A56, 'Medical Examinations'!A:D, 4, FALSE)</f>
        <v>Diabetes</v>
      </c>
      <c r="E56" t="str">
        <f>VLOOKUP($A56, 'Medical Examinations'!A:F, 6, FALSE)</f>
        <v>No</v>
      </c>
      <c r="F56" t="str">
        <f>VLOOKUP($A56, 'Medical Examinations'!A:G, 7, FALSE)</f>
        <v>No</v>
      </c>
      <c r="G56" t="str">
        <f>VLOOKUP($A56, 'Medical Examinations'!A:H, 8, FALSE)</f>
        <v>No</v>
      </c>
      <c r="H56" t="str">
        <f>VLOOKUP($A56, 'Medical Examinations'!A:J, 10, FALSE)</f>
        <v>No major surgery</v>
      </c>
      <c r="I56" t="str">
        <f>VLOOKUP($A56, 'Medical Examinations'!A:K, 11, FALSE)</f>
        <v>yes</v>
      </c>
      <c r="J56" t="str">
        <f>VLOOKUP($A56, 'Medical Examinations'!A:B, 2, FALSE)</f>
        <v>Obesity</v>
      </c>
      <c r="K56" t="str">
        <f>VLOOKUP($A56, 'Medical Examinations'!A:D, 4, FALSE)</f>
        <v>Diabetes</v>
      </c>
    </row>
    <row r="57" spans="1:11" ht="15.5" x14ac:dyDescent="0.35">
      <c r="A57" s="1" t="s">
        <v>2317</v>
      </c>
      <c r="B57" t="str">
        <f>VLOOKUP($A57, 'Customer Names'!A:D, 3, FALSE)</f>
        <v>Vishik</v>
      </c>
      <c r="C57">
        <f>VLOOKUP($A57,'Medical Examinations'!A:C, 3, FALSE)</f>
        <v>36.630000000000003</v>
      </c>
      <c r="D57" t="str">
        <f>VLOOKUP($A57, 'Medical Examinations'!A:D, 4, FALSE)</f>
        <v>Diabetes</v>
      </c>
      <c r="E57" t="str">
        <f>VLOOKUP($A57, 'Medical Examinations'!A:F, 6, FALSE)</f>
        <v>yes</v>
      </c>
      <c r="F57" t="str">
        <f>VLOOKUP($A57, 'Medical Examinations'!A:G, 7, FALSE)</f>
        <v>No</v>
      </c>
      <c r="G57" t="str">
        <f>VLOOKUP($A57, 'Medical Examinations'!A:H, 8, FALSE)</f>
        <v>No</v>
      </c>
      <c r="H57">
        <f>VLOOKUP($A57, 'Medical Examinations'!A:J, 10, FALSE)</f>
        <v>1</v>
      </c>
      <c r="I57" t="str">
        <f>VLOOKUP($A57, 'Medical Examinations'!A:K, 11, FALSE)</f>
        <v>yes</v>
      </c>
      <c r="J57" t="str">
        <f>VLOOKUP($A57, 'Medical Examinations'!A:B, 2, FALSE)</f>
        <v>Obesity</v>
      </c>
      <c r="K57" t="str">
        <f>VLOOKUP($A57, 'Medical Examinations'!A:D, 4, FALSE)</f>
        <v>Diabetes</v>
      </c>
    </row>
    <row r="58" spans="1:11" ht="15.5" x14ac:dyDescent="0.35">
      <c r="A58" s="1" t="s">
        <v>2316</v>
      </c>
      <c r="B58" t="str">
        <f>VLOOKUP($A58, 'Customer Names'!A:D, 3, FALSE)</f>
        <v>Schorr</v>
      </c>
      <c r="C58">
        <f>VLOOKUP($A58,'Medical Examinations'!A:C, 3, FALSE)</f>
        <v>34.200000000000003</v>
      </c>
      <c r="D58" t="str">
        <f>VLOOKUP($A58, 'Medical Examinations'!A:D, 4, FALSE)</f>
        <v>Prediabetes</v>
      </c>
      <c r="E58" t="str">
        <f>VLOOKUP($A58, 'Medical Examinations'!A:F, 6, FALSE)</f>
        <v>No</v>
      </c>
      <c r="F58" t="str">
        <f>VLOOKUP($A58, 'Medical Examinations'!A:G, 7, FALSE)</f>
        <v>No</v>
      </c>
      <c r="G58" t="str">
        <f>VLOOKUP($A58, 'Medical Examinations'!A:H, 8, FALSE)</f>
        <v>No</v>
      </c>
      <c r="H58">
        <f>VLOOKUP($A58, 'Medical Examinations'!A:J, 10, FALSE)</f>
        <v>2</v>
      </c>
      <c r="I58" t="str">
        <f>VLOOKUP($A58, 'Medical Examinations'!A:K, 11, FALSE)</f>
        <v>yes</v>
      </c>
      <c r="J58" t="str">
        <f>VLOOKUP($A58, 'Medical Examinations'!A:B, 2, FALSE)</f>
        <v>Obesity</v>
      </c>
      <c r="K58" t="str">
        <f>VLOOKUP($A58, 'Medical Examinations'!A:D, 4, FALSE)</f>
        <v>Prediabetes</v>
      </c>
    </row>
    <row r="59" spans="1:11" ht="15.5" x14ac:dyDescent="0.35">
      <c r="A59" s="1" t="s">
        <v>2315</v>
      </c>
      <c r="B59" t="str">
        <f>VLOOKUP($A59, 'Customer Names'!A:D, 3, FALSE)</f>
        <v>Lusardi</v>
      </c>
      <c r="C59">
        <f>VLOOKUP($A59,'Medical Examinations'!A:C, 3, FALSE)</f>
        <v>50.63</v>
      </c>
      <c r="D59" t="str">
        <f>VLOOKUP($A59, 'Medical Examinations'!A:D, 4, FALSE)</f>
        <v>Diabetes</v>
      </c>
      <c r="E59" t="str">
        <f>VLOOKUP($A59, 'Medical Examinations'!A:F, 6, FALSE)</f>
        <v>No</v>
      </c>
      <c r="F59" t="str">
        <f>VLOOKUP($A59, 'Medical Examinations'!A:G, 7, FALSE)</f>
        <v>No</v>
      </c>
      <c r="G59" t="str">
        <f>VLOOKUP($A59, 'Medical Examinations'!A:H, 8, FALSE)</f>
        <v>No</v>
      </c>
      <c r="H59" t="str">
        <f>VLOOKUP($A59, 'Medical Examinations'!A:J, 10, FALSE)</f>
        <v>No major surgery</v>
      </c>
      <c r="I59" t="str">
        <f>VLOOKUP($A59, 'Medical Examinations'!A:K, 11, FALSE)</f>
        <v>yes</v>
      </c>
      <c r="J59" t="str">
        <f>VLOOKUP($A59, 'Medical Examinations'!A:B, 2, FALSE)</f>
        <v>Obesity</v>
      </c>
      <c r="K59" t="str">
        <f>VLOOKUP($A59, 'Medical Examinations'!A:D, 4, FALSE)</f>
        <v>Diabetes</v>
      </c>
    </row>
    <row r="60" spans="1:11" ht="15.5" x14ac:dyDescent="0.35">
      <c r="A60" s="1" t="s">
        <v>2314</v>
      </c>
      <c r="B60" t="str">
        <f>VLOOKUP($A60, 'Customer Names'!A:D, 3, FALSE)</f>
        <v>Rayner</v>
      </c>
      <c r="C60">
        <f>VLOOKUP($A60,'Medical Examinations'!A:C, 3, FALSE)</f>
        <v>36.479999999999997</v>
      </c>
      <c r="D60" t="str">
        <f>VLOOKUP($A60, 'Medical Examinations'!A:D, 4, FALSE)</f>
        <v>Prediabetes</v>
      </c>
      <c r="E60" t="str">
        <f>VLOOKUP($A60, 'Medical Examinations'!A:F, 6, FALSE)</f>
        <v>No</v>
      </c>
      <c r="F60" t="str">
        <f>VLOOKUP($A60, 'Medical Examinations'!A:G, 7, FALSE)</f>
        <v>No</v>
      </c>
      <c r="G60" t="str">
        <f>VLOOKUP($A60, 'Medical Examinations'!A:H, 8, FALSE)</f>
        <v>No</v>
      </c>
      <c r="H60" t="str">
        <f>VLOOKUP($A60, 'Medical Examinations'!A:J, 10, FALSE)</f>
        <v>No major surgery</v>
      </c>
      <c r="I60" t="str">
        <f>VLOOKUP($A60, 'Medical Examinations'!A:K, 11, FALSE)</f>
        <v>yes</v>
      </c>
      <c r="J60" t="str">
        <f>VLOOKUP($A60, 'Medical Examinations'!A:B, 2, FALSE)</f>
        <v>Obesity</v>
      </c>
      <c r="K60" t="str">
        <f>VLOOKUP($A60, 'Medical Examinations'!A:D, 4, FALSE)</f>
        <v>Prediabetes</v>
      </c>
    </row>
    <row r="61" spans="1:11" ht="15.5" x14ac:dyDescent="0.35">
      <c r="A61" s="1" t="s">
        <v>2313</v>
      </c>
      <c r="B61" t="str">
        <f>VLOOKUP($A61, 'Customer Names'!A:D, 3, FALSE)</f>
        <v>Voghel</v>
      </c>
      <c r="C61">
        <f>VLOOKUP($A61,'Medical Examinations'!A:C, 3, FALSE)</f>
        <v>54.82</v>
      </c>
      <c r="D61" t="str">
        <f>VLOOKUP($A61, 'Medical Examinations'!A:D, 4, FALSE)</f>
        <v>Diabetes</v>
      </c>
      <c r="E61" t="str">
        <f>VLOOKUP($A61, 'Medical Examinations'!A:F, 6, FALSE)</f>
        <v>No</v>
      </c>
      <c r="F61" t="str">
        <f>VLOOKUP($A61, 'Medical Examinations'!A:G, 7, FALSE)</f>
        <v>No</v>
      </c>
      <c r="G61" t="str">
        <f>VLOOKUP($A61, 'Medical Examinations'!A:H, 8, FALSE)</f>
        <v>No</v>
      </c>
      <c r="H61" t="str">
        <f>VLOOKUP($A61, 'Medical Examinations'!A:J, 10, FALSE)</f>
        <v>No major surgery</v>
      </c>
      <c r="I61" t="str">
        <f>VLOOKUP($A61, 'Medical Examinations'!A:K, 11, FALSE)</f>
        <v>yes</v>
      </c>
      <c r="J61" t="str">
        <f>VLOOKUP($A61, 'Medical Examinations'!A:B, 2, FALSE)</f>
        <v>Obesity</v>
      </c>
      <c r="K61" t="str">
        <f>VLOOKUP($A61, 'Medical Examinations'!A:D, 4, FALSE)</f>
        <v>Diabetes</v>
      </c>
    </row>
    <row r="62" spans="1:11" ht="15.5" x14ac:dyDescent="0.35">
      <c r="A62" s="1" t="s">
        <v>2312</v>
      </c>
      <c r="B62" t="str">
        <f>VLOOKUP($A62, 'Customer Names'!A:D, 3, FALSE)</f>
        <v>Rieth</v>
      </c>
      <c r="C62">
        <f>VLOOKUP($A62,'Medical Examinations'!A:C, 3, FALSE)</f>
        <v>38.06</v>
      </c>
      <c r="D62" t="str">
        <f>VLOOKUP($A62, 'Medical Examinations'!A:D, 4, FALSE)</f>
        <v>Prediabetes</v>
      </c>
      <c r="E62" t="str">
        <f>VLOOKUP($A62, 'Medical Examinations'!A:F, 6, FALSE)</f>
        <v>No</v>
      </c>
      <c r="F62" t="str">
        <f>VLOOKUP($A62, 'Medical Examinations'!A:G, 7, FALSE)</f>
        <v>No</v>
      </c>
      <c r="G62" t="str">
        <f>VLOOKUP($A62, 'Medical Examinations'!A:H, 8, FALSE)</f>
        <v>Yes</v>
      </c>
      <c r="H62">
        <f>VLOOKUP($A62, 'Medical Examinations'!A:J, 10, FALSE)</f>
        <v>1</v>
      </c>
      <c r="I62" t="str">
        <f>VLOOKUP($A62, 'Medical Examinations'!A:K, 11, FALSE)</f>
        <v>yes</v>
      </c>
      <c r="J62" t="str">
        <f>VLOOKUP($A62, 'Medical Examinations'!A:B, 2, FALSE)</f>
        <v>Obesity</v>
      </c>
      <c r="K62" t="str">
        <f>VLOOKUP($A62, 'Medical Examinations'!A:D, 4, FALSE)</f>
        <v>Prediabetes</v>
      </c>
    </row>
    <row r="63" spans="1:11" ht="15.5" x14ac:dyDescent="0.35">
      <c r="A63" s="1" t="s">
        <v>2311</v>
      </c>
      <c r="B63" t="str">
        <f>VLOOKUP($A63, 'Customer Names'!A:D, 3, FALSE)</f>
        <v>Gollotto</v>
      </c>
      <c r="C63">
        <f>VLOOKUP($A63,'Medical Examinations'!A:C, 3, FALSE)</f>
        <v>51.48</v>
      </c>
      <c r="D63" t="str">
        <f>VLOOKUP($A63, 'Medical Examinations'!A:D, 4, FALSE)</f>
        <v>Diabetes</v>
      </c>
      <c r="E63" t="str">
        <f>VLOOKUP($A63, 'Medical Examinations'!A:F, 6, FALSE)</f>
        <v>yes</v>
      </c>
      <c r="F63" t="str">
        <f>VLOOKUP($A63, 'Medical Examinations'!A:G, 7, FALSE)</f>
        <v>No</v>
      </c>
      <c r="G63" t="str">
        <f>VLOOKUP($A63, 'Medical Examinations'!A:H, 8, FALSE)</f>
        <v>No</v>
      </c>
      <c r="H63" t="str">
        <f>VLOOKUP($A63, 'Medical Examinations'!A:J, 10, FALSE)</f>
        <v>No major surgery</v>
      </c>
      <c r="I63" t="str">
        <f>VLOOKUP($A63, 'Medical Examinations'!A:K, 11, FALSE)</f>
        <v>yes</v>
      </c>
      <c r="J63" t="str">
        <f>VLOOKUP($A63, 'Medical Examinations'!A:B, 2, FALSE)</f>
        <v>Obesity</v>
      </c>
      <c r="K63" t="str">
        <f>VLOOKUP($A63, 'Medical Examinations'!A:D, 4, FALSE)</f>
        <v>Diabetes</v>
      </c>
    </row>
    <row r="64" spans="1:11" ht="15.5" x14ac:dyDescent="0.35">
      <c r="A64" s="1" t="s">
        <v>2310</v>
      </c>
      <c r="B64" t="str">
        <f>VLOOKUP($A64, 'Customer Names'!A:D, 3, FALSE)</f>
        <v>Dunn</v>
      </c>
      <c r="C64">
        <f>VLOOKUP($A64,'Medical Examinations'!A:C, 3, FALSE)</f>
        <v>52.06</v>
      </c>
      <c r="D64" t="str">
        <f>VLOOKUP($A64, 'Medical Examinations'!A:D, 4, FALSE)</f>
        <v>Diabetes</v>
      </c>
      <c r="E64" t="str">
        <f>VLOOKUP($A64, 'Medical Examinations'!A:F, 6, FALSE)</f>
        <v>No</v>
      </c>
      <c r="F64" t="str">
        <f>VLOOKUP($A64, 'Medical Examinations'!A:G, 7, FALSE)</f>
        <v>No</v>
      </c>
      <c r="G64" t="str">
        <f>VLOOKUP($A64, 'Medical Examinations'!A:H, 8, FALSE)</f>
        <v>No</v>
      </c>
      <c r="H64" t="str">
        <f>VLOOKUP($A64, 'Medical Examinations'!A:J, 10, FALSE)</f>
        <v>No major surgery</v>
      </c>
      <c r="I64" t="str">
        <f>VLOOKUP($A64, 'Medical Examinations'!A:K, 11, FALSE)</f>
        <v>yes</v>
      </c>
      <c r="J64" t="str">
        <f>VLOOKUP($A64, 'Medical Examinations'!A:B, 2, FALSE)</f>
        <v>Obesity</v>
      </c>
      <c r="K64" t="str">
        <f>VLOOKUP($A64, 'Medical Examinations'!A:D, 4, FALSE)</f>
        <v>Diabetes</v>
      </c>
    </row>
    <row r="65" spans="1:11" ht="15.5" x14ac:dyDescent="0.35">
      <c r="A65" s="1" t="s">
        <v>2309</v>
      </c>
      <c r="B65" t="str">
        <f>VLOOKUP($A65, 'Customer Names'!A:D, 3, FALSE)</f>
        <v>Blitzer</v>
      </c>
      <c r="C65">
        <f>VLOOKUP($A65,'Medical Examinations'!A:C, 3, FALSE)</f>
        <v>30.684999999999999</v>
      </c>
      <c r="D65" t="str">
        <f>VLOOKUP($A65, 'Medical Examinations'!A:D, 4, FALSE)</f>
        <v>Diabetes</v>
      </c>
      <c r="E65" t="str">
        <f>VLOOKUP($A65, 'Medical Examinations'!A:F, 6, FALSE)</f>
        <v>yes</v>
      </c>
      <c r="F65" t="str">
        <f>VLOOKUP($A65, 'Medical Examinations'!A:G, 7, FALSE)</f>
        <v>No</v>
      </c>
      <c r="G65" t="str">
        <f>VLOOKUP($A65, 'Medical Examinations'!A:H, 8, FALSE)</f>
        <v>No</v>
      </c>
      <c r="H65" t="str">
        <f>VLOOKUP($A65, 'Medical Examinations'!A:J, 10, FALSE)</f>
        <v>No major surgery</v>
      </c>
      <c r="I65" t="str">
        <f>VLOOKUP($A65, 'Medical Examinations'!A:K, 11, FALSE)</f>
        <v>yes</v>
      </c>
      <c r="J65" t="str">
        <f>VLOOKUP($A65, 'Medical Examinations'!A:B, 2, FALSE)</f>
        <v>Obesity</v>
      </c>
      <c r="K65" t="str">
        <f>VLOOKUP($A65, 'Medical Examinations'!A:D, 4, FALSE)</f>
        <v>Diabetes</v>
      </c>
    </row>
    <row r="66" spans="1:11" ht="15.5" x14ac:dyDescent="0.35">
      <c r="A66" s="1" t="s">
        <v>2308</v>
      </c>
      <c r="B66" t="str">
        <f>VLOOKUP($A66, 'Customer Names'!A:D, 3, FALSE)</f>
        <v>Smith</v>
      </c>
      <c r="C66">
        <f>VLOOKUP($A66,'Medical Examinations'!A:C, 3, FALSE)</f>
        <v>36.08</v>
      </c>
      <c r="D66" t="str">
        <f>VLOOKUP($A66, 'Medical Examinations'!A:D, 4, FALSE)</f>
        <v>Diabetes</v>
      </c>
      <c r="E66" t="str">
        <f>VLOOKUP($A66, 'Medical Examinations'!A:F, 6, FALSE)</f>
        <v>yes</v>
      </c>
      <c r="F66" t="str">
        <f>VLOOKUP($A66, 'Medical Examinations'!A:G, 7, FALSE)</f>
        <v>No</v>
      </c>
      <c r="G66" t="str">
        <f>VLOOKUP($A66, 'Medical Examinations'!A:H, 8, FALSE)</f>
        <v>No</v>
      </c>
      <c r="H66">
        <f>VLOOKUP($A66, 'Medical Examinations'!A:J, 10, FALSE)</f>
        <v>1</v>
      </c>
      <c r="I66" t="str">
        <f>VLOOKUP($A66, 'Medical Examinations'!A:K, 11, FALSE)</f>
        <v>yes</v>
      </c>
      <c r="J66" t="str">
        <f>VLOOKUP($A66, 'Medical Examinations'!A:B, 2, FALSE)</f>
        <v>Obesity</v>
      </c>
      <c r="K66" t="str">
        <f>VLOOKUP($A66, 'Medical Examinations'!A:D, 4, FALSE)</f>
        <v>Diabetes</v>
      </c>
    </row>
    <row r="67" spans="1:11" ht="15.5" x14ac:dyDescent="0.35">
      <c r="A67" s="1" t="s">
        <v>2307</v>
      </c>
      <c r="B67" t="str">
        <f>VLOOKUP($A67, 'Customer Names'!A:D, 3, FALSE)</f>
        <v>Hyland</v>
      </c>
      <c r="C67">
        <f>VLOOKUP($A67,'Medical Examinations'!A:C, 3, FALSE)</f>
        <v>54.99</v>
      </c>
      <c r="D67" t="str">
        <f>VLOOKUP($A67, 'Medical Examinations'!A:D, 4, FALSE)</f>
        <v>Diabetes</v>
      </c>
      <c r="E67" t="str">
        <f>VLOOKUP($A67, 'Medical Examinations'!A:F, 6, FALSE)</f>
        <v>No</v>
      </c>
      <c r="F67" t="str">
        <f>VLOOKUP($A67, 'Medical Examinations'!A:G, 7, FALSE)</f>
        <v>No</v>
      </c>
      <c r="G67" t="str">
        <f>VLOOKUP($A67, 'Medical Examinations'!A:H, 8, FALSE)</f>
        <v>No</v>
      </c>
      <c r="H67">
        <f>VLOOKUP($A67, 'Medical Examinations'!A:J, 10, FALSE)</f>
        <v>2</v>
      </c>
      <c r="I67" t="str">
        <f>VLOOKUP($A67, 'Medical Examinations'!A:K, 11, FALSE)</f>
        <v>yes</v>
      </c>
      <c r="J67" t="str">
        <f>VLOOKUP($A67, 'Medical Examinations'!A:B, 2, FALSE)</f>
        <v>Obesity</v>
      </c>
      <c r="K67" t="str">
        <f>VLOOKUP($A67, 'Medical Examinations'!A:D, 4, FALSE)</f>
        <v>Diabetes</v>
      </c>
    </row>
    <row r="68" spans="1:11" ht="15.5" x14ac:dyDescent="0.35">
      <c r="A68" s="1" t="s">
        <v>2306</v>
      </c>
      <c r="B68" t="str">
        <f>VLOOKUP($A68, 'Customer Names'!A:D, 3, FALSE)</f>
        <v>Ducharme</v>
      </c>
      <c r="C68">
        <f>VLOOKUP($A68,'Medical Examinations'!A:C, 3, FALSE)</f>
        <v>35.97</v>
      </c>
      <c r="D68" t="str">
        <f>VLOOKUP($A68, 'Medical Examinations'!A:D, 4, FALSE)</f>
        <v>Prediabetes</v>
      </c>
      <c r="E68" t="str">
        <f>VLOOKUP($A68, 'Medical Examinations'!A:F, 6, FALSE)</f>
        <v>No</v>
      </c>
      <c r="F68" t="str">
        <f>VLOOKUP($A68, 'Medical Examinations'!A:G, 7, FALSE)</f>
        <v>No</v>
      </c>
      <c r="G68" t="str">
        <f>VLOOKUP($A68, 'Medical Examinations'!A:H, 8, FALSE)</f>
        <v>Yes</v>
      </c>
      <c r="H68">
        <f>VLOOKUP($A68, 'Medical Examinations'!A:J, 10, FALSE)</f>
        <v>1</v>
      </c>
      <c r="I68" t="str">
        <f>VLOOKUP($A68, 'Medical Examinations'!A:K, 11, FALSE)</f>
        <v>yes</v>
      </c>
      <c r="J68" t="str">
        <f>VLOOKUP($A68, 'Medical Examinations'!A:B, 2, FALSE)</f>
        <v>Obesity</v>
      </c>
      <c r="K68" t="str">
        <f>VLOOKUP($A68, 'Medical Examinations'!A:D, 4, FALSE)</f>
        <v>Prediabetes</v>
      </c>
    </row>
    <row r="69" spans="1:11" ht="15.5" x14ac:dyDescent="0.35">
      <c r="A69" s="1" t="s">
        <v>2305</v>
      </c>
      <c r="B69" t="str">
        <f>VLOOKUP($A69, 'Customer Names'!A:D, 3, FALSE)</f>
        <v>Johnson</v>
      </c>
      <c r="C69">
        <f>VLOOKUP($A69,'Medical Examinations'!A:C, 3, FALSE)</f>
        <v>45.54</v>
      </c>
      <c r="D69" t="str">
        <f>VLOOKUP($A69, 'Medical Examinations'!A:D, 4, FALSE)</f>
        <v>Normal</v>
      </c>
      <c r="E69" t="str">
        <f>VLOOKUP($A69, 'Medical Examinations'!A:F, 6, FALSE)</f>
        <v>yes</v>
      </c>
      <c r="F69" t="str">
        <f>VLOOKUP($A69, 'Medical Examinations'!A:G, 7, FALSE)</f>
        <v>No</v>
      </c>
      <c r="G69" t="str">
        <f>VLOOKUP($A69, 'Medical Examinations'!A:H, 8, FALSE)</f>
        <v>Yes</v>
      </c>
      <c r="H69">
        <f>VLOOKUP($A69, 'Medical Examinations'!A:J, 10, FALSE)</f>
        <v>1</v>
      </c>
      <c r="I69" t="str">
        <f>VLOOKUP($A69, 'Medical Examinations'!A:K, 11, FALSE)</f>
        <v>yes</v>
      </c>
      <c r="J69" t="str">
        <f>VLOOKUP($A69, 'Medical Examinations'!A:B, 2, FALSE)</f>
        <v>Obesity</v>
      </c>
      <c r="K69" t="str">
        <f>VLOOKUP($A69, 'Medical Examinations'!A:D, 4, FALSE)</f>
        <v>Normal</v>
      </c>
    </row>
    <row r="70" spans="1:11" ht="15.5" x14ac:dyDescent="0.35">
      <c r="A70" s="1" t="s">
        <v>2304</v>
      </c>
      <c r="B70" t="str">
        <f>VLOOKUP($A70, 'Customer Names'!A:D, 3, FALSE)</f>
        <v>Mutz</v>
      </c>
      <c r="C70">
        <f>VLOOKUP($A70,'Medical Examinations'!A:C, 3, FALSE)</f>
        <v>35.53</v>
      </c>
      <c r="D70" t="str">
        <f>VLOOKUP($A70, 'Medical Examinations'!A:D, 4, FALSE)</f>
        <v>Normal</v>
      </c>
      <c r="E70" t="str">
        <f>VLOOKUP($A70, 'Medical Examinations'!A:F, 6, FALSE)</f>
        <v>yes</v>
      </c>
      <c r="F70" t="str">
        <f>VLOOKUP($A70, 'Medical Examinations'!A:G, 7, FALSE)</f>
        <v>No</v>
      </c>
      <c r="G70" t="str">
        <f>VLOOKUP($A70, 'Medical Examinations'!A:H, 8, FALSE)</f>
        <v>No</v>
      </c>
      <c r="H70" t="str">
        <f>VLOOKUP($A70, 'Medical Examinations'!A:J, 10, FALSE)</f>
        <v>No major surgery</v>
      </c>
      <c r="I70" t="str">
        <f>VLOOKUP($A70, 'Medical Examinations'!A:K, 11, FALSE)</f>
        <v>yes</v>
      </c>
      <c r="J70" t="str">
        <f>VLOOKUP($A70, 'Medical Examinations'!A:B, 2, FALSE)</f>
        <v>Obesity</v>
      </c>
      <c r="K70" t="str">
        <f>VLOOKUP($A70, 'Medical Examinations'!A:D, 4, FALSE)</f>
        <v>Normal</v>
      </c>
    </row>
    <row r="71" spans="1:11" ht="15.5" x14ac:dyDescent="0.35">
      <c r="A71" s="1" t="s">
        <v>2303</v>
      </c>
      <c r="B71" t="str">
        <f>VLOOKUP($A71, 'Customer Names'!A:D, 3, FALSE)</f>
        <v>Lee</v>
      </c>
      <c r="C71">
        <f>VLOOKUP($A71,'Medical Examinations'!A:C, 3, FALSE)</f>
        <v>30.8</v>
      </c>
      <c r="D71" t="str">
        <f>VLOOKUP($A71, 'Medical Examinations'!A:D, 4, FALSE)</f>
        <v>Diabetes</v>
      </c>
      <c r="E71" t="str">
        <f>VLOOKUP($A71, 'Medical Examinations'!A:F, 6, FALSE)</f>
        <v>No</v>
      </c>
      <c r="F71" t="str">
        <f>VLOOKUP($A71, 'Medical Examinations'!A:G, 7, FALSE)</f>
        <v>No</v>
      </c>
      <c r="G71" t="str">
        <f>VLOOKUP($A71, 'Medical Examinations'!A:H, 8, FALSE)</f>
        <v>No</v>
      </c>
      <c r="H71" t="str">
        <f>VLOOKUP($A71, 'Medical Examinations'!A:J, 10, FALSE)</f>
        <v>No major surgery</v>
      </c>
      <c r="I71" t="str">
        <f>VLOOKUP($A71, 'Medical Examinations'!A:K, 11, FALSE)</f>
        <v>yes</v>
      </c>
      <c r="J71" t="str">
        <f>VLOOKUP($A71, 'Medical Examinations'!A:B, 2, FALSE)</f>
        <v>Obesity</v>
      </c>
      <c r="K71" t="str">
        <f>VLOOKUP($A71, 'Medical Examinations'!A:D, 4, FALSE)</f>
        <v>Diabetes</v>
      </c>
    </row>
    <row r="72" spans="1:11" ht="15.5" x14ac:dyDescent="0.35">
      <c r="A72" s="1" t="s">
        <v>2302</v>
      </c>
      <c r="B72" t="str">
        <f>VLOOKUP($A72, 'Customer Names'!A:D, 3, FALSE)</f>
        <v>Turner</v>
      </c>
      <c r="C72">
        <f>VLOOKUP($A72,'Medical Examinations'!A:C, 3, FALSE)</f>
        <v>38.39</v>
      </c>
      <c r="D72" t="str">
        <f>VLOOKUP($A72, 'Medical Examinations'!A:D, 4, FALSE)</f>
        <v>Normal</v>
      </c>
      <c r="E72" t="str">
        <f>VLOOKUP($A72, 'Medical Examinations'!A:F, 6, FALSE)</f>
        <v>No</v>
      </c>
      <c r="F72" t="str">
        <f>VLOOKUP($A72, 'Medical Examinations'!A:G, 7, FALSE)</f>
        <v>No</v>
      </c>
      <c r="G72" t="str">
        <f>VLOOKUP($A72, 'Medical Examinations'!A:H, 8, FALSE)</f>
        <v>No</v>
      </c>
      <c r="H72">
        <f>VLOOKUP($A72, 'Medical Examinations'!A:J, 10, FALSE)</f>
        <v>1</v>
      </c>
      <c r="I72" t="str">
        <f>VLOOKUP($A72, 'Medical Examinations'!A:K, 11, FALSE)</f>
        <v>yes</v>
      </c>
      <c r="J72" t="str">
        <f>VLOOKUP($A72, 'Medical Examinations'!A:B, 2, FALSE)</f>
        <v>Obesity</v>
      </c>
      <c r="K72" t="str">
        <f>VLOOKUP($A72, 'Medical Examinations'!A:D, 4, FALSE)</f>
        <v>Normal</v>
      </c>
    </row>
    <row r="73" spans="1:11" ht="15.5" x14ac:dyDescent="0.35">
      <c r="A73" s="1" t="s">
        <v>2301</v>
      </c>
      <c r="B73" t="str">
        <f>VLOOKUP($A73, 'Customer Names'!A:D, 3, FALSE)</f>
        <v>Rangel</v>
      </c>
      <c r="C73">
        <f>VLOOKUP($A73,'Medical Examinations'!A:C, 3, FALSE)</f>
        <v>32.299999999999997</v>
      </c>
      <c r="D73" t="str">
        <f>VLOOKUP($A73, 'Medical Examinations'!A:D, 4, FALSE)</f>
        <v>Normal</v>
      </c>
      <c r="E73" t="str">
        <f>VLOOKUP($A73, 'Medical Examinations'!A:F, 6, FALSE)</f>
        <v>No</v>
      </c>
      <c r="F73" t="str">
        <f>VLOOKUP($A73, 'Medical Examinations'!A:G, 7, FALSE)</f>
        <v>No</v>
      </c>
      <c r="G73" t="str">
        <f>VLOOKUP($A73, 'Medical Examinations'!A:H, 8, FALSE)</f>
        <v>No</v>
      </c>
      <c r="H73">
        <f>VLOOKUP($A73, 'Medical Examinations'!A:J, 10, FALSE)</f>
        <v>2</v>
      </c>
      <c r="I73" t="str">
        <f>VLOOKUP($A73, 'Medical Examinations'!A:K, 11, FALSE)</f>
        <v>yes</v>
      </c>
      <c r="J73" t="str">
        <f>VLOOKUP($A73, 'Medical Examinations'!A:B, 2, FALSE)</f>
        <v>Obesity</v>
      </c>
      <c r="K73" t="str">
        <f>VLOOKUP($A73, 'Medical Examinations'!A:D, 4, FALSE)</f>
        <v>Normal</v>
      </c>
    </row>
    <row r="74" spans="1:11" ht="15.5" x14ac:dyDescent="0.35">
      <c r="A74" s="1" t="s">
        <v>2300</v>
      </c>
      <c r="B74" t="str">
        <f>VLOOKUP($A74, 'Customer Names'!A:D, 3, FALSE)</f>
        <v>Lacey</v>
      </c>
      <c r="C74">
        <f>VLOOKUP($A74,'Medical Examinations'!A:C, 3, FALSE)</f>
        <v>48.8</v>
      </c>
      <c r="D74" t="str">
        <f>VLOOKUP($A74, 'Medical Examinations'!A:D, 4, FALSE)</f>
        <v>Prediabetes</v>
      </c>
      <c r="E74" t="str">
        <f>VLOOKUP($A74, 'Medical Examinations'!A:F, 6, FALSE)</f>
        <v>yes</v>
      </c>
      <c r="F74" t="str">
        <f>VLOOKUP($A74, 'Medical Examinations'!A:G, 7, FALSE)</f>
        <v>No</v>
      </c>
      <c r="G74" t="str">
        <f>VLOOKUP($A74, 'Medical Examinations'!A:H, 8, FALSE)</f>
        <v>No</v>
      </c>
      <c r="H74">
        <f>VLOOKUP($A74, 'Medical Examinations'!A:J, 10, FALSE)</f>
        <v>2</v>
      </c>
      <c r="I74" t="str">
        <f>VLOOKUP($A74, 'Medical Examinations'!A:K, 11, FALSE)</f>
        <v>yes</v>
      </c>
      <c r="J74" t="str">
        <f>VLOOKUP($A74, 'Medical Examinations'!A:B, 2, FALSE)</f>
        <v>Obesity</v>
      </c>
      <c r="K74" t="str">
        <f>VLOOKUP($A74, 'Medical Examinations'!A:D, 4, FALSE)</f>
        <v>Prediabetes</v>
      </c>
    </row>
    <row r="75" spans="1:11" ht="15.5" x14ac:dyDescent="0.35">
      <c r="A75" s="1" t="s">
        <v>2299</v>
      </c>
      <c r="B75" t="str">
        <f>VLOOKUP($A75, 'Customer Names'!A:D, 3, FALSE)</f>
        <v>Stiger</v>
      </c>
      <c r="C75">
        <f>VLOOKUP($A75,'Medical Examinations'!A:C, 3, FALSE)</f>
        <v>45.5</v>
      </c>
      <c r="D75" t="str">
        <f>VLOOKUP($A75, 'Medical Examinations'!A:D, 4, FALSE)</f>
        <v>Diabetes</v>
      </c>
      <c r="E75" t="str">
        <f>VLOOKUP($A75, 'Medical Examinations'!A:F, 6, FALSE)</f>
        <v>No</v>
      </c>
      <c r="F75" t="str">
        <f>VLOOKUP($A75, 'Medical Examinations'!A:G, 7, FALSE)</f>
        <v>No</v>
      </c>
      <c r="G75" t="str">
        <f>VLOOKUP($A75, 'Medical Examinations'!A:H, 8, FALSE)</f>
        <v>No</v>
      </c>
      <c r="H75" t="str">
        <f>VLOOKUP($A75, 'Medical Examinations'!A:J, 10, FALSE)</f>
        <v>No major surgery</v>
      </c>
      <c r="I75" t="str">
        <f>VLOOKUP($A75, 'Medical Examinations'!A:K, 11, FALSE)</f>
        <v>yes</v>
      </c>
      <c r="J75" t="str">
        <f>VLOOKUP($A75, 'Medical Examinations'!A:B, 2, FALSE)</f>
        <v>Obesity</v>
      </c>
      <c r="K75" t="str">
        <f>VLOOKUP($A75, 'Medical Examinations'!A:D, 4, FALSE)</f>
        <v>Diabetes</v>
      </c>
    </row>
    <row r="76" spans="1:11" ht="15.5" x14ac:dyDescent="0.35">
      <c r="A76" s="1" t="s">
        <v>2298</v>
      </c>
      <c r="B76" t="str">
        <f>VLOOKUP($A76, 'Customer Names'!A:D, 3, FALSE)</f>
        <v>Caldwell</v>
      </c>
      <c r="C76">
        <f>VLOOKUP($A76,'Medical Examinations'!A:C, 3, FALSE)</f>
        <v>53.61</v>
      </c>
      <c r="D76" t="str">
        <f>VLOOKUP($A76, 'Medical Examinations'!A:D, 4, FALSE)</f>
        <v>Diabetes</v>
      </c>
      <c r="E76" t="str">
        <f>VLOOKUP($A76, 'Medical Examinations'!A:F, 6, FALSE)</f>
        <v>yes</v>
      </c>
      <c r="F76" t="str">
        <f>VLOOKUP($A76, 'Medical Examinations'!A:G, 7, FALSE)</f>
        <v>No</v>
      </c>
      <c r="G76" t="str">
        <f>VLOOKUP($A76, 'Medical Examinations'!A:H, 8, FALSE)</f>
        <v>No</v>
      </c>
      <c r="H76">
        <f>VLOOKUP($A76, 'Medical Examinations'!A:J, 10, FALSE)</f>
        <v>1</v>
      </c>
      <c r="I76" t="str">
        <f>VLOOKUP($A76, 'Medical Examinations'!A:K, 11, FALSE)</f>
        <v>yes</v>
      </c>
      <c r="J76" t="str">
        <f>VLOOKUP($A76, 'Medical Examinations'!A:B, 2, FALSE)</f>
        <v>Obesity</v>
      </c>
      <c r="K76" t="str">
        <f>VLOOKUP($A76, 'Medical Examinations'!A:D, 4, FALSE)</f>
        <v>Diabetes</v>
      </c>
    </row>
    <row r="77" spans="1:11" ht="15.5" x14ac:dyDescent="0.35">
      <c r="A77" s="1" t="s">
        <v>2297</v>
      </c>
      <c r="B77" t="str">
        <f>VLOOKUP($A77, 'Customer Names'!A:D, 3, FALSE)</f>
        <v>Marmillod</v>
      </c>
      <c r="C77">
        <f>VLOOKUP($A77,'Medical Examinations'!A:C, 3, FALSE)</f>
        <v>36.19</v>
      </c>
      <c r="D77" t="str">
        <f>VLOOKUP($A77, 'Medical Examinations'!A:D, 4, FALSE)</f>
        <v>Diabetes</v>
      </c>
      <c r="E77" t="str">
        <f>VLOOKUP($A77, 'Medical Examinations'!A:F, 6, FALSE)</f>
        <v>yes</v>
      </c>
      <c r="F77" t="str">
        <f>VLOOKUP($A77, 'Medical Examinations'!A:G, 7, FALSE)</f>
        <v>No</v>
      </c>
      <c r="G77" t="str">
        <f>VLOOKUP($A77, 'Medical Examinations'!A:H, 8, FALSE)</f>
        <v>No</v>
      </c>
      <c r="H77">
        <f>VLOOKUP($A77, 'Medical Examinations'!A:J, 10, FALSE)</f>
        <v>1</v>
      </c>
      <c r="I77" t="str">
        <f>VLOOKUP($A77, 'Medical Examinations'!A:K, 11, FALSE)</f>
        <v>yes</v>
      </c>
      <c r="J77" t="str">
        <f>VLOOKUP($A77, 'Medical Examinations'!A:B, 2, FALSE)</f>
        <v>Obesity</v>
      </c>
      <c r="K77" t="str">
        <f>VLOOKUP($A77, 'Medical Examinations'!A:D, 4, FALSE)</f>
        <v>Diabetes</v>
      </c>
    </row>
    <row r="78" spans="1:11" ht="15.5" x14ac:dyDescent="0.35">
      <c r="A78" s="1" t="s">
        <v>2296</v>
      </c>
      <c r="B78" t="str">
        <f>VLOOKUP($A78, 'Customer Names'!A:D, 3, FALSE)</f>
        <v>Cloutier-Simons</v>
      </c>
      <c r="C78">
        <f>VLOOKUP($A78,'Medical Examinations'!A:C, 3, FALSE)</f>
        <v>34.6</v>
      </c>
      <c r="D78" t="str">
        <f>VLOOKUP($A78, 'Medical Examinations'!A:D, 4, FALSE)</f>
        <v>Prediabetes</v>
      </c>
      <c r="E78" t="str">
        <f>VLOOKUP($A78, 'Medical Examinations'!A:F, 6, FALSE)</f>
        <v>yes</v>
      </c>
      <c r="F78" t="str">
        <f>VLOOKUP($A78, 'Medical Examinations'!A:G, 7, FALSE)</f>
        <v>No</v>
      </c>
      <c r="G78" t="str">
        <f>VLOOKUP($A78, 'Medical Examinations'!A:H, 8, FALSE)</f>
        <v>No</v>
      </c>
      <c r="H78" t="str">
        <f>VLOOKUP($A78, 'Medical Examinations'!A:J, 10, FALSE)</f>
        <v>No major surgery</v>
      </c>
      <c r="I78" t="str">
        <f>VLOOKUP($A78, 'Medical Examinations'!A:K, 11, FALSE)</f>
        <v>yes</v>
      </c>
      <c r="J78" t="str">
        <f>VLOOKUP($A78, 'Medical Examinations'!A:B, 2, FALSE)</f>
        <v>Obesity</v>
      </c>
      <c r="K78" t="str">
        <f>VLOOKUP($A78, 'Medical Examinations'!A:D, 4, FALSE)</f>
        <v>Prediabetes</v>
      </c>
    </row>
    <row r="79" spans="1:11" ht="15.5" x14ac:dyDescent="0.35">
      <c r="A79" s="1" t="s">
        <v>2295</v>
      </c>
      <c r="B79" t="str">
        <f>VLOOKUP($A79, 'Customer Names'!A:D, 3, FALSE)</f>
        <v>Vegas</v>
      </c>
      <c r="C79">
        <f>VLOOKUP($A79,'Medical Examinations'!A:C, 3, FALSE)</f>
        <v>54.12</v>
      </c>
      <c r="D79" t="str">
        <f>VLOOKUP($A79, 'Medical Examinations'!A:D, 4, FALSE)</f>
        <v>Diabetes</v>
      </c>
      <c r="E79" t="str">
        <f>VLOOKUP($A79, 'Medical Examinations'!A:F, 6, FALSE)</f>
        <v>No</v>
      </c>
      <c r="F79" t="str">
        <f>VLOOKUP($A79, 'Medical Examinations'!A:G, 7, FALSE)</f>
        <v>No</v>
      </c>
      <c r="G79" t="str">
        <f>VLOOKUP($A79, 'Medical Examinations'!A:H, 8, FALSE)</f>
        <v>No</v>
      </c>
      <c r="H79" t="str">
        <f>VLOOKUP($A79, 'Medical Examinations'!A:J, 10, FALSE)</f>
        <v>No major surgery</v>
      </c>
      <c r="I79" t="str">
        <f>VLOOKUP($A79, 'Medical Examinations'!A:K, 11, FALSE)</f>
        <v>yes</v>
      </c>
      <c r="J79" t="str">
        <f>VLOOKUP($A79, 'Medical Examinations'!A:B, 2, FALSE)</f>
        <v>Obesity</v>
      </c>
      <c r="K79" t="str">
        <f>VLOOKUP($A79, 'Medical Examinations'!A:D, 4, FALSE)</f>
        <v>Diabetes</v>
      </c>
    </row>
    <row r="80" spans="1:11" ht="15.5" x14ac:dyDescent="0.35">
      <c r="A80" s="1" t="s">
        <v>2294</v>
      </c>
      <c r="B80" t="str">
        <f>VLOOKUP($A80, 'Customer Names'!A:D, 3, FALSE)</f>
        <v>Cochran</v>
      </c>
      <c r="C80">
        <f>VLOOKUP($A80,'Medical Examinations'!A:C, 3, FALSE)</f>
        <v>48.82</v>
      </c>
      <c r="D80" t="str">
        <f>VLOOKUP($A80, 'Medical Examinations'!A:D, 4, FALSE)</f>
        <v>Diabetes</v>
      </c>
      <c r="E80" t="str">
        <f>VLOOKUP($A80, 'Medical Examinations'!A:F, 6, FALSE)</f>
        <v>yes</v>
      </c>
      <c r="F80" t="str">
        <f>VLOOKUP($A80, 'Medical Examinations'!A:G, 7, FALSE)</f>
        <v>No</v>
      </c>
      <c r="G80" t="str">
        <f>VLOOKUP($A80, 'Medical Examinations'!A:H, 8, FALSE)</f>
        <v>No</v>
      </c>
      <c r="H80" t="str">
        <f>VLOOKUP($A80, 'Medical Examinations'!A:J, 10, FALSE)</f>
        <v>No major surgery</v>
      </c>
      <c r="I80" t="str">
        <f>VLOOKUP($A80, 'Medical Examinations'!A:K, 11, FALSE)</f>
        <v>yes</v>
      </c>
      <c r="J80" t="str">
        <f>VLOOKUP($A80, 'Medical Examinations'!A:B, 2, FALSE)</f>
        <v>Obesity</v>
      </c>
      <c r="K80" t="str">
        <f>VLOOKUP($A80, 'Medical Examinations'!A:D, 4, FALSE)</f>
        <v>Diabetes</v>
      </c>
    </row>
    <row r="81" spans="1:11" ht="15.5" x14ac:dyDescent="0.35">
      <c r="A81" s="1" t="s">
        <v>2293</v>
      </c>
      <c r="B81" t="str">
        <f>VLOOKUP($A81, 'Customer Names'!A:D, 3, FALSE)</f>
        <v>Holtzapple</v>
      </c>
      <c r="C81">
        <f>VLOOKUP($A81,'Medical Examinations'!A:C, 3, FALSE)</f>
        <v>51.01</v>
      </c>
      <c r="D81" t="str">
        <f>VLOOKUP($A81, 'Medical Examinations'!A:D, 4, FALSE)</f>
        <v>Diabetes</v>
      </c>
      <c r="E81" t="str">
        <f>VLOOKUP($A81, 'Medical Examinations'!A:F, 6, FALSE)</f>
        <v>No</v>
      </c>
      <c r="F81" t="str">
        <f>VLOOKUP($A81, 'Medical Examinations'!A:G, 7, FALSE)</f>
        <v>No</v>
      </c>
      <c r="G81" t="str">
        <f>VLOOKUP($A81, 'Medical Examinations'!A:H, 8, FALSE)</f>
        <v>No</v>
      </c>
      <c r="H81" t="str">
        <f>VLOOKUP($A81, 'Medical Examinations'!A:J, 10, FALSE)</f>
        <v>No major surgery</v>
      </c>
      <c r="I81" t="str">
        <f>VLOOKUP($A81, 'Medical Examinations'!A:K, 11, FALSE)</f>
        <v>yes</v>
      </c>
      <c r="J81" t="str">
        <f>VLOOKUP($A81, 'Medical Examinations'!A:B, 2, FALSE)</f>
        <v>Obesity</v>
      </c>
      <c r="K81" t="str">
        <f>VLOOKUP($A81, 'Medical Examinations'!A:D, 4, FALSE)</f>
        <v>Diabetes</v>
      </c>
    </row>
    <row r="82" spans="1:11" ht="15.5" x14ac:dyDescent="0.35">
      <c r="A82" s="1" t="s">
        <v>2292</v>
      </c>
      <c r="B82" t="str">
        <f>VLOOKUP($A82, 'Customer Names'!A:D, 3, FALSE)</f>
        <v>Meyer</v>
      </c>
      <c r="C82">
        <f>VLOOKUP($A82,'Medical Examinations'!A:C, 3, FALSE)</f>
        <v>45.65</v>
      </c>
      <c r="D82" t="str">
        <f>VLOOKUP($A82, 'Medical Examinations'!A:D, 4, FALSE)</f>
        <v>Normal</v>
      </c>
      <c r="E82" t="str">
        <f>VLOOKUP($A82, 'Medical Examinations'!A:F, 6, FALSE)</f>
        <v>yes</v>
      </c>
      <c r="F82" t="str">
        <f>VLOOKUP($A82, 'Medical Examinations'!A:G, 7, FALSE)</f>
        <v>No</v>
      </c>
      <c r="G82" t="str">
        <f>VLOOKUP($A82, 'Medical Examinations'!A:H, 8, FALSE)</f>
        <v>No</v>
      </c>
      <c r="H82">
        <f>VLOOKUP($A82, 'Medical Examinations'!A:J, 10, FALSE)</f>
        <v>1</v>
      </c>
      <c r="I82" t="str">
        <f>VLOOKUP($A82, 'Medical Examinations'!A:K, 11, FALSE)</f>
        <v>yes</v>
      </c>
      <c r="J82" t="str">
        <f>VLOOKUP($A82, 'Medical Examinations'!A:B, 2, FALSE)</f>
        <v>Obesity</v>
      </c>
      <c r="K82" t="str">
        <f>VLOOKUP($A82, 'Medical Examinations'!A:D, 4, FALSE)</f>
        <v>Normal</v>
      </c>
    </row>
    <row r="83" spans="1:11" ht="15.5" x14ac:dyDescent="0.35">
      <c r="A83" s="1" t="s">
        <v>2291</v>
      </c>
      <c r="B83" t="str">
        <f>VLOOKUP($A83, 'Customer Names'!A:D, 3, FALSE)</f>
        <v>Brickley</v>
      </c>
      <c r="C83">
        <f>VLOOKUP($A83,'Medical Examinations'!A:C, 3, FALSE)</f>
        <v>52.9</v>
      </c>
      <c r="D83" t="str">
        <f>VLOOKUP($A83, 'Medical Examinations'!A:D, 4, FALSE)</f>
        <v>Normal</v>
      </c>
      <c r="E83" t="str">
        <f>VLOOKUP($A83, 'Medical Examinations'!A:F, 6, FALSE)</f>
        <v>No</v>
      </c>
      <c r="F83" t="str">
        <f>VLOOKUP($A83, 'Medical Examinations'!A:G, 7, FALSE)</f>
        <v>No</v>
      </c>
      <c r="G83" t="str">
        <f>VLOOKUP($A83, 'Medical Examinations'!A:H, 8, FALSE)</f>
        <v>No</v>
      </c>
      <c r="H83" t="str">
        <f>VLOOKUP($A83, 'Medical Examinations'!A:J, 10, FALSE)</f>
        <v>No major surgery</v>
      </c>
      <c r="I83" t="str">
        <f>VLOOKUP($A83, 'Medical Examinations'!A:K, 11, FALSE)</f>
        <v>yes</v>
      </c>
      <c r="J83" t="str">
        <f>VLOOKUP($A83, 'Medical Examinations'!A:B, 2, FALSE)</f>
        <v>Obesity</v>
      </c>
      <c r="K83" t="str">
        <f>VLOOKUP($A83, 'Medical Examinations'!A:D, 4, FALSE)</f>
        <v>Normal</v>
      </c>
    </row>
    <row r="84" spans="1:11" ht="15.5" x14ac:dyDescent="0.35">
      <c r="A84" s="1" t="s">
        <v>2290</v>
      </c>
      <c r="B84" t="str">
        <f>VLOOKUP($A84, 'Customer Names'!A:D, 3, FALSE)</f>
        <v>Magee</v>
      </c>
      <c r="C84">
        <f>VLOOKUP($A84,'Medical Examinations'!A:C, 3, FALSE)</f>
        <v>45.41</v>
      </c>
      <c r="D84" t="str">
        <f>VLOOKUP($A84, 'Medical Examinations'!A:D, 4, FALSE)</f>
        <v>Normal</v>
      </c>
      <c r="E84" t="str">
        <f>VLOOKUP($A84, 'Medical Examinations'!A:F, 6, FALSE)</f>
        <v>yes</v>
      </c>
      <c r="F84" t="str">
        <f>VLOOKUP($A84, 'Medical Examinations'!A:G, 7, FALSE)</f>
        <v>No</v>
      </c>
      <c r="G84" t="str">
        <f>VLOOKUP($A84, 'Medical Examinations'!A:H, 8, FALSE)</f>
        <v>No</v>
      </c>
      <c r="H84">
        <f>VLOOKUP($A84, 'Medical Examinations'!A:J, 10, FALSE)</f>
        <v>1</v>
      </c>
      <c r="I84" t="str">
        <f>VLOOKUP($A84, 'Medical Examinations'!A:K, 11, FALSE)</f>
        <v>yes</v>
      </c>
      <c r="J84" t="str">
        <f>VLOOKUP($A84, 'Medical Examinations'!A:B, 2, FALSE)</f>
        <v>Obesity</v>
      </c>
      <c r="K84" t="str">
        <f>VLOOKUP($A84, 'Medical Examinations'!A:D, 4, FALSE)</f>
        <v>Normal</v>
      </c>
    </row>
    <row r="85" spans="1:11" ht="15.5" x14ac:dyDescent="0.35">
      <c r="A85" s="1" t="s">
        <v>2289</v>
      </c>
      <c r="B85" t="str">
        <f>VLOOKUP($A85, 'Customer Names'!A:D, 3, FALSE)</f>
        <v>Thoma</v>
      </c>
      <c r="C85">
        <f>VLOOKUP($A85,'Medical Examinations'!A:C, 3, FALSE)</f>
        <v>49.41</v>
      </c>
      <c r="D85" t="str">
        <f>VLOOKUP($A85, 'Medical Examinations'!A:D, 4, FALSE)</f>
        <v>Normal</v>
      </c>
      <c r="E85" t="str">
        <f>VLOOKUP($A85, 'Medical Examinations'!A:F, 6, FALSE)</f>
        <v>yes</v>
      </c>
      <c r="F85" t="str">
        <f>VLOOKUP($A85, 'Medical Examinations'!A:G, 7, FALSE)</f>
        <v>No</v>
      </c>
      <c r="G85" t="str">
        <f>VLOOKUP($A85, 'Medical Examinations'!A:H, 8, FALSE)</f>
        <v>Yes</v>
      </c>
      <c r="H85">
        <f>VLOOKUP($A85, 'Medical Examinations'!A:J, 10, FALSE)</f>
        <v>1</v>
      </c>
      <c r="I85" t="str">
        <f>VLOOKUP($A85, 'Medical Examinations'!A:K, 11, FALSE)</f>
        <v>yes</v>
      </c>
      <c r="J85" t="str">
        <f>VLOOKUP($A85, 'Medical Examinations'!A:B, 2, FALSE)</f>
        <v>Obesity</v>
      </c>
      <c r="K85" t="str">
        <f>VLOOKUP($A85, 'Medical Examinations'!A:D, 4, FALSE)</f>
        <v>Normal</v>
      </c>
    </row>
    <row r="86" spans="1:11" ht="15.5" x14ac:dyDescent="0.35">
      <c r="A86" s="1" t="s">
        <v>2288</v>
      </c>
      <c r="B86" t="str">
        <f>VLOOKUP($A86, 'Customer Names'!A:D, 3, FALSE)</f>
        <v>Heagy</v>
      </c>
      <c r="C86">
        <f>VLOOKUP($A86,'Medical Examinations'!A:C, 3, FALSE)</f>
        <v>31.824999999999999</v>
      </c>
      <c r="D86" t="str">
        <f>VLOOKUP($A86, 'Medical Examinations'!A:D, 4, FALSE)</f>
        <v>Normal</v>
      </c>
      <c r="E86" t="str">
        <f>VLOOKUP($A86, 'Medical Examinations'!A:F, 6, FALSE)</f>
        <v>No</v>
      </c>
      <c r="F86" t="str">
        <f>VLOOKUP($A86, 'Medical Examinations'!A:G, 7, FALSE)</f>
        <v>No</v>
      </c>
      <c r="G86" t="str">
        <f>VLOOKUP($A86, 'Medical Examinations'!A:H, 8, FALSE)</f>
        <v>No</v>
      </c>
      <c r="H86">
        <f>VLOOKUP($A86, 'Medical Examinations'!A:J, 10, FALSE)</f>
        <v>2</v>
      </c>
      <c r="I86" t="str">
        <f>VLOOKUP($A86, 'Medical Examinations'!A:K, 11, FALSE)</f>
        <v>yes</v>
      </c>
      <c r="J86" t="str">
        <f>VLOOKUP($A86, 'Medical Examinations'!A:B, 2, FALSE)</f>
        <v>Obesity</v>
      </c>
      <c r="K86" t="str">
        <f>VLOOKUP($A86, 'Medical Examinations'!A:D, 4, FALSE)</f>
        <v>Normal</v>
      </c>
    </row>
    <row r="87" spans="1:11" ht="15.5" x14ac:dyDescent="0.35">
      <c r="A87" s="1" t="s">
        <v>2287</v>
      </c>
      <c r="B87" t="str">
        <f>VLOOKUP($A87, 'Customer Names'!A:D, 3, FALSE)</f>
        <v>Regnier</v>
      </c>
      <c r="C87">
        <f>VLOOKUP($A87,'Medical Examinations'!A:C, 3, FALSE)</f>
        <v>51.28</v>
      </c>
      <c r="D87" t="str">
        <f>VLOOKUP($A87, 'Medical Examinations'!A:D, 4, FALSE)</f>
        <v>Normal</v>
      </c>
      <c r="E87" t="str">
        <f>VLOOKUP($A87, 'Medical Examinations'!A:F, 6, FALSE)</f>
        <v>No</v>
      </c>
      <c r="F87" t="str">
        <f>VLOOKUP($A87, 'Medical Examinations'!A:G, 7, FALSE)</f>
        <v>No</v>
      </c>
      <c r="G87" t="str">
        <f>VLOOKUP($A87, 'Medical Examinations'!A:H, 8, FALSE)</f>
        <v>No</v>
      </c>
      <c r="H87">
        <f>VLOOKUP($A87, 'Medical Examinations'!A:J, 10, FALSE)</f>
        <v>2</v>
      </c>
      <c r="I87" t="str">
        <f>VLOOKUP($A87, 'Medical Examinations'!A:K, 11, FALSE)</f>
        <v>yes</v>
      </c>
      <c r="J87" t="str">
        <f>VLOOKUP($A87, 'Medical Examinations'!A:B, 2, FALSE)</f>
        <v>Obesity</v>
      </c>
      <c r="K87" t="str">
        <f>VLOOKUP($A87, 'Medical Examinations'!A:D, 4, FALSE)</f>
        <v>Normal</v>
      </c>
    </row>
    <row r="88" spans="1:11" ht="15.5" x14ac:dyDescent="0.35">
      <c r="A88" s="1" t="s">
        <v>2286</v>
      </c>
      <c r="B88" t="str">
        <f>VLOOKUP($A88, 'Customer Names'!A:D, 3, FALSE)</f>
        <v>Parendo</v>
      </c>
      <c r="C88">
        <f>VLOOKUP($A88,'Medical Examinations'!A:C, 3, FALSE)</f>
        <v>34.96</v>
      </c>
      <c r="D88" t="str">
        <f>VLOOKUP($A88, 'Medical Examinations'!A:D, 4, FALSE)</f>
        <v>Normal</v>
      </c>
      <c r="E88" t="str">
        <f>VLOOKUP($A88, 'Medical Examinations'!A:F, 6, FALSE)</f>
        <v>No</v>
      </c>
      <c r="F88" t="str">
        <f>VLOOKUP($A88, 'Medical Examinations'!A:G, 7, FALSE)</f>
        <v>No</v>
      </c>
      <c r="G88" t="str">
        <f>VLOOKUP($A88, 'Medical Examinations'!A:H, 8, FALSE)</f>
        <v>Yes</v>
      </c>
      <c r="H88">
        <f>VLOOKUP($A88, 'Medical Examinations'!A:J, 10, FALSE)</f>
        <v>1</v>
      </c>
      <c r="I88" t="str">
        <f>VLOOKUP($A88, 'Medical Examinations'!A:K, 11, FALSE)</f>
        <v>yes</v>
      </c>
      <c r="J88" t="str">
        <f>VLOOKUP($A88, 'Medical Examinations'!A:B, 2, FALSE)</f>
        <v>Obesity</v>
      </c>
      <c r="K88" t="str">
        <f>VLOOKUP($A88, 'Medical Examinations'!A:D, 4, FALSE)</f>
        <v>Normal</v>
      </c>
    </row>
    <row r="89" spans="1:11" ht="15.5" x14ac:dyDescent="0.35">
      <c r="A89" s="1" t="s">
        <v>2285</v>
      </c>
      <c r="B89" t="str">
        <f>VLOOKUP($A89, 'Customer Names'!A:D, 3, FALSE)</f>
        <v>Schell</v>
      </c>
      <c r="C89">
        <f>VLOOKUP($A89,'Medical Examinations'!A:C, 3, FALSE)</f>
        <v>33.11</v>
      </c>
      <c r="D89" t="str">
        <f>VLOOKUP($A89, 'Medical Examinations'!A:D, 4, FALSE)</f>
        <v>Diabetes</v>
      </c>
      <c r="E89" t="str">
        <f>VLOOKUP($A89, 'Medical Examinations'!A:F, 6, FALSE)</f>
        <v>No</v>
      </c>
      <c r="F89" t="str">
        <f>VLOOKUP($A89, 'Medical Examinations'!A:G, 7, FALSE)</f>
        <v>No</v>
      </c>
      <c r="G89" t="str">
        <f>VLOOKUP($A89, 'Medical Examinations'!A:H, 8, FALSE)</f>
        <v>No</v>
      </c>
      <c r="H89" t="str">
        <f>VLOOKUP($A89, 'Medical Examinations'!A:J, 10, FALSE)</f>
        <v>No major surgery</v>
      </c>
      <c r="I89" t="str">
        <f>VLOOKUP($A89, 'Medical Examinations'!A:K, 11, FALSE)</f>
        <v>yes</v>
      </c>
      <c r="J89" t="str">
        <f>VLOOKUP($A89, 'Medical Examinations'!A:B, 2, FALSE)</f>
        <v>Obesity</v>
      </c>
      <c r="K89" t="str">
        <f>VLOOKUP($A89, 'Medical Examinations'!A:D, 4, FALSE)</f>
        <v>Diabetes</v>
      </c>
    </row>
    <row r="90" spans="1:11" ht="15.5" x14ac:dyDescent="0.35">
      <c r="A90" s="1" t="s">
        <v>2284</v>
      </c>
      <c r="B90" t="str">
        <f>VLOOKUP($A90, 'Customer Names'!A:D, 3, FALSE)</f>
        <v>Driscoll</v>
      </c>
      <c r="C90">
        <f>VLOOKUP($A90,'Medical Examinations'!A:C, 3, FALSE)</f>
        <v>54.74</v>
      </c>
      <c r="D90" t="str">
        <f>VLOOKUP($A90, 'Medical Examinations'!A:D, 4, FALSE)</f>
        <v>Prediabetes</v>
      </c>
      <c r="E90" t="str">
        <f>VLOOKUP($A90, 'Medical Examinations'!A:F, 6, FALSE)</f>
        <v>yes</v>
      </c>
      <c r="F90" t="str">
        <f>VLOOKUP($A90, 'Medical Examinations'!A:G, 7, FALSE)</f>
        <v>No</v>
      </c>
      <c r="G90" t="str">
        <f>VLOOKUP($A90, 'Medical Examinations'!A:H, 8, FALSE)</f>
        <v>Yes</v>
      </c>
      <c r="H90">
        <f>VLOOKUP($A90, 'Medical Examinations'!A:J, 10, FALSE)</f>
        <v>1</v>
      </c>
      <c r="I90" t="str">
        <f>VLOOKUP($A90, 'Medical Examinations'!A:K, 11, FALSE)</f>
        <v>yes</v>
      </c>
      <c r="J90" t="str">
        <f>VLOOKUP($A90, 'Medical Examinations'!A:B, 2, FALSE)</f>
        <v>Obesity</v>
      </c>
      <c r="K90" t="str">
        <f>VLOOKUP($A90, 'Medical Examinations'!A:D, 4, FALSE)</f>
        <v>Prediabetes</v>
      </c>
    </row>
    <row r="91" spans="1:11" ht="15.5" x14ac:dyDescent="0.35">
      <c r="A91" s="1" t="s">
        <v>2283</v>
      </c>
      <c r="B91" t="str">
        <f>VLOOKUP($A91, 'Customer Names'!A:D, 3, FALSE)</f>
        <v>Mitchell</v>
      </c>
      <c r="C91">
        <f>VLOOKUP($A91,'Medical Examinations'!A:C, 3, FALSE)</f>
        <v>32.56</v>
      </c>
      <c r="D91" t="str">
        <f>VLOOKUP($A91, 'Medical Examinations'!A:D, 4, FALSE)</f>
        <v>Normal</v>
      </c>
      <c r="E91" t="str">
        <f>VLOOKUP($A91, 'Medical Examinations'!A:F, 6, FALSE)</f>
        <v>No</v>
      </c>
      <c r="F91" t="str">
        <f>VLOOKUP($A91, 'Medical Examinations'!A:G, 7, FALSE)</f>
        <v>No</v>
      </c>
      <c r="G91" t="str">
        <f>VLOOKUP($A91, 'Medical Examinations'!A:H, 8, FALSE)</f>
        <v>Yes</v>
      </c>
      <c r="H91">
        <f>VLOOKUP($A91, 'Medical Examinations'!A:J, 10, FALSE)</f>
        <v>1</v>
      </c>
      <c r="I91" t="str">
        <f>VLOOKUP($A91, 'Medical Examinations'!A:K, 11, FALSE)</f>
        <v>yes</v>
      </c>
      <c r="J91" t="str">
        <f>VLOOKUP($A91, 'Medical Examinations'!A:B, 2, FALSE)</f>
        <v>Obesity</v>
      </c>
      <c r="K91" t="str">
        <f>VLOOKUP($A91, 'Medical Examinations'!A:D, 4, FALSE)</f>
        <v>Normal</v>
      </c>
    </row>
    <row r="92" spans="1:11" ht="15.5" x14ac:dyDescent="0.35">
      <c r="A92" s="1" t="s">
        <v>2282</v>
      </c>
      <c r="B92" t="str">
        <f>VLOOKUP($A92, 'Customer Names'!A:D, 3, FALSE)</f>
        <v>Cutler</v>
      </c>
      <c r="C92">
        <f>VLOOKUP($A92,'Medical Examinations'!A:C, 3, FALSE)</f>
        <v>39.049999999999997</v>
      </c>
      <c r="D92" t="str">
        <f>VLOOKUP($A92, 'Medical Examinations'!A:D, 4, FALSE)</f>
        <v>Prediabetes</v>
      </c>
      <c r="E92" t="str">
        <f>VLOOKUP($A92, 'Medical Examinations'!A:F, 6, FALSE)</f>
        <v>No</v>
      </c>
      <c r="F92" t="str">
        <f>VLOOKUP($A92, 'Medical Examinations'!A:G, 7, FALSE)</f>
        <v>No</v>
      </c>
      <c r="G92" t="str">
        <f>VLOOKUP($A92, 'Medical Examinations'!A:H, 8, FALSE)</f>
        <v>No</v>
      </c>
      <c r="H92">
        <f>VLOOKUP($A92, 'Medical Examinations'!A:J, 10, FALSE)</f>
        <v>1</v>
      </c>
      <c r="I92" t="str">
        <f>VLOOKUP($A92, 'Medical Examinations'!A:K, 11, FALSE)</f>
        <v>yes</v>
      </c>
      <c r="J92" t="str">
        <f>VLOOKUP($A92, 'Medical Examinations'!A:B, 2, FALSE)</f>
        <v>Obesity</v>
      </c>
      <c r="K92" t="str">
        <f>VLOOKUP($A92, 'Medical Examinations'!A:D, 4, FALSE)</f>
        <v>Prediabetes</v>
      </c>
    </row>
    <row r="93" spans="1:11" ht="15.5" x14ac:dyDescent="0.35">
      <c r="A93" s="1" t="s">
        <v>2281</v>
      </c>
      <c r="B93" t="str">
        <f>VLOOKUP($A93, 'Customer Names'!A:D, 3, FALSE)</f>
        <v>Derian</v>
      </c>
      <c r="C93">
        <f>VLOOKUP($A93,'Medical Examinations'!A:C, 3, FALSE)</f>
        <v>42.75</v>
      </c>
      <c r="D93" t="str">
        <f>VLOOKUP($A93, 'Medical Examinations'!A:D, 4, FALSE)</f>
        <v>Normal</v>
      </c>
      <c r="E93" t="str">
        <f>VLOOKUP($A93, 'Medical Examinations'!A:F, 6, FALSE)</f>
        <v>No</v>
      </c>
      <c r="F93" t="str">
        <f>VLOOKUP($A93, 'Medical Examinations'!A:G, 7, FALSE)</f>
        <v>No</v>
      </c>
      <c r="G93" t="str">
        <f>VLOOKUP($A93, 'Medical Examinations'!A:H, 8, FALSE)</f>
        <v>No</v>
      </c>
      <c r="H93" t="str">
        <f>VLOOKUP($A93, 'Medical Examinations'!A:J, 10, FALSE)</f>
        <v>No major surgery</v>
      </c>
      <c r="I93" t="str">
        <f>VLOOKUP($A93, 'Medical Examinations'!A:K, 11, FALSE)</f>
        <v>yes</v>
      </c>
      <c r="J93" t="str">
        <f>VLOOKUP($A93, 'Medical Examinations'!A:B, 2, FALSE)</f>
        <v>Obesity</v>
      </c>
      <c r="K93" t="str">
        <f>VLOOKUP($A93, 'Medical Examinations'!A:D, 4, FALSE)</f>
        <v>Normal</v>
      </c>
    </row>
    <row r="94" spans="1:11" ht="15.5" x14ac:dyDescent="0.35">
      <c r="A94" s="1" t="s">
        <v>2280</v>
      </c>
      <c r="B94" t="str">
        <f>VLOOKUP($A94, 'Customer Names'!A:D, 3, FALSE)</f>
        <v>Farina</v>
      </c>
      <c r="C94">
        <f>VLOOKUP($A94,'Medical Examinations'!A:C, 3, FALSE)</f>
        <v>50.58</v>
      </c>
      <c r="D94" t="str">
        <f>VLOOKUP($A94, 'Medical Examinations'!A:D, 4, FALSE)</f>
        <v>Normal</v>
      </c>
      <c r="E94" t="str">
        <f>VLOOKUP($A94, 'Medical Examinations'!A:F, 6, FALSE)</f>
        <v>No</v>
      </c>
      <c r="F94" t="str">
        <f>VLOOKUP($A94, 'Medical Examinations'!A:G, 7, FALSE)</f>
        <v>No</v>
      </c>
      <c r="G94" t="str">
        <f>VLOOKUP($A94, 'Medical Examinations'!A:H, 8, FALSE)</f>
        <v>No</v>
      </c>
      <c r="H94">
        <f>VLOOKUP($A94, 'Medical Examinations'!A:J, 10, FALSE)</f>
        <v>2</v>
      </c>
      <c r="I94" t="str">
        <f>VLOOKUP($A94, 'Medical Examinations'!A:K, 11, FALSE)</f>
        <v>yes</v>
      </c>
      <c r="J94" t="str">
        <f>VLOOKUP($A94, 'Medical Examinations'!A:B, 2, FALSE)</f>
        <v>Obesity</v>
      </c>
      <c r="K94" t="str">
        <f>VLOOKUP($A94, 'Medical Examinations'!A:D, 4, FALSE)</f>
        <v>Normal</v>
      </c>
    </row>
    <row r="95" spans="1:11" ht="15.5" x14ac:dyDescent="0.35">
      <c r="A95" s="1" t="s">
        <v>2279</v>
      </c>
      <c r="B95" t="str">
        <f>VLOOKUP($A95, 'Customer Names'!A:D, 3, FALSE)</f>
        <v>Saunders</v>
      </c>
      <c r="C95">
        <f>VLOOKUP($A95,'Medical Examinations'!A:C, 3, FALSE)</f>
        <v>30.495000000000001</v>
      </c>
      <c r="D95" t="str">
        <f>VLOOKUP($A95, 'Medical Examinations'!A:D, 4, FALSE)</f>
        <v>Normal</v>
      </c>
      <c r="E95" t="str">
        <f>VLOOKUP($A95, 'Medical Examinations'!A:F, 6, FALSE)</f>
        <v>yes</v>
      </c>
      <c r="F95" t="str">
        <f>VLOOKUP($A95, 'Medical Examinations'!A:G, 7, FALSE)</f>
        <v>No</v>
      </c>
      <c r="G95" t="str">
        <f>VLOOKUP($A95, 'Medical Examinations'!A:H, 8, FALSE)</f>
        <v>No</v>
      </c>
      <c r="H95" t="str">
        <f>VLOOKUP($A95, 'Medical Examinations'!A:J, 10, FALSE)</f>
        <v>No major surgery</v>
      </c>
      <c r="I95" t="str">
        <f>VLOOKUP($A95, 'Medical Examinations'!A:K, 11, FALSE)</f>
        <v>yes</v>
      </c>
      <c r="J95" t="str">
        <f>VLOOKUP($A95, 'Medical Examinations'!A:B, 2, FALSE)</f>
        <v>Obesity</v>
      </c>
      <c r="K95" t="str">
        <f>VLOOKUP($A95, 'Medical Examinations'!A:D, 4, FALSE)</f>
        <v>Normal</v>
      </c>
    </row>
    <row r="96" spans="1:11" ht="15.5" x14ac:dyDescent="0.35">
      <c r="A96" s="1" t="s">
        <v>2278</v>
      </c>
      <c r="B96" t="str">
        <f>VLOOKUP($A96, 'Customer Names'!A:D, 3, FALSE)</f>
        <v>Kratz</v>
      </c>
      <c r="C96">
        <f>VLOOKUP($A96,'Medical Examinations'!A:C, 3, FALSE)</f>
        <v>48.31</v>
      </c>
      <c r="D96" t="str">
        <f>VLOOKUP($A96, 'Medical Examinations'!A:D, 4, FALSE)</f>
        <v>Diabetes</v>
      </c>
      <c r="E96" t="str">
        <f>VLOOKUP($A96, 'Medical Examinations'!A:F, 6, FALSE)</f>
        <v>yes</v>
      </c>
      <c r="F96" t="str">
        <f>VLOOKUP($A96, 'Medical Examinations'!A:G, 7, FALSE)</f>
        <v>No</v>
      </c>
      <c r="G96" t="str">
        <f>VLOOKUP($A96, 'Medical Examinations'!A:H, 8, FALSE)</f>
        <v>No</v>
      </c>
      <c r="H96">
        <f>VLOOKUP($A96, 'Medical Examinations'!A:J, 10, FALSE)</f>
        <v>2</v>
      </c>
      <c r="I96" t="str">
        <f>VLOOKUP($A96, 'Medical Examinations'!A:K, 11, FALSE)</f>
        <v>yes</v>
      </c>
      <c r="J96" t="str">
        <f>VLOOKUP($A96, 'Medical Examinations'!A:B, 2, FALSE)</f>
        <v>Obesity</v>
      </c>
      <c r="K96" t="str">
        <f>VLOOKUP($A96, 'Medical Examinations'!A:D, 4, FALSE)</f>
        <v>Diabetes</v>
      </c>
    </row>
    <row r="97" spans="1:11" ht="15.5" x14ac:dyDescent="0.35">
      <c r="A97" s="1" t="s">
        <v>2277</v>
      </c>
      <c r="B97" t="str">
        <f>VLOOKUP($A97, 'Customer Names'!A:D, 3, FALSE)</f>
        <v>Boland</v>
      </c>
      <c r="C97">
        <f>VLOOKUP($A97,'Medical Examinations'!A:C, 3, FALSE)</f>
        <v>48.99</v>
      </c>
      <c r="D97" t="str">
        <f>VLOOKUP($A97, 'Medical Examinations'!A:D, 4, FALSE)</f>
        <v>Diabetes</v>
      </c>
      <c r="E97" t="str">
        <f>VLOOKUP($A97, 'Medical Examinations'!A:F, 6, FALSE)</f>
        <v>yes</v>
      </c>
      <c r="F97" t="str">
        <f>VLOOKUP($A97, 'Medical Examinations'!A:G, 7, FALSE)</f>
        <v>No</v>
      </c>
      <c r="G97" t="str">
        <f>VLOOKUP($A97, 'Medical Examinations'!A:H, 8, FALSE)</f>
        <v>No</v>
      </c>
      <c r="H97">
        <f>VLOOKUP($A97, 'Medical Examinations'!A:J, 10, FALSE)</f>
        <v>1</v>
      </c>
      <c r="I97" t="str">
        <f>VLOOKUP($A97, 'Medical Examinations'!A:K, 11, FALSE)</f>
        <v>yes</v>
      </c>
      <c r="J97" t="str">
        <f>VLOOKUP($A97, 'Medical Examinations'!A:B, 2, FALSE)</f>
        <v>Obesity</v>
      </c>
      <c r="K97" t="str">
        <f>VLOOKUP($A97, 'Medical Examinations'!A:D, 4, FALSE)</f>
        <v>Diabetes</v>
      </c>
    </row>
    <row r="98" spans="1:11" ht="15.5" x14ac:dyDescent="0.35">
      <c r="A98" s="1" t="s">
        <v>2276</v>
      </c>
      <c r="B98" t="str">
        <f>VLOOKUP($A98, 'Customer Names'!A:D, 3, FALSE)</f>
        <v>Van Hout</v>
      </c>
      <c r="C98">
        <f>VLOOKUP($A98,'Medical Examinations'!A:C, 3, FALSE)</f>
        <v>38.39</v>
      </c>
      <c r="D98" t="str">
        <f>VLOOKUP($A98, 'Medical Examinations'!A:D, 4, FALSE)</f>
        <v>Normal</v>
      </c>
      <c r="E98" t="str">
        <f>VLOOKUP($A98, 'Medical Examinations'!A:F, 6, FALSE)</f>
        <v>yes</v>
      </c>
      <c r="F98" t="str">
        <f>VLOOKUP($A98, 'Medical Examinations'!A:G, 7, FALSE)</f>
        <v>No</v>
      </c>
      <c r="G98" t="str">
        <f>VLOOKUP($A98, 'Medical Examinations'!A:H, 8, FALSE)</f>
        <v>No</v>
      </c>
      <c r="H98" t="str">
        <f>VLOOKUP($A98, 'Medical Examinations'!A:J, 10, FALSE)</f>
        <v>No major surgery</v>
      </c>
      <c r="I98" t="str">
        <f>VLOOKUP($A98, 'Medical Examinations'!A:K, 11, FALSE)</f>
        <v>yes</v>
      </c>
      <c r="J98" t="str">
        <f>VLOOKUP($A98, 'Medical Examinations'!A:B, 2, FALSE)</f>
        <v>Obesity</v>
      </c>
      <c r="K98" t="str">
        <f>VLOOKUP($A98, 'Medical Examinations'!A:D, 4, FALSE)</f>
        <v>Normal</v>
      </c>
    </row>
    <row r="99" spans="1:11" ht="15.5" x14ac:dyDescent="0.35">
      <c r="A99" s="1" t="s">
        <v>2275</v>
      </c>
      <c r="B99" t="str">
        <f>VLOOKUP($A99, 'Customer Names'!A:D, 3, FALSE)</f>
        <v>Ramsey</v>
      </c>
      <c r="C99">
        <f>VLOOKUP($A99,'Medical Examinations'!A:C, 3, FALSE)</f>
        <v>44.34</v>
      </c>
      <c r="D99" t="str">
        <f>VLOOKUP($A99, 'Medical Examinations'!A:D, 4, FALSE)</f>
        <v>Normal</v>
      </c>
      <c r="E99" t="str">
        <f>VLOOKUP($A99, 'Medical Examinations'!A:F, 6, FALSE)</f>
        <v>yes</v>
      </c>
      <c r="F99" t="str">
        <f>VLOOKUP($A99, 'Medical Examinations'!A:G, 7, FALSE)</f>
        <v>No</v>
      </c>
      <c r="G99" t="str">
        <f>VLOOKUP($A99, 'Medical Examinations'!A:H, 8, FALSE)</f>
        <v>No</v>
      </c>
      <c r="H99">
        <f>VLOOKUP($A99, 'Medical Examinations'!A:J, 10, FALSE)</f>
        <v>2</v>
      </c>
      <c r="I99" t="str">
        <f>VLOOKUP($A99, 'Medical Examinations'!A:K, 11, FALSE)</f>
        <v>yes</v>
      </c>
      <c r="J99" t="str">
        <f>VLOOKUP($A99, 'Medical Examinations'!A:B, 2, FALSE)</f>
        <v>Obesity</v>
      </c>
      <c r="K99" t="str">
        <f>VLOOKUP($A99, 'Medical Examinations'!A:D, 4, FALSE)</f>
        <v>Normal</v>
      </c>
    </row>
    <row r="100" spans="1:11" ht="15.5" x14ac:dyDescent="0.35">
      <c r="A100" s="1" t="s">
        <v>2274</v>
      </c>
      <c r="B100" t="str">
        <f>VLOOKUP($A100, 'Customer Names'!A:D, 3, FALSE)</f>
        <v>Gage</v>
      </c>
      <c r="C100">
        <f>VLOOKUP($A100,'Medical Examinations'!A:C, 3, FALSE)</f>
        <v>41.51</v>
      </c>
      <c r="D100" t="str">
        <f>VLOOKUP($A100, 'Medical Examinations'!A:D, 4, FALSE)</f>
        <v>Diabetes</v>
      </c>
      <c r="E100" t="str">
        <f>VLOOKUP($A100, 'Medical Examinations'!A:F, 6, FALSE)</f>
        <v>No</v>
      </c>
      <c r="F100" t="str">
        <f>VLOOKUP($A100, 'Medical Examinations'!A:G, 7, FALSE)</f>
        <v>No</v>
      </c>
      <c r="G100" t="str">
        <f>VLOOKUP($A100, 'Medical Examinations'!A:H, 8, FALSE)</f>
        <v>No</v>
      </c>
      <c r="H100" t="str">
        <f>VLOOKUP($A100, 'Medical Examinations'!A:J, 10, FALSE)</f>
        <v>No major surgery</v>
      </c>
      <c r="I100" t="str">
        <f>VLOOKUP($A100, 'Medical Examinations'!A:K, 11, FALSE)</f>
        <v>yes</v>
      </c>
      <c r="J100" t="str">
        <f>VLOOKUP($A100, 'Medical Examinations'!A:B, 2, FALSE)</f>
        <v>Obesity</v>
      </c>
      <c r="K100" t="str">
        <f>VLOOKUP($A100, 'Medical Examinations'!A:D, 4, FALSE)</f>
        <v>Diabetes</v>
      </c>
    </row>
    <row r="101" spans="1:11" ht="15.5" x14ac:dyDescent="0.35">
      <c r="A101" s="1" t="s">
        <v>2273</v>
      </c>
      <c r="B101" t="str">
        <f>VLOOKUP($A101, 'Customer Names'!A:D, 3, FALSE)</f>
        <v>Gollins</v>
      </c>
      <c r="C101">
        <f>VLOOKUP($A101,'Medical Examinations'!A:C, 3, FALSE)</f>
        <v>48.2</v>
      </c>
      <c r="D101" t="str">
        <f>VLOOKUP($A101, 'Medical Examinations'!A:D, 4, FALSE)</f>
        <v>Normal</v>
      </c>
      <c r="E101" t="str">
        <f>VLOOKUP($A101, 'Medical Examinations'!A:F, 6, FALSE)</f>
        <v>No</v>
      </c>
      <c r="F101" t="str">
        <f>VLOOKUP($A101, 'Medical Examinations'!A:G, 7, FALSE)</f>
        <v>No</v>
      </c>
      <c r="G101" t="str">
        <f>VLOOKUP($A101, 'Medical Examinations'!A:H, 8, FALSE)</f>
        <v>No</v>
      </c>
      <c r="H101" t="str">
        <f>VLOOKUP($A101, 'Medical Examinations'!A:J, 10, FALSE)</f>
        <v>No major surgery</v>
      </c>
      <c r="I101" t="str">
        <f>VLOOKUP($A101, 'Medical Examinations'!A:K, 11, FALSE)</f>
        <v>yes</v>
      </c>
      <c r="J101" t="str">
        <f>VLOOKUP($A101, 'Medical Examinations'!A:B, 2, FALSE)</f>
        <v>Obesity</v>
      </c>
      <c r="K101" t="str">
        <f>VLOOKUP($A101, 'Medical Examinations'!A:D, 4, FALSE)</f>
        <v>Normal</v>
      </c>
    </row>
    <row r="102" spans="1:11" ht="15.5" x14ac:dyDescent="0.35">
      <c r="A102" s="1" t="s">
        <v>2272</v>
      </c>
      <c r="B102" t="str">
        <f>VLOOKUP($A102, 'Customer Names'!A:D, 3, FALSE)</f>
        <v>Benestad</v>
      </c>
      <c r="C102">
        <f>VLOOKUP($A102,'Medical Examinations'!A:C, 3, FALSE)</f>
        <v>35.75</v>
      </c>
      <c r="D102" t="str">
        <f>VLOOKUP($A102, 'Medical Examinations'!A:D, 4, FALSE)</f>
        <v>Diabetes</v>
      </c>
      <c r="E102" t="str">
        <f>VLOOKUP($A102, 'Medical Examinations'!A:F, 6, FALSE)</f>
        <v>yes</v>
      </c>
      <c r="F102" t="str">
        <f>VLOOKUP($A102, 'Medical Examinations'!A:G, 7, FALSE)</f>
        <v>No</v>
      </c>
      <c r="G102" t="str">
        <f>VLOOKUP($A102, 'Medical Examinations'!A:H, 8, FALSE)</f>
        <v>No</v>
      </c>
      <c r="H102" t="str">
        <f>VLOOKUP($A102, 'Medical Examinations'!A:J, 10, FALSE)</f>
        <v>No major surgery</v>
      </c>
      <c r="I102" t="str">
        <f>VLOOKUP($A102, 'Medical Examinations'!A:K, 11, FALSE)</f>
        <v>yes</v>
      </c>
      <c r="J102" t="str">
        <f>VLOOKUP($A102, 'Medical Examinations'!A:B, 2, FALSE)</f>
        <v>Obesity</v>
      </c>
      <c r="K102" t="str">
        <f>VLOOKUP($A102, 'Medical Examinations'!A:D, 4, FALSE)</f>
        <v>Diabetes</v>
      </c>
    </row>
    <row r="103" spans="1:11" ht="15.5" x14ac:dyDescent="0.35">
      <c r="A103" s="1" t="s">
        <v>2271</v>
      </c>
      <c r="B103" t="str">
        <f>VLOOKUP($A103, 'Customer Names'!A:D, 3, FALSE)</f>
        <v>Aviv</v>
      </c>
      <c r="C103">
        <f>VLOOKUP($A103,'Medical Examinations'!A:C, 3, FALSE)</f>
        <v>53.81</v>
      </c>
      <c r="D103" t="str">
        <f>VLOOKUP($A103, 'Medical Examinations'!A:D, 4, FALSE)</f>
        <v>Diabetes</v>
      </c>
      <c r="E103" t="str">
        <f>VLOOKUP($A103, 'Medical Examinations'!A:F, 6, FALSE)</f>
        <v>yes</v>
      </c>
      <c r="F103" t="str">
        <f>VLOOKUP($A103, 'Medical Examinations'!A:G, 7, FALSE)</f>
        <v>No</v>
      </c>
      <c r="G103" t="str">
        <f>VLOOKUP($A103, 'Medical Examinations'!A:H, 8, FALSE)</f>
        <v>No</v>
      </c>
      <c r="H103" t="str">
        <f>VLOOKUP($A103, 'Medical Examinations'!A:J, 10, FALSE)</f>
        <v>No major surgery</v>
      </c>
      <c r="I103" t="str">
        <f>VLOOKUP($A103, 'Medical Examinations'!A:K, 11, FALSE)</f>
        <v>yes</v>
      </c>
      <c r="J103" t="str">
        <f>VLOOKUP($A103, 'Medical Examinations'!A:B, 2, FALSE)</f>
        <v>Obesity</v>
      </c>
      <c r="K103" t="str">
        <f>VLOOKUP($A103, 'Medical Examinations'!A:D, 4, FALSE)</f>
        <v>Diabetes</v>
      </c>
    </row>
    <row r="104" spans="1:11" ht="15.5" x14ac:dyDescent="0.35">
      <c r="A104" s="1" t="s">
        <v>2270</v>
      </c>
      <c r="B104" t="str">
        <f>VLOOKUP($A104, 'Customer Names'!A:D, 3, FALSE)</f>
        <v>Burns</v>
      </c>
      <c r="C104">
        <f>VLOOKUP($A104,'Medical Examinations'!A:C, 3, FALSE)</f>
        <v>49.48</v>
      </c>
      <c r="D104" t="str">
        <f>VLOOKUP($A104, 'Medical Examinations'!A:D, 4, FALSE)</f>
        <v>Normal</v>
      </c>
      <c r="E104" t="str">
        <f>VLOOKUP($A104, 'Medical Examinations'!A:F, 6, FALSE)</f>
        <v>No</v>
      </c>
      <c r="F104" t="str">
        <f>VLOOKUP($A104, 'Medical Examinations'!A:G, 7, FALSE)</f>
        <v>No</v>
      </c>
      <c r="G104" t="str">
        <f>VLOOKUP($A104, 'Medical Examinations'!A:H, 8, FALSE)</f>
        <v>Yes</v>
      </c>
      <c r="H104">
        <f>VLOOKUP($A104, 'Medical Examinations'!A:J, 10, FALSE)</f>
        <v>1</v>
      </c>
      <c r="I104" t="str">
        <f>VLOOKUP($A104, 'Medical Examinations'!A:K, 11, FALSE)</f>
        <v>yes</v>
      </c>
      <c r="J104" t="str">
        <f>VLOOKUP($A104, 'Medical Examinations'!A:B, 2, FALSE)</f>
        <v>Obesity</v>
      </c>
      <c r="K104" t="str">
        <f>VLOOKUP($A104, 'Medical Examinations'!A:D, 4, FALSE)</f>
        <v>Normal</v>
      </c>
    </row>
    <row r="105" spans="1:11" ht="15.5" x14ac:dyDescent="0.35">
      <c r="A105" s="1" t="s">
        <v>2269</v>
      </c>
      <c r="B105" t="str">
        <f>VLOOKUP($A105, 'Customer Names'!A:D, 3, FALSE)</f>
        <v>Maldonado</v>
      </c>
      <c r="C105">
        <f>VLOOKUP($A105,'Medical Examinations'!A:C, 3, FALSE)</f>
        <v>34.1</v>
      </c>
      <c r="D105" t="str">
        <f>VLOOKUP($A105, 'Medical Examinations'!A:D, 4, FALSE)</f>
        <v>Normal</v>
      </c>
      <c r="E105" t="str">
        <f>VLOOKUP($A105, 'Medical Examinations'!A:F, 6, FALSE)</f>
        <v>yes</v>
      </c>
      <c r="F105" t="str">
        <f>VLOOKUP($A105, 'Medical Examinations'!A:G, 7, FALSE)</f>
        <v>No</v>
      </c>
      <c r="G105" t="str">
        <f>VLOOKUP($A105, 'Medical Examinations'!A:H, 8, FALSE)</f>
        <v>No</v>
      </c>
      <c r="H105" t="str">
        <f>VLOOKUP($A105, 'Medical Examinations'!A:J, 10, FALSE)</f>
        <v>No major surgery</v>
      </c>
      <c r="I105" t="str">
        <f>VLOOKUP($A105, 'Medical Examinations'!A:K, 11, FALSE)</f>
        <v>yes</v>
      </c>
      <c r="J105" t="str">
        <f>VLOOKUP($A105, 'Medical Examinations'!A:B, 2, FALSE)</f>
        <v>Obesity</v>
      </c>
      <c r="K105" t="str">
        <f>VLOOKUP($A105, 'Medical Examinations'!A:D, 4, FALSE)</f>
        <v>Normal</v>
      </c>
    </row>
    <row r="106" spans="1:11" ht="15.5" x14ac:dyDescent="0.35">
      <c r="A106" s="1" t="s">
        <v>2268</v>
      </c>
      <c r="B106" t="str">
        <f>VLOOKUP($A106, 'Customer Names'!A:D, 3, FALSE)</f>
        <v>Yitref</v>
      </c>
      <c r="C106">
        <f>VLOOKUP($A106,'Medical Examinations'!A:C, 3, FALSE)</f>
        <v>35.299999999999997</v>
      </c>
      <c r="D106" t="str">
        <f>VLOOKUP($A106, 'Medical Examinations'!A:D, 4, FALSE)</f>
        <v>Prediabetes</v>
      </c>
      <c r="E106" t="str">
        <f>VLOOKUP($A106, 'Medical Examinations'!A:F, 6, FALSE)</f>
        <v>yes</v>
      </c>
      <c r="F106" t="str">
        <f>VLOOKUP($A106, 'Medical Examinations'!A:G, 7, FALSE)</f>
        <v>No</v>
      </c>
      <c r="G106" t="str">
        <f>VLOOKUP($A106, 'Medical Examinations'!A:H, 8, FALSE)</f>
        <v>Yes</v>
      </c>
      <c r="H106">
        <f>VLOOKUP($A106, 'Medical Examinations'!A:J, 10, FALSE)</f>
        <v>1</v>
      </c>
      <c r="I106" t="str">
        <f>VLOOKUP($A106, 'Medical Examinations'!A:K, 11, FALSE)</f>
        <v>yes</v>
      </c>
      <c r="J106" t="str">
        <f>VLOOKUP($A106, 'Medical Examinations'!A:B, 2, FALSE)</f>
        <v>Obesity</v>
      </c>
      <c r="K106" t="str">
        <f>VLOOKUP($A106, 'Medical Examinations'!A:D, 4, FALSE)</f>
        <v>Prediabetes</v>
      </c>
    </row>
    <row r="107" spans="1:11" ht="15.5" x14ac:dyDescent="0.35">
      <c r="A107" s="1" t="s">
        <v>2267</v>
      </c>
      <c r="B107" t="str">
        <f>VLOOKUP($A107, 'Customer Names'!A:D, 3, FALSE)</f>
        <v>Loudon-Brown</v>
      </c>
      <c r="C107">
        <f>VLOOKUP($A107,'Medical Examinations'!A:C, 3, FALSE)</f>
        <v>43.83</v>
      </c>
      <c r="D107" t="str">
        <f>VLOOKUP($A107, 'Medical Examinations'!A:D, 4, FALSE)</f>
        <v>Prediabetes</v>
      </c>
      <c r="E107" t="str">
        <f>VLOOKUP($A107, 'Medical Examinations'!A:F, 6, FALSE)</f>
        <v>yes</v>
      </c>
      <c r="F107" t="str">
        <f>VLOOKUP($A107, 'Medical Examinations'!A:G, 7, FALSE)</f>
        <v>No</v>
      </c>
      <c r="G107" t="str">
        <f>VLOOKUP($A107, 'Medical Examinations'!A:H, 8, FALSE)</f>
        <v>No</v>
      </c>
      <c r="H107">
        <f>VLOOKUP($A107, 'Medical Examinations'!A:J, 10, FALSE)</f>
        <v>2</v>
      </c>
      <c r="I107" t="str">
        <f>VLOOKUP($A107, 'Medical Examinations'!A:K, 11, FALSE)</f>
        <v>yes</v>
      </c>
      <c r="J107" t="str">
        <f>VLOOKUP($A107, 'Medical Examinations'!A:B, 2, FALSE)</f>
        <v>Obesity</v>
      </c>
      <c r="K107" t="str">
        <f>VLOOKUP($A107, 'Medical Examinations'!A:D, 4, FALSE)</f>
        <v>Prediabetes</v>
      </c>
    </row>
    <row r="108" spans="1:11" ht="15.5" x14ac:dyDescent="0.35">
      <c r="A108" s="1" t="s">
        <v>2266</v>
      </c>
      <c r="B108" t="str">
        <f>VLOOKUP($A108, 'Customer Names'!A:D, 3, FALSE)</f>
        <v>Sugathadasa</v>
      </c>
      <c r="C108">
        <f>VLOOKUP($A108,'Medical Examinations'!A:C, 3, FALSE)</f>
        <v>50.07</v>
      </c>
      <c r="D108" t="str">
        <f>VLOOKUP($A108, 'Medical Examinations'!A:D, 4, FALSE)</f>
        <v>Diabetes</v>
      </c>
      <c r="E108" t="str">
        <f>VLOOKUP($A108, 'Medical Examinations'!A:F, 6, FALSE)</f>
        <v>No</v>
      </c>
      <c r="F108" t="str">
        <f>VLOOKUP($A108, 'Medical Examinations'!A:G, 7, FALSE)</f>
        <v>No</v>
      </c>
      <c r="G108" t="str">
        <f>VLOOKUP($A108, 'Medical Examinations'!A:H, 8, FALSE)</f>
        <v>No</v>
      </c>
      <c r="H108" t="str">
        <f>VLOOKUP($A108, 'Medical Examinations'!A:J, 10, FALSE)</f>
        <v>No major surgery</v>
      </c>
      <c r="I108" t="str">
        <f>VLOOKUP($A108, 'Medical Examinations'!A:K, 11, FALSE)</f>
        <v>yes</v>
      </c>
      <c r="J108" t="str">
        <f>VLOOKUP($A108, 'Medical Examinations'!A:B, 2, FALSE)</f>
        <v>Obesity</v>
      </c>
      <c r="K108" t="str">
        <f>VLOOKUP($A108, 'Medical Examinations'!A:D, 4, FALSE)</f>
        <v>Diabetes</v>
      </c>
    </row>
    <row r="109" spans="1:11" ht="15.5" x14ac:dyDescent="0.35">
      <c r="A109" s="1" t="s">
        <v>2265</v>
      </c>
      <c r="B109" t="str">
        <f>VLOOKUP($A109, 'Customer Names'!A:D, 3, FALSE)</f>
        <v>Ganley</v>
      </c>
      <c r="C109">
        <f>VLOOKUP($A109,'Medical Examinations'!A:C, 3, FALSE)</f>
        <v>32.774999999999999</v>
      </c>
      <c r="D109" t="str">
        <f>VLOOKUP($A109, 'Medical Examinations'!A:D, 4, FALSE)</f>
        <v>Normal</v>
      </c>
      <c r="E109" t="str">
        <f>VLOOKUP($A109, 'Medical Examinations'!A:F, 6, FALSE)</f>
        <v>No</v>
      </c>
      <c r="F109" t="str">
        <f>VLOOKUP($A109, 'Medical Examinations'!A:G, 7, FALSE)</f>
        <v>No</v>
      </c>
      <c r="G109" t="str">
        <f>VLOOKUP($A109, 'Medical Examinations'!A:H, 8, FALSE)</f>
        <v>No</v>
      </c>
      <c r="H109" t="str">
        <f>VLOOKUP($A109, 'Medical Examinations'!A:J, 10, FALSE)</f>
        <v>No major surgery</v>
      </c>
      <c r="I109" t="str">
        <f>VLOOKUP($A109, 'Medical Examinations'!A:K, 11, FALSE)</f>
        <v>yes</v>
      </c>
      <c r="J109" t="str">
        <f>VLOOKUP($A109, 'Medical Examinations'!A:B, 2, FALSE)</f>
        <v>Obesity</v>
      </c>
      <c r="K109" t="str">
        <f>VLOOKUP($A109, 'Medical Examinations'!A:D, 4, FALSE)</f>
        <v>Normal</v>
      </c>
    </row>
    <row r="110" spans="1:11" ht="15.5" x14ac:dyDescent="0.35">
      <c r="A110" s="1" t="s">
        <v>2264</v>
      </c>
      <c r="B110" t="str">
        <f>VLOOKUP($A110, 'Customer Names'!A:D, 3, FALSE)</f>
        <v>Potter</v>
      </c>
      <c r="C110">
        <f>VLOOKUP($A110,'Medical Examinations'!A:C, 3, FALSE)</f>
        <v>34.104999999999997</v>
      </c>
      <c r="D110" t="str">
        <f>VLOOKUP($A110, 'Medical Examinations'!A:D, 4, FALSE)</f>
        <v>Normal</v>
      </c>
      <c r="E110" t="str">
        <f>VLOOKUP($A110, 'Medical Examinations'!A:F, 6, FALSE)</f>
        <v>No</v>
      </c>
      <c r="F110" t="str">
        <f>VLOOKUP($A110, 'Medical Examinations'!A:G, 7, FALSE)</f>
        <v>No</v>
      </c>
      <c r="G110" t="str">
        <f>VLOOKUP($A110, 'Medical Examinations'!A:H, 8, FALSE)</f>
        <v>No</v>
      </c>
      <c r="H110">
        <f>VLOOKUP($A110, 'Medical Examinations'!A:J, 10, FALSE)</f>
        <v>1</v>
      </c>
      <c r="I110" t="str">
        <f>VLOOKUP($A110, 'Medical Examinations'!A:K, 11, FALSE)</f>
        <v>yes</v>
      </c>
      <c r="J110" t="str">
        <f>VLOOKUP($A110, 'Medical Examinations'!A:B, 2, FALSE)</f>
        <v>Obesity</v>
      </c>
      <c r="K110" t="str">
        <f>VLOOKUP($A110, 'Medical Examinations'!A:D, 4, FALSE)</f>
        <v>Normal</v>
      </c>
    </row>
    <row r="111" spans="1:11" ht="15.5" x14ac:dyDescent="0.35">
      <c r="A111" s="1" t="s">
        <v>2263</v>
      </c>
      <c r="B111" t="str">
        <f>VLOOKUP($A111, 'Customer Names'!A:D, 3, FALSE)</f>
        <v>Rasmussen</v>
      </c>
      <c r="C111">
        <f>VLOOKUP($A111,'Medical Examinations'!A:C, 3, FALSE)</f>
        <v>48.93</v>
      </c>
      <c r="D111" t="str">
        <f>VLOOKUP($A111, 'Medical Examinations'!A:D, 4, FALSE)</f>
        <v>Diabetes</v>
      </c>
      <c r="E111" t="str">
        <f>VLOOKUP($A111, 'Medical Examinations'!A:F, 6, FALSE)</f>
        <v>yes</v>
      </c>
      <c r="F111" t="str">
        <f>VLOOKUP($A111, 'Medical Examinations'!A:G, 7, FALSE)</f>
        <v>No</v>
      </c>
      <c r="G111" t="str">
        <f>VLOOKUP($A111, 'Medical Examinations'!A:H, 8, FALSE)</f>
        <v>No</v>
      </c>
      <c r="H111">
        <f>VLOOKUP($A111, 'Medical Examinations'!A:J, 10, FALSE)</f>
        <v>1</v>
      </c>
      <c r="I111" t="str">
        <f>VLOOKUP($A111, 'Medical Examinations'!A:K, 11, FALSE)</f>
        <v>yes</v>
      </c>
      <c r="J111" t="str">
        <f>VLOOKUP($A111, 'Medical Examinations'!A:B, 2, FALSE)</f>
        <v>Obesity</v>
      </c>
      <c r="K111" t="str">
        <f>VLOOKUP($A111, 'Medical Examinations'!A:D, 4, FALSE)</f>
        <v>Diabetes</v>
      </c>
    </row>
    <row r="112" spans="1:11" ht="15.5" x14ac:dyDescent="0.35">
      <c r="A112" s="1" t="s">
        <v>2262</v>
      </c>
      <c r="B112" t="str">
        <f>VLOOKUP($A112, 'Customer Names'!A:D, 3, FALSE)</f>
        <v>Robinson</v>
      </c>
      <c r="C112">
        <f>VLOOKUP($A112,'Medical Examinations'!A:C, 3, FALSE)</f>
        <v>37.07</v>
      </c>
      <c r="D112" t="str">
        <f>VLOOKUP($A112, 'Medical Examinations'!A:D, 4, FALSE)</f>
        <v>Prediabetes</v>
      </c>
      <c r="E112" t="str">
        <f>VLOOKUP($A112, 'Medical Examinations'!A:F, 6, FALSE)</f>
        <v>yes</v>
      </c>
      <c r="F112" t="str">
        <f>VLOOKUP($A112, 'Medical Examinations'!A:G, 7, FALSE)</f>
        <v>No</v>
      </c>
      <c r="G112" t="str">
        <f>VLOOKUP($A112, 'Medical Examinations'!A:H, 8, FALSE)</f>
        <v>No</v>
      </c>
      <c r="H112" t="str">
        <f>VLOOKUP($A112, 'Medical Examinations'!A:J, 10, FALSE)</f>
        <v>No major surgery</v>
      </c>
      <c r="I112" t="str">
        <f>VLOOKUP($A112, 'Medical Examinations'!A:K, 11, FALSE)</f>
        <v>yes</v>
      </c>
      <c r="J112" t="str">
        <f>VLOOKUP($A112, 'Medical Examinations'!A:B, 2, FALSE)</f>
        <v>Obesity</v>
      </c>
      <c r="K112" t="str">
        <f>VLOOKUP($A112, 'Medical Examinations'!A:D, 4, FALSE)</f>
        <v>Prediabetes</v>
      </c>
    </row>
    <row r="113" spans="1:11" ht="15.5" x14ac:dyDescent="0.35">
      <c r="A113" s="1" t="s">
        <v>2261</v>
      </c>
      <c r="B113" t="str">
        <f>VLOOKUP($A113, 'Customer Names'!A:D, 3, FALSE)</f>
        <v>Antonopoulos</v>
      </c>
      <c r="C113">
        <f>VLOOKUP($A113,'Medical Examinations'!A:C, 3, FALSE)</f>
        <v>51.51</v>
      </c>
      <c r="D113" t="str">
        <f>VLOOKUP($A113, 'Medical Examinations'!A:D, 4, FALSE)</f>
        <v>Prediabetes</v>
      </c>
      <c r="E113" t="str">
        <f>VLOOKUP($A113, 'Medical Examinations'!A:F, 6, FALSE)</f>
        <v>yes</v>
      </c>
      <c r="F113" t="str">
        <f>VLOOKUP($A113, 'Medical Examinations'!A:G, 7, FALSE)</f>
        <v>No</v>
      </c>
      <c r="G113" t="str">
        <f>VLOOKUP($A113, 'Medical Examinations'!A:H, 8, FALSE)</f>
        <v>Yes</v>
      </c>
      <c r="H113">
        <f>VLOOKUP($A113, 'Medical Examinations'!A:J, 10, FALSE)</f>
        <v>1</v>
      </c>
      <c r="I113" t="str">
        <f>VLOOKUP($A113, 'Medical Examinations'!A:K, 11, FALSE)</f>
        <v>yes</v>
      </c>
      <c r="J113" t="str">
        <f>VLOOKUP($A113, 'Medical Examinations'!A:B, 2, FALSE)</f>
        <v>Obesity</v>
      </c>
      <c r="K113" t="str">
        <f>VLOOKUP($A113, 'Medical Examinations'!A:D, 4, FALSE)</f>
        <v>Prediabetes</v>
      </c>
    </row>
    <row r="114" spans="1:11" ht="15.5" x14ac:dyDescent="0.35">
      <c r="A114" s="1" t="s">
        <v>2260</v>
      </c>
      <c r="B114" t="str">
        <f>VLOOKUP($A114, 'Customer Names'!A:D, 3, FALSE)</f>
        <v>Groner</v>
      </c>
      <c r="C114">
        <f>VLOOKUP($A114,'Medical Examinations'!A:C, 3, FALSE)</f>
        <v>34.799999999999997</v>
      </c>
      <c r="D114" t="str">
        <f>VLOOKUP($A114, 'Medical Examinations'!A:D, 4, FALSE)</f>
        <v>Normal</v>
      </c>
      <c r="E114" t="str">
        <f>VLOOKUP($A114, 'Medical Examinations'!A:F, 6, FALSE)</f>
        <v>yes</v>
      </c>
      <c r="F114" t="str">
        <f>VLOOKUP($A114, 'Medical Examinations'!A:G, 7, FALSE)</f>
        <v>No</v>
      </c>
      <c r="G114" t="str">
        <f>VLOOKUP($A114, 'Medical Examinations'!A:H, 8, FALSE)</f>
        <v>No</v>
      </c>
      <c r="H114" t="str">
        <f>VLOOKUP($A114, 'Medical Examinations'!A:J, 10, FALSE)</f>
        <v>No major surgery</v>
      </c>
      <c r="I114" t="str">
        <f>VLOOKUP($A114, 'Medical Examinations'!A:K, 11, FALSE)</f>
        <v>yes</v>
      </c>
      <c r="J114" t="str">
        <f>VLOOKUP($A114, 'Medical Examinations'!A:B, 2, FALSE)</f>
        <v>Obesity</v>
      </c>
      <c r="K114" t="str">
        <f>VLOOKUP($A114, 'Medical Examinations'!A:D, 4, FALSE)</f>
        <v>Normal</v>
      </c>
    </row>
    <row r="115" spans="1:11" ht="15.5" x14ac:dyDescent="0.35">
      <c r="A115" s="1" t="s">
        <v>2259</v>
      </c>
      <c r="B115" t="str">
        <f>VLOOKUP($A115, 'Customer Names'!A:D, 3, FALSE)</f>
        <v>Zywicki</v>
      </c>
      <c r="C115">
        <f>VLOOKUP($A115,'Medical Examinations'!A:C, 3, FALSE)</f>
        <v>36.67</v>
      </c>
      <c r="D115" t="str">
        <f>VLOOKUP($A115, 'Medical Examinations'!A:D, 4, FALSE)</f>
        <v>Normal</v>
      </c>
      <c r="E115" t="str">
        <f>VLOOKUP($A115, 'Medical Examinations'!A:F, 6, FALSE)</f>
        <v>No</v>
      </c>
      <c r="F115" t="str">
        <f>VLOOKUP($A115, 'Medical Examinations'!A:G, 7, FALSE)</f>
        <v>No</v>
      </c>
      <c r="G115" t="str">
        <f>VLOOKUP($A115, 'Medical Examinations'!A:H, 8, FALSE)</f>
        <v>No</v>
      </c>
      <c r="H115">
        <f>VLOOKUP($A115, 'Medical Examinations'!A:J, 10, FALSE)</f>
        <v>1</v>
      </c>
      <c r="I115" t="str">
        <f>VLOOKUP($A115, 'Medical Examinations'!A:K, 11, FALSE)</f>
        <v>yes</v>
      </c>
      <c r="J115" t="str">
        <f>VLOOKUP($A115, 'Medical Examinations'!A:B, 2, FALSE)</f>
        <v>Obesity</v>
      </c>
      <c r="K115" t="str">
        <f>VLOOKUP($A115, 'Medical Examinations'!A:D, 4, FALSE)</f>
        <v>Normal</v>
      </c>
    </row>
    <row r="116" spans="1:11" ht="15.5" x14ac:dyDescent="0.35">
      <c r="A116" s="1" t="s">
        <v>2258</v>
      </c>
      <c r="B116" t="str">
        <f>VLOOKUP($A116, 'Customer Names'!A:D, 3, FALSE)</f>
        <v>Cardinal</v>
      </c>
      <c r="C116">
        <f>VLOOKUP($A116,'Medical Examinations'!A:C, 3, FALSE)</f>
        <v>30.9</v>
      </c>
      <c r="D116" t="str">
        <f>VLOOKUP($A116, 'Medical Examinations'!A:D, 4, FALSE)</f>
        <v>Diabetes</v>
      </c>
      <c r="E116" t="str">
        <f>VLOOKUP($A116, 'Medical Examinations'!A:F, 6, FALSE)</f>
        <v>No</v>
      </c>
      <c r="F116" t="str">
        <f>VLOOKUP($A116, 'Medical Examinations'!A:G, 7, FALSE)</f>
        <v>No</v>
      </c>
      <c r="G116" t="str">
        <f>VLOOKUP($A116, 'Medical Examinations'!A:H, 8, FALSE)</f>
        <v>No</v>
      </c>
      <c r="H116">
        <f>VLOOKUP($A116, 'Medical Examinations'!A:J, 10, FALSE)</f>
        <v>2</v>
      </c>
      <c r="I116" t="str">
        <f>VLOOKUP($A116, 'Medical Examinations'!A:K, 11, FALSE)</f>
        <v>yes</v>
      </c>
      <c r="J116" t="str">
        <f>VLOOKUP($A116, 'Medical Examinations'!A:B, 2, FALSE)</f>
        <v>Obesity</v>
      </c>
      <c r="K116" t="str">
        <f>VLOOKUP($A116, 'Medical Examinations'!A:D, 4, FALSE)</f>
        <v>Diabetes</v>
      </c>
    </row>
    <row r="117" spans="1:11" ht="15.5" x14ac:dyDescent="0.35">
      <c r="A117" s="1" t="s">
        <v>2257</v>
      </c>
      <c r="B117" t="str">
        <f>VLOOKUP($A117, 'Customer Names'!A:D, 3, FALSE)</f>
        <v>Alleman</v>
      </c>
      <c r="C117">
        <f>VLOOKUP($A117,'Medical Examinations'!A:C, 3, FALSE)</f>
        <v>30.495000000000001</v>
      </c>
      <c r="D117" t="str">
        <f>VLOOKUP($A117, 'Medical Examinations'!A:D, 4, FALSE)</f>
        <v>Prediabetes</v>
      </c>
      <c r="E117" t="str">
        <f>VLOOKUP($A117, 'Medical Examinations'!A:F, 6, FALSE)</f>
        <v>No</v>
      </c>
      <c r="F117" t="str">
        <f>VLOOKUP($A117, 'Medical Examinations'!A:G, 7, FALSE)</f>
        <v>No</v>
      </c>
      <c r="G117" t="str">
        <f>VLOOKUP($A117, 'Medical Examinations'!A:H, 8, FALSE)</f>
        <v>No</v>
      </c>
      <c r="H117" t="str">
        <f>VLOOKUP($A117, 'Medical Examinations'!A:J, 10, FALSE)</f>
        <v>No major surgery</v>
      </c>
      <c r="I117" t="str">
        <f>VLOOKUP($A117, 'Medical Examinations'!A:K, 11, FALSE)</f>
        <v>yes</v>
      </c>
      <c r="J117" t="str">
        <f>VLOOKUP($A117, 'Medical Examinations'!A:B, 2, FALSE)</f>
        <v>Obesity</v>
      </c>
      <c r="K117" t="str">
        <f>VLOOKUP($A117, 'Medical Examinations'!A:D, 4, FALSE)</f>
        <v>Prediabetes</v>
      </c>
    </row>
    <row r="118" spans="1:11" ht="15.5" x14ac:dyDescent="0.35">
      <c r="A118" s="1" t="s">
        <v>2256</v>
      </c>
      <c r="B118" t="str">
        <f>VLOOKUP($A118, 'Customer Names'!A:D, 3, FALSE)</f>
        <v>Stroffolino</v>
      </c>
      <c r="C118">
        <f>VLOOKUP($A118,'Medical Examinations'!A:C, 3, FALSE)</f>
        <v>44.88</v>
      </c>
      <c r="D118" t="str">
        <f>VLOOKUP($A118, 'Medical Examinations'!A:D, 4, FALSE)</f>
        <v>Prediabetes</v>
      </c>
      <c r="E118" t="str">
        <f>VLOOKUP($A118, 'Medical Examinations'!A:F, 6, FALSE)</f>
        <v>No</v>
      </c>
      <c r="F118" t="str">
        <f>VLOOKUP($A118, 'Medical Examinations'!A:G, 7, FALSE)</f>
        <v>No</v>
      </c>
      <c r="G118" t="str">
        <f>VLOOKUP($A118, 'Medical Examinations'!A:H, 8, FALSE)</f>
        <v>Yes</v>
      </c>
      <c r="H118">
        <f>VLOOKUP($A118, 'Medical Examinations'!A:J, 10, FALSE)</f>
        <v>1</v>
      </c>
      <c r="I118" t="str">
        <f>VLOOKUP($A118, 'Medical Examinations'!A:K, 11, FALSE)</f>
        <v>yes</v>
      </c>
      <c r="J118" t="str">
        <f>VLOOKUP($A118, 'Medical Examinations'!A:B, 2, FALSE)</f>
        <v>Obesity</v>
      </c>
      <c r="K118" t="str">
        <f>VLOOKUP($A118, 'Medical Examinations'!A:D, 4, FALSE)</f>
        <v>Prediabetes</v>
      </c>
    </row>
    <row r="119" spans="1:11" ht="15.5" x14ac:dyDescent="0.35">
      <c r="A119" s="1" t="s">
        <v>2255</v>
      </c>
      <c r="B119" t="str">
        <f>VLOOKUP($A119, 'Customer Names'!A:D, 3, FALSE)</f>
        <v>Clubb</v>
      </c>
      <c r="C119">
        <f>VLOOKUP($A119,'Medical Examinations'!A:C, 3, FALSE)</f>
        <v>44.32</v>
      </c>
      <c r="D119" t="str">
        <f>VLOOKUP($A119, 'Medical Examinations'!A:D, 4, FALSE)</f>
        <v>Diabetes</v>
      </c>
      <c r="E119" t="str">
        <f>VLOOKUP($A119, 'Medical Examinations'!A:F, 6, FALSE)</f>
        <v>No</v>
      </c>
      <c r="F119" t="str">
        <f>VLOOKUP($A119, 'Medical Examinations'!A:G, 7, FALSE)</f>
        <v>No</v>
      </c>
      <c r="G119" t="str">
        <f>VLOOKUP($A119, 'Medical Examinations'!A:H, 8, FALSE)</f>
        <v>No</v>
      </c>
      <c r="H119" t="str">
        <f>VLOOKUP($A119, 'Medical Examinations'!A:J, 10, FALSE)</f>
        <v>No major surgery</v>
      </c>
      <c r="I119" t="str">
        <f>VLOOKUP($A119, 'Medical Examinations'!A:K, 11, FALSE)</f>
        <v>yes</v>
      </c>
      <c r="J119" t="str">
        <f>VLOOKUP($A119, 'Medical Examinations'!A:B, 2, FALSE)</f>
        <v>Obesity</v>
      </c>
      <c r="K119" t="str">
        <f>VLOOKUP($A119, 'Medical Examinations'!A:D, 4, FALSE)</f>
        <v>Diabetes</v>
      </c>
    </row>
    <row r="120" spans="1:11" ht="15.5" x14ac:dyDescent="0.35">
      <c r="A120" s="1" t="s">
        <v>2254</v>
      </c>
      <c r="B120" t="str">
        <f>VLOOKUP($A120, 'Customer Names'!A:D, 3, FALSE)</f>
        <v>McGoogan</v>
      </c>
      <c r="C120">
        <f>VLOOKUP($A120,'Medical Examinations'!A:C, 3, FALSE)</f>
        <v>46.39</v>
      </c>
      <c r="D120" t="str">
        <f>VLOOKUP($A120, 'Medical Examinations'!A:D, 4, FALSE)</f>
        <v>Normal</v>
      </c>
      <c r="E120" t="str">
        <f>VLOOKUP($A120, 'Medical Examinations'!A:F, 6, FALSE)</f>
        <v>No</v>
      </c>
      <c r="F120" t="str">
        <f>VLOOKUP($A120, 'Medical Examinations'!A:G, 7, FALSE)</f>
        <v>No</v>
      </c>
      <c r="G120" t="str">
        <f>VLOOKUP($A120, 'Medical Examinations'!A:H, 8, FALSE)</f>
        <v>No</v>
      </c>
      <c r="H120" t="str">
        <f>VLOOKUP($A120, 'Medical Examinations'!A:J, 10, FALSE)</f>
        <v>No major surgery</v>
      </c>
      <c r="I120" t="str">
        <f>VLOOKUP($A120, 'Medical Examinations'!A:K, 11, FALSE)</f>
        <v>yes</v>
      </c>
      <c r="J120" t="str">
        <f>VLOOKUP($A120, 'Medical Examinations'!A:B, 2, FALSE)</f>
        <v>Obesity</v>
      </c>
      <c r="K120" t="str">
        <f>VLOOKUP($A120, 'Medical Examinations'!A:D, 4, FALSE)</f>
        <v>Normal</v>
      </c>
    </row>
    <row r="121" spans="1:11" ht="15.5" x14ac:dyDescent="0.35">
      <c r="A121" s="1" t="s">
        <v>2253</v>
      </c>
      <c r="B121" t="str">
        <f>VLOOKUP($A121, 'Customer Names'!A:D, 3, FALSE)</f>
        <v>Keflezighi</v>
      </c>
      <c r="C121">
        <f>VLOOKUP($A121,'Medical Examinations'!A:C, 3, FALSE)</f>
        <v>42.13</v>
      </c>
      <c r="D121" t="str">
        <f>VLOOKUP($A121, 'Medical Examinations'!A:D, 4, FALSE)</f>
        <v>Normal</v>
      </c>
      <c r="E121" t="str">
        <f>VLOOKUP($A121, 'Medical Examinations'!A:F, 6, FALSE)</f>
        <v>yes</v>
      </c>
      <c r="F121" t="str">
        <f>VLOOKUP($A121, 'Medical Examinations'!A:G, 7, FALSE)</f>
        <v>No</v>
      </c>
      <c r="G121" t="str">
        <f>VLOOKUP($A121, 'Medical Examinations'!A:H, 8, FALSE)</f>
        <v>No</v>
      </c>
      <c r="H121">
        <f>VLOOKUP($A121, 'Medical Examinations'!A:J, 10, FALSE)</f>
        <v>1</v>
      </c>
      <c r="I121" t="str">
        <f>VLOOKUP($A121, 'Medical Examinations'!A:K, 11, FALSE)</f>
        <v>yes</v>
      </c>
      <c r="J121" t="str">
        <f>VLOOKUP($A121, 'Medical Examinations'!A:B, 2, FALSE)</f>
        <v>Obesity</v>
      </c>
      <c r="K121" t="str">
        <f>VLOOKUP($A121, 'Medical Examinations'!A:D, 4, FALSE)</f>
        <v>Normal</v>
      </c>
    </row>
    <row r="122" spans="1:11" ht="15.5" x14ac:dyDescent="0.35">
      <c r="A122" s="1" t="s">
        <v>2252</v>
      </c>
      <c r="B122" t="str">
        <f>VLOOKUP($A122, 'Customer Names'!A:D, 3, FALSE)</f>
        <v>Syed</v>
      </c>
      <c r="C122">
        <f>VLOOKUP($A122,'Medical Examinations'!A:C, 3, FALSE)</f>
        <v>30.78</v>
      </c>
      <c r="D122" t="str">
        <f>VLOOKUP($A122, 'Medical Examinations'!A:D, 4, FALSE)</f>
        <v>Diabetes</v>
      </c>
      <c r="E122" t="str">
        <f>VLOOKUP($A122, 'Medical Examinations'!A:F, 6, FALSE)</f>
        <v>yes</v>
      </c>
      <c r="F122" t="str">
        <f>VLOOKUP($A122, 'Medical Examinations'!A:G, 7, FALSE)</f>
        <v>No</v>
      </c>
      <c r="G122" t="str">
        <f>VLOOKUP($A122, 'Medical Examinations'!A:H, 8, FALSE)</f>
        <v>No</v>
      </c>
      <c r="H122" t="str">
        <f>VLOOKUP($A122, 'Medical Examinations'!A:J, 10, FALSE)</f>
        <v>No major surgery</v>
      </c>
      <c r="I122" t="str">
        <f>VLOOKUP($A122, 'Medical Examinations'!A:K, 11, FALSE)</f>
        <v>yes</v>
      </c>
      <c r="J122" t="str">
        <f>VLOOKUP($A122, 'Medical Examinations'!A:B, 2, FALSE)</f>
        <v>Obesity</v>
      </c>
      <c r="K122" t="str">
        <f>VLOOKUP($A122, 'Medical Examinations'!A:D, 4, FALSE)</f>
        <v>Diabetes</v>
      </c>
    </row>
    <row r="123" spans="1:11" ht="15.5" x14ac:dyDescent="0.35">
      <c r="A123" s="1" t="s">
        <v>2251</v>
      </c>
      <c r="B123" t="str">
        <f>VLOOKUP($A123, 'Customer Names'!A:D, 3, FALSE)</f>
        <v>Segal</v>
      </c>
      <c r="C123">
        <f>VLOOKUP($A123,'Medical Examinations'!A:C, 3, FALSE)</f>
        <v>31.35</v>
      </c>
      <c r="D123" t="str">
        <f>VLOOKUP($A123, 'Medical Examinations'!A:D, 4, FALSE)</f>
        <v>Diabetes</v>
      </c>
      <c r="E123" t="str">
        <f>VLOOKUP($A123, 'Medical Examinations'!A:F, 6, FALSE)</f>
        <v>No</v>
      </c>
      <c r="F123" t="str">
        <f>VLOOKUP($A123, 'Medical Examinations'!A:G, 7, FALSE)</f>
        <v>No</v>
      </c>
      <c r="G123" t="str">
        <f>VLOOKUP($A123, 'Medical Examinations'!A:H, 8, FALSE)</f>
        <v>No</v>
      </c>
      <c r="H123" t="str">
        <f>VLOOKUP($A123, 'Medical Examinations'!A:J, 10, FALSE)</f>
        <v>No major surgery</v>
      </c>
      <c r="I123" t="str">
        <f>VLOOKUP($A123, 'Medical Examinations'!A:K, 11, FALSE)</f>
        <v>yes</v>
      </c>
      <c r="J123" t="str">
        <f>VLOOKUP($A123, 'Medical Examinations'!A:B, 2, FALSE)</f>
        <v>Obesity</v>
      </c>
      <c r="K123" t="str">
        <f>VLOOKUP($A123, 'Medical Examinations'!A:D, 4, FALSE)</f>
        <v>Diabetes</v>
      </c>
    </row>
    <row r="124" spans="1:11" ht="15.5" x14ac:dyDescent="0.35">
      <c r="A124" s="1" t="s">
        <v>2250</v>
      </c>
      <c r="B124" t="str">
        <f>VLOOKUP($A124, 'Customer Names'!A:D, 3, FALSE)</f>
        <v>Defranco</v>
      </c>
      <c r="C124">
        <f>VLOOKUP($A124,'Medical Examinations'!A:C, 3, FALSE)</f>
        <v>41.46</v>
      </c>
      <c r="D124" t="str">
        <f>VLOOKUP($A124, 'Medical Examinations'!A:D, 4, FALSE)</f>
        <v>Normal</v>
      </c>
      <c r="E124" t="str">
        <f>VLOOKUP($A124, 'Medical Examinations'!A:F, 6, FALSE)</f>
        <v>yes</v>
      </c>
      <c r="F124" t="str">
        <f>VLOOKUP($A124, 'Medical Examinations'!A:G, 7, FALSE)</f>
        <v>No</v>
      </c>
      <c r="G124" t="str">
        <f>VLOOKUP($A124, 'Medical Examinations'!A:H, 8, FALSE)</f>
        <v>No</v>
      </c>
      <c r="H124">
        <f>VLOOKUP($A124, 'Medical Examinations'!A:J, 10, FALSE)</f>
        <v>2</v>
      </c>
      <c r="I124" t="str">
        <f>VLOOKUP($A124, 'Medical Examinations'!A:K, 11, FALSE)</f>
        <v>yes</v>
      </c>
      <c r="J124" t="str">
        <f>VLOOKUP($A124, 'Medical Examinations'!A:B, 2, FALSE)</f>
        <v>Obesity</v>
      </c>
      <c r="K124" t="str">
        <f>VLOOKUP($A124, 'Medical Examinations'!A:D, 4, FALSE)</f>
        <v>Normal</v>
      </c>
    </row>
    <row r="125" spans="1:11" ht="15.5" x14ac:dyDescent="0.35">
      <c r="A125" s="1" t="s">
        <v>2249</v>
      </c>
      <c r="B125" t="str">
        <f>VLOOKUP($A125, 'Customer Names'!A:D, 3, FALSE)</f>
        <v>Kells</v>
      </c>
      <c r="C125">
        <f>VLOOKUP($A125,'Medical Examinations'!A:C, 3, FALSE)</f>
        <v>48</v>
      </c>
      <c r="D125" t="str">
        <f>VLOOKUP($A125, 'Medical Examinations'!A:D, 4, FALSE)</f>
        <v>Diabetes</v>
      </c>
      <c r="E125" t="str">
        <f>VLOOKUP($A125, 'Medical Examinations'!A:F, 6, FALSE)</f>
        <v>No</v>
      </c>
      <c r="F125" t="str">
        <f>VLOOKUP($A125, 'Medical Examinations'!A:G, 7, FALSE)</f>
        <v>No</v>
      </c>
      <c r="G125" t="str">
        <f>VLOOKUP($A125, 'Medical Examinations'!A:H, 8, FALSE)</f>
        <v>No</v>
      </c>
      <c r="H125" t="str">
        <f>VLOOKUP($A125, 'Medical Examinations'!A:J, 10, FALSE)</f>
        <v>No major surgery</v>
      </c>
      <c r="I125" t="str">
        <f>VLOOKUP($A125, 'Medical Examinations'!A:K, 11, FALSE)</f>
        <v>yes</v>
      </c>
      <c r="J125" t="str">
        <f>VLOOKUP($A125, 'Medical Examinations'!A:B, 2, FALSE)</f>
        <v>Obesity</v>
      </c>
      <c r="K125" t="str">
        <f>VLOOKUP($A125, 'Medical Examinations'!A:D, 4, FALSE)</f>
        <v>Diabetes</v>
      </c>
    </row>
    <row r="126" spans="1:11" ht="15.5" x14ac:dyDescent="0.35">
      <c r="A126" s="1" t="s">
        <v>2248</v>
      </c>
      <c r="B126" t="str">
        <f>VLOOKUP($A126, 'Customer Names'!A:D, 3, FALSE)</f>
        <v>Lawton</v>
      </c>
      <c r="C126">
        <f>VLOOKUP($A126,'Medical Examinations'!A:C, 3, FALSE)</f>
        <v>49.13</v>
      </c>
      <c r="D126" t="str">
        <f>VLOOKUP($A126, 'Medical Examinations'!A:D, 4, FALSE)</f>
        <v>Normal</v>
      </c>
      <c r="E126" t="str">
        <f>VLOOKUP($A126, 'Medical Examinations'!A:F, 6, FALSE)</f>
        <v>No</v>
      </c>
      <c r="F126" t="str">
        <f>VLOOKUP($A126, 'Medical Examinations'!A:G, 7, FALSE)</f>
        <v>No</v>
      </c>
      <c r="G126" t="str">
        <f>VLOOKUP($A126, 'Medical Examinations'!A:H, 8, FALSE)</f>
        <v>No</v>
      </c>
      <c r="H126" t="str">
        <f>VLOOKUP($A126, 'Medical Examinations'!A:J, 10, FALSE)</f>
        <v>No major surgery</v>
      </c>
      <c r="I126" t="str">
        <f>VLOOKUP($A126, 'Medical Examinations'!A:K, 11, FALSE)</f>
        <v>yes</v>
      </c>
      <c r="J126" t="str">
        <f>VLOOKUP($A126, 'Medical Examinations'!A:B, 2, FALSE)</f>
        <v>Obesity</v>
      </c>
      <c r="K126" t="str">
        <f>VLOOKUP($A126, 'Medical Examinations'!A:D, 4, FALSE)</f>
        <v>Normal</v>
      </c>
    </row>
    <row r="127" spans="1:11" ht="15.5" x14ac:dyDescent="0.35">
      <c r="A127" s="1" t="s">
        <v>2247</v>
      </c>
      <c r="B127" t="str">
        <f>VLOOKUP($A127, 'Customer Names'!A:D, 3, FALSE)</f>
        <v>Bejar</v>
      </c>
      <c r="C127">
        <f>VLOOKUP($A127,'Medical Examinations'!A:C, 3, FALSE)</f>
        <v>37.799999999999997</v>
      </c>
      <c r="D127" t="str">
        <f>VLOOKUP($A127, 'Medical Examinations'!A:D, 4, FALSE)</f>
        <v>Prediabetes</v>
      </c>
      <c r="E127" t="str">
        <f>VLOOKUP($A127, 'Medical Examinations'!A:F, 6, FALSE)</f>
        <v>No</v>
      </c>
      <c r="F127" t="str">
        <f>VLOOKUP($A127, 'Medical Examinations'!A:G, 7, FALSE)</f>
        <v>No</v>
      </c>
      <c r="G127" t="str">
        <f>VLOOKUP($A127, 'Medical Examinations'!A:H, 8, FALSE)</f>
        <v>No</v>
      </c>
      <c r="H127">
        <f>VLOOKUP($A127, 'Medical Examinations'!A:J, 10, FALSE)</f>
        <v>1</v>
      </c>
      <c r="I127" t="str">
        <f>VLOOKUP($A127, 'Medical Examinations'!A:K, 11, FALSE)</f>
        <v>yes</v>
      </c>
      <c r="J127" t="str">
        <f>VLOOKUP($A127, 'Medical Examinations'!A:B, 2, FALSE)</f>
        <v>Obesity</v>
      </c>
      <c r="K127" t="str">
        <f>VLOOKUP($A127, 'Medical Examinations'!A:D, 4, FALSE)</f>
        <v>Prediabetes</v>
      </c>
    </row>
    <row r="128" spans="1:11" ht="15.5" x14ac:dyDescent="0.35">
      <c r="A128" s="1" t="s">
        <v>2246</v>
      </c>
      <c r="B128" t="str">
        <f>VLOOKUP($A128, 'Customer Names'!A:D, 3, FALSE)</f>
        <v>Navarro Castro</v>
      </c>
      <c r="C128">
        <f>VLOOKUP($A128,'Medical Examinations'!A:C, 3, FALSE)</f>
        <v>38.299999999999997</v>
      </c>
      <c r="D128" t="str">
        <f>VLOOKUP($A128, 'Medical Examinations'!A:D, 4, FALSE)</f>
        <v>Diabetes</v>
      </c>
      <c r="E128" t="str">
        <f>VLOOKUP($A128, 'Medical Examinations'!A:F, 6, FALSE)</f>
        <v>No</v>
      </c>
      <c r="F128" t="str">
        <f>VLOOKUP($A128, 'Medical Examinations'!A:G, 7, FALSE)</f>
        <v>No</v>
      </c>
      <c r="G128" t="str">
        <f>VLOOKUP($A128, 'Medical Examinations'!A:H, 8, FALSE)</f>
        <v>No</v>
      </c>
      <c r="H128" t="str">
        <f>VLOOKUP($A128, 'Medical Examinations'!A:J, 10, FALSE)</f>
        <v>No major surgery</v>
      </c>
      <c r="I128" t="str">
        <f>VLOOKUP($A128, 'Medical Examinations'!A:K, 11, FALSE)</f>
        <v>yes</v>
      </c>
      <c r="J128" t="str">
        <f>VLOOKUP($A128, 'Medical Examinations'!A:B, 2, FALSE)</f>
        <v>Obesity</v>
      </c>
      <c r="K128" t="str">
        <f>VLOOKUP($A128, 'Medical Examinations'!A:D, 4, FALSE)</f>
        <v>Diabetes</v>
      </c>
    </row>
    <row r="129" spans="1:11" ht="15.5" x14ac:dyDescent="0.35">
      <c r="A129" s="1" t="s">
        <v>2245</v>
      </c>
      <c r="B129" t="str">
        <f>VLOOKUP($A129, 'Customer Names'!A:D, 3, FALSE)</f>
        <v>Tice</v>
      </c>
      <c r="C129">
        <f>VLOOKUP($A129,'Medical Examinations'!A:C, 3, FALSE)</f>
        <v>32.774999999999999</v>
      </c>
      <c r="D129" t="str">
        <f>VLOOKUP($A129, 'Medical Examinations'!A:D, 4, FALSE)</f>
        <v>Normal</v>
      </c>
      <c r="E129" t="str">
        <f>VLOOKUP($A129, 'Medical Examinations'!A:F, 6, FALSE)</f>
        <v>No</v>
      </c>
      <c r="F129" t="str">
        <f>VLOOKUP($A129, 'Medical Examinations'!A:G, 7, FALSE)</f>
        <v>No</v>
      </c>
      <c r="G129" t="str">
        <f>VLOOKUP($A129, 'Medical Examinations'!A:H, 8, FALSE)</f>
        <v>No</v>
      </c>
      <c r="H129" t="str">
        <f>VLOOKUP($A129, 'Medical Examinations'!A:J, 10, FALSE)</f>
        <v>No major surgery</v>
      </c>
      <c r="I129" t="str">
        <f>VLOOKUP($A129, 'Medical Examinations'!A:K, 11, FALSE)</f>
        <v>yes</v>
      </c>
      <c r="J129" t="str">
        <f>VLOOKUP($A129, 'Medical Examinations'!A:B, 2, FALSE)</f>
        <v>Obesity</v>
      </c>
      <c r="K129" t="str">
        <f>VLOOKUP($A129, 'Medical Examinations'!A:D, 4, FALSE)</f>
        <v>Normal</v>
      </c>
    </row>
    <row r="130" spans="1:11" ht="15.5" x14ac:dyDescent="0.35">
      <c r="A130" s="1" t="s">
        <v>2244</v>
      </c>
      <c r="B130" t="str">
        <f>VLOOKUP($A130, 'Customer Names'!A:D, 3, FALSE)</f>
        <v>Wolf</v>
      </c>
      <c r="C130">
        <f>VLOOKUP($A130,'Medical Examinations'!A:C, 3, FALSE)</f>
        <v>34.200000000000003</v>
      </c>
      <c r="D130" t="str">
        <f>VLOOKUP($A130, 'Medical Examinations'!A:D, 4, FALSE)</f>
        <v>Prediabetes</v>
      </c>
      <c r="E130" t="str">
        <f>VLOOKUP($A130, 'Medical Examinations'!A:F, 6, FALSE)</f>
        <v>yes</v>
      </c>
      <c r="F130" t="str">
        <f>VLOOKUP($A130, 'Medical Examinations'!A:G, 7, FALSE)</f>
        <v>No</v>
      </c>
      <c r="G130" t="str">
        <f>VLOOKUP($A130, 'Medical Examinations'!A:H, 8, FALSE)</f>
        <v>No</v>
      </c>
      <c r="H130" t="str">
        <f>VLOOKUP($A130, 'Medical Examinations'!A:J, 10, FALSE)</f>
        <v>No major surgery</v>
      </c>
      <c r="I130" t="str">
        <f>VLOOKUP($A130, 'Medical Examinations'!A:K, 11, FALSE)</f>
        <v>yes</v>
      </c>
      <c r="J130" t="str">
        <f>VLOOKUP($A130, 'Medical Examinations'!A:B, 2, FALSE)</f>
        <v>Obesity</v>
      </c>
      <c r="K130" t="str">
        <f>VLOOKUP($A130, 'Medical Examinations'!A:D, 4, FALSE)</f>
        <v>Prediabetes</v>
      </c>
    </row>
    <row r="131" spans="1:11" ht="15.5" x14ac:dyDescent="0.35">
      <c r="A131" s="1" t="s">
        <v>2243</v>
      </c>
      <c r="B131" t="str">
        <f>VLOOKUP($A131, 'Customer Names'!A:D, 3, FALSE)</f>
        <v>Oppedal</v>
      </c>
      <c r="C131">
        <f>VLOOKUP($A131,'Medical Examinations'!A:C, 3, FALSE)</f>
        <v>30.2</v>
      </c>
      <c r="D131" t="str">
        <f>VLOOKUP($A131, 'Medical Examinations'!A:D, 4, FALSE)</f>
        <v>Diabetes</v>
      </c>
      <c r="E131" t="str">
        <f>VLOOKUP($A131, 'Medical Examinations'!A:F, 6, FALSE)</f>
        <v>No</v>
      </c>
      <c r="F131" t="str">
        <f>VLOOKUP($A131, 'Medical Examinations'!A:G, 7, FALSE)</f>
        <v>No</v>
      </c>
      <c r="G131" t="str">
        <f>VLOOKUP($A131, 'Medical Examinations'!A:H, 8, FALSE)</f>
        <v>No</v>
      </c>
      <c r="H131" t="str">
        <f>VLOOKUP($A131, 'Medical Examinations'!A:J, 10, FALSE)</f>
        <v>No major surgery</v>
      </c>
      <c r="I131" t="str">
        <f>VLOOKUP($A131, 'Medical Examinations'!A:K, 11, FALSE)</f>
        <v>yes</v>
      </c>
      <c r="J131" t="str">
        <f>VLOOKUP($A131, 'Medical Examinations'!A:B, 2, FALSE)</f>
        <v>Obesity</v>
      </c>
      <c r="K131" t="str">
        <f>VLOOKUP($A131, 'Medical Examinations'!A:D, 4, FALSE)</f>
        <v>Diabetes</v>
      </c>
    </row>
    <row r="132" spans="1:11" ht="15.5" x14ac:dyDescent="0.35">
      <c r="A132" s="1" t="s">
        <v>2242</v>
      </c>
      <c r="B132" t="str">
        <f>VLOOKUP($A132, 'Customer Names'!A:D, 3, FALSE)</f>
        <v>Wright</v>
      </c>
      <c r="C132">
        <f>VLOOKUP($A132,'Medical Examinations'!A:C, 3, FALSE)</f>
        <v>48.32</v>
      </c>
      <c r="D132" t="str">
        <f>VLOOKUP($A132, 'Medical Examinations'!A:D, 4, FALSE)</f>
        <v>Prediabetes</v>
      </c>
      <c r="E132" t="str">
        <f>VLOOKUP($A132, 'Medical Examinations'!A:F, 6, FALSE)</f>
        <v>No</v>
      </c>
      <c r="F132" t="str">
        <f>VLOOKUP($A132, 'Medical Examinations'!A:G, 7, FALSE)</f>
        <v>No</v>
      </c>
      <c r="G132" t="str">
        <f>VLOOKUP($A132, 'Medical Examinations'!A:H, 8, FALSE)</f>
        <v>No</v>
      </c>
      <c r="H132" t="str">
        <f>VLOOKUP($A132, 'Medical Examinations'!A:J, 10, FALSE)</f>
        <v>No major surgery</v>
      </c>
      <c r="I132" t="str">
        <f>VLOOKUP($A132, 'Medical Examinations'!A:K, 11, FALSE)</f>
        <v>yes</v>
      </c>
      <c r="J132" t="str">
        <f>VLOOKUP($A132, 'Medical Examinations'!A:B, 2, FALSE)</f>
        <v>Obesity</v>
      </c>
      <c r="K132" t="str">
        <f>VLOOKUP($A132, 'Medical Examinations'!A:D, 4, FALSE)</f>
        <v>Prediabetes</v>
      </c>
    </row>
    <row r="133" spans="1:11" ht="15.5" x14ac:dyDescent="0.35">
      <c r="A133" s="1" t="s">
        <v>2241</v>
      </c>
      <c r="B133" t="str">
        <f>VLOOKUP($A133, 'Customer Names'!A:D, 3, FALSE)</f>
        <v>Ellis</v>
      </c>
      <c r="C133">
        <f>VLOOKUP($A133,'Medical Examinations'!A:C, 3, FALSE)</f>
        <v>44.86</v>
      </c>
      <c r="D133" t="str">
        <f>VLOOKUP($A133, 'Medical Examinations'!A:D, 4, FALSE)</f>
        <v>Normal</v>
      </c>
      <c r="E133" t="str">
        <f>VLOOKUP($A133, 'Medical Examinations'!A:F, 6, FALSE)</f>
        <v>yes</v>
      </c>
      <c r="F133" t="str">
        <f>VLOOKUP($A133, 'Medical Examinations'!A:G, 7, FALSE)</f>
        <v>No</v>
      </c>
      <c r="G133" t="str">
        <f>VLOOKUP($A133, 'Medical Examinations'!A:H, 8, FALSE)</f>
        <v>No</v>
      </c>
      <c r="H133" t="str">
        <f>VLOOKUP($A133, 'Medical Examinations'!A:J, 10, FALSE)</f>
        <v>No major surgery</v>
      </c>
      <c r="I133" t="str">
        <f>VLOOKUP($A133, 'Medical Examinations'!A:K, 11, FALSE)</f>
        <v>yes</v>
      </c>
      <c r="J133" t="str">
        <f>VLOOKUP($A133, 'Medical Examinations'!A:B, 2, FALSE)</f>
        <v>Obesity</v>
      </c>
      <c r="K133" t="str">
        <f>VLOOKUP($A133, 'Medical Examinations'!A:D, 4, FALSE)</f>
        <v>Normal</v>
      </c>
    </row>
    <row r="134" spans="1:11" ht="15.5" x14ac:dyDescent="0.35">
      <c r="A134" s="1" t="s">
        <v>2240</v>
      </c>
      <c r="B134" t="str">
        <f>VLOOKUP($A134, 'Customer Names'!A:D, 3, FALSE)</f>
        <v>Taormina</v>
      </c>
      <c r="C134">
        <f>VLOOKUP($A134,'Medical Examinations'!A:C, 3, FALSE)</f>
        <v>52.15</v>
      </c>
      <c r="D134" t="str">
        <f>VLOOKUP($A134, 'Medical Examinations'!A:D, 4, FALSE)</f>
        <v>Normal</v>
      </c>
      <c r="E134" t="str">
        <f>VLOOKUP($A134, 'Medical Examinations'!A:F, 6, FALSE)</f>
        <v>No</v>
      </c>
      <c r="F134" t="str">
        <f>VLOOKUP($A134, 'Medical Examinations'!A:G, 7, FALSE)</f>
        <v>No</v>
      </c>
      <c r="G134" t="str">
        <f>VLOOKUP($A134, 'Medical Examinations'!A:H, 8, FALSE)</f>
        <v>No</v>
      </c>
      <c r="H134">
        <f>VLOOKUP($A134, 'Medical Examinations'!A:J, 10, FALSE)</f>
        <v>1</v>
      </c>
      <c r="I134" t="str">
        <f>VLOOKUP($A134, 'Medical Examinations'!A:K, 11, FALSE)</f>
        <v>yes</v>
      </c>
      <c r="J134" t="str">
        <f>VLOOKUP($A134, 'Medical Examinations'!A:B, 2, FALSE)</f>
        <v>Obesity</v>
      </c>
      <c r="K134" t="str">
        <f>VLOOKUP($A134, 'Medical Examinations'!A:D, 4, FALSE)</f>
        <v>Normal</v>
      </c>
    </row>
    <row r="135" spans="1:11" ht="15.5" x14ac:dyDescent="0.35">
      <c r="A135" s="1" t="s">
        <v>2239</v>
      </c>
      <c r="B135" t="str">
        <f>VLOOKUP($A135, 'Customer Names'!A:D, 3, FALSE)</f>
        <v>Lynch</v>
      </c>
      <c r="C135">
        <f>VLOOKUP($A135,'Medical Examinations'!A:C, 3, FALSE)</f>
        <v>41.12</v>
      </c>
      <c r="D135" t="str">
        <f>VLOOKUP($A135, 'Medical Examinations'!A:D, 4, FALSE)</f>
        <v>Diabetes</v>
      </c>
      <c r="E135" t="str">
        <f>VLOOKUP($A135, 'Medical Examinations'!A:F, 6, FALSE)</f>
        <v>yes</v>
      </c>
      <c r="F135" t="str">
        <f>VLOOKUP($A135, 'Medical Examinations'!A:G, 7, FALSE)</f>
        <v>No</v>
      </c>
      <c r="G135" t="str">
        <f>VLOOKUP($A135, 'Medical Examinations'!A:H, 8, FALSE)</f>
        <v>No</v>
      </c>
      <c r="H135" t="str">
        <f>VLOOKUP($A135, 'Medical Examinations'!A:J, 10, FALSE)</f>
        <v>No major surgery</v>
      </c>
      <c r="I135" t="str">
        <f>VLOOKUP($A135, 'Medical Examinations'!A:K, 11, FALSE)</f>
        <v>yes</v>
      </c>
      <c r="J135" t="str">
        <f>VLOOKUP($A135, 'Medical Examinations'!A:B, 2, FALSE)</f>
        <v>Obesity</v>
      </c>
      <c r="K135" t="str">
        <f>VLOOKUP($A135, 'Medical Examinations'!A:D, 4, FALSE)</f>
        <v>Diabetes</v>
      </c>
    </row>
    <row r="136" spans="1:11" ht="15.5" x14ac:dyDescent="0.35">
      <c r="A136" s="1" t="s">
        <v>2238</v>
      </c>
      <c r="B136" t="str">
        <f>VLOOKUP($A136, 'Customer Names'!A:D, 3, FALSE)</f>
        <v>Tavella</v>
      </c>
      <c r="C136">
        <f>VLOOKUP($A136,'Medical Examinations'!A:C, 3, FALSE)</f>
        <v>38.39</v>
      </c>
      <c r="D136" t="str">
        <f>VLOOKUP($A136, 'Medical Examinations'!A:D, 4, FALSE)</f>
        <v>Normal</v>
      </c>
      <c r="E136" t="str">
        <f>VLOOKUP($A136, 'Medical Examinations'!A:F, 6, FALSE)</f>
        <v>yes</v>
      </c>
      <c r="F136" t="str">
        <f>VLOOKUP($A136, 'Medical Examinations'!A:G, 7, FALSE)</f>
        <v>No</v>
      </c>
      <c r="G136" t="str">
        <f>VLOOKUP($A136, 'Medical Examinations'!A:H, 8, FALSE)</f>
        <v>No</v>
      </c>
      <c r="H136">
        <f>VLOOKUP($A136, 'Medical Examinations'!A:J, 10, FALSE)</f>
        <v>1</v>
      </c>
      <c r="I136" t="str">
        <f>VLOOKUP($A136, 'Medical Examinations'!A:K, 11, FALSE)</f>
        <v>yes</v>
      </c>
      <c r="J136" t="str">
        <f>VLOOKUP($A136, 'Medical Examinations'!A:B, 2, FALSE)</f>
        <v>Obesity</v>
      </c>
      <c r="K136" t="str">
        <f>VLOOKUP($A136, 'Medical Examinations'!A:D, 4, FALSE)</f>
        <v>Normal</v>
      </c>
    </row>
    <row r="137" spans="1:11" ht="15.5" x14ac:dyDescent="0.35">
      <c r="A137" s="1" t="s">
        <v>2237</v>
      </c>
      <c r="B137" t="str">
        <f>VLOOKUP($A137, 'Customer Names'!A:D, 3, FALSE)</f>
        <v>Neufeld</v>
      </c>
      <c r="C137">
        <f>VLOOKUP($A137,'Medical Examinations'!A:C, 3, FALSE)</f>
        <v>46.85</v>
      </c>
      <c r="D137" t="str">
        <f>VLOOKUP($A137, 'Medical Examinations'!A:D, 4, FALSE)</f>
        <v>Normal</v>
      </c>
      <c r="E137" t="str">
        <f>VLOOKUP($A137, 'Medical Examinations'!A:F, 6, FALSE)</f>
        <v>No</v>
      </c>
      <c r="F137" t="str">
        <f>VLOOKUP($A137, 'Medical Examinations'!A:G, 7, FALSE)</f>
        <v>No</v>
      </c>
      <c r="G137" t="str">
        <f>VLOOKUP($A137, 'Medical Examinations'!A:H, 8, FALSE)</f>
        <v>Yes</v>
      </c>
      <c r="H137">
        <f>VLOOKUP($A137, 'Medical Examinations'!A:J, 10, FALSE)</f>
        <v>1</v>
      </c>
      <c r="I137" t="str">
        <f>VLOOKUP($A137, 'Medical Examinations'!A:K, 11, FALSE)</f>
        <v>yes</v>
      </c>
      <c r="J137" t="str">
        <f>VLOOKUP($A137, 'Medical Examinations'!A:B, 2, FALSE)</f>
        <v>Obesity</v>
      </c>
      <c r="K137" t="str">
        <f>VLOOKUP($A137, 'Medical Examinations'!A:D, 4, FALSE)</f>
        <v>Normal</v>
      </c>
    </row>
    <row r="138" spans="1:11" ht="15.5" x14ac:dyDescent="0.35">
      <c r="A138" s="1" t="s">
        <v>2236</v>
      </c>
      <c r="B138" t="str">
        <f>VLOOKUP($A138, 'Customer Names'!A:D, 3, FALSE)</f>
        <v>Walhovd</v>
      </c>
      <c r="C138">
        <f>VLOOKUP($A138,'Medical Examinations'!A:C, 3, FALSE)</f>
        <v>42.24</v>
      </c>
      <c r="D138" t="str">
        <f>VLOOKUP($A138, 'Medical Examinations'!A:D, 4, FALSE)</f>
        <v>Normal</v>
      </c>
      <c r="E138" t="str">
        <f>VLOOKUP($A138, 'Medical Examinations'!A:F, 6, FALSE)</f>
        <v>No</v>
      </c>
      <c r="F138" t="str">
        <f>VLOOKUP($A138, 'Medical Examinations'!A:G, 7, FALSE)</f>
        <v>yes</v>
      </c>
      <c r="G138" t="str">
        <f>VLOOKUP($A138, 'Medical Examinations'!A:H, 8, FALSE)</f>
        <v>No</v>
      </c>
      <c r="H138">
        <f>VLOOKUP($A138, 'Medical Examinations'!A:J, 10, FALSE)</f>
        <v>1</v>
      </c>
      <c r="I138" t="str">
        <f>VLOOKUP($A138, 'Medical Examinations'!A:K, 11, FALSE)</f>
        <v>yes</v>
      </c>
      <c r="J138" t="str">
        <f>VLOOKUP($A138, 'Medical Examinations'!A:B, 2, FALSE)</f>
        <v>Obesity</v>
      </c>
      <c r="K138" t="str">
        <f>VLOOKUP($A138, 'Medical Examinations'!A:D, 4, FALSE)</f>
        <v>Normal</v>
      </c>
    </row>
    <row r="139" spans="1:11" ht="15.5" x14ac:dyDescent="0.35">
      <c r="A139" s="1" t="s">
        <v>2235</v>
      </c>
      <c r="B139" t="str">
        <f>VLOOKUP($A139, 'Customer Names'!A:D, 3, FALSE)</f>
        <v>Washburn</v>
      </c>
      <c r="C139">
        <f>VLOOKUP($A139,'Medical Examinations'!A:C, 3, FALSE)</f>
        <v>34.39</v>
      </c>
      <c r="D139" t="str">
        <f>VLOOKUP($A139, 'Medical Examinations'!A:D, 4, FALSE)</f>
        <v>Prediabetes</v>
      </c>
      <c r="E139" t="str">
        <f>VLOOKUP($A139, 'Medical Examinations'!A:F, 6, FALSE)</f>
        <v>No</v>
      </c>
      <c r="F139" t="str">
        <f>VLOOKUP($A139, 'Medical Examinations'!A:G, 7, FALSE)</f>
        <v>No</v>
      </c>
      <c r="G139" t="str">
        <f>VLOOKUP($A139, 'Medical Examinations'!A:H, 8, FALSE)</f>
        <v>No</v>
      </c>
      <c r="H139" t="str">
        <f>VLOOKUP($A139, 'Medical Examinations'!A:J, 10, FALSE)</f>
        <v>No major surgery</v>
      </c>
      <c r="I139" t="str">
        <f>VLOOKUP($A139, 'Medical Examinations'!A:K, 11, FALSE)</f>
        <v>yes</v>
      </c>
      <c r="J139" t="str">
        <f>VLOOKUP($A139, 'Medical Examinations'!A:B, 2, FALSE)</f>
        <v>Obesity</v>
      </c>
      <c r="K139" t="str">
        <f>VLOOKUP($A139, 'Medical Examinations'!A:D, 4, FALSE)</f>
        <v>Prediabetes</v>
      </c>
    </row>
    <row r="140" spans="1:11" ht="15.5" x14ac:dyDescent="0.35">
      <c r="A140" s="1" t="s">
        <v>2234</v>
      </c>
      <c r="B140" t="str">
        <f>VLOOKUP($A140, 'Customer Names'!A:D, 3, FALSE)</f>
        <v>Mroz</v>
      </c>
      <c r="C140">
        <f>VLOOKUP($A140,'Medical Examinations'!A:C, 3, FALSE)</f>
        <v>42.89</v>
      </c>
      <c r="D140" t="str">
        <f>VLOOKUP($A140, 'Medical Examinations'!A:D, 4, FALSE)</f>
        <v>Normal</v>
      </c>
      <c r="E140" t="str">
        <f>VLOOKUP($A140, 'Medical Examinations'!A:F, 6, FALSE)</f>
        <v>yes</v>
      </c>
      <c r="F140" t="str">
        <f>VLOOKUP($A140, 'Medical Examinations'!A:G, 7, FALSE)</f>
        <v>No</v>
      </c>
      <c r="G140" t="str">
        <f>VLOOKUP($A140, 'Medical Examinations'!A:H, 8, FALSE)</f>
        <v>No</v>
      </c>
      <c r="H140" t="str">
        <f>VLOOKUP($A140, 'Medical Examinations'!A:J, 10, FALSE)</f>
        <v>No major surgery</v>
      </c>
      <c r="I140" t="str">
        <f>VLOOKUP($A140, 'Medical Examinations'!A:K, 11, FALSE)</f>
        <v>yes</v>
      </c>
      <c r="J140" t="str">
        <f>VLOOKUP($A140, 'Medical Examinations'!A:B, 2, FALSE)</f>
        <v>Obesity</v>
      </c>
      <c r="K140" t="str">
        <f>VLOOKUP($A140, 'Medical Examinations'!A:D, 4, FALSE)</f>
        <v>Normal</v>
      </c>
    </row>
    <row r="141" spans="1:11" ht="15.5" x14ac:dyDescent="0.35">
      <c r="A141" s="1" t="s">
        <v>2233</v>
      </c>
      <c r="B141" t="str">
        <f>VLOOKUP($A141, 'Customer Names'!A:D, 3, FALSE)</f>
        <v>Canaday</v>
      </c>
      <c r="C141">
        <f>VLOOKUP($A141,'Medical Examinations'!A:C, 3, FALSE)</f>
        <v>36.299999999999997</v>
      </c>
      <c r="D141" t="str">
        <f>VLOOKUP($A141, 'Medical Examinations'!A:D, 4, FALSE)</f>
        <v>Normal</v>
      </c>
      <c r="E141" t="str">
        <f>VLOOKUP($A141, 'Medical Examinations'!A:F, 6, FALSE)</f>
        <v>No</v>
      </c>
      <c r="F141" t="str">
        <f>VLOOKUP($A141, 'Medical Examinations'!A:G, 7, FALSE)</f>
        <v>No</v>
      </c>
      <c r="G141" t="str">
        <f>VLOOKUP($A141, 'Medical Examinations'!A:H, 8, FALSE)</f>
        <v>No</v>
      </c>
      <c r="H141" t="str">
        <f>VLOOKUP($A141, 'Medical Examinations'!A:J, 10, FALSE)</f>
        <v>No major surgery</v>
      </c>
      <c r="I141" t="str">
        <f>VLOOKUP($A141, 'Medical Examinations'!A:K, 11, FALSE)</f>
        <v>yes</v>
      </c>
      <c r="J141" t="str">
        <f>VLOOKUP($A141, 'Medical Examinations'!A:B, 2, FALSE)</f>
        <v>Obesity</v>
      </c>
      <c r="K141" t="str">
        <f>VLOOKUP($A141, 'Medical Examinations'!A:D, 4, FALSE)</f>
        <v>Normal</v>
      </c>
    </row>
    <row r="142" spans="1:11" ht="15.5" x14ac:dyDescent="0.35">
      <c r="A142" s="1" t="s">
        <v>2232</v>
      </c>
      <c r="B142" t="str">
        <f>VLOOKUP($A142, 'Customer Names'!A:D, 3, FALSE)</f>
        <v>Atkins</v>
      </c>
      <c r="C142">
        <f>VLOOKUP($A142,'Medical Examinations'!A:C, 3, FALSE)</f>
        <v>35.200000000000003</v>
      </c>
      <c r="D142" t="str">
        <f>VLOOKUP($A142, 'Medical Examinations'!A:D, 4, FALSE)</f>
        <v>Diabetes</v>
      </c>
      <c r="E142" t="str">
        <f>VLOOKUP($A142, 'Medical Examinations'!A:F, 6, FALSE)</f>
        <v>yes</v>
      </c>
      <c r="F142" t="str">
        <f>VLOOKUP($A142, 'Medical Examinations'!A:G, 7, FALSE)</f>
        <v>No</v>
      </c>
      <c r="G142" t="str">
        <f>VLOOKUP($A142, 'Medical Examinations'!A:H, 8, FALSE)</f>
        <v>No</v>
      </c>
      <c r="H142">
        <f>VLOOKUP($A142, 'Medical Examinations'!A:J, 10, FALSE)</f>
        <v>1</v>
      </c>
      <c r="I142" t="str">
        <f>VLOOKUP($A142, 'Medical Examinations'!A:K, 11, FALSE)</f>
        <v>yes</v>
      </c>
      <c r="J142" t="str">
        <f>VLOOKUP($A142, 'Medical Examinations'!A:B, 2, FALSE)</f>
        <v>Obesity</v>
      </c>
      <c r="K142" t="str">
        <f>VLOOKUP($A142, 'Medical Examinations'!A:D, 4, FALSE)</f>
        <v>Diabetes</v>
      </c>
    </row>
    <row r="143" spans="1:11" ht="15.5" x14ac:dyDescent="0.35">
      <c r="A143" s="1" t="s">
        <v>2231</v>
      </c>
      <c r="B143" t="str">
        <f>VLOOKUP($A143, 'Customer Names'!A:D, 3, FALSE)</f>
        <v>Kropelnicki</v>
      </c>
      <c r="C143">
        <f>VLOOKUP($A143,'Medical Examinations'!A:C, 3, FALSE)</f>
        <v>53.62</v>
      </c>
      <c r="D143" t="str">
        <f>VLOOKUP($A143, 'Medical Examinations'!A:D, 4, FALSE)</f>
        <v>Normal</v>
      </c>
      <c r="E143" t="str">
        <f>VLOOKUP($A143, 'Medical Examinations'!A:F, 6, FALSE)</f>
        <v>No</v>
      </c>
      <c r="F143" t="str">
        <f>VLOOKUP($A143, 'Medical Examinations'!A:G, 7, FALSE)</f>
        <v>No</v>
      </c>
      <c r="G143" t="str">
        <f>VLOOKUP($A143, 'Medical Examinations'!A:H, 8, FALSE)</f>
        <v>No</v>
      </c>
      <c r="H143" t="str">
        <f>VLOOKUP($A143, 'Medical Examinations'!A:J, 10, FALSE)</f>
        <v>No major surgery</v>
      </c>
      <c r="I143" t="str">
        <f>VLOOKUP($A143, 'Medical Examinations'!A:K, 11, FALSE)</f>
        <v>yes</v>
      </c>
      <c r="J143" t="str">
        <f>VLOOKUP($A143, 'Medical Examinations'!A:B, 2, FALSE)</f>
        <v>Obesity</v>
      </c>
      <c r="K143" t="str">
        <f>VLOOKUP($A143, 'Medical Examinations'!A:D, 4, FALSE)</f>
        <v>Normal</v>
      </c>
    </row>
    <row r="144" spans="1:11" ht="15.5" x14ac:dyDescent="0.35">
      <c r="A144" s="1" t="s">
        <v>2230</v>
      </c>
      <c r="B144" t="str">
        <f>VLOOKUP($A144, 'Customer Names'!A:D, 3, FALSE)</f>
        <v>Braund</v>
      </c>
      <c r="C144">
        <f>VLOOKUP($A144,'Medical Examinations'!A:C, 3, FALSE)</f>
        <v>36.67</v>
      </c>
      <c r="D144" t="str">
        <f>VLOOKUP($A144, 'Medical Examinations'!A:D, 4, FALSE)</f>
        <v>Prediabetes</v>
      </c>
      <c r="E144" t="str">
        <f>VLOOKUP($A144, 'Medical Examinations'!A:F, 6, FALSE)</f>
        <v>No</v>
      </c>
      <c r="F144" t="str">
        <f>VLOOKUP($A144, 'Medical Examinations'!A:G, 7, FALSE)</f>
        <v>No</v>
      </c>
      <c r="G144" t="str">
        <f>VLOOKUP($A144, 'Medical Examinations'!A:H, 8, FALSE)</f>
        <v>No</v>
      </c>
      <c r="H144" t="str">
        <f>VLOOKUP($A144, 'Medical Examinations'!A:J, 10, FALSE)</f>
        <v>No major surgery</v>
      </c>
      <c r="I144" t="str">
        <f>VLOOKUP($A144, 'Medical Examinations'!A:K, 11, FALSE)</f>
        <v>yes</v>
      </c>
      <c r="J144" t="str">
        <f>VLOOKUP($A144, 'Medical Examinations'!A:B, 2, FALSE)</f>
        <v>Obesity</v>
      </c>
      <c r="K144" t="str">
        <f>VLOOKUP($A144, 'Medical Examinations'!A:D, 4, FALSE)</f>
        <v>Prediabetes</v>
      </c>
    </row>
    <row r="145" spans="1:11" ht="15.5" x14ac:dyDescent="0.35">
      <c r="A145" s="1" t="s">
        <v>2229</v>
      </c>
      <c r="B145" t="str">
        <f>VLOOKUP($A145, 'Customer Names'!A:D, 3, FALSE)</f>
        <v>Anderson</v>
      </c>
      <c r="C145">
        <f>VLOOKUP($A145,'Medical Examinations'!A:C, 3, FALSE)</f>
        <v>33.4</v>
      </c>
      <c r="D145" t="str">
        <f>VLOOKUP($A145, 'Medical Examinations'!A:D, 4, FALSE)</f>
        <v>Diabetes</v>
      </c>
      <c r="E145" t="str">
        <f>VLOOKUP($A145, 'Medical Examinations'!A:F, 6, FALSE)</f>
        <v>yes</v>
      </c>
      <c r="F145" t="str">
        <f>VLOOKUP($A145, 'Medical Examinations'!A:G, 7, FALSE)</f>
        <v>No</v>
      </c>
      <c r="G145" t="str">
        <f>VLOOKUP($A145, 'Medical Examinations'!A:H, 8, FALSE)</f>
        <v>No</v>
      </c>
      <c r="H145">
        <f>VLOOKUP($A145, 'Medical Examinations'!A:J, 10, FALSE)</f>
        <v>1</v>
      </c>
      <c r="I145" t="str">
        <f>VLOOKUP($A145, 'Medical Examinations'!A:K, 11, FALSE)</f>
        <v>yes</v>
      </c>
      <c r="J145" t="str">
        <f>VLOOKUP($A145, 'Medical Examinations'!A:B, 2, FALSE)</f>
        <v>Obesity</v>
      </c>
      <c r="K145" t="str">
        <f>VLOOKUP($A145, 'Medical Examinations'!A:D, 4, FALSE)</f>
        <v>Diabetes</v>
      </c>
    </row>
    <row r="146" spans="1:11" ht="15.5" x14ac:dyDescent="0.35">
      <c r="A146" s="1" t="s">
        <v>2228</v>
      </c>
      <c r="B146" t="str">
        <f>VLOOKUP($A146, 'Customer Names'!A:D, 3, FALSE)</f>
        <v>Bilbrey</v>
      </c>
      <c r="C146">
        <f>VLOOKUP($A146,'Medical Examinations'!A:C, 3, FALSE)</f>
        <v>42.71</v>
      </c>
      <c r="D146" t="str">
        <f>VLOOKUP($A146, 'Medical Examinations'!A:D, 4, FALSE)</f>
        <v>Diabetes</v>
      </c>
      <c r="E146" t="str">
        <f>VLOOKUP($A146, 'Medical Examinations'!A:F, 6, FALSE)</f>
        <v>No</v>
      </c>
      <c r="F146" t="str">
        <f>VLOOKUP($A146, 'Medical Examinations'!A:G, 7, FALSE)</f>
        <v>No</v>
      </c>
      <c r="G146" t="str">
        <f>VLOOKUP($A146, 'Medical Examinations'!A:H, 8, FALSE)</f>
        <v>No</v>
      </c>
      <c r="H146" t="str">
        <f>VLOOKUP($A146, 'Medical Examinations'!A:J, 10, FALSE)</f>
        <v>No major surgery</v>
      </c>
      <c r="I146" t="str">
        <f>VLOOKUP($A146, 'Medical Examinations'!A:K, 11, FALSE)</f>
        <v>yes</v>
      </c>
      <c r="J146" t="str">
        <f>VLOOKUP($A146, 'Medical Examinations'!A:B, 2, FALSE)</f>
        <v>Obesity</v>
      </c>
      <c r="K146" t="str">
        <f>VLOOKUP($A146, 'Medical Examinations'!A:D, 4, FALSE)</f>
        <v>Diabetes</v>
      </c>
    </row>
    <row r="147" spans="1:11" ht="15.5" x14ac:dyDescent="0.35">
      <c r="A147" s="1" t="s">
        <v>2227</v>
      </c>
      <c r="B147" t="str">
        <f>VLOOKUP($A147, 'Customer Names'!A:D, 3, FALSE)</f>
        <v>Curtis</v>
      </c>
      <c r="C147">
        <f>VLOOKUP($A147,'Medical Examinations'!A:C, 3, FALSE)</f>
        <v>41.52</v>
      </c>
      <c r="D147" t="str">
        <f>VLOOKUP($A147, 'Medical Examinations'!A:D, 4, FALSE)</f>
        <v>Diabetes</v>
      </c>
      <c r="E147" t="str">
        <f>VLOOKUP($A147, 'Medical Examinations'!A:F, 6, FALSE)</f>
        <v>yes</v>
      </c>
      <c r="F147" t="str">
        <f>VLOOKUP($A147, 'Medical Examinations'!A:G, 7, FALSE)</f>
        <v>No</v>
      </c>
      <c r="G147" t="str">
        <f>VLOOKUP($A147, 'Medical Examinations'!A:H, 8, FALSE)</f>
        <v>No</v>
      </c>
      <c r="H147">
        <f>VLOOKUP($A147, 'Medical Examinations'!A:J, 10, FALSE)</f>
        <v>2</v>
      </c>
      <c r="I147" t="str">
        <f>VLOOKUP($A147, 'Medical Examinations'!A:K, 11, FALSE)</f>
        <v>yes</v>
      </c>
      <c r="J147" t="str">
        <f>VLOOKUP($A147, 'Medical Examinations'!A:B, 2, FALSE)</f>
        <v>Obesity</v>
      </c>
      <c r="K147" t="str">
        <f>VLOOKUP($A147, 'Medical Examinations'!A:D, 4, FALSE)</f>
        <v>Diabetes</v>
      </c>
    </row>
    <row r="148" spans="1:11" ht="15.5" x14ac:dyDescent="0.35">
      <c r="A148" s="1" t="s">
        <v>2226</v>
      </c>
      <c r="B148" t="str">
        <f>VLOOKUP($A148, 'Customer Names'!A:D, 3, FALSE)</f>
        <v>Meyer</v>
      </c>
      <c r="C148">
        <f>VLOOKUP($A148,'Medical Examinations'!A:C, 3, FALSE)</f>
        <v>39.4</v>
      </c>
      <c r="D148" t="str">
        <f>VLOOKUP($A148, 'Medical Examinations'!A:D, 4, FALSE)</f>
        <v>Diabetes</v>
      </c>
      <c r="E148" t="str">
        <f>VLOOKUP($A148, 'Medical Examinations'!A:F, 6, FALSE)</f>
        <v>No</v>
      </c>
      <c r="F148" t="str">
        <f>VLOOKUP($A148, 'Medical Examinations'!A:G, 7, FALSE)</f>
        <v>No</v>
      </c>
      <c r="G148" t="str">
        <f>VLOOKUP($A148, 'Medical Examinations'!A:H, 8, FALSE)</f>
        <v>No</v>
      </c>
      <c r="H148" t="str">
        <f>VLOOKUP($A148, 'Medical Examinations'!A:J, 10, FALSE)</f>
        <v>No major surgery</v>
      </c>
      <c r="I148" t="str">
        <f>VLOOKUP($A148, 'Medical Examinations'!A:K, 11, FALSE)</f>
        <v>yes</v>
      </c>
      <c r="J148" t="str">
        <f>VLOOKUP($A148, 'Medical Examinations'!A:B, 2, FALSE)</f>
        <v>Obesity</v>
      </c>
      <c r="K148" t="str">
        <f>VLOOKUP($A148, 'Medical Examinations'!A:D, 4, FALSE)</f>
        <v>Diabetes</v>
      </c>
    </row>
    <row r="149" spans="1:11" ht="15.5" x14ac:dyDescent="0.35">
      <c r="A149" s="1" t="s">
        <v>2225</v>
      </c>
      <c r="B149" t="str">
        <f>VLOOKUP($A149, 'Customer Names'!A:D, 3, FALSE)</f>
        <v>Bardeesy</v>
      </c>
      <c r="C149">
        <f>VLOOKUP($A149,'Medical Examinations'!A:C, 3, FALSE)</f>
        <v>46.45</v>
      </c>
      <c r="D149" t="str">
        <f>VLOOKUP($A149, 'Medical Examinations'!A:D, 4, FALSE)</f>
        <v>Normal</v>
      </c>
      <c r="E149" t="str">
        <f>VLOOKUP($A149, 'Medical Examinations'!A:F, 6, FALSE)</f>
        <v>No</v>
      </c>
      <c r="F149" t="str">
        <f>VLOOKUP($A149, 'Medical Examinations'!A:G, 7, FALSE)</f>
        <v>No</v>
      </c>
      <c r="G149" t="str">
        <f>VLOOKUP($A149, 'Medical Examinations'!A:H, 8, FALSE)</f>
        <v>No</v>
      </c>
      <c r="H149" t="str">
        <f>VLOOKUP($A149, 'Medical Examinations'!A:J, 10, FALSE)</f>
        <v>No major surgery</v>
      </c>
      <c r="I149" t="str">
        <f>VLOOKUP($A149, 'Medical Examinations'!A:K, 11, FALSE)</f>
        <v>yes</v>
      </c>
      <c r="J149" t="str">
        <f>VLOOKUP($A149, 'Medical Examinations'!A:B, 2, FALSE)</f>
        <v>Obesity</v>
      </c>
      <c r="K149" t="str">
        <f>VLOOKUP($A149, 'Medical Examinations'!A:D, 4, FALSE)</f>
        <v>Normal</v>
      </c>
    </row>
    <row r="150" spans="1:11" ht="15.5" x14ac:dyDescent="0.35">
      <c r="A150" s="1" t="s">
        <v>2224</v>
      </c>
      <c r="B150" t="str">
        <f>VLOOKUP($A150, 'Customer Names'!A:D, 3, FALSE)</f>
        <v>Shanahan</v>
      </c>
      <c r="C150">
        <f>VLOOKUP($A150,'Medical Examinations'!A:C, 3, FALSE)</f>
        <v>35.75</v>
      </c>
      <c r="D150" t="str">
        <f>VLOOKUP($A150, 'Medical Examinations'!A:D, 4, FALSE)</f>
        <v>Normal</v>
      </c>
      <c r="E150" t="str">
        <f>VLOOKUP($A150, 'Medical Examinations'!A:F, 6, FALSE)</f>
        <v>No</v>
      </c>
      <c r="F150" t="str">
        <f>VLOOKUP($A150, 'Medical Examinations'!A:G, 7, FALSE)</f>
        <v>No</v>
      </c>
      <c r="G150" t="str">
        <f>VLOOKUP($A150, 'Medical Examinations'!A:H, 8, FALSE)</f>
        <v>No</v>
      </c>
      <c r="H150" t="str">
        <f>VLOOKUP($A150, 'Medical Examinations'!A:J, 10, FALSE)</f>
        <v>No major surgery</v>
      </c>
      <c r="I150" t="str">
        <f>VLOOKUP($A150, 'Medical Examinations'!A:K, 11, FALSE)</f>
        <v>yes</v>
      </c>
      <c r="J150" t="str">
        <f>VLOOKUP($A150, 'Medical Examinations'!A:B, 2, FALSE)</f>
        <v>Obesity</v>
      </c>
      <c r="K150" t="str">
        <f>VLOOKUP($A150, 'Medical Examinations'!A:D, 4, FALSE)</f>
        <v>Normal</v>
      </c>
    </row>
    <row r="151" spans="1:11" ht="15.5" x14ac:dyDescent="0.35">
      <c r="A151" s="1" t="s">
        <v>2223</v>
      </c>
      <c r="B151" t="str">
        <f>VLOOKUP($A151, 'Customer Names'!A:D, 3, FALSE)</f>
        <v>Sutter</v>
      </c>
      <c r="C151">
        <f>VLOOKUP($A151,'Medical Examinations'!A:C, 3, FALSE)</f>
        <v>26.07</v>
      </c>
      <c r="D151" t="str">
        <f>VLOOKUP($A151, 'Medical Examinations'!A:D, 4, FALSE)</f>
        <v>Normal</v>
      </c>
      <c r="E151" t="str">
        <f>VLOOKUP($A151, 'Medical Examinations'!A:F, 6, FALSE)</f>
        <v>No</v>
      </c>
      <c r="F151" t="str">
        <f>VLOOKUP($A151, 'Medical Examinations'!A:G, 7, FALSE)</f>
        <v>No</v>
      </c>
      <c r="G151" t="str">
        <f>VLOOKUP($A151, 'Medical Examinations'!A:H, 8, FALSE)</f>
        <v>No</v>
      </c>
      <c r="H151" t="str">
        <f>VLOOKUP($A151, 'Medical Examinations'!A:J, 10, FALSE)</f>
        <v>No major surgery</v>
      </c>
      <c r="I151" t="str">
        <f>VLOOKUP($A151, 'Medical Examinations'!A:K, 11, FALSE)</f>
        <v>yes</v>
      </c>
      <c r="J151" t="str">
        <f>VLOOKUP($A151, 'Medical Examinations'!A:B, 2, FALSE)</f>
        <v>Overweight</v>
      </c>
      <c r="K151" t="str">
        <f>VLOOKUP($A151, 'Medical Examinations'!A:D, 4, FALSE)</f>
        <v>Normal</v>
      </c>
    </row>
    <row r="152" spans="1:11" ht="15.5" x14ac:dyDescent="0.35">
      <c r="A152" s="1" t="s">
        <v>2222</v>
      </c>
      <c r="B152" t="str">
        <f>VLOOKUP($A152, 'Customer Names'!A:D, 3, FALSE)</f>
        <v>Yesian</v>
      </c>
      <c r="C152">
        <f>VLOOKUP($A152,'Medical Examinations'!A:C, 3, FALSE)</f>
        <v>36.54</v>
      </c>
      <c r="D152" t="str">
        <f>VLOOKUP($A152, 'Medical Examinations'!A:D, 4, FALSE)</f>
        <v>Normal</v>
      </c>
      <c r="E152" t="str">
        <f>VLOOKUP($A152, 'Medical Examinations'!A:F, 6, FALSE)</f>
        <v>yes</v>
      </c>
      <c r="F152" t="str">
        <f>VLOOKUP($A152, 'Medical Examinations'!A:G, 7, FALSE)</f>
        <v>No</v>
      </c>
      <c r="G152" t="str">
        <f>VLOOKUP($A152, 'Medical Examinations'!A:H, 8, FALSE)</f>
        <v>No</v>
      </c>
      <c r="H152">
        <f>VLOOKUP($A152, 'Medical Examinations'!A:J, 10, FALSE)</f>
        <v>1</v>
      </c>
      <c r="I152" t="str">
        <f>VLOOKUP($A152, 'Medical Examinations'!A:K, 11, FALSE)</f>
        <v>yes</v>
      </c>
      <c r="J152" t="str">
        <f>VLOOKUP($A152, 'Medical Examinations'!A:B, 2, FALSE)</f>
        <v>Obesity</v>
      </c>
      <c r="K152" t="str">
        <f>VLOOKUP($A152, 'Medical Examinations'!A:D, 4, FALSE)</f>
        <v>Normal</v>
      </c>
    </row>
    <row r="153" spans="1:11" ht="15.5" x14ac:dyDescent="0.35">
      <c r="A153" s="1" t="s">
        <v>2221</v>
      </c>
      <c r="B153" t="str">
        <f>VLOOKUP($A153, 'Customer Names'!A:D, 3, FALSE)</f>
        <v>Meers</v>
      </c>
      <c r="C153">
        <f>VLOOKUP($A153,'Medical Examinations'!A:C, 3, FALSE)</f>
        <v>51.64</v>
      </c>
      <c r="D153" t="str">
        <f>VLOOKUP($A153, 'Medical Examinations'!A:D, 4, FALSE)</f>
        <v>Normal</v>
      </c>
      <c r="E153" t="str">
        <f>VLOOKUP($A153, 'Medical Examinations'!A:F, 6, FALSE)</f>
        <v>No</v>
      </c>
      <c r="F153" t="str">
        <f>VLOOKUP($A153, 'Medical Examinations'!A:G, 7, FALSE)</f>
        <v>No</v>
      </c>
      <c r="G153" t="str">
        <f>VLOOKUP($A153, 'Medical Examinations'!A:H, 8, FALSE)</f>
        <v>No</v>
      </c>
      <c r="H153" t="str">
        <f>VLOOKUP($A153, 'Medical Examinations'!A:J, 10, FALSE)</f>
        <v>No major surgery</v>
      </c>
      <c r="I153" t="str">
        <f>VLOOKUP($A153, 'Medical Examinations'!A:K, 11, FALSE)</f>
        <v>yes</v>
      </c>
      <c r="J153" t="str">
        <f>VLOOKUP($A153, 'Medical Examinations'!A:B, 2, FALSE)</f>
        <v>Obesity</v>
      </c>
      <c r="K153" t="str">
        <f>VLOOKUP($A153, 'Medical Examinations'!A:D, 4, FALSE)</f>
        <v>Normal</v>
      </c>
    </row>
    <row r="154" spans="1:11" ht="15.5" x14ac:dyDescent="0.35">
      <c r="A154" s="1" t="s">
        <v>2220</v>
      </c>
      <c r="B154" t="str">
        <f>VLOOKUP($A154, 'Customer Names'!A:D, 3, FALSE)</f>
        <v>Conlon</v>
      </c>
      <c r="C154">
        <f>VLOOKUP($A154,'Medical Examinations'!A:C, 3, FALSE)</f>
        <v>42.83</v>
      </c>
      <c r="D154" t="str">
        <f>VLOOKUP($A154, 'Medical Examinations'!A:D, 4, FALSE)</f>
        <v>Prediabetes</v>
      </c>
      <c r="E154" t="str">
        <f>VLOOKUP($A154, 'Medical Examinations'!A:F, 6, FALSE)</f>
        <v>No</v>
      </c>
      <c r="F154" t="str">
        <f>VLOOKUP($A154, 'Medical Examinations'!A:G, 7, FALSE)</f>
        <v>No</v>
      </c>
      <c r="G154" t="str">
        <f>VLOOKUP($A154, 'Medical Examinations'!A:H, 8, FALSE)</f>
        <v>No</v>
      </c>
      <c r="H154">
        <f>VLOOKUP($A154, 'Medical Examinations'!A:J, 10, FALSE)</f>
        <v>2</v>
      </c>
      <c r="I154" t="str">
        <f>VLOOKUP($A154, 'Medical Examinations'!A:K, 11, FALSE)</f>
        <v>yes</v>
      </c>
      <c r="J154" t="str">
        <f>VLOOKUP($A154, 'Medical Examinations'!A:B, 2, FALSE)</f>
        <v>Obesity</v>
      </c>
      <c r="K154" t="str">
        <f>VLOOKUP($A154, 'Medical Examinations'!A:D, 4, FALSE)</f>
        <v>Prediabetes</v>
      </c>
    </row>
    <row r="155" spans="1:11" ht="15.5" x14ac:dyDescent="0.35">
      <c r="A155" s="1" t="s">
        <v>2219</v>
      </c>
      <c r="B155" t="str">
        <f>VLOOKUP($A155, 'Customer Names'!A:D, 3, FALSE)</f>
        <v>Arnstein</v>
      </c>
      <c r="C155">
        <f>VLOOKUP($A155,'Medical Examinations'!A:C, 3, FALSE)</f>
        <v>40.15</v>
      </c>
      <c r="D155" t="str">
        <f>VLOOKUP($A155, 'Medical Examinations'!A:D, 4, FALSE)</f>
        <v>Prediabetes</v>
      </c>
      <c r="E155" t="str">
        <f>VLOOKUP($A155, 'Medical Examinations'!A:F, 6, FALSE)</f>
        <v>No</v>
      </c>
      <c r="F155" t="str">
        <f>VLOOKUP($A155, 'Medical Examinations'!A:G, 7, FALSE)</f>
        <v>No</v>
      </c>
      <c r="G155" t="str">
        <f>VLOOKUP($A155, 'Medical Examinations'!A:H, 8, FALSE)</f>
        <v>No</v>
      </c>
      <c r="H155">
        <f>VLOOKUP($A155, 'Medical Examinations'!A:J, 10, FALSE)</f>
        <v>1</v>
      </c>
      <c r="I155" t="str">
        <f>VLOOKUP($A155, 'Medical Examinations'!A:K, 11, FALSE)</f>
        <v>yes</v>
      </c>
      <c r="J155" t="str">
        <f>VLOOKUP($A155, 'Medical Examinations'!A:B, 2, FALSE)</f>
        <v>Obesity</v>
      </c>
      <c r="K155" t="str">
        <f>VLOOKUP($A155, 'Medical Examinations'!A:D, 4, FALSE)</f>
        <v>Prediabetes</v>
      </c>
    </row>
    <row r="156" spans="1:11" ht="15.5" x14ac:dyDescent="0.35">
      <c r="A156" s="1" t="s">
        <v>2218</v>
      </c>
      <c r="B156" t="str">
        <f>VLOOKUP($A156, 'Customer Names'!A:D, 3, FALSE)</f>
        <v>Jurek</v>
      </c>
      <c r="C156">
        <f>VLOOKUP($A156,'Medical Examinations'!A:C, 3, FALSE)</f>
        <v>27.8</v>
      </c>
      <c r="D156" t="str">
        <f>VLOOKUP($A156, 'Medical Examinations'!A:D, 4, FALSE)</f>
        <v>Normal</v>
      </c>
      <c r="E156" t="str">
        <f>VLOOKUP($A156, 'Medical Examinations'!A:F, 6, FALSE)</f>
        <v>No</v>
      </c>
      <c r="F156" t="str">
        <f>VLOOKUP($A156, 'Medical Examinations'!A:G, 7, FALSE)</f>
        <v>No</v>
      </c>
      <c r="G156" t="str">
        <f>VLOOKUP($A156, 'Medical Examinations'!A:H, 8, FALSE)</f>
        <v>Yes</v>
      </c>
      <c r="H156">
        <f>VLOOKUP($A156, 'Medical Examinations'!A:J, 10, FALSE)</f>
        <v>1</v>
      </c>
      <c r="I156" t="str">
        <f>VLOOKUP($A156, 'Medical Examinations'!A:K, 11, FALSE)</f>
        <v>yes</v>
      </c>
      <c r="J156" t="str">
        <f>VLOOKUP($A156, 'Medical Examinations'!A:B, 2, FALSE)</f>
        <v>Overweight</v>
      </c>
      <c r="K156" t="str">
        <f>VLOOKUP($A156, 'Medical Examinations'!A:D, 4, FALSE)</f>
        <v>Normal</v>
      </c>
    </row>
    <row r="157" spans="1:11" ht="15.5" x14ac:dyDescent="0.35">
      <c r="A157" s="1" t="s">
        <v>2217</v>
      </c>
      <c r="B157" t="str">
        <f>VLOOKUP($A157, 'Customer Names'!A:D, 3, FALSE)</f>
        <v>Thill</v>
      </c>
      <c r="C157">
        <f>VLOOKUP($A157,'Medical Examinations'!A:C, 3, FALSE)</f>
        <v>45.81</v>
      </c>
      <c r="D157" t="str">
        <f>VLOOKUP($A157, 'Medical Examinations'!A:D, 4, FALSE)</f>
        <v>Normal</v>
      </c>
      <c r="E157" t="str">
        <f>VLOOKUP($A157, 'Medical Examinations'!A:F, 6, FALSE)</f>
        <v>yes</v>
      </c>
      <c r="F157" t="str">
        <f>VLOOKUP($A157, 'Medical Examinations'!A:G, 7, FALSE)</f>
        <v>No</v>
      </c>
      <c r="G157" t="str">
        <f>VLOOKUP($A157, 'Medical Examinations'!A:H, 8, FALSE)</f>
        <v>Yes</v>
      </c>
      <c r="H157">
        <f>VLOOKUP($A157, 'Medical Examinations'!A:J, 10, FALSE)</f>
        <v>1</v>
      </c>
      <c r="I157" t="str">
        <f>VLOOKUP($A157, 'Medical Examinations'!A:K, 11, FALSE)</f>
        <v>yes</v>
      </c>
      <c r="J157" t="str">
        <f>VLOOKUP($A157, 'Medical Examinations'!A:B, 2, FALSE)</f>
        <v>Obesity</v>
      </c>
      <c r="K157" t="str">
        <f>VLOOKUP($A157, 'Medical Examinations'!A:D, 4, FALSE)</f>
        <v>Normal</v>
      </c>
    </row>
    <row r="158" spans="1:11" ht="15.5" x14ac:dyDescent="0.35">
      <c r="A158" s="1" t="s">
        <v>2216</v>
      </c>
      <c r="B158" t="str">
        <f>VLOOKUP($A158, 'Customer Names'!A:D, 3, FALSE)</f>
        <v>Glaz</v>
      </c>
      <c r="C158">
        <f>VLOOKUP($A158,'Medical Examinations'!A:C, 3, FALSE)</f>
        <v>34.43</v>
      </c>
      <c r="D158" t="str">
        <f>VLOOKUP($A158, 'Medical Examinations'!A:D, 4, FALSE)</f>
        <v>Diabetes</v>
      </c>
      <c r="E158" t="str">
        <f>VLOOKUP($A158, 'Medical Examinations'!A:F, 6, FALSE)</f>
        <v>yes</v>
      </c>
      <c r="F158" t="str">
        <f>VLOOKUP($A158, 'Medical Examinations'!A:G, 7, FALSE)</f>
        <v>No</v>
      </c>
      <c r="G158" t="str">
        <f>VLOOKUP($A158, 'Medical Examinations'!A:H, 8, FALSE)</f>
        <v>No</v>
      </c>
      <c r="H158">
        <f>VLOOKUP($A158, 'Medical Examinations'!A:J, 10, FALSE)</f>
        <v>1</v>
      </c>
      <c r="I158" t="str">
        <f>VLOOKUP($A158, 'Medical Examinations'!A:K, 11, FALSE)</f>
        <v>yes</v>
      </c>
      <c r="J158" t="str">
        <f>VLOOKUP($A158, 'Medical Examinations'!A:B, 2, FALSE)</f>
        <v>Obesity</v>
      </c>
      <c r="K158" t="str">
        <f>VLOOKUP($A158, 'Medical Examinations'!A:D, 4, FALSE)</f>
        <v>Diabetes</v>
      </c>
    </row>
    <row r="159" spans="1:11" ht="15.5" x14ac:dyDescent="0.35">
      <c r="A159" s="1" t="s">
        <v>2215</v>
      </c>
      <c r="B159" t="str">
        <f>VLOOKUP($A159, 'Customer Names'!A:D, 3, FALSE)</f>
        <v>Sampson</v>
      </c>
      <c r="C159">
        <f>VLOOKUP($A159,'Medical Examinations'!A:C, 3, FALSE)</f>
        <v>41.33</v>
      </c>
      <c r="D159" t="str">
        <f>VLOOKUP($A159, 'Medical Examinations'!A:D, 4, FALSE)</f>
        <v>Normal</v>
      </c>
      <c r="E159" t="str">
        <f>VLOOKUP($A159, 'Medical Examinations'!A:F, 6, FALSE)</f>
        <v>yes</v>
      </c>
      <c r="F159" t="str">
        <f>VLOOKUP($A159, 'Medical Examinations'!A:G, 7, FALSE)</f>
        <v>No</v>
      </c>
      <c r="G159" t="str">
        <f>VLOOKUP($A159, 'Medical Examinations'!A:H, 8, FALSE)</f>
        <v>No</v>
      </c>
      <c r="H159" t="str">
        <f>VLOOKUP($A159, 'Medical Examinations'!A:J, 10, FALSE)</f>
        <v>No major surgery</v>
      </c>
      <c r="I159" t="str">
        <f>VLOOKUP($A159, 'Medical Examinations'!A:K, 11, FALSE)</f>
        <v>yes</v>
      </c>
      <c r="J159" t="str">
        <f>VLOOKUP($A159, 'Medical Examinations'!A:B, 2, FALSE)</f>
        <v>Obesity</v>
      </c>
      <c r="K159" t="str">
        <f>VLOOKUP($A159, 'Medical Examinations'!A:D, 4, FALSE)</f>
        <v>Normal</v>
      </c>
    </row>
    <row r="160" spans="1:11" ht="15.5" x14ac:dyDescent="0.35">
      <c r="A160" s="1" t="s">
        <v>2214</v>
      </c>
      <c r="B160" t="str">
        <f>VLOOKUP($A160, 'Customer Names'!A:D, 3, FALSE)</f>
        <v>Duliba</v>
      </c>
      <c r="C160">
        <f>VLOOKUP($A160,'Medical Examinations'!A:C, 3, FALSE)</f>
        <v>31.92</v>
      </c>
      <c r="D160" t="str">
        <f>VLOOKUP($A160, 'Medical Examinations'!A:D, 4, FALSE)</f>
        <v>Normal</v>
      </c>
      <c r="E160" t="str">
        <f>VLOOKUP($A160, 'Medical Examinations'!A:F, 6, FALSE)</f>
        <v>yes</v>
      </c>
      <c r="F160" t="str">
        <f>VLOOKUP($A160, 'Medical Examinations'!A:G, 7, FALSE)</f>
        <v>No</v>
      </c>
      <c r="G160" t="str">
        <f>VLOOKUP($A160, 'Medical Examinations'!A:H, 8, FALSE)</f>
        <v>No</v>
      </c>
      <c r="H160">
        <f>VLOOKUP($A160, 'Medical Examinations'!A:J, 10, FALSE)</f>
        <v>1</v>
      </c>
      <c r="I160" t="str">
        <f>VLOOKUP($A160, 'Medical Examinations'!A:K, 11, FALSE)</f>
        <v>yes</v>
      </c>
      <c r="J160" t="str">
        <f>VLOOKUP($A160, 'Medical Examinations'!A:B, 2, FALSE)</f>
        <v>Obesity</v>
      </c>
      <c r="K160" t="str">
        <f>VLOOKUP($A160, 'Medical Examinations'!A:D, 4, FALSE)</f>
        <v>Normal</v>
      </c>
    </row>
    <row r="161" spans="1:11" ht="15.5" x14ac:dyDescent="0.35">
      <c r="A161" s="1" t="s">
        <v>2213</v>
      </c>
      <c r="B161" t="str">
        <f>VLOOKUP($A161, 'Customer Names'!A:D, 3, FALSE)</f>
        <v>Tanguay</v>
      </c>
      <c r="C161">
        <f>VLOOKUP($A161,'Medical Examinations'!A:C, 3, FALSE)</f>
        <v>39.799999999999997</v>
      </c>
      <c r="D161" t="str">
        <f>VLOOKUP($A161, 'Medical Examinations'!A:D, 4, FALSE)</f>
        <v>Diabetes</v>
      </c>
      <c r="E161" t="str">
        <f>VLOOKUP($A161, 'Medical Examinations'!A:F, 6, FALSE)</f>
        <v>yes</v>
      </c>
      <c r="F161" t="str">
        <f>VLOOKUP($A161, 'Medical Examinations'!A:G, 7, FALSE)</f>
        <v>No</v>
      </c>
      <c r="G161" t="str">
        <f>VLOOKUP($A161, 'Medical Examinations'!A:H, 8, FALSE)</f>
        <v>No</v>
      </c>
      <c r="H161">
        <f>VLOOKUP($A161, 'Medical Examinations'!A:J, 10, FALSE)</f>
        <v>2</v>
      </c>
      <c r="I161" t="str">
        <f>VLOOKUP($A161, 'Medical Examinations'!A:K, 11, FALSE)</f>
        <v>yes</v>
      </c>
      <c r="J161" t="str">
        <f>VLOOKUP($A161, 'Medical Examinations'!A:B, 2, FALSE)</f>
        <v>Obesity</v>
      </c>
      <c r="K161" t="str">
        <f>VLOOKUP($A161, 'Medical Examinations'!A:D, 4, FALSE)</f>
        <v>Diabetes</v>
      </c>
    </row>
    <row r="162" spans="1:11" ht="15.5" x14ac:dyDescent="0.35">
      <c r="A162" s="1" t="s">
        <v>2212</v>
      </c>
      <c r="B162" t="str">
        <f>VLOOKUP($A162, 'Customer Names'!A:D, 3, FALSE)</f>
        <v>McClelland</v>
      </c>
      <c r="C162">
        <f>VLOOKUP($A162,'Medical Examinations'!A:C, 3, FALSE)</f>
        <v>42.82</v>
      </c>
      <c r="D162" t="str">
        <f>VLOOKUP($A162, 'Medical Examinations'!A:D, 4, FALSE)</f>
        <v>Normal</v>
      </c>
      <c r="E162" t="str">
        <f>VLOOKUP($A162, 'Medical Examinations'!A:F, 6, FALSE)</f>
        <v>No</v>
      </c>
      <c r="F162" t="str">
        <f>VLOOKUP($A162, 'Medical Examinations'!A:G, 7, FALSE)</f>
        <v>No</v>
      </c>
      <c r="G162" t="str">
        <f>VLOOKUP($A162, 'Medical Examinations'!A:H, 8, FALSE)</f>
        <v>No</v>
      </c>
      <c r="H162" t="str">
        <f>VLOOKUP($A162, 'Medical Examinations'!A:J, 10, FALSE)</f>
        <v>No major surgery</v>
      </c>
      <c r="I162" t="str">
        <f>VLOOKUP($A162, 'Medical Examinations'!A:K, 11, FALSE)</f>
        <v>yes</v>
      </c>
      <c r="J162" t="str">
        <f>VLOOKUP($A162, 'Medical Examinations'!A:B, 2, FALSE)</f>
        <v>Obesity</v>
      </c>
      <c r="K162" t="str">
        <f>VLOOKUP($A162, 'Medical Examinations'!A:D, 4, FALSE)</f>
        <v>Normal</v>
      </c>
    </row>
    <row r="163" spans="1:11" ht="15.5" x14ac:dyDescent="0.35">
      <c r="A163" s="1" t="s">
        <v>2211</v>
      </c>
      <c r="B163" t="str">
        <f>VLOOKUP($A163, 'Customer Names'!A:D, 3, FALSE)</f>
        <v>Gorman</v>
      </c>
      <c r="C163">
        <f>VLOOKUP($A163,'Medical Examinations'!A:C, 3, FALSE)</f>
        <v>33.630000000000003</v>
      </c>
      <c r="D163" t="str">
        <f>VLOOKUP($A163, 'Medical Examinations'!A:D, 4, FALSE)</f>
        <v>Normal</v>
      </c>
      <c r="E163" t="str">
        <f>VLOOKUP($A163, 'Medical Examinations'!A:F, 6, FALSE)</f>
        <v>No</v>
      </c>
      <c r="F163" t="str">
        <f>VLOOKUP($A163, 'Medical Examinations'!A:G, 7, FALSE)</f>
        <v>No</v>
      </c>
      <c r="G163" t="str">
        <f>VLOOKUP($A163, 'Medical Examinations'!A:H, 8, FALSE)</f>
        <v>No</v>
      </c>
      <c r="H163" t="str">
        <f>VLOOKUP($A163, 'Medical Examinations'!A:J, 10, FALSE)</f>
        <v>No major surgery</v>
      </c>
      <c r="I163" t="str">
        <f>VLOOKUP($A163, 'Medical Examinations'!A:K, 11, FALSE)</f>
        <v>yes</v>
      </c>
      <c r="J163" t="str">
        <f>VLOOKUP($A163, 'Medical Examinations'!A:B, 2, FALSE)</f>
        <v>Obesity</v>
      </c>
      <c r="K163" t="str">
        <f>VLOOKUP($A163, 'Medical Examinations'!A:D, 4, FALSE)</f>
        <v>Normal</v>
      </c>
    </row>
    <row r="164" spans="1:11" ht="15.5" x14ac:dyDescent="0.35">
      <c r="A164" s="1" t="s">
        <v>2210</v>
      </c>
      <c r="B164" t="str">
        <f>VLOOKUP($A164, 'Customer Names'!A:D, 3, FALSE)</f>
        <v>Nishimura</v>
      </c>
      <c r="C164">
        <f>VLOOKUP($A164,'Medical Examinations'!A:C, 3, FALSE)</f>
        <v>37.07</v>
      </c>
      <c r="D164" t="str">
        <f>VLOOKUP($A164, 'Medical Examinations'!A:D, 4, FALSE)</f>
        <v>Normal</v>
      </c>
      <c r="E164" t="str">
        <f>VLOOKUP($A164, 'Medical Examinations'!A:F, 6, FALSE)</f>
        <v>No</v>
      </c>
      <c r="F164" t="str">
        <f>VLOOKUP($A164, 'Medical Examinations'!A:G, 7, FALSE)</f>
        <v>yes</v>
      </c>
      <c r="G164" t="str">
        <f>VLOOKUP($A164, 'Medical Examinations'!A:H, 8, FALSE)</f>
        <v>No</v>
      </c>
      <c r="H164">
        <f>VLOOKUP($A164, 'Medical Examinations'!A:J, 10, FALSE)</f>
        <v>1</v>
      </c>
      <c r="I164" t="str">
        <f>VLOOKUP($A164, 'Medical Examinations'!A:K, 11, FALSE)</f>
        <v>yes</v>
      </c>
      <c r="J164" t="str">
        <f>VLOOKUP($A164, 'Medical Examinations'!A:B, 2, FALSE)</f>
        <v>Obesity</v>
      </c>
      <c r="K164" t="str">
        <f>VLOOKUP($A164, 'Medical Examinations'!A:D, 4, FALSE)</f>
        <v>Normal</v>
      </c>
    </row>
    <row r="165" spans="1:11" ht="15.5" x14ac:dyDescent="0.35">
      <c r="A165" s="1" t="s">
        <v>2209</v>
      </c>
      <c r="B165" t="str">
        <f>VLOOKUP($A165, 'Customer Names'!A:D, 3, FALSE)</f>
        <v>Brimble</v>
      </c>
      <c r="C165">
        <f>VLOOKUP($A165,'Medical Examinations'!A:C, 3, FALSE)</f>
        <v>35.625</v>
      </c>
      <c r="D165" t="str">
        <f>VLOOKUP($A165, 'Medical Examinations'!A:D, 4, FALSE)</f>
        <v>Diabetes</v>
      </c>
      <c r="E165" t="str">
        <f>VLOOKUP($A165, 'Medical Examinations'!A:F, 6, FALSE)</f>
        <v>No</v>
      </c>
      <c r="F165" t="str">
        <f>VLOOKUP($A165, 'Medical Examinations'!A:G, 7, FALSE)</f>
        <v>No</v>
      </c>
      <c r="G165" t="str">
        <f>VLOOKUP($A165, 'Medical Examinations'!A:H, 8, FALSE)</f>
        <v>No</v>
      </c>
      <c r="H165" t="str">
        <f>VLOOKUP($A165, 'Medical Examinations'!A:J, 10, FALSE)</f>
        <v>No major surgery</v>
      </c>
      <c r="I165" t="str">
        <f>VLOOKUP($A165, 'Medical Examinations'!A:K, 11, FALSE)</f>
        <v>yes</v>
      </c>
      <c r="J165" t="str">
        <f>VLOOKUP($A165, 'Medical Examinations'!A:B, 2, FALSE)</f>
        <v>Obesity</v>
      </c>
      <c r="K165" t="str">
        <f>VLOOKUP($A165, 'Medical Examinations'!A:D, 4, FALSE)</f>
        <v>Diabetes</v>
      </c>
    </row>
    <row r="166" spans="1:11" ht="15.5" x14ac:dyDescent="0.35">
      <c r="A166" s="1" t="s">
        <v>2208</v>
      </c>
      <c r="B166" t="str">
        <f>VLOOKUP($A166, 'Customer Names'!A:D, 3, FALSE)</f>
        <v>Trenk</v>
      </c>
      <c r="C166">
        <f>VLOOKUP($A166,'Medical Examinations'!A:C, 3, FALSE)</f>
        <v>42.69</v>
      </c>
      <c r="D166" t="str">
        <f>VLOOKUP($A166, 'Medical Examinations'!A:D, 4, FALSE)</f>
        <v>Normal</v>
      </c>
      <c r="E166" t="str">
        <f>VLOOKUP($A166, 'Medical Examinations'!A:F, 6, FALSE)</f>
        <v>No</v>
      </c>
      <c r="F166" t="str">
        <f>VLOOKUP($A166, 'Medical Examinations'!A:G, 7, FALSE)</f>
        <v>No</v>
      </c>
      <c r="G166" t="str">
        <f>VLOOKUP($A166, 'Medical Examinations'!A:H, 8, FALSE)</f>
        <v>Yes</v>
      </c>
      <c r="H166">
        <f>VLOOKUP($A166, 'Medical Examinations'!A:J, 10, FALSE)</f>
        <v>1</v>
      </c>
      <c r="I166" t="str">
        <f>VLOOKUP($A166, 'Medical Examinations'!A:K, 11, FALSE)</f>
        <v>yes</v>
      </c>
      <c r="J166" t="str">
        <f>VLOOKUP($A166, 'Medical Examinations'!A:B, 2, FALSE)</f>
        <v>Obesity</v>
      </c>
      <c r="K166" t="str">
        <f>VLOOKUP($A166, 'Medical Examinations'!A:D, 4, FALSE)</f>
        <v>Normal</v>
      </c>
    </row>
    <row r="167" spans="1:11" ht="15.5" x14ac:dyDescent="0.35">
      <c r="A167" s="1" t="s">
        <v>2207</v>
      </c>
      <c r="B167" t="str">
        <f>VLOOKUP($A167, 'Customer Names'!A:D, 3, FALSE)</f>
        <v>Wittmann</v>
      </c>
      <c r="C167">
        <f>VLOOKUP($A167,'Medical Examinations'!A:C, 3, FALSE)</f>
        <v>37.869999999999997</v>
      </c>
      <c r="D167" t="str">
        <f>VLOOKUP($A167, 'Medical Examinations'!A:D, 4, FALSE)</f>
        <v>Normal</v>
      </c>
      <c r="E167" t="str">
        <f>VLOOKUP($A167, 'Medical Examinations'!A:F, 6, FALSE)</f>
        <v>yes</v>
      </c>
      <c r="F167" t="str">
        <f>VLOOKUP($A167, 'Medical Examinations'!A:G, 7, FALSE)</f>
        <v>No</v>
      </c>
      <c r="G167" t="str">
        <f>VLOOKUP($A167, 'Medical Examinations'!A:H, 8, FALSE)</f>
        <v>Yes</v>
      </c>
      <c r="H167">
        <f>VLOOKUP($A167, 'Medical Examinations'!A:J, 10, FALSE)</f>
        <v>1</v>
      </c>
      <c r="I167" t="str">
        <f>VLOOKUP($A167, 'Medical Examinations'!A:K, 11, FALSE)</f>
        <v>yes</v>
      </c>
      <c r="J167" t="str">
        <f>VLOOKUP($A167, 'Medical Examinations'!A:B, 2, FALSE)</f>
        <v>Obesity</v>
      </c>
      <c r="K167" t="str">
        <f>VLOOKUP($A167, 'Medical Examinations'!A:D, 4, FALSE)</f>
        <v>Normal</v>
      </c>
    </row>
    <row r="168" spans="1:11" ht="15.5" x14ac:dyDescent="0.35">
      <c r="A168" s="1" t="s">
        <v>2206</v>
      </c>
      <c r="B168" t="str">
        <f>VLOOKUP($A168, 'Customer Names'!A:D, 3, FALSE)</f>
        <v>Tremblay</v>
      </c>
      <c r="C168">
        <f>VLOOKUP($A168,'Medical Examinations'!A:C, 3, FALSE)</f>
        <v>40.61</v>
      </c>
      <c r="D168" t="str">
        <f>VLOOKUP($A168, 'Medical Examinations'!A:D, 4, FALSE)</f>
        <v>Diabetes</v>
      </c>
      <c r="E168" t="str">
        <f>VLOOKUP($A168, 'Medical Examinations'!A:F, 6, FALSE)</f>
        <v>yes</v>
      </c>
      <c r="F168" t="str">
        <f>VLOOKUP($A168, 'Medical Examinations'!A:G, 7, FALSE)</f>
        <v>No</v>
      </c>
      <c r="G168" t="str">
        <f>VLOOKUP($A168, 'Medical Examinations'!A:H, 8, FALSE)</f>
        <v>No</v>
      </c>
      <c r="H168">
        <f>VLOOKUP($A168, 'Medical Examinations'!A:J, 10, FALSE)</f>
        <v>1</v>
      </c>
      <c r="I168" t="str">
        <f>VLOOKUP($A168, 'Medical Examinations'!A:K, 11, FALSE)</f>
        <v>yes</v>
      </c>
      <c r="J168" t="str">
        <f>VLOOKUP($A168, 'Medical Examinations'!A:B, 2, FALSE)</f>
        <v>Obesity</v>
      </c>
      <c r="K168" t="str">
        <f>VLOOKUP($A168, 'Medical Examinations'!A:D, 4, FALSE)</f>
        <v>Diabetes</v>
      </c>
    </row>
    <row r="169" spans="1:11" ht="15.5" x14ac:dyDescent="0.35">
      <c r="A169" s="1" t="s">
        <v>2205</v>
      </c>
      <c r="B169" t="str">
        <f>VLOOKUP($A169, 'Customer Names'!A:D, 3, FALSE)</f>
        <v>Scofield</v>
      </c>
      <c r="C169">
        <f>VLOOKUP($A169,'Medical Examinations'!A:C, 3, FALSE)</f>
        <v>30.78</v>
      </c>
      <c r="D169" t="str">
        <f>VLOOKUP($A169, 'Medical Examinations'!A:D, 4, FALSE)</f>
        <v>Normal</v>
      </c>
      <c r="E169" t="str">
        <f>VLOOKUP($A169, 'Medical Examinations'!A:F, 6, FALSE)</f>
        <v>yes</v>
      </c>
      <c r="F169" t="str">
        <f>VLOOKUP($A169, 'Medical Examinations'!A:G, 7, FALSE)</f>
        <v>No</v>
      </c>
      <c r="G169" t="str">
        <f>VLOOKUP($A169, 'Medical Examinations'!A:H, 8, FALSE)</f>
        <v>No</v>
      </c>
      <c r="H169" t="str">
        <f>VLOOKUP($A169, 'Medical Examinations'!A:J, 10, FALSE)</f>
        <v>No major surgery</v>
      </c>
      <c r="I169" t="str">
        <f>VLOOKUP($A169, 'Medical Examinations'!A:K, 11, FALSE)</f>
        <v>yes</v>
      </c>
      <c r="J169" t="str">
        <f>VLOOKUP($A169, 'Medical Examinations'!A:B, 2, FALSE)</f>
        <v>Obesity</v>
      </c>
      <c r="K169" t="str">
        <f>VLOOKUP($A169, 'Medical Examinations'!A:D, 4, FALSE)</f>
        <v>Normal</v>
      </c>
    </row>
    <row r="170" spans="1:11" ht="15.5" x14ac:dyDescent="0.35">
      <c r="A170" s="1" t="s">
        <v>2204</v>
      </c>
      <c r="B170" t="str">
        <f>VLOOKUP($A170, 'Customer Names'!A:D, 3, FALSE)</f>
        <v>Yost</v>
      </c>
      <c r="C170">
        <f>VLOOKUP($A170,'Medical Examinations'!A:C, 3, FALSE)</f>
        <v>49.49</v>
      </c>
      <c r="D170" t="str">
        <f>VLOOKUP($A170, 'Medical Examinations'!A:D, 4, FALSE)</f>
        <v>Normal</v>
      </c>
      <c r="E170" t="str">
        <f>VLOOKUP($A170, 'Medical Examinations'!A:F, 6, FALSE)</f>
        <v>No</v>
      </c>
      <c r="F170" t="str">
        <f>VLOOKUP($A170, 'Medical Examinations'!A:G, 7, FALSE)</f>
        <v>No</v>
      </c>
      <c r="G170" t="str">
        <f>VLOOKUP($A170, 'Medical Examinations'!A:H, 8, FALSE)</f>
        <v>No</v>
      </c>
      <c r="H170" t="str">
        <f>VLOOKUP($A170, 'Medical Examinations'!A:J, 10, FALSE)</f>
        <v>No major surgery</v>
      </c>
      <c r="I170" t="str">
        <f>VLOOKUP($A170, 'Medical Examinations'!A:K, 11, FALSE)</f>
        <v>yes</v>
      </c>
      <c r="J170" t="str">
        <f>VLOOKUP($A170, 'Medical Examinations'!A:B, 2, FALSE)</f>
        <v>Obesity</v>
      </c>
      <c r="K170" t="str">
        <f>VLOOKUP($A170, 'Medical Examinations'!A:D, 4, FALSE)</f>
        <v>Normal</v>
      </c>
    </row>
    <row r="171" spans="1:11" ht="15.5" x14ac:dyDescent="0.35">
      <c r="A171" s="1" t="s">
        <v>2203</v>
      </c>
      <c r="B171" t="str">
        <f>VLOOKUP($A171, 'Customer Names'!A:D, 3, FALSE)</f>
        <v>Torphy</v>
      </c>
      <c r="C171">
        <f>VLOOKUP($A171,'Medical Examinations'!A:C, 3, FALSE)</f>
        <v>37.619999999999997</v>
      </c>
      <c r="D171" t="str">
        <f>VLOOKUP($A171, 'Medical Examinations'!A:D, 4, FALSE)</f>
        <v>Prediabetes</v>
      </c>
      <c r="E171" t="str">
        <f>VLOOKUP($A171, 'Medical Examinations'!A:F, 6, FALSE)</f>
        <v>yes</v>
      </c>
      <c r="F171" t="str">
        <f>VLOOKUP($A171, 'Medical Examinations'!A:G, 7, FALSE)</f>
        <v>yes</v>
      </c>
      <c r="G171" t="str">
        <f>VLOOKUP($A171, 'Medical Examinations'!A:H, 8, FALSE)</f>
        <v>No</v>
      </c>
      <c r="H171">
        <f>VLOOKUP($A171, 'Medical Examinations'!A:J, 10, FALSE)</f>
        <v>2</v>
      </c>
      <c r="I171" t="str">
        <f>VLOOKUP($A171, 'Medical Examinations'!A:K, 11, FALSE)</f>
        <v>yes</v>
      </c>
      <c r="J171" t="str">
        <f>VLOOKUP($A171, 'Medical Examinations'!A:B, 2, FALSE)</f>
        <v>Obesity</v>
      </c>
      <c r="K171" t="str">
        <f>VLOOKUP($A171, 'Medical Examinations'!A:D, 4, FALSE)</f>
        <v>Prediabetes</v>
      </c>
    </row>
    <row r="172" spans="1:11" ht="15.5" x14ac:dyDescent="0.35">
      <c r="A172" s="1" t="s">
        <v>2202</v>
      </c>
      <c r="B172" t="str">
        <f>VLOOKUP($A172, 'Customer Names'!A:D, 3, FALSE)</f>
        <v>Busby</v>
      </c>
      <c r="C172">
        <f>VLOOKUP($A172,'Medical Examinations'!A:C, 3, FALSE)</f>
        <v>36.08</v>
      </c>
      <c r="D172" t="str">
        <f>VLOOKUP($A172, 'Medical Examinations'!A:D, 4, FALSE)</f>
        <v>Prediabetes</v>
      </c>
      <c r="E172" t="str">
        <f>VLOOKUP($A172, 'Medical Examinations'!A:F, 6, FALSE)</f>
        <v>yes</v>
      </c>
      <c r="F172" t="str">
        <f>VLOOKUP($A172, 'Medical Examinations'!A:G, 7, FALSE)</f>
        <v>No</v>
      </c>
      <c r="G172" t="str">
        <f>VLOOKUP($A172, 'Medical Examinations'!A:H, 8, FALSE)</f>
        <v>No</v>
      </c>
      <c r="H172">
        <f>VLOOKUP($A172, 'Medical Examinations'!A:J, 10, FALSE)</f>
        <v>1</v>
      </c>
      <c r="I172" t="str">
        <f>VLOOKUP($A172, 'Medical Examinations'!A:K, 11, FALSE)</f>
        <v>yes</v>
      </c>
      <c r="J172" t="str">
        <f>VLOOKUP($A172, 'Medical Examinations'!A:B, 2, FALSE)</f>
        <v>Obesity</v>
      </c>
      <c r="K172" t="str">
        <f>VLOOKUP($A172, 'Medical Examinations'!A:D, 4, FALSE)</f>
        <v>Prediabetes</v>
      </c>
    </row>
    <row r="173" spans="1:11" ht="15.5" x14ac:dyDescent="0.35">
      <c r="A173" s="1" t="s">
        <v>2201</v>
      </c>
      <c r="B173" t="str">
        <f>VLOOKUP($A173, 'Customer Names'!A:D, 3, FALSE)</f>
        <v>Nguyen</v>
      </c>
      <c r="C173">
        <f>VLOOKUP($A173,'Medical Examinations'!A:C, 3, FALSE)</f>
        <v>33.5</v>
      </c>
      <c r="D173" t="str">
        <f>VLOOKUP($A173, 'Medical Examinations'!A:D, 4, FALSE)</f>
        <v>Normal</v>
      </c>
      <c r="E173" t="str">
        <f>VLOOKUP($A173, 'Medical Examinations'!A:F, 6, FALSE)</f>
        <v>No</v>
      </c>
      <c r="F173" t="str">
        <f>VLOOKUP($A173, 'Medical Examinations'!A:G, 7, FALSE)</f>
        <v>No</v>
      </c>
      <c r="G173" t="str">
        <f>VLOOKUP($A173, 'Medical Examinations'!A:H, 8, FALSE)</f>
        <v>No</v>
      </c>
      <c r="H173" t="str">
        <f>VLOOKUP($A173, 'Medical Examinations'!A:J, 10, FALSE)</f>
        <v>No major surgery</v>
      </c>
      <c r="I173" t="str">
        <f>VLOOKUP($A173, 'Medical Examinations'!A:K, 11, FALSE)</f>
        <v>yes</v>
      </c>
      <c r="J173" t="str">
        <f>VLOOKUP($A173, 'Medical Examinations'!A:B, 2, FALSE)</f>
        <v>Obesity</v>
      </c>
      <c r="K173" t="str">
        <f>VLOOKUP($A173, 'Medical Examinations'!A:D, 4, FALSE)</f>
        <v>Normal</v>
      </c>
    </row>
    <row r="174" spans="1:11" ht="15.5" x14ac:dyDescent="0.35">
      <c r="A174" s="1" t="s">
        <v>2200</v>
      </c>
      <c r="B174" t="str">
        <f>VLOOKUP($A174, 'Customer Names'!A:D, 3, FALSE)</f>
        <v>Hanley</v>
      </c>
      <c r="C174">
        <f>VLOOKUP($A174,'Medical Examinations'!A:C, 3, FALSE)</f>
        <v>47.46</v>
      </c>
      <c r="D174" t="str">
        <f>VLOOKUP($A174, 'Medical Examinations'!A:D, 4, FALSE)</f>
        <v>Prediabetes</v>
      </c>
      <c r="E174" t="str">
        <f>VLOOKUP($A174, 'Medical Examinations'!A:F, 6, FALSE)</f>
        <v>yes</v>
      </c>
      <c r="F174" t="str">
        <f>VLOOKUP($A174, 'Medical Examinations'!A:G, 7, FALSE)</f>
        <v>No</v>
      </c>
      <c r="G174" t="str">
        <f>VLOOKUP($A174, 'Medical Examinations'!A:H, 8, FALSE)</f>
        <v>No</v>
      </c>
      <c r="H174">
        <f>VLOOKUP($A174, 'Medical Examinations'!A:J, 10, FALSE)</f>
        <v>1</v>
      </c>
      <c r="I174" t="str">
        <f>VLOOKUP($A174, 'Medical Examinations'!A:K, 11, FALSE)</f>
        <v>yes</v>
      </c>
      <c r="J174" t="str">
        <f>VLOOKUP($A174, 'Medical Examinations'!A:B, 2, FALSE)</f>
        <v>Obesity</v>
      </c>
      <c r="K174" t="str">
        <f>VLOOKUP($A174, 'Medical Examinations'!A:D, 4, FALSE)</f>
        <v>Prediabetes</v>
      </c>
    </row>
    <row r="175" spans="1:11" ht="15.5" x14ac:dyDescent="0.35">
      <c r="A175" s="1" t="s">
        <v>2199</v>
      </c>
      <c r="B175" t="str">
        <f>VLOOKUP($A175, 'Customer Names'!A:D, 3, FALSE)</f>
        <v>Scheer</v>
      </c>
      <c r="C175">
        <f>VLOOKUP($A175,'Medical Examinations'!A:C, 3, FALSE)</f>
        <v>49.24</v>
      </c>
      <c r="D175" t="str">
        <f>VLOOKUP($A175, 'Medical Examinations'!A:D, 4, FALSE)</f>
        <v>Normal</v>
      </c>
      <c r="E175" t="str">
        <f>VLOOKUP($A175, 'Medical Examinations'!A:F, 6, FALSE)</f>
        <v>No</v>
      </c>
      <c r="F175" t="str">
        <f>VLOOKUP($A175, 'Medical Examinations'!A:G, 7, FALSE)</f>
        <v>No</v>
      </c>
      <c r="G175" t="str">
        <f>VLOOKUP($A175, 'Medical Examinations'!A:H, 8, FALSE)</f>
        <v>No</v>
      </c>
      <c r="H175" t="str">
        <f>VLOOKUP($A175, 'Medical Examinations'!A:J, 10, FALSE)</f>
        <v>No major surgery</v>
      </c>
      <c r="I175" t="str">
        <f>VLOOKUP($A175, 'Medical Examinations'!A:K, 11, FALSE)</f>
        <v>yes</v>
      </c>
      <c r="J175" t="str">
        <f>VLOOKUP($A175, 'Medical Examinations'!A:B, 2, FALSE)</f>
        <v>Obesity</v>
      </c>
      <c r="K175" t="str">
        <f>VLOOKUP($A175, 'Medical Examinations'!A:D, 4, FALSE)</f>
        <v>Normal</v>
      </c>
    </row>
    <row r="176" spans="1:11" ht="15.5" x14ac:dyDescent="0.35">
      <c r="A176" s="1" t="s">
        <v>2198</v>
      </c>
      <c r="B176" t="str">
        <f>VLOOKUP($A176, 'Customer Names'!A:D, 3, FALSE)</f>
        <v>Rankin</v>
      </c>
      <c r="C176">
        <f>VLOOKUP($A176,'Medical Examinations'!A:C, 3, FALSE)</f>
        <v>54.4</v>
      </c>
      <c r="D176" t="str">
        <f>VLOOKUP($A176, 'Medical Examinations'!A:D, 4, FALSE)</f>
        <v>Normal</v>
      </c>
      <c r="E176" t="str">
        <f>VLOOKUP($A176, 'Medical Examinations'!A:F, 6, FALSE)</f>
        <v>No</v>
      </c>
      <c r="F176" t="str">
        <f>VLOOKUP($A176, 'Medical Examinations'!A:G, 7, FALSE)</f>
        <v>No</v>
      </c>
      <c r="G176" t="str">
        <f>VLOOKUP($A176, 'Medical Examinations'!A:H, 8, FALSE)</f>
        <v>No</v>
      </c>
      <c r="H176">
        <f>VLOOKUP($A176, 'Medical Examinations'!A:J, 10, FALSE)</f>
        <v>1</v>
      </c>
      <c r="I176" t="str">
        <f>VLOOKUP($A176, 'Medical Examinations'!A:K, 11, FALSE)</f>
        <v>yes</v>
      </c>
      <c r="J176" t="str">
        <f>VLOOKUP($A176, 'Medical Examinations'!A:B, 2, FALSE)</f>
        <v>Obesity</v>
      </c>
      <c r="K176" t="str">
        <f>VLOOKUP($A176, 'Medical Examinations'!A:D, 4, FALSE)</f>
        <v>Normal</v>
      </c>
    </row>
    <row r="177" spans="1:11" ht="15.5" x14ac:dyDescent="0.35">
      <c r="A177" s="1" t="s">
        <v>2197</v>
      </c>
      <c r="B177" t="str">
        <f>VLOOKUP($A177, 'Customer Names'!A:D, 3, FALSE)</f>
        <v>Ricardi</v>
      </c>
      <c r="C177">
        <f>VLOOKUP($A177,'Medical Examinations'!A:C, 3, FALSE)</f>
        <v>35.53</v>
      </c>
      <c r="D177" t="str">
        <f>VLOOKUP($A177, 'Medical Examinations'!A:D, 4, FALSE)</f>
        <v>Normal</v>
      </c>
      <c r="E177" t="str">
        <f>VLOOKUP($A177, 'Medical Examinations'!A:F, 6, FALSE)</f>
        <v>No</v>
      </c>
      <c r="F177" t="str">
        <f>VLOOKUP($A177, 'Medical Examinations'!A:G, 7, FALSE)</f>
        <v>No</v>
      </c>
      <c r="G177" t="str">
        <f>VLOOKUP($A177, 'Medical Examinations'!A:H, 8, FALSE)</f>
        <v>No</v>
      </c>
      <c r="H177">
        <f>VLOOKUP($A177, 'Medical Examinations'!A:J, 10, FALSE)</f>
        <v>1</v>
      </c>
      <c r="I177" t="str">
        <f>VLOOKUP($A177, 'Medical Examinations'!A:K, 11, FALSE)</f>
        <v>yes</v>
      </c>
      <c r="J177" t="str">
        <f>VLOOKUP($A177, 'Medical Examinations'!A:B, 2, FALSE)</f>
        <v>Obesity</v>
      </c>
      <c r="K177" t="str">
        <f>VLOOKUP($A177, 'Medical Examinations'!A:D, 4, FALSE)</f>
        <v>Normal</v>
      </c>
    </row>
    <row r="178" spans="1:11" ht="15.5" x14ac:dyDescent="0.35">
      <c r="A178" s="1" t="s">
        <v>2196</v>
      </c>
      <c r="B178" t="str">
        <f>VLOOKUP($A178, 'Customer Names'!A:D, 3, FALSE)</f>
        <v>Karkos</v>
      </c>
      <c r="C178">
        <f>VLOOKUP($A178,'Medical Examinations'!A:C, 3, FALSE)</f>
        <v>39.729999999999997</v>
      </c>
      <c r="D178" t="str">
        <f>VLOOKUP($A178, 'Medical Examinations'!A:D, 4, FALSE)</f>
        <v>Prediabetes</v>
      </c>
      <c r="E178" t="str">
        <f>VLOOKUP($A178, 'Medical Examinations'!A:F, 6, FALSE)</f>
        <v>No</v>
      </c>
      <c r="F178" t="str">
        <f>VLOOKUP($A178, 'Medical Examinations'!A:G, 7, FALSE)</f>
        <v>No</v>
      </c>
      <c r="G178" t="str">
        <f>VLOOKUP($A178, 'Medical Examinations'!A:H, 8, FALSE)</f>
        <v>No</v>
      </c>
      <c r="H178" t="str">
        <f>VLOOKUP($A178, 'Medical Examinations'!A:J, 10, FALSE)</f>
        <v>No major surgery</v>
      </c>
      <c r="I178" t="str">
        <f>VLOOKUP($A178, 'Medical Examinations'!A:K, 11, FALSE)</f>
        <v>yes</v>
      </c>
      <c r="J178" t="str">
        <f>VLOOKUP($A178, 'Medical Examinations'!A:B, 2, FALSE)</f>
        <v>Obesity</v>
      </c>
      <c r="K178" t="str">
        <f>VLOOKUP($A178, 'Medical Examinations'!A:D, 4, FALSE)</f>
        <v>Prediabetes</v>
      </c>
    </row>
    <row r="179" spans="1:11" ht="15.5" x14ac:dyDescent="0.35">
      <c r="A179" s="1" t="s">
        <v>2195</v>
      </c>
      <c r="B179" t="str">
        <f>VLOOKUP($A179, 'Customer Names'!A:D, 3, FALSE)</f>
        <v>Price-Dierksen</v>
      </c>
      <c r="C179">
        <f>VLOOKUP($A179,'Medical Examinations'!A:C, 3, FALSE)</f>
        <v>35.68</v>
      </c>
      <c r="D179" t="str">
        <f>VLOOKUP($A179, 'Medical Examinations'!A:D, 4, FALSE)</f>
        <v>Diabetes</v>
      </c>
      <c r="E179" t="str">
        <f>VLOOKUP($A179, 'Medical Examinations'!A:F, 6, FALSE)</f>
        <v>No</v>
      </c>
      <c r="F179" t="str">
        <f>VLOOKUP($A179, 'Medical Examinations'!A:G, 7, FALSE)</f>
        <v>No</v>
      </c>
      <c r="G179" t="str">
        <f>VLOOKUP($A179, 'Medical Examinations'!A:H, 8, FALSE)</f>
        <v>No</v>
      </c>
      <c r="H179" t="str">
        <f>VLOOKUP($A179, 'Medical Examinations'!A:J, 10, FALSE)</f>
        <v>No major surgery</v>
      </c>
      <c r="I179" t="str">
        <f>VLOOKUP($A179, 'Medical Examinations'!A:K, 11, FALSE)</f>
        <v>yes</v>
      </c>
      <c r="J179" t="str">
        <f>VLOOKUP($A179, 'Medical Examinations'!A:B, 2, FALSE)</f>
        <v>Obesity</v>
      </c>
      <c r="K179" t="str">
        <f>VLOOKUP($A179, 'Medical Examinations'!A:D, 4, FALSE)</f>
        <v>Diabetes</v>
      </c>
    </row>
    <row r="180" spans="1:11" ht="15.5" x14ac:dyDescent="0.35">
      <c r="A180" s="1" t="s">
        <v>2194</v>
      </c>
      <c r="B180" t="str">
        <f>VLOOKUP($A180, 'Customer Names'!A:D, 3, FALSE)</f>
        <v>Knispel</v>
      </c>
      <c r="C180">
        <f>VLOOKUP($A180,'Medical Examinations'!A:C, 3, FALSE)</f>
        <v>48.86</v>
      </c>
      <c r="D180" t="str">
        <f>VLOOKUP($A180, 'Medical Examinations'!A:D, 4, FALSE)</f>
        <v>Prediabetes</v>
      </c>
      <c r="E180" t="str">
        <f>VLOOKUP($A180, 'Medical Examinations'!A:F, 6, FALSE)</f>
        <v>No</v>
      </c>
      <c r="F180" t="str">
        <f>VLOOKUP($A180, 'Medical Examinations'!A:G, 7, FALSE)</f>
        <v>No</v>
      </c>
      <c r="G180" t="str">
        <f>VLOOKUP($A180, 'Medical Examinations'!A:H, 8, FALSE)</f>
        <v>No</v>
      </c>
      <c r="H180" t="str">
        <f>VLOOKUP($A180, 'Medical Examinations'!A:J, 10, FALSE)</f>
        <v>No major surgery</v>
      </c>
      <c r="I180" t="str">
        <f>VLOOKUP($A180, 'Medical Examinations'!A:K, 11, FALSE)</f>
        <v>yes</v>
      </c>
      <c r="J180" t="str">
        <f>VLOOKUP($A180, 'Medical Examinations'!A:B, 2, FALSE)</f>
        <v>Obesity</v>
      </c>
      <c r="K180" t="str">
        <f>VLOOKUP($A180, 'Medical Examinations'!A:D, 4, FALSE)</f>
        <v>Prediabetes</v>
      </c>
    </row>
    <row r="181" spans="1:11" ht="15.5" x14ac:dyDescent="0.35">
      <c r="A181" s="1" t="s">
        <v>2193</v>
      </c>
      <c r="B181" t="str">
        <f>VLOOKUP($A181, 'Customer Names'!A:D, 3, FALSE)</f>
        <v>King</v>
      </c>
      <c r="C181">
        <f>VLOOKUP($A181,'Medical Examinations'!A:C, 3, FALSE)</f>
        <v>34.799999999999997</v>
      </c>
      <c r="D181" t="str">
        <f>VLOOKUP($A181, 'Medical Examinations'!A:D, 4, FALSE)</f>
        <v>Diabetes</v>
      </c>
      <c r="E181" t="str">
        <f>VLOOKUP($A181, 'Medical Examinations'!A:F, 6, FALSE)</f>
        <v>yes</v>
      </c>
      <c r="F181" t="str">
        <f>VLOOKUP($A181, 'Medical Examinations'!A:G, 7, FALSE)</f>
        <v>No</v>
      </c>
      <c r="G181" t="str">
        <f>VLOOKUP($A181, 'Medical Examinations'!A:H, 8, FALSE)</f>
        <v>Yes</v>
      </c>
      <c r="H181">
        <f>VLOOKUP($A181, 'Medical Examinations'!A:J, 10, FALSE)</f>
        <v>1</v>
      </c>
      <c r="I181" t="str">
        <f>VLOOKUP($A181, 'Medical Examinations'!A:K, 11, FALSE)</f>
        <v>No</v>
      </c>
      <c r="J181" t="str">
        <f>VLOOKUP($A181, 'Medical Examinations'!A:B, 2, FALSE)</f>
        <v>Obesity</v>
      </c>
      <c r="K181" t="str">
        <f>VLOOKUP($A181, 'Medical Examinations'!A:D, 4, FALSE)</f>
        <v>Diabetes</v>
      </c>
    </row>
    <row r="182" spans="1:11" ht="15.5" x14ac:dyDescent="0.35">
      <c r="A182" s="1" t="s">
        <v>2192</v>
      </c>
      <c r="B182" t="str">
        <f>VLOOKUP($A182, 'Customer Names'!A:D, 3, FALSE)</f>
        <v>Samuelson</v>
      </c>
      <c r="C182">
        <f>VLOOKUP($A182,'Medical Examinations'!A:C, 3, FALSE)</f>
        <v>32.49</v>
      </c>
      <c r="D182" t="str">
        <f>VLOOKUP($A182, 'Medical Examinations'!A:D, 4, FALSE)</f>
        <v>Normal</v>
      </c>
      <c r="E182" t="str">
        <f>VLOOKUP($A182, 'Medical Examinations'!A:F, 6, FALSE)</f>
        <v>No</v>
      </c>
      <c r="F182" t="str">
        <f>VLOOKUP($A182, 'Medical Examinations'!A:G, 7, FALSE)</f>
        <v>No</v>
      </c>
      <c r="G182" t="str">
        <f>VLOOKUP($A182, 'Medical Examinations'!A:H, 8, FALSE)</f>
        <v>Yes</v>
      </c>
      <c r="H182">
        <f>VLOOKUP($A182, 'Medical Examinations'!A:J, 10, FALSE)</f>
        <v>1</v>
      </c>
      <c r="I182" t="str">
        <f>VLOOKUP($A182, 'Medical Examinations'!A:K, 11, FALSE)</f>
        <v>yes</v>
      </c>
      <c r="J182" t="str">
        <f>VLOOKUP($A182, 'Medical Examinations'!A:B, 2, FALSE)</f>
        <v>Obesity</v>
      </c>
      <c r="K182" t="str">
        <f>VLOOKUP($A182, 'Medical Examinations'!A:D, 4, FALSE)</f>
        <v>Normal</v>
      </c>
    </row>
    <row r="183" spans="1:11" ht="15.5" x14ac:dyDescent="0.35">
      <c r="A183" s="1" t="s">
        <v>2191</v>
      </c>
      <c r="B183" t="str">
        <f>VLOOKUP($A183, 'Customer Names'!A:D, 3, FALSE)</f>
        <v>Fredsall</v>
      </c>
      <c r="C183">
        <f>VLOOKUP($A183,'Medical Examinations'!A:C, 3, FALSE)</f>
        <v>39</v>
      </c>
      <c r="D183" t="str">
        <f>VLOOKUP($A183, 'Medical Examinations'!A:D, 4, FALSE)</f>
        <v>Prediabetes</v>
      </c>
      <c r="E183" t="str">
        <f>VLOOKUP($A183, 'Medical Examinations'!A:F, 6, FALSE)</f>
        <v>No</v>
      </c>
      <c r="F183" t="str">
        <f>VLOOKUP($A183, 'Medical Examinations'!A:G, 7, FALSE)</f>
        <v>No</v>
      </c>
      <c r="G183" t="str">
        <f>VLOOKUP($A183, 'Medical Examinations'!A:H, 8, FALSE)</f>
        <v>No</v>
      </c>
      <c r="H183">
        <f>VLOOKUP($A183, 'Medical Examinations'!A:J, 10, FALSE)</f>
        <v>2</v>
      </c>
      <c r="I183" t="str">
        <f>VLOOKUP($A183, 'Medical Examinations'!A:K, 11, FALSE)</f>
        <v>yes</v>
      </c>
      <c r="J183" t="str">
        <f>VLOOKUP($A183, 'Medical Examinations'!A:B, 2, FALSE)</f>
        <v>Obesity</v>
      </c>
      <c r="K183" t="str">
        <f>VLOOKUP($A183, 'Medical Examinations'!A:D, 4, FALSE)</f>
        <v>Prediabetes</v>
      </c>
    </row>
    <row r="184" spans="1:11" ht="15.5" x14ac:dyDescent="0.35">
      <c r="A184" s="1" t="s">
        <v>2190</v>
      </c>
      <c r="B184" t="str">
        <f>VLOOKUP($A184, 'Customer Names'!A:D, 3, FALSE)</f>
        <v>Eggleston</v>
      </c>
      <c r="C184">
        <f>VLOOKUP($A184,'Medical Examinations'!A:C, 3, FALSE)</f>
        <v>35.299999999999997</v>
      </c>
      <c r="D184" t="str">
        <f>VLOOKUP($A184, 'Medical Examinations'!A:D, 4, FALSE)</f>
        <v>Prediabetes</v>
      </c>
      <c r="E184" t="str">
        <f>VLOOKUP($A184, 'Medical Examinations'!A:F, 6, FALSE)</f>
        <v>No</v>
      </c>
      <c r="F184" t="str">
        <f>VLOOKUP($A184, 'Medical Examinations'!A:G, 7, FALSE)</f>
        <v>No</v>
      </c>
      <c r="G184" t="str">
        <f>VLOOKUP($A184, 'Medical Examinations'!A:H, 8, FALSE)</f>
        <v>No</v>
      </c>
      <c r="H184">
        <f>VLOOKUP($A184, 'Medical Examinations'!A:J, 10, FALSE)</f>
        <v>1</v>
      </c>
      <c r="I184" t="str">
        <f>VLOOKUP($A184, 'Medical Examinations'!A:K, 11, FALSE)</f>
        <v>yes</v>
      </c>
      <c r="J184" t="str">
        <f>VLOOKUP($A184, 'Medical Examinations'!A:B, 2, FALSE)</f>
        <v>Obesity</v>
      </c>
      <c r="K184" t="str">
        <f>VLOOKUP($A184, 'Medical Examinations'!A:D, 4, FALSE)</f>
        <v>Prediabetes</v>
      </c>
    </row>
    <row r="185" spans="1:11" ht="15.5" x14ac:dyDescent="0.35">
      <c r="A185" s="1" t="s">
        <v>2189</v>
      </c>
      <c r="B185" t="str">
        <f>VLOOKUP($A185, 'Customer Names'!A:D, 3, FALSE)</f>
        <v>Palombaro</v>
      </c>
      <c r="C185">
        <f>VLOOKUP($A185,'Medical Examinations'!A:C, 3, FALSE)</f>
        <v>33.42</v>
      </c>
      <c r="D185" t="str">
        <f>VLOOKUP($A185, 'Medical Examinations'!A:D, 4, FALSE)</f>
        <v>Diabetes</v>
      </c>
      <c r="E185" t="str">
        <f>VLOOKUP($A185, 'Medical Examinations'!A:F, 6, FALSE)</f>
        <v>No</v>
      </c>
      <c r="F185" t="str">
        <f>VLOOKUP($A185, 'Medical Examinations'!A:G, 7, FALSE)</f>
        <v>No</v>
      </c>
      <c r="G185" t="str">
        <f>VLOOKUP($A185, 'Medical Examinations'!A:H, 8, FALSE)</f>
        <v>No</v>
      </c>
      <c r="H185" t="str">
        <f>VLOOKUP($A185, 'Medical Examinations'!A:J, 10, FALSE)</f>
        <v>No major surgery</v>
      </c>
      <c r="I185" t="str">
        <f>VLOOKUP($A185, 'Medical Examinations'!A:K, 11, FALSE)</f>
        <v>yes</v>
      </c>
      <c r="J185" t="str">
        <f>VLOOKUP($A185, 'Medical Examinations'!A:B, 2, FALSE)</f>
        <v>Obesity</v>
      </c>
      <c r="K185" t="str">
        <f>VLOOKUP($A185, 'Medical Examinations'!A:D, 4, FALSE)</f>
        <v>Diabetes</v>
      </c>
    </row>
    <row r="186" spans="1:11" ht="15.5" x14ac:dyDescent="0.35">
      <c r="A186" s="1" t="s">
        <v>2188</v>
      </c>
      <c r="B186" t="str">
        <f>VLOOKUP($A186, 'Customer Names'!A:D, 3, FALSE)</f>
        <v>Silva</v>
      </c>
      <c r="C186">
        <f>VLOOKUP($A186,'Medical Examinations'!A:C, 3, FALSE)</f>
        <v>37.18</v>
      </c>
      <c r="D186" t="str">
        <f>VLOOKUP($A186, 'Medical Examinations'!A:D, 4, FALSE)</f>
        <v>Diabetes</v>
      </c>
      <c r="E186" t="str">
        <f>VLOOKUP($A186, 'Medical Examinations'!A:F, 6, FALSE)</f>
        <v>yes</v>
      </c>
      <c r="F186" t="str">
        <f>VLOOKUP($A186, 'Medical Examinations'!A:G, 7, FALSE)</f>
        <v>No</v>
      </c>
      <c r="G186" t="str">
        <f>VLOOKUP($A186, 'Medical Examinations'!A:H, 8, FALSE)</f>
        <v>No</v>
      </c>
      <c r="H186">
        <f>VLOOKUP($A186, 'Medical Examinations'!A:J, 10, FALSE)</f>
        <v>2</v>
      </c>
      <c r="I186" t="str">
        <f>VLOOKUP($A186, 'Medical Examinations'!A:K, 11, FALSE)</f>
        <v>yes</v>
      </c>
      <c r="J186" t="str">
        <f>VLOOKUP($A186, 'Medical Examinations'!A:B, 2, FALSE)</f>
        <v>Obesity</v>
      </c>
      <c r="K186" t="str">
        <f>VLOOKUP($A186, 'Medical Examinations'!A:D, 4, FALSE)</f>
        <v>Diabetes</v>
      </c>
    </row>
    <row r="187" spans="1:11" ht="15.5" x14ac:dyDescent="0.35">
      <c r="A187" s="1" t="s">
        <v>2187</v>
      </c>
      <c r="B187" t="str">
        <f>VLOOKUP($A187, 'Customer Names'!A:D, 3, FALSE)</f>
        <v>Bugala</v>
      </c>
      <c r="C187">
        <f>VLOOKUP($A187,'Medical Examinations'!A:C, 3, FALSE)</f>
        <v>33.33</v>
      </c>
      <c r="D187" t="str">
        <f>VLOOKUP($A187, 'Medical Examinations'!A:D, 4, FALSE)</f>
        <v>Diabetes</v>
      </c>
      <c r="E187" t="str">
        <f>VLOOKUP($A187, 'Medical Examinations'!A:F, 6, FALSE)</f>
        <v>yes</v>
      </c>
      <c r="F187" t="str">
        <f>VLOOKUP($A187, 'Medical Examinations'!A:G, 7, FALSE)</f>
        <v>No</v>
      </c>
      <c r="G187" t="str">
        <f>VLOOKUP($A187, 'Medical Examinations'!A:H, 8, FALSE)</f>
        <v>No</v>
      </c>
      <c r="H187">
        <f>VLOOKUP($A187, 'Medical Examinations'!A:J, 10, FALSE)</f>
        <v>2</v>
      </c>
      <c r="I187" t="str">
        <f>VLOOKUP($A187, 'Medical Examinations'!A:K, 11, FALSE)</f>
        <v>No</v>
      </c>
      <c r="J187" t="str">
        <f>VLOOKUP($A187, 'Medical Examinations'!A:B, 2, FALSE)</f>
        <v>Obesity</v>
      </c>
      <c r="K187" t="str">
        <f>VLOOKUP($A187, 'Medical Examinations'!A:D, 4, FALSE)</f>
        <v>Diabetes</v>
      </c>
    </row>
    <row r="188" spans="1:11" ht="15.5" x14ac:dyDescent="0.35">
      <c r="A188" s="1" t="s">
        <v>2186</v>
      </c>
      <c r="B188" t="str">
        <f>VLOOKUP($A188, 'Customer Names'!A:D, 3, FALSE)</f>
        <v>Dublin</v>
      </c>
      <c r="C188">
        <f>VLOOKUP($A188,'Medical Examinations'!A:C, 3, FALSE)</f>
        <v>53.21</v>
      </c>
      <c r="D188" t="str">
        <f>VLOOKUP($A188, 'Medical Examinations'!A:D, 4, FALSE)</f>
        <v>Normal</v>
      </c>
      <c r="E188" t="str">
        <f>VLOOKUP($A188, 'Medical Examinations'!A:F, 6, FALSE)</f>
        <v>No</v>
      </c>
      <c r="F188" t="str">
        <f>VLOOKUP($A188, 'Medical Examinations'!A:G, 7, FALSE)</f>
        <v>No</v>
      </c>
      <c r="G188" t="str">
        <f>VLOOKUP($A188, 'Medical Examinations'!A:H, 8, FALSE)</f>
        <v>No</v>
      </c>
      <c r="H188">
        <f>VLOOKUP($A188, 'Medical Examinations'!A:J, 10, FALSE)</f>
        <v>1</v>
      </c>
      <c r="I188" t="str">
        <f>VLOOKUP($A188, 'Medical Examinations'!A:K, 11, FALSE)</f>
        <v>yes</v>
      </c>
      <c r="J188" t="str">
        <f>VLOOKUP($A188, 'Medical Examinations'!A:B, 2, FALSE)</f>
        <v>Obesity</v>
      </c>
      <c r="K188" t="str">
        <f>VLOOKUP($A188, 'Medical Examinations'!A:D, 4, FALSE)</f>
        <v>Normal</v>
      </c>
    </row>
    <row r="189" spans="1:11" ht="15.5" x14ac:dyDescent="0.35">
      <c r="A189" s="1" t="s">
        <v>2185</v>
      </c>
      <c r="B189" t="str">
        <f>VLOOKUP($A189, 'Customer Names'!A:D, 3, FALSE)</f>
        <v>Cleland</v>
      </c>
      <c r="C189">
        <f>VLOOKUP($A189,'Medical Examinations'!A:C, 3, FALSE)</f>
        <v>38.729999999999997</v>
      </c>
      <c r="D189" t="str">
        <f>VLOOKUP($A189, 'Medical Examinations'!A:D, 4, FALSE)</f>
        <v>Diabetes</v>
      </c>
      <c r="E189" t="str">
        <f>VLOOKUP($A189, 'Medical Examinations'!A:F, 6, FALSE)</f>
        <v>No</v>
      </c>
      <c r="F189" t="str">
        <f>VLOOKUP($A189, 'Medical Examinations'!A:G, 7, FALSE)</f>
        <v>No</v>
      </c>
      <c r="G189" t="str">
        <f>VLOOKUP($A189, 'Medical Examinations'!A:H, 8, FALSE)</f>
        <v>No</v>
      </c>
      <c r="H189">
        <f>VLOOKUP($A189, 'Medical Examinations'!A:J, 10, FALSE)</f>
        <v>2</v>
      </c>
      <c r="I189" t="str">
        <f>VLOOKUP($A189, 'Medical Examinations'!A:K, 11, FALSE)</f>
        <v>yes</v>
      </c>
      <c r="J189" t="str">
        <f>VLOOKUP($A189, 'Medical Examinations'!A:B, 2, FALSE)</f>
        <v>Obesity</v>
      </c>
      <c r="K189" t="str">
        <f>VLOOKUP($A189, 'Medical Examinations'!A:D, 4, FALSE)</f>
        <v>Diabetes</v>
      </c>
    </row>
    <row r="190" spans="1:11" ht="15.5" x14ac:dyDescent="0.35">
      <c r="A190" s="1" t="s">
        <v>2184</v>
      </c>
      <c r="B190" t="str">
        <f>VLOOKUP($A190, 'Customer Names'!A:D, 3, FALSE)</f>
        <v>Evans</v>
      </c>
      <c r="C190">
        <f>VLOOKUP($A190,'Medical Examinations'!A:C, 3, FALSE)</f>
        <v>29.73</v>
      </c>
      <c r="D190" t="str">
        <f>VLOOKUP($A190, 'Medical Examinations'!A:D, 4, FALSE)</f>
        <v>Diabetes</v>
      </c>
      <c r="E190" t="str">
        <f>VLOOKUP($A190, 'Medical Examinations'!A:F, 6, FALSE)</f>
        <v>No</v>
      </c>
      <c r="F190" t="str">
        <f>VLOOKUP($A190, 'Medical Examinations'!A:G, 7, FALSE)</f>
        <v>No</v>
      </c>
      <c r="G190" t="str">
        <f>VLOOKUP($A190, 'Medical Examinations'!A:H, 8, FALSE)</f>
        <v>No</v>
      </c>
      <c r="H190" t="str">
        <f>VLOOKUP($A190, 'Medical Examinations'!A:J, 10, FALSE)</f>
        <v>No major surgery</v>
      </c>
      <c r="I190" t="str">
        <f>VLOOKUP($A190, 'Medical Examinations'!A:K, 11, FALSE)</f>
        <v>yes</v>
      </c>
      <c r="J190" t="str">
        <f>VLOOKUP($A190, 'Medical Examinations'!A:B, 2, FALSE)</f>
        <v>Overweight</v>
      </c>
      <c r="K190" t="str">
        <f>VLOOKUP($A190, 'Medical Examinations'!A:D, 4, FALSE)</f>
        <v>Diabetes</v>
      </c>
    </row>
    <row r="191" spans="1:11" ht="15.5" x14ac:dyDescent="0.35">
      <c r="A191" s="1" t="s">
        <v>2183</v>
      </c>
      <c r="B191" t="str">
        <f>VLOOKUP($A191, 'Customer Names'!A:D, 3, FALSE)</f>
        <v>Boyd</v>
      </c>
      <c r="C191">
        <f>VLOOKUP($A191,'Medical Examinations'!A:C, 3, FALSE)</f>
        <v>34.700000000000003</v>
      </c>
      <c r="D191" t="str">
        <f>VLOOKUP($A191, 'Medical Examinations'!A:D, 4, FALSE)</f>
        <v>Normal</v>
      </c>
      <c r="E191" t="str">
        <f>VLOOKUP($A191, 'Medical Examinations'!A:F, 6, FALSE)</f>
        <v>No</v>
      </c>
      <c r="F191" t="str">
        <f>VLOOKUP($A191, 'Medical Examinations'!A:G, 7, FALSE)</f>
        <v>No</v>
      </c>
      <c r="G191" t="str">
        <f>VLOOKUP($A191, 'Medical Examinations'!A:H, 8, FALSE)</f>
        <v>Yes</v>
      </c>
      <c r="H191">
        <f>VLOOKUP($A191, 'Medical Examinations'!A:J, 10, FALSE)</f>
        <v>1</v>
      </c>
      <c r="I191" t="str">
        <f>VLOOKUP($A191, 'Medical Examinations'!A:K, 11, FALSE)</f>
        <v>yes</v>
      </c>
      <c r="J191" t="str">
        <f>VLOOKUP($A191, 'Medical Examinations'!A:B, 2, FALSE)</f>
        <v>Obesity</v>
      </c>
      <c r="K191" t="str">
        <f>VLOOKUP($A191, 'Medical Examinations'!A:D, 4, FALSE)</f>
        <v>Normal</v>
      </c>
    </row>
    <row r="192" spans="1:11" ht="15.5" x14ac:dyDescent="0.35">
      <c r="A192" s="1" t="s">
        <v>2182</v>
      </c>
      <c r="B192" t="str">
        <f>VLOOKUP($A192, 'Customer Names'!A:D, 3, FALSE)</f>
        <v>Roulier</v>
      </c>
      <c r="C192">
        <f>VLOOKUP($A192,'Medical Examinations'!A:C, 3, FALSE)</f>
        <v>38.28</v>
      </c>
      <c r="D192" t="str">
        <f>VLOOKUP($A192, 'Medical Examinations'!A:D, 4, FALSE)</f>
        <v>Diabetes</v>
      </c>
      <c r="E192" t="str">
        <f>VLOOKUP($A192, 'Medical Examinations'!A:F, 6, FALSE)</f>
        <v>yes</v>
      </c>
      <c r="F192" t="str">
        <f>VLOOKUP($A192, 'Medical Examinations'!A:G, 7, FALSE)</f>
        <v>No</v>
      </c>
      <c r="G192" t="str">
        <f>VLOOKUP($A192, 'Medical Examinations'!A:H, 8, FALSE)</f>
        <v>No</v>
      </c>
      <c r="H192">
        <f>VLOOKUP($A192, 'Medical Examinations'!A:J, 10, FALSE)</f>
        <v>1</v>
      </c>
      <c r="I192" t="str">
        <f>VLOOKUP($A192, 'Medical Examinations'!A:K, 11, FALSE)</f>
        <v>yes</v>
      </c>
      <c r="J192" t="str">
        <f>VLOOKUP($A192, 'Medical Examinations'!A:B, 2, FALSE)</f>
        <v>Obesity</v>
      </c>
      <c r="K192" t="str">
        <f>VLOOKUP($A192, 'Medical Examinations'!A:D, 4, FALSE)</f>
        <v>Diabetes</v>
      </c>
    </row>
    <row r="193" spans="1:11" ht="15.5" x14ac:dyDescent="0.35">
      <c r="A193" s="1" t="s">
        <v>2181</v>
      </c>
      <c r="B193" t="str">
        <f>VLOOKUP($A193, 'Customer Names'!A:D, 3, FALSE)</f>
        <v>Mullins</v>
      </c>
      <c r="C193">
        <f>VLOOKUP($A193,'Medical Examinations'!A:C, 3, FALSE)</f>
        <v>33.57</v>
      </c>
      <c r="D193" t="str">
        <f>VLOOKUP($A193, 'Medical Examinations'!A:D, 4, FALSE)</f>
        <v>Diabetes</v>
      </c>
      <c r="E193" t="str">
        <f>VLOOKUP($A193, 'Medical Examinations'!A:F, 6, FALSE)</f>
        <v>yes</v>
      </c>
      <c r="F193" t="str">
        <f>VLOOKUP($A193, 'Medical Examinations'!A:G, 7, FALSE)</f>
        <v>No</v>
      </c>
      <c r="G193" t="str">
        <f>VLOOKUP($A193, 'Medical Examinations'!A:H, 8, FALSE)</f>
        <v>No</v>
      </c>
      <c r="H193" t="str">
        <f>VLOOKUP($A193, 'Medical Examinations'!A:J, 10, FALSE)</f>
        <v>No major surgery</v>
      </c>
      <c r="I193" t="str">
        <f>VLOOKUP($A193, 'Medical Examinations'!A:K, 11, FALSE)</f>
        <v>yes</v>
      </c>
      <c r="J193" t="str">
        <f>VLOOKUP($A193, 'Medical Examinations'!A:B, 2, FALSE)</f>
        <v>Obesity</v>
      </c>
      <c r="K193" t="str">
        <f>VLOOKUP($A193, 'Medical Examinations'!A:D, 4, FALSE)</f>
        <v>Diabetes</v>
      </c>
    </row>
    <row r="194" spans="1:11" ht="15.5" x14ac:dyDescent="0.35">
      <c r="A194" s="1" t="s">
        <v>2180</v>
      </c>
      <c r="B194" t="str">
        <f>VLOOKUP($A194, 'Customer Names'!A:D, 3, FALSE)</f>
        <v>Hofmann</v>
      </c>
      <c r="C194">
        <f>VLOOKUP($A194,'Medical Examinations'!A:C, 3, FALSE)</f>
        <v>52.06</v>
      </c>
      <c r="D194" t="str">
        <f>VLOOKUP($A194, 'Medical Examinations'!A:D, 4, FALSE)</f>
        <v>Normal</v>
      </c>
      <c r="E194" t="str">
        <f>VLOOKUP($A194, 'Medical Examinations'!A:F, 6, FALSE)</f>
        <v>No</v>
      </c>
      <c r="F194" t="str">
        <f>VLOOKUP($A194, 'Medical Examinations'!A:G, 7, FALSE)</f>
        <v>No</v>
      </c>
      <c r="G194" t="str">
        <f>VLOOKUP($A194, 'Medical Examinations'!A:H, 8, FALSE)</f>
        <v>No</v>
      </c>
      <c r="H194">
        <f>VLOOKUP($A194, 'Medical Examinations'!A:J, 10, FALSE)</f>
        <v>1</v>
      </c>
      <c r="I194" t="str">
        <f>VLOOKUP($A194, 'Medical Examinations'!A:K, 11, FALSE)</f>
        <v>yes</v>
      </c>
      <c r="J194" t="str">
        <f>VLOOKUP($A194, 'Medical Examinations'!A:B, 2, FALSE)</f>
        <v>Obesity</v>
      </c>
      <c r="K194" t="str">
        <f>VLOOKUP($A194, 'Medical Examinations'!A:D, 4, FALSE)</f>
        <v>Normal</v>
      </c>
    </row>
    <row r="195" spans="1:11" ht="15.5" x14ac:dyDescent="0.35">
      <c r="A195" s="1" t="s">
        <v>2179</v>
      </c>
      <c r="B195" t="str">
        <f>VLOOKUP($A195, 'Customer Names'!A:D, 3, FALSE)</f>
        <v>Garcia Garcia</v>
      </c>
      <c r="C195">
        <f>VLOOKUP($A195,'Medical Examinations'!A:C, 3, FALSE)</f>
        <v>38.17</v>
      </c>
      <c r="D195" t="str">
        <f>VLOOKUP($A195, 'Medical Examinations'!A:D, 4, FALSE)</f>
        <v>Normal</v>
      </c>
      <c r="E195" t="str">
        <f>VLOOKUP($A195, 'Medical Examinations'!A:F, 6, FALSE)</f>
        <v>No</v>
      </c>
      <c r="F195" t="str">
        <f>VLOOKUP($A195, 'Medical Examinations'!A:G, 7, FALSE)</f>
        <v>yes</v>
      </c>
      <c r="G195" t="str">
        <f>VLOOKUP($A195, 'Medical Examinations'!A:H, 8, FALSE)</f>
        <v>No</v>
      </c>
      <c r="H195">
        <f>VLOOKUP($A195, 'Medical Examinations'!A:J, 10, FALSE)</f>
        <v>1</v>
      </c>
      <c r="I195" t="str">
        <f>VLOOKUP($A195, 'Medical Examinations'!A:K, 11, FALSE)</f>
        <v>yes</v>
      </c>
      <c r="J195" t="str">
        <f>VLOOKUP($A195, 'Medical Examinations'!A:B, 2, FALSE)</f>
        <v>Obesity</v>
      </c>
      <c r="K195" t="str">
        <f>VLOOKUP($A195, 'Medical Examinations'!A:D, 4, FALSE)</f>
        <v>Normal</v>
      </c>
    </row>
    <row r="196" spans="1:11" ht="15.5" x14ac:dyDescent="0.35">
      <c r="A196" s="1" t="s">
        <v>2178</v>
      </c>
      <c r="B196" t="str">
        <f>VLOOKUP($A196, 'Customer Names'!A:D, 3, FALSE)</f>
        <v>Klecker</v>
      </c>
      <c r="C196">
        <f>VLOOKUP($A196,'Medical Examinations'!A:C, 3, FALSE)</f>
        <v>36.954999999999998</v>
      </c>
      <c r="D196" t="str">
        <f>VLOOKUP($A196, 'Medical Examinations'!A:D, 4, FALSE)</f>
        <v>Prediabetes</v>
      </c>
      <c r="E196" t="str">
        <f>VLOOKUP($A196, 'Medical Examinations'!A:F, 6, FALSE)</f>
        <v>No</v>
      </c>
      <c r="F196" t="str">
        <f>VLOOKUP($A196, 'Medical Examinations'!A:G, 7, FALSE)</f>
        <v>No</v>
      </c>
      <c r="G196" t="str">
        <f>VLOOKUP($A196, 'Medical Examinations'!A:H, 8, FALSE)</f>
        <v>Yes</v>
      </c>
      <c r="H196">
        <f>VLOOKUP($A196, 'Medical Examinations'!A:J, 10, FALSE)</f>
        <v>1</v>
      </c>
      <c r="I196" t="str">
        <f>VLOOKUP($A196, 'Medical Examinations'!A:K, 11, FALSE)</f>
        <v>yes</v>
      </c>
      <c r="J196" t="str">
        <f>VLOOKUP($A196, 'Medical Examinations'!A:B, 2, FALSE)</f>
        <v>Obesity</v>
      </c>
      <c r="K196" t="str">
        <f>VLOOKUP($A196, 'Medical Examinations'!A:D, 4, FALSE)</f>
        <v>Prediabetes</v>
      </c>
    </row>
    <row r="197" spans="1:11" ht="15.5" x14ac:dyDescent="0.35">
      <c r="A197" s="1" t="s">
        <v>2177</v>
      </c>
      <c r="B197" t="str">
        <f>VLOOKUP($A197, 'Customer Names'!A:D, 3, FALSE)</f>
        <v>Cancre</v>
      </c>
      <c r="C197">
        <f>VLOOKUP($A197,'Medical Examinations'!A:C, 3, FALSE)</f>
        <v>34.4</v>
      </c>
      <c r="D197" t="str">
        <f>VLOOKUP($A197, 'Medical Examinations'!A:D, 4, FALSE)</f>
        <v>Normal</v>
      </c>
      <c r="E197" t="str">
        <f>VLOOKUP($A197, 'Medical Examinations'!A:F, 6, FALSE)</f>
        <v>No</v>
      </c>
      <c r="F197" t="str">
        <f>VLOOKUP($A197, 'Medical Examinations'!A:G, 7, FALSE)</f>
        <v>No</v>
      </c>
      <c r="G197" t="str">
        <f>VLOOKUP($A197, 'Medical Examinations'!A:H, 8, FALSE)</f>
        <v>Yes</v>
      </c>
      <c r="H197">
        <f>VLOOKUP($A197, 'Medical Examinations'!A:J, 10, FALSE)</f>
        <v>1</v>
      </c>
      <c r="I197" t="str">
        <f>VLOOKUP($A197, 'Medical Examinations'!A:K, 11, FALSE)</f>
        <v>yes</v>
      </c>
      <c r="J197" t="str">
        <f>VLOOKUP($A197, 'Medical Examinations'!A:B, 2, FALSE)</f>
        <v>Obesity</v>
      </c>
      <c r="K197" t="str">
        <f>VLOOKUP($A197, 'Medical Examinations'!A:D, 4, FALSE)</f>
        <v>Normal</v>
      </c>
    </row>
    <row r="198" spans="1:11" ht="15.5" x14ac:dyDescent="0.35">
      <c r="A198" s="1" t="s">
        <v>2176</v>
      </c>
      <c r="B198" t="str">
        <f>VLOOKUP($A198, 'Customer Names'!A:D, 3, FALSE)</f>
        <v>Denucci</v>
      </c>
      <c r="C198">
        <f>VLOOKUP($A198,'Medical Examinations'!A:C, 3, FALSE)</f>
        <v>31.73</v>
      </c>
      <c r="D198" t="str">
        <f>VLOOKUP($A198, 'Medical Examinations'!A:D, 4, FALSE)</f>
        <v>Normal</v>
      </c>
      <c r="E198" t="str">
        <f>VLOOKUP($A198, 'Medical Examinations'!A:F, 6, FALSE)</f>
        <v>No</v>
      </c>
      <c r="F198" t="str">
        <f>VLOOKUP($A198, 'Medical Examinations'!A:G, 7, FALSE)</f>
        <v>No</v>
      </c>
      <c r="G198" t="str">
        <f>VLOOKUP($A198, 'Medical Examinations'!A:H, 8, FALSE)</f>
        <v>No</v>
      </c>
      <c r="H198" t="str">
        <f>VLOOKUP($A198, 'Medical Examinations'!A:J, 10, FALSE)</f>
        <v>No major surgery</v>
      </c>
      <c r="I198" t="str">
        <f>VLOOKUP($A198, 'Medical Examinations'!A:K, 11, FALSE)</f>
        <v>yes</v>
      </c>
      <c r="J198" t="str">
        <f>VLOOKUP($A198, 'Medical Examinations'!A:B, 2, FALSE)</f>
        <v>Obesity</v>
      </c>
      <c r="K198" t="str">
        <f>VLOOKUP($A198, 'Medical Examinations'!A:D, 4, FALSE)</f>
        <v>Normal</v>
      </c>
    </row>
    <row r="199" spans="1:11" ht="15.5" x14ac:dyDescent="0.35">
      <c r="A199" s="1" t="s">
        <v>2175</v>
      </c>
      <c r="B199" t="str">
        <f>VLOOKUP($A199, 'Customer Names'!A:D, 3, FALSE)</f>
        <v>Saldana</v>
      </c>
      <c r="C199">
        <f>VLOOKUP($A199,'Medical Examinations'!A:C, 3, FALSE)</f>
        <v>36.64</v>
      </c>
      <c r="D199" t="str">
        <f>VLOOKUP($A199, 'Medical Examinations'!A:D, 4, FALSE)</f>
        <v>Diabetes</v>
      </c>
      <c r="E199" t="str">
        <f>VLOOKUP($A199, 'Medical Examinations'!A:F, 6, FALSE)</f>
        <v>No</v>
      </c>
      <c r="F199" t="str">
        <f>VLOOKUP($A199, 'Medical Examinations'!A:G, 7, FALSE)</f>
        <v>No</v>
      </c>
      <c r="G199" t="str">
        <f>VLOOKUP($A199, 'Medical Examinations'!A:H, 8, FALSE)</f>
        <v>No</v>
      </c>
      <c r="H199" t="str">
        <f>VLOOKUP($A199, 'Medical Examinations'!A:J, 10, FALSE)</f>
        <v>No major surgery</v>
      </c>
      <c r="I199" t="str">
        <f>VLOOKUP($A199, 'Medical Examinations'!A:K, 11, FALSE)</f>
        <v>yes</v>
      </c>
      <c r="J199" t="str">
        <f>VLOOKUP($A199, 'Medical Examinations'!A:B, 2, FALSE)</f>
        <v>Obesity</v>
      </c>
      <c r="K199" t="str">
        <f>VLOOKUP($A199, 'Medical Examinations'!A:D, 4, FALSE)</f>
        <v>Diabetes</v>
      </c>
    </row>
    <row r="200" spans="1:11" ht="15.5" x14ac:dyDescent="0.35">
      <c r="A200" s="1" t="s">
        <v>2174</v>
      </c>
      <c r="B200" t="str">
        <f>VLOOKUP($A200, 'Customer Names'!A:D, 3, FALSE)</f>
        <v>Weinberg</v>
      </c>
      <c r="C200">
        <f>VLOOKUP($A200,'Medical Examinations'!A:C, 3, FALSE)</f>
        <v>36.85</v>
      </c>
      <c r="D200" t="str">
        <f>VLOOKUP($A200, 'Medical Examinations'!A:D, 4, FALSE)</f>
        <v>Prediabetes</v>
      </c>
      <c r="E200" t="str">
        <f>VLOOKUP($A200, 'Medical Examinations'!A:F, 6, FALSE)</f>
        <v>No</v>
      </c>
      <c r="F200" t="str">
        <f>VLOOKUP($A200, 'Medical Examinations'!A:G, 7, FALSE)</f>
        <v>yes</v>
      </c>
      <c r="G200" t="str">
        <f>VLOOKUP($A200, 'Medical Examinations'!A:H, 8, FALSE)</f>
        <v>No</v>
      </c>
      <c r="H200">
        <f>VLOOKUP($A200, 'Medical Examinations'!A:J, 10, FALSE)</f>
        <v>1</v>
      </c>
      <c r="I200" t="str">
        <f>VLOOKUP($A200, 'Medical Examinations'!A:K, 11, FALSE)</f>
        <v>yes</v>
      </c>
      <c r="J200" t="str">
        <f>VLOOKUP($A200, 'Medical Examinations'!A:B, 2, FALSE)</f>
        <v>Obesity</v>
      </c>
      <c r="K200" t="str">
        <f>VLOOKUP($A200, 'Medical Examinations'!A:D, 4, FALSE)</f>
        <v>Prediabetes</v>
      </c>
    </row>
    <row r="201" spans="1:11" ht="15.5" x14ac:dyDescent="0.35">
      <c r="A201" s="1" t="s">
        <v>2173</v>
      </c>
      <c r="B201" t="str">
        <f>VLOOKUP($A201, 'Customer Names'!A:D, 3, FALSE)</f>
        <v>Walsh</v>
      </c>
      <c r="C201">
        <f>VLOOKUP($A201,'Medical Examinations'!A:C, 3, FALSE)</f>
        <v>33.33</v>
      </c>
      <c r="D201" t="str">
        <f>VLOOKUP($A201, 'Medical Examinations'!A:D, 4, FALSE)</f>
        <v>Normal</v>
      </c>
      <c r="E201" t="str">
        <f>VLOOKUP($A201, 'Medical Examinations'!A:F, 6, FALSE)</f>
        <v>yes</v>
      </c>
      <c r="F201" t="str">
        <f>VLOOKUP($A201, 'Medical Examinations'!A:G, 7, FALSE)</f>
        <v>No</v>
      </c>
      <c r="G201" t="str">
        <f>VLOOKUP($A201, 'Medical Examinations'!A:H, 8, FALSE)</f>
        <v>Yes</v>
      </c>
      <c r="H201">
        <f>VLOOKUP($A201, 'Medical Examinations'!A:J, 10, FALSE)</f>
        <v>1</v>
      </c>
      <c r="I201" t="str">
        <f>VLOOKUP($A201, 'Medical Examinations'!A:K, 11, FALSE)</f>
        <v>yes</v>
      </c>
      <c r="J201" t="str">
        <f>VLOOKUP($A201, 'Medical Examinations'!A:B, 2, FALSE)</f>
        <v>Obesity</v>
      </c>
      <c r="K201" t="str">
        <f>VLOOKUP($A201, 'Medical Examinations'!A:D, 4, FALSE)</f>
        <v>Normal</v>
      </c>
    </row>
    <row r="202" spans="1:11" ht="15.5" x14ac:dyDescent="0.35">
      <c r="A202" s="1" t="s">
        <v>2172</v>
      </c>
      <c r="B202" t="str">
        <f>VLOOKUP($A202, 'Customer Names'!A:D, 3, FALSE)</f>
        <v>Pasten</v>
      </c>
      <c r="C202">
        <f>VLOOKUP($A202,'Medical Examinations'!A:C, 3, FALSE)</f>
        <v>39.14</v>
      </c>
      <c r="D202" t="str">
        <f>VLOOKUP($A202, 'Medical Examinations'!A:D, 4, FALSE)</f>
        <v>Normal</v>
      </c>
      <c r="E202" t="str">
        <f>VLOOKUP($A202, 'Medical Examinations'!A:F, 6, FALSE)</f>
        <v>No</v>
      </c>
      <c r="F202" t="str">
        <f>VLOOKUP($A202, 'Medical Examinations'!A:G, 7, FALSE)</f>
        <v>No</v>
      </c>
      <c r="G202" t="str">
        <f>VLOOKUP($A202, 'Medical Examinations'!A:H, 8, FALSE)</f>
        <v>Yes</v>
      </c>
      <c r="H202">
        <f>VLOOKUP($A202, 'Medical Examinations'!A:J, 10, FALSE)</f>
        <v>1</v>
      </c>
      <c r="I202" t="str">
        <f>VLOOKUP($A202, 'Medical Examinations'!A:K, 11, FALSE)</f>
        <v>yes</v>
      </c>
      <c r="J202" t="str">
        <f>VLOOKUP($A202, 'Medical Examinations'!A:B, 2, FALSE)</f>
        <v>Obesity</v>
      </c>
      <c r="K202" t="str">
        <f>VLOOKUP($A202, 'Medical Examinations'!A:D, 4, FALSE)</f>
        <v>Normal</v>
      </c>
    </row>
    <row r="203" spans="1:11" ht="15.5" x14ac:dyDescent="0.35">
      <c r="A203" s="1" t="s">
        <v>2171</v>
      </c>
      <c r="B203" t="str">
        <f>VLOOKUP($A203, 'Customer Names'!A:D, 3, FALSE)</f>
        <v>LaBelle</v>
      </c>
      <c r="C203">
        <f>VLOOKUP($A203,'Medical Examinations'!A:C, 3, FALSE)</f>
        <v>32.9</v>
      </c>
      <c r="D203" t="str">
        <f>VLOOKUP($A203, 'Medical Examinations'!A:D, 4, FALSE)</f>
        <v>Prediabetes</v>
      </c>
      <c r="E203" t="str">
        <f>VLOOKUP($A203, 'Medical Examinations'!A:F, 6, FALSE)</f>
        <v>yes</v>
      </c>
      <c r="F203" t="str">
        <f>VLOOKUP($A203, 'Medical Examinations'!A:G, 7, FALSE)</f>
        <v>No</v>
      </c>
      <c r="G203" t="str">
        <f>VLOOKUP($A203, 'Medical Examinations'!A:H, 8, FALSE)</f>
        <v>No</v>
      </c>
      <c r="H203" t="str">
        <f>VLOOKUP($A203, 'Medical Examinations'!A:J, 10, FALSE)</f>
        <v>No major surgery</v>
      </c>
      <c r="I203" t="str">
        <f>VLOOKUP($A203, 'Medical Examinations'!A:K, 11, FALSE)</f>
        <v>yes</v>
      </c>
      <c r="J203" t="str">
        <f>VLOOKUP($A203, 'Medical Examinations'!A:B, 2, FALSE)</f>
        <v>Obesity</v>
      </c>
      <c r="K203" t="str">
        <f>VLOOKUP($A203, 'Medical Examinations'!A:D, 4, FALSE)</f>
        <v>Prediabetes</v>
      </c>
    </row>
    <row r="204" spans="1:11" ht="15.5" x14ac:dyDescent="0.35">
      <c r="A204" s="1" t="s">
        <v>2170</v>
      </c>
      <c r="B204" t="str">
        <f>VLOOKUP($A204, 'Customer Names'!A:D, 3, FALSE)</f>
        <v>Guzman</v>
      </c>
      <c r="C204">
        <f>VLOOKUP($A204,'Medical Examinations'!A:C, 3, FALSE)</f>
        <v>29.78</v>
      </c>
      <c r="D204" t="str">
        <f>VLOOKUP($A204, 'Medical Examinations'!A:D, 4, FALSE)</f>
        <v>Diabetes</v>
      </c>
      <c r="E204" t="str">
        <f>VLOOKUP($A204, 'Medical Examinations'!A:F, 6, FALSE)</f>
        <v>yes</v>
      </c>
      <c r="F204" t="str">
        <f>VLOOKUP($A204, 'Medical Examinations'!A:G, 7, FALSE)</f>
        <v>No</v>
      </c>
      <c r="G204" t="str">
        <f>VLOOKUP($A204, 'Medical Examinations'!A:H, 8, FALSE)</f>
        <v>Yes</v>
      </c>
      <c r="H204">
        <f>VLOOKUP($A204, 'Medical Examinations'!A:J, 10, FALSE)</f>
        <v>1</v>
      </c>
      <c r="I204" t="str">
        <f>VLOOKUP($A204, 'Medical Examinations'!A:K, 11, FALSE)</f>
        <v>yes</v>
      </c>
      <c r="J204" t="str">
        <f>VLOOKUP($A204, 'Medical Examinations'!A:B, 2, FALSE)</f>
        <v>Overweight</v>
      </c>
      <c r="K204" t="str">
        <f>VLOOKUP($A204, 'Medical Examinations'!A:D, 4, FALSE)</f>
        <v>Diabetes</v>
      </c>
    </row>
    <row r="205" spans="1:11" ht="15.5" x14ac:dyDescent="0.35">
      <c r="A205" s="1" t="s">
        <v>2169</v>
      </c>
      <c r="B205" t="str">
        <f>VLOOKUP($A205, 'Customer Names'!A:D, 3, FALSE)</f>
        <v>Turnbull</v>
      </c>
      <c r="C205">
        <f>VLOOKUP($A205,'Medical Examinations'!A:C, 3, FALSE)</f>
        <v>32.78</v>
      </c>
      <c r="D205" t="str">
        <f>VLOOKUP($A205, 'Medical Examinations'!A:D, 4, FALSE)</f>
        <v>Normal</v>
      </c>
      <c r="E205" t="str">
        <f>VLOOKUP($A205, 'Medical Examinations'!A:F, 6, FALSE)</f>
        <v>No</v>
      </c>
      <c r="F205" t="str">
        <f>VLOOKUP($A205, 'Medical Examinations'!A:G, 7, FALSE)</f>
        <v>No</v>
      </c>
      <c r="G205" t="str">
        <f>VLOOKUP($A205, 'Medical Examinations'!A:H, 8, FALSE)</f>
        <v>No</v>
      </c>
      <c r="H205" t="str">
        <f>VLOOKUP($A205, 'Medical Examinations'!A:J, 10, FALSE)</f>
        <v>No major surgery</v>
      </c>
      <c r="I205" t="str">
        <f>VLOOKUP($A205, 'Medical Examinations'!A:K, 11, FALSE)</f>
        <v>yes</v>
      </c>
      <c r="J205" t="str">
        <f>VLOOKUP($A205, 'Medical Examinations'!A:B, 2, FALSE)</f>
        <v>Obesity</v>
      </c>
      <c r="K205" t="str">
        <f>VLOOKUP($A205, 'Medical Examinations'!A:D, 4, FALSE)</f>
        <v>Normal</v>
      </c>
    </row>
    <row r="206" spans="1:11" ht="15.5" x14ac:dyDescent="0.35">
      <c r="A206" s="1" t="s">
        <v>2168</v>
      </c>
      <c r="B206" t="str">
        <f>VLOOKUP($A206, 'Customer Names'!A:D, 3, FALSE)</f>
        <v>Aguero</v>
      </c>
      <c r="C206">
        <f>VLOOKUP($A206,'Medical Examinations'!A:C, 3, FALSE)</f>
        <v>41.65</v>
      </c>
      <c r="D206" t="str">
        <f>VLOOKUP($A206, 'Medical Examinations'!A:D, 4, FALSE)</f>
        <v>Diabetes</v>
      </c>
      <c r="E206" t="str">
        <f>VLOOKUP($A206, 'Medical Examinations'!A:F, 6, FALSE)</f>
        <v>yes</v>
      </c>
      <c r="F206" t="str">
        <f>VLOOKUP($A206, 'Medical Examinations'!A:G, 7, FALSE)</f>
        <v>No</v>
      </c>
      <c r="G206" t="str">
        <f>VLOOKUP($A206, 'Medical Examinations'!A:H, 8, FALSE)</f>
        <v>No</v>
      </c>
      <c r="H206" t="str">
        <f>VLOOKUP($A206, 'Medical Examinations'!A:J, 10, FALSE)</f>
        <v>No major surgery</v>
      </c>
      <c r="I206" t="str">
        <f>VLOOKUP($A206, 'Medical Examinations'!A:K, 11, FALSE)</f>
        <v>yes</v>
      </c>
      <c r="J206" t="str">
        <f>VLOOKUP($A206, 'Medical Examinations'!A:B, 2, FALSE)</f>
        <v>Obesity</v>
      </c>
      <c r="K206" t="str">
        <f>VLOOKUP($A206, 'Medical Examinations'!A:D, 4, FALSE)</f>
        <v>Diabetes</v>
      </c>
    </row>
    <row r="207" spans="1:11" ht="15.5" x14ac:dyDescent="0.35">
      <c r="A207" s="1" t="s">
        <v>2167</v>
      </c>
      <c r="B207" t="str">
        <f>VLOOKUP($A207, 'Customer Names'!A:D, 3, FALSE)</f>
        <v>Woodward</v>
      </c>
      <c r="C207">
        <f>VLOOKUP($A207,'Medical Examinations'!A:C, 3, FALSE)</f>
        <v>50.79</v>
      </c>
      <c r="D207" t="str">
        <f>VLOOKUP($A207, 'Medical Examinations'!A:D, 4, FALSE)</f>
        <v>Normal</v>
      </c>
      <c r="E207" t="str">
        <f>VLOOKUP($A207, 'Medical Examinations'!A:F, 6, FALSE)</f>
        <v>No</v>
      </c>
      <c r="F207" t="str">
        <f>VLOOKUP($A207, 'Medical Examinations'!A:G, 7, FALSE)</f>
        <v>No</v>
      </c>
      <c r="G207" t="str">
        <f>VLOOKUP($A207, 'Medical Examinations'!A:H, 8, FALSE)</f>
        <v>No</v>
      </c>
      <c r="H207">
        <f>VLOOKUP($A207, 'Medical Examinations'!A:J, 10, FALSE)</f>
        <v>1</v>
      </c>
      <c r="I207" t="str">
        <f>VLOOKUP($A207, 'Medical Examinations'!A:K, 11, FALSE)</f>
        <v>yes</v>
      </c>
      <c r="J207" t="str">
        <f>VLOOKUP($A207, 'Medical Examinations'!A:B, 2, FALSE)</f>
        <v>Obesity</v>
      </c>
      <c r="K207" t="str">
        <f>VLOOKUP($A207, 'Medical Examinations'!A:D, 4, FALSE)</f>
        <v>Normal</v>
      </c>
    </row>
    <row r="208" spans="1:11" ht="15.5" x14ac:dyDescent="0.35">
      <c r="A208" s="1" t="s">
        <v>2166</v>
      </c>
      <c r="B208" t="str">
        <f>VLOOKUP($A208, 'Customer Names'!A:D, 3, FALSE)</f>
        <v>McElroy</v>
      </c>
      <c r="C208">
        <f>VLOOKUP($A208,'Medical Examinations'!A:C, 3, FALSE)</f>
        <v>35.43</v>
      </c>
      <c r="D208" t="str">
        <f>VLOOKUP($A208, 'Medical Examinations'!A:D, 4, FALSE)</f>
        <v>Normal</v>
      </c>
      <c r="E208" t="str">
        <f>VLOOKUP($A208, 'Medical Examinations'!A:F, 6, FALSE)</f>
        <v>yes</v>
      </c>
      <c r="F208" t="str">
        <f>VLOOKUP($A208, 'Medical Examinations'!A:G, 7, FALSE)</f>
        <v>No</v>
      </c>
      <c r="G208" t="str">
        <f>VLOOKUP($A208, 'Medical Examinations'!A:H, 8, FALSE)</f>
        <v>No</v>
      </c>
      <c r="H208" t="str">
        <f>VLOOKUP($A208, 'Medical Examinations'!A:J, 10, FALSE)</f>
        <v>No major surgery</v>
      </c>
      <c r="I208" t="str">
        <f>VLOOKUP($A208, 'Medical Examinations'!A:K, 11, FALSE)</f>
        <v>yes</v>
      </c>
      <c r="J208" t="str">
        <f>VLOOKUP($A208, 'Medical Examinations'!A:B, 2, FALSE)</f>
        <v>Obesity</v>
      </c>
      <c r="K208" t="str">
        <f>VLOOKUP($A208, 'Medical Examinations'!A:D, 4, FALSE)</f>
        <v>Normal</v>
      </c>
    </row>
    <row r="209" spans="1:11" ht="15.5" x14ac:dyDescent="0.35">
      <c r="A209" s="1" t="s">
        <v>2165</v>
      </c>
      <c r="B209" t="str">
        <f>VLOOKUP($A209, 'Customer Names'!A:D, 3, FALSE)</f>
        <v>Lopez</v>
      </c>
      <c r="C209">
        <f>VLOOKUP($A209,'Medical Examinations'!A:C, 3, FALSE)</f>
        <v>35.25</v>
      </c>
      <c r="D209" t="str">
        <f>VLOOKUP($A209, 'Medical Examinations'!A:D, 4, FALSE)</f>
        <v>Diabetes</v>
      </c>
      <c r="E209" t="str">
        <f>VLOOKUP($A209, 'Medical Examinations'!A:F, 6, FALSE)</f>
        <v>No</v>
      </c>
      <c r="F209" t="str">
        <f>VLOOKUP($A209, 'Medical Examinations'!A:G, 7, FALSE)</f>
        <v>No</v>
      </c>
      <c r="G209" t="str">
        <f>VLOOKUP($A209, 'Medical Examinations'!A:H, 8, FALSE)</f>
        <v>No</v>
      </c>
      <c r="H209" t="str">
        <f>VLOOKUP($A209, 'Medical Examinations'!A:J, 10, FALSE)</f>
        <v>No major surgery</v>
      </c>
      <c r="I209" t="str">
        <f>VLOOKUP($A209, 'Medical Examinations'!A:K, 11, FALSE)</f>
        <v>yes</v>
      </c>
      <c r="J209" t="str">
        <f>VLOOKUP($A209, 'Medical Examinations'!A:B, 2, FALSE)</f>
        <v>Obesity</v>
      </c>
      <c r="K209" t="str">
        <f>VLOOKUP($A209, 'Medical Examinations'!A:D, 4, FALSE)</f>
        <v>Diabetes</v>
      </c>
    </row>
    <row r="210" spans="1:11" ht="15.5" x14ac:dyDescent="0.35">
      <c r="A210" s="1" t="s">
        <v>2164</v>
      </c>
      <c r="B210" t="str">
        <f>VLOOKUP($A210, 'Customer Names'!A:D, 3, FALSE)</f>
        <v>Cardosi</v>
      </c>
      <c r="C210">
        <f>VLOOKUP($A210,'Medical Examinations'!A:C, 3, FALSE)</f>
        <v>36.85</v>
      </c>
      <c r="D210" t="str">
        <f>VLOOKUP($A210, 'Medical Examinations'!A:D, 4, FALSE)</f>
        <v>Diabetes</v>
      </c>
      <c r="E210" t="str">
        <f>VLOOKUP($A210, 'Medical Examinations'!A:F, 6, FALSE)</f>
        <v>No</v>
      </c>
      <c r="F210" t="str">
        <f>VLOOKUP($A210, 'Medical Examinations'!A:G, 7, FALSE)</f>
        <v>No</v>
      </c>
      <c r="G210" t="str">
        <f>VLOOKUP($A210, 'Medical Examinations'!A:H, 8, FALSE)</f>
        <v>No</v>
      </c>
      <c r="H210" t="str">
        <f>VLOOKUP($A210, 'Medical Examinations'!A:J, 10, FALSE)</f>
        <v>No major surgery</v>
      </c>
      <c r="I210" t="str">
        <f>VLOOKUP($A210, 'Medical Examinations'!A:K, 11, FALSE)</f>
        <v>yes</v>
      </c>
      <c r="J210" t="str">
        <f>VLOOKUP($A210, 'Medical Examinations'!A:B, 2, FALSE)</f>
        <v>Obesity</v>
      </c>
      <c r="K210" t="str">
        <f>VLOOKUP($A210, 'Medical Examinations'!A:D, 4, FALSE)</f>
        <v>Diabetes</v>
      </c>
    </row>
    <row r="211" spans="1:11" ht="15.5" x14ac:dyDescent="0.35">
      <c r="A211" s="1" t="s">
        <v>2163</v>
      </c>
      <c r="B211" t="str">
        <f>VLOOKUP($A211, 'Customer Names'!A:D, 3, FALSE)</f>
        <v>Looney</v>
      </c>
      <c r="C211">
        <f>VLOOKUP($A211,'Medical Examinations'!A:C, 3, FALSE)</f>
        <v>31.02</v>
      </c>
      <c r="D211" t="str">
        <f>VLOOKUP($A211, 'Medical Examinations'!A:D, 4, FALSE)</f>
        <v>Normal</v>
      </c>
      <c r="E211" t="str">
        <f>VLOOKUP($A211, 'Medical Examinations'!A:F, 6, FALSE)</f>
        <v>No</v>
      </c>
      <c r="F211" t="str">
        <f>VLOOKUP($A211, 'Medical Examinations'!A:G, 7, FALSE)</f>
        <v>yes</v>
      </c>
      <c r="G211" t="str">
        <f>VLOOKUP($A211, 'Medical Examinations'!A:H, 8, FALSE)</f>
        <v>No</v>
      </c>
      <c r="H211">
        <f>VLOOKUP($A211, 'Medical Examinations'!A:J, 10, FALSE)</f>
        <v>1</v>
      </c>
      <c r="I211" t="str">
        <f>VLOOKUP($A211, 'Medical Examinations'!A:K, 11, FALSE)</f>
        <v>yes</v>
      </c>
      <c r="J211" t="str">
        <f>VLOOKUP($A211, 'Medical Examinations'!A:B, 2, FALSE)</f>
        <v>Obesity</v>
      </c>
      <c r="K211" t="str">
        <f>VLOOKUP($A211, 'Medical Examinations'!A:D, 4, FALSE)</f>
        <v>Normal</v>
      </c>
    </row>
    <row r="212" spans="1:11" ht="15.5" x14ac:dyDescent="0.35">
      <c r="A212" s="1" t="s">
        <v>2162</v>
      </c>
      <c r="B212" t="str">
        <f>VLOOKUP($A212, 'Customer Names'!A:D, 3, FALSE)</f>
        <v>Zyryanov</v>
      </c>
      <c r="C212">
        <f>VLOOKUP($A212,'Medical Examinations'!A:C, 3, FALSE)</f>
        <v>35.6</v>
      </c>
      <c r="D212" t="str">
        <f>VLOOKUP($A212, 'Medical Examinations'!A:D, 4, FALSE)</f>
        <v>Normal</v>
      </c>
      <c r="E212" t="str">
        <f>VLOOKUP($A212, 'Medical Examinations'!A:F, 6, FALSE)</f>
        <v>yes</v>
      </c>
      <c r="F212" t="str">
        <f>VLOOKUP($A212, 'Medical Examinations'!A:G, 7, FALSE)</f>
        <v>yes</v>
      </c>
      <c r="G212" t="str">
        <f>VLOOKUP($A212, 'Medical Examinations'!A:H, 8, FALSE)</f>
        <v>No</v>
      </c>
      <c r="H212">
        <f>VLOOKUP($A212, 'Medical Examinations'!A:J, 10, FALSE)</f>
        <v>2</v>
      </c>
      <c r="I212" t="str">
        <f>VLOOKUP($A212, 'Medical Examinations'!A:K, 11, FALSE)</f>
        <v>yes</v>
      </c>
      <c r="J212" t="str">
        <f>VLOOKUP($A212, 'Medical Examinations'!A:B, 2, FALSE)</f>
        <v>Obesity</v>
      </c>
      <c r="K212" t="str">
        <f>VLOOKUP($A212, 'Medical Examinations'!A:D, 4, FALSE)</f>
        <v>Normal</v>
      </c>
    </row>
    <row r="213" spans="1:11" ht="15.5" x14ac:dyDescent="0.35">
      <c r="A213" s="1" t="s">
        <v>2161</v>
      </c>
      <c r="B213" t="str">
        <f>VLOOKUP($A213, 'Customer Names'!A:D, 3, FALSE)</f>
        <v>Gavin</v>
      </c>
      <c r="C213">
        <f>VLOOKUP($A213,'Medical Examinations'!A:C, 3, FALSE)</f>
        <v>34.39</v>
      </c>
      <c r="D213" t="str">
        <f>VLOOKUP($A213, 'Medical Examinations'!A:D, 4, FALSE)</f>
        <v>Diabetes</v>
      </c>
      <c r="E213" t="str">
        <f>VLOOKUP($A213, 'Medical Examinations'!A:F, 6, FALSE)</f>
        <v>No</v>
      </c>
      <c r="F213" t="str">
        <f>VLOOKUP($A213, 'Medical Examinations'!A:G, 7, FALSE)</f>
        <v>No</v>
      </c>
      <c r="G213" t="str">
        <f>VLOOKUP($A213, 'Medical Examinations'!A:H, 8, FALSE)</f>
        <v>No</v>
      </c>
      <c r="H213" t="str">
        <f>VLOOKUP($A213, 'Medical Examinations'!A:J, 10, FALSE)</f>
        <v>No major surgery</v>
      </c>
      <c r="I213" t="str">
        <f>VLOOKUP($A213, 'Medical Examinations'!A:K, 11, FALSE)</f>
        <v>yes</v>
      </c>
      <c r="J213" t="str">
        <f>VLOOKUP($A213, 'Medical Examinations'!A:B, 2, FALSE)</f>
        <v>Obesity</v>
      </c>
      <c r="K213" t="str">
        <f>VLOOKUP($A213, 'Medical Examinations'!A:D, 4, FALSE)</f>
        <v>Diabetes</v>
      </c>
    </row>
    <row r="214" spans="1:11" ht="15.5" x14ac:dyDescent="0.35">
      <c r="A214" s="1" t="s">
        <v>2160</v>
      </c>
      <c r="B214" t="str">
        <f>VLOOKUP($A214, 'Customer Names'!A:D, 3, FALSE)</f>
        <v>Littlefield</v>
      </c>
      <c r="C214">
        <f>VLOOKUP($A214,'Medical Examinations'!A:C, 3, FALSE)</f>
        <v>29.06</v>
      </c>
      <c r="D214" t="str">
        <f>VLOOKUP($A214, 'Medical Examinations'!A:D, 4, FALSE)</f>
        <v>Prediabetes</v>
      </c>
      <c r="E214" t="str">
        <f>VLOOKUP($A214, 'Medical Examinations'!A:F, 6, FALSE)</f>
        <v>yes</v>
      </c>
      <c r="F214" t="str">
        <f>VLOOKUP($A214, 'Medical Examinations'!A:G, 7, FALSE)</f>
        <v>No</v>
      </c>
      <c r="G214" t="str">
        <f>VLOOKUP($A214, 'Medical Examinations'!A:H, 8, FALSE)</f>
        <v>No</v>
      </c>
      <c r="H214">
        <f>VLOOKUP($A214, 'Medical Examinations'!A:J, 10, FALSE)</f>
        <v>1</v>
      </c>
      <c r="I214" t="str">
        <f>VLOOKUP($A214, 'Medical Examinations'!A:K, 11, FALSE)</f>
        <v>yes</v>
      </c>
      <c r="J214" t="str">
        <f>VLOOKUP($A214, 'Medical Examinations'!A:B, 2, FALSE)</f>
        <v>Overweight</v>
      </c>
      <c r="K214" t="str">
        <f>VLOOKUP($A214, 'Medical Examinations'!A:D, 4, FALSE)</f>
        <v>Prediabetes</v>
      </c>
    </row>
    <row r="215" spans="1:11" ht="15.5" x14ac:dyDescent="0.35">
      <c r="A215" s="1" t="s">
        <v>2159</v>
      </c>
      <c r="B215" t="str">
        <f>VLOOKUP($A215, 'Customer Names'!A:D, 3, FALSE)</f>
        <v>Shearer</v>
      </c>
      <c r="C215">
        <f>VLOOKUP($A215,'Medical Examinations'!A:C, 3, FALSE)</f>
        <v>35.799999999999997</v>
      </c>
      <c r="D215" t="str">
        <f>VLOOKUP($A215, 'Medical Examinations'!A:D, 4, FALSE)</f>
        <v>Diabetes</v>
      </c>
      <c r="E215" t="str">
        <f>VLOOKUP($A215, 'Medical Examinations'!A:F, 6, FALSE)</f>
        <v>No</v>
      </c>
      <c r="F215" t="str">
        <f>VLOOKUP($A215, 'Medical Examinations'!A:G, 7, FALSE)</f>
        <v>No</v>
      </c>
      <c r="G215" t="str">
        <f>VLOOKUP($A215, 'Medical Examinations'!A:H, 8, FALSE)</f>
        <v>No</v>
      </c>
      <c r="H215">
        <f>VLOOKUP($A215, 'Medical Examinations'!A:J, 10, FALSE)</f>
        <v>2</v>
      </c>
      <c r="I215" t="str">
        <f>VLOOKUP($A215, 'Medical Examinations'!A:K, 11, FALSE)</f>
        <v>yes</v>
      </c>
      <c r="J215" t="str">
        <f>VLOOKUP($A215, 'Medical Examinations'!A:B, 2, FALSE)</f>
        <v>Obesity</v>
      </c>
      <c r="K215" t="str">
        <f>VLOOKUP($A215, 'Medical Examinations'!A:D, 4, FALSE)</f>
        <v>Diabetes</v>
      </c>
    </row>
    <row r="216" spans="1:11" ht="15.5" x14ac:dyDescent="0.35">
      <c r="A216" s="1" t="s">
        <v>2158</v>
      </c>
      <c r="B216" t="str">
        <f>VLOOKUP($A216, 'Customer Names'!A:D, 3, FALSE)</f>
        <v>Armstrong</v>
      </c>
      <c r="C216">
        <f>VLOOKUP($A216,'Medical Examinations'!A:C, 3, FALSE)</f>
        <v>49.8</v>
      </c>
      <c r="D216" t="str">
        <f>VLOOKUP($A216, 'Medical Examinations'!A:D, 4, FALSE)</f>
        <v>Normal</v>
      </c>
      <c r="E216" t="str">
        <f>VLOOKUP($A216, 'Medical Examinations'!A:F, 6, FALSE)</f>
        <v>No</v>
      </c>
      <c r="F216" t="str">
        <f>VLOOKUP($A216, 'Medical Examinations'!A:G, 7, FALSE)</f>
        <v>No</v>
      </c>
      <c r="G216" t="str">
        <f>VLOOKUP($A216, 'Medical Examinations'!A:H, 8, FALSE)</f>
        <v>No</v>
      </c>
      <c r="H216">
        <f>VLOOKUP($A216, 'Medical Examinations'!A:J, 10, FALSE)</f>
        <v>1</v>
      </c>
      <c r="I216" t="str">
        <f>VLOOKUP($A216, 'Medical Examinations'!A:K, 11, FALSE)</f>
        <v>yes</v>
      </c>
      <c r="J216" t="str">
        <f>VLOOKUP($A216, 'Medical Examinations'!A:B, 2, FALSE)</f>
        <v>Obesity</v>
      </c>
      <c r="K216" t="str">
        <f>VLOOKUP($A216, 'Medical Examinations'!A:D, 4, FALSE)</f>
        <v>Normal</v>
      </c>
    </row>
    <row r="217" spans="1:11" ht="15.5" x14ac:dyDescent="0.35">
      <c r="A217" s="1" t="s">
        <v>2157</v>
      </c>
      <c r="B217" t="str">
        <f>VLOOKUP($A217, 'Customer Names'!A:D, 3, FALSE)</f>
        <v>Warriner</v>
      </c>
      <c r="C217">
        <f>VLOOKUP($A217,'Medical Examinations'!A:C, 3, FALSE)</f>
        <v>35.71</v>
      </c>
      <c r="D217" t="str">
        <f>VLOOKUP($A217, 'Medical Examinations'!A:D, 4, FALSE)</f>
        <v>Diabetes</v>
      </c>
      <c r="E217" t="str">
        <f>VLOOKUP($A217, 'Medical Examinations'!A:F, 6, FALSE)</f>
        <v>No</v>
      </c>
      <c r="F217" t="str">
        <f>VLOOKUP($A217, 'Medical Examinations'!A:G, 7, FALSE)</f>
        <v>No</v>
      </c>
      <c r="G217" t="str">
        <f>VLOOKUP($A217, 'Medical Examinations'!A:H, 8, FALSE)</f>
        <v>No</v>
      </c>
      <c r="H217">
        <f>VLOOKUP($A217, 'Medical Examinations'!A:J, 10, FALSE)</f>
        <v>2</v>
      </c>
      <c r="I217" t="str">
        <f>VLOOKUP($A217, 'Medical Examinations'!A:K, 11, FALSE)</f>
        <v>yes</v>
      </c>
      <c r="J217" t="str">
        <f>VLOOKUP($A217, 'Medical Examinations'!A:B, 2, FALSE)</f>
        <v>Obesity</v>
      </c>
      <c r="K217" t="str">
        <f>VLOOKUP($A217, 'Medical Examinations'!A:D, 4, FALSE)</f>
        <v>Diabetes</v>
      </c>
    </row>
    <row r="218" spans="1:11" ht="15.5" x14ac:dyDescent="0.35">
      <c r="A218" s="1" t="s">
        <v>2156</v>
      </c>
      <c r="B218" t="str">
        <f>VLOOKUP($A218, 'Customer Names'!A:D, 3, FALSE)</f>
        <v>White</v>
      </c>
      <c r="C218">
        <f>VLOOKUP($A218,'Medical Examinations'!A:C, 3, FALSE)</f>
        <v>30.8</v>
      </c>
      <c r="D218" t="str">
        <f>VLOOKUP($A218, 'Medical Examinations'!A:D, 4, FALSE)</f>
        <v>Normal</v>
      </c>
      <c r="E218" t="str">
        <f>VLOOKUP($A218, 'Medical Examinations'!A:F, 6, FALSE)</f>
        <v>yes</v>
      </c>
      <c r="F218" t="str">
        <f>VLOOKUP($A218, 'Medical Examinations'!A:G, 7, FALSE)</f>
        <v>No</v>
      </c>
      <c r="G218" t="str">
        <f>VLOOKUP($A218, 'Medical Examinations'!A:H, 8, FALSE)</f>
        <v>No</v>
      </c>
      <c r="H218">
        <f>VLOOKUP($A218, 'Medical Examinations'!A:J, 10, FALSE)</f>
        <v>1</v>
      </c>
      <c r="I218" t="str">
        <f>VLOOKUP($A218, 'Medical Examinations'!A:K, 11, FALSE)</f>
        <v>yes</v>
      </c>
      <c r="J218" t="str">
        <f>VLOOKUP($A218, 'Medical Examinations'!A:B, 2, FALSE)</f>
        <v>Obesity</v>
      </c>
      <c r="K218" t="str">
        <f>VLOOKUP($A218, 'Medical Examinations'!A:D, 4, FALSE)</f>
        <v>Normal</v>
      </c>
    </row>
    <row r="219" spans="1:11" ht="15.5" x14ac:dyDescent="0.35">
      <c r="A219" s="1" t="s">
        <v>2155</v>
      </c>
      <c r="B219" t="str">
        <f>VLOOKUP($A219, 'Customer Names'!A:D, 3, FALSE)</f>
        <v>Cordaro</v>
      </c>
      <c r="C219">
        <f>VLOOKUP($A219,'Medical Examinations'!A:C, 3, FALSE)</f>
        <v>33.69</v>
      </c>
      <c r="D219" t="str">
        <f>VLOOKUP($A219, 'Medical Examinations'!A:D, 4, FALSE)</f>
        <v>Diabetes</v>
      </c>
      <c r="E219" t="str">
        <f>VLOOKUP($A219, 'Medical Examinations'!A:F, 6, FALSE)</f>
        <v>No</v>
      </c>
      <c r="F219" t="str">
        <f>VLOOKUP($A219, 'Medical Examinations'!A:G, 7, FALSE)</f>
        <v>No</v>
      </c>
      <c r="G219" t="str">
        <f>VLOOKUP($A219, 'Medical Examinations'!A:H, 8, FALSE)</f>
        <v>No</v>
      </c>
      <c r="H219" t="str">
        <f>VLOOKUP($A219, 'Medical Examinations'!A:J, 10, FALSE)</f>
        <v>No major surgery</v>
      </c>
      <c r="I219" t="str">
        <f>VLOOKUP($A219, 'Medical Examinations'!A:K, 11, FALSE)</f>
        <v>yes</v>
      </c>
      <c r="J219" t="str">
        <f>VLOOKUP($A219, 'Medical Examinations'!A:B, 2, FALSE)</f>
        <v>Obesity</v>
      </c>
      <c r="K219" t="str">
        <f>VLOOKUP($A219, 'Medical Examinations'!A:D, 4, FALSE)</f>
        <v>Diabetes</v>
      </c>
    </row>
    <row r="220" spans="1:11" ht="15.5" x14ac:dyDescent="0.35">
      <c r="A220" s="1" t="s">
        <v>2154</v>
      </c>
      <c r="B220" t="str">
        <f>VLOOKUP($A220, 'Customer Names'!A:D, 3, FALSE)</f>
        <v>Hamilton</v>
      </c>
      <c r="C220">
        <f>VLOOKUP($A220,'Medical Examinations'!A:C, 3, FALSE)</f>
        <v>42.27</v>
      </c>
      <c r="D220" t="str">
        <f>VLOOKUP($A220, 'Medical Examinations'!A:D, 4, FALSE)</f>
        <v>Prediabetes</v>
      </c>
      <c r="E220" t="str">
        <f>VLOOKUP($A220, 'Medical Examinations'!A:F, 6, FALSE)</f>
        <v>yes</v>
      </c>
      <c r="F220" t="str">
        <f>VLOOKUP($A220, 'Medical Examinations'!A:G, 7, FALSE)</f>
        <v>No</v>
      </c>
      <c r="G220" t="str">
        <f>VLOOKUP($A220, 'Medical Examinations'!A:H, 8, FALSE)</f>
        <v>No</v>
      </c>
      <c r="H220">
        <f>VLOOKUP($A220, 'Medical Examinations'!A:J, 10, FALSE)</f>
        <v>1</v>
      </c>
      <c r="I220" t="str">
        <f>VLOOKUP($A220, 'Medical Examinations'!A:K, 11, FALSE)</f>
        <v>yes</v>
      </c>
      <c r="J220" t="str">
        <f>VLOOKUP($A220, 'Medical Examinations'!A:B, 2, FALSE)</f>
        <v>Obesity</v>
      </c>
      <c r="K220" t="str">
        <f>VLOOKUP($A220, 'Medical Examinations'!A:D, 4, FALSE)</f>
        <v>Prediabetes</v>
      </c>
    </row>
    <row r="221" spans="1:11" ht="15.5" x14ac:dyDescent="0.35">
      <c r="A221" s="1" t="s">
        <v>2153</v>
      </c>
      <c r="B221" t="str">
        <f>VLOOKUP($A221, 'Customer Names'!A:D, 3, FALSE)</f>
        <v>Meyer</v>
      </c>
      <c r="C221">
        <f>VLOOKUP($A221,'Medical Examinations'!A:C, 3, FALSE)</f>
        <v>53.25</v>
      </c>
      <c r="D221" t="str">
        <f>VLOOKUP($A221, 'Medical Examinations'!A:D, 4, FALSE)</f>
        <v>Prediabetes</v>
      </c>
      <c r="E221" t="str">
        <f>VLOOKUP($A221, 'Medical Examinations'!A:F, 6, FALSE)</f>
        <v>yes</v>
      </c>
      <c r="F221" t="str">
        <f>VLOOKUP($A221, 'Medical Examinations'!A:G, 7, FALSE)</f>
        <v>No</v>
      </c>
      <c r="G221" t="str">
        <f>VLOOKUP($A221, 'Medical Examinations'!A:H, 8, FALSE)</f>
        <v>Yes</v>
      </c>
      <c r="H221">
        <f>VLOOKUP($A221, 'Medical Examinations'!A:J, 10, FALSE)</f>
        <v>1</v>
      </c>
      <c r="I221" t="str">
        <f>VLOOKUP($A221, 'Medical Examinations'!A:K, 11, FALSE)</f>
        <v>yes</v>
      </c>
      <c r="J221" t="str">
        <f>VLOOKUP($A221, 'Medical Examinations'!A:B, 2, FALSE)</f>
        <v>Obesity</v>
      </c>
      <c r="K221" t="str">
        <f>VLOOKUP($A221, 'Medical Examinations'!A:D, 4, FALSE)</f>
        <v>Prediabetes</v>
      </c>
    </row>
    <row r="222" spans="1:11" ht="15.5" x14ac:dyDescent="0.35">
      <c r="A222" s="1" t="s">
        <v>2152</v>
      </c>
      <c r="B222" t="str">
        <f>VLOOKUP($A222, 'Customer Names'!A:D, 3, FALSE)</f>
        <v>Duke</v>
      </c>
      <c r="C222">
        <f>VLOOKUP($A222,'Medical Examinations'!A:C, 3, FALSE)</f>
        <v>26.8</v>
      </c>
      <c r="D222" t="str">
        <f>VLOOKUP($A222, 'Medical Examinations'!A:D, 4, FALSE)</f>
        <v>Diabetes</v>
      </c>
      <c r="E222" t="str">
        <f>VLOOKUP($A222, 'Medical Examinations'!A:F, 6, FALSE)</f>
        <v>yes</v>
      </c>
      <c r="F222" t="str">
        <f>VLOOKUP($A222, 'Medical Examinations'!A:G, 7, FALSE)</f>
        <v>No</v>
      </c>
      <c r="G222" t="str">
        <f>VLOOKUP($A222, 'Medical Examinations'!A:H, 8, FALSE)</f>
        <v>No</v>
      </c>
      <c r="H222" t="str">
        <f>VLOOKUP($A222, 'Medical Examinations'!A:J, 10, FALSE)</f>
        <v>No major surgery</v>
      </c>
      <c r="I222" t="str">
        <f>VLOOKUP($A222, 'Medical Examinations'!A:K, 11, FALSE)</f>
        <v>No</v>
      </c>
      <c r="J222" t="str">
        <f>VLOOKUP($A222, 'Medical Examinations'!A:B, 2, FALSE)</f>
        <v>Overweight</v>
      </c>
      <c r="K222" t="str">
        <f>VLOOKUP($A222, 'Medical Examinations'!A:D, 4, FALSE)</f>
        <v>Diabetes</v>
      </c>
    </row>
    <row r="223" spans="1:11" ht="15.5" x14ac:dyDescent="0.35">
      <c r="A223" s="1" t="s">
        <v>2151</v>
      </c>
      <c r="B223" t="str">
        <f>VLOOKUP($A223, 'Customer Names'!A:D, 3, FALSE)</f>
        <v>Malatesta</v>
      </c>
      <c r="C223">
        <f>VLOOKUP($A223,'Medical Examinations'!A:C, 3, FALSE)</f>
        <v>28.5</v>
      </c>
      <c r="D223" t="str">
        <f>VLOOKUP($A223, 'Medical Examinations'!A:D, 4, FALSE)</f>
        <v>Normal</v>
      </c>
      <c r="E223" t="str">
        <f>VLOOKUP($A223, 'Medical Examinations'!A:F, 6, FALSE)</f>
        <v>No</v>
      </c>
      <c r="F223" t="str">
        <f>VLOOKUP($A223, 'Medical Examinations'!A:G, 7, FALSE)</f>
        <v>No</v>
      </c>
      <c r="G223" t="str">
        <f>VLOOKUP($A223, 'Medical Examinations'!A:H, 8, FALSE)</f>
        <v>No</v>
      </c>
      <c r="H223">
        <f>VLOOKUP($A223, 'Medical Examinations'!A:J, 10, FALSE)</f>
        <v>1</v>
      </c>
      <c r="I223" t="str">
        <f>VLOOKUP($A223, 'Medical Examinations'!A:K, 11, FALSE)</f>
        <v>yes</v>
      </c>
      <c r="J223" t="str">
        <f>VLOOKUP($A223, 'Medical Examinations'!A:B, 2, FALSE)</f>
        <v>Overweight</v>
      </c>
      <c r="K223" t="str">
        <f>VLOOKUP($A223, 'Medical Examinations'!A:D, 4, FALSE)</f>
        <v>Normal</v>
      </c>
    </row>
    <row r="224" spans="1:11" ht="15.5" x14ac:dyDescent="0.35">
      <c r="A224" s="1" t="s">
        <v>2150</v>
      </c>
      <c r="B224" t="str">
        <f>VLOOKUP($A224, 'Customer Names'!A:D, 3, FALSE)</f>
        <v>Hinrichsen</v>
      </c>
      <c r="C224">
        <f>VLOOKUP($A224,'Medical Examinations'!A:C, 3, FALSE)</f>
        <v>22.895</v>
      </c>
      <c r="D224" t="str">
        <f>VLOOKUP($A224, 'Medical Examinations'!A:D, 4, FALSE)</f>
        <v>Prediabetes</v>
      </c>
      <c r="E224" t="str">
        <f>VLOOKUP($A224, 'Medical Examinations'!A:F, 6, FALSE)</f>
        <v>No</v>
      </c>
      <c r="F224" t="str">
        <f>VLOOKUP($A224, 'Medical Examinations'!A:G, 7, FALSE)</f>
        <v>No</v>
      </c>
      <c r="G224" t="str">
        <f>VLOOKUP($A224, 'Medical Examinations'!A:H, 8, FALSE)</f>
        <v>No</v>
      </c>
      <c r="H224" t="str">
        <f>VLOOKUP($A224, 'Medical Examinations'!A:J, 10, FALSE)</f>
        <v>No major surgery</v>
      </c>
      <c r="I224" t="str">
        <f>VLOOKUP($A224, 'Medical Examinations'!A:K, 11, FALSE)</f>
        <v>yes</v>
      </c>
      <c r="J224" t="str">
        <f>VLOOKUP($A224, 'Medical Examinations'!A:B, 2, FALSE)</f>
        <v>Normal Weight</v>
      </c>
      <c r="K224" t="str">
        <f>VLOOKUP($A224, 'Medical Examinations'!A:D, 4, FALSE)</f>
        <v>Prediabetes</v>
      </c>
    </row>
    <row r="225" spans="1:11" ht="15.5" x14ac:dyDescent="0.35">
      <c r="A225" s="1" t="s">
        <v>2149</v>
      </c>
      <c r="B225" t="str">
        <f>VLOOKUP($A225, 'Customer Names'!A:D, 3, FALSE)</f>
        <v>Lucan</v>
      </c>
      <c r="C225">
        <f>VLOOKUP($A225,'Medical Examinations'!A:C, 3, FALSE)</f>
        <v>34.06</v>
      </c>
      <c r="D225" t="str">
        <f>VLOOKUP($A225, 'Medical Examinations'!A:D, 4, FALSE)</f>
        <v>Diabetes</v>
      </c>
      <c r="E225" t="str">
        <f>VLOOKUP($A225, 'Medical Examinations'!A:F, 6, FALSE)</f>
        <v>yes</v>
      </c>
      <c r="F225" t="str">
        <f>VLOOKUP($A225, 'Medical Examinations'!A:G, 7, FALSE)</f>
        <v>No</v>
      </c>
      <c r="G225" t="str">
        <f>VLOOKUP($A225, 'Medical Examinations'!A:H, 8, FALSE)</f>
        <v>No</v>
      </c>
      <c r="H225">
        <f>VLOOKUP($A225, 'Medical Examinations'!A:J, 10, FALSE)</f>
        <v>1</v>
      </c>
      <c r="I225" t="str">
        <f>VLOOKUP($A225, 'Medical Examinations'!A:K, 11, FALSE)</f>
        <v>yes</v>
      </c>
      <c r="J225" t="str">
        <f>VLOOKUP($A225, 'Medical Examinations'!A:B, 2, FALSE)</f>
        <v>Obesity</v>
      </c>
      <c r="K225" t="str">
        <f>VLOOKUP($A225, 'Medical Examinations'!A:D, 4, FALSE)</f>
        <v>Diabetes</v>
      </c>
    </row>
    <row r="226" spans="1:11" ht="15.5" x14ac:dyDescent="0.35">
      <c r="A226" s="1" t="s">
        <v>2148</v>
      </c>
      <c r="B226" t="str">
        <f>VLOOKUP($A226, 'Customer Names'!A:D, 3, FALSE)</f>
        <v>Koch</v>
      </c>
      <c r="C226">
        <f>VLOOKUP($A226,'Medical Examinations'!A:C, 3, FALSE)</f>
        <v>36.409999999999997</v>
      </c>
      <c r="D226" t="str">
        <f>VLOOKUP($A226, 'Medical Examinations'!A:D, 4, FALSE)</f>
        <v>Normal</v>
      </c>
      <c r="E226" t="str">
        <f>VLOOKUP($A226, 'Medical Examinations'!A:F, 6, FALSE)</f>
        <v>No</v>
      </c>
      <c r="F226" t="str">
        <f>VLOOKUP($A226, 'Medical Examinations'!A:G, 7, FALSE)</f>
        <v>No</v>
      </c>
      <c r="G226" t="str">
        <f>VLOOKUP($A226, 'Medical Examinations'!A:H, 8, FALSE)</f>
        <v>No</v>
      </c>
      <c r="H226" t="str">
        <f>VLOOKUP($A226, 'Medical Examinations'!A:J, 10, FALSE)</f>
        <v>No major surgery</v>
      </c>
      <c r="I226" t="str">
        <f>VLOOKUP($A226, 'Medical Examinations'!A:K, 11, FALSE)</f>
        <v>yes</v>
      </c>
      <c r="J226" t="str">
        <f>VLOOKUP($A226, 'Medical Examinations'!A:B, 2, FALSE)</f>
        <v>Obesity</v>
      </c>
      <c r="K226" t="str">
        <f>VLOOKUP($A226, 'Medical Examinations'!A:D, 4, FALSE)</f>
        <v>Normal</v>
      </c>
    </row>
    <row r="227" spans="1:11" ht="15.5" x14ac:dyDescent="0.35">
      <c r="A227" s="1" t="s">
        <v>2147</v>
      </c>
      <c r="B227" t="str">
        <f>VLOOKUP($A227, 'Customer Names'!A:D, 3, FALSE)</f>
        <v>Smith</v>
      </c>
      <c r="C227">
        <f>VLOOKUP($A227,'Medical Examinations'!A:C, 3, FALSE)</f>
        <v>52.3</v>
      </c>
      <c r="D227" t="str">
        <f>VLOOKUP($A227, 'Medical Examinations'!A:D, 4, FALSE)</f>
        <v>Normal</v>
      </c>
      <c r="E227" t="str">
        <f>VLOOKUP($A227, 'Medical Examinations'!A:F, 6, FALSE)</f>
        <v>yes</v>
      </c>
      <c r="F227" t="str">
        <f>VLOOKUP($A227, 'Medical Examinations'!A:G, 7, FALSE)</f>
        <v>No</v>
      </c>
      <c r="G227" t="str">
        <f>VLOOKUP($A227, 'Medical Examinations'!A:H, 8, FALSE)</f>
        <v>Yes</v>
      </c>
      <c r="H227">
        <f>VLOOKUP($A227, 'Medical Examinations'!A:J, 10, FALSE)</f>
        <v>1</v>
      </c>
      <c r="I227" t="str">
        <f>VLOOKUP($A227, 'Medical Examinations'!A:K, 11, FALSE)</f>
        <v>yes</v>
      </c>
      <c r="J227" t="str">
        <f>VLOOKUP($A227, 'Medical Examinations'!A:B, 2, FALSE)</f>
        <v>Obesity</v>
      </c>
      <c r="K227" t="str">
        <f>VLOOKUP($A227, 'Medical Examinations'!A:D, 4, FALSE)</f>
        <v>Normal</v>
      </c>
    </row>
    <row r="228" spans="1:11" ht="15.5" x14ac:dyDescent="0.35">
      <c r="A228" s="1" t="s">
        <v>2146</v>
      </c>
      <c r="B228" t="str">
        <f>VLOOKUP($A228, 'Customer Names'!A:D, 3, FALSE)</f>
        <v>O'Connor</v>
      </c>
      <c r="C228">
        <f>VLOOKUP($A228,'Medical Examinations'!A:C, 3, FALSE)</f>
        <v>52.66</v>
      </c>
      <c r="D228" t="str">
        <f>VLOOKUP($A228, 'Medical Examinations'!A:D, 4, FALSE)</f>
        <v>Normal</v>
      </c>
      <c r="E228" t="str">
        <f>VLOOKUP($A228, 'Medical Examinations'!A:F, 6, FALSE)</f>
        <v>No</v>
      </c>
      <c r="F228" t="str">
        <f>VLOOKUP($A228, 'Medical Examinations'!A:G, 7, FALSE)</f>
        <v>No</v>
      </c>
      <c r="G228" t="str">
        <f>VLOOKUP($A228, 'Medical Examinations'!A:H, 8, FALSE)</f>
        <v>No</v>
      </c>
      <c r="H228">
        <f>VLOOKUP($A228, 'Medical Examinations'!A:J, 10, FALSE)</f>
        <v>1</v>
      </c>
      <c r="I228" t="str">
        <f>VLOOKUP($A228, 'Medical Examinations'!A:K, 11, FALSE)</f>
        <v>yes</v>
      </c>
      <c r="J228" t="str">
        <f>VLOOKUP($A228, 'Medical Examinations'!A:B, 2, FALSE)</f>
        <v>Obesity</v>
      </c>
      <c r="K228" t="str">
        <f>VLOOKUP($A228, 'Medical Examinations'!A:D, 4, FALSE)</f>
        <v>Normal</v>
      </c>
    </row>
    <row r="229" spans="1:11" ht="15.5" x14ac:dyDescent="0.35">
      <c r="A229" s="1" t="s">
        <v>2145</v>
      </c>
      <c r="B229" t="str">
        <f>VLOOKUP($A229, 'Customer Names'!A:D, 3, FALSE)</f>
        <v>Kampwerth</v>
      </c>
      <c r="C229">
        <f>VLOOKUP($A229,'Medical Examinations'!A:C, 3, FALSE)</f>
        <v>29.57</v>
      </c>
      <c r="D229" t="str">
        <f>VLOOKUP($A229, 'Medical Examinations'!A:D, 4, FALSE)</f>
        <v>Diabetes</v>
      </c>
      <c r="E229" t="str">
        <f>VLOOKUP($A229, 'Medical Examinations'!A:F, 6, FALSE)</f>
        <v>yes</v>
      </c>
      <c r="F229" t="str">
        <f>VLOOKUP($A229, 'Medical Examinations'!A:G, 7, FALSE)</f>
        <v>No</v>
      </c>
      <c r="G229" t="str">
        <f>VLOOKUP($A229, 'Medical Examinations'!A:H, 8, FALSE)</f>
        <v>No</v>
      </c>
      <c r="H229" t="str">
        <f>VLOOKUP($A229, 'Medical Examinations'!A:J, 10, FALSE)</f>
        <v>No major surgery</v>
      </c>
      <c r="I229" t="str">
        <f>VLOOKUP($A229, 'Medical Examinations'!A:K, 11, FALSE)</f>
        <v>yes</v>
      </c>
      <c r="J229" t="str">
        <f>VLOOKUP($A229, 'Medical Examinations'!A:B, 2, FALSE)</f>
        <v>Overweight</v>
      </c>
      <c r="K229" t="str">
        <f>VLOOKUP($A229, 'Medical Examinations'!A:D, 4, FALSE)</f>
        <v>Diabetes</v>
      </c>
    </row>
    <row r="230" spans="1:11" ht="15.5" x14ac:dyDescent="0.35">
      <c r="A230" s="1" t="s">
        <v>2144</v>
      </c>
      <c r="B230" t="str">
        <f>VLOOKUP($A230, 'Customer Names'!A:D, 3, FALSE)</f>
        <v>Federoff</v>
      </c>
      <c r="C230">
        <f>VLOOKUP($A230,'Medical Examinations'!A:C, 3, FALSE)</f>
        <v>36.99</v>
      </c>
      <c r="D230" t="str">
        <f>VLOOKUP($A230, 'Medical Examinations'!A:D, 4, FALSE)</f>
        <v>Normal</v>
      </c>
      <c r="E230" t="str">
        <f>VLOOKUP($A230, 'Medical Examinations'!A:F, 6, FALSE)</f>
        <v>yes</v>
      </c>
      <c r="F230" t="str">
        <f>VLOOKUP($A230, 'Medical Examinations'!A:G, 7, FALSE)</f>
        <v>No</v>
      </c>
      <c r="G230" t="str">
        <f>VLOOKUP($A230, 'Medical Examinations'!A:H, 8, FALSE)</f>
        <v>Yes</v>
      </c>
      <c r="H230">
        <f>VLOOKUP($A230, 'Medical Examinations'!A:J, 10, FALSE)</f>
        <v>1</v>
      </c>
      <c r="I230" t="str">
        <f>VLOOKUP($A230, 'Medical Examinations'!A:K, 11, FALSE)</f>
        <v>yes</v>
      </c>
      <c r="J230" t="str">
        <f>VLOOKUP($A230, 'Medical Examinations'!A:B, 2, FALSE)</f>
        <v>Obesity</v>
      </c>
      <c r="K230" t="str">
        <f>VLOOKUP($A230, 'Medical Examinations'!A:D, 4, FALSE)</f>
        <v>Normal</v>
      </c>
    </row>
    <row r="231" spans="1:11" ht="15.5" x14ac:dyDescent="0.35">
      <c r="A231" s="1" t="s">
        <v>2143</v>
      </c>
      <c r="B231" t="str">
        <f>VLOOKUP($A231, 'Customer Names'!A:D, 3, FALSE)</f>
        <v>Goya</v>
      </c>
      <c r="C231">
        <f>VLOOKUP($A231,'Medical Examinations'!A:C, 3, FALSE)</f>
        <v>31.4</v>
      </c>
      <c r="D231" t="str">
        <f>VLOOKUP($A231, 'Medical Examinations'!A:D, 4, FALSE)</f>
        <v>Normal</v>
      </c>
      <c r="E231" t="str">
        <f>VLOOKUP($A231, 'Medical Examinations'!A:F, 6, FALSE)</f>
        <v>yes</v>
      </c>
      <c r="F231" t="str">
        <f>VLOOKUP($A231, 'Medical Examinations'!A:G, 7, FALSE)</f>
        <v>No</v>
      </c>
      <c r="G231" t="str">
        <f>VLOOKUP($A231, 'Medical Examinations'!A:H, 8, FALSE)</f>
        <v>No</v>
      </c>
      <c r="H231">
        <f>VLOOKUP($A231, 'Medical Examinations'!A:J, 10, FALSE)</f>
        <v>1</v>
      </c>
      <c r="I231" t="str">
        <f>VLOOKUP($A231, 'Medical Examinations'!A:K, 11, FALSE)</f>
        <v>yes</v>
      </c>
      <c r="J231" t="str">
        <f>VLOOKUP($A231, 'Medical Examinations'!A:B, 2, FALSE)</f>
        <v>Obesity</v>
      </c>
      <c r="K231" t="str">
        <f>VLOOKUP($A231, 'Medical Examinations'!A:D, 4, FALSE)</f>
        <v>Normal</v>
      </c>
    </row>
    <row r="232" spans="1:11" ht="15.5" x14ac:dyDescent="0.35">
      <c r="A232" s="1" t="s">
        <v>2142</v>
      </c>
      <c r="B232" t="str">
        <f>VLOOKUP($A232, 'Customer Names'!A:D, 3, FALSE)</f>
        <v>Hodges</v>
      </c>
      <c r="C232">
        <f>VLOOKUP($A232,'Medical Examinations'!A:C, 3, FALSE)</f>
        <v>34.9</v>
      </c>
      <c r="D232" t="str">
        <f>VLOOKUP($A232, 'Medical Examinations'!A:D, 4, FALSE)</f>
        <v>Prediabetes</v>
      </c>
      <c r="E232" t="str">
        <f>VLOOKUP($A232, 'Medical Examinations'!A:F, 6, FALSE)</f>
        <v>No</v>
      </c>
      <c r="F232" t="str">
        <f>VLOOKUP($A232, 'Medical Examinations'!A:G, 7, FALSE)</f>
        <v>No</v>
      </c>
      <c r="G232" t="str">
        <f>VLOOKUP($A232, 'Medical Examinations'!A:H, 8, FALSE)</f>
        <v>Yes</v>
      </c>
      <c r="H232">
        <f>VLOOKUP($A232, 'Medical Examinations'!A:J, 10, FALSE)</f>
        <v>1</v>
      </c>
      <c r="I232" t="str">
        <f>VLOOKUP($A232, 'Medical Examinations'!A:K, 11, FALSE)</f>
        <v>yes</v>
      </c>
      <c r="J232" t="str">
        <f>VLOOKUP($A232, 'Medical Examinations'!A:B, 2, FALSE)</f>
        <v>Obesity</v>
      </c>
      <c r="K232" t="str">
        <f>VLOOKUP($A232, 'Medical Examinations'!A:D, 4, FALSE)</f>
        <v>Prediabetes</v>
      </c>
    </row>
    <row r="233" spans="1:11" ht="15.5" x14ac:dyDescent="0.35">
      <c r="A233" s="1" t="s">
        <v>2141</v>
      </c>
      <c r="B233" t="str">
        <f>VLOOKUP($A233, 'Customer Names'!A:D, 3, FALSE)</f>
        <v>Erickson</v>
      </c>
      <c r="C233">
        <f>VLOOKUP($A233,'Medical Examinations'!A:C, 3, FALSE)</f>
        <v>31.13</v>
      </c>
      <c r="D233" t="str">
        <f>VLOOKUP($A233, 'Medical Examinations'!A:D, 4, FALSE)</f>
        <v>Normal</v>
      </c>
      <c r="E233" t="str">
        <f>VLOOKUP($A233, 'Medical Examinations'!A:F, 6, FALSE)</f>
        <v>yes</v>
      </c>
      <c r="F233" t="str">
        <f>VLOOKUP($A233, 'Medical Examinations'!A:G, 7, FALSE)</f>
        <v>No</v>
      </c>
      <c r="G233" t="str">
        <f>VLOOKUP($A233, 'Medical Examinations'!A:H, 8, FALSE)</f>
        <v>No</v>
      </c>
      <c r="H233">
        <f>VLOOKUP($A233, 'Medical Examinations'!A:J, 10, FALSE)</f>
        <v>1</v>
      </c>
      <c r="I233" t="str">
        <f>VLOOKUP($A233, 'Medical Examinations'!A:K, 11, FALSE)</f>
        <v>yes</v>
      </c>
      <c r="J233" t="str">
        <f>VLOOKUP($A233, 'Medical Examinations'!A:B, 2, FALSE)</f>
        <v>Obesity</v>
      </c>
      <c r="K233" t="str">
        <f>VLOOKUP($A233, 'Medical Examinations'!A:D, 4, FALSE)</f>
        <v>Normal</v>
      </c>
    </row>
    <row r="234" spans="1:11" ht="15.5" x14ac:dyDescent="0.35">
      <c r="A234" s="1" t="s">
        <v>2140</v>
      </c>
      <c r="B234" t="str">
        <f>VLOOKUP($A234, 'Customer Names'!A:D, 3, FALSE)</f>
        <v>Welleck</v>
      </c>
      <c r="C234">
        <f>VLOOKUP($A234,'Medical Examinations'!A:C, 3, FALSE)</f>
        <v>34.799999999999997</v>
      </c>
      <c r="D234" t="str">
        <f>VLOOKUP($A234, 'Medical Examinations'!A:D, 4, FALSE)</f>
        <v>Prediabetes</v>
      </c>
      <c r="E234" t="str">
        <f>VLOOKUP($A234, 'Medical Examinations'!A:F, 6, FALSE)</f>
        <v>No</v>
      </c>
      <c r="F234" t="str">
        <f>VLOOKUP($A234, 'Medical Examinations'!A:G, 7, FALSE)</f>
        <v>No</v>
      </c>
      <c r="G234" t="str">
        <f>VLOOKUP($A234, 'Medical Examinations'!A:H, 8, FALSE)</f>
        <v>Yes</v>
      </c>
      <c r="H234">
        <f>VLOOKUP($A234, 'Medical Examinations'!A:J, 10, FALSE)</f>
        <v>1</v>
      </c>
      <c r="I234" t="str">
        <f>VLOOKUP($A234, 'Medical Examinations'!A:K, 11, FALSE)</f>
        <v>yes</v>
      </c>
      <c r="J234" t="str">
        <f>VLOOKUP($A234, 'Medical Examinations'!A:B, 2, FALSE)</f>
        <v>Obesity</v>
      </c>
      <c r="K234" t="str">
        <f>VLOOKUP($A234, 'Medical Examinations'!A:D, 4, FALSE)</f>
        <v>Prediabetes</v>
      </c>
    </row>
    <row r="235" spans="1:11" ht="15.5" x14ac:dyDescent="0.35">
      <c r="A235" s="1" t="s">
        <v>2139</v>
      </c>
      <c r="B235" t="str">
        <f>VLOOKUP($A235, 'Customer Names'!A:D, 3, FALSE)</f>
        <v>Polen</v>
      </c>
      <c r="C235">
        <f>VLOOKUP($A235,'Medical Examinations'!A:C, 3, FALSE)</f>
        <v>31.68</v>
      </c>
      <c r="D235" t="str">
        <f>VLOOKUP($A235, 'Medical Examinations'!A:D, 4, FALSE)</f>
        <v>Normal</v>
      </c>
      <c r="E235" t="str">
        <f>VLOOKUP($A235, 'Medical Examinations'!A:F, 6, FALSE)</f>
        <v>No</v>
      </c>
      <c r="F235" t="str">
        <f>VLOOKUP($A235, 'Medical Examinations'!A:G, 7, FALSE)</f>
        <v>No</v>
      </c>
      <c r="G235" t="str">
        <f>VLOOKUP($A235, 'Medical Examinations'!A:H, 8, FALSE)</f>
        <v>No</v>
      </c>
      <c r="H235" t="str">
        <f>VLOOKUP($A235, 'Medical Examinations'!A:J, 10, FALSE)</f>
        <v>No major surgery</v>
      </c>
      <c r="I235" t="str">
        <f>VLOOKUP($A235, 'Medical Examinations'!A:K, 11, FALSE)</f>
        <v>yes</v>
      </c>
      <c r="J235" t="str">
        <f>VLOOKUP($A235, 'Medical Examinations'!A:B, 2, FALSE)</f>
        <v>Obesity</v>
      </c>
      <c r="K235" t="str">
        <f>VLOOKUP($A235, 'Medical Examinations'!A:D, 4, FALSE)</f>
        <v>Normal</v>
      </c>
    </row>
    <row r="236" spans="1:11" ht="15.5" x14ac:dyDescent="0.35">
      <c r="A236" s="1" t="s">
        <v>2138</v>
      </c>
      <c r="B236" t="str">
        <f>VLOOKUP($A236, 'Customer Names'!A:D, 3, FALSE)</f>
        <v>Lynch</v>
      </c>
      <c r="C236">
        <f>VLOOKUP($A236,'Medical Examinations'!A:C, 3, FALSE)</f>
        <v>33.534999999999997</v>
      </c>
      <c r="D236" t="str">
        <f>VLOOKUP($A236, 'Medical Examinations'!A:D, 4, FALSE)</f>
        <v>Prediabetes</v>
      </c>
      <c r="E236" t="str">
        <f>VLOOKUP($A236, 'Medical Examinations'!A:F, 6, FALSE)</f>
        <v>No</v>
      </c>
      <c r="F236" t="str">
        <f>VLOOKUP($A236, 'Medical Examinations'!A:G, 7, FALSE)</f>
        <v>yes</v>
      </c>
      <c r="G236" t="str">
        <f>VLOOKUP($A236, 'Medical Examinations'!A:H, 8, FALSE)</f>
        <v>No</v>
      </c>
      <c r="H236">
        <f>VLOOKUP($A236, 'Medical Examinations'!A:J, 10, FALSE)</f>
        <v>1</v>
      </c>
      <c r="I236" t="str">
        <f>VLOOKUP($A236, 'Medical Examinations'!A:K, 11, FALSE)</f>
        <v>yes</v>
      </c>
      <c r="J236" t="str">
        <f>VLOOKUP($A236, 'Medical Examinations'!A:B, 2, FALSE)</f>
        <v>Obesity</v>
      </c>
      <c r="K236" t="str">
        <f>VLOOKUP($A236, 'Medical Examinations'!A:D, 4, FALSE)</f>
        <v>Prediabetes</v>
      </c>
    </row>
    <row r="237" spans="1:11" ht="15.5" x14ac:dyDescent="0.35">
      <c r="A237" s="1" t="s">
        <v>2137</v>
      </c>
      <c r="B237" t="str">
        <f>VLOOKUP($A237, 'Customer Names'!A:D, 3, FALSE)</f>
        <v>Hufstader</v>
      </c>
      <c r="C237">
        <f>VLOOKUP($A237,'Medical Examinations'!A:C, 3, FALSE)</f>
        <v>31.92</v>
      </c>
      <c r="D237" t="str">
        <f>VLOOKUP($A237, 'Medical Examinations'!A:D, 4, FALSE)</f>
        <v>Normal</v>
      </c>
      <c r="E237" t="str">
        <f>VLOOKUP($A237, 'Medical Examinations'!A:F, 6, FALSE)</f>
        <v>yes</v>
      </c>
      <c r="F237" t="str">
        <f>VLOOKUP($A237, 'Medical Examinations'!A:G, 7, FALSE)</f>
        <v>No</v>
      </c>
      <c r="G237" t="str">
        <f>VLOOKUP($A237, 'Medical Examinations'!A:H, 8, FALSE)</f>
        <v>No</v>
      </c>
      <c r="H237" t="str">
        <f>VLOOKUP($A237, 'Medical Examinations'!A:J, 10, FALSE)</f>
        <v>No major surgery</v>
      </c>
      <c r="I237" t="str">
        <f>VLOOKUP($A237, 'Medical Examinations'!A:K, 11, FALSE)</f>
        <v>yes</v>
      </c>
      <c r="J237" t="str">
        <f>VLOOKUP($A237, 'Medical Examinations'!A:B, 2, FALSE)</f>
        <v>Obesity</v>
      </c>
      <c r="K237" t="str">
        <f>VLOOKUP($A237, 'Medical Examinations'!A:D, 4, FALSE)</f>
        <v>Normal</v>
      </c>
    </row>
    <row r="238" spans="1:11" ht="15.5" x14ac:dyDescent="0.35">
      <c r="A238" s="1" t="s">
        <v>2136</v>
      </c>
      <c r="B238" t="str">
        <f>VLOOKUP($A238, 'Customer Names'!A:D, 3, FALSE)</f>
        <v>Doak</v>
      </c>
      <c r="C238">
        <f>VLOOKUP($A238,'Medical Examinations'!A:C, 3, FALSE)</f>
        <v>32.700000000000003</v>
      </c>
      <c r="D238" t="str">
        <f>VLOOKUP($A238, 'Medical Examinations'!A:D, 4, FALSE)</f>
        <v>Normal</v>
      </c>
      <c r="E238" t="str">
        <f>VLOOKUP($A238, 'Medical Examinations'!A:F, 6, FALSE)</f>
        <v>No</v>
      </c>
      <c r="F238" t="str">
        <f>VLOOKUP($A238, 'Medical Examinations'!A:G, 7, FALSE)</f>
        <v>No</v>
      </c>
      <c r="G238" t="str">
        <f>VLOOKUP($A238, 'Medical Examinations'!A:H, 8, FALSE)</f>
        <v>No</v>
      </c>
      <c r="H238">
        <f>VLOOKUP($A238, 'Medical Examinations'!A:J, 10, FALSE)</f>
        <v>1</v>
      </c>
      <c r="I238" t="str">
        <f>VLOOKUP($A238, 'Medical Examinations'!A:K, 11, FALSE)</f>
        <v>yes</v>
      </c>
      <c r="J238" t="str">
        <f>VLOOKUP($A238, 'Medical Examinations'!A:B, 2, FALSE)</f>
        <v>Obesity</v>
      </c>
      <c r="K238" t="str">
        <f>VLOOKUP($A238, 'Medical Examinations'!A:D, 4, FALSE)</f>
        <v>Normal</v>
      </c>
    </row>
    <row r="239" spans="1:11" ht="15.5" x14ac:dyDescent="0.35">
      <c r="A239" s="1" t="s">
        <v>2135</v>
      </c>
      <c r="B239" t="str">
        <f>VLOOKUP($A239, 'Customer Names'!A:D, 3, FALSE)</f>
        <v>Noya</v>
      </c>
      <c r="C239">
        <f>VLOOKUP($A239,'Medical Examinations'!A:C, 3, FALSE)</f>
        <v>41.25</v>
      </c>
      <c r="D239" t="str">
        <f>VLOOKUP($A239, 'Medical Examinations'!A:D, 4, FALSE)</f>
        <v>Normal</v>
      </c>
      <c r="E239" t="str">
        <f>VLOOKUP($A239, 'Medical Examinations'!A:F, 6, FALSE)</f>
        <v>No</v>
      </c>
      <c r="F239" t="str">
        <f>VLOOKUP($A239, 'Medical Examinations'!A:G, 7, FALSE)</f>
        <v>No</v>
      </c>
      <c r="G239" t="str">
        <f>VLOOKUP($A239, 'Medical Examinations'!A:H, 8, FALSE)</f>
        <v>No</v>
      </c>
      <c r="H239" t="str">
        <f>VLOOKUP($A239, 'Medical Examinations'!A:J, 10, FALSE)</f>
        <v>No major surgery</v>
      </c>
      <c r="I239" t="str">
        <f>VLOOKUP($A239, 'Medical Examinations'!A:K, 11, FALSE)</f>
        <v>yes</v>
      </c>
      <c r="J239" t="str">
        <f>VLOOKUP($A239, 'Medical Examinations'!A:B, 2, FALSE)</f>
        <v>Obesity</v>
      </c>
      <c r="K239" t="str">
        <f>VLOOKUP($A239, 'Medical Examinations'!A:D, 4, FALSE)</f>
        <v>Normal</v>
      </c>
    </row>
    <row r="240" spans="1:11" ht="15.5" x14ac:dyDescent="0.35">
      <c r="A240" s="1" t="s">
        <v>2134</v>
      </c>
      <c r="B240" t="str">
        <f>VLOOKUP($A240, 'Customer Names'!A:D, 3, FALSE)</f>
        <v>Heninger</v>
      </c>
      <c r="C240">
        <f>VLOOKUP($A240,'Medical Examinations'!A:C, 3, FALSE)</f>
        <v>33.11</v>
      </c>
      <c r="D240" t="str">
        <f>VLOOKUP($A240, 'Medical Examinations'!A:D, 4, FALSE)</f>
        <v>Normal</v>
      </c>
      <c r="E240" t="str">
        <f>VLOOKUP($A240, 'Medical Examinations'!A:F, 6, FALSE)</f>
        <v>No</v>
      </c>
      <c r="F240" t="str">
        <f>VLOOKUP($A240, 'Medical Examinations'!A:G, 7, FALSE)</f>
        <v>No</v>
      </c>
      <c r="G240" t="str">
        <f>VLOOKUP($A240, 'Medical Examinations'!A:H, 8, FALSE)</f>
        <v>Yes</v>
      </c>
      <c r="H240">
        <f>VLOOKUP($A240, 'Medical Examinations'!A:J, 10, FALSE)</f>
        <v>1</v>
      </c>
      <c r="I240" t="str">
        <f>VLOOKUP($A240, 'Medical Examinations'!A:K, 11, FALSE)</f>
        <v>yes</v>
      </c>
      <c r="J240" t="str">
        <f>VLOOKUP($A240, 'Medical Examinations'!A:B, 2, FALSE)</f>
        <v>Obesity</v>
      </c>
      <c r="K240" t="str">
        <f>VLOOKUP($A240, 'Medical Examinations'!A:D, 4, FALSE)</f>
        <v>Normal</v>
      </c>
    </row>
    <row r="241" spans="1:11" ht="15.5" x14ac:dyDescent="0.35">
      <c r="A241" s="1" t="s">
        <v>2133</v>
      </c>
      <c r="B241" t="str">
        <f>VLOOKUP($A241, 'Customer Names'!A:D, 3, FALSE)</f>
        <v>Richardson</v>
      </c>
      <c r="C241">
        <f>VLOOKUP($A241,'Medical Examinations'!A:C, 3, FALSE)</f>
        <v>36.159999999999997</v>
      </c>
      <c r="D241" t="str">
        <f>VLOOKUP($A241, 'Medical Examinations'!A:D, 4, FALSE)</f>
        <v>Normal</v>
      </c>
      <c r="E241" t="str">
        <f>VLOOKUP($A241, 'Medical Examinations'!A:F, 6, FALSE)</f>
        <v>No</v>
      </c>
      <c r="F241" t="str">
        <f>VLOOKUP($A241, 'Medical Examinations'!A:G, 7, FALSE)</f>
        <v>No</v>
      </c>
      <c r="G241" t="str">
        <f>VLOOKUP($A241, 'Medical Examinations'!A:H, 8, FALSE)</f>
        <v>No</v>
      </c>
      <c r="H241">
        <f>VLOOKUP($A241, 'Medical Examinations'!A:J, 10, FALSE)</f>
        <v>1</v>
      </c>
      <c r="I241" t="str">
        <f>VLOOKUP($A241, 'Medical Examinations'!A:K, 11, FALSE)</f>
        <v>yes</v>
      </c>
      <c r="J241" t="str">
        <f>VLOOKUP($A241, 'Medical Examinations'!A:B, 2, FALSE)</f>
        <v>Obesity</v>
      </c>
      <c r="K241" t="str">
        <f>VLOOKUP($A241, 'Medical Examinations'!A:D, 4, FALSE)</f>
        <v>Normal</v>
      </c>
    </row>
    <row r="242" spans="1:11" ht="15.5" x14ac:dyDescent="0.35">
      <c r="A242" s="1" t="s">
        <v>2132</v>
      </c>
      <c r="B242" t="str">
        <f>VLOOKUP($A242, 'Customer Names'!A:D, 3, FALSE)</f>
        <v>Deucher</v>
      </c>
      <c r="C242">
        <f>VLOOKUP($A242,'Medical Examinations'!A:C, 3, FALSE)</f>
        <v>33.72</v>
      </c>
      <c r="D242" t="str">
        <f>VLOOKUP($A242, 'Medical Examinations'!A:D, 4, FALSE)</f>
        <v>Prediabetes</v>
      </c>
      <c r="E242" t="str">
        <f>VLOOKUP($A242, 'Medical Examinations'!A:F, 6, FALSE)</f>
        <v>yes</v>
      </c>
      <c r="F242" t="str">
        <f>VLOOKUP($A242, 'Medical Examinations'!A:G, 7, FALSE)</f>
        <v>No</v>
      </c>
      <c r="G242" t="str">
        <f>VLOOKUP($A242, 'Medical Examinations'!A:H, 8, FALSE)</f>
        <v>Yes</v>
      </c>
      <c r="H242">
        <f>VLOOKUP($A242, 'Medical Examinations'!A:J, 10, FALSE)</f>
        <v>1</v>
      </c>
      <c r="I242" t="str">
        <f>VLOOKUP($A242, 'Medical Examinations'!A:K, 11, FALSE)</f>
        <v>yes</v>
      </c>
      <c r="J242" t="str">
        <f>VLOOKUP($A242, 'Medical Examinations'!A:B, 2, FALSE)</f>
        <v>Obesity</v>
      </c>
      <c r="K242" t="str">
        <f>VLOOKUP($A242, 'Medical Examinations'!A:D, 4, FALSE)</f>
        <v>Prediabetes</v>
      </c>
    </row>
    <row r="243" spans="1:11" ht="15.5" x14ac:dyDescent="0.35">
      <c r="A243" s="1" t="s">
        <v>2130</v>
      </c>
      <c r="B243" t="str">
        <f>VLOOKUP($A243, 'Customer Names'!A:D, 3, FALSE)</f>
        <v>Wilson</v>
      </c>
      <c r="C243">
        <f>VLOOKUP($A243,'Medical Examinations'!A:C, 3, FALSE)</f>
        <v>37.74</v>
      </c>
      <c r="D243" t="str">
        <f>VLOOKUP($A243, 'Medical Examinations'!A:D, 4, FALSE)</f>
        <v>Diabetes</v>
      </c>
      <c r="E243" t="str">
        <f>VLOOKUP($A243, 'Medical Examinations'!A:F, 6, FALSE)</f>
        <v>yes</v>
      </c>
      <c r="F243" t="str">
        <f>VLOOKUP($A243, 'Medical Examinations'!A:G, 7, FALSE)</f>
        <v>No</v>
      </c>
      <c r="G243" t="str">
        <f>VLOOKUP($A243, 'Medical Examinations'!A:H, 8, FALSE)</f>
        <v>No</v>
      </c>
      <c r="H243">
        <f>VLOOKUP($A243, 'Medical Examinations'!A:J, 10, FALSE)</f>
        <v>1</v>
      </c>
      <c r="I243" t="str">
        <f>VLOOKUP($A243, 'Medical Examinations'!A:K, 11, FALSE)</f>
        <v>yes</v>
      </c>
      <c r="J243" t="str">
        <f>VLOOKUP($A243, 'Medical Examinations'!A:B, 2, FALSE)</f>
        <v>Obesity</v>
      </c>
      <c r="K243" t="str">
        <f>VLOOKUP($A243, 'Medical Examinations'!A:D, 4, FALSE)</f>
        <v>Diabetes</v>
      </c>
    </row>
    <row r="244" spans="1:11" ht="15.5" x14ac:dyDescent="0.35">
      <c r="A244" s="1" t="s">
        <v>2129</v>
      </c>
      <c r="B244" t="str">
        <f>VLOOKUP($A244, 'Customer Names'!A:D, 3, FALSE)</f>
        <v>Hall</v>
      </c>
      <c r="C244">
        <f>VLOOKUP($A244,'Medical Examinations'!A:C, 3, FALSE)</f>
        <v>48.75</v>
      </c>
      <c r="D244" t="str">
        <f>VLOOKUP($A244, 'Medical Examinations'!A:D, 4, FALSE)</f>
        <v>Normal</v>
      </c>
      <c r="E244" t="str">
        <f>VLOOKUP($A244, 'Medical Examinations'!A:F, 6, FALSE)</f>
        <v>yes</v>
      </c>
      <c r="F244" t="str">
        <f>VLOOKUP($A244, 'Medical Examinations'!A:G, 7, FALSE)</f>
        <v>No</v>
      </c>
      <c r="G244" t="str">
        <f>VLOOKUP($A244, 'Medical Examinations'!A:H, 8, FALSE)</f>
        <v>No</v>
      </c>
      <c r="H244">
        <f>VLOOKUP($A244, 'Medical Examinations'!A:J, 10, FALSE)</f>
        <v>1</v>
      </c>
      <c r="I244" t="str">
        <f>VLOOKUP($A244, 'Medical Examinations'!A:K, 11, FALSE)</f>
        <v>yes</v>
      </c>
      <c r="J244" t="str">
        <f>VLOOKUP($A244, 'Medical Examinations'!A:B, 2, FALSE)</f>
        <v>Obesity</v>
      </c>
      <c r="K244" t="str">
        <f>VLOOKUP($A244, 'Medical Examinations'!A:D, 4, FALSE)</f>
        <v>Normal</v>
      </c>
    </row>
    <row r="245" spans="1:11" ht="15.5" x14ac:dyDescent="0.35">
      <c r="A245" s="1" t="s">
        <v>2128</v>
      </c>
      <c r="B245" t="str">
        <f>VLOOKUP($A245, 'Customer Names'!A:D, 3, FALSE)</f>
        <v>Reed</v>
      </c>
      <c r="C245">
        <f>VLOOKUP($A245,'Medical Examinations'!A:C, 3, FALSE)</f>
        <v>31.065000000000001</v>
      </c>
      <c r="D245" t="str">
        <f>VLOOKUP($A245, 'Medical Examinations'!A:D, 4, FALSE)</f>
        <v>Normal</v>
      </c>
      <c r="E245" t="str">
        <f>VLOOKUP($A245, 'Medical Examinations'!A:F, 6, FALSE)</f>
        <v>No</v>
      </c>
      <c r="F245" t="str">
        <f>VLOOKUP($A245, 'Medical Examinations'!A:G, 7, FALSE)</f>
        <v>No</v>
      </c>
      <c r="G245" t="str">
        <f>VLOOKUP($A245, 'Medical Examinations'!A:H, 8, FALSE)</f>
        <v>No</v>
      </c>
      <c r="H245">
        <f>VLOOKUP($A245, 'Medical Examinations'!A:J, 10, FALSE)</f>
        <v>1</v>
      </c>
      <c r="I245" t="str">
        <f>VLOOKUP($A245, 'Medical Examinations'!A:K, 11, FALSE)</f>
        <v>yes</v>
      </c>
      <c r="J245" t="str">
        <f>VLOOKUP($A245, 'Medical Examinations'!A:B, 2, FALSE)</f>
        <v>Obesity</v>
      </c>
      <c r="K245" t="str">
        <f>VLOOKUP($A245, 'Medical Examinations'!A:D, 4, FALSE)</f>
        <v>Normal</v>
      </c>
    </row>
    <row r="246" spans="1:11" ht="15.5" x14ac:dyDescent="0.35">
      <c r="A246" s="1" t="s">
        <v>2127</v>
      </c>
      <c r="B246" t="str">
        <f>VLOOKUP($A246, 'Customer Names'!A:D, 3, FALSE)</f>
        <v>Frome</v>
      </c>
      <c r="C246">
        <f>VLOOKUP($A246,'Medical Examinations'!A:C, 3, FALSE)</f>
        <v>23.55</v>
      </c>
      <c r="D246" t="str">
        <f>VLOOKUP($A246, 'Medical Examinations'!A:D, 4, FALSE)</f>
        <v>Diabetes</v>
      </c>
      <c r="E246" t="str">
        <f>VLOOKUP($A246, 'Medical Examinations'!A:F, 6, FALSE)</f>
        <v>No</v>
      </c>
      <c r="F246" t="str">
        <f>VLOOKUP($A246, 'Medical Examinations'!A:G, 7, FALSE)</f>
        <v>No</v>
      </c>
      <c r="G246" t="str">
        <f>VLOOKUP($A246, 'Medical Examinations'!A:H, 8, FALSE)</f>
        <v>No</v>
      </c>
      <c r="H246" t="str">
        <f>VLOOKUP($A246, 'Medical Examinations'!A:J, 10, FALSE)</f>
        <v>No major surgery</v>
      </c>
      <c r="I246" t="str">
        <f>VLOOKUP($A246, 'Medical Examinations'!A:K, 11, FALSE)</f>
        <v>yes</v>
      </c>
      <c r="J246" t="str">
        <f>VLOOKUP($A246, 'Medical Examinations'!A:B, 2, FALSE)</f>
        <v>Normal Weight</v>
      </c>
      <c r="K246" t="str">
        <f>VLOOKUP($A246, 'Medical Examinations'!A:D, 4, FALSE)</f>
        <v>Diabetes</v>
      </c>
    </row>
    <row r="247" spans="1:11" ht="15.5" x14ac:dyDescent="0.35">
      <c r="A247" s="1" t="s">
        <v>2126</v>
      </c>
      <c r="B247" t="str">
        <f>VLOOKUP($A247, 'Customer Names'!A:D, 3, FALSE)</f>
        <v>Creasy</v>
      </c>
      <c r="C247">
        <f>VLOOKUP($A247,'Medical Examinations'!A:C, 3, FALSE)</f>
        <v>30.18</v>
      </c>
      <c r="D247" t="str">
        <f>VLOOKUP($A247, 'Medical Examinations'!A:D, 4, FALSE)</f>
        <v>Diabetes</v>
      </c>
      <c r="E247" t="str">
        <f>VLOOKUP($A247, 'Medical Examinations'!A:F, 6, FALSE)</f>
        <v>yes</v>
      </c>
      <c r="F247" t="str">
        <f>VLOOKUP($A247, 'Medical Examinations'!A:G, 7, FALSE)</f>
        <v>No</v>
      </c>
      <c r="G247" t="str">
        <f>VLOOKUP($A247, 'Medical Examinations'!A:H, 8, FALSE)</f>
        <v>No</v>
      </c>
      <c r="H247">
        <f>VLOOKUP($A247, 'Medical Examinations'!A:J, 10, FALSE)</f>
        <v>1</v>
      </c>
      <c r="I247" t="str">
        <f>VLOOKUP($A247, 'Medical Examinations'!A:K, 11, FALSE)</f>
        <v>yes</v>
      </c>
      <c r="J247" t="str">
        <f>VLOOKUP($A247, 'Medical Examinations'!A:B, 2, FALSE)</f>
        <v>Obesity</v>
      </c>
      <c r="K247" t="str">
        <f>VLOOKUP($A247, 'Medical Examinations'!A:D, 4, FALSE)</f>
        <v>Diabetes</v>
      </c>
    </row>
    <row r="248" spans="1:11" ht="15.5" x14ac:dyDescent="0.35">
      <c r="A248" s="1" t="s">
        <v>2125</v>
      </c>
      <c r="B248" t="str">
        <f>VLOOKUP($A248, 'Customer Names'!A:D, 3, FALSE)</f>
        <v>Latimer</v>
      </c>
      <c r="C248">
        <f>VLOOKUP($A248,'Medical Examinations'!A:C, 3, FALSE)</f>
        <v>29.94</v>
      </c>
      <c r="D248" t="str">
        <f>VLOOKUP($A248, 'Medical Examinations'!A:D, 4, FALSE)</f>
        <v>Diabetes</v>
      </c>
      <c r="E248" t="str">
        <f>VLOOKUP($A248, 'Medical Examinations'!A:F, 6, FALSE)</f>
        <v>No</v>
      </c>
      <c r="F248" t="str">
        <f>VLOOKUP($A248, 'Medical Examinations'!A:G, 7, FALSE)</f>
        <v>No</v>
      </c>
      <c r="G248" t="str">
        <f>VLOOKUP($A248, 'Medical Examinations'!A:H, 8, FALSE)</f>
        <v>No</v>
      </c>
      <c r="H248" t="str">
        <f>VLOOKUP($A248, 'Medical Examinations'!A:J, 10, FALSE)</f>
        <v>No major surgery</v>
      </c>
      <c r="I248" t="str">
        <f>VLOOKUP($A248, 'Medical Examinations'!A:K, 11, FALSE)</f>
        <v>yes</v>
      </c>
      <c r="J248" t="e">
        <f>VLOOKUP($A248, 'Medical Examinations'!A:B, 2, FALSE)</f>
        <v>#N/A</v>
      </c>
      <c r="K248" t="str">
        <f>VLOOKUP($A248, 'Medical Examinations'!A:D, 4, FALSE)</f>
        <v>Diabetes</v>
      </c>
    </row>
    <row r="249" spans="1:11" ht="15.5" x14ac:dyDescent="0.35">
      <c r="A249" s="1" t="s">
        <v>2124</v>
      </c>
      <c r="B249" t="str">
        <f>VLOOKUP($A249, 'Customer Names'!A:D, 3, FALSE)</f>
        <v>Wei</v>
      </c>
      <c r="C249">
        <f>VLOOKUP($A249,'Medical Examinations'!A:C, 3, FALSE)</f>
        <v>31.4</v>
      </c>
      <c r="D249" t="str">
        <f>VLOOKUP($A249, 'Medical Examinations'!A:D, 4, FALSE)</f>
        <v>Normal</v>
      </c>
      <c r="E249" t="str">
        <f>VLOOKUP($A249, 'Medical Examinations'!A:F, 6, FALSE)</f>
        <v>No</v>
      </c>
      <c r="F249" t="str">
        <f>VLOOKUP($A249, 'Medical Examinations'!A:G, 7, FALSE)</f>
        <v>No</v>
      </c>
      <c r="G249" t="str">
        <f>VLOOKUP($A249, 'Medical Examinations'!A:H, 8, FALSE)</f>
        <v>No</v>
      </c>
      <c r="H249" t="str">
        <f>VLOOKUP($A249, 'Medical Examinations'!A:J, 10, FALSE)</f>
        <v>No major surgery</v>
      </c>
      <c r="I249" t="str">
        <f>VLOOKUP($A249, 'Medical Examinations'!A:K, 11, FALSE)</f>
        <v>yes</v>
      </c>
      <c r="J249" t="str">
        <f>VLOOKUP($A249, 'Medical Examinations'!A:B, 2, FALSE)</f>
        <v>Obesity</v>
      </c>
      <c r="K249" t="str">
        <f>VLOOKUP($A249, 'Medical Examinations'!A:D, 4, FALSE)</f>
        <v>Normal</v>
      </c>
    </row>
    <row r="250" spans="1:11" ht="15.5" x14ac:dyDescent="0.35">
      <c r="A250" s="1" t="s">
        <v>2123</v>
      </c>
      <c r="B250" t="str">
        <f>VLOOKUP($A250, 'Customer Names'!A:D, 3, FALSE)</f>
        <v>Hayes</v>
      </c>
      <c r="C250">
        <f>VLOOKUP($A250,'Medical Examinations'!A:C, 3, FALSE)</f>
        <v>53.06</v>
      </c>
      <c r="D250" t="str">
        <f>VLOOKUP($A250, 'Medical Examinations'!A:D, 4, FALSE)</f>
        <v>Diabetes</v>
      </c>
      <c r="E250" t="str">
        <f>VLOOKUP($A250, 'Medical Examinations'!A:F, 6, FALSE)</f>
        <v>No</v>
      </c>
      <c r="F250" t="str">
        <f>VLOOKUP($A250, 'Medical Examinations'!A:G, 7, FALSE)</f>
        <v>No</v>
      </c>
      <c r="G250" t="str">
        <f>VLOOKUP($A250, 'Medical Examinations'!A:H, 8, FALSE)</f>
        <v>No</v>
      </c>
      <c r="H250" t="str">
        <f>VLOOKUP($A250, 'Medical Examinations'!A:J, 10, FALSE)</f>
        <v>No major surgery</v>
      </c>
      <c r="I250" t="str">
        <f>VLOOKUP($A250, 'Medical Examinations'!A:K, 11, FALSE)</f>
        <v>yes</v>
      </c>
      <c r="J250" t="str">
        <f>VLOOKUP($A250, 'Medical Examinations'!A:B, 2, FALSE)</f>
        <v>Obesity</v>
      </c>
      <c r="K250" t="str">
        <f>VLOOKUP($A250, 'Medical Examinations'!A:D, 4, FALSE)</f>
        <v>Diabetes</v>
      </c>
    </row>
    <row r="251" spans="1:11" ht="15.5" x14ac:dyDescent="0.35">
      <c r="A251" s="1" t="s">
        <v>2122</v>
      </c>
      <c r="B251" t="str">
        <f>VLOOKUP($A251, 'Customer Names'!A:D, 3, FALSE)</f>
        <v>Velardo</v>
      </c>
      <c r="C251">
        <f>VLOOKUP($A251,'Medical Examinations'!A:C, 3, FALSE)</f>
        <v>30.25</v>
      </c>
      <c r="D251" t="str">
        <f>VLOOKUP($A251, 'Medical Examinations'!A:D, 4, FALSE)</f>
        <v>Normal</v>
      </c>
      <c r="E251" t="str">
        <f>VLOOKUP($A251, 'Medical Examinations'!A:F, 6, FALSE)</f>
        <v>No</v>
      </c>
      <c r="F251" t="str">
        <f>VLOOKUP($A251, 'Medical Examinations'!A:G, 7, FALSE)</f>
        <v>No</v>
      </c>
      <c r="G251" t="str">
        <f>VLOOKUP($A251, 'Medical Examinations'!A:H, 8, FALSE)</f>
        <v>No</v>
      </c>
      <c r="H251">
        <f>VLOOKUP($A251, 'Medical Examinations'!A:J, 10, FALSE)</f>
        <v>2</v>
      </c>
      <c r="I251" t="str">
        <f>VLOOKUP($A251, 'Medical Examinations'!A:K, 11, FALSE)</f>
        <v>yes</v>
      </c>
      <c r="J251" t="str">
        <f>VLOOKUP($A251, 'Medical Examinations'!A:B, 2, FALSE)</f>
        <v>Obesity</v>
      </c>
      <c r="K251" t="str">
        <f>VLOOKUP($A251, 'Medical Examinations'!A:D, 4, FALSE)</f>
        <v>Normal</v>
      </c>
    </row>
    <row r="252" spans="1:11" ht="15.5" x14ac:dyDescent="0.35">
      <c r="A252" s="1" t="s">
        <v>2121</v>
      </c>
      <c r="B252" t="str">
        <f>VLOOKUP($A252, 'Customer Names'!A:D, 3, FALSE)</f>
        <v>Kastes</v>
      </c>
      <c r="C252">
        <f>VLOOKUP($A252,'Medical Examinations'!A:C, 3, FALSE)</f>
        <v>46.68</v>
      </c>
      <c r="D252" t="str">
        <f>VLOOKUP($A252, 'Medical Examinations'!A:D, 4, FALSE)</f>
        <v>Normal</v>
      </c>
      <c r="E252" t="str">
        <f>VLOOKUP($A252, 'Medical Examinations'!A:F, 6, FALSE)</f>
        <v>No</v>
      </c>
      <c r="F252" t="str">
        <f>VLOOKUP($A252, 'Medical Examinations'!A:G, 7, FALSE)</f>
        <v>No</v>
      </c>
      <c r="G252" t="str">
        <f>VLOOKUP($A252, 'Medical Examinations'!A:H, 8, FALSE)</f>
        <v>No</v>
      </c>
      <c r="H252" t="str">
        <f>VLOOKUP($A252, 'Medical Examinations'!A:J, 10, FALSE)</f>
        <v>No major surgery</v>
      </c>
      <c r="I252" t="str">
        <f>VLOOKUP($A252, 'Medical Examinations'!A:K, 11, FALSE)</f>
        <v>yes</v>
      </c>
      <c r="J252" t="str">
        <f>VLOOKUP($A252, 'Medical Examinations'!A:B, 2, FALSE)</f>
        <v>Obesity</v>
      </c>
      <c r="K252" t="str">
        <f>VLOOKUP($A252, 'Medical Examinations'!A:D, 4, FALSE)</f>
        <v>Normal</v>
      </c>
    </row>
    <row r="253" spans="1:11" ht="15.5" x14ac:dyDescent="0.35">
      <c r="A253" s="1" t="s">
        <v>2120</v>
      </c>
      <c r="B253" t="str">
        <f>VLOOKUP($A253, 'Customer Names'!A:D, 3, FALSE)</f>
        <v>Escorcia</v>
      </c>
      <c r="C253">
        <f>VLOOKUP($A253,'Medical Examinations'!A:C, 3, FALSE)</f>
        <v>30.4</v>
      </c>
      <c r="D253" t="str">
        <f>VLOOKUP($A253, 'Medical Examinations'!A:D, 4, FALSE)</f>
        <v>Prediabetes</v>
      </c>
      <c r="E253" t="str">
        <f>VLOOKUP($A253, 'Medical Examinations'!A:F, 6, FALSE)</f>
        <v>No</v>
      </c>
      <c r="F253" t="str">
        <f>VLOOKUP($A253, 'Medical Examinations'!A:G, 7, FALSE)</f>
        <v>yes</v>
      </c>
      <c r="G253" t="str">
        <f>VLOOKUP($A253, 'Medical Examinations'!A:H, 8, FALSE)</f>
        <v>No</v>
      </c>
      <c r="H253">
        <f>VLOOKUP($A253, 'Medical Examinations'!A:J, 10, FALSE)</f>
        <v>2</v>
      </c>
      <c r="I253" t="str">
        <f>VLOOKUP($A253, 'Medical Examinations'!A:K, 11, FALSE)</f>
        <v>yes</v>
      </c>
      <c r="J253" t="str">
        <f>VLOOKUP($A253, 'Medical Examinations'!A:B, 2, FALSE)</f>
        <v>Obesity</v>
      </c>
      <c r="K253" t="str">
        <f>VLOOKUP($A253, 'Medical Examinations'!A:D, 4, FALSE)</f>
        <v>Prediabetes</v>
      </c>
    </row>
    <row r="254" spans="1:11" ht="15.5" x14ac:dyDescent="0.35">
      <c r="A254" s="1" t="s">
        <v>2119</v>
      </c>
      <c r="B254" t="str">
        <f>VLOOKUP($A254, 'Customer Names'!A:D, 3, FALSE)</f>
        <v>Larscheid</v>
      </c>
      <c r="C254">
        <f>VLOOKUP($A254,'Medical Examinations'!A:C, 3, FALSE)</f>
        <v>30.2</v>
      </c>
      <c r="D254" t="str">
        <f>VLOOKUP($A254, 'Medical Examinations'!A:D, 4, FALSE)</f>
        <v>Normal</v>
      </c>
      <c r="E254" t="str">
        <f>VLOOKUP($A254, 'Medical Examinations'!A:F, 6, FALSE)</f>
        <v>yes</v>
      </c>
      <c r="F254" t="str">
        <f>VLOOKUP($A254, 'Medical Examinations'!A:G, 7, FALSE)</f>
        <v>No</v>
      </c>
      <c r="G254" t="str">
        <f>VLOOKUP($A254, 'Medical Examinations'!A:H, 8, FALSE)</f>
        <v>Yes</v>
      </c>
      <c r="H254">
        <f>VLOOKUP($A254, 'Medical Examinations'!A:J, 10, FALSE)</f>
        <v>1</v>
      </c>
      <c r="I254" t="str">
        <f>VLOOKUP($A254, 'Medical Examinations'!A:K, 11, FALSE)</f>
        <v>yes</v>
      </c>
      <c r="J254" t="str">
        <f>VLOOKUP($A254, 'Medical Examinations'!A:B, 2, FALSE)</f>
        <v>Obesity</v>
      </c>
      <c r="K254" t="str">
        <f>VLOOKUP($A254, 'Medical Examinations'!A:D, 4, FALSE)</f>
        <v>Normal</v>
      </c>
    </row>
    <row r="255" spans="1:11" ht="15.5" x14ac:dyDescent="0.35">
      <c r="A255" s="1" t="s">
        <v>2118</v>
      </c>
      <c r="B255" t="str">
        <f>VLOOKUP($A255, 'Customer Names'!A:D, 3, FALSE)</f>
        <v>O'Bannon</v>
      </c>
      <c r="C255">
        <f>VLOOKUP($A255,'Medical Examinations'!A:C, 3, FALSE)</f>
        <v>51.18</v>
      </c>
      <c r="D255" t="str">
        <f>VLOOKUP($A255, 'Medical Examinations'!A:D, 4, FALSE)</f>
        <v>Normal</v>
      </c>
      <c r="E255" t="str">
        <f>VLOOKUP($A255, 'Medical Examinations'!A:F, 6, FALSE)</f>
        <v>yes</v>
      </c>
      <c r="F255" t="str">
        <f>VLOOKUP($A255, 'Medical Examinations'!A:G, 7, FALSE)</f>
        <v>yes</v>
      </c>
      <c r="G255" t="str">
        <f>VLOOKUP($A255, 'Medical Examinations'!A:H, 8, FALSE)</f>
        <v>No</v>
      </c>
      <c r="H255">
        <f>VLOOKUP($A255, 'Medical Examinations'!A:J, 10, FALSE)</f>
        <v>2</v>
      </c>
      <c r="I255" t="str">
        <f>VLOOKUP($A255, 'Medical Examinations'!A:K, 11, FALSE)</f>
        <v>yes</v>
      </c>
      <c r="J255" t="str">
        <f>VLOOKUP($A255, 'Medical Examinations'!A:B, 2, FALSE)</f>
        <v>Obesity</v>
      </c>
      <c r="K255" t="str">
        <f>VLOOKUP($A255, 'Medical Examinations'!A:D, 4, FALSE)</f>
        <v>Normal</v>
      </c>
    </row>
    <row r="256" spans="1:11" ht="15.5" x14ac:dyDescent="0.35">
      <c r="A256" s="1" t="s">
        <v>2117</v>
      </c>
      <c r="B256" t="str">
        <f>VLOOKUP($A256, 'Customer Names'!A:D, 3, FALSE)</f>
        <v>Ridgway</v>
      </c>
      <c r="C256">
        <f>VLOOKUP($A256,'Medical Examinations'!A:C, 3, FALSE)</f>
        <v>22.18</v>
      </c>
      <c r="D256" t="str">
        <f>VLOOKUP($A256, 'Medical Examinations'!A:D, 4, FALSE)</f>
        <v>Diabetes</v>
      </c>
      <c r="E256" t="str">
        <f>VLOOKUP($A256, 'Medical Examinations'!A:F, 6, FALSE)</f>
        <v>No</v>
      </c>
      <c r="F256" t="str">
        <f>VLOOKUP($A256, 'Medical Examinations'!A:G, 7, FALSE)</f>
        <v>No</v>
      </c>
      <c r="G256" t="str">
        <f>VLOOKUP($A256, 'Medical Examinations'!A:H, 8, FALSE)</f>
        <v>No</v>
      </c>
      <c r="H256" t="str">
        <f>VLOOKUP($A256, 'Medical Examinations'!A:J, 10, FALSE)</f>
        <v>No major surgery</v>
      </c>
      <c r="I256" t="str">
        <f>VLOOKUP($A256, 'Medical Examinations'!A:K, 11, FALSE)</f>
        <v>yes</v>
      </c>
      <c r="J256" t="str">
        <f>VLOOKUP($A256, 'Medical Examinations'!A:B, 2, FALSE)</f>
        <v>Normal Weight</v>
      </c>
      <c r="K256" t="str">
        <f>VLOOKUP($A256, 'Medical Examinations'!A:D, 4, FALSE)</f>
        <v>Diabetes</v>
      </c>
    </row>
    <row r="257" spans="1:11" ht="15.5" x14ac:dyDescent="0.35">
      <c r="A257" s="1" t="s">
        <v>2116</v>
      </c>
      <c r="B257" t="str">
        <f>VLOOKUP($A257, 'Customer Names'!A:D, 3, FALSE)</f>
        <v>Black</v>
      </c>
      <c r="C257">
        <f>VLOOKUP($A257,'Medical Examinations'!A:C, 3, FALSE)</f>
        <v>31.92</v>
      </c>
      <c r="D257" t="str">
        <f>VLOOKUP($A257, 'Medical Examinations'!A:D, 4, FALSE)</f>
        <v>Normal</v>
      </c>
      <c r="E257" t="str">
        <f>VLOOKUP($A257, 'Medical Examinations'!A:F, 6, FALSE)</f>
        <v>No</v>
      </c>
      <c r="F257" t="str">
        <f>VLOOKUP($A257, 'Medical Examinations'!A:G, 7, FALSE)</f>
        <v>No</v>
      </c>
      <c r="G257" t="str">
        <f>VLOOKUP($A257, 'Medical Examinations'!A:H, 8, FALSE)</f>
        <v>Yes</v>
      </c>
      <c r="H257">
        <f>VLOOKUP($A257, 'Medical Examinations'!A:J, 10, FALSE)</f>
        <v>1</v>
      </c>
      <c r="I257" t="str">
        <f>VLOOKUP($A257, 'Medical Examinations'!A:K, 11, FALSE)</f>
        <v>yes</v>
      </c>
      <c r="J257" t="str">
        <f>VLOOKUP($A257, 'Medical Examinations'!A:B, 2, FALSE)</f>
        <v>Obesity</v>
      </c>
      <c r="K257" t="str">
        <f>VLOOKUP($A257, 'Medical Examinations'!A:D, 4, FALSE)</f>
        <v>Normal</v>
      </c>
    </row>
    <row r="258" spans="1:11" ht="15.5" x14ac:dyDescent="0.35">
      <c r="A258" s="1" t="s">
        <v>2115</v>
      </c>
      <c r="B258" t="str">
        <f>VLOOKUP($A258, 'Customer Names'!A:D, 3, FALSE)</f>
        <v>Canton</v>
      </c>
      <c r="C258">
        <f>VLOOKUP($A258,'Medical Examinations'!A:C, 3, FALSE)</f>
        <v>31.73</v>
      </c>
      <c r="D258" t="str">
        <f>VLOOKUP($A258, 'Medical Examinations'!A:D, 4, FALSE)</f>
        <v>Prediabetes</v>
      </c>
      <c r="E258" t="str">
        <f>VLOOKUP($A258, 'Medical Examinations'!A:F, 6, FALSE)</f>
        <v>No</v>
      </c>
      <c r="F258" t="str">
        <f>VLOOKUP($A258, 'Medical Examinations'!A:G, 7, FALSE)</f>
        <v>yes</v>
      </c>
      <c r="G258" t="str">
        <f>VLOOKUP($A258, 'Medical Examinations'!A:H, 8, FALSE)</f>
        <v>No</v>
      </c>
      <c r="H258">
        <f>VLOOKUP($A258, 'Medical Examinations'!A:J, 10, FALSE)</f>
        <v>1</v>
      </c>
      <c r="I258" t="str">
        <f>VLOOKUP($A258, 'Medical Examinations'!A:K, 11, FALSE)</f>
        <v>yes</v>
      </c>
      <c r="J258" t="str">
        <f>VLOOKUP($A258, 'Medical Examinations'!A:B, 2, FALSE)</f>
        <v>Obesity</v>
      </c>
      <c r="K258" t="str">
        <f>VLOOKUP($A258, 'Medical Examinations'!A:D, 4, FALSE)</f>
        <v>Prediabetes</v>
      </c>
    </row>
    <row r="259" spans="1:11" ht="15.5" x14ac:dyDescent="0.35">
      <c r="A259" s="1" t="s">
        <v>2114</v>
      </c>
      <c r="B259" t="str">
        <f>VLOOKUP($A259, 'Customer Names'!A:D, 3, FALSE)</f>
        <v>Fine</v>
      </c>
      <c r="C259">
        <f>VLOOKUP($A259,'Medical Examinations'!A:C, 3, FALSE)</f>
        <v>45.52</v>
      </c>
      <c r="D259" t="str">
        <f>VLOOKUP($A259, 'Medical Examinations'!A:D, 4, FALSE)</f>
        <v>Prediabetes</v>
      </c>
      <c r="E259" t="str">
        <f>VLOOKUP($A259, 'Medical Examinations'!A:F, 6, FALSE)</f>
        <v>No</v>
      </c>
      <c r="F259" t="str">
        <f>VLOOKUP($A259, 'Medical Examinations'!A:G, 7, FALSE)</f>
        <v>No</v>
      </c>
      <c r="G259" t="str">
        <f>VLOOKUP($A259, 'Medical Examinations'!A:H, 8, FALSE)</f>
        <v>Yes</v>
      </c>
      <c r="H259">
        <f>VLOOKUP($A259, 'Medical Examinations'!A:J, 10, FALSE)</f>
        <v>1</v>
      </c>
      <c r="I259" t="str">
        <f>VLOOKUP($A259, 'Medical Examinations'!A:K, 11, FALSE)</f>
        <v>yes</v>
      </c>
      <c r="J259" t="str">
        <f>VLOOKUP($A259, 'Medical Examinations'!A:B, 2, FALSE)</f>
        <v>Obesity</v>
      </c>
      <c r="K259" t="str">
        <f>VLOOKUP($A259, 'Medical Examinations'!A:D, 4, FALSE)</f>
        <v>Prediabetes</v>
      </c>
    </row>
    <row r="260" spans="1:11" ht="15.5" x14ac:dyDescent="0.35">
      <c r="A260" s="1" t="s">
        <v>2113</v>
      </c>
      <c r="B260" t="str">
        <f>VLOOKUP($A260, 'Customer Names'!A:D, 3, FALSE)</f>
        <v>Bui</v>
      </c>
      <c r="C260">
        <f>VLOOKUP($A260,'Medical Examinations'!A:C, 3, FALSE)</f>
        <v>52.81</v>
      </c>
      <c r="D260" t="str">
        <f>VLOOKUP($A260, 'Medical Examinations'!A:D, 4, FALSE)</f>
        <v>Normal</v>
      </c>
      <c r="E260" t="str">
        <f>VLOOKUP($A260, 'Medical Examinations'!A:F, 6, FALSE)</f>
        <v>No</v>
      </c>
      <c r="F260" t="str">
        <f>VLOOKUP($A260, 'Medical Examinations'!A:G, 7, FALSE)</f>
        <v>No</v>
      </c>
      <c r="G260" t="str">
        <f>VLOOKUP($A260, 'Medical Examinations'!A:H, 8, FALSE)</f>
        <v>Yes</v>
      </c>
      <c r="H260">
        <f>VLOOKUP($A260, 'Medical Examinations'!A:J, 10, FALSE)</f>
        <v>1</v>
      </c>
      <c r="I260" t="str">
        <f>VLOOKUP($A260, 'Medical Examinations'!A:K, 11, FALSE)</f>
        <v>yes</v>
      </c>
      <c r="J260" t="str">
        <f>VLOOKUP($A260, 'Medical Examinations'!A:B, 2, FALSE)</f>
        <v>Obesity</v>
      </c>
      <c r="K260" t="str">
        <f>VLOOKUP($A260, 'Medical Examinations'!A:D, 4, FALSE)</f>
        <v>Normal</v>
      </c>
    </row>
    <row r="261" spans="1:11" ht="15.5" x14ac:dyDescent="0.35">
      <c r="A261" s="1" t="s">
        <v>2112</v>
      </c>
      <c r="B261" t="str">
        <f>VLOOKUP($A261, 'Customer Names'!A:D, 3, FALSE)</f>
        <v>Riepma</v>
      </c>
      <c r="C261">
        <f>VLOOKUP($A261,'Medical Examinations'!A:C, 3, FALSE)</f>
        <v>33.58</v>
      </c>
      <c r="D261" t="str">
        <f>VLOOKUP($A261, 'Medical Examinations'!A:D, 4, FALSE)</f>
        <v>Normal</v>
      </c>
      <c r="E261" t="str">
        <f>VLOOKUP($A261, 'Medical Examinations'!A:F, 6, FALSE)</f>
        <v>No</v>
      </c>
      <c r="F261" t="str">
        <f>VLOOKUP($A261, 'Medical Examinations'!A:G, 7, FALSE)</f>
        <v>No</v>
      </c>
      <c r="G261" t="str">
        <f>VLOOKUP($A261, 'Medical Examinations'!A:H, 8, FALSE)</f>
        <v>No</v>
      </c>
      <c r="H261">
        <f>VLOOKUP($A261, 'Medical Examinations'!A:J, 10, FALSE)</f>
        <v>1</v>
      </c>
      <c r="I261" t="str">
        <f>VLOOKUP($A261, 'Medical Examinations'!A:K, 11, FALSE)</f>
        <v>yes</v>
      </c>
      <c r="J261" t="str">
        <f>VLOOKUP($A261, 'Medical Examinations'!A:B, 2, FALSE)</f>
        <v>Obesity</v>
      </c>
      <c r="K261" t="str">
        <f>VLOOKUP($A261, 'Medical Examinations'!A:D, 4, FALSE)</f>
        <v>Normal</v>
      </c>
    </row>
    <row r="262" spans="1:11" ht="15.5" x14ac:dyDescent="0.35">
      <c r="A262" s="1" t="s">
        <v>2111</v>
      </c>
      <c r="B262" t="str">
        <f>VLOOKUP($A262, 'Customer Names'!A:D, 3, FALSE)</f>
        <v>Inman</v>
      </c>
      <c r="C262">
        <f>VLOOKUP($A262,'Medical Examinations'!A:C, 3, FALSE)</f>
        <v>30.684999999999999</v>
      </c>
      <c r="D262" t="str">
        <f>VLOOKUP($A262, 'Medical Examinations'!A:D, 4, FALSE)</f>
        <v>Diabetes</v>
      </c>
      <c r="E262" t="str">
        <f>VLOOKUP($A262, 'Medical Examinations'!A:F, 6, FALSE)</f>
        <v>No</v>
      </c>
      <c r="F262" t="str">
        <f>VLOOKUP($A262, 'Medical Examinations'!A:G, 7, FALSE)</f>
        <v>No</v>
      </c>
      <c r="G262" t="str">
        <f>VLOOKUP($A262, 'Medical Examinations'!A:H, 8, FALSE)</f>
        <v>No</v>
      </c>
      <c r="H262" t="str">
        <f>VLOOKUP($A262, 'Medical Examinations'!A:J, 10, FALSE)</f>
        <v>No major surgery</v>
      </c>
      <c r="I262" t="str">
        <f>VLOOKUP($A262, 'Medical Examinations'!A:K, 11, FALSE)</f>
        <v>yes</v>
      </c>
      <c r="J262" t="str">
        <f>VLOOKUP($A262, 'Medical Examinations'!A:B, 2, FALSE)</f>
        <v>Obesity</v>
      </c>
      <c r="K262" t="str">
        <f>VLOOKUP($A262, 'Medical Examinations'!A:D, 4, FALSE)</f>
        <v>Diabetes</v>
      </c>
    </row>
    <row r="263" spans="1:11" ht="15.5" x14ac:dyDescent="0.35">
      <c r="A263" s="1" t="s">
        <v>2110</v>
      </c>
      <c r="B263" t="str">
        <f>VLOOKUP($A263, 'Customer Names'!A:D, 3, FALSE)</f>
        <v>Kruzel</v>
      </c>
      <c r="C263">
        <f>VLOOKUP($A263,'Medical Examinations'!A:C, 3, FALSE)</f>
        <v>37.524999999999999</v>
      </c>
      <c r="D263" t="str">
        <f>VLOOKUP($A263, 'Medical Examinations'!A:D, 4, FALSE)</f>
        <v>Diabetes</v>
      </c>
      <c r="E263" t="str">
        <f>VLOOKUP($A263, 'Medical Examinations'!A:F, 6, FALSE)</f>
        <v>yes</v>
      </c>
      <c r="F263" t="str">
        <f>VLOOKUP($A263, 'Medical Examinations'!A:G, 7, FALSE)</f>
        <v>No</v>
      </c>
      <c r="G263" t="str">
        <f>VLOOKUP($A263, 'Medical Examinations'!A:H, 8, FALSE)</f>
        <v>No</v>
      </c>
      <c r="H263">
        <f>VLOOKUP($A263, 'Medical Examinations'!A:J, 10, FALSE)</f>
        <v>2</v>
      </c>
      <c r="I263" t="str">
        <f>VLOOKUP($A263, 'Medical Examinations'!A:K, 11, FALSE)</f>
        <v>No</v>
      </c>
      <c r="J263" t="str">
        <f>VLOOKUP($A263, 'Medical Examinations'!A:B, 2, FALSE)</f>
        <v>Obesity</v>
      </c>
      <c r="K263" t="str">
        <f>VLOOKUP($A263, 'Medical Examinations'!A:D, 4, FALSE)</f>
        <v>Diabetes</v>
      </c>
    </row>
    <row r="264" spans="1:11" ht="15.5" x14ac:dyDescent="0.35">
      <c r="A264" s="1" t="s">
        <v>2109</v>
      </c>
      <c r="B264" t="str">
        <f>VLOOKUP($A264, 'Customer Names'!A:D, 3, FALSE)</f>
        <v>Lindsay</v>
      </c>
      <c r="C264">
        <f>VLOOKUP($A264,'Medical Examinations'!A:C, 3, FALSE)</f>
        <v>34.5</v>
      </c>
      <c r="D264" t="str">
        <f>VLOOKUP($A264, 'Medical Examinations'!A:D, 4, FALSE)</f>
        <v>Normal</v>
      </c>
      <c r="E264" t="str">
        <f>VLOOKUP($A264, 'Medical Examinations'!A:F, 6, FALSE)</f>
        <v>yes</v>
      </c>
      <c r="F264" t="str">
        <f>VLOOKUP($A264, 'Medical Examinations'!A:G, 7, FALSE)</f>
        <v>No</v>
      </c>
      <c r="G264" t="str">
        <f>VLOOKUP($A264, 'Medical Examinations'!A:H, 8, FALSE)</f>
        <v>No</v>
      </c>
      <c r="H264" t="str">
        <f>VLOOKUP($A264, 'Medical Examinations'!A:J, 10, FALSE)</f>
        <v>No major surgery</v>
      </c>
      <c r="I264" t="str">
        <f>VLOOKUP($A264, 'Medical Examinations'!A:K, 11, FALSE)</f>
        <v>yes</v>
      </c>
      <c r="J264" t="str">
        <f>VLOOKUP($A264, 'Medical Examinations'!A:B, 2, FALSE)</f>
        <v>Obesity</v>
      </c>
      <c r="K264" t="str">
        <f>VLOOKUP($A264, 'Medical Examinations'!A:D, 4, FALSE)</f>
        <v>Normal</v>
      </c>
    </row>
    <row r="265" spans="1:11" ht="15.5" x14ac:dyDescent="0.35">
      <c r="A265" s="1" t="s">
        <v>2108</v>
      </c>
      <c r="B265" t="str">
        <f>VLOOKUP($A265, 'Customer Names'!A:D, 3, FALSE)</f>
        <v>Land</v>
      </c>
      <c r="C265">
        <f>VLOOKUP($A265,'Medical Examinations'!A:C, 3, FALSE)</f>
        <v>28.16</v>
      </c>
      <c r="D265" t="str">
        <f>VLOOKUP($A265, 'Medical Examinations'!A:D, 4, FALSE)</f>
        <v>Prediabetes</v>
      </c>
      <c r="E265" t="str">
        <f>VLOOKUP($A265, 'Medical Examinations'!A:F, 6, FALSE)</f>
        <v>No</v>
      </c>
      <c r="F265" t="str">
        <f>VLOOKUP($A265, 'Medical Examinations'!A:G, 7, FALSE)</f>
        <v>No</v>
      </c>
      <c r="G265" t="str">
        <f>VLOOKUP($A265, 'Medical Examinations'!A:H, 8, FALSE)</f>
        <v>No</v>
      </c>
      <c r="H265">
        <f>VLOOKUP($A265, 'Medical Examinations'!A:J, 10, FALSE)</f>
        <v>2</v>
      </c>
      <c r="I265" t="str">
        <f>VLOOKUP($A265, 'Medical Examinations'!A:K, 11, FALSE)</f>
        <v>yes</v>
      </c>
      <c r="J265" t="str">
        <f>VLOOKUP($A265, 'Medical Examinations'!A:B, 2, FALSE)</f>
        <v>Overweight</v>
      </c>
      <c r="K265" t="str">
        <f>VLOOKUP($A265, 'Medical Examinations'!A:D, 4, FALSE)</f>
        <v>Prediabetes</v>
      </c>
    </row>
    <row r="266" spans="1:11" ht="15.5" x14ac:dyDescent="0.35">
      <c r="A266" s="1" t="s">
        <v>2107</v>
      </c>
      <c r="B266" t="str">
        <f>VLOOKUP($A266, 'Customer Names'!A:D, 3, FALSE)</f>
        <v>Brecher</v>
      </c>
      <c r="C266">
        <f>VLOOKUP($A266,'Medical Examinations'!A:C, 3, FALSE)</f>
        <v>30.02</v>
      </c>
      <c r="D266" t="str">
        <f>VLOOKUP($A266, 'Medical Examinations'!A:D, 4, FALSE)</f>
        <v>Prediabetes</v>
      </c>
      <c r="E266" t="str">
        <f>VLOOKUP($A266, 'Medical Examinations'!A:F, 6, FALSE)</f>
        <v>No</v>
      </c>
      <c r="F266" t="str">
        <f>VLOOKUP($A266, 'Medical Examinations'!A:G, 7, FALSE)</f>
        <v>No</v>
      </c>
      <c r="G266" t="str">
        <f>VLOOKUP($A266, 'Medical Examinations'!A:H, 8, FALSE)</f>
        <v>Yes</v>
      </c>
      <c r="H266">
        <f>VLOOKUP($A266, 'Medical Examinations'!A:J, 10, FALSE)</f>
        <v>1</v>
      </c>
      <c r="I266" t="str">
        <f>VLOOKUP($A266, 'Medical Examinations'!A:K, 11, FALSE)</f>
        <v>yes</v>
      </c>
      <c r="J266" t="str">
        <f>VLOOKUP($A266, 'Medical Examinations'!A:B, 2, FALSE)</f>
        <v>Obesity</v>
      </c>
      <c r="K266" t="str">
        <f>VLOOKUP($A266, 'Medical Examinations'!A:D, 4, FALSE)</f>
        <v>Prediabetes</v>
      </c>
    </row>
    <row r="267" spans="1:11" ht="15.5" x14ac:dyDescent="0.35">
      <c r="A267" s="1" t="s">
        <v>2106</v>
      </c>
      <c r="B267" t="str">
        <f>VLOOKUP($A267, 'Customer Names'!A:D, 3, FALSE)</f>
        <v>Debolt</v>
      </c>
      <c r="C267">
        <f>VLOOKUP($A267,'Medical Examinations'!A:C, 3, FALSE)</f>
        <v>37.82</v>
      </c>
      <c r="D267" t="str">
        <f>VLOOKUP($A267, 'Medical Examinations'!A:D, 4, FALSE)</f>
        <v>Prediabetes</v>
      </c>
      <c r="E267" t="str">
        <f>VLOOKUP($A267, 'Medical Examinations'!A:F, 6, FALSE)</f>
        <v>No</v>
      </c>
      <c r="F267" t="str">
        <f>VLOOKUP($A267, 'Medical Examinations'!A:G, 7, FALSE)</f>
        <v>No</v>
      </c>
      <c r="G267" t="str">
        <f>VLOOKUP($A267, 'Medical Examinations'!A:H, 8, FALSE)</f>
        <v>No</v>
      </c>
      <c r="H267" t="str">
        <f>VLOOKUP($A267, 'Medical Examinations'!A:J, 10, FALSE)</f>
        <v>No major surgery</v>
      </c>
      <c r="I267" t="str">
        <f>VLOOKUP($A267, 'Medical Examinations'!A:K, 11, FALSE)</f>
        <v>yes</v>
      </c>
      <c r="J267" t="str">
        <f>VLOOKUP($A267, 'Medical Examinations'!A:B, 2, FALSE)</f>
        <v>Obesity</v>
      </c>
      <c r="K267" t="str">
        <f>VLOOKUP($A267, 'Medical Examinations'!A:D, 4, FALSE)</f>
        <v>Prediabetes</v>
      </c>
    </row>
    <row r="268" spans="1:11" ht="15.5" x14ac:dyDescent="0.35">
      <c r="A268" s="1" t="s">
        <v>2105</v>
      </c>
      <c r="B268" t="str">
        <f>VLOOKUP($A268, 'Customer Names'!A:D, 3, FALSE)</f>
        <v>Oswalt</v>
      </c>
      <c r="C268">
        <f>VLOOKUP($A268,'Medical Examinations'!A:C, 3, FALSE)</f>
        <v>33.14</v>
      </c>
      <c r="D268" t="str">
        <f>VLOOKUP($A268, 'Medical Examinations'!A:D, 4, FALSE)</f>
        <v>Normal</v>
      </c>
      <c r="E268" t="str">
        <f>VLOOKUP($A268, 'Medical Examinations'!A:F, 6, FALSE)</f>
        <v>yes</v>
      </c>
      <c r="F268" t="str">
        <f>VLOOKUP($A268, 'Medical Examinations'!A:G, 7, FALSE)</f>
        <v>No</v>
      </c>
      <c r="G268" t="str">
        <f>VLOOKUP($A268, 'Medical Examinations'!A:H, 8, FALSE)</f>
        <v>No</v>
      </c>
      <c r="H268" t="str">
        <f>VLOOKUP($A268, 'Medical Examinations'!A:J, 10, FALSE)</f>
        <v>No major surgery</v>
      </c>
      <c r="I268" t="str">
        <f>VLOOKUP($A268, 'Medical Examinations'!A:K, 11, FALSE)</f>
        <v>yes</v>
      </c>
      <c r="J268" t="str">
        <f>VLOOKUP($A268, 'Medical Examinations'!A:B, 2, FALSE)</f>
        <v>Obesity</v>
      </c>
      <c r="K268" t="str">
        <f>VLOOKUP($A268, 'Medical Examinations'!A:D, 4, FALSE)</f>
        <v>Normal</v>
      </c>
    </row>
    <row r="269" spans="1:11" ht="15.5" x14ac:dyDescent="0.35">
      <c r="A269" s="1" t="s">
        <v>2104</v>
      </c>
      <c r="B269" t="str">
        <f>VLOOKUP($A269, 'Customer Names'!A:D, 3, FALSE)</f>
        <v>Boyd</v>
      </c>
      <c r="C269">
        <f>VLOOKUP($A269,'Medical Examinations'!A:C, 3, FALSE)</f>
        <v>25.14</v>
      </c>
      <c r="D269" t="str">
        <f>VLOOKUP($A269, 'Medical Examinations'!A:D, 4, FALSE)</f>
        <v>Prediabetes</v>
      </c>
      <c r="E269" t="str">
        <f>VLOOKUP($A269, 'Medical Examinations'!A:F, 6, FALSE)</f>
        <v>yes</v>
      </c>
      <c r="F269" t="str">
        <f>VLOOKUP($A269, 'Medical Examinations'!A:G, 7, FALSE)</f>
        <v>No</v>
      </c>
      <c r="G269" t="str">
        <f>VLOOKUP($A269, 'Medical Examinations'!A:H, 8, FALSE)</f>
        <v>Yes</v>
      </c>
      <c r="H269">
        <f>VLOOKUP($A269, 'Medical Examinations'!A:J, 10, FALSE)</f>
        <v>1</v>
      </c>
      <c r="I269" t="str">
        <f>VLOOKUP($A269, 'Medical Examinations'!A:K, 11, FALSE)</f>
        <v>yes</v>
      </c>
      <c r="J269" t="str">
        <f>VLOOKUP($A269, 'Medical Examinations'!A:B, 2, FALSE)</f>
        <v>Overweight</v>
      </c>
      <c r="K269" t="str">
        <f>VLOOKUP($A269, 'Medical Examinations'!A:D, 4, FALSE)</f>
        <v>Prediabetes</v>
      </c>
    </row>
    <row r="270" spans="1:11" ht="15.5" x14ac:dyDescent="0.35">
      <c r="A270" s="1" t="s">
        <v>2103</v>
      </c>
      <c r="B270" t="str">
        <f>VLOOKUP($A270, 'Customer Names'!A:D, 3, FALSE)</f>
        <v>Bulewich</v>
      </c>
      <c r="C270">
        <f>VLOOKUP($A270,'Medical Examinations'!A:C, 3, FALSE)</f>
        <v>20.18</v>
      </c>
      <c r="D270" t="str">
        <f>VLOOKUP($A270, 'Medical Examinations'!A:D, 4, FALSE)</f>
        <v>Diabetes</v>
      </c>
      <c r="E270" t="str">
        <f>VLOOKUP($A270, 'Medical Examinations'!A:F, 6, FALSE)</f>
        <v>No</v>
      </c>
      <c r="F270" t="str">
        <f>VLOOKUP($A270, 'Medical Examinations'!A:G, 7, FALSE)</f>
        <v>No</v>
      </c>
      <c r="G270" t="str">
        <f>VLOOKUP($A270, 'Medical Examinations'!A:H, 8, FALSE)</f>
        <v>No</v>
      </c>
      <c r="H270" t="str">
        <f>VLOOKUP($A270, 'Medical Examinations'!A:J, 10, FALSE)</f>
        <v>No major surgery</v>
      </c>
      <c r="I270" t="str">
        <f>VLOOKUP($A270, 'Medical Examinations'!A:K, 11, FALSE)</f>
        <v>yes</v>
      </c>
      <c r="J270" t="str">
        <f>VLOOKUP($A270, 'Medical Examinations'!A:B, 2, FALSE)</f>
        <v>Normal Weight</v>
      </c>
      <c r="K270" t="str">
        <f>VLOOKUP($A270, 'Medical Examinations'!A:D, 4, FALSE)</f>
        <v>Diabetes</v>
      </c>
    </row>
    <row r="271" spans="1:11" ht="15.5" x14ac:dyDescent="0.35">
      <c r="A271" s="1" t="s">
        <v>2102</v>
      </c>
      <c r="B271" t="str">
        <f>VLOOKUP($A271, 'Customer Names'!A:D, 3, FALSE)</f>
        <v>Fukuda</v>
      </c>
      <c r="C271">
        <f>VLOOKUP($A271,'Medical Examinations'!A:C, 3, FALSE)</f>
        <v>44.36</v>
      </c>
      <c r="D271" t="str">
        <f>VLOOKUP($A271, 'Medical Examinations'!A:D, 4, FALSE)</f>
        <v>Normal</v>
      </c>
      <c r="E271" t="str">
        <f>VLOOKUP($A271, 'Medical Examinations'!A:F, 6, FALSE)</f>
        <v>No</v>
      </c>
      <c r="F271" t="str">
        <f>VLOOKUP($A271, 'Medical Examinations'!A:G, 7, FALSE)</f>
        <v>No</v>
      </c>
      <c r="G271" t="str">
        <f>VLOOKUP($A271, 'Medical Examinations'!A:H, 8, FALSE)</f>
        <v>No</v>
      </c>
      <c r="H271" t="str">
        <f>VLOOKUP($A271, 'Medical Examinations'!A:J, 10, FALSE)</f>
        <v>No major surgery</v>
      </c>
      <c r="I271" t="str">
        <f>VLOOKUP($A271, 'Medical Examinations'!A:K, 11, FALSE)</f>
        <v>yes</v>
      </c>
      <c r="J271" t="str">
        <f>VLOOKUP($A271, 'Medical Examinations'!A:B, 2, FALSE)</f>
        <v>Obesity</v>
      </c>
      <c r="K271" t="str">
        <f>VLOOKUP($A271, 'Medical Examinations'!A:D, 4, FALSE)</f>
        <v>Normal</v>
      </c>
    </row>
    <row r="272" spans="1:11" ht="15.5" x14ac:dyDescent="0.35">
      <c r="A272" s="1" t="s">
        <v>2101</v>
      </c>
      <c r="B272" t="str">
        <f>VLOOKUP($A272, 'Customer Names'!A:D, 3, FALSE)</f>
        <v>Phillips</v>
      </c>
      <c r="C272">
        <f>VLOOKUP($A272,'Medical Examinations'!A:C, 3, FALSE)</f>
        <v>23.82</v>
      </c>
      <c r="D272" t="str">
        <f>VLOOKUP($A272, 'Medical Examinations'!A:D, 4, FALSE)</f>
        <v>Diabetes</v>
      </c>
      <c r="E272" t="str">
        <f>VLOOKUP($A272, 'Medical Examinations'!A:F, 6, FALSE)</f>
        <v>yes</v>
      </c>
      <c r="F272" t="str">
        <f>VLOOKUP($A272, 'Medical Examinations'!A:G, 7, FALSE)</f>
        <v>No</v>
      </c>
      <c r="G272" t="str">
        <f>VLOOKUP($A272, 'Medical Examinations'!A:H, 8, FALSE)</f>
        <v>No</v>
      </c>
      <c r="H272" t="str">
        <f>VLOOKUP($A272, 'Medical Examinations'!A:J, 10, FALSE)</f>
        <v>No major surgery</v>
      </c>
      <c r="I272" t="str">
        <f>VLOOKUP($A272, 'Medical Examinations'!A:K, 11, FALSE)</f>
        <v>yes</v>
      </c>
      <c r="J272" t="str">
        <f>VLOOKUP($A272, 'Medical Examinations'!A:B, 2, FALSE)</f>
        <v>Normal Weight</v>
      </c>
      <c r="K272" t="str">
        <f>VLOOKUP($A272, 'Medical Examinations'!A:D, 4, FALSE)</f>
        <v>Diabetes</v>
      </c>
    </row>
    <row r="273" spans="1:11" ht="15.5" x14ac:dyDescent="0.35">
      <c r="A273" s="1" t="s">
        <v>2100</v>
      </c>
      <c r="B273" t="str">
        <f>VLOOKUP($A273, 'Customer Names'!A:D, 3, FALSE)</f>
        <v>Maddison</v>
      </c>
      <c r="C273">
        <f>VLOOKUP($A273,'Medical Examinations'!A:C, 3, FALSE)</f>
        <v>45</v>
      </c>
      <c r="D273" t="str">
        <f>VLOOKUP($A273, 'Medical Examinations'!A:D, 4, FALSE)</f>
        <v>Normal</v>
      </c>
      <c r="E273" t="str">
        <f>VLOOKUP($A273, 'Medical Examinations'!A:F, 6, FALSE)</f>
        <v>yes</v>
      </c>
      <c r="F273" t="str">
        <f>VLOOKUP($A273, 'Medical Examinations'!A:G, 7, FALSE)</f>
        <v>No</v>
      </c>
      <c r="G273" t="str">
        <f>VLOOKUP($A273, 'Medical Examinations'!A:H, 8, FALSE)</f>
        <v>No</v>
      </c>
      <c r="H273">
        <f>VLOOKUP($A273, 'Medical Examinations'!A:J, 10, FALSE)</f>
        <v>1</v>
      </c>
      <c r="I273" t="str">
        <f>VLOOKUP($A273, 'Medical Examinations'!A:K, 11, FALSE)</f>
        <v>yes</v>
      </c>
      <c r="J273" t="str">
        <f>VLOOKUP($A273, 'Medical Examinations'!A:B, 2, FALSE)</f>
        <v>Obesity</v>
      </c>
      <c r="K273" t="str">
        <f>VLOOKUP($A273, 'Medical Examinations'!A:D, 4, FALSE)</f>
        <v>Normal</v>
      </c>
    </row>
    <row r="274" spans="1:11" ht="15.5" x14ac:dyDescent="0.35">
      <c r="A274" s="1" t="s">
        <v>2099</v>
      </c>
      <c r="B274" t="str">
        <f>VLOOKUP($A274, 'Customer Names'!A:D, 3, FALSE)</f>
        <v>Lockwood</v>
      </c>
      <c r="C274">
        <f>VLOOKUP($A274,'Medical Examinations'!A:C, 3, FALSE)</f>
        <v>26.62</v>
      </c>
      <c r="D274" t="str">
        <f>VLOOKUP($A274, 'Medical Examinations'!A:D, 4, FALSE)</f>
        <v>Diabetes</v>
      </c>
      <c r="E274" t="str">
        <f>VLOOKUP($A274, 'Medical Examinations'!A:F, 6, FALSE)</f>
        <v>No</v>
      </c>
      <c r="F274" t="str">
        <f>VLOOKUP($A274, 'Medical Examinations'!A:G, 7, FALSE)</f>
        <v>No</v>
      </c>
      <c r="G274" t="str">
        <f>VLOOKUP($A274, 'Medical Examinations'!A:H, 8, FALSE)</f>
        <v>No</v>
      </c>
      <c r="H274" t="str">
        <f>VLOOKUP($A274, 'Medical Examinations'!A:J, 10, FALSE)</f>
        <v>No major surgery</v>
      </c>
      <c r="I274" t="str">
        <f>VLOOKUP($A274, 'Medical Examinations'!A:K, 11, FALSE)</f>
        <v>yes</v>
      </c>
      <c r="J274" t="str">
        <f>VLOOKUP($A274, 'Medical Examinations'!A:B, 2, FALSE)</f>
        <v>Overweight</v>
      </c>
      <c r="K274" t="str">
        <f>VLOOKUP($A274, 'Medical Examinations'!A:D, 4, FALSE)</f>
        <v>Diabetes</v>
      </c>
    </row>
    <row r="275" spans="1:11" ht="15.5" x14ac:dyDescent="0.35">
      <c r="A275" s="1" t="s">
        <v>2098</v>
      </c>
      <c r="B275" t="str">
        <f>VLOOKUP($A275, 'Customer Names'!A:D, 3, FALSE)</f>
        <v>Defilippi</v>
      </c>
      <c r="C275">
        <f>VLOOKUP($A275,'Medical Examinations'!A:C, 3, FALSE)</f>
        <v>32.67</v>
      </c>
      <c r="D275" t="str">
        <f>VLOOKUP($A275, 'Medical Examinations'!A:D, 4, FALSE)</f>
        <v>Diabetes</v>
      </c>
      <c r="E275" t="str">
        <f>VLOOKUP($A275, 'Medical Examinations'!A:F, 6, FALSE)</f>
        <v>yes</v>
      </c>
      <c r="F275" t="str">
        <f>VLOOKUP($A275, 'Medical Examinations'!A:G, 7, FALSE)</f>
        <v>No</v>
      </c>
      <c r="G275" t="str">
        <f>VLOOKUP($A275, 'Medical Examinations'!A:H, 8, FALSE)</f>
        <v>No</v>
      </c>
      <c r="H275" t="str">
        <f>VLOOKUP($A275, 'Medical Examinations'!A:J, 10, FALSE)</f>
        <v>No major surgery</v>
      </c>
      <c r="I275" t="str">
        <f>VLOOKUP($A275, 'Medical Examinations'!A:K, 11, FALSE)</f>
        <v>yes</v>
      </c>
      <c r="J275" t="str">
        <f>VLOOKUP($A275, 'Medical Examinations'!A:B, 2, FALSE)</f>
        <v>Obesity</v>
      </c>
      <c r="K275" t="str">
        <f>VLOOKUP($A275, 'Medical Examinations'!A:D, 4, FALSE)</f>
        <v>Diabetes</v>
      </c>
    </row>
    <row r="276" spans="1:11" ht="15.5" x14ac:dyDescent="0.35">
      <c r="A276" s="1" t="s">
        <v>2097</v>
      </c>
      <c r="B276" t="str">
        <f>VLOOKUP($A276, 'Customer Names'!A:D, 3, FALSE)</f>
        <v>Jackson</v>
      </c>
      <c r="C276">
        <f>VLOOKUP($A276,'Medical Examinations'!A:C, 3, FALSE)</f>
        <v>44.44</v>
      </c>
      <c r="D276" t="str">
        <f>VLOOKUP($A276, 'Medical Examinations'!A:D, 4, FALSE)</f>
        <v>Normal</v>
      </c>
      <c r="E276" t="str">
        <f>VLOOKUP($A276, 'Medical Examinations'!A:F, 6, FALSE)</f>
        <v>yes</v>
      </c>
      <c r="F276" t="str">
        <f>VLOOKUP($A276, 'Medical Examinations'!A:G, 7, FALSE)</f>
        <v>No</v>
      </c>
      <c r="G276" t="str">
        <f>VLOOKUP($A276, 'Medical Examinations'!A:H, 8, FALSE)</f>
        <v>No</v>
      </c>
      <c r="H276">
        <f>VLOOKUP($A276, 'Medical Examinations'!A:J, 10, FALSE)</f>
        <v>1</v>
      </c>
      <c r="I276" t="str">
        <f>VLOOKUP($A276, 'Medical Examinations'!A:K, 11, FALSE)</f>
        <v>yes</v>
      </c>
      <c r="J276" t="str">
        <f>VLOOKUP($A276, 'Medical Examinations'!A:B, 2, FALSE)</f>
        <v>Obesity</v>
      </c>
      <c r="K276" t="str">
        <f>VLOOKUP($A276, 'Medical Examinations'!A:D, 4, FALSE)</f>
        <v>Normal</v>
      </c>
    </row>
    <row r="277" spans="1:11" ht="15.5" x14ac:dyDescent="0.35">
      <c r="A277" s="1" t="s">
        <v>2096</v>
      </c>
      <c r="B277" t="str">
        <f>VLOOKUP($A277, 'Customer Names'!A:D, 3, FALSE)</f>
        <v>Ozahowski</v>
      </c>
      <c r="C277">
        <f>VLOOKUP($A277,'Medical Examinations'!A:C, 3, FALSE)</f>
        <v>28.31</v>
      </c>
      <c r="D277" t="str">
        <f>VLOOKUP($A277, 'Medical Examinations'!A:D, 4, FALSE)</f>
        <v>Normal</v>
      </c>
      <c r="E277" t="str">
        <f>VLOOKUP($A277, 'Medical Examinations'!A:F, 6, FALSE)</f>
        <v>No</v>
      </c>
      <c r="F277" t="str">
        <f>VLOOKUP($A277, 'Medical Examinations'!A:G, 7, FALSE)</f>
        <v>No</v>
      </c>
      <c r="G277" t="str">
        <f>VLOOKUP($A277, 'Medical Examinations'!A:H, 8, FALSE)</f>
        <v>No</v>
      </c>
      <c r="H277" t="str">
        <f>VLOOKUP($A277, 'Medical Examinations'!A:J, 10, FALSE)</f>
        <v>No major surgery</v>
      </c>
      <c r="I277" t="str">
        <f>VLOOKUP($A277, 'Medical Examinations'!A:K, 11, FALSE)</f>
        <v>yes</v>
      </c>
      <c r="J277" t="str">
        <f>VLOOKUP($A277, 'Medical Examinations'!A:B, 2, FALSE)</f>
        <v>Overweight</v>
      </c>
      <c r="K277" t="str">
        <f>VLOOKUP($A277, 'Medical Examinations'!A:D, 4, FALSE)</f>
        <v>Normal</v>
      </c>
    </row>
    <row r="278" spans="1:11" ht="15.5" x14ac:dyDescent="0.35">
      <c r="A278" s="1" t="s">
        <v>2095</v>
      </c>
      <c r="B278" t="str">
        <f>VLOOKUP($A278, 'Customer Names'!A:D, 3, FALSE)</f>
        <v>Guthals</v>
      </c>
      <c r="C278">
        <f>VLOOKUP($A278,'Medical Examinations'!A:C, 3, FALSE)</f>
        <v>25.05</v>
      </c>
      <c r="D278" t="str">
        <f>VLOOKUP($A278, 'Medical Examinations'!A:D, 4, FALSE)</f>
        <v>Normal</v>
      </c>
      <c r="E278" t="str">
        <f>VLOOKUP($A278, 'Medical Examinations'!A:F, 6, FALSE)</f>
        <v>No</v>
      </c>
      <c r="F278" t="str">
        <f>VLOOKUP($A278, 'Medical Examinations'!A:G, 7, FALSE)</f>
        <v>No</v>
      </c>
      <c r="G278" t="str">
        <f>VLOOKUP($A278, 'Medical Examinations'!A:H, 8, FALSE)</f>
        <v>No</v>
      </c>
      <c r="H278">
        <f>VLOOKUP($A278, 'Medical Examinations'!A:J, 10, FALSE)</f>
        <v>2</v>
      </c>
      <c r="I278" t="str">
        <f>VLOOKUP($A278, 'Medical Examinations'!A:K, 11, FALSE)</f>
        <v>yes</v>
      </c>
      <c r="J278" t="str">
        <f>VLOOKUP($A278, 'Medical Examinations'!A:B, 2, FALSE)</f>
        <v>Overweight</v>
      </c>
      <c r="K278" t="str">
        <f>VLOOKUP($A278, 'Medical Examinations'!A:D, 4, FALSE)</f>
        <v>Normal</v>
      </c>
    </row>
    <row r="279" spans="1:11" ht="15.5" x14ac:dyDescent="0.35">
      <c r="A279" s="1" t="s">
        <v>2094</v>
      </c>
      <c r="B279" t="str">
        <f>VLOOKUP($A279, 'Customer Names'!A:D, 3, FALSE)</f>
        <v>Yates</v>
      </c>
      <c r="C279">
        <f>VLOOKUP($A279,'Medical Examinations'!A:C, 3, FALSE)</f>
        <v>28.34</v>
      </c>
      <c r="D279" t="str">
        <f>VLOOKUP($A279, 'Medical Examinations'!A:D, 4, FALSE)</f>
        <v>Diabetes</v>
      </c>
      <c r="E279" t="str">
        <f>VLOOKUP($A279, 'Medical Examinations'!A:F, 6, FALSE)</f>
        <v>No</v>
      </c>
      <c r="F279" t="str">
        <f>VLOOKUP($A279, 'Medical Examinations'!A:G, 7, FALSE)</f>
        <v>No</v>
      </c>
      <c r="G279" t="str">
        <f>VLOOKUP($A279, 'Medical Examinations'!A:H, 8, FALSE)</f>
        <v>No</v>
      </c>
      <c r="H279" t="str">
        <f>VLOOKUP($A279, 'Medical Examinations'!A:J, 10, FALSE)</f>
        <v>No major surgery</v>
      </c>
      <c r="I279" t="str">
        <f>VLOOKUP($A279, 'Medical Examinations'!A:K, 11, FALSE)</f>
        <v>yes</v>
      </c>
      <c r="J279" t="str">
        <f>VLOOKUP($A279, 'Medical Examinations'!A:B, 2, FALSE)</f>
        <v>Overweight</v>
      </c>
      <c r="K279" t="str">
        <f>VLOOKUP($A279, 'Medical Examinations'!A:D, 4, FALSE)</f>
        <v>Diabetes</v>
      </c>
    </row>
    <row r="280" spans="1:11" ht="15.5" x14ac:dyDescent="0.35">
      <c r="A280" s="1" t="s">
        <v>2093</v>
      </c>
      <c r="B280" t="str">
        <f>VLOOKUP($A280, 'Customer Names'!A:D, 3, FALSE)</f>
        <v>Samuelson</v>
      </c>
      <c r="C280">
        <f>VLOOKUP($A280,'Medical Examinations'!A:C, 3, FALSE)</f>
        <v>17.765000000000001</v>
      </c>
      <c r="D280" t="str">
        <f>VLOOKUP($A280, 'Medical Examinations'!A:D, 4, FALSE)</f>
        <v>Normal</v>
      </c>
      <c r="E280" t="str">
        <f>VLOOKUP($A280, 'Medical Examinations'!A:F, 6, FALSE)</f>
        <v>No</v>
      </c>
      <c r="F280" t="str">
        <f>VLOOKUP($A280, 'Medical Examinations'!A:G, 7, FALSE)</f>
        <v>No</v>
      </c>
      <c r="G280" t="str">
        <f>VLOOKUP($A280, 'Medical Examinations'!A:H, 8, FALSE)</f>
        <v>No</v>
      </c>
      <c r="H280" t="str">
        <f>VLOOKUP($A280, 'Medical Examinations'!A:J, 10, FALSE)</f>
        <v>No major surgery</v>
      </c>
      <c r="I280" t="str">
        <f>VLOOKUP($A280, 'Medical Examinations'!A:K, 11, FALSE)</f>
        <v>yes</v>
      </c>
      <c r="J280" t="str">
        <f>VLOOKUP($A280, 'Medical Examinations'!A:B, 2, FALSE)</f>
        <v>Underweight</v>
      </c>
      <c r="K280" t="str">
        <f>VLOOKUP($A280, 'Medical Examinations'!A:D, 4, FALSE)</f>
        <v>Normal</v>
      </c>
    </row>
    <row r="281" spans="1:11" ht="15.5" x14ac:dyDescent="0.35">
      <c r="A281" s="1" t="s">
        <v>2092</v>
      </c>
      <c r="B281" t="str">
        <f>VLOOKUP($A281, 'Customer Names'!A:D, 3, FALSE)</f>
        <v>Lemos</v>
      </c>
      <c r="C281">
        <f>VLOOKUP($A281,'Medical Examinations'!A:C, 3, FALSE)</f>
        <v>36.119999999999997</v>
      </c>
      <c r="D281" t="str">
        <f>VLOOKUP($A281, 'Medical Examinations'!A:D, 4, FALSE)</f>
        <v>Prediabetes</v>
      </c>
      <c r="E281" t="str">
        <f>VLOOKUP($A281, 'Medical Examinations'!A:F, 6, FALSE)</f>
        <v>No</v>
      </c>
      <c r="F281" t="str">
        <f>VLOOKUP($A281, 'Medical Examinations'!A:G, 7, FALSE)</f>
        <v>No</v>
      </c>
      <c r="G281" t="str">
        <f>VLOOKUP($A281, 'Medical Examinations'!A:H, 8, FALSE)</f>
        <v>No</v>
      </c>
      <c r="H281" t="str">
        <f>VLOOKUP($A281, 'Medical Examinations'!A:J, 10, FALSE)</f>
        <v>No major surgery</v>
      </c>
      <c r="I281" t="str">
        <f>VLOOKUP($A281, 'Medical Examinations'!A:K, 11, FALSE)</f>
        <v>yes</v>
      </c>
      <c r="J281" t="str">
        <f>VLOOKUP($A281, 'Medical Examinations'!A:B, 2, FALSE)</f>
        <v>Obesity</v>
      </c>
      <c r="K281" t="str">
        <f>VLOOKUP($A281, 'Medical Examinations'!A:D, 4, FALSE)</f>
        <v>Prediabetes</v>
      </c>
    </row>
    <row r="282" spans="1:11" ht="15.5" x14ac:dyDescent="0.35">
      <c r="A282" s="1" t="s">
        <v>2091</v>
      </c>
      <c r="B282" t="str">
        <f>VLOOKUP($A282, 'Customer Names'!A:D, 3, FALSE)</f>
        <v>Seynders</v>
      </c>
      <c r="C282">
        <f>VLOOKUP($A282,'Medical Examinations'!A:C, 3, FALSE)</f>
        <v>23.19</v>
      </c>
      <c r="D282" t="str">
        <f>VLOOKUP($A282, 'Medical Examinations'!A:D, 4, FALSE)</f>
        <v>Diabetes</v>
      </c>
      <c r="E282" t="str">
        <f>VLOOKUP($A282, 'Medical Examinations'!A:F, 6, FALSE)</f>
        <v>No</v>
      </c>
      <c r="F282" t="str">
        <f>VLOOKUP($A282, 'Medical Examinations'!A:G, 7, FALSE)</f>
        <v>No</v>
      </c>
      <c r="G282" t="str">
        <f>VLOOKUP($A282, 'Medical Examinations'!A:H, 8, FALSE)</f>
        <v>No</v>
      </c>
      <c r="H282" t="str">
        <f>VLOOKUP($A282, 'Medical Examinations'!A:J, 10, FALSE)</f>
        <v>No major surgery</v>
      </c>
      <c r="I282" t="str">
        <f>VLOOKUP($A282, 'Medical Examinations'!A:K, 11, FALSE)</f>
        <v>yes</v>
      </c>
      <c r="J282" t="str">
        <f>VLOOKUP($A282, 'Medical Examinations'!A:B, 2, FALSE)</f>
        <v>Normal Weight</v>
      </c>
      <c r="K282" t="str">
        <f>VLOOKUP($A282, 'Medical Examinations'!A:D, 4, FALSE)</f>
        <v>Diabetes</v>
      </c>
    </row>
    <row r="283" spans="1:11" ht="15.5" x14ac:dyDescent="0.35">
      <c r="A283" s="1" t="s">
        <v>2090</v>
      </c>
      <c r="B283" t="str">
        <f>VLOOKUP($A283, 'Customer Names'!A:D, 3, FALSE)</f>
        <v>Saunders</v>
      </c>
      <c r="C283">
        <f>VLOOKUP($A283,'Medical Examinations'!A:C, 3, FALSE)</f>
        <v>35.99</v>
      </c>
      <c r="D283" t="str">
        <f>VLOOKUP($A283, 'Medical Examinations'!A:D, 4, FALSE)</f>
        <v>Normal</v>
      </c>
      <c r="E283" t="str">
        <f>VLOOKUP($A283, 'Medical Examinations'!A:F, 6, FALSE)</f>
        <v>No</v>
      </c>
      <c r="F283" t="str">
        <f>VLOOKUP($A283, 'Medical Examinations'!A:G, 7, FALSE)</f>
        <v>No</v>
      </c>
      <c r="G283" t="str">
        <f>VLOOKUP($A283, 'Medical Examinations'!A:H, 8, FALSE)</f>
        <v>No</v>
      </c>
      <c r="H283" t="str">
        <f>VLOOKUP($A283, 'Medical Examinations'!A:J, 10, FALSE)</f>
        <v>No major surgery</v>
      </c>
      <c r="I283" t="str">
        <f>VLOOKUP($A283, 'Medical Examinations'!A:K, 11, FALSE)</f>
        <v>yes</v>
      </c>
      <c r="J283" t="str">
        <f>VLOOKUP($A283, 'Medical Examinations'!A:B, 2, FALSE)</f>
        <v>Obesity</v>
      </c>
      <c r="K283" t="str">
        <f>VLOOKUP($A283, 'Medical Examinations'!A:D, 4, FALSE)</f>
        <v>Normal</v>
      </c>
    </row>
    <row r="284" spans="1:11" ht="15.5" x14ac:dyDescent="0.35">
      <c r="A284" s="1" t="s">
        <v>2089</v>
      </c>
      <c r="B284" t="str">
        <f>VLOOKUP($A284, 'Customer Names'!A:D, 3, FALSE)</f>
        <v>Walker</v>
      </c>
      <c r="C284">
        <f>VLOOKUP($A284,'Medical Examinations'!A:C, 3, FALSE)</f>
        <v>30.25</v>
      </c>
      <c r="D284" t="str">
        <f>VLOOKUP($A284, 'Medical Examinations'!A:D, 4, FALSE)</f>
        <v>Normal</v>
      </c>
      <c r="E284" t="str">
        <f>VLOOKUP($A284, 'Medical Examinations'!A:F, 6, FALSE)</f>
        <v>No</v>
      </c>
      <c r="F284" t="str">
        <f>VLOOKUP($A284, 'Medical Examinations'!A:G, 7, FALSE)</f>
        <v>No</v>
      </c>
      <c r="G284" t="str">
        <f>VLOOKUP($A284, 'Medical Examinations'!A:H, 8, FALSE)</f>
        <v>Yes</v>
      </c>
      <c r="H284">
        <f>VLOOKUP($A284, 'Medical Examinations'!A:J, 10, FALSE)</f>
        <v>1</v>
      </c>
      <c r="I284" t="str">
        <f>VLOOKUP($A284, 'Medical Examinations'!A:K, 11, FALSE)</f>
        <v>yes</v>
      </c>
      <c r="J284" t="str">
        <f>VLOOKUP($A284, 'Medical Examinations'!A:B, 2, FALSE)</f>
        <v>Obesity</v>
      </c>
      <c r="K284" t="str">
        <f>VLOOKUP($A284, 'Medical Examinations'!A:D, 4, FALSE)</f>
        <v>Normal</v>
      </c>
    </row>
    <row r="285" spans="1:11" ht="15.5" x14ac:dyDescent="0.35">
      <c r="A285" s="1" t="s">
        <v>2088</v>
      </c>
      <c r="B285" t="str">
        <f>VLOOKUP($A285, 'Customer Names'!A:D, 3, FALSE)</f>
        <v>Lam</v>
      </c>
      <c r="C285">
        <f>VLOOKUP($A285,'Medical Examinations'!A:C, 3, FALSE)</f>
        <v>26.24</v>
      </c>
      <c r="D285" t="str">
        <f>VLOOKUP($A285, 'Medical Examinations'!A:D, 4, FALSE)</f>
        <v>Prediabetes</v>
      </c>
      <c r="E285" t="str">
        <f>VLOOKUP($A285, 'Medical Examinations'!A:F, 6, FALSE)</f>
        <v>yes</v>
      </c>
      <c r="F285" t="str">
        <f>VLOOKUP($A285, 'Medical Examinations'!A:G, 7, FALSE)</f>
        <v>No</v>
      </c>
      <c r="G285" t="str">
        <f>VLOOKUP($A285, 'Medical Examinations'!A:H, 8, FALSE)</f>
        <v>No</v>
      </c>
      <c r="H285" t="str">
        <f>VLOOKUP($A285, 'Medical Examinations'!A:J, 10, FALSE)</f>
        <v>No major surgery</v>
      </c>
      <c r="I285" t="str">
        <f>VLOOKUP($A285, 'Medical Examinations'!A:K, 11, FALSE)</f>
        <v>yes</v>
      </c>
      <c r="J285" t="str">
        <f>VLOOKUP($A285, 'Medical Examinations'!A:B, 2, FALSE)</f>
        <v>Overweight</v>
      </c>
      <c r="K285" t="str">
        <f>VLOOKUP($A285, 'Medical Examinations'!A:D, 4, FALSE)</f>
        <v>Prediabetes</v>
      </c>
    </row>
    <row r="286" spans="1:11" ht="15.5" x14ac:dyDescent="0.35">
      <c r="A286" s="1" t="s">
        <v>2087</v>
      </c>
      <c r="B286" t="str">
        <f>VLOOKUP($A286, 'Customer Names'!A:D, 3, FALSE)</f>
        <v>Sweigart</v>
      </c>
      <c r="C286">
        <f>VLOOKUP($A286,'Medical Examinations'!A:C, 3, FALSE)</f>
        <v>31.36</v>
      </c>
      <c r="D286" t="str">
        <f>VLOOKUP($A286, 'Medical Examinations'!A:D, 4, FALSE)</f>
        <v>Diabetes</v>
      </c>
      <c r="E286" t="str">
        <f>VLOOKUP($A286, 'Medical Examinations'!A:F, 6, FALSE)</f>
        <v>yes</v>
      </c>
      <c r="F286" t="str">
        <f>VLOOKUP($A286, 'Medical Examinations'!A:G, 7, FALSE)</f>
        <v>No</v>
      </c>
      <c r="G286" t="str">
        <f>VLOOKUP($A286, 'Medical Examinations'!A:H, 8, FALSE)</f>
        <v>No</v>
      </c>
      <c r="H286" t="str">
        <f>VLOOKUP($A286, 'Medical Examinations'!A:J, 10, FALSE)</f>
        <v>No major surgery</v>
      </c>
      <c r="I286" t="str">
        <f>VLOOKUP($A286, 'Medical Examinations'!A:K, 11, FALSE)</f>
        <v>yes</v>
      </c>
      <c r="J286" t="str">
        <f>VLOOKUP($A286, 'Medical Examinations'!A:B, 2, FALSE)</f>
        <v>Obesity</v>
      </c>
      <c r="K286" t="str">
        <f>VLOOKUP($A286, 'Medical Examinations'!A:D, 4, FALSE)</f>
        <v>Diabetes</v>
      </c>
    </row>
    <row r="287" spans="1:11" ht="15.5" x14ac:dyDescent="0.35">
      <c r="A287" s="1" t="s">
        <v>2086</v>
      </c>
      <c r="B287" t="str">
        <f>VLOOKUP($A287, 'Customer Names'!A:D, 3, FALSE)</f>
        <v>Sieczkowski</v>
      </c>
      <c r="C287">
        <f>VLOOKUP($A287,'Medical Examinations'!A:C, 3, FALSE)</f>
        <v>25.69</v>
      </c>
      <c r="D287" t="str">
        <f>VLOOKUP($A287, 'Medical Examinations'!A:D, 4, FALSE)</f>
        <v>Normal</v>
      </c>
      <c r="E287" t="str">
        <f>VLOOKUP($A287, 'Medical Examinations'!A:F, 6, FALSE)</f>
        <v>yes</v>
      </c>
      <c r="F287" t="str">
        <f>VLOOKUP($A287, 'Medical Examinations'!A:G, 7, FALSE)</f>
        <v>No</v>
      </c>
      <c r="G287" t="str">
        <f>VLOOKUP($A287, 'Medical Examinations'!A:H, 8, FALSE)</f>
        <v>No</v>
      </c>
      <c r="H287" t="str">
        <f>VLOOKUP($A287, 'Medical Examinations'!A:J, 10, FALSE)</f>
        <v>No major surgery</v>
      </c>
      <c r="I287" t="str">
        <f>VLOOKUP($A287, 'Medical Examinations'!A:K, 11, FALSE)</f>
        <v>yes</v>
      </c>
      <c r="J287" t="str">
        <f>VLOOKUP($A287, 'Medical Examinations'!A:B, 2, FALSE)</f>
        <v>Overweight</v>
      </c>
      <c r="K287" t="str">
        <f>VLOOKUP($A287, 'Medical Examinations'!A:D, 4, FALSE)</f>
        <v>Normal</v>
      </c>
    </row>
    <row r="288" spans="1:11" ht="15.5" x14ac:dyDescent="0.35">
      <c r="A288" s="1" t="s">
        <v>2085</v>
      </c>
      <c r="B288" t="str">
        <f>VLOOKUP($A288, 'Customer Names'!A:D, 3, FALSE)</f>
        <v>Jurgens</v>
      </c>
      <c r="C288">
        <f>VLOOKUP($A288,'Medical Examinations'!A:C, 3, FALSE)</f>
        <v>25.46</v>
      </c>
      <c r="D288" t="str">
        <f>VLOOKUP($A288, 'Medical Examinations'!A:D, 4, FALSE)</f>
        <v>Prediabetes</v>
      </c>
      <c r="E288" t="str">
        <f>VLOOKUP($A288, 'Medical Examinations'!A:F, 6, FALSE)</f>
        <v>No</v>
      </c>
      <c r="F288" t="str">
        <f>VLOOKUP($A288, 'Medical Examinations'!A:G, 7, FALSE)</f>
        <v>No</v>
      </c>
      <c r="G288" t="str">
        <f>VLOOKUP($A288, 'Medical Examinations'!A:H, 8, FALSE)</f>
        <v>No</v>
      </c>
      <c r="H288">
        <f>VLOOKUP($A288, 'Medical Examinations'!A:J, 10, FALSE)</f>
        <v>2</v>
      </c>
      <c r="I288" t="str">
        <f>VLOOKUP($A288, 'Medical Examinations'!A:K, 11, FALSE)</f>
        <v>yes</v>
      </c>
      <c r="J288" t="str">
        <f>VLOOKUP($A288, 'Medical Examinations'!A:B, 2, FALSE)</f>
        <v>Overweight</v>
      </c>
      <c r="K288" t="str">
        <f>VLOOKUP($A288, 'Medical Examinations'!A:D, 4, FALSE)</f>
        <v>Prediabetes</v>
      </c>
    </row>
    <row r="289" spans="1:11" ht="15.5" x14ac:dyDescent="0.35">
      <c r="A289" s="1" t="s">
        <v>2084</v>
      </c>
      <c r="B289" t="str">
        <f>VLOOKUP($A289, 'Customer Names'!A:D, 3, FALSE)</f>
        <v>Hackman</v>
      </c>
      <c r="C289">
        <f>VLOOKUP($A289,'Medical Examinations'!A:C, 3, FALSE)</f>
        <v>31.83</v>
      </c>
      <c r="D289" t="str">
        <f>VLOOKUP($A289, 'Medical Examinations'!A:D, 4, FALSE)</f>
        <v>Diabetes</v>
      </c>
      <c r="E289" t="str">
        <f>VLOOKUP($A289, 'Medical Examinations'!A:F, 6, FALSE)</f>
        <v>yes</v>
      </c>
      <c r="F289" t="str">
        <f>VLOOKUP($A289, 'Medical Examinations'!A:G, 7, FALSE)</f>
        <v>No</v>
      </c>
      <c r="G289" t="str">
        <f>VLOOKUP($A289, 'Medical Examinations'!A:H, 8, FALSE)</f>
        <v>No</v>
      </c>
      <c r="H289">
        <f>VLOOKUP($A289, 'Medical Examinations'!A:J, 10, FALSE)</f>
        <v>1</v>
      </c>
      <c r="I289" t="str">
        <f>VLOOKUP($A289, 'Medical Examinations'!A:K, 11, FALSE)</f>
        <v>yes</v>
      </c>
      <c r="J289" t="str">
        <f>VLOOKUP($A289, 'Medical Examinations'!A:B, 2, FALSE)</f>
        <v>Obesity</v>
      </c>
      <c r="K289" t="str">
        <f>VLOOKUP($A289, 'Medical Examinations'!A:D, 4, FALSE)</f>
        <v>Diabetes</v>
      </c>
    </row>
    <row r="290" spans="1:11" ht="15.5" x14ac:dyDescent="0.35">
      <c r="A290" s="1" t="s">
        <v>2083</v>
      </c>
      <c r="B290" t="str">
        <f>VLOOKUP($A290, 'Customer Names'!A:D, 3, FALSE)</f>
        <v>Klarich</v>
      </c>
      <c r="C290">
        <f>VLOOKUP($A290,'Medical Examinations'!A:C, 3, FALSE)</f>
        <v>24.43</v>
      </c>
      <c r="D290" t="str">
        <f>VLOOKUP($A290, 'Medical Examinations'!A:D, 4, FALSE)</f>
        <v>Diabetes</v>
      </c>
      <c r="E290" t="str">
        <f>VLOOKUP($A290, 'Medical Examinations'!A:F, 6, FALSE)</f>
        <v>yes</v>
      </c>
      <c r="F290" t="str">
        <f>VLOOKUP($A290, 'Medical Examinations'!A:G, 7, FALSE)</f>
        <v>No</v>
      </c>
      <c r="G290" t="str">
        <f>VLOOKUP($A290, 'Medical Examinations'!A:H, 8, FALSE)</f>
        <v>No</v>
      </c>
      <c r="H290">
        <f>VLOOKUP($A290, 'Medical Examinations'!A:J, 10, FALSE)</f>
        <v>1</v>
      </c>
      <c r="I290" t="str">
        <f>VLOOKUP($A290, 'Medical Examinations'!A:K, 11, FALSE)</f>
        <v>yes</v>
      </c>
      <c r="J290" t="str">
        <f>VLOOKUP($A290, 'Medical Examinations'!A:B, 2, FALSE)</f>
        <v>Normal Weight</v>
      </c>
      <c r="K290" t="str">
        <f>VLOOKUP($A290, 'Medical Examinations'!A:D, 4, FALSE)</f>
        <v>Diabetes</v>
      </c>
    </row>
    <row r="291" spans="1:11" ht="15.5" x14ac:dyDescent="0.35">
      <c r="A291" s="1" t="s">
        <v>2082</v>
      </c>
      <c r="B291" t="str">
        <f>VLOOKUP($A291, 'Customer Names'!A:D, 3, FALSE)</f>
        <v>Schulten</v>
      </c>
      <c r="C291">
        <f>VLOOKUP($A291,'Medical Examinations'!A:C, 3, FALSE)</f>
        <v>41.9</v>
      </c>
      <c r="D291" t="str">
        <f>VLOOKUP($A291, 'Medical Examinations'!A:D, 4, FALSE)</f>
        <v>Normal</v>
      </c>
      <c r="E291" t="str">
        <f>VLOOKUP($A291, 'Medical Examinations'!A:F, 6, FALSE)</f>
        <v>No</v>
      </c>
      <c r="F291" t="str">
        <f>VLOOKUP($A291, 'Medical Examinations'!A:G, 7, FALSE)</f>
        <v>No</v>
      </c>
      <c r="G291" t="str">
        <f>VLOOKUP($A291, 'Medical Examinations'!A:H, 8, FALSE)</f>
        <v>No</v>
      </c>
      <c r="H291" t="str">
        <f>VLOOKUP($A291, 'Medical Examinations'!A:J, 10, FALSE)</f>
        <v>No major surgery</v>
      </c>
      <c r="I291" t="str">
        <f>VLOOKUP($A291, 'Medical Examinations'!A:K, 11, FALSE)</f>
        <v>yes</v>
      </c>
      <c r="J291" t="str">
        <f>VLOOKUP($A291, 'Medical Examinations'!A:B, 2, FALSE)</f>
        <v>Obesity</v>
      </c>
      <c r="K291" t="str">
        <f>VLOOKUP($A291, 'Medical Examinations'!A:D, 4, FALSE)</f>
        <v>Normal</v>
      </c>
    </row>
    <row r="292" spans="1:11" ht="15.5" x14ac:dyDescent="0.35">
      <c r="A292" s="1" t="s">
        <v>2081</v>
      </c>
      <c r="B292" t="str">
        <f>VLOOKUP($A292, 'Customer Names'!A:D, 3, FALSE)</f>
        <v>Fagerstrom</v>
      </c>
      <c r="C292">
        <f>VLOOKUP($A292,'Medical Examinations'!A:C, 3, FALSE)</f>
        <v>22.88</v>
      </c>
      <c r="D292" t="str">
        <f>VLOOKUP($A292, 'Medical Examinations'!A:D, 4, FALSE)</f>
        <v>Prediabetes</v>
      </c>
      <c r="E292" t="str">
        <f>VLOOKUP($A292, 'Medical Examinations'!A:F, 6, FALSE)</f>
        <v>yes</v>
      </c>
      <c r="F292" t="str">
        <f>VLOOKUP($A292, 'Medical Examinations'!A:G, 7, FALSE)</f>
        <v>No</v>
      </c>
      <c r="G292" t="str">
        <f>VLOOKUP($A292, 'Medical Examinations'!A:H, 8, FALSE)</f>
        <v>Yes</v>
      </c>
      <c r="H292">
        <f>VLOOKUP($A292, 'Medical Examinations'!A:J, 10, FALSE)</f>
        <v>1</v>
      </c>
      <c r="I292" t="str">
        <f>VLOOKUP($A292, 'Medical Examinations'!A:K, 11, FALSE)</f>
        <v>yes</v>
      </c>
      <c r="J292" t="str">
        <f>VLOOKUP($A292, 'Medical Examinations'!A:B, 2, FALSE)</f>
        <v>Normal Weight</v>
      </c>
      <c r="K292" t="str">
        <f>VLOOKUP($A292, 'Medical Examinations'!A:D, 4, FALSE)</f>
        <v>Prediabetes</v>
      </c>
    </row>
    <row r="293" spans="1:11" ht="15.5" x14ac:dyDescent="0.35">
      <c r="A293" s="1" t="s">
        <v>2080</v>
      </c>
      <c r="B293" t="str">
        <f>VLOOKUP($A293, 'Customer Names'!A:D, 3, FALSE)</f>
        <v>Bien</v>
      </c>
      <c r="C293">
        <f>VLOOKUP($A293,'Medical Examinations'!A:C, 3, FALSE)</f>
        <v>29.734999999999999</v>
      </c>
      <c r="D293" t="str">
        <f>VLOOKUP($A293, 'Medical Examinations'!A:D, 4, FALSE)</f>
        <v>Diabetes</v>
      </c>
      <c r="E293" t="str">
        <f>VLOOKUP($A293, 'Medical Examinations'!A:F, 6, FALSE)</f>
        <v>No</v>
      </c>
      <c r="F293" t="str">
        <f>VLOOKUP($A293, 'Medical Examinations'!A:G, 7, FALSE)</f>
        <v>No</v>
      </c>
      <c r="G293" t="str">
        <f>VLOOKUP($A293, 'Medical Examinations'!A:H, 8, FALSE)</f>
        <v>No</v>
      </c>
      <c r="H293" t="str">
        <f>VLOOKUP($A293, 'Medical Examinations'!A:J, 10, FALSE)</f>
        <v>No major surgery</v>
      </c>
      <c r="I293" t="str">
        <f>VLOOKUP($A293, 'Medical Examinations'!A:K, 11, FALSE)</f>
        <v>No</v>
      </c>
      <c r="J293" t="str">
        <f>VLOOKUP($A293, 'Medical Examinations'!A:B, 2, FALSE)</f>
        <v>Overweight</v>
      </c>
      <c r="K293" t="str">
        <f>VLOOKUP($A293, 'Medical Examinations'!A:D, 4, FALSE)</f>
        <v>Diabetes</v>
      </c>
    </row>
    <row r="294" spans="1:11" ht="15.5" x14ac:dyDescent="0.35">
      <c r="A294" s="1" t="s">
        <v>2079</v>
      </c>
      <c r="B294" t="str">
        <f>VLOOKUP($A294, 'Customer Names'!A:D, 3, FALSE)</f>
        <v>Hess</v>
      </c>
      <c r="C294">
        <f>VLOOKUP($A294,'Medical Examinations'!A:C, 3, FALSE)</f>
        <v>40.74</v>
      </c>
      <c r="D294" t="str">
        <f>VLOOKUP($A294, 'Medical Examinations'!A:D, 4, FALSE)</f>
        <v>Normal</v>
      </c>
      <c r="E294" t="str">
        <f>VLOOKUP($A294, 'Medical Examinations'!A:F, 6, FALSE)</f>
        <v>No</v>
      </c>
      <c r="F294" t="str">
        <f>VLOOKUP($A294, 'Medical Examinations'!A:G, 7, FALSE)</f>
        <v>No</v>
      </c>
      <c r="G294" t="str">
        <f>VLOOKUP($A294, 'Medical Examinations'!A:H, 8, FALSE)</f>
        <v>Yes</v>
      </c>
      <c r="H294">
        <f>VLOOKUP($A294, 'Medical Examinations'!A:J, 10, FALSE)</f>
        <v>1</v>
      </c>
      <c r="I294" t="str">
        <f>VLOOKUP($A294, 'Medical Examinations'!A:K, 11, FALSE)</f>
        <v>yes</v>
      </c>
      <c r="J294" t="str">
        <f>VLOOKUP($A294, 'Medical Examinations'!A:B, 2, FALSE)</f>
        <v>Obesity</v>
      </c>
      <c r="K294" t="str">
        <f>VLOOKUP($A294, 'Medical Examinations'!A:D, 4, FALSE)</f>
        <v>Normal</v>
      </c>
    </row>
    <row r="295" spans="1:11" ht="15.5" x14ac:dyDescent="0.35">
      <c r="A295" s="1" t="s">
        <v>2078</v>
      </c>
      <c r="B295" t="str">
        <f>VLOOKUP($A295, 'Customer Names'!A:D, 3, FALSE)</f>
        <v>Shaw</v>
      </c>
      <c r="C295">
        <f>VLOOKUP($A295,'Medical Examinations'!A:C, 3, FALSE)</f>
        <v>24.14</v>
      </c>
      <c r="D295" t="str">
        <f>VLOOKUP($A295, 'Medical Examinations'!A:D, 4, FALSE)</f>
        <v>Prediabetes</v>
      </c>
      <c r="E295" t="str">
        <f>VLOOKUP($A295, 'Medical Examinations'!A:F, 6, FALSE)</f>
        <v>No</v>
      </c>
      <c r="F295" t="str">
        <f>VLOOKUP($A295, 'Medical Examinations'!A:G, 7, FALSE)</f>
        <v>No</v>
      </c>
      <c r="G295" t="str">
        <f>VLOOKUP($A295, 'Medical Examinations'!A:H, 8, FALSE)</f>
        <v>No</v>
      </c>
      <c r="H295">
        <f>VLOOKUP($A295, 'Medical Examinations'!A:J, 10, FALSE)</f>
        <v>2</v>
      </c>
      <c r="I295" t="str">
        <f>VLOOKUP($A295, 'Medical Examinations'!A:K, 11, FALSE)</f>
        <v>yes</v>
      </c>
      <c r="J295" t="str">
        <f>VLOOKUP($A295, 'Medical Examinations'!A:B, 2, FALSE)</f>
        <v>Normal Weight</v>
      </c>
      <c r="K295" t="str">
        <f>VLOOKUP($A295, 'Medical Examinations'!A:D, 4, FALSE)</f>
        <v>Prediabetes</v>
      </c>
    </row>
    <row r="296" spans="1:11" ht="15.5" x14ac:dyDescent="0.35">
      <c r="A296" s="1" t="s">
        <v>2077</v>
      </c>
      <c r="B296" t="str">
        <f>VLOOKUP($A296, 'Customer Names'!A:D, 3, FALSE)</f>
        <v>Williams</v>
      </c>
      <c r="C296">
        <f>VLOOKUP($A296,'Medical Examinations'!A:C, 3, FALSE)</f>
        <v>25.15</v>
      </c>
      <c r="D296" t="str">
        <f>VLOOKUP($A296, 'Medical Examinations'!A:D, 4, FALSE)</f>
        <v>Diabetes</v>
      </c>
      <c r="E296" t="str">
        <f>VLOOKUP($A296, 'Medical Examinations'!A:F, 6, FALSE)</f>
        <v>yes</v>
      </c>
      <c r="F296" t="str">
        <f>VLOOKUP($A296, 'Medical Examinations'!A:G, 7, FALSE)</f>
        <v>No</v>
      </c>
      <c r="G296" t="str">
        <f>VLOOKUP($A296, 'Medical Examinations'!A:H, 8, FALSE)</f>
        <v>No</v>
      </c>
      <c r="H296">
        <f>VLOOKUP($A296, 'Medical Examinations'!A:J, 10, FALSE)</f>
        <v>1</v>
      </c>
      <c r="I296" t="str">
        <f>VLOOKUP($A296, 'Medical Examinations'!A:K, 11, FALSE)</f>
        <v>yes</v>
      </c>
      <c r="J296" t="str">
        <f>VLOOKUP($A296, 'Medical Examinations'!A:B, 2, FALSE)</f>
        <v>Overweight</v>
      </c>
      <c r="K296" t="str">
        <f>VLOOKUP($A296, 'Medical Examinations'!A:D, 4, FALSE)</f>
        <v>Diabetes</v>
      </c>
    </row>
    <row r="297" spans="1:11" ht="15.5" x14ac:dyDescent="0.35">
      <c r="A297" s="1" t="s">
        <v>2076</v>
      </c>
      <c r="B297" t="str">
        <f>VLOOKUP($A297, 'Customer Names'!A:D, 3, FALSE)</f>
        <v>Menzies</v>
      </c>
      <c r="C297">
        <f>VLOOKUP($A297,'Medical Examinations'!A:C, 3, FALSE)</f>
        <v>28.71</v>
      </c>
      <c r="D297" t="str">
        <f>VLOOKUP($A297, 'Medical Examinations'!A:D, 4, FALSE)</f>
        <v>Normal</v>
      </c>
      <c r="E297" t="str">
        <f>VLOOKUP($A297, 'Medical Examinations'!A:F, 6, FALSE)</f>
        <v>No</v>
      </c>
      <c r="F297" t="str">
        <f>VLOOKUP($A297, 'Medical Examinations'!A:G, 7, FALSE)</f>
        <v>No</v>
      </c>
      <c r="G297" t="str">
        <f>VLOOKUP($A297, 'Medical Examinations'!A:H, 8, FALSE)</f>
        <v>No</v>
      </c>
      <c r="H297">
        <f>VLOOKUP($A297, 'Medical Examinations'!A:J, 10, FALSE)</f>
        <v>1</v>
      </c>
      <c r="I297" t="str">
        <f>VLOOKUP($A297, 'Medical Examinations'!A:K, 11, FALSE)</f>
        <v>yes</v>
      </c>
      <c r="J297" t="str">
        <f>VLOOKUP($A297, 'Medical Examinations'!A:B, 2, FALSE)</f>
        <v>Overweight</v>
      </c>
      <c r="K297" t="str">
        <f>VLOOKUP($A297, 'Medical Examinations'!A:D, 4, FALSE)</f>
        <v>Normal</v>
      </c>
    </row>
    <row r="298" spans="1:11" ht="15.5" x14ac:dyDescent="0.35">
      <c r="A298" s="1" t="s">
        <v>2075</v>
      </c>
      <c r="B298" t="str">
        <f>VLOOKUP($A298, 'Customer Names'!A:D, 3, FALSE)</f>
        <v>Buehler</v>
      </c>
      <c r="C298">
        <f>VLOOKUP($A298,'Medical Examinations'!A:C, 3, FALSE)</f>
        <v>23</v>
      </c>
      <c r="D298" t="str">
        <f>VLOOKUP($A298, 'Medical Examinations'!A:D, 4, FALSE)</f>
        <v>Normal</v>
      </c>
      <c r="E298" t="str">
        <f>VLOOKUP($A298, 'Medical Examinations'!A:F, 6, FALSE)</f>
        <v>No</v>
      </c>
      <c r="F298" t="str">
        <f>VLOOKUP($A298, 'Medical Examinations'!A:G, 7, FALSE)</f>
        <v>No</v>
      </c>
      <c r="G298" t="str">
        <f>VLOOKUP($A298, 'Medical Examinations'!A:H, 8, FALSE)</f>
        <v>No</v>
      </c>
      <c r="H298" t="str">
        <f>VLOOKUP($A298, 'Medical Examinations'!A:J, 10, FALSE)</f>
        <v>No major surgery</v>
      </c>
      <c r="I298" t="str">
        <f>VLOOKUP($A298, 'Medical Examinations'!A:K, 11, FALSE)</f>
        <v>yes</v>
      </c>
      <c r="J298" t="str">
        <f>VLOOKUP($A298, 'Medical Examinations'!A:B, 2, FALSE)</f>
        <v>Normal Weight</v>
      </c>
      <c r="K298" t="str">
        <f>VLOOKUP($A298, 'Medical Examinations'!A:D, 4, FALSE)</f>
        <v>Normal</v>
      </c>
    </row>
    <row r="299" spans="1:11" ht="15.5" x14ac:dyDescent="0.35">
      <c r="A299" s="1" t="s">
        <v>2074</v>
      </c>
      <c r="B299" t="str">
        <f>VLOOKUP($A299, 'Customer Names'!A:D, 3, FALSE)</f>
        <v>Degen</v>
      </c>
      <c r="C299">
        <f>VLOOKUP($A299,'Medical Examinations'!A:C, 3, FALSE)</f>
        <v>36.86</v>
      </c>
      <c r="D299" t="str">
        <f>VLOOKUP($A299, 'Medical Examinations'!A:D, 4, FALSE)</f>
        <v>Diabetes</v>
      </c>
      <c r="E299" t="str">
        <f>VLOOKUP($A299, 'Medical Examinations'!A:F, 6, FALSE)</f>
        <v>No</v>
      </c>
      <c r="F299" t="str">
        <f>VLOOKUP($A299, 'Medical Examinations'!A:G, 7, FALSE)</f>
        <v>No</v>
      </c>
      <c r="G299" t="str">
        <f>VLOOKUP($A299, 'Medical Examinations'!A:H, 8, FALSE)</f>
        <v>No</v>
      </c>
      <c r="H299" t="str">
        <f>VLOOKUP($A299, 'Medical Examinations'!A:J, 10, FALSE)</f>
        <v>No major surgery</v>
      </c>
      <c r="I299" t="str">
        <f>VLOOKUP($A299, 'Medical Examinations'!A:K, 11, FALSE)</f>
        <v>No</v>
      </c>
      <c r="J299" t="str">
        <f>VLOOKUP($A299, 'Medical Examinations'!A:B, 2, FALSE)</f>
        <v>Obesity</v>
      </c>
      <c r="K299" t="str">
        <f>VLOOKUP($A299, 'Medical Examinations'!A:D, 4, FALSE)</f>
        <v>Diabetes</v>
      </c>
    </row>
    <row r="300" spans="1:11" ht="15.5" x14ac:dyDescent="0.35">
      <c r="A300" s="1" t="s">
        <v>2073</v>
      </c>
      <c r="B300" t="str">
        <f>VLOOKUP($A300, 'Customer Names'!A:D, 3, FALSE)</f>
        <v>Arsenault</v>
      </c>
      <c r="C300">
        <f>VLOOKUP($A300,'Medical Examinations'!A:C, 3, FALSE)</f>
        <v>24.25</v>
      </c>
      <c r="D300" t="str">
        <f>VLOOKUP($A300, 'Medical Examinations'!A:D, 4, FALSE)</f>
        <v>Diabetes</v>
      </c>
      <c r="E300" t="str">
        <f>VLOOKUP($A300, 'Medical Examinations'!A:F, 6, FALSE)</f>
        <v>yes</v>
      </c>
      <c r="F300" t="str">
        <f>VLOOKUP($A300, 'Medical Examinations'!A:G, 7, FALSE)</f>
        <v>No</v>
      </c>
      <c r="G300" t="str">
        <f>VLOOKUP($A300, 'Medical Examinations'!A:H, 8, FALSE)</f>
        <v>No</v>
      </c>
      <c r="H300">
        <f>VLOOKUP($A300, 'Medical Examinations'!A:J, 10, FALSE)</f>
        <v>1</v>
      </c>
      <c r="I300" t="str">
        <f>VLOOKUP($A300, 'Medical Examinations'!A:K, 11, FALSE)</f>
        <v>yes</v>
      </c>
      <c r="J300" t="str">
        <f>VLOOKUP($A300, 'Medical Examinations'!A:B, 2, FALSE)</f>
        <v>Normal Weight</v>
      </c>
      <c r="K300" t="str">
        <f>VLOOKUP($A300, 'Medical Examinations'!A:D, 4, FALSE)</f>
        <v>Diabetes</v>
      </c>
    </row>
    <row r="301" spans="1:11" ht="15.5" x14ac:dyDescent="0.35">
      <c r="A301" s="1" t="s">
        <v>2072</v>
      </c>
      <c r="B301" t="str">
        <f>VLOOKUP($A301, 'Customer Names'!A:D, 3, FALSE)</f>
        <v>Hoff</v>
      </c>
      <c r="C301">
        <f>VLOOKUP($A301,'Medical Examinations'!A:C, 3, FALSE)</f>
        <v>23.85</v>
      </c>
      <c r="D301" t="str">
        <f>VLOOKUP($A301, 'Medical Examinations'!A:D, 4, FALSE)</f>
        <v>Diabetes</v>
      </c>
      <c r="E301" t="str">
        <f>VLOOKUP($A301, 'Medical Examinations'!A:F, 6, FALSE)</f>
        <v>No</v>
      </c>
      <c r="F301" t="str">
        <f>VLOOKUP($A301, 'Medical Examinations'!A:G, 7, FALSE)</f>
        <v>No</v>
      </c>
      <c r="G301" t="str">
        <f>VLOOKUP($A301, 'Medical Examinations'!A:H, 8, FALSE)</f>
        <v>No</v>
      </c>
      <c r="H301" t="str">
        <f>VLOOKUP($A301, 'Medical Examinations'!A:J, 10, FALSE)</f>
        <v>No major surgery</v>
      </c>
      <c r="I301" t="str">
        <f>VLOOKUP($A301, 'Medical Examinations'!A:K, 11, FALSE)</f>
        <v>yes</v>
      </c>
      <c r="J301" t="str">
        <f>VLOOKUP($A301, 'Medical Examinations'!A:B, 2, FALSE)</f>
        <v>Normal Weight</v>
      </c>
      <c r="K301" t="str">
        <f>VLOOKUP($A301, 'Medical Examinations'!A:D, 4, FALSE)</f>
        <v>Diabetes</v>
      </c>
    </row>
    <row r="302" spans="1:11" ht="15.5" x14ac:dyDescent="0.35">
      <c r="A302" s="1" t="s">
        <v>2071</v>
      </c>
      <c r="B302" t="str">
        <f>VLOOKUP($A302, 'Customer Names'!A:D, 3, FALSE)</f>
        <v>Hall</v>
      </c>
      <c r="C302">
        <f>VLOOKUP($A302,'Medical Examinations'!A:C, 3, FALSE)</f>
        <v>40.020000000000003</v>
      </c>
      <c r="D302" t="str">
        <f>VLOOKUP($A302, 'Medical Examinations'!A:D, 4, FALSE)</f>
        <v>Normal</v>
      </c>
      <c r="E302" t="str">
        <f>VLOOKUP($A302, 'Medical Examinations'!A:F, 6, FALSE)</f>
        <v>yes</v>
      </c>
      <c r="F302" t="str">
        <f>VLOOKUP($A302, 'Medical Examinations'!A:G, 7, FALSE)</f>
        <v>No</v>
      </c>
      <c r="G302" t="str">
        <f>VLOOKUP($A302, 'Medical Examinations'!A:H, 8, FALSE)</f>
        <v>No</v>
      </c>
      <c r="H302">
        <f>VLOOKUP($A302, 'Medical Examinations'!A:J, 10, FALSE)</f>
        <v>1</v>
      </c>
      <c r="I302" t="str">
        <f>VLOOKUP($A302, 'Medical Examinations'!A:K, 11, FALSE)</f>
        <v>yes</v>
      </c>
      <c r="J302" t="str">
        <f>VLOOKUP($A302, 'Medical Examinations'!A:B, 2, FALSE)</f>
        <v>Obesity</v>
      </c>
      <c r="K302" t="str">
        <f>VLOOKUP($A302, 'Medical Examinations'!A:D, 4, FALSE)</f>
        <v>Normal</v>
      </c>
    </row>
    <row r="303" spans="1:11" ht="15.5" x14ac:dyDescent="0.35">
      <c r="A303" s="1" t="s">
        <v>2070</v>
      </c>
      <c r="B303" t="str">
        <f>VLOOKUP($A303, 'Customer Names'!A:D, 3, FALSE)</f>
        <v>Ashley</v>
      </c>
      <c r="C303">
        <f>VLOOKUP($A303,'Medical Examinations'!A:C, 3, FALSE)</f>
        <v>19.170000000000002</v>
      </c>
      <c r="D303" t="str">
        <f>VLOOKUP($A303, 'Medical Examinations'!A:D, 4, FALSE)</f>
        <v>Diabetes</v>
      </c>
      <c r="E303" t="str">
        <f>VLOOKUP($A303, 'Medical Examinations'!A:F, 6, FALSE)</f>
        <v>No</v>
      </c>
      <c r="F303" t="str">
        <f>VLOOKUP($A303, 'Medical Examinations'!A:G, 7, FALSE)</f>
        <v>No</v>
      </c>
      <c r="G303" t="str">
        <f>VLOOKUP($A303, 'Medical Examinations'!A:H, 8, FALSE)</f>
        <v>No</v>
      </c>
      <c r="H303" t="str">
        <f>VLOOKUP($A303, 'Medical Examinations'!A:J, 10, FALSE)</f>
        <v>No major surgery</v>
      </c>
      <c r="I303" t="str">
        <f>VLOOKUP($A303, 'Medical Examinations'!A:K, 11, FALSE)</f>
        <v>yes</v>
      </c>
      <c r="J303" t="str">
        <f>VLOOKUP($A303, 'Medical Examinations'!A:B, 2, FALSE)</f>
        <v>Normal Weight</v>
      </c>
      <c r="K303" t="str">
        <f>VLOOKUP($A303, 'Medical Examinations'!A:D, 4, FALSE)</f>
        <v>Diabetes</v>
      </c>
    </row>
    <row r="304" spans="1:11" ht="15.5" x14ac:dyDescent="0.35">
      <c r="A304" s="1" t="s">
        <v>2069</v>
      </c>
      <c r="B304" t="str">
        <f>VLOOKUP($A304, 'Customer Names'!A:D, 3, FALSE)</f>
        <v>Rindahl</v>
      </c>
      <c r="C304">
        <f>VLOOKUP($A304,'Medical Examinations'!A:C, 3, FALSE)</f>
        <v>43.53</v>
      </c>
      <c r="D304" t="str">
        <f>VLOOKUP($A304, 'Medical Examinations'!A:D, 4, FALSE)</f>
        <v>Prediabetes</v>
      </c>
      <c r="E304" t="str">
        <f>VLOOKUP($A304, 'Medical Examinations'!A:F, 6, FALSE)</f>
        <v>yes</v>
      </c>
      <c r="F304" t="str">
        <f>VLOOKUP($A304, 'Medical Examinations'!A:G, 7, FALSE)</f>
        <v>yes</v>
      </c>
      <c r="G304" t="str">
        <f>VLOOKUP($A304, 'Medical Examinations'!A:H, 8, FALSE)</f>
        <v>No</v>
      </c>
      <c r="H304">
        <f>VLOOKUP($A304, 'Medical Examinations'!A:J, 10, FALSE)</f>
        <v>2</v>
      </c>
      <c r="I304" t="str">
        <f>VLOOKUP($A304, 'Medical Examinations'!A:K, 11, FALSE)</f>
        <v>yes</v>
      </c>
      <c r="J304" t="str">
        <f>VLOOKUP($A304, 'Medical Examinations'!A:B, 2, FALSE)</f>
        <v>Obesity</v>
      </c>
      <c r="K304" t="str">
        <f>VLOOKUP($A304, 'Medical Examinations'!A:D, 4, FALSE)</f>
        <v>Prediabetes</v>
      </c>
    </row>
    <row r="305" spans="1:11" ht="15.5" x14ac:dyDescent="0.35">
      <c r="A305" s="1" t="s">
        <v>2068</v>
      </c>
      <c r="B305" t="str">
        <f>VLOOKUP($A305, 'Customer Names'!A:D, 3, FALSE)</f>
        <v>Clark</v>
      </c>
      <c r="C305">
        <f>VLOOKUP($A305,'Medical Examinations'!A:C, 3, FALSE)</f>
        <v>46.06</v>
      </c>
      <c r="D305" t="str">
        <f>VLOOKUP($A305, 'Medical Examinations'!A:D, 4, FALSE)</f>
        <v>Normal</v>
      </c>
      <c r="E305" t="str">
        <f>VLOOKUP($A305, 'Medical Examinations'!A:F, 6, FALSE)</f>
        <v>No</v>
      </c>
      <c r="F305" t="str">
        <f>VLOOKUP($A305, 'Medical Examinations'!A:G, 7, FALSE)</f>
        <v>yes</v>
      </c>
      <c r="G305" t="str">
        <f>VLOOKUP($A305, 'Medical Examinations'!A:H, 8, FALSE)</f>
        <v>No</v>
      </c>
      <c r="H305">
        <f>VLOOKUP($A305, 'Medical Examinations'!A:J, 10, FALSE)</f>
        <v>1</v>
      </c>
      <c r="I305" t="str">
        <f>VLOOKUP($A305, 'Medical Examinations'!A:K, 11, FALSE)</f>
        <v>yes</v>
      </c>
      <c r="J305" t="str">
        <f>VLOOKUP($A305, 'Medical Examinations'!A:B, 2, FALSE)</f>
        <v>Obesity</v>
      </c>
      <c r="K305" t="str">
        <f>VLOOKUP($A305, 'Medical Examinations'!A:D, 4, FALSE)</f>
        <v>Normal</v>
      </c>
    </row>
    <row r="306" spans="1:11" ht="15.5" x14ac:dyDescent="0.35">
      <c r="A306" s="1" t="s">
        <v>2067</v>
      </c>
      <c r="B306" t="str">
        <f>VLOOKUP($A306, 'Customer Names'!A:D, 3, FALSE)</f>
        <v>Irish</v>
      </c>
      <c r="C306">
        <f>VLOOKUP($A306,'Medical Examinations'!A:C, 3, FALSE)</f>
        <v>29.92</v>
      </c>
      <c r="D306" t="str">
        <f>VLOOKUP($A306, 'Medical Examinations'!A:D, 4, FALSE)</f>
        <v>Diabetes</v>
      </c>
      <c r="E306" t="str">
        <f>VLOOKUP($A306, 'Medical Examinations'!A:F, 6, FALSE)</f>
        <v>yes</v>
      </c>
      <c r="F306" t="str">
        <f>VLOOKUP($A306, 'Medical Examinations'!A:G, 7, FALSE)</f>
        <v>No</v>
      </c>
      <c r="G306" t="str">
        <f>VLOOKUP($A306, 'Medical Examinations'!A:H, 8, FALSE)</f>
        <v>No</v>
      </c>
      <c r="H306">
        <f>VLOOKUP($A306, 'Medical Examinations'!A:J, 10, FALSE)</f>
        <v>2</v>
      </c>
      <c r="I306" t="str">
        <f>VLOOKUP($A306, 'Medical Examinations'!A:K, 11, FALSE)</f>
        <v>yes</v>
      </c>
      <c r="J306" t="e">
        <f>VLOOKUP($A306, 'Medical Examinations'!A:B, 2, FALSE)</f>
        <v>#N/A</v>
      </c>
      <c r="K306" t="str">
        <f>VLOOKUP($A306, 'Medical Examinations'!A:D, 4, FALSE)</f>
        <v>Diabetes</v>
      </c>
    </row>
    <row r="307" spans="1:11" ht="15.5" x14ac:dyDescent="0.35">
      <c r="A307" s="1" t="s">
        <v>2066</v>
      </c>
      <c r="B307" t="str">
        <f>VLOOKUP($A307, 'Customer Names'!A:D, 3, FALSE)</f>
        <v>Richardson</v>
      </c>
      <c r="C307">
        <f>VLOOKUP($A307,'Medical Examinations'!A:C, 3, FALSE)</f>
        <v>28.46</v>
      </c>
      <c r="D307" t="str">
        <f>VLOOKUP($A307, 'Medical Examinations'!A:D, 4, FALSE)</f>
        <v>Normal</v>
      </c>
      <c r="E307" t="str">
        <f>VLOOKUP($A307, 'Medical Examinations'!A:F, 6, FALSE)</f>
        <v>yes</v>
      </c>
      <c r="F307" t="str">
        <f>VLOOKUP($A307, 'Medical Examinations'!A:G, 7, FALSE)</f>
        <v>No</v>
      </c>
      <c r="G307" t="str">
        <f>VLOOKUP($A307, 'Medical Examinations'!A:H, 8, FALSE)</f>
        <v>No</v>
      </c>
      <c r="H307">
        <f>VLOOKUP($A307, 'Medical Examinations'!A:J, 10, FALSE)</f>
        <v>1</v>
      </c>
      <c r="I307" t="str">
        <f>VLOOKUP($A307, 'Medical Examinations'!A:K, 11, FALSE)</f>
        <v>yes</v>
      </c>
      <c r="J307" t="str">
        <f>VLOOKUP($A307, 'Medical Examinations'!A:B, 2, FALSE)</f>
        <v>Overweight</v>
      </c>
      <c r="K307" t="str">
        <f>VLOOKUP($A307, 'Medical Examinations'!A:D, 4, FALSE)</f>
        <v>Normal</v>
      </c>
    </row>
    <row r="308" spans="1:11" ht="15.5" x14ac:dyDescent="0.35">
      <c r="A308" s="1" t="s">
        <v>2065</v>
      </c>
      <c r="B308" t="str">
        <f>VLOOKUP($A308, 'Customer Names'!A:D, 3, FALSE)</f>
        <v>Dewitt</v>
      </c>
      <c r="C308">
        <f>VLOOKUP($A308,'Medical Examinations'!A:C, 3, FALSE)</f>
        <v>24.56</v>
      </c>
      <c r="D308" t="str">
        <f>VLOOKUP($A308, 'Medical Examinations'!A:D, 4, FALSE)</f>
        <v>Prediabetes</v>
      </c>
      <c r="E308" t="str">
        <f>VLOOKUP($A308, 'Medical Examinations'!A:F, 6, FALSE)</f>
        <v>yes</v>
      </c>
      <c r="F308" t="str">
        <f>VLOOKUP($A308, 'Medical Examinations'!A:G, 7, FALSE)</f>
        <v>No</v>
      </c>
      <c r="G308" t="str">
        <f>VLOOKUP($A308, 'Medical Examinations'!A:H, 8, FALSE)</f>
        <v>Yes</v>
      </c>
      <c r="H308">
        <f>VLOOKUP($A308, 'Medical Examinations'!A:J, 10, FALSE)</f>
        <v>1</v>
      </c>
      <c r="I308" t="str">
        <f>VLOOKUP($A308, 'Medical Examinations'!A:K, 11, FALSE)</f>
        <v>yes</v>
      </c>
      <c r="J308" t="str">
        <f>VLOOKUP($A308, 'Medical Examinations'!A:B, 2, FALSE)</f>
        <v>Normal Weight</v>
      </c>
      <c r="K308" t="str">
        <f>VLOOKUP($A308, 'Medical Examinations'!A:D, 4, FALSE)</f>
        <v>Prediabetes</v>
      </c>
    </row>
    <row r="309" spans="1:11" ht="15.5" x14ac:dyDescent="0.35">
      <c r="A309" s="1" t="s">
        <v>2064</v>
      </c>
      <c r="B309" t="str">
        <f>VLOOKUP($A309, 'Customer Names'!A:D, 3, FALSE)</f>
        <v>Hickman</v>
      </c>
      <c r="C309">
        <f>VLOOKUP($A309,'Medical Examinations'!A:C, 3, FALSE)</f>
        <v>41.19</v>
      </c>
      <c r="D309" t="str">
        <f>VLOOKUP($A309, 'Medical Examinations'!A:D, 4, FALSE)</f>
        <v>Prediabetes</v>
      </c>
      <c r="E309" t="str">
        <f>VLOOKUP($A309, 'Medical Examinations'!A:F, 6, FALSE)</f>
        <v>No</v>
      </c>
      <c r="F309" t="str">
        <f>VLOOKUP($A309, 'Medical Examinations'!A:G, 7, FALSE)</f>
        <v>No</v>
      </c>
      <c r="G309" t="str">
        <f>VLOOKUP($A309, 'Medical Examinations'!A:H, 8, FALSE)</f>
        <v>No</v>
      </c>
      <c r="H309" t="str">
        <f>VLOOKUP($A309, 'Medical Examinations'!A:J, 10, FALSE)</f>
        <v>No major surgery</v>
      </c>
      <c r="I309" t="str">
        <f>VLOOKUP($A309, 'Medical Examinations'!A:K, 11, FALSE)</f>
        <v>yes</v>
      </c>
      <c r="J309" t="str">
        <f>VLOOKUP($A309, 'Medical Examinations'!A:B, 2, FALSE)</f>
        <v>Obesity</v>
      </c>
      <c r="K309" t="str">
        <f>VLOOKUP($A309, 'Medical Examinations'!A:D, 4, FALSE)</f>
        <v>Prediabetes</v>
      </c>
    </row>
    <row r="310" spans="1:11" ht="15.5" x14ac:dyDescent="0.35">
      <c r="A310" s="1" t="s">
        <v>2063</v>
      </c>
      <c r="B310" t="str">
        <f>VLOOKUP($A310, 'Customer Names'!A:D, 3, FALSE)</f>
        <v>Gonzalez</v>
      </c>
      <c r="C310">
        <f>VLOOKUP($A310,'Medical Examinations'!A:C, 3, FALSE)</f>
        <v>18.63</v>
      </c>
      <c r="D310" t="str">
        <f>VLOOKUP($A310, 'Medical Examinations'!A:D, 4, FALSE)</f>
        <v>Diabetes</v>
      </c>
      <c r="E310" t="str">
        <f>VLOOKUP($A310, 'Medical Examinations'!A:F, 6, FALSE)</f>
        <v>yes</v>
      </c>
      <c r="F310" t="str">
        <f>VLOOKUP($A310, 'Medical Examinations'!A:G, 7, FALSE)</f>
        <v>No</v>
      </c>
      <c r="G310" t="str">
        <f>VLOOKUP($A310, 'Medical Examinations'!A:H, 8, FALSE)</f>
        <v>No</v>
      </c>
      <c r="H310">
        <f>VLOOKUP($A310, 'Medical Examinations'!A:J, 10, FALSE)</f>
        <v>2</v>
      </c>
      <c r="I310" t="str">
        <f>VLOOKUP($A310, 'Medical Examinations'!A:K, 11, FALSE)</f>
        <v>yes</v>
      </c>
      <c r="J310" t="str">
        <f>VLOOKUP($A310, 'Medical Examinations'!A:B, 2, FALSE)</f>
        <v>Normal Weight</v>
      </c>
      <c r="K310" t="str">
        <f>VLOOKUP($A310, 'Medical Examinations'!A:D, 4, FALSE)</f>
        <v>Diabetes</v>
      </c>
    </row>
    <row r="311" spans="1:11" ht="15.5" x14ac:dyDescent="0.35">
      <c r="A311" s="1" t="s">
        <v>2062</v>
      </c>
      <c r="B311" t="str">
        <f>VLOOKUP($A311, 'Customer Names'!A:D, 3, FALSE)</f>
        <v>Difani</v>
      </c>
      <c r="C311">
        <f>VLOOKUP($A311,'Medical Examinations'!A:C, 3, FALSE)</f>
        <v>26.26</v>
      </c>
      <c r="D311" t="str">
        <f>VLOOKUP($A311, 'Medical Examinations'!A:D, 4, FALSE)</f>
        <v>Diabetes</v>
      </c>
      <c r="E311" t="str">
        <f>VLOOKUP($A311, 'Medical Examinations'!A:F, 6, FALSE)</f>
        <v>yes</v>
      </c>
      <c r="F311" t="str">
        <f>VLOOKUP($A311, 'Medical Examinations'!A:G, 7, FALSE)</f>
        <v>No</v>
      </c>
      <c r="G311" t="str">
        <f>VLOOKUP($A311, 'Medical Examinations'!A:H, 8, FALSE)</f>
        <v>No</v>
      </c>
      <c r="H311">
        <f>VLOOKUP($A311, 'Medical Examinations'!A:J, 10, FALSE)</f>
        <v>1</v>
      </c>
      <c r="I311" t="str">
        <f>VLOOKUP($A311, 'Medical Examinations'!A:K, 11, FALSE)</f>
        <v>yes</v>
      </c>
      <c r="J311" t="str">
        <f>VLOOKUP($A311, 'Medical Examinations'!A:B, 2, FALSE)</f>
        <v>Overweight</v>
      </c>
      <c r="K311" t="str">
        <f>VLOOKUP($A311, 'Medical Examinations'!A:D, 4, FALSE)</f>
        <v>Diabetes</v>
      </c>
    </row>
    <row r="312" spans="1:11" ht="15.5" x14ac:dyDescent="0.35">
      <c r="A312" s="1" t="s">
        <v>2061</v>
      </c>
      <c r="B312" t="str">
        <f>VLOOKUP($A312, 'Customer Names'!A:D, 3, FALSE)</f>
        <v>Turner</v>
      </c>
      <c r="C312">
        <f>VLOOKUP($A312,'Medical Examinations'!A:C, 3, FALSE)</f>
        <v>22.37</v>
      </c>
      <c r="D312" t="str">
        <f>VLOOKUP($A312, 'Medical Examinations'!A:D, 4, FALSE)</f>
        <v>Prediabetes</v>
      </c>
      <c r="E312" t="str">
        <f>VLOOKUP($A312, 'Medical Examinations'!A:F, 6, FALSE)</f>
        <v>yes</v>
      </c>
      <c r="F312" t="str">
        <f>VLOOKUP($A312, 'Medical Examinations'!A:G, 7, FALSE)</f>
        <v>No</v>
      </c>
      <c r="G312" t="str">
        <f>VLOOKUP($A312, 'Medical Examinations'!A:H, 8, FALSE)</f>
        <v>Yes</v>
      </c>
      <c r="H312">
        <f>VLOOKUP($A312, 'Medical Examinations'!A:J, 10, FALSE)</f>
        <v>1</v>
      </c>
      <c r="I312" t="str">
        <f>VLOOKUP($A312, 'Medical Examinations'!A:K, 11, FALSE)</f>
        <v>yes</v>
      </c>
      <c r="J312" t="str">
        <f>VLOOKUP($A312, 'Medical Examinations'!A:B, 2, FALSE)</f>
        <v>Normal Weight</v>
      </c>
      <c r="K312" t="str">
        <f>VLOOKUP($A312, 'Medical Examinations'!A:D, 4, FALSE)</f>
        <v>Prediabetes</v>
      </c>
    </row>
    <row r="313" spans="1:11" ht="15.5" x14ac:dyDescent="0.35">
      <c r="A313" s="1" t="s">
        <v>2060</v>
      </c>
      <c r="B313" t="str">
        <f>VLOOKUP($A313, 'Customer Names'!A:D, 3, FALSE)</f>
        <v>Widmann</v>
      </c>
      <c r="C313">
        <f>VLOOKUP($A313,'Medical Examinations'!A:C, 3, FALSE)</f>
        <v>39.619999999999997</v>
      </c>
      <c r="D313" t="str">
        <f>VLOOKUP($A313, 'Medical Examinations'!A:D, 4, FALSE)</f>
        <v>Normal</v>
      </c>
      <c r="E313" t="str">
        <f>VLOOKUP($A313, 'Medical Examinations'!A:F, 6, FALSE)</f>
        <v>No</v>
      </c>
      <c r="F313" t="str">
        <f>VLOOKUP($A313, 'Medical Examinations'!A:G, 7, FALSE)</f>
        <v>No</v>
      </c>
      <c r="G313" t="str">
        <f>VLOOKUP($A313, 'Medical Examinations'!A:H, 8, FALSE)</f>
        <v>No</v>
      </c>
      <c r="H313">
        <f>VLOOKUP($A313, 'Medical Examinations'!A:J, 10, FALSE)</f>
        <v>1</v>
      </c>
      <c r="I313" t="str">
        <f>VLOOKUP($A313, 'Medical Examinations'!A:K, 11, FALSE)</f>
        <v>yes</v>
      </c>
      <c r="J313" t="str">
        <f>VLOOKUP($A313, 'Medical Examinations'!A:B, 2, FALSE)</f>
        <v>Obesity</v>
      </c>
      <c r="K313" t="str">
        <f>VLOOKUP($A313, 'Medical Examinations'!A:D, 4, FALSE)</f>
        <v>Normal</v>
      </c>
    </row>
    <row r="314" spans="1:11" ht="15.5" x14ac:dyDescent="0.35">
      <c r="A314" s="1" t="s">
        <v>2059</v>
      </c>
      <c r="B314" t="str">
        <f>VLOOKUP($A314, 'Customer Names'!A:D, 3, FALSE)</f>
        <v>Tunney</v>
      </c>
      <c r="C314">
        <f>VLOOKUP($A314,'Medical Examinations'!A:C, 3, FALSE)</f>
        <v>18.329999999999998</v>
      </c>
      <c r="D314" t="str">
        <f>VLOOKUP($A314, 'Medical Examinations'!A:D, 4, FALSE)</f>
        <v>Normal</v>
      </c>
      <c r="E314" t="str">
        <f>VLOOKUP($A314, 'Medical Examinations'!A:F, 6, FALSE)</f>
        <v>yes</v>
      </c>
      <c r="F314" t="str">
        <f>VLOOKUP($A314, 'Medical Examinations'!A:G, 7, FALSE)</f>
        <v>No</v>
      </c>
      <c r="G314" t="str">
        <f>VLOOKUP($A314, 'Medical Examinations'!A:H, 8, FALSE)</f>
        <v>No</v>
      </c>
      <c r="H314" t="str">
        <f>VLOOKUP($A314, 'Medical Examinations'!A:J, 10, FALSE)</f>
        <v>No major surgery</v>
      </c>
      <c r="I314" t="str">
        <f>VLOOKUP($A314, 'Medical Examinations'!A:K, 11, FALSE)</f>
        <v>yes</v>
      </c>
      <c r="J314" t="str">
        <f>VLOOKUP($A314, 'Medical Examinations'!A:B, 2, FALSE)</f>
        <v>Underweight</v>
      </c>
      <c r="K314" t="str">
        <f>VLOOKUP($A314, 'Medical Examinations'!A:D, 4, FALSE)</f>
        <v>Normal</v>
      </c>
    </row>
    <row r="315" spans="1:11" ht="15.5" x14ac:dyDescent="0.35">
      <c r="A315" s="1" t="s">
        <v>2058</v>
      </c>
      <c r="B315" t="str">
        <f>VLOOKUP($A315, 'Customer Names'!A:D, 3, FALSE)</f>
        <v>San Juan</v>
      </c>
      <c r="C315">
        <f>VLOOKUP($A315,'Medical Examinations'!A:C, 3, FALSE)</f>
        <v>17.11</v>
      </c>
      <c r="D315" t="str">
        <f>VLOOKUP($A315, 'Medical Examinations'!A:D, 4, FALSE)</f>
        <v>Normal</v>
      </c>
      <c r="E315" t="str">
        <f>VLOOKUP($A315, 'Medical Examinations'!A:F, 6, FALSE)</f>
        <v>yes</v>
      </c>
      <c r="F315" t="str">
        <f>VLOOKUP($A315, 'Medical Examinations'!A:G, 7, FALSE)</f>
        <v>No</v>
      </c>
      <c r="G315" t="str">
        <f>VLOOKUP($A315, 'Medical Examinations'!A:H, 8, FALSE)</f>
        <v>Yes</v>
      </c>
      <c r="H315">
        <f>VLOOKUP($A315, 'Medical Examinations'!A:J, 10, FALSE)</f>
        <v>1</v>
      </c>
      <c r="I315" t="str">
        <f>VLOOKUP($A315, 'Medical Examinations'!A:K, 11, FALSE)</f>
        <v>yes</v>
      </c>
      <c r="J315" t="str">
        <f>VLOOKUP($A315, 'Medical Examinations'!A:B, 2, FALSE)</f>
        <v>Underweight</v>
      </c>
      <c r="K315" t="str">
        <f>VLOOKUP($A315, 'Medical Examinations'!A:D, 4, FALSE)</f>
        <v>Normal</v>
      </c>
    </row>
    <row r="316" spans="1:11" ht="15.5" x14ac:dyDescent="0.35">
      <c r="A316" s="1" t="s">
        <v>2057</v>
      </c>
      <c r="B316" t="str">
        <f>VLOOKUP($A316, 'Customer Names'!A:D, 3, FALSE)</f>
        <v>Croll</v>
      </c>
      <c r="C316">
        <f>VLOOKUP($A316,'Medical Examinations'!A:C, 3, FALSE)</f>
        <v>43.5</v>
      </c>
      <c r="D316" t="str">
        <f>VLOOKUP($A316, 'Medical Examinations'!A:D, 4, FALSE)</f>
        <v>Prediabetes</v>
      </c>
      <c r="E316" t="str">
        <f>VLOOKUP($A316, 'Medical Examinations'!A:F, 6, FALSE)</f>
        <v>No</v>
      </c>
      <c r="F316" t="str">
        <f>VLOOKUP($A316, 'Medical Examinations'!A:G, 7, FALSE)</f>
        <v>yes</v>
      </c>
      <c r="G316" t="str">
        <f>VLOOKUP($A316, 'Medical Examinations'!A:H, 8, FALSE)</f>
        <v>No</v>
      </c>
      <c r="H316">
        <f>VLOOKUP($A316, 'Medical Examinations'!A:J, 10, FALSE)</f>
        <v>1</v>
      </c>
      <c r="I316" t="str">
        <f>VLOOKUP($A316, 'Medical Examinations'!A:K, 11, FALSE)</f>
        <v>yes</v>
      </c>
      <c r="J316" t="str">
        <f>VLOOKUP($A316, 'Medical Examinations'!A:B, 2, FALSE)</f>
        <v>Obesity</v>
      </c>
      <c r="K316" t="str">
        <f>VLOOKUP($A316, 'Medical Examinations'!A:D, 4, FALSE)</f>
        <v>Prediabetes</v>
      </c>
    </row>
    <row r="317" spans="1:11" ht="15.5" x14ac:dyDescent="0.35">
      <c r="A317" s="1" t="s">
        <v>2056</v>
      </c>
      <c r="B317" t="str">
        <f>VLOOKUP($A317, 'Customer Names'!A:D, 3, FALSE)</f>
        <v>Rolfes</v>
      </c>
      <c r="C317">
        <f>VLOOKUP($A317,'Medical Examinations'!A:C, 3, FALSE)</f>
        <v>25.364999999999998</v>
      </c>
      <c r="D317" t="str">
        <f>VLOOKUP($A317, 'Medical Examinations'!A:D, 4, FALSE)</f>
        <v>Normal</v>
      </c>
      <c r="E317" t="str">
        <f>VLOOKUP($A317, 'Medical Examinations'!A:F, 6, FALSE)</f>
        <v>No</v>
      </c>
      <c r="F317" t="str">
        <f>VLOOKUP($A317, 'Medical Examinations'!A:G, 7, FALSE)</f>
        <v>No</v>
      </c>
      <c r="G317" t="str">
        <f>VLOOKUP($A317, 'Medical Examinations'!A:H, 8, FALSE)</f>
        <v>No</v>
      </c>
      <c r="H317">
        <f>VLOOKUP($A317, 'Medical Examinations'!A:J, 10, FALSE)</f>
        <v>2</v>
      </c>
      <c r="I317" t="str">
        <f>VLOOKUP($A317, 'Medical Examinations'!A:K, 11, FALSE)</f>
        <v>No</v>
      </c>
      <c r="J317" t="str">
        <f>VLOOKUP($A317, 'Medical Examinations'!A:B, 2, FALSE)</f>
        <v>Overweight</v>
      </c>
      <c r="K317" t="str">
        <f>VLOOKUP($A317, 'Medical Examinations'!A:D, 4, FALSE)</f>
        <v>Normal</v>
      </c>
    </row>
    <row r="318" spans="1:11" ht="15.5" x14ac:dyDescent="0.35">
      <c r="A318" s="1" t="s">
        <v>2055</v>
      </c>
      <c r="B318" t="str">
        <f>VLOOKUP($A318, 'Customer Names'!A:D, 3, FALSE)</f>
        <v>Hinkle</v>
      </c>
      <c r="C318">
        <f>VLOOKUP($A318,'Medical Examinations'!A:C, 3, FALSE)</f>
        <v>28.594999999999999</v>
      </c>
      <c r="D318" t="str">
        <f>VLOOKUP($A318, 'Medical Examinations'!A:D, 4, FALSE)</f>
        <v>Diabetes</v>
      </c>
      <c r="E318" t="str">
        <f>VLOOKUP($A318, 'Medical Examinations'!A:F, 6, FALSE)</f>
        <v>No</v>
      </c>
      <c r="F318" t="str">
        <f>VLOOKUP($A318, 'Medical Examinations'!A:G, 7, FALSE)</f>
        <v>No</v>
      </c>
      <c r="G318" t="str">
        <f>VLOOKUP($A318, 'Medical Examinations'!A:H, 8, FALSE)</f>
        <v>No</v>
      </c>
      <c r="H318" t="str">
        <f>VLOOKUP($A318, 'Medical Examinations'!A:J, 10, FALSE)</f>
        <v>No major surgery</v>
      </c>
      <c r="I318" t="str">
        <f>VLOOKUP($A318, 'Medical Examinations'!A:K, 11, FALSE)</f>
        <v>No</v>
      </c>
      <c r="J318" t="str">
        <f>VLOOKUP($A318, 'Medical Examinations'!A:B, 2, FALSE)</f>
        <v>Overweight</v>
      </c>
      <c r="K318" t="str">
        <f>VLOOKUP($A318, 'Medical Examinations'!A:D, 4, FALSE)</f>
        <v>Diabetes</v>
      </c>
    </row>
    <row r="319" spans="1:11" ht="15.5" x14ac:dyDescent="0.35">
      <c r="A319" s="1" t="s">
        <v>2054</v>
      </c>
      <c r="B319" t="str">
        <f>VLOOKUP($A319, 'Customer Names'!A:D, 3, FALSE)</f>
        <v>Leuchanka</v>
      </c>
      <c r="C319">
        <f>VLOOKUP($A319,'Medical Examinations'!A:C, 3, FALSE)</f>
        <v>29.83</v>
      </c>
      <c r="D319" t="str">
        <f>VLOOKUP($A319, 'Medical Examinations'!A:D, 4, FALSE)</f>
        <v>Diabetes</v>
      </c>
      <c r="E319" t="str">
        <f>VLOOKUP($A319, 'Medical Examinations'!A:F, 6, FALSE)</f>
        <v>yes</v>
      </c>
      <c r="F319" t="str">
        <f>VLOOKUP($A319, 'Medical Examinations'!A:G, 7, FALSE)</f>
        <v>No</v>
      </c>
      <c r="G319" t="str">
        <f>VLOOKUP($A319, 'Medical Examinations'!A:H, 8, FALSE)</f>
        <v>Yes</v>
      </c>
      <c r="H319">
        <f>VLOOKUP($A319, 'Medical Examinations'!A:J, 10, FALSE)</f>
        <v>1</v>
      </c>
      <c r="I319" t="str">
        <f>VLOOKUP($A319, 'Medical Examinations'!A:K, 11, FALSE)</f>
        <v>yes</v>
      </c>
      <c r="J319" t="str">
        <f>VLOOKUP($A319, 'Medical Examinations'!A:B, 2, FALSE)</f>
        <v>Overweight</v>
      </c>
      <c r="K319" t="str">
        <f>VLOOKUP($A319, 'Medical Examinations'!A:D, 4, FALSE)</f>
        <v>Diabetes</v>
      </c>
    </row>
    <row r="320" spans="1:11" ht="15.5" x14ac:dyDescent="0.35">
      <c r="A320" s="1" t="s">
        <v>2053</v>
      </c>
      <c r="B320" t="str">
        <f>VLOOKUP($A320, 'Customer Names'!A:D, 3, FALSE)</f>
        <v>Ayr</v>
      </c>
      <c r="C320">
        <f>VLOOKUP($A320,'Medical Examinations'!A:C, 3, FALSE)</f>
        <v>24.7</v>
      </c>
      <c r="D320" t="str">
        <f>VLOOKUP($A320, 'Medical Examinations'!A:D, 4, FALSE)</f>
        <v>Diabetes</v>
      </c>
      <c r="E320" t="str">
        <f>VLOOKUP($A320, 'Medical Examinations'!A:F, 6, FALSE)</f>
        <v>No</v>
      </c>
      <c r="F320" t="str">
        <f>VLOOKUP($A320, 'Medical Examinations'!A:G, 7, FALSE)</f>
        <v>No</v>
      </c>
      <c r="G320" t="str">
        <f>VLOOKUP($A320, 'Medical Examinations'!A:H, 8, FALSE)</f>
        <v>No</v>
      </c>
      <c r="H320">
        <f>VLOOKUP($A320, 'Medical Examinations'!A:J, 10, FALSE)</f>
        <v>3</v>
      </c>
      <c r="I320" t="str">
        <f>VLOOKUP($A320, 'Medical Examinations'!A:K, 11, FALSE)</f>
        <v>No</v>
      </c>
      <c r="J320" t="str">
        <f>VLOOKUP($A320, 'Medical Examinations'!A:B, 2, FALSE)</f>
        <v>Normal Weight</v>
      </c>
      <c r="K320" t="str">
        <f>VLOOKUP($A320, 'Medical Examinations'!A:D, 4, FALSE)</f>
        <v>Diabetes</v>
      </c>
    </row>
    <row r="321" spans="1:11" ht="15.5" x14ac:dyDescent="0.35">
      <c r="A321" s="1" t="s">
        <v>2052</v>
      </c>
      <c r="B321" t="str">
        <f>VLOOKUP($A321, 'Customer Names'!A:D, 3, FALSE)</f>
        <v>Siegel</v>
      </c>
      <c r="C321">
        <f>VLOOKUP($A321,'Medical Examinations'!A:C, 3, FALSE)</f>
        <v>17.940000000000001</v>
      </c>
      <c r="D321" t="str">
        <f>VLOOKUP($A321, 'Medical Examinations'!A:D, 4, FALSE)</f>
        <v>Diabetes</v>
      </c>
      <c r="E321" t="str">
        <f>VLOOKUP($A321, 'Medical Examinations'!A:F, 6, FALSE)</f>
        <v>No</v>
      </c>
      <c r="F321" t="str">
        <f>VLOOKUP($A321, 'Medical Examinations'!A:G, 7, FALSE)</f>
        <v>No</v>
      </c>
      <c r="G321" t="str">
        <f>VLOOKUP($A321, 'Medical Examinations'!A:H, 8, FALSE)</f>
        <v>No</v>
      </c>
      <c r="H321" t="str">
        <f>VLOOKUP($A321, 'Medical Examinations'!A:J, 10, FALSE)</f>
        <v>No major surgery</v>
      </c>
      <c r="I321" t="str">
        <f>VLOOKUP($A321, 'Medical Examinations'!A:K, 11, FALSE)</f>
        <v>yes</v>
      </c>
      <c r="J321" t="str">
        <f>VLOOKUP($A321, 'Medical Examinations'!A:B, 2, FALSE)</f>
        <v>Underweight</v>
      </c>
      <c r="K321" t="str">
        <f>VLOOKUP($A321, 'Medical Examinations'!A:D, 4, FALSE)</f>
        <v>Diabetes</v>
      </c>
    </row>
    <row r="322" spans="1:11" ht="15.5" x14ac:dyDescent="0.35">
      <c r="A322" s="1" t="s">
        <v>2051</v>
      </c>
      <c r="B322" t="str">
        <f>VLOOKUP($A322, 'Customer Names'!A:D, 3, FALSE)</f>
        <v>Penrose</v>
      </c>
      <c r="C322">
        <f>VLOOKUP($A322,'Medical Examinations'!A:C, 3, FALSE)</f>
        <v>21.08</v>
      </c>
      <c r="D322" t="str">
        <f>VLOOKUP($A322, 'Medical Examinations'!A:D, 4, FALSE)</f>
        <v>Normal</v>
      </c>
      <c r="E322" t="str">
        <f>VLOOKUP($A322, 'Medical Examinations'!A:F, 6, FALSE)</f>
        <v>No</v>
      </c>
      <c r="F322" t="str">
        <f>VLOOKUP($A322, 'Medical Examinations'!A:G, 7, FALSE)</f>
        <v>No</v>
      </c>
      <c r="G322" t="str">
        <f>VLOOKUP($A322, 'Medical Examinations'!A:H, 8, FALSE)</f>
        <v>Yes</v>
      </c>
      <c r="H322">
        <f>VLOOKUP($A322, 'Medical Examinations'!A:J, 10, FALSE)</f>
        <v>1</v>
      </c>
      <c r="I322" t="str">
        <f>VLOOKUP($A322, 'Medical Examinations'!A:K, 11, FALSE)</f>
        <v>yes</v>
      </c>
      <c r="J322" t="str">
        <f>VLOOKUP($A322, 'Medical Examinations'!A:B, 2, FALSE)</f>
        <v>Normal Weight</v>
      </c>
      <c r="K322" t="str">
        <f>VLOOKUP($A322, 'Medical Examinations'!A:D, 4, FALSE)</f>
        <v>Normal</v>
      </c>
    </row>
    <row r="323" spans="1:11" ht="15.5" x14ac:dyDescent="0.35">
      <c r="A323" s="1" t="s">
        <v>2050</v>
      </c>
      <c r="B323" t="str">
        <f>VLOOKUP($A323, 'Customer Names'!A:D, 3, FALSE)</f>
        <v>Schuler</v>
      </c>
      <c r="C323">
        <f>VLOOKUP($A323,'Medical Examinations'!A:C, 3, FALSE)</f>
        <v>37.715000000000003</v>
      </c>
      <c r="D323" t="str">
        <f>VLOOKUP($A323, 'Medical Examinations'!A:D, 4, FALSE)</f>
        <v>Diabetes</v>
      </c>
      <c r="E323" t="str">
        <f>VLOOKUP($A323, 'Medical Examinations'!A:F, 6, FALSE)</f>
        <v>yes</v>
      </c>
      <c r="F323" t="str">
        <f>VLOOKUP($A323, 'Medical Examinations'!A:G, 7, FALSE)</f>
        <v>No</v>
      </c>
      <c r="G323" t="str">
        <f>VLOOKUP($A323, 'Medical Examinations'!A:H, 8, FALSE)</f>
        <v>No</v>
      </c>
      <c r="H323" t="str">
        <f>VLOOKUP($A323, 'Medical Examinations'!A:J, 10, FALSE)</f>
        <v>No major surgery</v>
      </c>
      <c r="I323" t="str">
        <f>VLOOKUP($A323, 'Medical Examinations'!A:K, 11, FALSE)</f>
        <v>No</v>
      </c>
      <c r="J323" t="str">
        <f>VLOOKUP($A323, 'Medical Examinations'!A:B, 2, FALSE)</f>
        <v>Obesity</v>
      </c>
      <c r="K323" t="str">
        <f>VLOOKUP($A323, 'Medical Examinations'!A:D, 4, FALSE)</f>
        <v>Diabetes</v>
      </c>
    </row>
    <row r="324" spans="1:11" ht="15.5" x14ac:dyDescent="0.35">
      <c r="A324" s="1" t="s">
        <v>2049</v>
      </c>
      <c r="B324" t="str">
        <f>VLOOKUP($A324, 'Customer Names'!A:D, 3, FALSE)</f>
        <v>Walker</v>
      </c>
      <c r="C324">
        <f>VLOOKUP($A324,'Medical Examinations'!A:C, 3, FALSE)</f>
        <v>22.39</v>
      </c>
      <c r="D324" t="str">
        <f>VLOOKUP($A324, 'Medical Examinations'!A:D, 4, FALSE)</f>
        <v>Diabetes</v>
      </c>
      <c r="E324" t="str">
        <f>VLOOKUP($A324, 'Medical Examinations'!A:F, 6, FALSE)</f>
        <v>yes</v>
      </c>
      <c r="F324" t="str">
        <f>VLOOKUP($A324, 'Medical Examinations'!A:G, 7, FALSE)</f>
        <v>No</v>
      </c>
      <c r="G324" t="str">
        <f>VLOOKUP($A324, 'Medical Examinations'!A:H, 8, FALSE)</f>
        <v>No</v>
      </c>
      <c r="H324" t="str">
        <f>VLOOKUP($A324, 'Medical Examinations'!A:J, 10, FALSE)</f>
        <v>No major surgery</v>
      </c>
      <c r="I324" t="str">
        <f>VLOOKUP($A324, 'Medical Examinations'!A:K, 11, FALSE)</f>
        <v>yes</v>
      </c>
      <c r="J324" t="str">
        <f>VLOOKUP($A324, 'Medical Examinations'!A:B, 2, FALSE)</f>
        <v>Normal Weight</v>
      </c>
      <c r="K324" t="str">
        <f>VLOOKUP($A324, 'Medical Examinations'!A:D, 4, FALSE)</f>
        <v>Diabetes</v>
      </c>
    </row>
    <row r="325" spans="1:11" ht="15.5" x14ac:dyDescent="0.35">
      <c r="A325" s="1" t="s">
        <v>2048</v>
      </c>
      <c r="B325" t="str">
        <f>VLOOKUP($A325, 'Customer Names'!A:D, 3, FALSE)</f>
        <v>Stange</v>
      </c>
      <c r="C325">
        <f>VLOOKUP($A325,'Medical Examinations'!A:C, 3, FALSE)</f>
        <v>28.78</v>
      </c>
      <c r="D325" t="str">
        <f>VLOOKUP($A325, 'Medical Examinations'!A:D, 4, FALSE)</f>
        <v>Normal</v>
      </c>
      <c r="E325" t="str">
        <f>VLOOKUP($A325, 'Medical Examinations'!A:F, 6, FALSE)</f>
        <v>No</v>
      </c>
      <c r="F325" t="str">
        <f>VLOOKUP($A325, 'Medical Examinations'!A:G, 7, FALSE)</f>
        <v>No</v>
      </c>
      <c r="G325" t="str">
        <f>VLOOKUP($A325, 'Medical Examinations'!A:H, 8, FALSE)</f>
        <v>No</v>
      </c>
      <c r="H325" t="str">
        <f>VLOOKUP($A325, 'Medical Examinations'!A:J, 10, FALSE)</f>
        <v>No major surgery</v>
      </c>
      <c r="I325" t="str">
        <f>VLOOKUP($A325, 'Medical Examinations'!A:K, 11, FALSE)</f>
        <v>yes</v>
      </c>
      <c r="J325" t="str">
        <f>VLOOKUP($A325, 'Medical Examinations'!A:B, 2, FALSE)</f>
        <v>Overweight</v>
      </c>
      <c r="K325" t="str">
        <f>VLOOKUP($A325, 'Medical Examinations'!A:D, 4, FALSE)</f>
        <v>Normal</v>
      </c>
    </row>
    <row r="326" spans="1:11" ht="15.5" x14ac:dyDescent="0.35">
      <c r="A326" s="1" t="s">
        <v>2047</v>
      </c>
      <c r="B326" t="str">
        <f>VLOOKUP($A326, 'Customer Names'!A:D, 3, FALSE)</f>
        <v>Roy</v>
      </c>
      <c r="C326">
        <f>VLOOKUP($A326,'Medical Examinations'!A:C, 3, FALSE)</f>
        <v>18.329999999999998</v>
      </c>
      <c r="D326" t="str">
        <f>VLOOKUP($A326, 'Medical Examinations'!A:D, 4, FALSE)</f>
        <v>Normal</v>
      </c>
      <c r="E326" t="str">
        <f>VLOOKUP($A326, 'Medical Examinations'!A:F, 6, FALSE)</f>
        <v>yes</v>
      </c>
      <c r="F326" t="str">
        <f>VLOOKUP($A326, 'Medical Examinations'!A:G, 7, FALSE)</f>
        <v>No</v>
      </c>
      <c r="G326" t="str">
        <f>VLOOKUP($A326, 'Medical Examinations'!A:H, 8, FALSE)</f>
        <v>No</v>
      </c>
      <c r="H326" t="str">
        <f>VLOOKUP($A326, 'Medical Examinations'!A:J, 10, FALSE)</f>
        <v>No major surgery</v>
      </c>
      <c r="I326" t="str">
        <f>VLOOKUP($A326, 'Medical Examinations'!A:K, 11, FALSE)</f>
        <v>yes</v>
      </c>
      <c r="J326" t="str">
        <f>VLOOKUP($A326, 'Medical Examinations'!A:B, 2, FALSE)</f>
        <v>Underweight</v>
      </c>
      <c r="K326" t="str">
        <f>VLOOKUP($A326, 'Medical Examinations'!A:D, 4, FALSE)</f>
        <v>Normal</v>
      </c>
    </row>
    <row r="327" spans="1:11" ht="15.5" x14ac:dyDescent="0.35">
      <c r="A327" s="1" t="s">
        <v>2046</v>
      </c>
      <c r="B327" t="str">
        <f>VLOOKUP($A327, 'Customer Names'!A:D, 3, FALSE)</f>
        <v>Potere</v>
      </c>
      <c r="C327">
        <f>VLOOKUP($A327,'Medical Examinations'!A:C, 3, FALSE)</f>
        <v>26.39</v>
      </c>
      <c r="D327" t="str">
        <f>VLOOKUP($A327, 'Medical Examinations'!A:D, 4, FALSE)</f>
        <v>Normal</v>
      </c>
      <c r="E327" t="str">
        <f>VLOOKUP($A327, 'Medical Examinations'!A:F, 6, FALSE)</f>
        <v>yes</v>
      </c>
      <c r="F327" t="str">
        <f>VLOOKUP($A327, 'Medical Examinations'!A:G, 7, FALSE)</f>
        <v>No</v>
      </c>
      <c r="G327" t="str">
        <f>VLOOKUP($A327, 'Medical Examinations'!A:H, 8, FALSE)</f>
        <v>No</v>
      </c>
      <c r="H327">
        <f>VLOOKUP($A327, 'Medical Examinations'!A:J, 10, FALSE)</f>
        <v>1</v>
      </c>
      <c r="I327" t="str">
        <f>VLOOKUP($A327, 'Medical Examinations'!A:K, 11, FALSE)</f>
        <v>yes</v>
      </c>
      <c r="J327" t="str">
        <f>VLOOKUP($A327, 'Medical Examinations'!A:B, 2, FALSE)</f>
        <v>Overweight</v>
      </c>
      <c r="K327" t="str">
        <f>VLOOKUP($A327, 'Medical Examinations'!A:D, 4, FALSE)</f>
        <v>Normal</v>
      </c>
    </row>
    <row r="328" spans="1:11" ht="15.5" x14ac:dyDescent="0.35">
      <c r="A328" s="1" t="s">
        <v>2045</v>
      </c>
      <c r="B328" t="str">
        <f>VLOOKUP($A328, 'Customer Names'!A:D, 3, FALSE)</f>
        <v>Podgurski</v>
      </c>
      <c r="C328">
        <f>VLOOKUP($A328,'Medical Examinations'!A:C, 3, FALSE)</f>
        <v>19.260000000000002</v>
      </c>
      <c r="D328" t="str">
        <f>VLOOKUP($A328, 'Medical Examinations'!A:D, 4, FALSE)</f>
        <v>Diabetes</v>
      </c>
      <c r="E328" t="str">
        <f>VLOOKUP($A328, 'Medical Examinations'!A:F, 6, FALSE)</f>
        <v>yes</v>
      </c>
      <c r="F328" t="str">
        <f>VLOOKUP($A328, 'Medical Examinations'!A:G, 7, FALSE)</f>
        <v>No</v>
      </c>
      <c r="G328" t="str">
        <f>VLOOKUP($A328, 'Medical Examinations'!A:H, 8, FALSE)</f>
        <v>No</v>
      </c>
      <c r="H328">
        <f>VLOOKUP($A328, 'Medical Examinations'!A:J, 10, FALSE)</f>
        <v>1</v>
      </c>
      <c r="I328" t="str">
        <f>VLOOKUP($A328, 'Medical Examinations'!A:K, 11, FALSE)</f>
        <v>yes</v>
      </c>
      <c r="J328" t="str">
        <f>VLOOKUP($A328, 'Medical Examinations'!A:B, 2, FALSE)</f>
        <v>Normal Weight</v>
      </c>
      <c r="K328" t="str">
        <f>VLOOKUP($A328, 'Medical Examinations'!A:D, 4, FALSE)</f>
        <v>Diabetes</v>
      </c>
    </row>
    <row r="329" spans="1:11" ht="15.5" x14ac:dyDescent="0.35">
      <c r="A329" s="1" t="s">
        <v>2044</v>
      </c>
      <c r="B329" t="str">
        <f>VLOOKUP($A329, 'Customer Names'!A:D, 3, FALSE)</f>
        <v>Diamond</v>
      </c>
      <c r="C329">
        <f>VLOOKUP($A329,'Medical Examinations'!A:C, 3, FALSE)</f>
        <v>26.92</v>
      </c>
      <c r="D329" t="str">
        <f>VLOOKUP($A329, 'Medical Examinations'!A:D, 4, FALSE)</f>
        <v>Prediabetes</v>
      </c>
      <c r="E329" t="str">
        <f>VLOOKUP($A329, 'Medical Examinations'!A:F, 6, FALSE)</f>
        <v>No</v>
      </c>
      <c r="F329" t="str">
        <f>VLOOKUP($A329, 'Medical Examinations'!A:G, 7, FALSE)</f>
        <v>No</v>
      </c>
      <c r="G329" t="str">
        <f>VLOOKUP($A329, 'Medical Examinations'!A:H, 8, FALSE)</f>
        <v>No</v>
      </c>
      <c r="H329" t="str">
        <f>VLOOKUP($A329, 'Medical Examinations'!A:J, 10, FALSE)</f>
        <v>No major surgery</v>
      </c>
      <c r="I329" t="str">
        <f>VLOOKUP($A329, 'Medical Examinations'!A:K, 11, FALSE)</f>
        <v>yes</v>
      </c>
      <c r="J329" t="str">
        <f>VLOOKUP($A329, 'Medical Examinations'!A:B, 2, FALSE)</f>
        <v>Overweight</v>
      </c>
      <c r="K329" t="str">
        <f>VLOOKUP($A329, 'Medical Examinations'!A:D, 4, FALSE)</f>
        <v>Prediabetes</v>
      </c>
    </row>
    <row r="330" spans="1:11" ht="15.5" x14ac:dyDescent="0.35">
      <c r="A330" s="1" t="s">
        <v>2043</v>
      </c>
      <c r="B330" t="str">
        <f>VLOOKUP($A330, 'Customer Names'!A:D, 3, FALSE)</f>
        <v>Sallade</v>
      </c>
      <c r="C330">
        <f>VLOOKUP($A330,'Medical Examinations'!A:C, 3, FALSE)</f>
        <v>19.73</v>
      </c>
      <c r="D330" t="str">
        <f>VLOOKUP($A330, 'Medical Examinations'!A:D, 4, FALSE)</f>
        <v>Normal</v>
      </c>
      <c r="E330" t="str">
        <f>VLOOKUP($A330, 'Medical Examinations'!A:F, 6, FALSE)</f>
        <v>No</v>
      </c>
      <c r="F330" t="str">
        <f>VLOOKUP($A330, 'Medical Examinations'!A:G, 7, FALSE)</f>
        <v>No</v>
      </c>
      <c r="G330" t="str">
        <f>VLOOKUP($A330, 'Medical Examinations'!A:H, 8, FALSE)</f>
        <v>No</v>
      </c>
      <c r="H330" t="str">
        <f>VLOOKUP($A330, 'Medical Examinations'!A:J, 10, FALSE)</f>
        <v>No major surgery</v>
      </c>
      <c r="I330" t="str">
        <f>VLOOKUP($A330, 'Medical Examinations'!A:K, 11, FALSE)</f>
        <v>yes</v>
      </c>
      <c r="J330" t="str">
        <f>VLOOKUP($A330, 'Medical Examinations'!A:B, 2, FALSE)</f>
        <v>Normal Weight</v>
      </c>
      <c r="K330" t="str">
        <f>VLOOKUP($A330, 'Medical Examinations'!A:D, 4, FALSE)</f>
        <v>Normal</v>
      </c>
    </row>
    <row r="331" spans="1:11" ht="15.5" x14ac:dyDescent="0.35">
      <c r="A331" s="1" t="s">
        <v>2042</v>
      </c>
      <c r="B331" t="str">
        <f>VLOOKUP($A331, 'Customer Names'!A:D, 3, FALSE)</f>
        <v>Zhang</v>
      </c>
      <c r="C331">
        <f>VLOOKUP($A331,'Medical Examinations'!A:C, 3, FALSE)</f>
        <v>23.56</v>
      </c>
      <c r="D331" t="str">
        <f>VLOOKUP($A331, 'Medical Examinations'!A:D, 4, FALSE)</f>
        <v>Diabetes</v>
      </c>
      <c r="E331" t="str">
        <f>VLOOKUP($A331, 'Medical Examinations'!A:F, 6, FALSE)</f>
        <v>yes</v>
      </c>
      <c r="F331" t="str">
        <f>VLOOKUP($A331, 'Medical Examinations'!A:G, 7, FALSE)</f>
        <v>No</v>
      </c>
      <c r="G331" t="str">
        <f>VLOOKUP($A331, 'Medical Examinations'!A:H, 8, FALSE)</f>
        <v>No</v>
      </c>
      <c r="H331" t="str">
        <f>VLOOKUP($A331, 'Medical Examinations'!A:J, 10, FALSE)</f>
        <v>No major surgery</v>
      </c>
      <c r="I331" t="str">
        <f>VLOOKUP($A331, 'Medical Examinations'!A:K, 11, FALSE)</f>
        <v>yes</v>
      </c>
      <c r="J331" t="str">
        <f>VLOOKUP($A331, 'Medical Examinations'!A:B, 2, FALSE)</f>
        <v>Normal Weight</v>
      </c>
      <c r="K331" t="str">
        <f>VLOOKUP($A331, 'Medical Examinations'!A:D, 4, FALSE)</f>
        <v>Diabetes</v>
      </c>
    </row>
    <row r="332" spans="1:11" ht="15.5" x14ac:dyDescent="0.35">
      <c r="A332" s="1" t="s">
        <v>2041</v>
      </c>
      <c r="B332" t="str">
        <f>VLOOKUP($A332, 'Customer Names'!A:D, 3, FALSE)</f>
        <v>Chatfield</v>
      </c>
      <c r="C332">
        <f>VLOOKUP($A332,'Medical Examinations'!A:C, 3, FALSE)</f>
        <v>37.67</v>
      </c>
      <c r="D332" t="str">
        <f>VLOOKUP($A332, 'Medical Examinations'!A:D, 4, FALSE)</f>
        <v>Prediabetes</v>
      </c>
      <c r="E332" t="str">
        <f>VLOOKUP($A332, 'Medical Examinations'!A:F, 6, FALSE)</f>
        <v>No</v>
      </c>
      <c r="F332" t="str">
        <f>VLOOKUP($A332, 'Medical Examinations'!A:G, 7, FALSE)</f>
        <v>No</v>
      </c>
      <c r="G332" t="str">
        <f>VLOOKUP($A332, 'Medical Examinations'!A:H, 8, FALSE)</f>
        <v>No</v>
      </c>
      <c r="H332">
        <f>VLOOKUP($A332, 'Medical Examinations'!A:J, 10, FALSE)</f>
        <v>1</v>
      </c>
      <c r="I332" t="str">
        <f>VLOOKUP($A332, 'Medical Examinations'!A:K, 11, FALSE)</f>
        <v>yes</v>
      </c>
      <c r="J332" t="str">
        <f>VLOOKUP($A332, 'Medical Examinations'!A:B, 2, FALSE)</f>
        <v>Obesity</v>
      </c>
      <c r="K332" t="str">
        <f>VLOOKUP($A332, 'Medical Examinations'!A:D, 4, FALSE)</f>
        <v>Prediabetes</v>
      </c>
    </row>
    <row r="333" spans="1:11" ht="15.5" x14ac:dyDescent="0.35">
      <c r="A333" s="1" t="s">
        <v>2040</v>
      </c>
      <c r="B333" t="str">
        <f>VLOOKUP($A333, 'Customer Names'!A:D, 3, FALSE)</f>
        <v>Bruns</v>
      </c>
      <c r="C333">
        <f>VLOOKUP($A333,'Medical Examinations'!A:C, 3, FALSE)</f>
        <v>18.73</v>
      </c>
      <c r="D333" t="str">
        <f>VLOOKUP($A333, 'Medical Examinations'!A:D, 4, FALSE)</f>
        <v>Diabetes</v>
      </c>
      <c r="E333" t="str">
        <f>VLOOKUP($A333, 'Medical Examinations'!A:F, 6, FALSE)</f>
        <v>No</v>
      </c>
      <c r="F333" t="str">
        <f>VLOOKUP($A333, 'Medical Examinations'!A:G, 7, FALSE)</f>
        <v>No</v>
      </c>
      <c r="G333" t="str">
        <f>VLOOKUP($A333, 'Medical Examinations'!A:H, 8, FALSE)</f>
        <v>No</v>
      </c>
      <c r="H333">
        <f>VLOOKUP($A333, 'Medical Examinations'!A:J, 10, FALSE)</f>
        <v>2</v>
      </c>
      <c r="I333" t="str">
        <f>VLOOKUP($A333, 'Medical Examinations'!A:K, 11, FALSE)</f>
        <v>yes</v>
      </c>
      <c r="J333" t="str">
        <f>VLOOKUP($A333, 'Medical Examinations'!A:B, 2, FALSE)</f>
        <v>Normal Weight</v>
      </c>
      <c r="K333" t="str">
        <f>VLOOKUP($A333, 'Medical Examinations'!A:D, 4, FALSE)</f>
        <v>Diabetes</v>
      </c>
    </row>
    <row r="334" spans="1:11" ht="15.5" x14ac:dyDescent="0.35">
      <c r="A334" s="1" t="s">
        <v>2039</v>
      </c>
      <c r="B334" t="str">
        <f>VLOOKUP($A334, 'Customer Names'!A:D, 3, FALSE)</f>
        <v>Yochum</v>
      </c>
      <c r="C334">
        <f>VLOOKUP($A334,'Medical Examinations'!A:C, 3, FALSE)</f>
        <v>33.090000000000003</v>
      </c>
      <c r="D334" t="str">
        <f>VLOOKUP($A334, 'Medical Examinations'!A:D, 4, FALSE)</f>
        <v>Prediabetes</v>
      </c>
      <c r="E334" t="str">
        <f>VLOOKUP($A334, 'Medical Examinations'!A:F, 6, FALSE)</f>
        <v>No</v>
      </c>
      <c r="F334" t="str">
        <f>VLOOKUP($A334, 'Medical Examinations'!A:G, 7, FALSE)</f>
        <v>No</v>
      </c>
      <c r="G334" t="str">
        <f>VLOOKUP($A334, 'Medical Examinations'!A:H, 8, FALSE)</f>
        <v>Yes</v>
      </c>
      <c r="H334">
        <f>VLOOKUP($A334, 'Medical Examinations'!A:J, 10, FALSE)</f>
        <v>1</v>
      </c>
      <c r="I334" t="str">
        <f>VLOOKUP($A334, 'Medical Examinations'!A:K, 11, FALSE)</f>
        <v>yes</v>
      </c>
      <c r="J334" t="str">
        <f>VLOOKUP($A334, 'Medical Examinations'!A:B, 2, FALSE)</f>
        <v>Obesity</v>
      </c>
      <c r="K334" t="str">
        <f>VLOOKUP($A334, 'Medical Examinations'!A:D, 4, FALSE)</f>
        <v>Prediabetes</v>
      </c>
    </row>
    <row r="335" spans="1:11" ht="15.5" x14ac:dyDescent="0.35">
      <c r="A335" s="1" t="s">
        <v>2038</v>
      </c>
      <c r="B335" t="str">
        <f>VLOOKUP($A335, 'Customer Names'!A:D, 3, FALSE)</f>
        <v>Freeburn</v>
      </c>
      <c r="C335">
        <f>VLOOKUP($A335,'Medical Examinations'!A:C, 3, FALSE)</f>
        <v>18.329999999999998</v>
      </c>
      <c r="D335" t="str">
        <f>VLOOKUP($A335, 'Medical Examinations'!A:D, 4, FALSE)</f>
        <v>Diabetes</v>
      </c>
      <c r="E335" t="str">
        <f>VLOOKUP($A335, 'Medical Examinations'!A:F, 6, FALSE)</f>
        <v>yes</v>
      </c>
      <c r="F335" t="str">
        <f>VLOOKUP($A335, 'Medical Examinations'!A:G, 7, FALSE)</f>
        <v>No</v>
      </c>
      <c r="G335" t="str">
        <f>VLOOKUP($A335, 'Medical Examinations'!A:H, 8, FALSE)</f>
        <v>No</v>
      </c>
      <c r="H335">
        <f>VLOOKUP($A335, 'Medical Examinations'!A:J, 10, FALSE)</f>
        <v>1</v>
      </c>
      <c r="I335" t="str">
        <f>VLOOKUP($A335, 'Medical Examinations'!A:K, 11, FALSE)</f>
        <v>yes</v>
      </c>
      <c r="J335" t="str">
        <f>VLOOKUP($A335, 'Medical Examinations'!A:B, 2, FALSE)</f>
        <v>Underweight</v>
      </c>
      <c r="K335" t="str">
        <f>VLOOKUP($A335, 'Medical Examinations'!A:D, 4, FALSE)</f>
        <v>Diabetes</v>
      </c>
    </row>
    <row r="336" spans="1:11" ht="15.5" x14ac:dyDescent="0.35">
      <c r="A336" s="1" t="s">
        <v>2037</v>
      </c>
      <c r="B336" t="str">
        <f>VLOOKUP($A336, 'Customer Names'!A:D, 3, FALSE)</f>
        <v>Spencer</v>
      </c>
      <c r="C336">
        <f>VLOOKUP($A336,'Medical Examinations'!A:C, 3, FALSE)</f>
        <v>27.74</v>
      </c>
      <c r="D336" t="str">
        <f>VLOOKUP($A336, 'Medical Examinations'!A:D, 4, FALSE)</f>
        <v>Normal</v>
      </c>
      <c r="E336" t="str">
        <f>VLOOKUP($A336, 'Medical Examinations'!A:F, 6, FALSE)</f>
        <v>yes</v>
      </c>
      <c r="F336" t="str">
        <f>VLOOKUP($A336, 'Medical Examinations'!A:G, 7, FALSE)</f>
        <v>No</v>
      </c>
      <c r="G336" t="str">
        <f>VLOOKUP($A336, 'Medical Examinations'!A:H, 8, FALSE)</f>
        <v>No</v>
      </c>
      <c r="H336">
        <f>VLOOKUP($A336, 'Medical Examinations'!A:J, 10, FALSE)</f>
        <v>2</v>
      </c>
      <c r="I336" t="str">
        <f>VLOOKUP($A336, 'Medical Examinations'!A:K, 11, FALSE)</f>
        <v>yes</v>
      </c>
      <c r="J336" t="str">
        <f>VLOOKUP($A336, 'Medical Examinations'!A:B, 2, FALSE)</f>
        <v>Overweight</v>
      </c>
      <c r="K336" t="str">
        <f>VLOOKUP($A336, 'Medical Examinations'!A:D, 4, FALSE)</f>
        <v>Normal</v>
      </c>
    </row>
    <row r="337" spans="1:11" ht="15.5" x14ac:dyDescent="0.35">
      <c r="A337" s="1" t="s">
        <v>2036</v>
      </c>
      <c r="B337" t="str">
        <f>VLOOKUP($A337, 'Customer Names'!A:D, 3, FALSE)</f>
        <v>Jarosik</v>
      </c>
      <c r="C337">
        <f>VLOOKUP($A337,'Medical Examinations'!A:C, 3, FALSE)</f>
        <v>24.2</v>
      </c>
      <c r="D337" t="str">
        <f>VLOOKUP($A337, 'Medical Examinations'!A:D, 4, FALSE)</f>
        <v>Prediabetes</v>
      </c>
      <c r="E337" t="str">
        <f>VLOOKUP($A337, 'Medical Examinations'!A:F, 6, FALSE)</f>
        <v>No</v>
      </c>
      <c r="F337" t="str">
        <f>VLOOKUP($A337, 'Medical Examinations'!A:G, 7, FALSE)</f>
        <v>No</v>
      </c>
      <c r="G337" t="str">
        <f>VLOOKUP($A337, 'Medical Examinations'!A:H, 8, FALSE)</f>
        <v>No</v>
      </c>
      <c r="H337">
        <f>VLOOKUP($A337, 'Medical Examinations'!A:J, 10, FALSE)</f>
        <v>1</v>
      </c>
      <c r="I337" t="str">
        <f>VLOOKUP($A337, 'Medical Examinations'!A:K, 11, FALSE)</f>
        <v>yes</v>
      </c>
      <c r="J337" t="str">
        <f>VLOOKUP($A337, 'Medical Examinations'!A:B, 2, FALSE)</f>
        <v>Normal Weight</v>
      </c>
      <c r="K337" t="str">
        <f>VLOOKUP($A337, 'Medical Examinations'!A:D, 4, FALSE)</f>
        <v>Prediabetes</v>
      </c>
    </row>
    <row r="338" spans="1:11" ht="15.5" x14ac:dyDescent="0.35">
      <c r="A338" s="1" t="s">
        <v>2035</v>
      </c>
      <c r="B338" t="str">
        <f>VLOOKUP($A338, 'Customer Names'!A:D, 3, FALSE)</f>
        <v>Heinzen</v>
      </c>
      <c r="C338">
        <f>VLOOKUP($A338,'Medical Examinations'!A:C, 3, FALSE)</f>
        <v>22.03</v>
      </c>
      <c r="D338" t="str">
        <f>VLOOKUP($A338, 'Medical Examinations'!A:D, 4, FALSE)</f>
        <v>Normal</v>
      </c>
      <c r="E338" t="str">
        <f>VLOOKUP($A338, 'Medical Examinations'!A:F, 6, FALSE)</f>
        <v>yes</v>
      </c>
      <c r="F338" t="str">
        <f>VLOOKUP($A338, 'Medical Examinations'!A:G, 7, FALSE)</f>
        <v>No</v>
      </c>
      <c r="G338" t="str">
        <f>VLOOKUP($A338, 'Medical Examinations'!A:H, 8, FALSE)</f>
        <v>No</v>
      </c>
      <c r="H338" t="str">
        <f>VLOOKUP($A338, 'Medical Examinations'!A:J, 10, FALSE)</f>
        <v>No major surgery</v>
      </c>
      <c r="I338" t="str">
        <f>VLOOKUP($A338, 'Medical Examinations'!A:K, 11, FALSE)</f>
        <v>yes</v>
      </c>
      <c r="J338" t="str">
        <f>VLOOKUP($A338, 'Medical Examinations'!A:B, 2, FALSE)</f>
        <v>Normal Weight</v>
      </c>
      <c r="K338" t="str">
        <f>VLOOKUP($A338, 'Medical Examinations'!A:D, 4, FALSE)</f>
        <v>Normal</v>
      </c>
    </row>
    <row r="339" spans="1:11" ht="15.5" x14ac:dyDescent="0.35">
      <c r="A339" s="1" t="s">
        <v>2034</v>
      </c>
      <c r="B339" t="str">
        <f>VLOOKUP($A339, 'Customer Names'!A:D, 3, FALSE)</f>
        <v>Kelley</v>
      </c>
      <c r="C339">
        <f>VLOOKUP($A339,'Medical Examinations'!A:C, 3, FALSE)</f>
        <v>26.885000000000002</v>
      </c>
      <c r="D339" t="str">
        <f>VLOOKUP($A339, 'Medical Examinations'!A:D, 4, FALSE)</f>
        <v>Diabetes</v>
      </c>
      <c r="E339" t="str">
        <f>VLOOKUP($A339, 'Medical Examinations'!A:F, 6, FALSE)</f>
        <v>No</v>
      </c>
      <c r="F339" t="str">
        <f>VLOOKUP($A339, 'Medical Examinations'!A:G, 7, FALSE)</f>
        <v>No</v>
      </c>
      <c r="G339" t="str">
        <f>VLOOKUP($A339, 'Medical Examinations'!A:H, 8, FALSE)</f>
        <v>No</v>
      </c>
      <c r="H339">
        <f>VLOOKUP($A339, 'Medical Examinations'!A:J, 10, FALSE)</f>
        <v>3</v>
      </c>
      <c r="I339" t="str">
        <f>VLOOKUP($A339, 'Medical Examinations'!A:K, 11, FALSE)</f>
        <v>yes</v>
      </c>
      <c r="J339" t="str">
        <f>VLOOKUP($A339, 'Medical Examinations'!A:B, 2, FALSE)</f>
        <v>Overweight</v>
      </c>
      <c r="K339" t="str">
        <f>VLOOKUP($A339, 'Medical Examinations'!A:D, 4, FALSE)</f>
        <v>Diabetes</v>
      </c>
    </row>
    <row r="340" spans="1:11" ht="15.5" x14ac:dyDescent="0.35">
      <c r="A340" s="1" t="s">
        <v>2033</v>
      </c>
      <c r="B340" t="str">
        <f>VLOOKUP($A340, 'Customer Names'!A:D, 3, FALSE)</f>
        <v>Thacker</v>
      </c>
      <c r="C340">
        <f>VLOOKUP($A340,'Medical Examinations'!A:C, 3, FALSE)</f>
        <v>16.36</v>
      </c>
      <c r="D340" t="str">
        <f>VLOOKUP($A340, 'Medical Examinations'!A:D, 4, FALSE)</f>
        <v>Diabetes</v>
      </c>
      <c r="E340" t="str">
        <f>VLOOKUP($A340, 'Medical Examinations'!A:F, 6, FALSE)</f>
        <v>No</v>
      </c>
      <c r="F340" t="str">
        <f>VLOOKUP($A340, 'Medical Examinations'!A:G, 7, FALSE)</f>
        <v>No</v>
      </c>
      <c r="G340" t="str">
        <f>VLOOKUP($A340, 'Medical Examinations'!A:H, 8, FALSE)</f>
        <v>No</v>
      </c>
      <c r="H340" t="str">
        <f>VLOOKUP($A340, 'Medical Examinations'!A:J, 10, FALSE)</f>
        <v>No major surgery</v>
      </c>
      <c r="I340" t="str">
        <f>VLOOKUP($A340, 'Medical Examinations'!A:K, 11, FALSE)</f>
        <v>yes</v>
      </c>
      <c r="J340" t="str">
        <f>VLOOKUP($A340, 'Medical Examinations'!A:B, 2, FALSE)</f>
        <v>Underweight</v>
      </c>
      <c r="K340" t="str">
        <f>VLOOKUP($A340, 'Medical Examinations'!A:D, 4, FALSE)</f>
        <v>Diabetes</v>
      </c>
    </row>
    <row r="341" spans="1:11" ht="15.5" x14ac:dyDescent="0.35">
      <c r="A341" s="1" t="s">
        <v>2032</v>
      </c>
      <c r="B341" t="str">
        <f>VLOOKUP($A341, 'Customer Names'!A:D, 3, FALSE)</f>
        <v>Jeseritz</v>
      </c>
      <c r="C341">
        <f>VLOOKUP($A341,'Medical Examinations'!A:C, 3, FALSE)</f>
        <v>32.299999999999997</v>
      </c>
      <c r="D341" t="str">
        <f>VLOOKUP($A341, 'Medical Examinations'!A:D, 4, FALSE)</f>
        <v>Normal</v>
      </c>
      <c r="E341" t="str">
        <f>VLOOKUP($A341, 'Medical Examinations'!A:F, 6, FALSE)</f>
        <v>yes</v>
      </c>
      <c r="F341" t="str">
        <f>VLOOKUP($A341, 'Medical Examinations'!A:G, 7, FALSE)</f>
        <v>No</v>
      </c>
      <c r="G341" t="str">
        <f>VLOOKUP($A341, 'Medical Examinations'!A:H, 8, FALSE)</f>
        <v>Yes</v>
      </c>
      <c r="H341">
        <f>VLOOKUP($A341, 'Medical Examinations'!A:J, 10, FALSE)</f>
        <v>1</v>
      </c>
      <c r="I341" t="str">
        <f>VLOOKUP($A341, 'Medical Examinations'!A:K, 11, FALSE)</f>
        <v>No</v>
      </c>
      <c r="J341" t="str">
        <f>VLOOKUP($A341, 'Medical Examinations'!A:B, 2, FALSE)</f>
        <v>Obesity</v>
      </c>
      <c r="K341" t="str">
        <f>VLOOKUP($A341, 'Medical Examinations'!A:D, 4, FALSE)</f>
        <v>Normal</v>
      </c>
    </row>
    <row r="342" spans="1:11" ht="15.5" x14ac:dyDescent="0.35">
      <c r="A342" s="1" t="s">
        <v>2031</v>
      </c>
      <c r="B342" t="str">
        <f>VLOOKUP($A342, 'Customer Names'!A:D, 3, FALSE)</f>
        <v>Hohman</v>
      </c>
      <c r="C342">
        <f>VLOOKUP($A342,'Medical Examinations'!A:C, 3, FALSE)</f>
        <v>16.05</v>
      </c>
      <c r="D342" t="str">
        <f>VLOOKUP($A342, 'Medical Examinations'!A:D, 4, FALSE)</f>
        <v>Normal</v>
      </c>
      <c r="E342" t="str">
        <f>VLOOKUP($A342, 'Medical Examinations'!A:F, 6, FALSE)</f>
        <v>yes</v>
      </c>
      <c r="F342" t="str">
        <f>VLOOKUP($A342, 'Medical Examinations'!A:G, 7, FALSE)</f>
        <v>No</v>
      </c>
      <c r="G342" t="str">
        <f>VLOOKUP($A342, 'Medical Examinations'!A:H, 8, FALSE)</f>
        <v>No</v>
      </c>
      <c r="H342" t="str">
        <f>VLOOKUP($A342, 'Medical Examinations'!A:J, 10, FALSE)</f>
        <v>No major surgery</v>
      </c>
      <c r="I342" t="str">
        <f>VLOOKUP($A342, 'Medical Examinations'!A:K, 11, FALSE)</f>
        <v>yes</v>
      </c>
      <c r="J342" t="str">
        <f>VLOOKUP($A342, 'Medical Examinations'!A:B, 2, FALSE)</f>
        <v>Underweight</v>
      </c>
      <c r="K342" t="str">
        <f>VLOOKUP($A342, 'Medical Examinations'!A:D, 4, FALSE)</f>
        <v>Normal</v>
      </c>
    </row>
    <row r="343" spans="1:11" ht="15.5" x14ac:dyDescent="0.35">
      <c r="A343" s="1" t="s">
        <v>2030</v>
      </c>
      <c r="B343" t="str">
        <f>VLOOKUP($A343, 'Customer Names'!A:D, 3, FALSE)</f>
        <v>Hill</v>
      </c>
      <c r="C343">
        <f>VLOOKUP($A343,'Medical Examinations'!A:C, 3, FALSE)</f>
        <v>29.07</v>
      </c>
      <c r="D343" t="str">
        <f>VLOOKUP($A343, 'Medical Examinations'!A:D, 4, FALSE)</f>
        <v>Diabetes</v>
      </c>
      <c r="E343" t="str">
        <f>VLOOKUP($A343, 'Medical Examinations'!A:F, 6, FALSE)</f>
        <v>yes</v>
      </c>
      <c r="F343" t="str">
        <f>VLOOKUP($A343, 'Medical Examinations'!A:G, 7, FALSE)</f>
        <v>No</v>
      </c>
      <c r="G343" t="str">
        <f>VLOOKUP($A343, 'Medical Examinations'!A:H, 8, FALSE)</f>
        <v>No</v>
      </c>
      <c r="H343">
        <f>VLOOKUP($A343, 'Medical Examinations'!A:J, 10, FALSE)</f>
        <v>2</v>
      </c>
      <c r="I343" t="str">
        <f>VLOOKUP($A343, 'Medical Examinations'!A:K, 11, FALSE)</f>
        <v>yes</v>
      </c>
      <c r="J343" t="str">
        <f>VLOOKUP($A343, 'Medical Examinations'!A:B, 2, FALSE)</f>
        <v>Overweight</v>
      </c>
      <c r="K343" t="str">
        <f>VLOOKUP($A343, 'Medical Examinations'!A:D, 4, FALSE)</f>
        <v>Diabetes</v>
      </c>
    </row>
    <row r="344" spans="1:11" ht="15.5" x14ac:dyDescent="0.35">
      <c r="A344" s="1" t="s">
        <v>2029</v>
      </c>
      <c r="B344" t="str">
        <f>VLOOKUP($A344, 'Customer Names'!A:D, 3, FALSE)</f>
        <v>Kuepfer</v>
      </c>
      <c r="C344">
        <f>VLOOKUP($A344,'Medical Examinations'!A:C, 3, FALSE)</f>
        <v>17.43</v>
      </c>
      <c r="D344" t="str">
        <f>VLOOKUP($A344, 'Medical Examinations'!A:D, 4, FALSE)</f>
        <v>Diabetes</v>
      </c>
      <c r="E344" t="str">
        <f>VLOOKUP($A344, 'Medical Examinations'!A:F, 6, FALSE)</f>
        <v>No</v>
      </c>
      <c r="F344" t="str">
        <f>VLOOKUP($A344, 'Medical Examinations'!A:G, 7, FALSE)</f>
        <v>No</v>
      </c>
      <c r="G344" t="str">
        <f>VLOOKUP($A344, 'Medical Examinations'!A:H, 8, FALSE)</f>
        <v>No</v>
      </c>
      <c r="H344" t="str">
        <f>VLOOKUP($A344, 'Medical Examinations'!A:J, 10, FALSE)</f>
        <v>No major surgery</v>
      </c>
      <c r="I344" t="str">
        <f>VLOOKUP($A344, 'Medical Examinations'!A:K, 11, FALSE)</f>
        <v>yes</v>
      </c>
      <c r="J344" t="str">
        <f>VLOOKUP($A344, 'Medical Examinations'!A:B, 2, FALSE)</f>
        <v>Underweight</v>
      </c>
      <c r="K344" t="str">
        <f>VLOOKUP($A344, 'Medical Examinations'!A:D, 4, FALSE)</f>
        <v>Diabetes</v>
      </c>
    </row>
    <row r="345" spans="1:11" ht="15.5" x14ac:dyDescent="0.35">
      <c r="A345" s="1" t="s">
        <v>2028</v>
      </c>
      <c r="B345" t="str">
        <f>VLOOKUP($A345, 'Customer Names'!A:D, 3, FALSE)</f>
        <v>Kaczmarek</v>
      </c>
      <c r="C345">
        <f>VLOOKUP($A345,'Medical Examinations'!A:C, 3, FALSE)</f>
        <v>19.329999999999998</v>
      </c>
      <c r="D345" t="str">
        <f>VLOOKUP($A345, 'Medical Examinations'!A:D, 4, FALSE)</f>
        <v>Normal</v>
      </c>
      <c r="E345" t="str">
        <f>VLOOKUP($A345, 'Medical Examinations'!A:F, 6, FALSE)</f>
        <v>No</v>
      </c>
      <c r="F345" t="str">
        <f>VLOOKUP($A345, 'Medical Examinations'!A:G, 7, FALSE)</f>
        <v>No</v>
      </c>
      <c r="G345" t="str">
        <f>VLOOKUP($A345, 'Medical Examinations'!A:H, 8, FALSE)</f>
        <v>No</v>
      </c>
      <c r="H345" t="str">
        <f>VLOOKUP($A345, 'Medical Examinations'!A:J, 10, FALSE)</f>
        <v>No major surgery</v>
      </c>
      <c r="I345" t="str">
        <f>VLOOKUP($A345, 'Medical Examinations'!A:K, 11, FALSE)</f>
        <v>yes</v>
      </c>
      <c r="J345" t="str">
        <f>VLOOKUP($A345, 'Medical Examinations'!A:B, 2, FALSE)</f>
        <v>Normal Weight</v>
      </c>
      <c r="K345" t="str">
        <f>VLOOKUP($A345, 'Medical Examinations'!A:D, 4, FALSE)</f>
        <v>Normal</v>
      </c>
    </row>
    <row r="346" spans="1:11" ht="15.5" x14ac:dyDescent="0.35">
      <c r="A346" s="1" t="s">
        <v>2027</v>
      </c>
      <c r="B346" t="str">
        <f>VLOOKUP($A346, 'Customer Names'!A:D, 3, FALSE)</f>
        <v>Pitt</v>
      </c>
      <c r="C346">
        <f>VLOOKUP($A346,'Medical Examinations'!A:C, 3, FALSE)</f>
        <v>30.52</v>
      </c>
      <c r="D346" t="str">
        <f>VLOOKUP($A346, 'Medical Examinations'!A:D, 4, FALSE)</f>
        <v>Normal</v>
      </c>
      <c r="E346" t="str">
        <f>VLOOKUP($A346, 'Medical Examinations'!A:F, 6, FALSE)</f>
        <v>No</v>
      </c>
      <c r="F346" t="str">
        <f>VLOOKUP($A346, 'Medical Examinations'!A:G, 7, FALSE)</f>
        <v>No</v>
      </c>
      <c r="G346" t="str">
        <f>VLOOKUP($A346, 'Medical Examinations'!A:H, 8, FALSE)</f>
        <v>No</v>
      </c>
      <c r="H346">
        <f>VLOOKUP($A346, 'Medical Examinations'!A:J, 10, FALSE)</f>
        <v>1</v>
      </c>
      <c r="I346" t="str">
        <f>VLOOKUP($A346, 'Medical Examinations'!A:K, 11, FALSE)</f>
        <v>yes</v>
      </c>
      <c r="J346" t="str">
        <f>VLOOKUP($A346, 'Medical Examinations'!A:B, 2, FALSE)</f>
        <v>Obesity</v>
      </c>
      <c r="K346" t="str">
        <f>VLOOKUP($A346, 'Medical Examinations'!A:D, 4, FALSE)</f>
        <v>Normal</v>
      </c>
    </row>
    <row r="347" spans="1:11" ht="15.5" x14ac:dyDescent="0.35">
      <c r="A347" s="1" t="s">
        <v>2026</v>
      </c>
      <c r="B347" t="str">
        <f>VLOOKUP($A347, 'Customer Names'!A:D, 3, FALSE)</f>
        <v>Lorton</v>
      </c>
      <c r="C347">
        <f>VLOOKUP($A347,'Medical Examinations'!A:C, 3, FALSE)</f>
        <v>39.21</v>
      </c>
      <c r="D347" t="str">
        <f>VLOOKUP($A347, 'Medical Examinations'!A:D, 4, FALSE)</f>
        <v>Normal</v>
      </c>
      <c r="E347" t="str">
        <f>VLOOKUP($A347, 'Medical Examinations'!A:F, 6, FALSE)</f>
        <v>No</v>
      </c>
      <c r="F347" t="str">
        <f>VLOOKUP($A347, 'Medical Examinations'!A:G, 7, FALSE)</f>
        <v>No</v>
      </c>
      <c r="G347" t="str">
        <f>VLOOKUP($A347, 'Medical Examinations'!A:H, 8, FALSE)</f>
        <v>Yes</v>
      </c>
      <c r="H347">
        <f>VLOOKUP($A347, 'Medical Examinations'!A:J, 10, FALSE)</f>
        <v>1</v>
      </c>
      <c r="I347" t="str">
        <f>VLOOKUP($A347, 'Medical Examinations'!A:K, 11, FALSE)</f>
        <v>yes</v>
      </c>
      <c r="J347" t="str">
        <f>VLOOKUP($A347, 'Medical Examinations'!A:B, 2, FALSE)</f>
        <v>Obesity</v>
      </c>
      <c r="K347" t="str">
        <f>VLOOKUP($A347, 'Medical Examinations'!A:D, 4, FALSE)</f>
        <v>Normal</v>
      </c>
    </row>
    <row r="348" spans="1:11" ht="15.5" x14ac:dyDescent="0.35">
      <c r="A348" s="1" t="s">
        <v>2025</v>
      </c>
      <c r="B348" t="str">
        <f>VLOOKUP($A348, 'Customer Names'!A:D, 3, FALSE)</f>
        <v>Castaneda</v>
      </c>
      <c r="C348">
        <f>VLOOKUP($A348,'Medical Examinations'!A:C, 3, FALSE)</f>
        <v>26.98</v>
      </c>
      <c r="D348" t="str">
        <f>VLOOKUP($A348, 'Medical Examinations'!A:D, 4, FALSE)</f>
        <v>Normal</v>
      </c>
      <c r="E348" t="str">
        <f>VLOOKUP($A348, 'Medical Examinations'!A:F, 6, FALSE)</f>
        <v>yes</v>
      </c>
      <c r="F348" t="str">
        <f>VLOOKUP($A348, 'Medical Examinations'!A:G, 7, FALSE)</f>
        <v>No</v>
      </c>
      <c r="G348" t="str">
        <f>VLOOKUP($A348, 'Medical Examinations'!A:H, 8, FALSE)</f>
        <v>No</v>
      </c>
      <c r="H348">
        <f>VLOOKUP($A348, 'Medical Examinations'!A:J, 10, FALSE)</f>
        <v>2</v>
      </c>
      <c r="I348" t="str">
        <f>VLOOKUP($A348, 'Medical Examinations'!A:K, 11, FALSE)</f>
        <v>yes</v>
      </c>
      <c r="J348" t="str">
        <f>VLOOKUP($A348, 'Medical Examinations'!A:B, 2, FALSE)</f>
        <v>Overweight</v>
      </c>
      <c r="K348" t="str">
        <f>VLOOKUP($A348, 'Medical Examinations'!A:D, 4, FALSE)</f>
        <v>Normal</v>
      </c>
    </row>
    <row r="349" spans="1:11" ht="15.5" x14ac:dyDescent="0.35">
      <c r="A349" s="1" t="s">
        <v>2024</v>
      </c>
      <c r="B349" t="str">
        <f>VLOOKUP($A349, 'Customer Names'!A:D, 3, FALSE)</f>
        <v>Cherop</v>
      </c>
      <c r="C349">
        <f>VLOOKUP($A349,'Medical Examinations'!A:C, 3, FALSE)</f>
        <v>25.84</v>
      </c>
      <c r="D349" t="str">
        <f>VLOOKUP($A349, 'Medical Examinations'!A:D, 4, FALSE)</f>
        <v>Diabetes</v>
      </c>
      <c r="E349" t="str">
        <f>VLOOKUP($A349, 'Medical Examinations'!A:F, 6, FALSE)</f>
        <v>No</v>
      </c>
      <c r="F349" t="str">
        <f>VLOOKUP($A349, 'Medical Examinations'!A:G, 7, FALSE)</f>
        <v>No</v>
      </c>
      <c r="G349" t="str">
        <f>VLOOKUP($A349, 'Medical Examinations'!A:H, 8, FALSE)</f>
        <v>No</v>
      </c>
      <c r="H349" t="str">
        <f>VLOOKUP($A349, 'Medical Examinations'!A:J, 10, FALSE)</f>
        <v>No major surgery</v>
      </c>
      <c r="I349" t="str">
        <f>VLOOKUP($A349, 'Medical Examinations'!A:K, 11, FALSE)</f>
        <v>No</v>
      </c>
      <c r="J349" t="str">
        <f>VLOOKUP($A349, 'Medical Examinations'!A:B, 2, FALSE)</f>
        <v>Overweight</v>
      </c>
      <c r="K349" t="str">
        <f>VLOOKUP($A349, 'Medical Examinations'!A:D, 4, FALSE)</f>
        <v>Diabetes</v>
      </c>
    </row>
    <row r="350" spans="1:11" ht="15.5" x14ac:dyDescent="0.35">
      <c r="A350" s="1" t="s">
        <v>2023</v>
      </c>
      <c r="B350" t="str">
        <f>VLOOKUP($A350, 'Customer Names'!A:D, 3, FALSE)</f>
        <v>Howell</v>
      </c>
      <c r="C350">
        <f>VLOOKUP($A350,'Medical Examinations'!A:C, 3, FALSE)</f>
        <v>28.31</v>
      </c>
      <c r="D350" t="str">
        <f>VLOOKUP($A350, 'Medical Examinations'!A:D, 4, FALSE)</f>
        <v>Diabetes</v>
      </c>
      <c r="E350" t="str">
        <f>VLOOKUP($A350, 'Medical Examinations'!A:F, 6, FALSE)</f>
        <v>yes</v>
      </c>
      <c r="F350" t="str">
        <f>VLOOKUP($A350, 'Medical Examinations'!A:G, 7, FALSE)</f>
        <v>No</v>
      </c>
      <c r="G350" t="str">
        <f>VLOOKUP($A350, 'Medical Examinations'!A:H, 8, FALSE)</f>
        <v>No</v>
      </c>
      <c r="H350">
        <f>VLOOKUP($A350, 'Medical Examinations'!A:J, 10, FALSE)</f>
        <v>2</v>
      </c>
      <c r="I350" t="str">
        <f>VLOOKUP($A350, 'Medical Examinations'!A:K, 11, FALSE)</f>
        <v>yes</v>
      </c>
      <c r="J350" t="str">
        <f>VLOOKUP($A350, 'Medical Examinations'!A:B, 2, FALSE)</f>
        <v>Overweight</v>
      </c>
      <c r="K350" t="str">
        <f>VLOOKUP($A350, 'Medical Examinations'!A:D, 4, FALSE)</f>
        <v>Diabetes</v>
      </c>
    </row>
    <row r="351" spans="1:11" ht="15.5" x14ac:dyDescent="0.35">
      <c r="A351" s="1" t="s">
        <v>2022</v>
      </c>
      <c r="B351" t="str">
        <f>VLOOKUP($A351, 'Customer Names'!A:D, 3, FALSE)</f>
        <v>Palmer</v>
      </c>
      <c r="C351">
        <f>VLOOKUP($A351,'Medical Examinations'!A:C, 3, FALSE)</f>
        <v>23.94</v>
      </c>
      <c r="D351" t="str">
        <f>VLOOKUP($A351, 'Medical Examinations'!A:D, 4, FALSE)</f>
        <v>Normal</v>
      </c>
      <c r="E351" t="str">
        <f>VLOOKUP($A351, 'Medical Examinations'!A:F, 6, FALSE)</f>
        <v>No</v>
      </c>
      <c r="F351" t="str">
        <f>VLOOKUP($A351, 'Medical Examinations'!A:G, 7, FALSE)</f>
        <v>No</v>
      </c>
      <c r="G351" t="str">
        <f>VLOOKUP($A351, 'Medical Examinations'!A:H, 8, FALSE)</f>
        <v>No</v>
      </c>
      <c r="H351" t="str">
        <f>VLOOKUP($A351, 'Medical Examinations'!A:J, 10, FALSE)</f>
        <v>No major surgery</v>
      </c>
      <c r="I351" t="str">
        <f>VLOOKUP($A351, 'Medical Examinations'!A:K, 11, FALSE)</f>
        <v>yes</v>
      </c>
      <c r="J351" t="str">
        <f>VLOOKUP($A351, 'Medical Examinations'!A:B, 2, FALSE)</f>
        <v>Normal Weight</v>
      </c>
      <c r="K351" t="str">
        <f>VLOOKUP($A351, 'Medical Examinations'!A:D, 4, FALSE)</f>
        <v>Normal</v>
      </c>
    </row>
    <row r="352" spans="1:11" ht="15.5" x14ac:dyDescent="0.35">
      <c r="A352" s="1" t="s">
        <v>2021</v>
      </c>
      <c r="B352" t="str">
        <f>VLOOKUP($A352, 'Customer Names'!A:D, 3, FALSE)</f>
        <v>Olson</v>
      </c>
      <c r="C352">
        <f>VLOOKUP($A352,'Medical Examinations'!A:C, 3, FALSE)</f>
        <v>20.03</v>
      </c>
      <c r="D352" t="str">
        <f>VLOOKUP($A352, 'Medical Examinations'!A:D, 4, FALSE)</f>
        <v>Prediabetes</v>
      </c>
      <c r="E352" t="str">
        <f>VLOOKUP($A352, 'Medical Examinations'!A:F, 6, FALSE)</f>
        <v>yes</v>
      </c>
      <c r="F352" t="str">
        <f>VLOOKUP($A352, 'Medical Examinations'!A:G, 7, FALSE)</f>
        <v>No</v>
      </c>
      <c r="G352" t="str">
        <f>VLOOKUP($A352, 'Medical Examinations'!A:H, 8, FALSE)</f>
        <v>No</v>
      </c>
      <c r="H352" t="str">
        <f>VLOOKUP($A352, 'Medical Examinations'!A:J, 10, FALSE)</f>
        <v>No major surgery</v>
      </c>
      <c r="I352" t="str">
        <f>VLOOKUP($A352, 'Medical Examinations'!A:K, 11, FALSE)</f>
        <v>yes</v>
      </c>
      <c r="J352" t="str">
        <f>VLOOKUP($A352, 'Medical Examinations'!A:B, 2, FALSE)</f>
        <v>Normal Weight</v>
      </c>
      <c r="K352" t="str">
        <f>VLOOKUP($A352, 'Medical Examinations'!A:D, 4, FALSE)</f>
        <v>Prediabetes</v>
      </c>
    </row>
    <row r="353" spans="1:11" ht="15.5" x14ac:dyDescent="0.35">
      <c r="A353" s="1" t="s">
        <v>2020</v>
      </c>
      <c r="B353" t="str">
        <f>VLOOKUP($A353, 'Customer Names'!A:D, 3, FALSE)</f>
        <v>Waldron</v>
      </c>
      <c r="C353">
        <f>VLOOKUP($A353,'Medical Examinations'!A:C, 3, FALSE)</f>
        <v>41.42</v>
      </c>
      <c r="D353" t="str">
        <f>VLOOKUP($A353, 'Medical Examinations'!A:D, 4, FALSE)</f>
        <v>Prediabetes</v>
      </c>
      <c r="E353" t="str">
        <f>VLOOKUP($A353, 'Medical Examinations'!A:F, 6, FALSE)</f>
        <v>No</v>
      </c>
      <c r="F353" t="str">
        <f>VLOOKUP($A353, 'Medical Examinations'!A:G, 7, FALSE)</f>
        <v>No</v>
      </c>
      <c r="G353" t="str">
        <f>VLOOKUP($A353, 'Medical Examinations'!A:H, 8, FALSE)</f>
        <v>No</v>
      </c>
      <c r="H353" t="str">
        <f>VLOOKUP($A353, 'Medical Examinations'!A:J, 10, FALSE)</f>
        <v>No major surgery</v>
      </c>
      <c r="I353" t="str">
        <f>VLOOKUP($A353, 'Medical Examinations'!A:K, 11, FALSE)</f>
        <v>No</v>
      </c>
      <c r="J353" t="str">
        <f>VLOOKUP($A353, 'Medical Examinations'!A:B, 2, FALSE)</f>
        <v>Obesity</v>
      </c>
      <c r="K353" t="str">
        <f>VLOOKUP($A353, 'Medical Examinations'!A:D, 4, FALSE)</f>
        <v>Prediabetes</v>
      </c>
    </row>
    <row r="354" spans="1:11" ht="15.5" x14ac:dyDescent="0.35">
      <c r="A354" s="1" t="s">
        <v>2019</v>
      </c>
      <c r="B354" t="str">
        <f>VLOOKUP($A354, 'Customer Names'!A:D, 3, FALSE)</f>
        <v>Meyer</v>
      </c>
      <c r="C354">
        <f>VLOOKUP($A354,'Medical Examinations'!A:C, 3, FALSE)</f>
        <v>36.67</v>
      </c>
      <c r="D354" t="str">
        <f>VLOOKUP($A354, 'Medical Examinations'!A:D, 4, FALSE)</f>
        <v>Diabetes</v>
      </c>
      <c r="E354" t="str">
        <f>VLOOKUP($A354, 'Medical Examinations'!A:F, 6, FALSE)</f>
        <v>No</v>
      </c>
      <c r="F354" t="str">
        <f>VLOOKUP($A354, 'Medical Examinations'!A:G, 7, FALSE)</f>
        <v>No</v>
      </c>
      <c r="G354" t="str">
        <f>VLOOKUP($A354, 'Medical Examinations'!A:H, 8, FALSE)</f>
        <v>No</v>
      </c>
      <c r="H354" t="str">
        <f>VLOOKUP($A354, 'Medical Examinations'!A:J, 10, FALSE)</f>
        <v>No major surgery</v>
      </c>
      <c r="I354" t="str">
        <f>VLOOKUP($A354, 'Medical Examinations'!A:K, 11, FALSE)</f>
        <v>No</v>
      </c>
      <c r="J354" t="str">
        <f>VLOOKUP($A354, 'Medical Examinations'!A:B, 2, FALSE)</f>
        <v>Obesity</v>
      </c>
      <c r="K354" t="str">
        <f>VLOOKUP($A354, 'Medical Examinations'!A:D, 4, FALSE)</f>
        <v>Diabetes</v>
      </c>
    </row>
    <row r="355" spans="1:11" ht="15.5" x14ac:dyDescent="0.35">
      <c r="A355" s="1" t="s">
        <v>2018</v>
      </c>
      <c r="B355" t="str">
        <f>VLOOKUP($A355, 'Customer Names'!A:D, 3, FALSE)</f>
        <v>Stack</v>
      </c>
      <c r="C355">
        <f>VLOOKUP($A355,'Medical Examinations'!A:C, 3, FALSE)</f>
        <v>27.645</v>
      </c>
      <c r="D355" t="str">
        <f>VLOOKUP($A355, 'Medical Examinations'!A:D, 4, FALSE)</f>
        <v>Normal</v>
      </c>
      <c r="E355" t="str">
        <f>VLOOKUP($A355, 'Medical Examinations'!A:F, 6, FALSE)</f>
        <v>No</v>
      </c>
      <c r="F355" t="str">
        <f>VLOOKUP($A355, 'Medical Examinations'!A:G, 7, FALSE)</f>
        <v>No</v>
      </c>
      <c r="G355" t="str">
        <f>VLOOKUP($A355, 'Medical Examinations'!A:H, 8, FALSE)</f>
        <v>No</v>
      </c>
      <c r="H355" t="str">
        <f>VLOOKUP($A355, 'Medical Examinations'!A:J, 10, FALSE)</f>
        <v>No major surgery</v>
      </c>
      <c r="I355" t="str">
        <f>VLOOKUP($A355, 'Medical Examinations'!A:K, 11, FALSE)</f>
        <v>No</v>
      </c>
      <c r="J355" t="str">
        <f>VLOOKUP($A355, 'Medical Examinations'!A:B, 2, FALSE)</f>
        <v>Overweight</v>
      </c>
      <c r="K355" t="str">
        <f>VLOOKUP($A355, 'Medical Examinations'!A:D, 4, FALSE)</f>
        <v>Normal</v>
      </c>
    </row>
    <row r="356" spans="1:11" ht="15.5" x14ac:dyDescent="0.35">
      <c r="A356" s="1" t="s">
        <v>2017</v>
      </c>
      <c r="B356" t="str">
        <f>VLOOKUP($A356, 'Customer Names'!A:D, 3, FALSE)</f>
        <v>Sanchez Y Torres</v>
      </c>
      <c r="C356">
        <f>VLOOKUP($A356,'Medical Examinations'!A:C, 3, FALSE)</f>
        <v>22.72</v>
      </c>
      <c r="D356" t="str">
        <f>VLOOKUP($A356, 'Medical Examinations'!A:D, 4, FALSE)</f>
        <v>Prediabetes</v>
      </c>
      <c r="E356" t="str">
        <f>VLOOKUP($A356, 'Medical Examinations'!A:F, 6, FALSE)</f>
        <v>No</v>
      </c>
      <c r="F356" t="str">
        <f>VLOOKUP($A356, 'Medical Examinations'!A:G, 7, FALSE)</f>
        <v>No</v>
      </c>
      <c r="G356" t="str">
        <f>VLOOKUP($A356, 'Medical Examinations'!A:H, 8, FALSE)</f>
        <v>No</v>
      </c>
      <c r="H356" t="str">
        <f>VLOOKUP($A356, 'Medical Examinations'!A:J, 10, FALSE)</f>
        <v>No major surgery</v>
      </c>
      <c r="I356" t="str">
        <f>VLOOKUP($A356, 'Medical Examinations'!A:K, 11, FALSE)</f>
        <v>yes</v>
      </c>
      <c r="J356" t="str">
        <f>VLOOKUP($A356, 'Medical Examinations'!A:B, 2, FALSE)</f>
        <v>Normal Weight</v>
      </c>
      <c r="K356" t="str">
        <f>VLOOKUP($A356, 'Medical Examinations'!A:D, 4, FALSE)</f>
        <v>Prediabetes</v>
      </c>
    </row>
    <row r="357" spans="1:11" ht="15.5" x14ac:dyDescent="0.35">
      <c r="A357" s="1" t="s">
        <v>2016</v>
      </c>
      <c r="B357" t="str">
        <f>VLOOKUP($A357, 'Customer Names'!A:D, 3, FALSE)</f>
        <v>Daniels</v>
      </c>
      <c r="C357">
        <f>VLOOKUP($A357,'Medical Examinations'!A:C, 3, FALSE)</f>
        <v>36.520000000000003</v>
      </c>
      <c r="D357" t="str">
        <f>VLOOKUP($A357, 'Medical Examinations'!A:D, 4, FALSE)</f>
        <v>Diabetes</v>
      </c>
      <c r="E357" t="str">
        <f>VLOOKUP($A357, 'Medical Examinations'!A:F, 6, FALSE)</f>
        <v>yes</v>
      </c>
      <c r="F357" t="str">
        <f>VLOOKUP($A357, 'Medical Examinations'!A:G, 7, FALSE)</f>
        <v>No</v>
      </c>
      <c r="G357" t="str">
        <f>VLOOKUP($A357, 'Medical Examinations'!A:H, 8, FALSE)</f>
        <v>Yes</v>
      </c>
      <c r="H357">
        <f>VLOOKUP($A357, 'Medical Examinations'!A:J, 10, FALSE)</f>
        <v>1</v>
      </c>
      <c r="I357" t="str">
        <f>VLOOKUP($A357, 'Medical Examinations'!A:K, 11, FALSE)</f>
        <v>No</v>
      </c>
      <c r="J357" t="str">
        <f>VLOOKUP($A357, 'Medical Examinations'!A:B, 2, FALSE)</f>
        <v>Obesity</v>
      </c>
      <c r="K357" t="str">
        <f>VLOOKUP($A357, 'Medical Examinations'!A:D, 4, FALSE)</f>
        <v>Diabetes</v>
      </c>
    </row>
    <row r="358" spans="1:11" ht="15.5" x14ac:dyDescent="0.35">
      <c r="A358" s="1" t="s">
        <v>2015</v>
      </c>
      <c r="B358" t="str">
        <f>VLOOKUP($A358, 'Customer Names'!A:D, 3, FALSE)</f>
        <v>Pepp</v>
      </c>
      <c r="C358">
        <f>VLOOKUP($A358,'Medical Examinations'!A:C, 3, FALSE)</f>
        <v>33.96</v>
      </c>
      <c r="D358" t="str">
        <f>VLOOKUP($A358, 'Medical Examinations'!A:D, 4, FALSE)</f>
        <v>Normal</v>
      </c>
      <c r="E358" t="str">
        <f>VLOOKUP($A358, 'Medical Examinations'!A:F, 6, FALSE)</f>
        <v>No</v>
      </c>
      <c r="F358" t="str">
        <f>VLOOKUP($A358, 'Medical Examinations'!A:G, 7, FALSE)</f>
        <v>No</v>
      </c>
      <c r="G358" t="str">
        <f>VLOOKUP($A358, 'Medical Examinations'!A:H, 8, FALSE)</f>
        <v>No</v>
      </c>
      <c r="H358" t="str">
        <f>VLOOKUP($A358, 'Medical Examinations'!A:J, 10, FALSE)</f>
        <v>No major surgery</v>
      </c>
      <c r="I358" t="str">
        <f>VLOOKUP($A358, 'Medical Examinations'!A:K, 11, FALSE)</f>
        <v>yes</v>
      </c>
      <c r="J358" t="str">
        <f>VLOOKUP($A358, 'Medical Examinations'!A:B, 2, FALSE)</f>
        <v>Obesity</v>
      </c>
      <c r="K358" t="str">
        <f>VLOOKUP($A358, 'Medical Examinations'!A:D, 4, FALSE)</f>
        <v>Normal</v>
      </c>
    </row>
    <row r="359" spans="1:11" ht="15.5" x14ac:dyDescent="0.35">
      <c r="A359" s="1" t="s">
        <v>2014</v>
      </c>
      <c r="B359" t="str">
        <f>VLOOKUP($A359, 'Customer Names'!A:D, 3, FALSE)</f>
        <v>Buechler</v>
      </c>
      <c r="C359">
        <f>VLOOKUP($A359,'Medical Examinations'!A:C, 3, FALSE)</f>
        <v>26.695</v>
      </c>
      <c r="D359" t="str">
        <f>VLOOKUP($A359, 'Medical Examinations'!A:D, 4, FALSE)</f>
        <v>Diabetes</v>
      </c>
      <c r="E359" t="str">
        <f>VLOOKUP($A359, 'Medical Examinations'!A:F, 6, FALSE)</f>
        <v>No</v>
      </c>
      <c r="F359" t="str">
        <f>VLOOKUP($A359, 'Medical Examinations'!A:G, 7, FALSE)</f>
        <v>No</v>
      </c>
      <c r="G359" t="str">
        <f>VLOOKUP($A359, 'Medical Examinations'!A:H, 8, FALSE)</f>
        <v>No</v>
      </c>
      <c r="H359" t="str">
        <f>VLOOKUP($A359, 'Medical Examinations'!A:J, 10, FALSE)</f>
        <v>No major surgery</v>
      </c>
      <c r="I359" t="str">
        <f>VLOOKUP($A359, 'Medical Examinations'!A:K, 11, FALSE)</f>
        <v>yes</v>
      </c>
      <c r="J359" t="str">
        <f>VLOOKUP($A359, 'Medical Examinations'!A:B, 2, FALSE)</f>
        <v>Overweight</v>
      </c>
      <c r="K359" t="str">
        <f>VLOOKUP($A359, 'Medical Examinations'!A:D, 4, FALSE)</f>
        <v>Diabetes</v>
      </c>
    </row>
    <row r="360" spans="1:11" ht="15.5" x14ac:dyDescent="0.35">
      <c r="A360" s="1" t="s">
        <v>2013</v>
      </c>
      <c r="B360" t="str">
        <f>VLOOKUP($A360, 'Customer Names'!A:D, 3, FALSE)</f>
        <v>Buenting</v>
      </c>
      <c r="C360">
        <f>VLOOKUP($A360,'Medical Examinations'!A:C, 3, FALSE)</f>
        <v>18.45</v>
      </c>
      <c r="D360" t="str">
        <f>VLOOKUP($A360, 'Medical Examinations'!A:D, 4, FALSE)</f>
        <v>Normal</v>
      </c>
      <c r="E360" t="str">
        <f>VLOOKUP($A360, 'Medical Examinations'!A:F, 6, FALSE)</f>
        <v>yes</v>
      </c>
      <c r="F360" t="str">
        <f>VLOOKUP($A360, 'Medical Examinations'!A:G, 7, FALSE)</f>
        <v>No</v>
      </c>
      <c r="G360" t="str">
        <f>VLOOKUP($A360, 'Medical Examinations'!A:H, 8, FALSE)</f>
        <v>No</v>
      </c>
      <c r="H360" t="str">
        <f>VLOOKUP($A360, 'Medical Examinations'!A:J, 10, FALSE)</f>
        <v>No major surgery</v>
      </c>
      <c r="I360" t="str">
        <f>VLOOKUP($A360, 'Medical Examinations'!A:K, 11, FALSE)</f>
        <v>yes</v>
      </c>
      <c r="J360" t="str">
        <f>VLOOKUP($A360, 'Medical Examinations'!A:B, 2, FALSE)</f>
        <v>Underweight</v>
      </c>
      <c r="K360" t="str">
        <f>VLOOKUP($A360, 'Medical Examinations'!A:D, 4, FALSE)</f>
        <v>Normal</v>
      </c>
    </row>
    <row r="361" spans="1:11" ht="15.5" x14ac:dyDescent="0.35">
      <c r="A361" s="1" t="s">
        <v>2012</v>
      </c>
      <c r="B361" t="str">
        <f>VLOOKUP($A361, 'Customer Names'!A:D, 3, FALSE)</f>
        <v>Evans</v>
      </c>
      <c r="C361">
        <f>VLOOKUP($A361,'Medical Examinations'!A:C, 3, FALSE)</f>
        <v>33.18</v>
      </c>
      <c r="D361" t="str">
        <f>VLOOKUP($A361, 'Medical Examinations'!A:D, 4, FALSE)</f>
        <v>Normal</v>
      </c>
      <c r="E361" t="str">
        <f>VLOOKUP($A361, 'Medical Examinations'!A:F, 6, FALSE)</f>
        <v>No</v>
      </c>
      <c r="F361" t="str">
        <f>VLOOKUP($A361, 'Medical Examinations'!A:G, 7, FALSE)</f>
        <v>No</v>
      </c>
      <c r="G361" t="str">
        <f>VLOOKUP($A361, 'Medical Examinations'!A:H, 8, FALSE)</f>
        <v>No</v>
      </c>
      <c r="H361" t="str">
        <f>VLOOKUP($A361, 'Medical Examinations'!A:J, 10, FALSE)</f>
        <v>No major surgery</v>
      </c>
      <c r="I361" t="str">
        <f>VLOOKUP($A361, 'Medical Examinations'!A:K, 11, FALSE)</f>
        <v>yes</v>
      </c>
      <c r="J361" t="str">
        <f>VLOOKUP($A361, 'Medical Examinations'!A:B, 2, FALSE)</f>
        <v>Obesity</v>
      </c>
      <c r="K361" t="str">
        <f>VLOOKUP($A361, 'Medical Examinations'!A:D, 4, FALSE)</f>
        <v>Normal</v>
      </c>
    </row>
    <row r="362" spans="1:11" ht="15.5" x14ac:dyDescent="0.35">
      <c r="A362" s="1" t="s">
        <v>2011</v>
      </c>
      <c r="B362" t="str">
        <f>VLOOKUP($A362, 'Customer Names'!A:D, 3, FALSE)</f>
        <v>Arcand</v>
      </c>
      <c r="C362">
        <f>VLOOKUP($A362,'Medical Examinations'!A:C, 3, FALSE)</f>
        <v>36.1</v>
      </c>
      <c r="D362" t="str">
        <f>VLOOKUP($A362, 'Medical Examinations'!A:D, 4, FALSE)</f>
        <v>Diabetes</v>
      </c>
      <c r="E362" t="str">
        <f>VLOOKUP($A362, 'Medical Examinations'!A:F, 6, FALSE)</f>
        <v>yes</v>
      </c>
      <c r="F362" t="str">
        <f>VLOOKUP($A362, 'Medical Examinations'!A:G, 7, FALSE)</f>
        <v>No</v>
      </c>
      <c r="G362" t="str">
        <f>VLOOKUP($A362, 'Medical Examinations'!A:H, 8, FALSE)</f>
        <v>No</v>
      </c>
      <c r="H362">
        <f>VLOOKUP($A362, 'Medical Examinations'!A:J, 10, FALSE)</f>
        <v>2</v>
      </c>
      <c r="I362" t="str">
        <f>VLOOKUP($A362, 'Medical Examinations'!A:K, 11, FALSE)</f>
        <v>No</v>
      </c>
      <c r="J362" t="str">
        <f>VLOOKUP($A362, 'Medical Examinations'!A:B, 2, FALSE)</f>
        <v>Obesity</v>
      </c>
      <c r="K362" t="str">
        <f>VLOOKUP($A362, 'Medical Examinations'!A:D, 4, FALSE)</f>
        <v>Diabetes</v>
      </c>
    </row>
    <row r="363" spans="1:11" ht="15.5" x14ac:dyDescent="0.35">
      <c r="A363" s="1" t="s">
        <v>2010</v>
      </c>
      <c r="B363" t="str">
        <f>VLOOKUP($A363, 'Customer Names'!A:D, 3, FALSE)</f>
        <v>Kesack</v>
      </c>
      <c r="C363">
        <f>VLOOKUP($A363,'Medical Examinations'!A:C, 3, FALSE)</f>
        <v>22.77</v>
      </c>
      <c r="D363" t="str">
        <f>VLOOKUP($A363, 'Medical Examinations'!A:D, 4, FALSE)</f>
        <v>Prediabetes</v>
      </c>
      <c r="E363" t="str">
        <f>VLOOKUP($A363, 'Medical Examinations'!A:F, 6, FALSE)</f>
        <v>No</v>
      </c>
      <c r="F363" t="str">
        <f>VLOOKUP($A363, 'Medical Examinations'!A:G, 7, FALSE)</f>
        <v>No</v>
      </c>
      <c r="G363" t="str">
        <f>VLOOKUP($A363, 'Medical Examinations'!A:H, 8, FALSE)</f>
        <v>No</v>
      </c>
      <c r="H363" t="str">
        <f>VLOOKUP($A363, 'Medical Examinations'!A:J, 10, FALSE)</f>
        <v>No major surgery</v>
      </c>
      <c r="I363" t="str">
        <f>VLOOKUP($A363, 'Medical Examinations'!A:K, 11, FALSE)</f>
        <v>yes</v>
      </c>
      <c r="J363" t="str">
        <f>VLOOKUP($A363, 'Medical Examinations'!A:B, 2, FALSE)</f>
        <v>Normal Weight</v>
      </c>
      <c r="K363" t="str">
        <f>VLOOKUP($A363, 'Medical Examinations'!A:D, 4, FALSE)</f>
        <v>Prediabetes</v>
      </c>
    </row>
    <row r="364" spans="1:11" ht="15.5" x14ac:dyDescent="0.35">
      <c r="A364" s="1" t="s">
        <v>2009</v>
      </c>
      <c r="B364" t="str">
        <f>VLOOKUP($A364, 'Customer Names'!A:D, 3, FALSE)</f>
        <v>Post</v>
      </c>
      <c r="C364">
        <f>VLOOKUP($A364,'Medical Examinations'!A:C, 3, FALSE)</f>
        <v>21.24</v>
      </c>
      <c r="D364" t="str">
        <f>VLOOKUP($A364, 'Medical Examinations'!A:D, 4, FALSE)</f>
        <v>Normal</v>
      </c>
      <c r="E364" t="str">
        <f>VLOOKUP($A364, 'Medical Examinations'!A:F, 6, FALSE)</f>
        <v>No</v>
      </c>
      <c r="F364" t="str">
        <f>VLOOKUP($A364, 'Medical Examinations'!A:G, 7, FALSE)</f>
        <v>No</v>
      </c>
      <c r="G364" t="str">
        <f>VLOOKUP($A364, 'Medical Examinations'!A:H, 8, FALSE)</f>
        <v>No</v>
      </c>
      <c r="H364" t="str">
        <f>VLOOKUP($A364, 'Medical Examinations'!A:J, 10, FALSE)</f>
        <v>No major surgery</v>
      </c>
      <c r="I364" t="str">
        <f>VLOOKUP($A364, 'Medical Examinations'!A:K, 11, FALSE)</f>
        <v>yes</v>
      </c>
      <c r="J364" t="str">
        <f>VLOOKUP($A364, 'Medical Examinations'!A:B, 2, FALSE)</f>
        <v>Normal Weight</v>
      </c>
      <c r="K364" t="str">
        <f>VLOOKUP($A364, 'Medical Examinations'!A:D, 4, FALSE)</f>
        <v>Normal</v>
      </c>
    </row>
    <row r="365" spans="1:11" ht="15.5" x14ac:dyDescent="0.35">
      <c r="A365" s="1" t="s">
        <v>2008</v>
      </c>
      <c r="B365" t="str">
        <f>VLOOKUP($A365, 'Customer Names'!A:D, 3, FALSE)</f>
        <v>Dunne</v>
      </c>
      <c r="C365">
        <f>VLOOKUP($A365,'Medical Examinations'!A:C, 3, FALSE)</f>
        <v>17.600000000000001</v>
      </c>
      <c r="D365" t="str">
        <f>VLOOKUP($A365, 'Medical Examinations'!A:D, 4, FALSE)</f>
        <v>Normal</v>
      </c>
      <c r="E365" t="str">
        <f>VLOOKUP($A365, 'Medical Examinations'!A:F, 6, FALSE)</f>
        <v>yes</v>
      </c>
      <c r="F365" t="str">
        <f>VLOOKUP($A365, 'Medical Examinations'!A:G, 7, FALSE)</f>
        <v>No</v>
      </c>
      <c r="G365" t="str">
        <f>VLOOKUP($A365, 'Medical Examinations'!A:H, 8, FALSE)</f>
        <v>No</v>
      </c>
      <c r="H365" t="str">
        <f>VLOOKUP($A365, 'Medical Examinations'!A:J, 10, FALSE)</f>
        <v>No major surgery</v>
      </c>
      <c r="I365" t="str">
        <f>VLOOKUP($A365, 'Medical Examinations'!A:K, 11, FALSE)</f>
        <v>yes</v>
      </c>
      <c r="J365" t="str">
        <f>VLOOKUP($A365, 'Medical Examinations'!A:B, 2, FALSE)</f>
        <v>Underweight</v>
      </c>
      <c r="K365" t="str">
        <f>VLOOKUP($A365, 'Medical Examinations'!A:D, 4, FALSE)</f>
        <v>Normal</v>
      </c>
    </row>
    <row r="366" spans="1:11" ht="15.5" x14ac:dyDescent="0.35">
      <c r="A366" s="1" t="s">
        <v>2007</v>
      </c>
      <c r="B366" t="str">
        <f>VLOOKUP($A366, 'Customer Names'!A:D, 3, FALSE)</f>
        <v>Kilel</v>
      </c>
      <c r="C366">
        <f>VLOOKUP($A366,'Medical Examinations'!A:C, 3, FALSE)</f>
        <v>26.29</v>
      </c>
      <c r="D366" t="str">
        <f>VLOOKUP($A366, 'Medical Examinations'!A:D, 4, FALSE)</f>
        <v>Diabetes</v>
      </c>
      <c r="E366" t="str">
        <f>VLOOKUP($A366, 'Medical Examinations'!A:F, 6, FALSE)</f>
        <v>No</v>
      </c>
      <c r="F366" t="str">
        <f>VLOOKUP($A366, 'Medical Examinations'!A:G, 7, FALSE)</f>
        <v>No</v>
      </c>
      <c r="G366" t="str">
        <f>VLOOKUP($A366, 'Medical Examinations'!A:H, 8, FALSE)</f>
        <v>No</v>
      </c>
      <c r="H366" t="str">
        <f>VLOOKUP($A366, 'Medical Examinations'!A:J, 10, FALSE)</f>
        <v>No major surgery</v>
      </c>
      <c r="I366" t="str">
        <f>VLOOKUP($A366, 'Medical Examinations'!A:K, 11, FALSE)</f>
        <v>yes</v>
      </c>
      <c r="J366" t="str">
        <f>VLOOKUP($A366, 'Medical Examinations'!A:B, 2, FALSE)</f>
        <v>Overweight</v>
      </c>
      <c r="K366" t="str">
        <f>VLOOKUP($A366, 'Medical Examinations'!A:D, 4, FALSE)</f>
        <v>Diabetes</v>
      </c>
    </row>
    <row r="367" spans="1:11" ht="15.5" x14ac:dyDescent="0.35">
      <c r="A367" s="1" t="s">
        <v>2006</v>
      </c>
      <c r="B367" t="str">
        <f>VLOOKUP($A367, 'Customer Names'!A:D, 3, FALSE)</f>
        <v>Nicholson</v>
      </c>
      <c r="C367">
        <f>VLOOKUP($A367,'Medical Examinations'!A:C, 3, FALSE)</f>
        <v>35.31</v>
      </c>
      <c r="D367" t="str">
        <f>VLOOKUP($A367, 'Medical Examinations'!A:D, 4, FALSE)</f>
        <v>Diabetes</v>
      </c>
      <c r="E367" t="str">
        <f>VLOOKUP($A367, 'Medical Examinations'!A:F, 6, FALSE)</f>
        <v>No</v>
      </c>
      <c r="F367" t="str">
        <f>VLOOKUP($A367, 'Medical Examinations'!A:G, 7, FALSE)</f>
        <v>No</v>
      </c>
      <c r="G367" t="str">
        <f>VLOOKUP($A367, 'Medical Examinations'!A:H, 8, FALSE)</f>
        <v>No</v>
      </c>
      <c r="H367" t="str">
        <f>VLOOKUP($A367, 'Medical Examinations'!A:J, 10, FALSE)</f>
        <v>No major surgery</v>
      </c>
      <c r="I367" t="str">
        <f>VLOOKUP($A367, 'Medical Examinations'!A:K, 11, FALSE)</f>
        <v>No</v>
      </c>
      <c r="J367" t="str">
        <f>VLOOKUP($A367, 'Medical Examinations'!A:B, 2, FALSE)</f>
        <v>Obesity</v>
      </c>
      <c r="K367" t="str">
        <f>VLOOKUP($A367, 'Medical Examinations'!A:D, 4, FALSE)</f>
        <v>Diabetes</v>
      </c>
    </row>
    <row r="368" spans="1:11" ht="15.5" x14ac:dyDescent="0.35">
      <c r="A368" s="1" t="s">
        <v>2005</v>
      </c>
      <c r="B368" t="str">
        <f>VLOOKUP($A368, 'Customer Names'!A:D, 3, FALSE)</f>
        <v>Susmann</v>
      </c>
      <c r="C368">
        <f>VLOOKUP($A368,'Medical Examinations'!A:C, 3, FALSE)</f>
        <v>27.04</v>
      </c>
      <c r="D368" t="str">
        <f>VLOOKUP($A368, 'Medical Examinations'!A:D, 4, FALSE)</f>
        <v>Normal</v>
      </c>
      <c r="E368" t="str">
        <f>VLOOKUP($A368, 'Medical Examinations'!A:F, 6, FALSE)</f>
        <v>No</v>
      </c>
      <c r="F368" t="str">
        <f>VLOOKUP($A368, 'Medical Examinations'!A:G, 7, FALSE)</f>
        <v>No</v>
      </c>
      <c r="G368" t="str">
        <f>VLOOKUP($A368, 'Medical Examinations'!A:H, 8, FALSE)</f>
        <v>No</v>
      </c>
      <c r="H368">
        <f>VLOOKUP($A368, 'Medical Examinations'!A:J, 10, FALSE)</f>
        <v>1</v>
      </c>
      <c r="I368" t="str">
        <f>VLOOKUP($A368, 'Medical Examinations'!A:K, 11, FALSE)</f>
        <v>yes</v>
      </c>
      <c r="J368" t="str">
        <f>VLOOKUP($A368, 'Medical Examinations'!A:B, 2, FALSE)</f>
        <v>Overweight</v>
      </c>
      <c r="K368" t="str">
        <f>VLOOKUP($A368, 'Medical Examinations'!A:D, 4, FALSE)</f>
        <v>Normal</v>
      </c>
    </row>
    <row r="369" spans="1:11" ht="15.5" x14ac:dyDescent="0.35">
      <c r="A369" s="1" t="s">
        <v>2004</v>
      </c>
      <c r="B369" t="str">
        <f>VLOOKUP($A369, 'Customer Names'!A:D, 3, FALSE)</f>
        <v>Harsh</v>
      </c>
      <c r="C369">
        <f>VLOOKUP($A369,'Medical Examinations'!A:C, 3, FALSE)</f>
        <v>30.23</v>
      </c>
      <c r="D369" t="str">
        <f>VLOOKUP($A369, 'Medical Examinations'!A:D, 4, FALSE)</f>
        <v>Normal</v>
      </c>
      <c r="E369" t="str">
        <f>VLOOKUP($A369, 'Medical Examinations'!A:F, 6, FALSE)</f>
        <v>yes</v>
      </c>
      <c r="F369" t="str">
        <f>VLOOKUP($A369, 'Medical Examinations'!A:G, 7, FALSE)</f>
        <v>No</v>
      </c>
      <c r="G369" t="str">
        <f>VLOOKUP($A369, 'Medical Examinations'!A:H, 8, FALSE)</f>
        <v>Yes</v>
      </c>
      <c r="H369">
        <f>VLOOKUP($A369, 'Medical Examinations'!A:J, 10, FALSE)</f>
        <v>1</v>
      </c>
      <c r="I369" t="str">
        <f>VLOOKUP($A369, 'Medical Examinations'!A:K, 11, FALSE)</f>
        <v>yes</v>
      </c>
      <c r="J369" t="str">
        <f>VLOOKUP($A369, 'Medical Examinations'!A:B, 2, FALSE)</f>
        <v>Obesity</v>
      </c>
      <c r="K369" t="str">
        <f>VLOOKUP($A369, 'Medical Examinations'!A:D, 4, FALSE)</f>
        <v>Normal</v>
      </c>
    </row>
    <row r="370" spans="1:11" ht="15.5" x14ac:dyDescent="0.35">
      <c r="A370" s="1" t="s">
        <v>2003</v>
      </c>
      <c r="B370" t="str">
        <f>VLOOKUP($A370, 'Customer Names'!A:D, 3, FALSE)</f>
        <v>Pocasangre</v>
      </c>
      <c r="C370">
        <f>VLOOKUP($A370,'Medical Examinations'!A:C, 3, FALSE)</f>
        <v>30.6</v>
      </c>
      <c r="D370" t="e">
        <f>VLOOKUP($A370, 'Medical Examinations'!A:D, 4, FALSE)</f>
        <v>#N/A</v>
      </c>
      <c r="E370" t="str">
        <f>VLOOKUP($A370, 'Medical Examinations'!A:F, 6, FALSE)</f>
        <v>yes</v>
      </c>
      <c r="F370" t="str">
        <f>VLOOKUP($A370, 'Medical Examinations'!A:G, 7, FALSE)</f>
        <v>No</v>
      </c>
      <c r="G370" t="str">
        <f>VLOOKUP($A370, 'Medical Examinations'!A:H, 8, FALSE)</f>
        <v>Yes</v>
      </c>
      <c r="H370">
        <f>VLOOKUP($A370, 'Medical Examinations'!A:J, 10, FALSE)</f>
        <v>1</v>
      </c>
      <c r="I370" t="str">
        <f>VLOOKUP($A370, 'Medical Examinations'!A:K, 11, FALSE)</f>
        <v>yes</v>
      </c>
      <c r="J370" t="str">
        <f>VLOOKUP($A370, 'Medical Examinations'!A:B, 2, FALSE)</f>
        <v>Obesity</v>
      </c>
      <c r="K370" t="e">
        <f>VLOOKUP($A370, 'Medical Examinations'!A:D, 4, FALSE)</f>
        <v>#N/A</v>
      </c>
    </row>
    <row r="371" spans="1:11" ht="15.5" x14ac:dyDescent="0.35">
      <c r="A371" s="1" t="s">
        <v>2002</v>
      </c>
      <c r="B371" t="str">
        <f>VLOOKUP($A371, 'Customer Names'!A:D, 3, FALSE)</f>
        <v>Martinez Lopez</v>
      </c>
      <c r="C371">
        <f>VLOOKUP($A371,'Medical Examinations'!A:C, 3, FALSE)</f>
        <v>26.8</v>
      </c>
      <c r="D371" t="str">
        <f>VLOOKUP($A371, 'Medical Examinations'!A:D, 4, FALSE)</f>
        <v>Normal</v>
      </c>
      <c r="E371" t="str">
        <f>VLOOKUP($A371, 'Medical Examinations'!A:F, 6, FALSE)</f>
        <v>No</v>
      </c>
      <c r="F371" t="str">
        <f>VLOOKUP($A371, 'Medical Examinations'!A:G, 7, FALSE)</f>
        <v>No</v>
      </c>
      <c r="G371" t="str">
        <f>VLOOKUP($A371, 'Medical Examinations'!A:H, 8, FALSE)</f>
        <v>No</v>
      </c>
      <c r="H371">
        <f>VLOOKUP($A371, 'Medical Examinations'!A:J, 10, FALSE)</f>
        <v>1</v>
      </c>
      <c r="I371" t="str">
        <f>VLOOKUP($A371, 'Medical Examinations'!A:K, 11, FALSE)</f>
        <v>yes</v>
      </c>
      <c r="J371" t="str">
        <f>VLOOKUP($A371, 'Medical Examinations'!A:B, 2, FALSE)</f>
        <v>Overweight</v>
      </c>
      <c r="K371" t="str">
        <f>VLOOKUP($A371, 'Medical Examinations'!A:D, 4, FALSE)</f>
        <v>Normal</v>
      </c>
    </row>
    <row r="372" spans="1:11" ht="15.5" x14ac:dyDescent="0.35">
      <c r="A372" s="1" t="s">
        <v>2001</v>
      </c>
      <c r="B372" t="str">
        <f>VLOOKUP($A372, 'Customer Names'!A:D, 3, FALSE)</f>
        <v>Riegel</v>
      </c>
      <c r="C372">
        <f>VLOOKUP($A372,'Medical Examinations'!A:C, 3, FALSE)</f>
        <v>16.86</v>
      </c>
      <c r="D372" t="str">
        <f>VLOOKUP($A372, 'Medical Examinations'!A:D, 4, FALSE)</f>
        <v>Normal</v>
      </c>
      <c r="E372" t="str">
        <f>VLOOKUP($A372, 'Medical Examinations'!A:F, 6, FALSE)</f>
        <v>yes</v>
      </c>
      <c r="F372" t="str">
        <f>VLOOKUP($A372, 'Medical Examinations'!A:G, 7, FALSE)</f>
        <v>No</v>
      </c>
      <c r="G372" t="str">
        <f>VLOOKUP($A372, 'Medical Examinations'!A:H, 8, FALSE)</f>
        <v>No</v>
      </c>
      <c r="H372" t="str">
        <f>VLOOKUP($A372, 'Medical Examinations'!A:J, 10, FALSE)</f>
        <v>No major surgery</v>
      </c>
      <c r="I372" t="str">
        <f>VLOOKUP($A372, 'Medical Examinations'!A:K, 11, FALSE)</f>
        <v>yes</v>
      </c>
      <c r="J372" t="str">
        <f>VLOOKUP($A372, 'Medical Examinations'!A:B, 2, FALSE)</f>
        <v>Underweight</v>
      </c>
      <c r="K372" t="str">
        <f>VLOOKUP($A372, 'Medical Examinations'!A:D, 4, FALSE)</f>
        <v>Normal</v>
      </c>
    </row>
    <row r="373" spans="1:11" ht="15.5" x14ac:dyDescent="0.35">
      <c r="A373" s="1" t="s">
        <v>2000</v>
      </c>
      <c r="B373" t="str">
        <f>VLOOKUP($A373, 'Customer Names'!A:D, 3, FALSE)</f>
        <v>Monson</v>
      </c>
      <c r="C373">
        <f>VLOOKUP($A373,'Medical Examinations'!A:C, 3, FALSE)</f>
        <v>16.3</v>
      </c>
      <c r="D373" t="str">
        <f>VLOOKUP($A373, 'Medical Examinations'!A:D, 4, FALSE)</f>
        <v>Normal</v>
      </c>
      <c r="E373" t="str">
        <f>VLOOKUP($A373, 'Medical Examinations'!A:F, 6, FALSE)</f>
        <v>No</v>
      </c>
      <c r="F373" t="str">
        <f>VLOOKUP($A373, 'Medical Examinations'!A:G, 7, FALSE)</f>
        <v>No</v>
      </c>
      <c r="G373" t="str">
        <f>VLOOKUP($A373, 'Medical Examinations'!A:H, 8, FALSE)</f>
        <v>No</v>
      </c>
      <c r="H373">
        <f>VLOOKUP($A373, 'Medical Examinations'!A:J, 10, FALSE)</f>
        <v>1</v>
      </c>
      <c r="I373" t="str">
        <f>VLOOKUP($A373, 'Medical Examinations'!A:K, 11, FALSE)</f>
        <v>yes</v>
      </c>
      <c r="J373" t="str">
        <f>VLOOKUP($A373, 'Medical Examinations'!A:B, 2, FALSE)</f>
        <v>Underweight</v>
      </c>
      <c r="K373" t="str">
        <f>VLOOKUP($A373, 'Medical Examinations'!A:D, 4, FALSE)</f>
        <v>Normal</v>
      </c>
    </row>
    <row r="374" spans="1:11" ht="15.5" x14ac:dyDescent="0.35">
      <c r="A374" s="1" t="s">
        <v>1999</v>
      </c>
      <c r="B374" t="str">
        <f>VLOOKUP($A374, 'Customer Names'!A:D, 3, FALSE)</f>
        <v>Klubben</v>
      </c>
      <c r="C374">
        <f>VLOOKUP($A374,'Medical Examinations'!A:C, 3, FALSE)</f>
        <v>29.81</v>
      </c>
      <c r="D374" t="str">
        <f>VLOOKUP($A374, 'Medical Examinations'!A:D, 4, FALSE)</f>
        <v>Diabetes</v>
      </c>
      <c r="E374" t="str">
        <f>VLOOKUP($A374, 'Medical Examinations'!A:F, 6, FALSE)</f>
        <v>No</v>
      </c>
      <c r="F374" t="str">
        <f>VLOOKUP($A374, 'Medical Examinations'!A:G, 7, FALSE)</f>
        <v>No</v>
      </c>
      <c r="G374" t="str">
        <f>VLOOKUP($A374, 'Medical Examinations'!A:H, 8, FALSE)</f>
        <v>No</v>
      </c>
      <c r="H374" t="str">
        <f>VLOOKUP($A374, 'Medical Examinations'!A:J, 10, FALSE)</f>
        <v>No major surgery</v>
      </c>
      <c r="I374" t="str">
        <f>VLOOKUP($A374, 'Medical Examinations'!A:K, 11, FALSE)</f>
        <v>yes</v>
      </c>
      <c r="J374" t="str">
        <f>VLOOKUP($A374, 'Medical Examinations'!A:B, 2, FALSE)</f>
        <v>Overweight</v>
      </c>
      <c r="K374" t="str">
        <f>VLOOKUP($A374, 'Medical Examinations'!A:D, 4, FALSE)</f>
        <v>Diabetes</v>
      </c>
    </row>
    <row r="375" spans="1:11" ht="15.5" x14ac:dyDescent="0.35">
      <c r="A375" s="1" t="s">
        <v>1998</v>
      </c>
      <c r="B375" t="str">
        <f>VLOOKUP($A375, 'Customer Names'!A:D, 3, FALSE)</f>
        <v>Mascaro</v>
      </c>
      <c r="C375">
        <f>VLOOKUP($A375,'Medical Examinations'!A:C, 3, FALSE)</f>
        <v>16.329999999999998</v>
      </c>
      <c r="D375" t="str">
        <f>VLOOKUP($A375, 'Medical Examinations'!A:D, 4, FALSE)</f>
        <v>Diabetes</v>
      </c>
      <c r="E375" t="str">
        <f>VLOOKUP($A375, 'Medical Examinations'!A:F, 6, FALSE)</f>
        <v>yes</v>
      </c>
      <c r="F375" t="str">
        <f>VLOOKUP($A375, 'Medical Examinations'!A:G, 7, FALSE)</f>
        <v>No</v>
      </c>
      <c r="G375" t="str">
        <f>VLOOKUP($A375, 'Medical Examinations'!A:H, 8, FALSE)</f>
        <v>No</v>
      </c>
      <c r="H375" t="str">
        <f>VLOOKUP($A375, 'Medical Examinations'!A:J, 10, FALSE)</f>
        <v>No major surgery</v>
      </c>
      <c r="I375" t="str">
        <f>VLOOKUP($A375, 'Medical Examinations'!A:K, 11, FALSE)</f>
        <v>yes</v>
      </c>
      <c r="J375" t="str">
        <f>VLOOKUP($A375, 'Medical Examinations'!A:B, 2, FALSE)</f>
        <v>Underweight</v>
      </c>
      <c r="K375" t="str">
        <f>VLOOKUP($A375, 'Medical Examinations'!A:D, 4, FALSE)</f>
        <v>Diabetes</v>
      </c>
    </row>
    <row r="376" spans="1:11" ht="15.5" x14ac:dyDescent="0.35">
      <c r="A376" s="1" t="s">
        <v>1997</v>
      </c>
      <c r="B376" t="str">
        <f>VLOOKUP($A376, 'Customer Names'!A:D, 3, FALSE)</f>
        <v>Norvell</v>
      </c>
      <c r="C376">
        <f>VLOOKUP($A376,'Medical Examinations'!A:C, 3, FALSE)</f>
        <v>16.37</v>
      </c>
      <c r="D376" t="str">
        <f>VLOOKUP($A376, 'Medical Examinations'!A:D, 4, FALSE)</f>
        <v>Normal</v>
      </c>
      <c r="E376" t="str">
        <f>VLOOKUP($A376, 'Medical Examinations'!A:F, 6, FALSE)</f>
        <v>yes</v>
      </c>
      <c r="F376" t="str">
        <f>VLOOKUP($A376, 'Medical Examinations'!A:G, 7, FALSE)</f>
        <v>No</v>
      </c>
      <c r="G376" t="str">
        <f>VLOOKUP($A376, 'Medical Examinations'!A:H, 8, FALSE)</f>
        <v>No</v>
      </c>
      <c r="H376" t="str">
        <f>VLOOKUP($A376, 'Medical Examinations'!A:J, 10, FALSE)</f>
        <v>No major surgery</v>
      </c>
      <c r="I376" t="str">
        <f>VLOOKUP($A376, 'Medical Examinations'!A:K, 11, FALSE)</f>
        <v>yes</v>
      </c>
      <c r="J376" t="str">
        <f>VLOOKUP($A376, 'Medical Examinations'!A:B, 2, FALSE)</f>
        <v>Underweight</v>
      </c>
      <c r="K376" t="str">
        <f>VLOOKUP($A376, 'Medical Examinations'!A:D, 4, FALSE)</f>
        <v>Normal</v>
      </c>
    </row>
    <row r="377" spans="1:11" ht="15.5" x14ac:dyDescent="0.35">
      <c r="A377" s="1" t="s">
        <v>1996</v>
      </c>
      <c r="B377" t="str">
        <f>VLOOKUP($A377, 'Customer Names'!A:D, 3, FALSE)</f>
        <v>Ornelas</v>
      </c>
      <c r="C377">
        <f>VLOOKUP($A377,'Medical Examinations'!A:C, 3, FALSE)</f>
        <v>22.42</v>
      </c>
      <c r="D377" t="str">
        <f>VLOOKUP($A377, 'Medical Examinations'!A:D, 4, FALSE)</f>
        <v>Normal</v>
      </c>
      <c r="E377" t="str">
        <f>VLOOKUP($A377, 'Medical Examinations'!A:F, 6, FALSE)</f>
        <v>yes</v>
      </c>
      <c r="F377" t="str">
        <f>VLOOKUP($A377, 'Medical Examinations'!A:G, 7, FALSE)</f>
        <v>No</v>
      </c>
      <c r="G377" t="str">
        <f>VLOOKUP($A377, 'Medical Examinations'!A:H, 8, FALSE)</f>
        <v>No</v>
      </c>
      <c r="H377">
        <f>VLOOKUP($A377, 'Medical Examinations'!A:J, 10, FALSE)</f>
        <v>1</v>
      </c>
      <c r="I377" t="str">
        <f>VLOOKUP($A377, 'Medical Examinations'!A:K, 11, FALSE)</f>
        <v>No</v>
      </c>
      <c r="J377" t="str">
        <f>VLOOKUP($A377, 'Medical Examinations'!A:B, 2, FALSE)</f>
        <v>Normal Weight</v>
      </c>
      <c r="K377" t="str">
        <f>VLOOKUP($A377, 'Medical Examinations'!A:D, 4, FALSE)</f>
        <v>Normal</v>
      </c>
    </row>
    <row r="378" spans="1:11" ht="15.5" x14ac:dyDescent="0.35">
      <c r="A378" s="1" t="s">
        <v>1995</v>
      </c>
      <c r="B378" t="str">
        <f>VLOOKUP($A378, 'Customer Names'!A:D, 3, FALSE)</f>
        <v>Fitzpatrick</v>
      </c>
      <c r="C378">
        <f>VLOOKUP($A378,'Medical Examinations'!A:C, 3, FALSE)</f>
        <v>31.35</v>
      </c>
      <c r="D378" t="str">
        <f>VLOOKUP($A378, 'Medical Examinations'!A:D, 4, FALSE)</f>
        <v>Normal</v>
      </c>
      <c r="E378" t="str">
        <f>VLOOKUP($A378, 'Medical Examinations'!A:F, 6, FALSE)</f>
        <v>yes</v>
      </c>
      <c r="F378" t="str">
        <f>VLOOKUP($A378, 'Medical Examinations'!A:G, 7, FALSE)</f>
        <v>No</v>
      </c>
      <c r="G378" t="str">
        <f>VLOOKUP($A378, 'Medical Examinations'!A:H, 8, FALSE)</f>
        <v>Yes</v>
      </c>
      <c r="H378">
        <f>VLOOKUP($A378, 'Medical Examinations'!A:J, 10, FALSE)</f>
        <v>1</v>
      </c>
      <c r="I378" t="str">
        <f>VLOOKUP($A378, 'Medical Examinations'!A:K, 11, FALSE)</f>
        <v>No</v>
      </c>
      <c r="J378" t="str">
        <f>VLOOKUP($A378, 'Medical Examinations'!A:B, 2, FALSE)</f>
        <v>Obesity</v>
      </c>
      <c r="K378" t="str">
        <f>VLOOKUP($A378, 'Medical Examinations'!A:D, 4, FALSE)</f>
        <v>Normal</v>
      </c>
    </row>
    <row r="379" spans="1:11" ht="15.5" x14ac:dyDescent="0.35">
      <c r="A379" s="1" t="s">
        <v>1994</v>
      </c>
      <c r="B379" t="str">
        <f>VLOOKUP($A379, 'Customer Names'!A:D, 3, FALSE)</f>
        <v>Bloomquist</v>
      </c>
      <c r="C379">
        <f>VLOOKUP($A379,'Medical Examinations'!A:C, 3, FALSE)</f>
        <v>31.9</v>
      </c>
      <c r="D379" t="str">
        <f>VLOOKUP($A379, 'Medical Examinations'!A:D, 4, FALSE)</f>
        <v>Diabetes</v>
      </c>
      <c r="E379" t="str">
        <f>VLOOKUP($A379, 'Medical Examinations'!A:F, 6, FALSE)</f>
        <v>No</v>
      </c>
      <c r="F379" t="str">
        <f>VLOOKUP($A379, 'Medical Examinations'!A:G, 7, FALSE)</f>
        <v>No</v>
      </c>
      <c r="G379" t="str">
        <f>VLOOKUP($A379, 'Medical Examinations'!A:H, 8, FALSE)</f>
        <v>No</v>
      </c>
      <c r="H379" t="str">
        <f>VLOOKUP($A379, 'Medical Examinations'!A:J, 10, FALSE)</f>
        <v>No major surgery</v>
      </c>
      <c r="I379" t="str">
        <f>VLOOKUP($A379, 'Medical Examinations'!A:K, 11, FALSE)</f>
        <v>No</v>
      </c>
      <c r="J379" t="str">
        <f>VLOOKUP($A379, 'Medical Examinations'!A:B, 2, FALSE)</f>
        <v>Obesity</v>
      </c>
      <c r="K379" t="str">
        <f>VLOOKUP($A379, 'Medical Examinations'!A:D, 4, FALSE)</f>
        <v>Diabetes</v>
      </c>
    </row>
    <row r="380" spans="1:11" ht="15.5" x14ac:dyDescent="0.35">
      <c r="A380" s="1" t="s">
        <v>1993</v>
      </c>
      <c r="B380" t="str">
        <f>VLOOKUP($A380, 'Customer Names'!A:D, 3, FALSE)</f>
        <v>Wick</v>
      </c>
      <c r="C380">
        <f>VLOOKUP($A380,'Medical Examinations'!A:C, 3, FALSE)</f>
        <v>30.6</v>
      </c>
      <c r="D380" t="str">
        <f>VLOOKUP($A380, 'Medical Examinations'!A:D, 4, FALSE)</f>
        <v>Normal</v>
      </c>
      <c r="E380" t="str">
        <f>VLOOKUP($A380, 'Medical Examinations'!A:F, 6, FALSE)</f>
        <v>No</v>
      </c>
      <c r="F380" t="str">
        <f>VLOOKUP($A380, 'Medical Examinations'!A:G, 7, FALSE)</f>
        <v>No</v>
      </c>
      <c r="G380" t="str">
        <f>VLOOKUP($A380, 'Medical Examinations'!A:H, 8, FALSE)</f>
        <v>No</v>
      </c>
      <c r="H380" t="str">
        <f>VLOOKUP($A380, 'Medical Examinations'!A:J, 10, FALSE)</f>
        <v>No major surgery</v>
      </c>
      <c r="I380" t="str">
        <f>VLOOKUP($A380, 'Medical Examinations'!A:K, 11, FALSE)</f>
        <v>yes</v>
      </c>
      <c r="J380" t="str">
        <f>VLOOKUP($A380, 'Medical Examinations'!A:B, 2, FALSE)</f>
        <v>Obesity</v>
      </c>
      <c r="K380" t="str">
        <f>VLOOKUP($A380, 'Medical Examinations'!A:D, 4, FALSE)</f>
        <v>Normal</v>
      </c>
    </row>
    <row r="381" spans="1:11" ht="15.5" x14ac:dyDescent="0.35">
      <c r="A381" s="1" t="s">
        <v>1992</v>
      </c>
      <c r="B381" t="str">
        <f>VLOOKUP($A381, 'Customer Names'!A:D, 3, FALSE)</f>
        <v>Zappala</v>
      </c>
      <c r="C381">
        <f>VLOOKUP($A381,'Medical Examinations'!A:C, 3, FALSE)</f>
        <v>28.975000000000001</v>
      </c>
      <c r="D381" t="str">
        <f>VLOOKUP($A381, 'Medical Examinations'!A:D, 4, FALSE)</f>
        <v>Diabetes</v>
      </c>
      <c r="E381" t="str">
        <f>VLOOKUP($A381, 'Medical Examinations'!A:F, 6, FALSE)</f>
        <v>No</v>
      </c>
      <c r="F381" t="str">
        <f>VLOOKUP($A381, 'Medical Examinations'!A:G, 7, FALSE)</f>
        <v>No</v>
      </c>
      <c r="G381" t="str">
        <f>VLOOKUP($A381, 'Medical Examinations'!A:H, 8, FALSE)</f>
        <v>No</v>
      </c>
      <c r="H381" t="str">
        <f>VLOOKUP($A381, 'Medical Examinations'!A:J, 10, FALSE)</f>
        <v>No major surgery</v>
      </c>
      <c r="I381" t="str">
        <f>VLOOKUP($A381, 'Medical Examinations'!A:K, 11, FALSE)</f>
        <v>yes</v>
      </c>
      <c r="J381" t="str">
        <f>VLOOKUP($A381, 'Medical Examinations'!A:B, 2, FALSE)</f>
        <v>Overweight</v>
      </c>
      <c r="K381" t="str">
        <f>VLOOKUP($A381, 'Medical Examinations'!A:D, 4, FALSE)</f>
        <v>Diabetes</v>
      </c>
    </row>
    <row r="382" spans="1:11" ht="15.5" x14ac:dyDescent="0.35">
      <c r="A382" s="1" t="s">
        <v>1991</v>
      </c>
      <c r="B382" t="str">
        <f>VLOOKUP($A382, 'Customer Names'!A:D, 3, FALSE)</f>
        <v>Earle</v>
      </c>
      <c r="C382">
        <f>VLOOKUP($A382,'Medical Examinations'!A:C, 3, FALSE)</f>
        <v>24.86</v>
      </c>
      <c r="D382" t="str">
        <f>VLOOKUP($A382, 'Medical Examinations'!A:D, 4, FALSE)</f>
        <v>Diabetes</v>
      </c>
      <c r="E382" t="str">
        <f>VLOOKUP($A382, 'Medical Examinations'!A:F, 6, FALSE)</f>
        <v>yes</v>
      </c>
      <c r="F382" t="str">
        <f>VLOOKUP($A382, 'Medical Examinations'!A:G, 7, FALSE)</f>
        <v>No</v>
      </c>
      <c r="G382" t="str">
        <f>VLOOKUP($A382, 'Medical Examinations'!A:H, 8, FALSE)</f>
        <v>No</v>
      </c>
      <c r="H382">
        <f>VLOOKUP($A382, 'Medical Examinations'!A:J, 10, FALSE)</f>
        <v>2</v>
      </c>
      <c r="I382" t="str">
        <f>VLOOKUP($A382, 'Medical Examinations'!A:K, 11, FALSE)</f>
        <v>No</v>
      </c>
      <c r="J382" t="str">
        <f>VLOOKUP($A382, 'Medical Examinations'!A:B, 2, FALSE)</f>
        <v>Normal Weight</v>
      </c>
      <c r="K382" t="str">
        <f>VLOOKUP($A382, 'Medical Examinations'!A:D, 4, FALSE)</f>
        <v>Diabetes</v>
      </c>
    </row>
    <row r="383" spans="1:11" ht="15.5" x14ac:dyDescent="0.35">
      <c r="A383" s="1" t="s">
        <v>1990</v>
      </c>
      <c r="B383" t="str">
        <f>VLOOKUP($A383, 'Customer Names'!A:D, 3, FALSE)</f>
        <v>Majewski</v>
      </c>
      <c r="C383">
        <f>VLOOKUP($A383,'Medical Examinations'!A:C, 3, FALSE)</f>
        <v>19.54</v>
      </c>
      <c r="D383" t="str">
        <f>VLOOKUP($A383, 'Medical Examinations'!A:D, 4, FALSE)</f>
        <v>Normal</v>
      </c>
      <c r="E383" t="str">
        <f>VLOOKUP($A383, 'Medical Examinations'!A:F, 6, FALSE)</f>
        <v>No</v>
      </c>
      <c r="F383" t="str">
        <f>VLOOKUP($A383, 'Medical Examinations'!A:G, 7, FALSE)</f>
        <v>No</v>
      </c>
      <c r="G383" t="str">
        <f>VLOOKUP($A383, 'Medical Examinations'!A:H, 8, FALSE)</f>
        <v>No</v>
      </c>
      <c r="H383" t="str">
        <f>VLOOKUP($A383, 'Medical Examinations'!A:J, 10, FALSE)</f>
        <v>No major surgery</v>
      </c>
      <c r="I383" t="str">
        <f>VLOOKUP($A383, 'Medical Examinations'!A:K, 11, FALSE)</f>
        <v>yes</v>
      </c>
      <c r="J383" t="str">
        <f>VLOOKUP($A383, 'Medical Examinations'!A:B, 2, FALSE)</f>
        <v>Normal Weight</v>
      </c>
      <c r="K383" t="str">
        <f>VLOOKUP($A383, 'Medical Examinations'!A:D, 4, FALSE)</f>
        <v>Normal</v>
      </c>
    </row>
    <row r="384" spans="1:11" ht="15.5" x14ac:dyDescent="0.35">
      <c r="A384" s="1" t="s">
        <v>1989</v>
      </c>
      <c r="B384" t="str">
        <f>VLOOKUP($A384, 'Customer Names'!A:D, 3, FALSE)</f>
        <v>Apfelbaum</v>
      </c>
      <c r="C384">
        <f>VLOOKUP($A384,'Medical Examinations'!A:C, 3, FALSE)</f>
        <v>26.74</v>
      </c>
      <c r="D384" t="str">
        <f>VLOOKUP($A384, 'Medical Examinations'!A:D, 4, FALSE)</f>
        <v>Normal</v>
      </c>
      <c r="E384" t="str">
        <f>VLOOKUP($A384, 'Medical Examinations'!A:F, 6, FALSE)</f>
        <v>No</v>
      </c>
      <c r="F384" t="str">
        <f>VLOOKUP($A384, 'Medical Examinations'!A:G, 7, FALSE)</f>
        <v>No</v>
      </c>
      <c r="G384" t="str">
        <f>VLOOKUP($A384, 'Medical Examinations'!A:H, 8, FALSE)</f>
        <v>No</v>
      </c>
      <c r="H384" t="str">
        <f>VLOOKUP($A384, 'Medical Examinations'!A:J, 10, FALSE)</f>
        <v>No major surgery</v>
      </c>
      <c r="I384" t="str">
        <f>VLOOKUP($A384, 'Medical Examinations'!A:K, 11, FALSE)</f>
        <v>yes</v>
      </c>
      <c r="J384" t="str">
        <f>VLOOKUP($A384, 'Medical Examinations'!A:B, 2, FALSE)</f>
        <v>Overweight</v>
      </c>
      <c r="K384" t="str">
        <f>VLOOKUP($A384, 'Medical Examinations'!A:D, 4, FALSE)</f>
        <v>Normal</v>
      </c>
    </row>
    <row r="385" spans="1:11" ht="15.5" x14ac:dyDescent="0.35">
      <c r="A385" s="1" t="s">
        <v>1988</v>
      </c>
      <c r="B385" t="str">
        <f>VLOOKUP($A385, 'Customer Names'!A:D, 3, FALSE)</f>
        <v>Graham</v>
      </c>
      <c r="C385">
        <f>VLOOKUP($A385,'Medical Examinations'!A:C, 3, FALSE)</f>
        <v>22.99</v>
      </c>
      <c r="D385" t="str">
        <f>VLOOKUP($A385, 'Medical Examinations'!A:D, 4, FALSE)</f>
        <v>Diabetes</v>
      </c>
      <c r="E385" t="str">
        <f>VLOOKUP($A385, 'Medical Examinations'!A:F, 6, FALSE)</f>
        <v>No</v>
      </c>
      <c r="F385" t="str">
        <f>VLOOKUP($A385, 'Medical Examinations'!A:G, 7, FALSE)</f>
        <v>No</v>
      </c>
      <c r="G385" t="str">
        <f>VLOOKUP($A385, 'Medical Examinations'!A:H, 8, FALSE)</f>
        <v>No</v>
      </c>
      <c r="H385">
        <f>VLOOKUP($A385, 'Medical Examinations'!A:J, 10, FALSE)</f>
        <v>3</v>
      </c>
      <c r="I385" t="str">
        <f>VLOOKUP($A385, 'Medical Examinations'!A:K, 11, FALSE)</f>
        <v>yes</v>
      </c>
      <c r="J385" t="str">
        <f>VLOOKUP($A385, 'Medical Examinations'!A:B, 2, FALSE)</f>
        <v>Normal Weight</v>
      </c>
      <c r="K385" t="str">
        <f>VLOOKUP($A385, 'Medical Examinations'!A:D, 4, FALSE)</f>
        <v>Diabetes</v>
      </c>
    </row>
    <row r="386" spans="1:11" ht="15.5" x14ac:dyDescent="0.35">
      <c r="A386" s="1" t="s">
        <v>1987</v>
      </c>
      <c r="B386" t="str">
        <f>VLOOKUP($A386, 'Customer Names'!A:D, 3, FALSE)</f>
        <v>Whitacre</v>
      </c>
      <c r="C386">
        <f>VLOOKUP($A386,'Medical Examinations'!A:C, 3, FALSE)</f>
        <v>31.46</v>
      </c>
      <c r="D386" t="str">
        <f>VLOOKUP($A386, 'Medical Examinations'!A:D, 4, FALSE)</f>
        <v>Diabetes</v>
      </c>
      <c r="E386" t="str">
        <f>VLOOKUP($A386, 'Medical Examinations'!A:F, 6, FALSE)</f>
        <v>No</v>
      </c>
      <c r="F386" t="str">
        <f>VLOOKUP($A386, 'Medical Examinations'!A:G, 7, FALSE)</f>
        <v>No</v>
      </c>
      <c r="G386" t="str">
        <f>VLOOKUP($A386, 'Medical Examinations'!A:H, 8, FALSE)</f>
        <v>No</v>
      </c>
      <c r="H386" t="str">
        <f>VLOOKUP($A386, 'Medical Examinations'!A:J, 10, FALSE)</f>
        <v>No major surgery</v>
      </c>
      <c r="I386" t="str">
        <f>VLOOKUP($A386, 'Medical Examinations'!A:K, 11, FALSE)</f>
        <v>No</v>
      </c>
      <c r="J386" t="str">
        <f>VLOOKUP($A386, 'Medical Examinations'!A:B, 2, FALSE)</f>
        <v>Obesity</v>
      </c>
      <c r="K386" t="str">
        <f>VLOOKUP($A386, 'Medical Examinations'!A:D, 4, FALSE)</f>
        <v>Diabetes</v>
      </c>
    </row>
    <row r="387" spans="1:11" ht="15.5" x14ac:dyDescent="0.35">
      <c r="A387" s="1" t="s">
        <v>1986</v>
      </c>
      <c r="B387" t="str">
        <f>VLOOKUP($A387, 'Customer Names'!A:D, 3, FALSE)</f>
        <v>Wegener</v>
      </c>
      <c r="C387">
        <f>VLOOKUP($A387,'Medical Examinations'!A:C, 3, FALSE)</f>
        <v>30.86</v>
      </c>
      <c r="D387" t="str">
        <f>VLOOKUP($A387, 'Medical Examinations'!A:D, 4, FALSE)</f>
        <v>Prediabetes</v>
      </c>
      <c r="E387" t="str">
        <f>VLOOKUP($A387, 'Medical Examinations'!A:F, 6, FALSE)</f>
        <v>No</v>
      </c>
      <c r="F387" t="str">
        <f>VLOOKUP($A387, 'Medical Examinations'!A:G, 7, FALSE)</f>
        <v>yes</v>
      </c>
      <c r="G387" t="str">
        <f>VLOOKUP($A387, 'Medical Examinations'!A:H, 8, FALSE)</f>
        <v>No</v>
      </c>
      <c r="H387">
        <f>VLOOKUP($A387, 'Medical Examinations'!A:J, 10, FALSE)</f>
        <v>2</v>
      </c>
      <c r="I387" t="str">
        <f>VLOOKUP($A387, 'Medical Examinations'!A:K, 11, FALSE)</f>
        <v>yes</v>
      </c>
      <c r="J387" t="str">
        <f>VLOOKUP($A387, 'Medical Examinations'!A:B, 2, FALSE)</f>
        <v>Obesity</v>
      </c>
      <c r="K387" t="str">
        <f>VLOOKUP($A387, 'Medical Examinations'!A:D, 4, FALSE)</f>
        <v>Prediabetes</v>
      </c>
    </row>
    <row r="388" spans="1:11" ht="15.5" x14ac:dyDescent="0.35">
      <c r="A388" s="1" t="s">
        <v>1985</v>
      </c>
      <c r="B388" t="str">
        <f>VLOOKUP($A388, 'Customer Names'!A:D, 3, FALSE)</f>
        <v>Collie</v>
      </c>
      <c r="C388">
        <f>VLOOKUP($A388,'Medical Examinations'!A:C, 3, FALSE)</f>
        <v>31.96</v>
      </c>
      <c r="D388" t="str">
        <f>VLOOKUP($A388, 'Medical Examinations'!A:D, 4, FALSE)</f>
        <v>Diabetes</v>
      </c>
      <c r="E388" t="str">
        <f>VLOOKUP($A388, 'Medical Examinations'!A:F, 6, FALSE)</f>
        <v>No</v>
      </c>
      <c r="F388" t="str">
        <f>VLOOKUP($A388, 'Medical Examinations'!A:G, 7, FALSE)</f>
        <v>No</v>
      </c>
      <c r="G388" t="str">
        <f>VLOOKUP($A388, 'Medical Examinations'!A:H, 8, FALSE)</f>
        <v>No</v>
      </c>
      <c r="H388" t="str">
        <f>VLOOKUP($A388, 'Medical Examinations'!A:J, 10, FALSE)</f>
        <v>No major surgery</v>
      </c>
      <c r="I388" t="str">
        <f>VLOOKUP($A388, 'Medical Examinations'!A:K, 11, FALSE)</f>
        <v>yes</v>
      </c>
      <c r="J388" t="str">
        <f>VLOOKUP($A388, 'Medical Examinations'!A:B, 2, FALSE)</f>
        <v>Obesity</v>
      </c>
      <c r="K388" t="str">
        <f>VLOOKUP($A388, 'Medical Examinations'!A:D, 4, FALSE)</f>
        <v>Diabetes</v>
      </c>
    </row>
    <row r="389" spans="1:11" ht="15.5" x14ac:dyDescent="0.35">
      <c r="A389" s="1" t="s">
        <v>1984</v>
      </c>
      <c r="B389" t="str">
        <f>VLOOKUP($A389, 'Customer Names'!A:D, 3, FALSE)</f>
        <v>Murphy</v>
      </c>
      <c r="C389">
        <f>VLOOKUP($A389,'Medical Examinations'!A:C, 3, FALSE)</f>
        <v>23.76</v>
      </c>
      <c r="D389" t="str">
        <f>VLOOKUP($A389, 'Medical Examinations'!A:D, 4, FALSE)</f>
        <v>Diabetes</v>
      </c>
      <c r="E389" t="str">
        <f>VLOOKUP($A389, 'Medical Examinations'!A:F, 6, FALSE)</f>
        <v>No</v>
      </c>
      <c r="F389" t="str">
        <f>VLOOKUP($A389, 'Medical Examinations'!A:G, 7, FALSE)</f>
        <v>No</v>
      </c>
      <c r="G389" t="str">
        <f>VLOOKUP($A389, 'Medical Examinations'!A:H, 8, FALSE)</f>
        <v>No</v>
      </c>
      <c r="H389">
        <f>VLOOKUP($A389, 'Medical Examinations'!A:J, 10, FALSE)</f>
        <v>3</v>
      </c>
      <c r="I389" t="str">
        <f>VLOOKUP($A389, 'Medical Examinations'!A:K, 11, FALSE)</f>
        <v>yes</v>
      </c>
      <c r="J389" t="str">
        <f>VLOOKUP($A389, 'Medical Examinations'!A:B, 2, FALSE)</f>
        <v>Normal Weight</v>
      </c>
      <c r="K389" t="str">
        <f>VLOOKUP($A389, 'Medical Examinations'!A:D, 4, FALSE)</f>
        <v>Diabetes</v>
      </c>
    </row>
    <row r="390" spans="1:11" ht="15.5" x14ac:dyDescent="0.35">
      <c r="A390" s="1" t="s">
        <v>1983</v>
      </c>
      <c r="B390" t="str">
        <f>VLOOKUP($A390, 'Customer Names'!A:D, 3, FALSE)</f>
        <v>Butters</v>
      </c>
      <c r="C390">
        <f>VLOOKUP($A390,'Medical Examinations'!A:C, 3, FALSE)</f>
        <v>19.38</v>
      </c>
      <c r="D390" t="str">
        <f>VLOOKUP($A390, 'Medical Examinations'!A:D, 4, FALSE)</f>
        <v>Prediabetes</v>
      </c>
      <c r="E390" t="str">
        <f>VLOOKUP($A390, 'Medical Examinations'!A:F, 6, FALSE)</f>
        <v>No</v>
      </c>
      <c r="F390" t="str">
        <f>VLOOKUP($A390, 'Medical Examinations'!A:G, 7, FALSE)</f>
        <v>No</v>
      </c>
      <c r="G390" t="str">
        <f>VLOOKUP($A390, 'Medical Examinations'!A:H, 8, FALSE)</f>
        <v>No</v>
      </c>
      <c r="H390" t="str">
        <f>VLOOKUP($A390, 'Medical Examinations'!A:J, 10, FALSE)</f>
        <v>No major surgery</v>
      </c>
      <c r="I390" t="str">
        <f>VLOOKUP($A390, 'Medical Examinations'!A:K, 11, FALSE)</f>
        <v>yes</v>
      </c>
      <c r="J390" t="str">
        <f>VLOOKUP($A390, 'Medical Examinations'!A:B, 2, FALSE)</f>
        <v>Normal Weight</v>
      </c>
      <c r="K390" t="str">
        <f>VLOOKUP($A390, 'Medical Examinations'!A:D, 4, FALSE)</f>
        <v>Prediabetes</v>
      </c>
    </row>
    <row r="391" spans="1:11" ht="15.5" x14ac:dyDescent="0.35">
      <c r="A391" s="1" t="s">
        <v>1982</v>
      </c>
      <c r="B391" t="str">
        <f>VLOOKUP($A391, 'Customer Names'!A:D, 3, FALSE)</f>
        <v>Cook</v>
      </c>
      <c r="C391">
        <f>VLOOKUP($A391,'Medical Examinations'!A:C, 3, FALSE)</f>
        <v>16.21</v>
      </c>
      <c r="D391" t="str">
        <f>VLOOKUP($A391, 'Medical Examinations'!A:D, 4, FALSE)</f>
        <v>Prediabetes</v>
      </c>
      <c r="E391" t="str">
        <f>VLOOKUP($A391, 'Medical Examinations'!A:F, 6, FALSE)</f>
        <v>yes</v>
      </c>
      <c r="F391" t="str">
        <f>VLOOKUP($A391, 'Medical Examinations'!A:G, 7, FALSE)</f>
        <v>No</v>
      </c>
      <c r="G391" t="str">
        <f>VLOOKUP($A391, 'Medical Examinations'!A:H, 8, FALSE)</f>
        <v>No</v>
      </c>
      <c r="H391">
        <f>VLOOKUP($A391, 'Medical Examinations'!A:J, 10, FALSE)</f>
        <v>1</v>
      </c>
      <c r="I391" t="str">
        <f>VLOOKUP($A391, 'Medical Examinations'!A:K, 11, FALSE)</f>
        <v>yes</v>
      </c>
      <c r="J391" t="str">
        <f>VLOOKUP($A391, 'Medical Examinations'!A:B, 2, FALSE)</f>
        <v>Underweight</v>
      </c>
      <c r="K391" t="str">
        <f>VLOOKUP($A391, 'Medical Examinations'!A:D, 4, FALSE)</f>
        <v>Prediabetes</v>
      </c>
    </row>
    <row r="392" spans="1:11" ht="15.5" x14ac:dyDescent="0.35">
      <c r="A392" s="1" t="s">
        <v>1981</v>
      </c>
      <c r="B392" t="str">
        <f>VLOOKUP($A392, 'Customer Names'!A:D, 3, FALSE)</f>
        <v>Breen</v>
      </c>
      <c r="C392">
        <f>VLOOKUP($A392,'Medical Examinations'!A:C, 3, FALSE)</f>
        <v>32.54</v>
      </c>
      <c r="D392" t="str">
        <f>VLOOKUP($A392, 'Medical Examinations'!A:D, 4, FALSE)</f>
        <v>Normal</v>
      </c>
      <c r="E392" t="str">
        <f>VLOOKUP($A392, 'Medical Examinations'!A:F, 6, FALSE)</f>
        <v>No</v>
      </c>
      <c r="F392" t="str">
        <f>VLOOKUP($A392, 'Medical Examinations'!A:G, 7, FALSE)</f>
        <v>yes</v>
      </c>
      <c r="G392" t="str">
        <f>VLOOKUP($A392, 'Medical Examinations'!A:H, 8, FALSE)</f>
        <v>No</v>
      </c>
      <c r="H392">
        <f>VLOOKUP($A392, 'Medical Examinations'!A:J, 10, FALSE)</f>
        <v>1</v>
      </c>
      <c r="I392" t="str">
        <f>VLOOKUP($A392, 'Medical Examinations'!A:K, 11, FALSE)</f>
        <v>yes</v>
      </c>
      <c r="J392" t="str">
        <f>VLOOKUP($A392, 'Medical Examinations'!A:B, 2, FALSE)</f>
        <v>Obesity</v>
      </c>
      <c r="K392" t="str">
        <f>VLOOKUP($A392, 'Medical Examinations'!A:D, 4, FALSE)</f>
        <v>Normal</v>
      </c>
    </row>
    <row r="393" spans="1:11" ht="15.5" x14ac:dyDescent="0.35">
      <c r="A393" s="1" t="s">
        <v>1980</v>
      </c>
      <c r="B393" t="str">
        <f>VLOOKUP($A393, 'Customer Names'!A:D, 3, FALSE)</f>
        <v>Fitzsimons</v>
      </c>
      <c r="C393">
        <f>VLOOKUP($A393,'Medical Examinations'!A:C, 3, FALSE)</f>
        <v>36.765000000000001</v>
      </c>
      <c r="D393" t="str">
        <f>VLOOKUP($A393, 'Medical Examinations'!A:D, 4, FALSE)</f>
        <v>Diabetes</v>
      </c>
      <c r="E393" t="str">
        <f>VLOOKUP($A393, 'Medical Examinations'!A:F, 6, FALSE)</f>
        <v>yes</v>
      </c>
      <c r="F393" t="str">
        <f>VLOOKUP($A393, 'Medical Examinations'!A:G, 7, FALSE)</f>
        <v>No</v>
      </c>
      <c r="G393" t="str">
        <f>VLOOKUP($A393, 'Medical Examinations'!A:H, 8, FALSE)</f>
        <v>No</v>
      </c>
      <c r="H393">
        <f>VLOOKUP($A393, 'Medical Examinations'!A:J, 10, FALSE)</f>
        <v>2</v>
      </c>
      <c r="I393" t="str">
        <f>VLOOKUP($A393, 'Medical Examinations'!A:K, 11, FALSE)</f>
        <v>No</v>
      </c>
      <c r="J393" t="str">
        <f>VLOOKUP($A393, 'Medical Examinations'!A:B, 2, FALSE)</f>
        <v>Obesity</v>
      </c>
      <c r="K393" t="str">
        <f>VLOOKUP($A393, 'Medical Examinations'!A:D, 4, FALSE)</f>
        <v>Diabetes</v>
      </c>
    </row>
    <row r="394" spans="1:11" ht="15.5" x14ac:dyDescent="0.35">
      <c r="A394" s="1" t="s">
        <v>1979</v>
      </c>
      <c r="B394" t="str">
        <f>VLOOKUP($A394, 'Customer Names'!A:D, 3, FALSE)</f>
        <v>Houle</v>
      </c>
      <c r="C394">
        <f>VLOOKUP($A394,'Medical Examinations'!A:C, 3, FALSE)</f>
        <v>35.909999999999997</v>
      </c>
      <c r="D394" t="str">
        <f>VLOOKUP($A394, 'Medical Examinations'!A:D, 4, FALSE)</f>
        <v>Diabetes</v>
      </c>
      <c r="E394" t="str">
        <f>VLOOKUP($A394, 'Medical Examinations'!A:F, 6, FALSE)</f>
        <v>No</v>
      </c>
      <c r="F394" t="str">
        <f>VLOOKUP($A394, 'Medical Examinations'!A:G, 7, FALSE)</f>
        <v>No</v>
      </c>
      <c r="G394" t="str">
        <f>VLOOKUP($A394, 'Medical Examinations'!A:H, 8, FALSE)</f>
        <v>No</v>
      </c>
      <c r="H394" t="str">
        <f>VLOOKUP($A394, 'Medical Examinations'!A:J, 10, FALSE)</f>
        <v>No major surgery</v>
      </c>
      <c r="I394" t="str">
        <f>VLOOKUP($A394, 'Medical Examinations'!A:K, 11, FALSE)</f>
        <v>No</v>
      </c>
      <c r="J394" t="str">
        <f>VLOOKUP($A394, 'Medical Examinations'!A:B, 2, FALSE)</f>
        <v>Obesity</v>
      </c>
      <c r="K394" t="str">
        <f>VLOOKUP($A394, 'Medical Examinations'!A:D, 4, FALSE)</f>
        <v>Diabetes</v>
      </c>
    </row>
    <row r="395" spans="1:11" ht="15.5" x14ac:dyDescent="0.35">
      <c r="A395" s="1" t="s">
        <v>1978</v>
      </c>
      <c r="B395" t="str">
        <f>VLOOKUP($A395, 'Customer Names'!A:D, 3, FALSE)</f>
        <v>Woodward</v>
      </c>
      <c r="C395">
        <f>VLOOKUP($A395,'Medical Examinations'!A:C, 3, FALSE)</f>
        <v>32.06</v>
      </c>
      <c r="D395" t="str">
        <f>VLOOKUP($A395, 'Medical Examinations'!A:D, 4, FALSE)</f>
        <v>Normal</v>
      </c>
      <c r="E395" t="str">
        <f>VLOOKUP($A395, 'Medical Examinations'!A:F, 6, FALSE)</f>
        <v>No</v>
      </c>
      <c r="F395" t="str">
        <f>VLOOKUP($A395, 'Medical Examinations'!A:G, 7, FALSE)</f>
        <v>yes</v>
      </c>
      <c r="G395" t="str">
        <f>VLOOKUP($A395, 'Medical Examinations'!A:H, 8, FALSE)</f>
        <v>No</v>
      </c>
      <c r="H395">
        <f>VLOOKUP($A395, 'Medical Examinations'!A:J, 10, FALSE)</f>
        <v>1</v>
      </c>
      <c r="I395" t="str">
        <f>VLOOKUP($A395, 'Medical Examinations'!A:K, 11, FALSE)</f>
        <v>yes</v>
      </c>
      <c r="J395" t="str">
        <f>VLOOKUP($A395, 'Medical Examinations'!A:B, 2, FALSE)</f>
        <v>Obesity</v>
      </c>
      <c r="K395" t="str">
        <f>VLOOKUP($A395, 'Medical Examinations'!A:D, 4, FALSE)</f>
        <v>Normal</v>
      </c>
    </row>
    <row r="396" spans="1:11" ht="15.5" x14ac:dyDescent="0.35">
      <c r="A396" s="1" t="s">
        <v>1977</v>
      </c>
      <c r="B396" t="str">
        <f>VLOOKUP($A396, 'Customer Names'!A:D, 3, FALSE)</f>
        <v>Ray</v>
      </c>
      <c r="C396">
        <f>VLOOKUP($A396,'Medical Examinations'!A:C, 3, FALSE)</f>
        <v>24.1</v>
      </c>
      <c r="D396" t="str">
        <f>VLOOKUP($A396, 'Medical Examinations'!A:D, 4, FALSE)</f>
        <v>Diabetes</v>
      </c>
      <c r="E396" t="str">
        <f>VLOOKUP($A396, 'Medical Examinations'!A:F, 6, FALSE)</f>
        <v>yes</v>
      </c>
      <c r="F396" t="str">
        <f>VLOOKUP($A396, 'Medical Examinations'!A:G, 7, FALSE)</f>
        <v>No</v>
      </c>
      <c r="G396" t="str">
        <f>VLOOKUP($A396, 'Medical Examinations'!A:H, 8, FALSE)</f>
        <v>No</v>
      </c>
      <c r="H396">
        <f>VLOOKUP($A396, 'Medical Examinations'!A:J, 10, FALSE)</f>
        <v>1</v>
      </c>
      <c r="I396" t="str">
        <f>VLOOKUP($A396, 'Medical Examinations'!A:K, 11, FALSE)</f>
        <v>No</v>
      </c>
      <c r="J396" t="str">
        <f>VLOOKUP($A396, 'Medical Examinations'!A:B, 2, FALSE)</f>
        <v>Normal Weight</v>
      </c>
      <c r="K396" t="str">
        <f>VLOOKUP($A396, 'Medical Examinations'!A:D, 4, FALSE)</f>
        <v>Diabetes</v>
      </c>
    </row>
    <row r="397" spans="1:11" ht="15.5" x14ac:dyDescent="0.35">
      <c r="A397" s="1" t="s">
        <v>1976</v>
      </c>
      <c r="B397" t="str">
        <f>VLOOKUP($A397, 'Customer Names'!A:D, 3, FALSE)</f>
        <v>Jennings</v>
      </c>
      <c r="C397">
        <f>VLOOKUP($A397,'Medical Examinations'!A:C, 3, FALSE)</f>
        <v>27.1</v>
      </c>
      <c r="D397" t="str">
        <f>VLOOKUP($A397, 'Medical Examinations'!A:D, 4, FALSE)</f>
        <v>Diabetes</v>
      </c>
      <c r="E397" t="str">
        <f>VLOOKUP($A397, 'Medical Examinations'!A:F, 6, FALSE)</f>
        <v>No</v>
      </c>
      <c r="F397" t="str">
        <f>VLOOKUP($A397, 'Medical Examinations'!A:G, 7, FALSE)</f>
        <v>No</v>
      </c>
      <c r="G397" t="str">
        <f>VLOOKUP($A397, 'Medical Examinations'!A:H, 8, FALSE)</f>
        <v>No</v>
      </c>
      <c r="H397">
        <f>VLOOKUP($A397, 'Medical Examinations'!A:J, 10, FALSE)</f>
        <v>2</v>
      </c>
      <c r="I397" t="str">
        <f>VLOOKUP($A397, 'Medical Examinations'!A:K, 11, FALSE)</f>
        <v>No</v>
      </c>
      <c r="J397" t="str">
        <f>VLOOKUP($A397, 'Medical Examinations'!A:B, 2, FALSE)</f>
        <v>Overweight</v>
      </c>
      <c r="K397" t="str">
        <f>VLOOKUP($A397, 'Medical Examinations'!A:D, 4, FALSE)</f>
        <v>Diabetes</v>
      </c>
    </row>
    <row r="398" spans="1:11" ht="15.5" x14ac:dyDescent="0.35">
      <c r="A398" s="1" t="s">
        <v>1975</v>
      </c>
      <c r="B398" t="str">
        <f>VLOOKUP($A398, 'Customer Names'!A:D, 3, FALSE)</f>
        <v>Fuller</v>
      </c>
      <c r="C398">
        <f>VLOOKUP($A398,'Medical Examinations'!A:C, 3, FALSE)</f>
        <v>24.42</v>
      </c>
      <c r="D398" t="str">
        <f>VLOOKUP($A398, 'Medical Examinations'!A:D, 4, FALSE)</f>
        <v>Diabetes</v>
      </c>
      <c r="E398" t="str">
        <f>VLOOKUP($A398, 'Medical Examinations'!A:F, 6, FALSE)</f>
        <v>No</v>
      </c>
      <c r="F398" t="str">
        <f>VLOOKUP($A398, 'Medical Examinations'!A:G, 7, FALSE)</f>
        <v>No</v>
      </c>
      <c r="G398" t="str">
        <f>VLOOKUP($A398, 'Medical Examinations'!A:H, 8, FALSE)</f>
        <v>No</v>
      </c>
      <c r="H398" t="str">
        <f>VLOOKUP($A398, 'Medical Examinations'!A:J, 10, FALSE)</f>
        <v>No major surgery</v>
      </c>
      <c r="I398" t="str">
        <f>VLOOKUP($A398, 'Medical Examinations'!A:K, 11, FALSE)</f>
        <v>yes</v>
      </c>
      <c r="J398" t="str">
        <f>VLOOKUP($A398, 'Medical Examinations'!A:B, 2, FALSE)</f>
        <v>Normal Weight</v>
      </c>
      <c r="K398" t="str">
        <f>VLOOKUP($A398, 'Medical Examinations'!A:D, 4, FALSE)</f>
        <v>Diabetes</v>
      </c>
    </row>
    <row r="399" spans="1:11" ht="15.5" x14ac:dyDescent="0.35">
      <c r="A399" s="1" t="s">
        <v>1974</v>
      </c>
      <c r="B399" t="str">
        <f>VLOOKUP($A399, 'Customer Names'!A:D, 3, FALSE)</f>
        <v>Lovisek</v>
      </c>
      <c r="C399">
        <f>VLOOKUP($A399,'Medical Examinations'!A:C, 3, FALSE)</f>
        <v>26.695</v>
      </c>
      <c r="D399" t="str">
        <f>VLOOKUP($A399, 'Medical Examinations'!A:D, 4, FALSE)</f>
        <v>Normal</v>
      </c>
      <c r="E399" t="str">
        <f>VLOOKUP($A399, 'Medical Examinations'!A:F, 6, FALSE)</f>
        <v>yes</v>
      </c>
      <c r="F399" t="str">
        <f>VLOOKUP($A399, 'Medical Examinations'!A:G, 7, FALSE)</f>
        <v>No</v>
      </c>
      <c r="G399" t="str">
        <f>VLOOKUP($A399, 'Medical Examinations'!A:H, 8, FALSE)</f>
        <v>No</v>
      </c>
      <c r="H399">
        <f>VLOOKUP($A399, 'Medical Examinations'!A:J, 10, FALSE)</f>
        <v>2</v>
      </c>
      <c r="I399" t="str">
        <f>VLOOKUP($A399, 'Medical Examinations'!A:K, 11, FALSE)</f>
        <v>yes</v>
      </c>
      <c r="J399" t="str">
        <f>VLOOKUP($A399, 'Medical Examinations'!A:B, 2, FALSE)</f>
        <v>Overweight</v>
      </c>
      <c r="K399" t="str">
        <f>VLOOKUP($A399, 'Medical Examinations'!A:D, 4, FALSE)</f>
        <v>Normal</v>
      </c>
    </row>
    <row r="400" spans="1:11" ht="15.5" x14ac:dyDescent="0.35">
      <c r="A400" s="1" t="s">
        <v>1973</v>
      </c>
      <c r="B400" t="str">
        <f>VLOOKUP($A400, 'Customer Names'!A:D, 3, FALSE)</f>
        <v>Painter</v>
      </c>
      <c r="C400">
        <f>VLOOKUP($A400,'Medical Examinations'!A:C, 3, FALSE)</f>
        <v>27.79</v>
      </c>
      <c r="D400" t="str">
        <f>VLOOKUP($A400, 'Medical Examinations'!A:D, 4, FALSE)</f>
        <v>Prediabetes</v>
      </c>
      <c r="E400" t="str">
        <f>VLOOKUP($A400, 'Medical Examinations'!A:F, 6, FALSE)</f>
        <v>yes</v>
      </c>
      <c r="F400" t="str">
        <f>VLOOKUP($A400, 'Medical Examinations'!A:G, 7, FALSE)</f>
        <v>yes</v>
      </c>
      <c r="G400" t="str">
        <f>VLOOKUP($A400, 'Medical Examinations'!A:H, 8, FALSE)</f>
        <v>No</v>
      </c>
      <c r="H400">
        <f>VLOOKUP($A400, 'Medical Examinations'!A:J, 10, FALSE)</f>
        <v>1</v>
      </c>
      <c r="I400" t="str">
        <f>VLOOKUP($A400, 'Medical Examinations'!A:K, 11, FALSE)</f>
        <v>yes</v>
      </c>
      <c r="J400" t="str">
        <f>VLOOKUP($A400, 'Medical Examinations'!A:B, 2, FALSE)</f>
        <v>Overweight</v>
      </c>
      <c r="K400" t="str">
        <f>VLOOKUP($A400, 'Medical Examinations'!A:D, 4, FALSE)</f>
        <v>Prediabetes</v>
      </c>
    </row>
    <row r="401" spans="1:11" ht="15.5" x14ac:dyDescent="0.35">
      <c r="A401" s="1" t="s">
        <v>1972</v>
      </c>
      <c r="B401" t="str">
        <f>VLOOKUP($A401, 'Customer Names'!A:D, 3, FALSE)</f>
        <v>Edwards</v>
      </c>
      <c r="C401">
        <f>VLOOKUP($A401,'Medical Examinations'!A:C, 3, FALSE)</f>
        <v>32.68</v>
      </c>
      <c r="D401" t="str">
        <f>VLOOKUP($A401, 'Medical Examinations'!A:D, 4, FALSE)</f>
        <v>Normal</v>
      </c>
      <c r="E401" t="str">
        <f>VLOOKUP($A401, 'Medical Examinations'!A:F, 6, FALSE)</f>
        <v>yes</v>
      </c>
      <c r="F401" t="str">
        <f>VLOOKUP($A401, 'Medical Examinations'!A:G, 7, FALSE)</f>
        <v>No</v>
      </c>
      <c r="G401" t="str">
        <f>VLOOKUP($A401, 'Medical Examinations'!A:H, 8, FALSE)</f>
        <v>No</v>
      </c>
      <c r="H401" t="str">
        <f>VLOOKUP($A401, 'Medical Examinations'!A:J, 10, FALSE)</f>
        <v>No major surgery</v>
      </c>
      <c r="I401" t="str">
        <f>VLOOKUP($A401, 'Medical Examinations'!A:K, 11, FALSE)</f>
        <v>No</v>
      </c>
      <c r="J401" t="str">
        <f>VLOOKUP($A401, 'Medical Examinations'!A:B, 2, FALSE)</f>
        <v>Obesity</v>
      </c>
      <c r="K401" t="str">
        <f>VLOOKUP($A401, 'Medical Examinations'!A:D, 4, FALSE)</f>
        <v>Normal</v>
      </c>
    </row>
    <row r="402" spans="1:11" ht="15.5" x14ac:dyDescent="0.35">
      <c r="A402" s="1" t="s">
        <v>1971</v>
      </c>
      <c r="B402" t="str">
        <f>VLOOKUP($A402, 'Customer Names'!A:D, 3, FALSE)</f>
        <v>Liebl</v>
      </c>
      <c r="C402">
        <f>VLOOKUP($A402,'Medical Examinations'!A:C, 3, FALSE)</f>
        <v>26.4</v>
      </c>
      <c r="D402" t="str">
        <f>VLOOKUP($A402, 'Medical Examinations'!A:D, 4, FALSE)</f>
        <v>Diabetes</v>
      </c>
      <c r="E402" t="str">
        <f>VLOOKUP($A402, 'Medical Examinations'!A:F, 6, FALSE)</f>
        <v>yes</v>
      </c>
      <c r="F402" t="str">
        <f>VLOOKUP($A402, 'Medical Examinations'!A:G, 7, FALSE)</f>
        <v>No</v>
      </c>
      <c r="G402" t="str">
        <f>VLOOKUP($A402, 'Medical Examinations'!A:H, 8, FALSE)</f>
        <v>No</v>
      </c>
      <c r="H402">
        <f>VLOOKUP($A402, 'Medical Examinations'!A:J, 10, FALSE)</f>
        <v>2</v>
      </c>
      <c r="I402" t="str">
        <f>VLOOKUP($A402, 'Medical Examinations'!A:K, 11, FALSE)</f>
        <v>No</v>
      </c>
      <c r="J402" t="str">
        <f>VLOOKUP($A402, 'Medical Examinations'!A:B, 2, FALSE)</f>
        <v>Overweight</v>
      </c>
      <c r="K402" t="str">
        <f>VLOOKUP($A402, 'Medical Examinations'!A:D, 4, FALSE)</f>
        <v>Diabetes</v>
      </c>
    </row>
    <row r="403" spans="1:11" ht="15.5" x14ac:dyDescent="0.35">
      <c r="A403" s="1" t="s">
        <v>1970</v>
      </c>
      <c r="B403" t="str">
        <f>VLOOKUP($A403, 'Customer Names'!A:D, 3, FALSE)</f>
        <v>Kasabian-Larson</v>
      </c>
      <c r="C403">
        <f>VLOOKUP($A403,'Medical Examinations'!A:C, 3, FALSE)</f>
        <v>23.655000000000001</v>
      </c>
      <c r="D403" t="str">
        <f>VLOOKUP($A403, 'Medical Examinations'!A:D, 4, FALSE)</f>
        <v>Diabetes</v>
      </c>
      <c r="E403" t="str">
        <f>VLOOKUP($A403, 'Medical Examinations'!A:F, 6, FALSE)</f>
        <v>yes</v>
      </c>
      <c r="F403" t="str">
        <f>VLOOKUP($A403, 'Medical Examinations'!A:G, 7, FALSE)</f>
        <v>No</v>
      </c>
      <c r="G403" t="str">
        <f>VLOOKUP($A403, 'Medical Examinations'!A:H, 8, FALSE)</f>
        <v>Yes</v>
      </c>
      <c r="H403">
        <f>VLOOKUP($A403, 'Medical Examinations'!A:J, 10, FALSE)</f>
        <v>1</v>
      </c>
      <c r="I403" t="str">
        <f>VLOOKUP($A403, 'Medical Examinations'!A:K, 11, FALSE)</f>
        <v>yes</v>
      </c>
      <c r="J403" t="str">
        <f>VLOOKUP($A403, 'Medical Examinations'!A:B, 2, FALSE)</f>
        <v>Normal Weight</v>
      </c>
      <c r="K403" t="str">
        <f>VLOOKUP($A403, 'Medical Examinations'!A:D, 4, FALSE)</f>
        <v>Diabetes</v>
      </c>
    </row>
    <row r="404" spans="1:11" ht="15.5" x14ac:dyDescent="0.35">
      <c r="A404" s="1" t="s">
        <v>1969</v>
      </c>
      <c r="B404" t="str">
        <f>VLOOKUP($A404, 'Customer Names'!A:D, 3, FALSE)</f>
        <v>Creamer</v>
      </c>
      <c r="C404">
        <f>VLOOKUP($A404,'Medical Examinations'!A:C, 3, FALSE)</f>
        <v>27.36</v>
      </c>
      <c r="D404" t="str">
        <f>VLOOKUP($A404, 'Medical Examinations'!A:D, 4, FALSE)</f>
        <v>Prediabetes</v>
      </c>
      <c r="E404" t="str">
        <f>VLOOKUP($A404, 'Medical Examinations'!A:F, 6, FALSE)</f>
        <v>No</v>
      </c>
      <c r="F404" t="str">
        <f>VLOOKUP($A404, 'Medical Examinations'!A:G, 7, FALSE)</f>
        <v>No</v>
      </c>
      <c r="G404" t="str">
        <f>VLOOKUP($A404, 'Medical Examinations'!A:H, 8, FALSE)</f>
        <v>No</v>
      </c>
      <c r="H404">
        <f>VLOOKUP($A404, 'Medical Examinations'!A:J, 10, FALSE)</f>
        <v>2</v>
      </c>
      <c r="I404" t="str">
        <f>VLOOKUP($A404, 'Medical Examinations'!A:K, 11, FALSE)</f>
        <v>No</v>
      </c>
      <c r="J404" t="str">
        <f>VLOOKUP($A404, 'Medical Examinations'!A:B, 2, FALSE)</f>
        <v>Overweight</v>
      </c>
      <c r="K404" t="str">
        <f>VLOOKUP($A404, 'Medical Examinations'!A:D, 4, FALSE)</f>
        <v>Prediabetes</v>
      </c>
    </row>
    <row r="405" spans="1:11" ht="15.5" x14ac:dyDescent="0.35">
      <c r="A405" s="1" t="s">
        <v>1968</v>
      </c>
      <c r="B405" t="str">
        <f>VLOOKUP($A405, 'Customer Names'!A:D, 3, FALSE)</f>
        <v>Kimbel</v>
      </c>
      <c r="C405">
        <f>VLOOKUP($A405,'Medical Examinations'!A:C, 3, FALSE)</f>
        <v>27.82</v>
      </c>
      <c r="D405" t="str">
        <f>VLOOKUP($A405, 'Medical Examinations'!A:D, 4, FALSE)</f>
        <v>Normal</v>
      </c>
      <c r="E405" t="str">
        <f>VLOOKUP($A405, 'Medical Examinations'!A:F, 6, FALSE)</f>
        <v>yes</v>
      </c>
      <c r="F405" t="str">
        <f>VLOOKUP($A405, 'Medical Examinations'!A:G, 7, FALSE)</f>
        <v>No</v>
      </c>
      <c r="G405" t="str">
        <f>VLOOKUP($A405, 'Medical Examinations'!A:H, 8, FALSE)</f>
        <v>No</v>
      </c>
      <c r="H405" t="str">
        <f>VLOOKUP($A405, 'Medical Examinations'!A:J, 10, FALSE)</f>
        <v>No major surgery</v>
      </c>
      <c r="I405" t="str">
        <f>VLOOKUP($A405, 'Medical Examinations'!A:K, 11, FALSE)</f>
        <v>yes</v>
      </c>
      <c r="J405" t="str">
        <f>VLOOKUP($A405, 'Medical Examinations'!A:B, 2, FALSE)</f>
        <v>Overweight</v>
      </c>
      <c r="K405" t="str">
        <f>VLOOKUP($A405, 'Medical Examinations'!A:D, 4, FALSE)</f>
        <v>Normal</v>
      </c>
    </row>
    <row r="406" spans="1:11" ht="15.5" x14ac:dyDescent="0.35">
      <c r="A406" s="1" t="s">
        <v>1967</v>
      </c>
      <c r="B406" t="str">
        <f>VLOOKUP($A406, 'Customer Names'!A:D, 3, FALSE)</f>
        <v>Livensparger</v>
      </c>
      <c r="C406">
        <f>VLOOKUP($A406,'Medical Examinations'!A:C, 3, FALSE)</f>
        <v>25.46</v>
      </c>
      <c r="D406" t="str">
        <f>VLOOKUP($A406, 'Medical Examinations'!A:D, 4, FALSE)</f>
        <v>Diabetes</v>
      </c>
      <c r="E406" t="str">
        <f>VLOOKUP($A406, 'Medical Examinations'!A:F, 6, FALSE)</f>
        <v>No</v>
      </c>
      <c r="F406" t="str">
        <f>VLOOKUP($A406, 'Medical Examinations'!A:G, 7, FALSE)</f>
        <v>No</v>
      </c>
      <c r="G406" t="str">
        <f>VLOOKUP($A406, 'Medical Examinations'!A:H, 8, FALSE)</f>
        <v>No</v>
      </c>
      <c r="H406" t="str">
        <f>VLOOKUP($A406, 'Medical Examinations'!A:J, 10, FALSE)</f>
        <v>No major surgery</v>
      </c>
      <c r="I406" t="str">
        <f>VLOOKUP($A406, 'Medical Examinations'!A:K, 11, FALSE)</f>
        <v>No</v>
      </c>
      <c r="J406" t="str">
        <f>VLOOKUP($A406, 'Medical Examinations'!A:B, 2, FALSE)</f>
        <v>Overweight</v>
      </c>
      <c r="K406" t="str">
        <f>VLOOKUP($A406, 'Medical Examinations'!A:D, 4, FALSE)</f>
        <v>Diabetes</v>
      </c>
    </row>
    <row r="407" spans="1:11" ht="15.5" x14ac:dyDescent="0.35">
      <c r="A407" s="1" t="s">
        <v>1966</v>
      </c>
      <c r="B407" t="str">
        <f>VLOOKUP($A407, 'Customer Names'!A:D, 3, FALSE)</f>
        <v>Grange</v>
      </c>
      <c r="C407">
        <f>VLOOKUP($A407,'Medical Examinations'!A:C, 3, FALSE)</f>
        <v>25.1</v>
      </c>
      <c r="D407" t="str">
        <f>VLOOKUP($A407, 'Medical Examinations'!A:D, 4, FALSE)</f>
        <v>Diabetes</v>
      </c>
      <c r="E407" t="str">
        <f>VLOOKUP($A407, 'Medical Examinations'!A:F, 6, FALSE)</f>
        <v>No</v>
      </c>
      <c r="F407" t="str">
        <f>VLOOKUP($A407, 'Medical Examinations'!A:G, 7, FALSE)</f>
        <v>No</v>
      </c>
      <c r="G407" t="str">
        <f>VLOOKUP($A407, 'Medical Examinations'!A:H, 8, FALSE)</f>
        <v>No</v>
      </c>
      <c r="H407" t="str">
        <f>VLOOKUP($A407, 'Medical Examinations'!A:J, 10, FALSE)</f>
        <v>No major surgery</v>
      </c>
      <c r="I407" t="str">
        <f>VLOOKUP($A407, 'Medical Examinations'!A:K, 11, FALSE)</f>
        <v>yes</v>
      </c>
      <c r="J407" t="str">
        <f>VLOOKUP($A407, 'Medical Examinations'!A:B, 2, FALSE)</f>
        <v>Overweight</v>
      </c>
      <c r="K407" t="str">
        <f>VLOOKUP($A407, 'Medical Examinations'!A:D, 4, FALSE)</f>
        <v>Diabetes</v>
      </c>
    </row>
    <row r="408" spans="1:11" ht="15.5" x14ac:dyDescent="0.35">
      <c r="A408" s="1" t="s">
        <v>1965</v>
      </c>
      <c r="B408" t="str">
        <f>VLOOKUP($A408, 'Customer Names'!A:D, 3, FALSE)</f>
        <v>Nunlist</v>
      </c>
      <c r="C408">
        <f>VLOOKUP($A408,'Medical Examinations'!A:C, 3, FALSE)</f>
        <v>32.11</v>
      </c>
      <c r="D408" t="str">
        <f>VLOOKUP($A408, 'Medical Examinations'!A:D, 4, FALSE)</f>
        <v>Normal</v>
      </c>
      <c r="E408" t="str">
        <f>VLOOKUP($A408, 'Medical Examinations'!A:F, 6, FALSE)</f>
        <v>No</v>
      </c>
      <c r="F408" t="str">
        <f>VLOOKUP($A408, 'Medical Examinations'!A:G, 7, FALSE)</f>
        <v>No</v>
      </c>
      <c r="G408" t="str">
        <f>VLOOKUP($A408, 'Medical Examinations'!A:H, 8, FALSE)</f>
        <v>No</v>
      </c>
      <c r="H408">
        <f>VLOOKUP($A408, 'Medical Examinations'!A:J, 10, FALSE)</f>
        <v>2</v>
      </c>
      <c r="I408" t="str">
        <f>VLOOKUP($A408, 'Medical Examinations'!A:K, 11, FALSE)</f>
        <v>No</v>
      </c>
      <c r="J408" t="str">
        <f>VLOOKUP($A408, 'Medical Examinations'!A:B, 2, FALSE)</f>
        <v>Obesity</v>
      </c>
      <c r="K408" t="str">
        <f>VLOOKUP($A408, 'Medical Examinations'!A:D, 4, FALSE)</f>
        <v>Normal</v>
      </c>
    </row>
    <row r="409" spans="1:11" ht="15.5" x14ac:dyDescent="0.35">
      <c r="A409" s="1" t="s">
        <v>1964</v>
      </c>
      <c r="B409" t="str">
        <f>VLOOKUP($A409, 'Customer Names'!A:D, 3, FALSE)</f>
        <v>Cutter</v>
      </c>
      <c r="C409">
        <f>VLOOKUP($A409,'Medical Examinations'!A:C, 3, FALSE)</f>
        <v>29.8</v>
      </c>
      <c r="D409" t="str">
        <f>VLOOKUP($A409, 'Medical Examinations'!A:D, 4, FALSE)</f>
        <v>Diabetes</v>
      </c>
      <c r="E409" t="str">
        <f>VLOOKUP($A409, 'Medical Examinations'!A:F, 6, FALSE)</f>
        <v>yes</v>
      </c>
      <c r="F409" t="str">
        <f>VLOOKUP($A409, 'Medical Examinations'!A:G, 7, FALSE)</f>
        <v>No</v>
      </c>
      <c r="G409" t="str">
        <f>VLOOKUP($A409, 'Medical Examinations'!A:H, 8, FALSE)</f>
        <v>No</v>
      </c>
      <c r="H409">
        <f>VLOOKUP($A409, 'Medical Examinations'!A:J, 10, FALSE)</f>
        <v>1</v>
      </c>
      <c r="I409" t="str">
        <f>VLOOKUP($A409, 'Medical Examinations'!A:K, 11, FALSE)</f>
        <v>yes</v>
      </c>
      <c r="J409" t="str">
        <f>VLOOKUP($A409, 'Medical Examinations'!A:B, 2, FALSE)</f>
        <v>Overweight</v>
      </c>
      <c r="K409" t="str">
        <f>VLOOKUP($A409, 'Medical Examinations'!A:D, 4, FALSE)</f>
        <v>Diabetes</v>
      </c>
    </row>
    <row r="410" spans="1:11" ht="15.5" x14ac:dyDescent="0.35">
      <c r="A410" s="1" t="s">
        <v>1963</v>
      </c>
      <c r="B410" t="str">
        <f>VLOOKUP($A410, 'Customer Names'!A:D, 3, FALSE)</f>
        <v>Martin</v>
      </c>
      <c r="C410">
        <f>VLOOKUP($A410,'Medical Examinations'!A:C, 3, FALSE)</f>
        <v>24.01</v>
      </c>
      <c r="D410" t="str">
        <f>VLOOKUP($A410, 'Medical Examinations'!A:D, 4, FALSE)</f>
        <v>Normal</v>
      </c>
      <c r="E410" t="str">
        <f>VLOOKUP($A410, 'Medical Examinations'!A:F, 6, FALSE)</f>
        <v>No</v>
      </c>
      <c r="F410" t="str">
        <f>VLOOKUP($A410, 'Medical Examinations'!A:G, 7, FALSE)</f>
        <v>No</v>
      </c>
      <c r="G410" t="str">
        <f>VLOOKUP($A410, 'Medical Examinations'!A:H, 8, FALSE)</f>
        <v>No</v>
      </c>
      <c r="H410">
        <f>VLOOKUP($A410, 'Medical Examinations'!A:J, 10, FALSE)</f>
        <v>1</v>
      </c>
      <c r="I410" t="str">
        <f>VLOOKUP($A410, 'Medical Examinations'!A:K, 11, FALSE)</f>
        <v>yes</v>
      </c>
      <c r="J410" t="str">
        <f>VLOOKUP($A410, 'Medical Examinations'!A:B, 2, FALSE)</f>
        <v>Normal Weight</v>
      </c>
      <c r="K410" t="str">
        <f>VLOOKUP($A410, 'Medical Examinations'!A:D, 4, FALSE)</f>
        <v>Normal</v>
      </c>
    </row>
    <row r="411" spans="1:11" ht="15.5" x14ac:dyDescent="0.35">
      <c r="A411" s="1" t="s">
        <v>1962</v>
      </c>
      <c r="B411" t="str">
        <f>VLOOKUP($A411, 'Customer Names'!A:D, 3, FALSE)</f>
        <v>Cooney</v>
      </c>
      <c r="C411">
        <f>VLOOKUP($A411,'Medical Examinations'!A:C, 3, FALSE)</f>
        <v>23.21</v>
      </c>
      <c r="D411" t="str">
        <f>VLOOKUP($A411, 'Medical Examinations'!A:D, 4, FALSE)</f>
        <v>Prediabetes</v>
      </c>
      <c r="E411" t="str">
        <f>VLOOKUP($A411, 'Medical Examinations'!A:F, 6, FALSE)</f>
        <v>No</v>
      </c>
      <c r="F411" t="str">
        <f>VLOOKUP($A411, 'Medical Examinations'!A:G, 7, FALSE)</f>
        <v>No</v>
      </c>
      <c r="G411" t="str">
        <f>VLOOKUP($A411, 'Medical Examinations'!A:H, 8, FALSE)</f>
        <v>No</v>
      </c>
      <c r="H411">
        <f>VLOOKUP($A411, 'Medical Examinations'!A:J, 10, FALSE)</f>
        <v>1</v>
      </c>
      <c r="I411" t="str">
        <f>VLOOKUP($A411, 'Medical Examinations'!A:K, 11, FALSE)</f>
        <v>No</v>
      </c>
      <c r="J411" t="str">
        <f>VLOOKUP($A411, 'Medical Examinations'!A:B, 2, FALSE)</f>
        <v>Normal Weight</v>
      </c>
      <c r="K411" t="str">
        <f>VLOOKUP($A411, 'Medical Examinations'!A:D, 4, FALSE)</f>
        <v>Prediabetes</v>
      </c>
    </row>
    <row r="412" spans="1:11" ht="15.5" x14ac:dyDescent="0.35">
      <c r="A412" s="1" t="s">
        <v>1961</v>
      </c>
      <c r="B412" t="str">
        <f>VLOOKUP($A412, 'Customer Names'!A:D, 3, FALSE)</f>
        <v>Bier</v>
      </c>
      <c r="C412">
        <f>VLOOKUP($A412,'Medical Examinations'!A:C, 3, FALSE)</f>
        <v>21.2</v>
      </c>
      <c r="D412" t="str">
        <f>VLOOKUP($A412, 'Medical Examinations'!A:D, 4, FALSE)</f>
        <v>Normal</v>
      </c>
      <c r="E412" t="str">
        <f>VLOOKUP($A412, 'Medical Examinations'!A:F, 6, FALSE)</f>
        <v>yes</v>
      </c>
      <c r="F412" t="str">
        <f>VLOOKUP($A412, 'Medical Examinations'!A:G, 7, FALSE)</f>
        <v>No</v>
      </c>
      <c r="G412" t="str">
        <f>VLOOKUP($A412, 'Medical Examinations'!A:H, 8, FALSE)</f>
        <v>No</v>
      </c>
      <c r="H412">
        <f>VLOOKUP($A412, 'Medical Examinations'!A:J, 10, FALSE)</f>
        <v>1</v>
      </c>
      <c r="I412" t="str">
        <f>VLOOKUP($A412, 'Medical Examinations'!A:K, 11, FALSE)</f>
        <v>yes</v>
      </c>
      <c r="J412" t="str">
        <f>VLOOKUP($A412, 'Medical Examinations'!A:B, 2, FALSE)</f>
        <v>Normal Weight</v>
      </c>
      <c r="K412" t="str">
        <f>VLOOKUP($A412, 'Medical Examinations'!A:D, 4, FALSE)</f>
        <v>Normal</v>
      </c>
    </row>
    <row r="413" spans="1:11" ht="15.5" x14ac:dyDescent="0.35">
      <c r="A413" s="1" t="s">
        <v>1960</v>
      </c>
      <c r="B413" t="str">
        <f>VLOOKUP($A413, 'Customer Names'!A:D, 3, FALSE)</f>
        <v>Muskopf</v>
      </c>
      <c r="C413">
        <f>VLOOKUP($A413,'Medical Examinations'!A:C, 3, FALSE)</f>
        <v>28.215</v>
      </c>
      <c r="D413" t="str">
        <f>VLOOKUP($A413, 'Medical Examinations'!A:D, 4, FALSE)</f>
        <v>Diabetes</v>
      </c>
      <c r="E413" t="str">
        <f>VLOOKUP($A413, 'Medical Examinations'!A:F, 6, FALSE)</f>
        <v>yes</v>
      </c>
      <c r="F413" t="str">
        <f>VLOOKUP($A413, 'Medical Examinations'!A:G, 7, FALSE)</f>
        <v>No</v>
      </c>
      <c r="G413" t="str">
        <f>VLOOKUP($A413, 'Medical Examinations'!A:H, 8, FALSE)</f>
        <v>No</v>
      </c>
      <c r="H413">
        <f>VLOOKUP($A413, 'Medical Examinations'!A:J, 10, FALSE)</f>
        <v>1</v>
      </c>
      <c r="I413" t="str">
        <f>VLOOKUP($A413, 'Medical Examinations'!A:K, 11, FALSE)</f>
        <v>yes</v>
      </c>
      <c r="J413" t="str">
        <f>VLOOKUP($A413, 'Medical Examinations'!A:B, 2, FALSE)</f>
        <v>Overweight</v>
      </c>
      <c r="K413" t="str">
        <f>VLOOKUP($A413, 'Medical Examinations'!A:D, 4, FALSE)</f>
        <v>Diabetes</v>
      </c>
    </row>
    <row r="414" spans="1:11" ht="15.5" x14ac:dyDescent="0.35">
      <c r="A414" s="1" t="s">
        <v>1959</v>
      </c>
      <c r="B414" t="str">
        <f>VLOOKUP($A414, 'Customer Names'!A:D, 3, FALSE)</f>
        <v>Sirak</v>
      </c>
      <c r="C414">
        <f>VLOOKUP($A414,'Medical Examinations'!A:C, 3, FALSE)</f>
        <v>38.094999999999999</v>
      </c>
      <c r="D414" t="str">
        <f>VLOOKUP($A414, 'Medical Examinations'!A:D, 4, FALSE)</f>
        <v>Normal</v>
      </c>
      <c r="E414" t="str">
        <f>VLOOKUP($A414, 'Medical Examinations'!A:F, 6, FALSE)</f>
        <v>No</v>
      </c>
      <c r="F414" t="str">
        <f>VLOOKUP($A414, 'Medical Examinations'!A:G, 7, FALSE)</f>
        <v>No</v>
      </c>
      <c r="G414" t="str">
        <f>VLOOKUP($A414, 'Medical Examinations'!A:H, 8, FALSE)</f>
        <v>No</v>
      </c>
      <c r="H414">
        <f>VLOOKUP($A414, 'Medical Examinations'!A:J, 10, FALSE)</f>
        <v>1</v>
      </c>
      <c r="I414" t="str">
        <f>VLOOKUP($A414, 'Medical Examinations'!A:K, 11, FALSE)</f>
        <v>No</v>
      </c>
      <c r="J414" t="str">
        <f>VLOOKUP($A414, 'Medical Examinations'!A:B, 2, FALSE)</f>
        <v>Obesity</v>
      </c>
      <c r="K414" t="str">
        <f>VLOOKUP($A414, 'Medical Examinations'!A:D, 4, FALSE)</f>
        <v>Normal</v>
      </c>
    </row>
    <row r="415" spans="1:11" ht="15.5" x14ac:dyDescent="0.35">
      <c r="A415" s="1" t="s">
        <v>1958</v>
      </c>
      <c r="B415" t="str">
        <f>VLOOKUP($A415, 'Customer Names'!A:D, 3, FALSE)</f>
        <v>Nelsen</v>
      </c>
      <c r="C415">
        <f>VLOOKUP($A415,'Medical Examinations'!A:C, 3, FALSE)</f>
        <v>22.61</v>
      </c>
      <c r="D415" t="str">
        <f>VLOOKUP($A415, 'Medical Examinations'!A:D, 4, FALSE)</f>
        <v>Prediabetes</v>
      </c>
      <c r="E415" t="str">
        <f>VLOOKUP($A415, 'Medical Examinations'!A:F, 6, FALSE)</f>
        <v>yes</v>
      </c>
      <c r="F415" t="str">
        <f>VLOOKUP($A415, 'Medical Examinations'!A:G, 7, FALSE)</f>
        <v>No</v>
      </c>
      <c r="G415" t="str">
        <f>VLOOKUP($A415, 'Medical Examinations'!A:H, 8, FALSE)</f>
        <v>Yes</v>
      </c>
      <c r="H415">
        <f>VLOOKUP($A415, 'Medical Examinations'!A:J, 10, FALSE)</f>
        <v>1</v>
      </c>
      <c r="I415" t="str">
        <f>VLOOKUP($A415, 'Medical Examinations'!A:K, 11, FALSE)</f>
        <v>yes</v>
      </c>
      <c r="J415" t="str">
        <f>VLOOKUP($A415, 'Medical Examinations'!A:B, 2, FALSE)</f>
        <v>Normal Weight</v>
      </c>
      <c r="K415" t="str">
        <f>VLOOKUP($A415, 'Medical Examinations'!A:D, 4, FALSE)</f>
        <v>Prediabetes</v>
      </c>
    </row>
    <row r="416" spans="1:11" ht="15.5" x14ac:dyDescent="0.35">
      <c r="A416" s="1" t="s">
        <v>1957</v>
      </c>
      <c r="B416" t="str">
        <f>VLOOKUP($A416, 'Customer Names'!A:D, 3, FALSE)</f>
        <v>Schallner</v>
      </c>
      <c r="C416">
        <f>VLOOKUP($A416,'Medical Examinations'!A:C, 3, FALSE)</f>
        <v>24.32</v>
      </c>
      <c r="D416" t="str">
        <f>VLOOKUP($A416, 'Medical Examinations'!A:D, 4, FALSE)</f>
        <v>Diabetes</v>
      </c>
      <c r="E416" t="str">
        <f>VLOOKUP($A416, 'Medical Examinations'!A:F, 6, FALSE)</f>
        <v>yes</v>
      </c>
      <c r="F416" t="str">
        <f>VLOOKUP($A416, 'Medical Examinations'!A:G, 7, FALSE)</f>
        <v>No</v>
      </c>
      <c r="G416" t="str">
        <f>VLOOKUP($A416, 'Medical Examinations'!A:H, 8, FALSE)</f>
        <v>No</v>
      </c>
      <c r="H416">
        <f>VLOOKUP($A416, 'Medical Examinations'!A:J, 10, FALSE)</f>
        <v>2</v>
      </c>
      <c r="I416" t="str">
        <f>VLOOKUP($A416, 'Medical Examinations'!A:K, 11, FALSE)</f>
        <v>yes</v>
      </c>
      <c r="J416" t="str">
        <f>VLOOKUP($A416, 'Medical Examinations'!A:B, 2, FALSE)</f>
        <v>Normal Weight</v>
      </c>
      <c r="K416" t="str">
        <f>VLOOKUP($A416, 'Medical Examinations'!A:D, 4, FALSE)</f>
        <v>Diabetes</v>
      </c>
    </row>
    <row r="417" spans="1:11" ht="15.5" x14ac:dyDescent="0.35">
      <c r="A417" s="1" t="s">
        <v>1956</v>
      </c>
      <c r="B417" t="str">
        <f>VLOOKUP($A417, 'Customer Names'!A:D, 3, FALSE)</f>
        <v>Dunlap</v>
      </c>
      <c r="C417">
        <f>VLOOKUP($A417,'Medical Examinations'!A:C, 3, FALSE)</f>
        <v>20.96</v>
      </c>
      <c r="D417" t="str">
        <f>VLOOKUP($A417, 'Medical Examinations'!A:D, 4, FALSE)</f>
        <v>Normal</v>
      </c>
      <c r="E417" t="str">
        <f>VLOOKUP($A417, 'Medical Examinations'!A:F, 6, FALSE)</f>
        <v>yes</v>
      </c>
      <c r="F417" t="str">
        <f>VLOOKUP($A417, 'Medical Examinations'!A:G, 7, FALSE)</f>
        <v>No</v>
      </c>
      <c r="G417" t="str">
        <f>VLOOKUP($A417, 'Medical Examinations'!A:H, 8, FALSE)</f>
        <v>No</v>
      </c>
      <c r="H417">
        <f>VLOOKUP($A417, 'Medical Examinations'!A:J, 10, FALSE)</f>
        <v>1</v>
      </c>
      <c r="I417" t="str">
        <f>VLOOKUP($A417, 'Medical Examinations'!A:K, 11, FALSE)</f>
        <v>yes</v>
      </c>
      <c r="J417" t="str">
        <f>VLOOKUP($A417, 'Medical Examinations'!A:B, 2, FALSE)</f>
        <v>Normal Weight</v>
      </c>
      <c r="K417" t="str">
        <f>VLOOKUP($A417, 'Medical Examinations'!A:D, 4, FALSE)</f>
        <v>Normal</v>
      </c>
    </row>
    <row r="418" spans="1:11" ht="15.5" x14ac:dyDescent="0.35">
      <c r="A418" s="1" t="s">
        <v>1955</v>
      </c>
      <c r="B418" t="str">
        <f>VLOOKUP($A418, 'Customer Names'!A:D, 3, FALSE)</f>
        <v>Messing</v>
      </c>
      <c r="C418">
        <f>VLOOKUP($A418,'Medical Examinations'!A:C, 3, FALSE)</f>
        <v>19.68</v>
      </c>
      <c r="D418" t="str">
        <f>VLOOKUP($A418, 'Medical Examinations'!A:D, 4, FALSE)</f>
        <v>Prediabetes</v>
      </c>
      <c r="E418" t="str">
        <f>VLOOKUP($A418, 'Medical Examinations'!A:F, 6, FALSE)</f>
        <v>No</v>
      </c>
      <c r="F418" t="str">
        <f>VLOOKUP($A418, 'Medical Examinations'!A:G, 7, FALSE)</f>
        <v>No</v>
      </c>
      <c r="G418" t="str">
        <f>VLOOKUP($A418, 'Medical Examinations'!A:H, 8, FALSE)</f>
        <v>No</v>
      </c>
      <c r="H418" t="str">
        <f>VLOOKUP($A418, 'Medical Examinations'!A:J, 10, FALSE)</f>
        <v>No major surgery</v>
      </c>
      <c r="I418" t="str">
        <f>VLOOKUP($A418, 'Medical Examinations'!A:K, 11, FALSE)</f>
        <v>yes</v>
      </c>
      <c r="J418" t="str">
        <f>VLOOKUP($A418, 'Medical Examinations'!A:B, 2, FALSE)</f>
        <v>Normal Weight</v>
      </c>
      <c r="K418" t="str">
        <f>VLOOKUP($A418, 'Medical Examinations'!A:D, 4, FALSE)</f>
        <v>Prediabetes</v>
      </c>
    </row>
    <row r="419" spans="1:11" ht="15.5" x14ac:dyDescent="0.35">
      <c r="A419" s="1" t="s">
        <v>1954</v>
      </c>
      <c r="B419" t="str">
        <f>VLOOKUP($A419, 'Customer Names'!A:D, 3, FALSE)</f>
        <v>Bondell</v>
      </c>
      <c r="C419">
        <f>VLOOKUP($A419,'Medical Examinations'!A:C, 3, FALSE)</f>
        <v>18.100000000000001</v>
      </c>
      <c r="D419" t="str">
        <f>VLOOKUP($A419, 'Medical Examinations'!A:D, 4, FALSE)</f>
        <v>Prediabetes</v>
      </c>
      <c r="E419" t="str">
        <f>VLOOKUP($A419, 'Medical Examinations'!A:F, 6, FALSE)</f>
        <v>No</v>
      </c>
      <c r="F419" t="str">
        <f>VLOOKUP($A419, 'Medical Examinations'!A:G, 7, FALSE)</f>
        <v>No</v>
      </c>
      <c r="G419" t="str">
        <f>VLOOKUP($A419, 'Medical Examinations'!A:H, 8, FALSE)</f>
        <v>No</v>
      </c>
      <c r="H419">
        <f>VLOOKUP($A419, 'Medical Examinations'!A:J, 10, FALSE)</f>
        <v>1</v>
      </c>
      <c r="I419" t="str">
        <f>VLOOKUP($A419, 'Medical Examinations'!A:K, 11, FALSE)</f>
        <v>yes</v>
      </c>
      <c r="J419" t="str">
        <f>VLOOKUP($A419, 'Medical Examinations'!A:B, 2, FALSE)</f>
        <v>Underweight</v>
      </c>
      <c r="K419" t="str">
        <f>VLOOKUP($A419, 'Medical Examinations'!A:D, 4, FALSE)</f>
        <v>Prediabetes</v>
      </c>
    </row>
    <row r="420" spans="1:11" ht="15.5" x14ac:dyDescent="0.35">
      <c r="A420" s="1" t="s">
        <v>1953</v>
      </c>
      <c r="B420" t="str">
        <f>VLOOKUP($A420, 'Customer Names'!A:D, 3, FALSE)</f>
        <v>Gaughan</v>
      </c>
      <c r="C420">
        <f>VLOOKUP($A420,'Medical Examinations'!A:C, 3, FALSE)</f>
        <v>29.64</v>
      </c>
      <c r="D420" t="str">
        <f>VLOOKUP($A420, 'Medical Examinations'!A:D, 4, FALSE)</f>
        <v>Normal</v>
      </c>
      <c r="E420" t="str">
        <f>VLOOKUP($A420, 'Medical Examinations'!A:F, 6, FALSE)</f>
        <v>yes</v>
      </c>
      <c r="F420" t="str">
        <f>VLOOKUP($A420, 'Medical Examinations'!A:G, 7, FALSE)</f>
        <v>No</v>
      </c>
      <c r="G420" t="str">
        <f>VLOOKUP($A420, 'Medical Examinations'!A:H, 8, FALSE)</f>
        <v>No</v>
      </c>
      <c r="H420" t="str">
        <f>VLOOKUP($A420, 'Medical Examinations'!A:J, 10, FALSE)</f>
        <v>No major surgery</v>
      </c>
      <c r="I420" t="str">
        <f>VLOOKUP($A420, 'Medical Examinations'!A:K, 11, FALSE)</f>
        <v>No</v>
      </c>
      <c r="J420" t="str">
        <f>VLOOKUP($A420, 'Medical Examinations'!A:B, 2, FALSE)</f>
        <v>Overweight</v>
      </c>
      <c r="K420" t="str">
        <f>VLOOKUP($A420, 'Medical Examinations'!A:D, 4, FALSE)</f>
        <v>Normal</v>
      </c>
    </row>
    <row r="421" spans="1:11" ht="15.5" x14ac:dyDescent="0.35">
      <c r="A421" s="1" t="s">
        <v>1952</v>
      </c>
      <c r="B421" t="str">
        <f>VLOOKUP($A421, 'Customer Names'!A:D, 3, FALSE)</f>
        <v>Gruman</v>
      </c>
      <c r="C421">
        <f>VLOOKUP($A421,'Medical Examinations'!A:C, 3, FALSE)</f>
        <v>25.3</v>
      </c>
      <c r="D421" t="str">
        <f>VLOOKUP($A421, 'Medical Examinations'!A:D, 4, FALSE)</f>
        <v>Diabetes</v>
      </c>
      <c r="E421" t="str">
        <f>VLOOKUP($A421, 'Medical Examinations'!A:F, 6, FALSE)</f>
        <v>yes</v>
      </c>
      <c r="F421" t="str">
        <f>VLOOKUP($A421, 'Medical Examinations'!A:G, 7, FALSE)</f>
        <v>No</v>
      </c>
      <c r="G421" t="str">
        <f>VLOOKUP($A421, 'Medical Examinations'!A:H, 8, FALSE)</f>
        <v>No</v>
      </c>
      <c r="H421">
        <f>VLOOKUP($A421, 'Medical Examinations'!A:J, 10, FALSE)</f>
        <v>2</v>
      </c>
      <c r="I421" t="str">
        <f>VLOOKUP($A421, 'Medical Examinations'!A:K, 11, FALSE)</f>
        <v>yes</v>
      </c>
      <c r="J421" t="str">
        <f>VLOOKUP($A421, 'Medical Examinations'!A:B, 2, FALSE)</f>
        <v>Overweight</v>
      </c>
      <c r="K421" t="str">
        <f>VLOOKUP($A421, 'Medical Examinations'!A:D, 4, FALSE)</f>
        <v>Diabetes</v>
      </c>
    </row>
    <row r="422" spans="1:11" ht="15.5" x14ac:dyDescent="0.35">
      <c r="A422" s="1" t="s">
        <v>1951</v>
      </c>
      <c r="B422" t="str">
        <f>VLOOKUP($A422, 'Customer Names'!A:D, 3, FALSE)</f>
        <v>Whitlow</v>
      </c>
      <c r="C422">
        <f>VLOOKUP($A422,'Medical Examinations'!A:C, 3, FALSE)</f>
        <v>27.6</v>
      </c>
      <c r="D422" t="str">
        <f>VLOOKUP($A422, 'Medical Examinations'!A:D, 4, FALSE)</f>
        <v>Normal</v>
      </c>
      <c r="E422" t="str">
        <f>VLOOKUP($A422, 'Medical Examinations'!A:F, 6, FALSE)</f>
        <v>yes</v>
      </c>
      <c r="F422" t="str">
        <f>VLOOKUP($A422, 'Medical Examinations'!A:G, 7, FALSE)</f>
        <v>No</v>
      </c>
      <c r="G422" t="str">
        <f>VLOOKUP($A422, 'Medical Examinations'!A:H, 8, FALSE)</f>
        <v>No</v>
      </c>
      <c r="H422" t="str">
        <f>VLOOKUP($A422, 'Medical Examinations'!A:J, 10, FALSE)</f>
        <v>No major surgery</v>
      </c>
      <c r="I422" t="str">
        <f>VLOOKUP($A422, 'Medical Examinations'!A:K, 11, FALSE)</f>
        <v>No</v>
      </c>
      <c r="J422" t="str">
        <f>VLOOKUP($A422, 'Medical Examinations'!A:B, 2, FALSE)</f>
        <v>Overweight</v>
      </c>
      <c r="K422" t="str">
        <f>VLOOKUP($A422, 'Medical Examinations'!A:D, 4, FALSE)</f>
        <v>Normal</v>
      </c>
    </row>
    <row r="423" spans="1:11" ht="15.5" x14ac:dyDescent="0.35">
      <c r="A423" s="1" t="s">
        <v>1950</v>
      </c>
      <c r="B423" t="str">
        <f>VLOOKUP($A423, 'Customer Names'!A:D, 3, FALSE)</f>
        <v>Robinson</v>
      </c>
      <c r="C423">
        <f>VLOOKUP($A423,'Medical Examinations'!A:C, 3, FALSE)</f>
        <v>27.645</v>
      </c>
      <c r="D423" t="str">
        <f>VLOOKUP($A423, 'Medical Examinations'!A:D, 4, FALSE)</f>
        <v>Diabetes</v>
      </c>
      <c r="E423" t="str">
        <f>VLOOKUP($A423, 'Medical Examinations'!A:F, 6, FALSE)</f>
        <v>yes</v>
      </c>
      <c r="F423" t="str">
        <f>VLOOKUP($A423, 'Medical Examinations'!A:G, 7, FALSE)</f>
        <v>No</v>
      </c>
      <c r="G423" t="str">
        <f>VLOOKUP($A423, 'Medical Examinations'!A:H, 8, FALSE)</f>
        <v>No</v>
      </c>
      <c r="H423">
        <f>VLOOKUP($A423, 'Medical Examinations'!A:J, 10, FALSE)</f>
        <v>1</v>
      </c>
      <c r="I423" t="str">
        <f>VLOOKUP($A423, 'Medical Examinations'!A:K, 11, FALSE)</f>
        <v>yes</v>
      </c>
      <c r="J423" t="str">
        <f>VLOOKUP($A423, 'Medical Examinations'!A:B, 2, FALSE)</f>
        <v>Overweight</v>
      </c>
      <c r="K423" t="str">
        <f>VLOOKUP($A423, 'Medical Examinations'!A:D, 4, FALSE)</f>
        <v>Diabetes</v>
      </c>
    </row>
    <row r="424" spans="1:11" ht="15.5" x14ac:dyDescent="0.35">
      <c r="A424" s="1" t="s">
        <v>1949</v>
      </c>
      <c r="B424" t="str">
        <f>VLOOKUP($A424, 'Customer Names'!A:D, 3, FALSE)</f>
        <v>Sabo</v>
      </c>
      <c r="C424">
        <f>VLOOKUP($A424,'Medical Examinations'!A:C, 3, FALSE)</f>
        <v>27.6</v>
      </c>
      <c r="D424" t="str">
        <f>VLOOKUP($A424, 'Medical Examinations'!A:D, 4, FALSE)</f>
        <v>Normal</v>
      </c>
      <c r="E424" t="str">
        <f>VLOOKUP($A424, 'Medical Examinations'!A:F, 6, FALSE)</f>
        <v>No</v>
      </c>
      <c r="F424" t="str">
        <f>VLOOKUP($A424, 'Medical Examinations'!A:G, 7, FALSE)</f>
        <v>No</v>
      </c>
      <c r="G424" t="str">
        <f>VLOOKUP($A424, 'Medical Examinations'!A:H, 8, FALSE)</f>
        <v>No</v>
      </c>
      <c r="H424">
        <f>VLOOKUP($A424, 'Medical Examinations'!A:J, 10, FALSE)</f>
        <v>2</v>
      </c>
      <c r="I424" t="str">
        <f>VLOOKUP($A424, 'Medical Examinations'!A:K, 11, FALSE)</f>
        <v>yes</v>
      </c>
      <c r="J424" t="str">
        <f>VLOOKUP($A424, 'Medical Examinations'!A:B, 2, FALSE)</f>
        <v>Overweight</v>
      </c>
      <c r="K424" t="str">
        <f>VLOOKUP($A424, 'Medical Examinations'!A:D, 4, FALSE)</f>
        <v>Normal</v>
      </c>
    </row>
    <row r="425" spans="1:11" ht="15.5" x14ac:dyDescent="0.35">
      <c r="A425" s="1" t="s">
        <v>1948</v>
      </c>
      <c r="B425" t="str">
        <f>VLOOKUP($A425, 'Customer Names'!A:D, 3, FALSE)</f>
        <v>Nazarian</v>
      </c>
      <c r="C425">
        <f>VLOOKUP($A425,'Medical Examinations'!A:C, 3, FALSE)</f>
        <v>25.08</v>
      </c>
      <c r="D425" t="str">
        <f>VLOOKUP($A425, 'Medical Examinations'!A:D, 4, FALSE)</f>
        <v>Diabetes</v>
      </c>
      <c r="E425" t="str">
        <f>VLOOKUP($A425, 'Medical Examinations'!A:F, 6, FALSE)</f>
        <v>yes</v>
      </c>
      <c r="F425" t="str">
        <f>VLOOKUP($A425, 'Medical Examinations'!A:G, 7, FALSE)</f>
        <v>No</v>
      </c>
      <c r="G425" t="str">
        <f>VLOOKUP($A425, 'Medical Examinations'!A:H, 8, FALSE)</f>
        <v>No</v>
      </c>
      <c r="H425">
        <f>VLOOKUP($A425, 'Medical Examinations'!A:J, 10, FALSE)</f>
        <v>2</v>
      </c>
      <c r="I425" t="str">
        <f>VLOOKUP($A425, 'Medical Examinations'!A:K, 11, FALSE)</f>
        <v>No</v>
      </c>
      <c r="J425" t="str">
        <f>VLOOKUP($A425, 'Medical Examinations'!A:B, 2, FALSE)</f>
        <v>Overweight</v>
      </c>
      <c r="K425" t="str">
        <f>VLOOKUP($A425, 'Medical Examinations'!A:D, 4, FALSE)</f>
        <v>Diabetes</v>
      </c>
    </row>
    <row r="426" spans="1:11" ht="15.5" x14ac:dyDescent="0.35">
      <c r="A426" s="1" t="s">
        <v>1947</v>
      </c>
      <c r="B426" t="str">
        <f>VLOOKUP($A426, 'Customer Names'!A:D, 3, FALSE)</f>
        <v>Lerma</v>
      </c>
      <c r="C426">
        <f>VLOOKUP($A426,'Medical Examinations'!A:C, 3, FALSE)</f>
        <v>30.02</v>
      </c>
      <c r="D426" t="str">
        <f>VLOOKUP($A426, 'Medical Examinations'!A:D, 4, FALSE)</f>
        <v>Diabetes</v>
      </c>
      <c r="E426" t="str">
        <f>VLOOKUP($A426, 'Medical Examinations'!A:F, 6, FALSE)</f>
        <v>No</v>
      </c>
      <c r="F426" t="str">
        <f>VLOOKUP($A426, 'Medical Examinations'!A:G, 7, FALSE)</f>
        <v>No</v>
      </c>
      <c r="G426" t="str">
        <f>VLOOKUP($A426, 'Medical Examinations'!A:H, 8, FALSE)</f>
        <v>No</v>
      </c>
      <c r="H426" t="str">
        <f>VLOOKUP($A426, 'Medical Examinations'!A:J, 10, FALSE)</f>
        <v>No major surgery</v>
      </c>
      <c r="I426" t="str">
        <f>VLOOKUP($A426, 'Medical Examinations'!A:K, 11, FALSE)</f>
        <v>No</v>
      </c>
      <c r="J426" t="str">
        <f>VLOOKUP($A426, 'Medical Examinations'!A:B, 2, FALSE)</f>
        <v>Obesity</v>
      </c>
      <c r="K426" t="str">
        <f>VLOOKUP($A426, 'Medical Examinations'!A:D, 4, FALSE)</f>
        <v>Diabetes</v>
      </c>
    </row>
    <row r="427" spans="1:11" ht="15.5" x14ac:dyDescent="0.35">
      <c r="A427" s="1" t="s">
        <v>1946</v>
      </c>
      <c r="B427" t="str">
        <f>VLOOKUP($A427, 'Customer Names'!A:D, 3, FALSE)</f>
        <v>Dahl</v>
      </c>
      <c r="C427">
        <f>VLOOKUP($A427,'Medical Examinations'!A:C, 3, FALSE)</f>
        <v>27.36</v>
      </c>
      <c r="D427" t="str">
        <f>VLOOKUP($A427, 'Medical Examinations'!A:D, 4, FALSE)</f>
        <v>Diabetes</v>
      </c>
      <c r="E427" t="str">
        <f>VLOOKUP($A427, 'Medical Examinations'!A:F, 6, FALSE)</f>
        <v>yes</v>
      </c>
      <c r="F427" t="str">
        <f>VLOOKUP($A427, 'Medical Examinations'!A:G, 7, FALSE)</f>
        <v>No</v>
      </c>
      <c r="G427" t="str">
        <f>VLOOKUP($A427, 'Medical Examinations'!A:H, 8, FALSE)</f>
        <v>No</v>
      </c>
      <c r="H427">
        <f>VLOOKUP($A427, 'Medical Examinations'!A:J, 10, FALSE)</f>
        <v>2</v>
      </c>
      <c r="I427" t="str">
        <f>VLOOKUP($A427, 'Medical Examinations'!A:K, 11, FALSE)</f>
        <v>yes</v>
      </c>
      <c r="J427" t="str">
        <f>VLOOKUP($A427, 'Medical Examinations'!A:B, 2, FALSE)</f>
        <v>Overweight</v>
      </c>
      <c r="K427" t="str">
        <f>VLOOKUP($A427, 'Medical Examinations'!A:D, 4, FALSE)</f>
        <v>Diabetes</v>
      </c>
    </row>
    <row r="428" spans="1:11" ht="15.5" x14ac:dyDescent="0.35">
      <c r="A428" s="1" t="s">
        <v>1945</v>
      </c>
      <c r="B428" t="str">
        <f>VLOOKUP($A428, 'Customer Names'!A:D, 3, FALSE)</f>
        <v>Surtees</v>
      </c>
      <c r="C428">
        <f>VLOOKUP($A428,'Medical Examinations'!A:C, 3, FALSE)</f>
        <v>22.2</v>
      </c>
      <c r="D428" t="str">
        <f>VLOOKUP($A428, 'Medical Examinations'!A:D, 4, FALSE)</f>
        <v>Normal</v>
      </c>
      <c r="E428" t="str">
        <f>VLOOKUP($A428, 'Medical Examinations'!A:F, 6, FALSE)</f>
        <v>No</v>
      </c>
      <c r="F428" t="str">
        <f>VLOOKUP($A428, 'Medical Examinations'!A:G, 7, FALSE)</f>
        <v>No</v>
      </c>
      <c r="G428" t="str">
        <f>VLOOKUP($A428, 'Medical Examinations'!A:H, 8, FALSE)</f>
        <v>No</v>
      </c>
      <c r="H428" t="str">
        <f>VLOOKUP($A428, 'Medical Examinations'!A:J, 10, FALSE)</f>
        <v>No major surgery</v>
      </c>
      <c r="I428" t="str">
        <f>VLOOKUP($A428, 'Medical Examinations'!A:K, 11, FALSE)</f>
        <v>yes</v>
      </c>
      <c r="J428" t="str">
        <f>VLOOKUP($A428, 'Medical Examinations'!A:B, 2, FALSE)</f>
        <v>Normal Weight</v>
      </c>
      <c r="K428" t="str">
        <f>VLOOKUP($A428, 'Medical Examinations'!A:D, 4, FALSE)</f>
        <v>Normal</v>
      </c>
    </row>
    <row r="429" spans="1:11" ht="15.5" x14ac:dyDescent="0.35">
      <c r="A429" s="1" t="s">
        <v>1944</v>
      </c>
      <c r="B429" t="str">
        <f>VLOOKUP($A429, 'Customer Names'!A:D, 3, FALSE)</f>
        <v>Spetner</v>
      </c>
      <c r="C429">
        <f>VLOOKUP($A429,'Medical Examinations'!A:C, 3, FALSE)</f>
        <v>25.71</v>
      </c>
      <c r="D429" t="str">
        <f>VLOOKUP($A429, 'Medical Examinations'!A:D, 4, FALSE)</f>
        <v>Normal</v>
      </c>
      <c r="E429" t="str">
        <f>VLOOKUP($A429, 'Medical Examinations'!A:F, 6, FALSE)</f>
        <v>No</v>
      </c>
      <c r="F429" t="str">
        <f>VLOOKUP($A429, 'Medical Examinations'!A:G, 7, FALSE)</f>
        <v>yes</v>
      </c>
      <c r="G429" t="str">
        <f>VLOOKUP($A429, 'Medical Examinations'!A:H, 8, FALSE)</f>
        <v>No</v>
      </c>
      <c r="H429">
        <f>VLOOKUP($A429, 'Medical Examinations'!A:J, 10, FALSE)</f>
        <v>1</v>
      </c>
      <c r="I429" t="str">
        <f>VLOOKUP($A429, 'Medical Examinations'!A:K, 11, FALSE)</f>
        <v>yes</v>
      </c>
      <c r="J429" t="str">
        <f>VLOOKUP($A429, 'Medical Examinations'!A:B, 2, FALSE)</f>
        <v>Overweight</v>
      </c>
      <c r="K429" t="str">
        <f>VLOOKUP($A429, 'Medical Examinations'!A:D, 4, FALSE)</f>
        <v>Normal</v>
      </c>
    </row>
    <row r="430" spans="1:11" ht="15.5" x14ac:dyDescent="0.35">
      <c r="A430" s="1" t="s">
        <v>1943</v>
      </c>
      <c r="B430" t="str">
        <f>VLOOKUP($A430, 'Customer Names'!A:D, 3, FALSE)</f>
        <v>Brandon</v>
      </c>
      <c r="C430">
        <f>VLOOKUP($A430,'Medical Examinations'!A:C, 3, FALSE)</f>
        <v>41.91</v>
      </c>
      <c r="D430" t="str">
        <f>VLOOKUP($A430, 'Medical Examinations'!A:D, 4, FALSE)</f>
        <v>Prediabetes</v>
      </c>
      <c r="E430" t="str">
        <f>VLOOKUP($A430, 'Medical Examinations'!A:F, 6, FALSE)</f>
        <v>yes</v>
      </c>
      <c r="F430" t="str">
        <f>VLOOKUP($A430, 'Medical Examinations'!A:G, 7, FALSE)</f>
        <v>No</v>
      </c>
      <c r="G430" t="str">
        <f>VLOOKUP($A430, 'Medical Examinations'!A:H, 8, FALSE)</f>
        <v>No</v>
      </c>
      <c r="H430">
        <f>VLOOKUP($A430, 'Medical Examinations'!A:J, 10, FALSE)</f>
        <v>1</v>
      </c>
      <c r="I430" t="str">
        <f>VLOOKUP($A430, 'Medical Examinations'!A:K, 11, FALSE)</f>
        <v>No</v>
      </c>
      <c r="J430" t="str">
        <f>VLOOKUP($A430, 'Medical Examinations'!A:B, 2, FALSE)</f>
        <v>Obesity</v>
      </c>
      <c r="K430" t="str">
        <f>VLOOKUP($A430, 'Medical Examinations'!A:D, 4, FALSE)</f>
        <v>Prediabetes</v>
      </c>
    </row>
    <row r="431" spans="1:11" ht="15.5" x14ac:dyDescent="0.35">
      <c r="A431" s="1" t="s">
        <v>1942</v>
      </c>
      <c r="B431" t="str">
        <f>VLOOKUP($A431, 'Customer Names'!A:D, 3, FALSE)</f>
        <v>Eley</v>
      </c>
      <c r="C431">
        <f>VLOOKUP($A431,'Medical Examinations'!A:C, 3, FALSE)</f>
        <v>25.85</v>
      </c>
      <c r="D431" t="str">
        <f>VLOOKUP($A431, 'Medical Examinations'!A:D, 4, FALSE)</f>
        <v>Diabetes</v>
      </c>
      <c r="E431" t="str">
        <f>VLOOKUP($A431, 'Medical Examinations'!A:F, 6, FALSE)</f>
        <v>No</v>
      </c>
      <c r="F431" t="str">
        <f>VLOOKUP($A431, 'Medical Examinations'!A:G, 7, FALSE)</f>
        <v>No</v>
      </c>
      <c r="G431" t="str">
        <f>VLOOKUP($A431, 'Medical Examinations'!A:H, 8, FALSE)</f>
        <v>No</v>
      </c>
      <c r="H431" t="str">
        <f>VLOOKUP($A431, 'Medical Examinations'!A:J, 10, FALSE)</f>
        <v>No major surgery</v>
      </c>
      <c r="I431" t="str">
        <f>VLOOKUP($A431, 'Medical Examinations'!A:K, 11, FALSE)</f>
        <v>yes</v>
      </c>
      <c r="J431" t="str">
        <f>VLOOKUP($A431, 'Medical Examinations'!A:B, 2, FALSE)</f>
        <v>Overweight</v>
      </c>
      <c r="K431" t="str">
        <f>VLOOKUP($A431, 'Medical Examinations'!A:D, 4, FALSE)</f>
        <v>Diabetes</v>
      </c>
    </row>
    <row r="432" spans="1:11" ht="15.5" x14ac:dyDescent="0.35">
      <c r="A432" s="1" t="s">
        <v>1941</v>
      </c>
      <c r="B432" t="str">
        <f>VLOOKUP($A432, 'Customer Names'!A:D, 3, FALSE)</f>
        <v>Sedicum</v>
      </c>
      <c r="C432">
        <f>VLOOKUP($A432,'Medical Examinations'!A:C, 3, FALSE)</f>
        <v>23.844999999999999</v>
      </c>
      <c r="D432" t="str">
        <f>VLOOKUP($A432, 'Medical Examinations'!A:D, 4, FALSE)</f>
        <v>Diabetes</v>
      </c>
      <c r="E432" t="str">
        <f>VLOOKUP($A432, 'Medical Examinations'!A:F, 6, FALSE)</f>
        <v>No</v>
      </c>
      <c r="F432" t="str">
        <f>VLOOKUP($A432, 'Medical Examinations'!A:G, 7, FALSE)</f>
        <v>No</v>
      </c>
      <c r="G432" t="str">
        <f>VLOOKUP($A432, 'Medical Examinations'!A:H, 8, FALSE)</f>
        <v>No</v>
      </c>
      <c r="H432">
        <f>VLOOKUP($A432, 'Medical Examinations'!A:J, 10, FALSE)</f>
        <v>2</v>
      </c>
      <c r="I432" t="str">
        <f>VLOOKUP($A432, 'Medical Examinations'!A:K, 11, FALSE)</f>
        <v>yes</v>
      </c>
      <c r="J432" t="str">
        <f>VLOOKUP($A432, 'Medical Examinations'!A:B, 2, FALSE)</f>
        <v>Normal Weight</v>
      </c>
      <c r="K432" t="str">
        <f>VLOOKUP($A432, 'Medical Examinations'!A:D, 4, FALSE)</f>
        <v>Diabetes</v>
      </c>
    </row>
    <row r="433" spans="1:11" ht="15.5" x14ac:dyDescent="0.35">
      <c r="A433" s="1" t="s">
        <v>1940</v>
      </c>
      <c r="B433" t="str">
        <f>VLOOKUP($A433, 'Customer Names'!A:D, 3, FALSE)</f>
        <v>Markle</v>
      </c>
      <c r="C433">
        <f>VLOOKUP($A433,'Medical Examinations'!A:C, 3, FALSE)</f>
        <v>30.59</v>
      </c>
      <c r="D433" t="str">
        <f>VLOOKUP($A433, 'Medical Examinations'!A:D, 4, FALSE)</f>
        <v>Normal</v>
      </c>
      <c r="E433" t="str">
        <f>VLOOKUP($A433, 'Medical Examinations'!A:F, 6, FALSE)</f>
        <v>No</v>
      </c>
      <c r="F433" t="str">
        <f>VLOOKUP($A433, 'Medical Examinations'!A:G, 7, FALSE)</f>
        <v>No</v>
      </c>
      <c r="G433" t="str">
        <f>VLOOKUP($A433, 'Medical Examinations'!A:H, 8, FALSE)</f>
        <v>Yes</v>
      </c>
      <c r="H433">
        <f>VLOOKUP($A433, 'Medical Examinations'!A:J, 10, FALSE)</f>
        <v>1</v>
      </c>
      <c r="I433" t="str">
        <f>VLOOKUP($A433, 'Medical Examinations'!A:K, 11, FALSE)</f>
        <v>No</v>
      </c>
      <c r="J433" t="str">
        <f>VLOOKUP($A433, 'Medical Examinations'!A:B, 2, FALSE)</f>
        <v>Obesity</v>
      </c>
      <c r="K433" t="str">
        <f>VLOOKUP($A433, 'Medical Examinations'!A:D, 4, FALSE)</f>
        <v>Normal</v>
      </c>
    </row>
    <row r="434" spans="1:11" ht="15.5" x14ac:dyDescent="0.35">
      <c r="A434" s="1" t="s">
        <v>1939</v>
      </c>
      <c r="B434" t="str">
        <f>VLOOKUP($A434, 'Customer Names'!A:D, 3, FALSE)</f>
        <v>Kunz</v>
      </c>
      <c r="C434">
        <f>VLOOKUP($A434,'Medical Examinations'!A:C, 3, FALSE)</f>
        <v>24.795000000000002</v>
      </c>
      <c r="D434" t="str">
        <f>VLOOKUP($A434, 'Medical Examinations'!A:D, 4, FALSE)</f>
        <v>Diabetes</v>
      </c>
      <c r="E434" t="str">
        <f>VLOOKUP($A434, 'Medical Examinations'!A:F, 6, FALSE)</f>
        <v>No</v>
      </c>
      <c r="F434" t="str">
        <f>VLOOKUP($A434, 'Medical Examinations'!A:G, 7, FALSE)</f>
        <v>No</v>
      </c>
      <c r="G434" t="str">
        <f>VLOOKUP($A434, 'Medical Examinations'!A:H, 8, FALSE)</f>
        <v>No</v>
      </c>
      <c r="H434" t="str">
        <f>VLOOKUP($A434, 'Medical Examinations'!A:J, 10, FALSE)</f>
        <v>No major surgery</v>
      </c>
      <c r="I434" t="str">
        <f>VLOOKUP($A434, 'Medical Examinations'!A:K, 11, FALSE)</f>
        <v>yes</v>
      </c>
      <c r="J434" t="str">
        <f>VLOOKUP($A434, 'Medical Examinations'!A:B, 2, FALSE)</f>
        <v>Normal Weight</v>
      </c>
      <c r="K434" t="str">
        <f>VLOOKUP($A434, 'Medical Examinations'!A:D, 4, FALSE)</f>
        <v>Diabetes</v>
      </c>
    </row>
    <row r="435" spans="1:11" ht="15.5" x14ac:dyDescent="0.35">
      <c r="A435" s="1" t="s">
        <v>1938</v>
      </c>
      <c r="B435" t="str">
        <f>VLOOKUP($A435, 'Customer Names'!A:D, 3, FALSE)</f>
        <v>Wimert</v>
      </c>
      <c r="C435">
        <f>VLOOKUP($A435,'Medical Examinations'!A:C, 3, FALSE)</f>
        <v>24.13</v>
      </c>
      <c r="D435" t="str">
        <f>VLOOKUP($A435, 'Medical Examinations'!A:D, 4, FALSE)</f>
        <v>Diabetes</v>
      </c>
      <c r="E435" t="str">
        <f>VLOOKUP($A435, 'Medical Examinations'!A:F, 6, FALSE)</f>
        <v>yes</v>
      </c>
      <c r="F435" t="str">
        <f>VLOOKUP($A435, 'Medical Examinations'!A:G, 7, FALSE)</f>
        <v>No</v>
      </c>
      <c r="G435" t="str">
        <f>VLOOKUP($A435, 'Medical Examinations'!A:H, 8, FALSE)</f>
        <v>No</v>
      </c>
      <c r="H435">
        <f>VLOOKUP($A435, 'Medical Examinations'!A:J, 10, FALSE)</f>
        <v>2</v>
      </c>
      <c r="I435" t="str">
        <f>VLOOKUP($A435, 'Medical Examinations'!A:K, 11, FALSE)</f>
        <v>yes</v>
      </c>
      <c r="J435" t="str">
        <f>VLOOKUP($A435, 'Medical Examinations'!A:B, 2, FALSE)</f>
        <v>Normal Weight</v>
      </c>
      <c r="K435" t="str">
        <f>VLOOKUP($A435, 'Medical Examinations'!A:D, 4, FALSE)</f>
        <v>Diabetes</v>
      </c>
    </row>
    <row r="436" spans="1:11" ht="15.5" x14ac:dyDescent="0.35">
      <c r="A436" s="1" t="s">
        <v>1937</v>
      </c>
      <c r="B436" t="str">
        <f>VLOOKUP($A436, 'Customer Names'!A:D, 3, FALSE)</f>
        <v>Peterson</v>
      </c>
      <c r="C436">
        <f>VLOOKUP($A436,'Medical Examinations'!A:C, 3, FALSE)</f>
        <v>25.84</v>
      </c>
      <c r="D436" t="str">
        <f>VLOOKUP($A436, 'Medical Examinations'!A:D, 4, FALSE)</f>
        <v>Diabetes</v>
      </c>
      <c r="E436" t="str">
        <f>VLOOKUP($A436, 'Medical Examinations'!A:F, 6, FALSE)</f>
        <v>No</v>
      </c>
      <c r="F436" t="str">
        <f>VLOOKUP($A436, 'Medical Examinations'!A:G, 7, FALSE)</f>
        <v>No</v>
      </c>
      <c r="G436" t="str">
        <f>VLOOKUP($A436, 'Medical Examinations'!A:H, 8, FALSE)</f>
        <v>No</v>
      </c>
      <c r="H436">
        <f>VLOOKUP($A436, 'Medical Examinations'!A:J, 10, FALSE)</f>
        <v>2</v>
      </c>
      <c r="I436" t="str">
        <f>VLOOKUP($A436, 'Medical Examinations'!A:K, 11, FALSE)</f>
        <v>yes</v>
      </c>
      <c r="J436" t="str">
        <f>VLOOKUP($A436, 'Medical Examinations'!A:B, 2, FALSE)</f>
        <v>Overweight</v>
      </c>
      <c r="K436" t="str">
        <f>VLOOKUP($A436, 'Medical Examinations'!A:D, 4, FALSE)</f>
        <v>Diabetes</v>
      </c>
    </row>
    <row r="437" spans="1:11" ht="15.5" x14ac:dyDescent="0.35">
      <c r="A437" s="1" t="s">
        <v>1936</v>
      </c>
      <c r="B437" t="str">
        <f>VLOOKUP($A437, 'Customer Names'!A:D, 3, FALSE)</f>
        <v>Mercier</v>
      </c>
      <c r="C437">
        <f>VLOOKUP($A437,'Medical Examinations'!A:C, 3, FALSE)</f>
        <v>28</v>
      </c>
      <c r="D437" t="str">
        <f>VLOOKUP($A437, 'Medical Examinations'!A:D, 4, FALSE)</f>
        <v>Diabetes</v>
      </c>
      <c r="E437" t="str">
        <f>VLOOKUP($A437, 'Medical Examinations'!A:F, 6, FALSE)</f>
        <v>No</v>
      </c>
      <c r="F437" t="str">
        <f>VLOOKUP($A437, 'Medical Examinations'!A:G, 7, FALSE)</f>
        <v>No</v>
      </c>
      <c r="G437" t="str">
        <f>VLOOKUP($A437, 'Medical Examinations'!A:H, 8, FALSE)</f>
        <v>No</v>
      </c>
      <c r="H437" t="str">
        <f>VLOOKUP($A437, 'Medical Examinations'!A:J, 10, FALSE)</f>
        <v>No major surgery</v>
      </c>
      <c r="I437" t="str">
        <f>VLOOKUP($A437, 'Medical Examinations'!A:K, 11, FALSE)</f>
        <v>yes</v>
      </c>
      <c r="J437" t="str">
        <f>VLOOKUP($A437, 'Medical Examinations'!A:B, 2, FALSE)</f>
        <v>Overweight</v>
      </c>
      <c r="K437" t="str">
        <f>VLOOKUP($A437, 'Medical Examinations'!A:D, 4, FALSE)</f>
        <v>Diabetes</v>
      </c>
    </row>
    <row r="438" spans="1:11" ht="15.5" x14ac:dyDescent="0.35">
      <c r="A438" s="1" t="s">
        <v>1935</v>
      </c>
      <c r="B438" t="str">
        <f>VLOOKUP($A438, 'Customer Names'!A:D, 3, FALSE)</f>
        <v>Laurie</v>
      </c>
      <c r="C438">
        <f>VLOOKUP($A438,'Medical Examinations'!A:C, 3, FALSE)</f>
        <v>34.1</v>
      </c>
      <c r="D438" t="str">
        <f>VLOOKUP($A438, 'Medical Examinations'!A:D, 4, FALSE)</f>
        <v>Normal</v>
      </c>
      <c r="E438" t="str">
        <f>VLOOKUP($A438, 'Medical Examinations'!A:F, 6, FALSE)</f>
        <v>yes</v>
      </c>
      <c r="F438" t="str">
        <f>VLOOKUP($A438, 'Medical Examinations'!A:G, 7, FALSE)</f>
        <v>No</v>
      </c>
      <c r="G438" t="str">
        <f>VLOOKUP($A438, 'Medical Examinations'!A:H, 8, FALSE)</f>
        <v>Yes</v>
      </c>
      <c r="H438">
        <f>VLOOKUP($A438, 'Medical Examinations'!A:J, 10, FALSE)</f>
        <v>1</v>
      </c>
      <c r="I438" t="str">
        <f>VLOOKUP($A438, 'Medical Examinations'!A:K, 11, FALSE)</f>
        <v>No</v>
      </c>
      <c r="J438" t="str">
        <f>VLOOKUP($A438, 'Medical Examinations'!A:B, 2, FALSE)</f>
        <v>Obesity</v>
      </c>
      <c r="K438" t="str">
        <f>VLOOKUP($A438, 'Medical Examinations'!A:D, 4, FALSE)</f>
        <v>Normal</v>
      </c>
    </row>
    <row r="439" spans="1:11" ht="15.5" x14ac:dyDescent="0.35">
      <c r="A439" s="1" t="s">
        <v>1934</v>
      </c>
      <c r="B439" t="str">
        <f>VLOOKUP($A439, 'Customer Names'!A:D, 3, FALSE)</f>
        <v>Sekaquaptewa</v>
      </c>
      <c r="C439">
        <f>VLOOKUP($A439,'Medical Examinations'!A:C, 3, FALSE)</f>
        <v>26.125</v>
      </c>
      <c r="D439" t="str">
        <f>VLOOKUP($A439, 'Medical Examinations'!A:D, 4, FALSE)</f>
        <v>Diabetes</v>
      </c>
      <c r="E439" t="str">
        <f>VLOOKUP($A439, 'Medical Examinations'!A:F, 6, FALSE)</f>
        <v>yes</v>
      </c>
      <c r="F439" t="str">
        <f>VLOOKUP($A439, 'Medical Examinations'!A:G, 7, FALSE)</f>
        <v>No</v>
      </c>
      <c r="G439" t="str">
        <f>VLOOKUP($A439, 'Medical Examinations'!A:H, 8, FALSE)</f>
        <v>No</v>
      </c>
      <c r="H439">
        <f>VLOOKUP($A439, 'Medical Examinations'!A:J, 10, FALSE)</f>
        <v>1</v>
      </c>
      <c r="I439" t="str">
        <f>VLOOKUP($A439, 'Medical Examinations'!A:K, 11, FALSE)</f>
        <v>yes</v>
      </c>
      <c r="J439" t="str">
        <f>VLOOKUP($A439, 'Medical Examinations'!A:B, 2, FALSE)</f>
        <v>Overweight</v>
      </c>
      <c r="K439" t="str">
        <f>VLOOKUP($A439, 'Medical Examinations'!A:D, 4, FALSE)</f>
        <v>Diabetes</v>
      </c>
    </row>
    <row r="440" spans="1:11" ht="15.5" x14ac:dyDescent="0.35">
      <c r="A440" s="1" t="s">
        <v>1933</v>
      </c>
      <c r="B440" t="str">
        <f>VLOOKUP($A440, 'Customer Names'!A:D, 3, FALSE)</f>
        <v>Frash</v>
      </c>
      <c r="C440">
        <f>VLOOKUP($A440,'Medical Examinations'!A:C, 3, FALSE)</f>
        <v>25.6</v>
      </c>
      <c r="D440" t="str">
        <f>VLOOKUP($A440, 'Medical Examinations'!A:D, 4, FALSE)</f>
        <v>Diabetes</v>
      </c>
      <c r="E440" t="str">
        <f>VLOOKUP($A440, 'Medical Examinations'!A:F, 6, FALSE)</f>
        <v>No</v>
      </c>
      <c r="F440" t="str">
        <f>VLOOKUP($A440, 'Medical Examinations'!A:G, 7, FALSE)</f>
        <v>No</v>
      </c>
      <c r="G440" t="str">
        <f>VLOOKUP($A440, 'Medical Examinations'!A:H, 8, FALSE)</f>
        <v>No</v>
      </c>
      <c r="H440">
        <f>VLOOKUP($A440, 'Medical Examinations'!A:J, 10, FALSE)</f>
        <v>2</v>
      </c>
      <c r="I440" t="str">
        <f>VLOOKUP($A440, 'Medical Examinations'!A:K, 11, FALSE)</f>
        <v>yes</v>
      </c>
      <c r="J440" t="str">
        <f>VLOOKUP($A440, 'Medical Examinations'!A:B, 2, FALSE)</f>
        <v>Overweight</v>
      </c>
      <c r="K440" t="str">
        <f>VLOOKUP($A440, 'Medical Examinations'!A:D, 4, FALSE)</f>
        <v>Diabetes</v>
      </c>
    </row>
    <row r="441" spans="1:11" ht="15.5" x14ac:dyDescent="0.35">
      <c r="A441" s="1" t="s">
        <v>1932</v>
      </c>
      <c r="B441" t="str">
        <f>VLOOKUP($A441, 'Customer Names'!A:D, 3, FALSE)</f>
        <v>Bukowski</v>
      </c>
      <c r="C441">
        <f>VLOOKUP($A441,'Medical Examinations'!A:C, 3, FALSE)</f>
        <v>24.32</v>
      </c>
      <c r="D441" t="str">
        <f>VLOOKUP($A441, 'Medical Examinations'!A:D, 4, FALSE)</f>
        <v>Prediabetes</v>
      </c>
      <c r="E441" t="str">
        <f>VLOOKUP($A441, 'Medical Examinations'!A:F, 6, FALSE)</f>
        <v>No</v>
      </c>
      <c r="F441" t="str">
        <f>VLOOKUP($A441, 'Medical Examinations'!A:G, 7, FALSE)</f>
        <v>No</v>
      </c>
      <c r="G441" t="str">
        <f>VLOOKUP($A441, 'Medical Examinations'!A:H, 8, FALSE)</f>
        <v>No</v>
      </c>
      <c r="H441" t="str">
        <f>VLOOKUP($A441, 'Medical Examinations'!A:J, 10, FALSE)</f>
        <v>No major surgery</v>
      </c>
      <c r="I441" t="str">
        <f>VLOOKUP($A441, 'Medical Examinations'!A:K, 11, FALSE)</f>
        <v>No</v>
      </c>
      <c r="J441" t="str">
        <f>VLOOKUP($A441, 'Medical Examinations'!A:B, 2, FALSE)</f>
        <v>Normal Weight</v>
      </c>
      <c r="K441" t="str">
        <f>VLOOKUP($A441, 'Medical Examinations'!A:D, 4, FALSE)</f>
        <v>Prediabetes</v>
      </c>
    </row>
    <row r="442" spans="1:11" ht="15.5" x14ac:dyDescent="0.35">
      <c r="A442" s="1" t="s">
        <v>1931</v>
      </c>
      <c r="B442" t="str">
        <f>VLOOKUP($A442, 'Customer Names'!A:D, 3, FALSE)</f>
        <v>Sandahl</v>
      </c>
      <c r="C442">
        <f>VLOOKUP($A442,'Medical Examinations'!A:C, 3, FALSE)</f>
        <v>22.88</v>
      </c>
      <c r="D442" t="str">
        <f>VLOOKUP($A442, 'Medical Examinations'!A:D, 4, FALSE)</f>
        <v>Prediabetes</v>
      </c>
      <c r="E442" t="str">
        <f>VLOOKUP($A442, 'Medical Examinations'!A:F, 6, FALSE)</f>
        <v>yes</v>
      </c>
      <c r="F442" t="str">
        <f>VLOOKUP($A442, 'Medical Examinations'!A:G, 7, FALSE)</f>
        <v>No</v>
      </c>
      <c r="G442" t="str">
        <f>VLOOKUP($A442, 'Medical Examinations'!A:H, 8, FALSE)</f>
        <v>Yes</v>
      </c>
      <c r="H442">
        <f>VLOOKUP($A442, 'Medical Examinations'!A:J, 10, FALSE)</f>
        <v>1</v>
      </c>
      <c r="I442" t="str">
        <f>VLOOKUP($A442, 'Medical Examinations'!A:K, 11, FALSE)</f>
        <v>yes</v>
      </c>
      <c r="J442" t="str">
        <f>VLOOKUP($A442, 'Medical Examinations'!A:B, 2, FALSE)</f>
        <v>Normal Weight</v>
      </c>
      <c r="K442" t="str">
        <f>VLOOKUP($A442, 'Medical Examinations'!A:D, 4, FALSE)</f>
        <v>Prediabetes</v>
      </c>
    </row>
    <row r="443" spans="1:11" ht="15.5" x14ac:dyDescent="0.35">
      <c r="A443" s="1" t="s">
        <v>1930</v>
      </c>
      <c r="B443" t="str">
        <f>VLOOKUP($A443, 'Customer Names'!A:D, 3, FALSE)</f>
        <v>Speight</v>
      </c>
      <c r="C443">
        <f>VLOOKUP($A443,'Medical Examinations'!A:C, 3, FALSE)</f>
        <v>24.984999999999999</v>
      </c>
      <c r="D443" t="str">
        <f>VLOOKUP($A443, 'Medical Examinations'!A:D, 4, FALSE)</f>
        <v>Normal</v>
      </c>
      <c r="E443" t="str">
        <f>VLOOKUP($A443, 'Medical Examinations'!A:F, 6, FALSE)</f>
        <v>yes</v>
      </c>
      <c r="F443" t="str">
        <f>VLOOKUP($A443, 'Medical Examinations'!A:G, 7, FALSE)</f>
        <v>No</v>
      </c>
      <c r="G443" t="str">
        <f>VLOOKUP($A443, 'Medical Examinations'!A:H, 8, FALSE)</f>
        <v>Yes</v>
      </c>
      <c r="H443">
        <f>VLOOKUP($A443, 'Medical Examinations'!A:J, 10, FALSE)</f>
        <v>1</v>
      </c>
      <c r="I443" t="str">
        <f>VLOOKUP($A443, 'Medical Examinations'!A:K, 11, FALSE)</f>
        <v>No</v>
      </c>
      <c r="J443" t="str">
        <f>VLOOKUP($A443, 'Medical Examinations'!A:B, 2, FALSE)</f>
        <v>Overweight</v>
      </c>
      <c r="K443" t="str">
        <f>VLOOKUP($A443, 'Medical Examinations'!A:D, 4, FALSE)</f>
        <v>Normal</v>
      </c>
    </row>
    <row r="444" spans="1:11" ht="15.5" x14ac:dyDescent="0.35">
      <c r="A444" s="1" t="s">
        <v>1929</v>
      </c>
      <c r="B444" t="str">
        <f>VLOOKUP($A444, 'Customer Names'!A:D, 3, FALSE)</f>
        <v>Lee</v>
      </c>
      <c r="C444">
        <f>VLOOKUP($A444,'Medical Examinations'!A:C, 3, FALSE)</f>
        <v>33.1</v>
      </c>
      <c r="D444" t="str">
        <f>VLOOKUP($A444, 'Medical Examinations'!A:D, 4, FALSE)</f>
        <v>Normal</v>
      </c>
      <c r="E444" t="str">
        <f>VLOOKUP($A444, 'Medical Examinations'!A:F, 6, FALSE)</f>
        <v>No</v>
      </c>
      <c r="F444" t="str">
        <f>VLOOKUP($A444, 'Medical Examinations'!A:G, 7, FALSE)</f>
        <v>No</v>
      </c>
      <c r="G444" t="str">
        <f>VLOOKUP($A444, 'Medical Examinations'!A:H, 8, FALSE)</f>
        <v>Yes</v>
      </c>
      <c r="H444">
        <f>VLOOKUP($A444, 'Medical Examinations'!A:J, 10, FALSE)</f>
        <v>1</v>
      </c>
      <c r="I444" t="str">
        <f>VLOOKUP($A444, 'Medical Examinations'!A:K, 11, FALSE)</f>
        <v>No</v>
      </c>
      <c r="J444" t="str">
        <f>VLOOKUP($A444, 'Medical Examinations'!A:B, 2, FALSE)</f>
        <v>Obesity</v>
      </c>
      <c r="K444" t="str">
        <f>VLOOKUP($A444, 'Medical Examinations'!A:D, 4, FALSE)</f>
        <v>Normal</v>
      </c>
    </row>
    <row r="445" spans="1:11" ht="15.5" x14ac:dyDescent="0.35">
      <c r="A445" s="1" t="s">
        <v>1928</v>
      </c>
      <c r="B445" t="str">
        <f>VLOOKUP($A445, 'Customer Names'!A:D, 3, FALSE)</f>
        <v>Nielsen</v>
      </c>
      <c r="C445">
        <f>VLOOKUP($A445,'Medical Examinations'!A:C, 3, FALSE)</f>
        <v>27.83</v>
      </c>
      <c r="D445" t="str">
        <f>VLOOKUP($A445, 'Medical Examinations'!A:D, 4, FALSE)</f>
        <v>Diabetes</v>
      </c>
      <c r="E445" t="str">
        <f>VLOOKUP($A445, 'Medical Examinations'!A:F, 6, FALSE)</f>
        <v>yes</v>
      </c>
      <c r="F445" t="str">
        <f>VLOOKUP($A445, 'Medical Examinations'!A:G, 7, FALSE)</f>
        <v>No</v>
      </c>
      <c r="G445" t="str">
        <f>VLOOKUP($A445, 'Medical Examinations'!A:H, 8, FALSE)</f>
        <v>No</v>
      </c>
      <c r="H445">
        <f>VLOOKUP($A445, 'Medical Examinations'!A:J, 10, FALSE)</f>
        <v>1</v>
      </c>
      <c r="I445" t="str">
        <f>VLOOKUP($A445, 'Medical Examinations'!A:K, 11, FALSE)</f>
        <v>yes</v>
      </c>
      <c r="J445" t="str">
        <f>VLOOKUP($A445, 'Medical Examinations'!A:B, 2, FALSE)</f>
        <v>Overweight</v>
      </c>
      <c r="K445" t="str">
        <f>VLOOKUP($A445, 'Medical Examinations'!A:D, 4, FALSE)</f>
        <v>Diabetes</v>
      </c>
    </row>
    <row r="446" spans="1:11" ht="15.5" x14ac:dyDescent="0.35">
      <c r="A446" s="1" t="s">
        <v>1927</v>
      </c>
      <c r="B446" t="str">
        <f>VLOOKUP($A446, 'Customer Names'!A:D, 3, FALSE)</f>
        <v>Zirdok</v>
      </c>
      <c r="C446">
        <f>VLOOKUP($A446,'Medical Examinations'!A:C, 3, FALSE)</f>
        <v>30.875</v>
      </c>
      <c r="D446" t="str">
        <f>VLOOKUP($A446, 'Medical Examinations'!A:D, 4, FALSE)</f>
        <v>Diabetes</v>
      </c>
      <c r="E446" t="str">
        <f>VLOOKUP($A446, 'Medical Examinations'!A:F, 6, FALSE)</f>
        <v>yes</v>
      </c>
      <c r="F446" t="str">
        <f>VLOOKUP($A446, 'Medical Examinations'!A:G, 7, FALSE)</f>
        <v>No</v>
      </c>
      <c r="G446" t="str">
        <f>VLOOKUP($A446, 'Medical Examinations'!A:H, 8, FALSE)</f>
        <v>No</v>
      </c>
      <c r="H446">
        <f>VLOOKUP($A446, 'Medical Examinations'!A:J, 10, FALSE)</f>
        <v>2</v>
      </c>
      <c r="I446" t="str">
        <f>VLOOKUP($A446, 'Medical Examinations'!A:K, 11, FALSE)</f>
        <v>No</v>
      </c>
      <c r="J446" t="str">
        <f>VLOOKUP($A446, 'Medical Examinations'!A:B, 2, FALSE)</f>
        <v>Obesity</v>
      </c>
      <c r="K446" t="str">
        <f>VLOOKUP($A446, 'Medical Examinations'!A:D, 4, FALSE)</f>
        <v>Diabetes</v>
      </c>
    </row>
    <row r="447" spans="1:11" ht="15.5" x14ac:dyDescent="0.35">
      <c r="A447" s="1" t="s">
        <v>1926</v>
      </c>
      <c r="B447" t="str">
        <f>VLOOKUP($A447, 'Customer Names'!A:D, 3, FALSE)</f>
        <v>Crudale</v>
      </c>
      <c r="C447">
        <f>VLOOKUP($A447,'Medical Examinations'!A:C, 3, FALSE)</f>
        <v>27.265000000000001</v>
      </c>
      <c r="D447" t="str">
        <f>VLOOKUP($A447, 'Medical Examinations'!A:D, 4, FALSE)</f>
        <v>Normal</v>
      </c>
      <c r="E447" t="str">
        <f>VLOOKUP($A447, 'Medical Examinations'!A:F, 6, FALSE)</f>
        <v>No</v>
      </c>
      <c r="F447" t="str">
        <f>VLOOKUP($A447, 'Medical Examinations'!A:G, 7, FALSE)</f>
        <v>No</v>
      </c>
      <c r="G447" t="str">
        <f>VLOOKUP($A447, 'Medical Examinations'!A:H, 8, FALSE)</f>
        <v>Yes</v>
      </c>
      <c r="H447">
        <f>VLOOKUP($A447, 'Medical Examinations'!A:J, 10, FALSE)</f>
        <v>1</v>
      </c>
      <c r="I447" t="str">
        <f>VLOOKUP($A447, 'Medical Examinations'!A:K, 11, FALSE)</f>
        <v>No</v>
      </c>
      <c r="J447" t="str">
        <f>VLOOKUP($A447, 'Medical Examinations'!A:B, 2, FALSE)</f>
        <v>Overweight</v>
      </c>
      <c r="K447" t="str">
        <f>VLOOKUP($A447, 'Medical Examinations'!A:D, 4, FALSE)</f>
        <v>Normal</v>
      </c>
    </row>
    <row r="448" spans="1:11" ht="15.5" x14ac:dyDescent="0.35">
      <c r="A448" s="1" t="s">
        <v>1925</v>
      </c>
      <c r="B448" t="str">
        <f>VLOOKUP($A448, 'Customer Names'!A:D, 3, FALSE)</f>
        <v>Koopmans</v>
      </c>
      <c r="C448">
        <f>VLOOKUP($A448,'Medical Examinations'!A:C, 3, FALSE)</f>
        <v>26.7</v>
      </c>
      <c r="D448" t="str">
        <f>VLOOKUP($A448, 'Medical Examinations'!A:D, 4, FALSE)</f>
        <v>Normal</v>
      </c>
      <c r="E448" t="str">
        <f>VLOOKUP($A448, 'Medical Examinations'!A:F, 6, FALSE)</f>
        <v>No</v>
      </c>
      <c r="F448" t="str">
        <f>VLOOKUP($A448, 'Medical Examinations'!A:G, 7, FALSE)</f>
        <v>No</v>
      </c>
      <c r="G448" t="str">
        <f>VLOOKUP($A448, 'Medical Examinations'!A:H, 8, FALSE)</f>
        <v>Yes</v>
      </c>
      <c r="H448">
        <f>VLOOKUP($A448, 'Medical Examinations'!A:J, 10, FALSE)</f>
        <v>1</v>
      </c>
      <c r="I448" t="str">
        <f>VLOOKUP($A448, 'Medical Examinations'!A:K, 11, FALSE)</f>
        <v>yes</v>
      </c>
      <c r="J448" t="str">
        <f>VLOOKUP($A448, 'Medical Examinations'!A:B, 2, FALSE)</f>
        <v>Overweight</v>
      </c>
      <c r="K448" t="str">
        <f>VLOOKUP($A448, 'Medical Examinations'!A:D, 4, FALSE)</f>
        <v>Normal</v>
      </c>
    </row>
    <row r="449" spans="1:11" ht="15.5" x14ac:dyDescent="0.35">
      <c r="A449" s="1" t="s">
        <v>1924</v>
      </c>
      <c r="B449" t="str">
        <f>VLOOKUP($A449, 'Customer Names'!A:D, 3, FALSE)</f>
        <v>Milani</v>
      </c>
      <c r="C449">
        <f>VLOOKUP($A449,'Medical Examinations'!A:C, 3, FALSE)</f>
        <v>29.925000000000001</v>
      </c>
      <c r="D449" t="str">
        <f>VLOOKUP($A449, 'Medical Examinations'!A:D, 4, FALSE)</f>
        <v>Prediabetes</v>
      </c>
      <c r="E449" t="str">
        <f>VLOOKUP($A449, 'Medical Examinations'!A:F, 6, FALSE)</f>
        <v>yes</v>
      </c>
      <c r="F449" t="str">
        <f>VLOOKUP($A449, 'Medical Examinations'!A:G, 7, FALSE)</f>
        <v>No</v>
      </c>
      <c r="G449" t="str">
        <f>VLOOKUP($A449, 'Medical Examinations'!A:H, 8, FALSE)</f>
        <v>Yes</v>
      </c>
      <c r="H449">
        <f>VLOOKUP($A449, 'Medical Examinations'!A:J, 10, FALSE)</f>
        <v>1</v>
      </c>
      <c r="I449" t="str">
        <f>VLOOKUP($A449, 'Medical Examinations'!A:K, 11, FALSE)</f>
        <v>yes</v>
      </c>
      <c r="J449" t="e">
        <f>VLOOKUP($A449, 'Medical Examinations'!A:B, 2, FALSE)</f>
        <v>#N/A</v>
      </c>
      <c r="K449" t="str">
        <f>VLOOKUP($A449, 'Medical Examinations'!A:D, 4, FALSE)</f>
        <v>Prediabetes</v>
      </c>
    </row>
    <row r="450" spans="1:11" ht="15.5" x14ac:dyDescent="0.35">
      <c r="A450" s="1" t="s">
        <v>1923</v>
      </c>
      <c r="B450" t="str">
        <f>VLOOKUP($A450, 'Customer Names'!A:D, 3, FALSE)</f>
        <v>Kelly</v>
      </c>
      <c r="C450">
        <f>VLOOKUP($A450,'Medical Examinations'!A:C, 3, FALSE)</f>
        <v>19.95</v>
      </c>
      <c r="D450" t="str">
        <f>VLOOKUP($A450, 'Medical Examinations'!A:D, 4, FALSE)</f>
        <v>Normal</v>
      </c>
      <c r="E450" t="str">
        <f>VLOOKUP($A450, 'Medical Examinations'!A:F, 6, FALSE)</f>
        <v>yes</v>
      </c>
      <c r="F450" t="str">
        <f>VLOOKUP($A450, 'Medical Examinations'!A:G, 7, FALSE)</f>
        <v>No</v>
      </c>
      <c r="G450" t="str">
        <f>VLOOKUP($A450, 'Medical Examinations'!A:H, 8, FALSE)</f>
        <v>No</v>
      </c>
      <c r="H450">
        <f>VLOOKUP($A450, 'Medical Examinations'!A:J, 10, FALSE)</f>
        <v>2</v>
      </c>
      <c r="I450" t="str">
        <f>VLOOKUP($A450, 'Medical Examinations'!A:K, 11, FALSE)</f>
        <v>yes</v>
      </c>
      <c r="J450" t="str">
        <f>VLOOKUP($A450, 'Medical Examinations'!A:B, 2, FALSE)</f>
        <v>Normal Weight</v>
      </c>
      <c r="K450" t="str">
        <f>VLOOKUP($A450, 'Medical Examinations'!A:D, 4, FALSE)</f>
        <v>Normal</v>
      </c>
    </row>
    <row r="451" spans="1:11" ht="15.5" x14ac:dyDescent="0.35">
      <c r="A451" s="1" t="s">
        <v>1922</v>
      </c>
      <c r="B451" t="str">
        <f>VLOOKUP($A451, 'Customer Names'!A:D, 3, FALSE)</f>
        <v>Finelli</v>
      </c>
      <c r="C451">
        <f>VLOOKUP($A451,'Medical Examinations'!A:C, 3, FALSE)</f>
        <v>24.225000000000001</v>
      </c>
      <c r="D451" t="str">
        <f>VLOOKUP($A451, 'Medical Examinations'!A:D, 4, FALSE)</f>
        <v>Normal</v>
      </c>
      <c r="E451" t="str">
        <f>VLOOKUP($A451, 'Medical Examinations'!A:F, 6, FALSE)</f>
        <v>No</v>
      </c>
      <c r="F451" t="str">
        <f>VLOOKUP($A451, 'Medical Examinations'!A:G, 7, FALSE)</f>
        <v>No</v>
      </c>
      <c r="G451" t="str">
        <f>VLOOKUP($A451, 'Medical Examinations'!A:H, 8, FALSE)</f>
        <v>No</v>
      </c>
      <c r="H451" t="str">
        <f>VLOOKUP($A451, 'Medical Examinations'!A:J, 10, FALSE)</f>
        <v>No major surgery</v>
      </c>
      <c r="I451" t="str">
        <f>VLOOKUP($A451, 'Medical Examinations'!A:K, 11, FALSE)</f>
        <v>No</v>
      </c>
      <c r="J451" t="str">
        <f>VLOOKUP($A451, 'Medical Examinations'!A:B, 2, FALSE)</f>
        <v>Normal Weight</v>
      </c>
      <c r="K451" t="str">
        <f>VLOOKUP($A451, 'Medical Examinations'!A:D, 4, FALSE)</f>
        <v>Normal</v>
      </c>
    </row>
    <row r="452" spans="1:11" ht="15.5" x14ac:dyDescent="0.35">
      <c r="A452" s="1" t="s">
        <v>1921</v>
      </c>
      <c r="B452" t="str">
        <f>VLOOKUP($A452, 'Customer Names'!A:D, 3, FALSE)</f>
        <v>Palmer</v>
      </c>
      <c r="C452">
        <f>VLOOKUP($A452,'Medical Examinations'!A:C, 3, FALSE)</f>
        <v>28.12</v>
      </c>
      <c r="D452" t="str">
        <f>VLOOKUP($A452, 'Medical Examinations'!A:D, 4, FALSE)</f>
        <v>Normal</v>
      </c>
      <c r="E452" t="str">
        <f>VLOOKUP($A452, 'Medical Examinations'!A:F, 6, FALSE)</f>
        <v>No</v>
      </c>
      <c r="F452" t="str">
        <f>VLOOKUP($A452, 'Medical Examinations'!A:G, 7, FALSE)</f>
        <v>No</v>
      </c>
      <c r="G452" t="str">
        <f>VLOOKUP($A452, 'Medical Examinations'!A:H, 8, FALSE)</f>
        <v>No</v>
      </c>
      <c r="H452" t="str">
        <f>VLOOKUP($A452, 'Medical Examinations'!A:J, 10, FALSE)</f>
        <v>No major surgery</v>
      </c>
      <c r="I452" t="str">
        <f>VLOOKUP($A452, 'Medical Examinations'!A:K, 11, FALSE)</f>
        <v>yes</v>
      </c>
      <c r="J452" t="str">
        <f>VLOOKUP($A452, 'Medical Examinations'!A:B, 2, FALSE)</f>
        <v>Overweight</v>
      </c>
      <c r="K452" t="str">
        <f>VLOOKUP($A452, 'Medical Examinations'!A:D, 4, FALSE)</f>
        <v>Normal</v>
      </c>
    </row>
    <row r="453" spans="1:11" ht="15.5" x14ac:dyDescent="0.35">
      <c r="A453" s="1" t="s">
        <v>1920</v>
      </c>
      <c r="B453" t="str">
        <f>VLOOKUP($A453, 'Customer Names'!A:D, 3, FALSE)</f>
        <v>Wang</v>
      </c>
      <c r="C453">
        <f>VLOOKUP($A453,'Medical Examinations'!A:C, 3, FALSE)</f>
        <v>23.21</v>
      </c>
      <c r="D453" t="str">
        <f>VLOOKUP($A453, 'Medical Examinations'!A:D, 4, FALSE)</f>
        <v>Diabetes</v>
      </c>
      <c r="E453" t="str">
        <f>VLOOKUP($A453, 'Medical Examinations'!A:F, 6, FALSE)</f>
        <v>No</v>
      </c>
      <c r="F453" t="str">
        <f>VLOOKUP($A453, 'Medical Examinations'!A:G, 7, FALSE)</f>
        <v>No</v>
      </c>
      <c r="G453" t="str">
        <f>VLOOKUP($A453, 'Medical Examinations'!A:H, 8, FALSE)</f>
        <v>No</v>
      </c>
      <c r="H453" t="str">
        <f>VLOOKUP($A453, 'Medical Examinations'!A:J, 10, FALSE)</f>
        <v>No major surgery</v>
      </c>
      <c r="I453" t="str">
        <f>VLOOKUP($A453, 'Medical Examinations'!A:K, 11, FALSE)</f>
        <v>yes</v>
      </c>
      <c r="J453" t="str">
        <f>VLOOKUP($A453, 'Medical Examinations'!A:B, 2, FALSE)</f>
        <v>Normal Weight</v>
      </c>
      <c r="K453" t="str">
        <f>VLOOKUP($A453, 'Medical Examinations'!A:D, 4, FALSE)</f>
        <v>Diabetes</v>
      </c>
    </row>
    <row r="454" spans="1:11" ht="15.5" x14ac:dyDescent="0.35">
      <c r="A454" s="1" t="s">
        <v>1919</v>
      </c>
      <c r="B454" t="str">
        <f>VLOOKUP($A454, 'Customer Names'!A:D, 3, FALSE)</f>
        <v>Beasley</v>
      </c>
      <c r="C454">
        <f>VLOOKUP($A454,'Medical Examinations'!A:C, 3, FALSE)</f>
        <v>23.98</v>
      </c>
      <c r="D454" t="str">
        <f>VLOOKUP($A454, 'Medical Examinations'!A:D, 4, FALSE)</f>
        <v>Diabetes</v>
      </c>
      <c r="E454" t="str">
        <f>VLOOKUP($A454, 'Medical Examinations'!A:F, 6, FALSE)</f>
        <v>No</v>
      </c>
      <c r="F454" t="str">
        <f>VLOOKUP($A454, 'Medical Examinations'!A:G, 7, FALSE)</f>
        <v>No</v>
      </c>
      <c r="G454" t="str">
        <f>VLOOKUP($A454, 'Medical Examinations'!A:H, 8, FALSE)</f>
        <v>No</v>
      </c>
      <c r="H454" t="str">
        <f>VLOOKUP($A454, 'Medical Examinations'!A:J, 10, FALSE)</f>
        <v>No major surgery</v>
      </c>
      <c r="I454" t="str">
        <f>VLOOKUP($A454, 'Medical Examinations'!A:K, 11, FALSE)</f>
        <v>No</v>
      </c>
      <c r="J454" t="str">
        <f>VLOOKUP($A454, 'Medical Examinations'!A:B, 2, FALSE)</f>
        <v>Normal Weight</v>
      </c>
      <c r="K454" t="str">
        <f>VLOOKUP($A454, 'Medical Examinations'!A:D, 4, FALSE)</f>
        <v>Diabetes</v>
      </c>
    </row>
    <row r="455" spans="1:11" ht="15.5" x14ac:dyDescent="0.35">
      <c r="A455" s="1" t="s">
        <v>1918</v>
      </c>
      <c r="B455" t="str">
        <f>VLOOKUP($A455, 'Customer Names'!A:D, 3, FALSE)</f>
        <v>Bedbury</v>
      </c>
      <c r="C455">
        <f>VLOOKUP($A455,'Medical Examinations'!A:C, 3, FALSE)</f>
        <v>30</v>
      </c>
      <c r="D455" t="str">
        <f>VLOOKUP($A455, 'Medical Examinations'!A:D, 4, FALSE)</f>
        <v>Prediabetes</v>
      </c>
      <c r="E455" t="str">
        <f>VLOOKUP($A455, 'Medical Examinations'!A:F, 6, FALSE)</f>
        <v>No</v>
      </c>
      <c r="F455" t="str">
        <f>VLOOKUP($A455, 'Medical Examinations'!A:G, 7, FALSE)</f>
        <v>No</v>
      </c>
      <c r="G455" t="str">
        <f>VLOOKUP($A455, 'Medical Examinations'!A:H, 8, FALSE)</f>
        <v>No</v>
      </c>
      <c r="H455" t="str">
        <f>VLOOKUP($A455, 'Medical Examinations'!A:J, 10, FALSE)</f>
        <v>No major surgery</v>
      </c>
      <c r="I455" t="str">
        <f>VLOOKUP($A455, 'Medical Examinations'!A:K, 11, FALSE)</f>
        <v>yes</v>
      </c>
      <c r="J455" t="str">
        <f>VLOOKUP($A455, 'Medical Examinations'!A:B, 2, FALSE)</f>
        <v>Obesity</v>
      </c>
      <c r="K455" t="str">
        <f>VLOOKUP($A455, 'Medical Examinations'!A:D, 4, FALSE)</f>
        <v>Prediabetes</v>
      </c>
    </row>
    <row r="456" spans="1:11" ht="15.5" x14ac:dyDescent="0.35">
      <c r="A456" s="1" t="s">
        <v>1917</v>
      </c>
      <c r="B456" t="str">
        <f>VLOOKUP($A456, 'Customer Names'!A:D, 3, FALSE)</f>
        <v>Stemberger</v>
      </c>
      <c r="C456">
        <f>VLOOKUP($A456,'Medical Examinations'!A:C, 3, FALSE)</f>
        <v>17.350000000000001</v>
      </c>
      <c r="D456" t="str">
        <f>VLOOKUP($A456, 'Medical Examinations'!A:D, 4, FALSE)</f>
        <v>Normal</v>
      </c>
      <c r="E456" t="str">
        <f>VLOOKUP($A456, 'Medical Examinations'!A:F, 6, FALSE)</f>
        <v>yes</v>
      </c>
      <c r="F456" t="str">
        <f>VLOOKUP($A456, 'Medical Examinations'!A:G, 7, FALSE)</f>
        <v>No</v>
      </c>
      <c r="G456" t="str">
        <f>VLOOKUP($A456, 'Medical Examinations'!A:H, 8, FALSE)</f>
        <v>No</v>
      </c>
      <c r="H456" t="str">
        <f>VLOOKUP($A456, 'Medical Examinations'!A:J, 10, FALSE)</f>
        <v>No major surgery</v>
      </c>
      <c r="I456" t="str">
        <f>VLOOKUP($A456, 'Medical Examinations'!A:K, 11, FALSE)</f>
        <v>yes</v>
      </c>
      <c r="J456" t="str">
        <f>VLOOKUP($A456, 'Medical Examinations'!A:B, 2, FALSE)</f>
        <v>Underweight</v>
      </c>
      <c r="K456" t="str">
        <f>VLOOKUP($A456, 'Medical Examinations'!A:D, 4, FALSE)</f>
        <v>Normal</v>
      </c>
    </row>
    <row r="457" spans="1:11" ht="15.5" x14ac:dyDescent="0.35">
      <c r="A457" s="1" t="s">
        <v>1916</v>
      </c>
      <c r="B457" t="str">
        <f>VLOOKUP($A457, 'Customer Names'!A:D, 3, FALSE)</f>
        <v>Chebet</v>
      </c>
      <c r="C457">
        <f>VLOOKUP($A457,'Medical Examinations'!A:C, 3, FALSE)</f>
        <v>22.704999999999998</v>
      </c>
      <c r="D457" t="str">
        <f>VLOOKUP($A457, 'Medical Examinations'!A:D, 4, FALSE)</f>
        <v>Normal</v>
      </c>
      <c r="E457" t="str">
        <f>VLOOKUP($A457, 'Medical Examinations'!A:F, 6, FALSE)</f>
        <v>No</v>
      </c>
      <c r="F457" t="str">
        <f>VLOOKUP($A457, 'Medical Examinations'!A:G, 7, FALSE)</f>
        <v>No</v>
      </c>
      <c r="G457" t="str">
        <f>VLOOKUP($A457, 'Medical Examinations'!A:H, 8, FALSE)</f>
        <v>No</v>
      </c>
      <c r="H457" t="str">
        <f>VLOOKUP($A457, 'Medical Examinations'!A:J, 10, FALSE)</f>
        <v>No major surgery</v>
      </c>
      <c r="I457" t="str">
        <f>VLOOKUP($A457, 'Medical Examinations'!A:K, 11, FALSE)</f>
        <v>No</v>
      </c>
      <c r="J457" t="str">
        <f>VLOOKUP($A457, 'Medical Examinations'!A:B, 2, FALSE)</f>
        <v>Normal Weight</v>
      </c>
      <c r="K457" t="str">
        <f>VLOOKUP($A457, 'Medical Examinations'!A:D, 4, FALSE)</f>
        <v>Normal</v>
      </c>
    </row>
    <row r="458" spans="1:11" ht="15.5" x14ac:dyDescent="0.35">
      <c r="A458" s="1" t="s">
        <v>1915</v>
      </c>
      <c r="B458" t="str">
        <f>VLOOKUP($A458, 'Customer Names'!A:D, 3, FALSE)</f>
        <v>Muir</v>
      </c>
      <c r="C458">
        <f>VLOOKUP($A458,'Medical Examinations'!A:C, 3, FALSE)</f>
        <v>25.41</v>
      </c>
      <c r="D458" t="str">
        <f>VLOOKUP($A458, 'Medical Examinations'!A:D, 4, FALSE)</f>
        <v>Diabetes</v>
      </c>
      <c r="E458" t="str">
        <f>VLOOKUP($A458, 'Medical Examinations'!A:F, 6, FALSE)</f>
        <v>yes</v>
      </c>
      <c r="F458" t="str">
        <f>VLOOKUP($A458, 'Medical Examinations'!A:G, 7, FALSE)</f>
        <v>No</v>
      </c>
      <c r="G458" t="str">
        <f>VLOOKUP($A458, 'Medical Examinations'!A:H, 8, FALSE)</f>
        <v>No</v>
      </c>
      <c r="H458">
        <f>VLOOKUP($A458, 'Medical Examinations'!A:J, 10, FALSE)</f>
        <v>1</v>
      </c>
      <c r="I458" t="str">
        <f>VLOOKUP($A458, 'Medical Examinations'!A:K, 11, FALSE)</f>
        <v>yes</v>
      </c>
      <c r="J458" t="str">
        <f>VLOOKUP($A458, 'Medical Examinations'!A:B, 2, FALSE)</f>
        <v>Overweight</v>
      </c>
      <c r="K458" t="str">
        <f>VLOOKUP($A458, 'Medical Examinations'!A:D, 4, FALSE)</f>
        <v>Diabetes</v>
      </c>
    </row>
    <row r="459" spans="1:11" ht="15.5" x14ac:dyDescent="0.35">
      <c r="A459" s="1" t="s">
        <v>1914</v>
      </c>
      <c r="B459" t="str">
        <f>VLOOKUP($A459, 'Customer Names'!A:D, 3, FALSE)</f>
        <v>Yang</v>
      </c>
      <c r="C459">
        <f>VLOOKUP($A459,'Medical Examinations'!A:C, 3, FALSE)</f>
        <v>18.23</v>
      </c>
      <c r="D459" t="str">
        <f>VLOOKUP($A459, 'Medical Examinations'!A:D, 4, FALSE)</f>
        <v>Prediabetes</v>
      </c>
      <c r="E459" t="str">
        <f>VLOOKUP($A459, 'Medical Examinations'!A:F, 6, FALSE)</f>
        <v>No</v>
      </c>
      <c r="F459" t="str">
        <f>VLOOKUP($A459, 'Medical Examinations'!A:G, 7, FALSE)</f>
        <v>No</v>
      </c>
      <c r="G459" t="str">
        <f>VLOOKUP($A459, 'Medical Examinations'!A:H, 8, FALSE)</f>
        <v>Yes</v>
      </c>
      <c r="H459">
        <f>VLOOKUP($A459, 'Medical Examinations'!A:J, 10, FALSE)</f>
        <v>1</v>
      </c>
      <c r="I459" t="str">
        <f>VLOOKUP($A459, 'Medical Examinations'!A:K, 11, FALSE)</f>
        <v>yes</v>
      </c>
      <c r="J459" t="str">
        <f>VLOOKUP($A459, 'Medical Examinations'!A:B, 2, FALSE)</f>
        <v>Underweight</v>
      </c>
      <c r="K459" t="str">
        <f>VLOOKUP($A459, 'Medical Examinations'!A:D, 4, FALSE)</f>
        <v>Prediabetes</v>
      </c>
    </row>
    <row r="460" spans="1:11" ht="15.5" x14ac:dyDescent="0.35">
      <c r="A460" s="1" t="s">
        <v>1913</v>
      </c>
      <c r="B460" t="str">
        <f>VLOOKUP($A460, 'Customer Names'!A:D, 3, FALSE)</f>
        <v>Gravel</v>
      </c>
      <c r="C460">
        <f>VLOOKUP($A460,'Medical Examinations'!A:C, 3, FALSE)</f>
        <v>24.7</v>
      </c>
      <c r="D460" t="str">
        <f>VLOOKUP($A460, 'Medical Examinations'!A:D, 4, FALSE)</f>
        <v>Normal</v>
      </c>
      <c r="E460" t="str">
        <f>VLOOKUP($A460, 'Medical Examinations'!A:F, 6, FALSE)</f>
        <v>No</v>
      </c>
      <c r="F460" t="str">
        <f>VLOOKUP($A460, 'Medical Examinations'!A:G, 7, FALSE)</f>
        <v>No</v>
      </c>
      <c r="G460" t="str">
        <f>VLOOKUP($A460, 'Medical Examinations'!A:H, 8, FALSE)</f>
        <v>Yes</v>
      </c>
      <c r="H460">
        <f>VLOOKUP($A460, 'Medical Examinations'!A:J, 10, FALSE)</f>
        <v>1</v>
      </c>
      <c r="I460" t="str">
        <f>VLOOKUP($A460, 'Medical Examinations'!A:K, 11, FALSE)</f>
        <v>yes</v>
      </c>
      <c r="J460" t="str">
        <f>VLOOKUP($A460, 'Medical Examinations'!A:B, 2, FALSE)</f>
        <v>Normal Weight</v>
      </c>
      <c r="K460" t="str">
        <f>VLOOKUP($A460, 'Medical Examinations'!A:D, 4, FALSE)</f>
        <v>Normal</v>
      </c>
    </row>
    <row r="461" spans="1:11" ht="15.5" x14ac:dyDescent="0.35">
      <c r="A461" s="1" t="s">
        <v>1912</v>
      </c>
      <c r="B461" t="str">
        <f>VLOOKUP($A461, 'Customer Names'!A:D, 3, FALSE)</f>
        <v>Smith</v>
      </c>
      <c r="C461">
        <f>VLOOKUP($A461,'Medical Examinations'!A:C, 3, FALSE)</f>
        <v>37.4</v>
      </c>
      <c r="D461" t="str">
        <f>VLOOKUP($A461, 'Medical Examinations'!A:D, 4, FALSE)</f>
        <v>Diabetes</v>
      </c>
      <c r="E461" t="str">
        <f>VLOOKUP($A461, 'Medical Examinations'!A:F, 6, FALSE)</f>
        <v>yes</v>
      </c>
      <c r="F461" t="str">
        <f>VLOOKUP($A461, 'Medical Examinations'!A:G, 7, FALSE)</f>
        <v>No</v>
      </c>
      <c r="G461" t="str">
        <f>VLOOKUP($A461, 'Medical Examinations'!A:H, 8, FALSE)</f>
        <v>Yes</v>
      </c>
      <c r="H461">
        <f>VLOOKUP($A461, 'Medical Examinations'!A:J, 10, FALSE)</f>
        <v>1</v>
      </c>
      <c r="I461" t="str">
        <f>VLOOKUP($A461, 'Medical Examinations'!A:K, 11, FALSE)</f>
        <v>No</v>
      </c>
      <c r="J461" t="str">
        <f>VLOOKUP($A461, 'Medical Examinations'!A:B, 2, FALSE)</f>
        <v>Obesity</v>
      </c>
      <c r="K461" t="str">
        <f>VLOOKUP($A461, 'Medical Examinations'!A:D, 4, FALSE)</f>
        <v>Diabetes</v>
      </c>
    </row>
    <row r="462" spans="1:11" ht="15.5" x14ac:dyDescent="0.35">
      <c r="A462" s="1" t="s">
        <v>1911</v>
      </c>
      <c r="B462" t="str">
        <f>VLOOKUP($A462, 'Customer Names'!A:D, 3, FALSE)</f>
        <v>Williams</v>
      </c>
      <c r="C462">
        <f>VLOOKUP($A462,'Medical Examinations'!A:C, 3, FALSE)</f>
        <v>26.885000000000002</v>
      </c>
      <c r="D462" t="str">
        <f>VLOOKUP($A462, 'Medical Examinations'!A:D, 4, FALSE)</f>
        <v>Normal</v>
      </c>
      <c r="E462" t="str">
        <f>VLOOKUP($A462, 'Medical Examinations'!A:F, 6, FALSE)</f>
        <v>No</v>
      </c>
      <c r="F462" t="str">
        <f>VLOOKUP($A462, 'Medical Examinations'!A:G, 7, FALSE)</f>
        <v>No</v>
      </c>
      <c r="G462" t="str">
        <f>VLOOKUP($A462, 'Medical Examinations'!A:H, 8, FALSE)</f>
        <v>Yes</v>
      </c>
      <c r="H462">
        <f>VLOOKUP($A462, 'Medical Examinations'!A:J, 10, FALSE)</f>
        <v>1</v>
      </c>
      <c r="I462" t="str">
        <f>VLOOKUP($A462, 'Medical Examinations'!A:K, 11, FALSE)</f>
        <v>yes</v>
      </c>
      <c r="J462" t="str">
        <f>VLOOKUP($A462, 'Medical Examinations'!A:B, 2, FALSE)</f>
        <v>Overweight</v>
      </c>
      <c r="K462" t="str">
        <f>VLOOKUP($A462, 'Medical Examinations'!A:D, 4, FALSE)</f>
        <v>Normal</v>
      </c>
    </row>
    <row r="463" spans="1:11" ht="15.5" x14ac:dyDescent="0.35">
      <c r="A463" s="1" t="s">
        <v>1910</v>
      </c>
      <c r="B463" t="str">
        <f>VLOOKUP($A463, 'Customer Names'!A:D, 3, FALSE)</f>
        <v>Meyer</v>
      </c>
      <c r="C463">
        <f>VLOOKUP($A463,'Medical Examinations'!A:C, 3, FALSE)</f>
        <v>25.27</v>
      </c>
      <c r="D463" t="str">
        <f>VLOOKUP($A463, 'Medical Examinations'!A:D, 4, FALSE)</f>
        <v>Normal</v>
      </c>
      <c r="E463" t="str">
        <f>VLOOKUP($A463, 'Medical Examinations'!A:F, 6, FALSE)</f>
        <v>No</v>
      </c>
      <c r="F463" t="str">
        <f>VLOOKUP($A463, 'Medical Examinations'!A:G, 7, FALSE)</f>
        <v>No</v>
      </c>
      <c r="G463" t="str">
        <f>VLOOKUP($A463, 'Medical Examinations'!A:H, 8, FALSE)</f>
        <v>Yes</v>
      </c>
      <c r="H463">
        <f>VLOOKUP($A463, 'Medical Examinations'!A:J, 10, FALSE)</f>
        <v>1</v>
      </c>
      <c r="I463" t="str">
        <f>VLOOKUP($A463, 'Medical Examinations'!A:K, 11, FALSE)</f>
        <v>yes</v>
      </c>
      <c r="J463" t="str">
        <f>VLOOKUP($A463, 'Medical Examinations'!A:B, 2, FALSE)</f>
        <v>Overweight</v>
      </c>
      <c r="K463" t="str">
        <f>VLOOKUP($A463, 'Medical Examinations'!A:D, 4, FALSE)</f>
        <v>Normal</v>
      </c>
    </row>
    <row r="464" spans="1:11" ht="15.5" x14ac:dyDescent="0.35">
      <c r="A464" s="1" t="s">
        <v>1909</v>
      </c>
      <c r="B464" t="str">
        <f>VLOOKUP($A464, 'Customer Names'!A:D, 3, FALSE)</f>
        <v>Jamieson</v>
      </c>
      <c r="C464">
        <f>VLOOKUP($A464,'Medical Examinations'!A:C, 3, FALSE)</f>
        <v>23.655000000000001</v>
      </c>
      <c r="D464" t="str">
        <f>VLOOKUP($A464, 'Medical Examinations'!A:D, 4, FALSE)</f>
        <v>Normal</v>
      </c>
      <c r="E464" t="str">
        <f>VLOOKUP($A464, 'Medical Examinations'!A:F, 6, FALSE)</f>
        <v>yes</v>
      </c>
      <c r="F464" t="str">
        <f>VLOOKUP($A464, 'Medical Examinations'!A:G, 7, FALSE)</f>
        <v>No</v>
      </c>
      <c r="G464" t="str">
        <f>VLOOKUP($A464, 'Medical Examinations'!A:H, 8, FALSE)</f>
        <v>No</v>
      </c>
      <c r="H464" t="str">
        <f>VLOOKUP($A464, 'Medical Examinations'!A:J, 10, FALSE)</f>
        <v>No major surgery</v>
      </c>
      <c r="I464" t="str">
        <f>VLOOKUP($A464, 'Medical Examinations'!A:K, 11, FALSE)</f>
        <v>yes</v>
      </c>
      <c r="J464" t="str">
        <f>VLOOKUP($A464, 'Medical Examinations'!A:B, 2, FALSE)</f>
        <v>Normal Weight</v>
      </c>
      <c r="K464" t="str">
        <f>VLOOKUP($A464, 'Medical Examinations'!A:D, 4, FALSE)</f>
        <v>Normal</v>
      </c>
    </row>
    <row r="465" spans="1:11" ht="15.5" x14ac:dyDescent="0.35">
      <c r="A465" s="1" t="s">
        <v>1908</v>
      </c>
      <c r="B465" t="str">
        <f>VLOOKUP($A465, 'Customer Names'!A:D, 3, FALSE)</f>
        <v>Dufeal</v>
      </c>
      <c r="C465">
        <f>VLOOKUP($A465,'Medical Examinations'!A:C, 3, FALSE)</f>
        <v>55.05</v>
      </c>
      <c r="D465" t="str">
        <f>VLOOKUP($A465, 'Medical Examinations'!A:D, 4, FALSE)</f>
        <v>Diabetes</v>
      </c>
      <c r="E465" t="str">
        <f>VLOOKUP($A465, 'Medical Examinations'!A:F, 6, FALSE)</f>
        <v>No</v>
      </c>
      <c r="F465" t="str">
        <f>VLOOKUP($A465, 'Medical Examinations'!A:G, 7, FALSE)</f>
        <v>No</v>
      </c>
      <c r="G465" t="str">
        <f>VLOOKUP($A465, 'Medical Examinations'!A:H, 8, FALSE)</f>
        <v>No</v>
      </c>
      <c r="H465" t="str">
        <f>VLOOKUP($A465, 'Medical Examinations'!A:J, 10, FALSE)</f>
        <v>No major surgery</v>
      </c>
      <c r="I465" t="str">
        <f>VLOOKUP($A465, 'Medical Examinations'!A:K, 11, FALSE)</f>
        <v>No</v>
      </c>
      <c r="J465" t="str">
        <f>VLOOKUP($A465, 'Medical Examinations'!A:B, 2, FALSE)</f>
        <v>Obesity</v>
      </c>
      <c r="K465" t="str">
        <f>VLOOKUP($A465, 'Medical Examinations'!A:D, 4, FALSE)</f>
        <v>Diabetes</v>
      </c>
    </row>
    <row r="466" spans="1:11" ht="15.5" x14ac:dyDescent="0.35">
      <c r="A466" s="1" t="s">
        <v>1907</v>
      </c>
      <c r="B466" t="str">
        <f>VLOOKUP($A466, 'Customer Names'!A:D, 3, FALSE)</f>
        <v>Sansonetti</v>
      </c>
      <c r="C466">
        <f>VLOOKUP($A466,'Medical Examinations'!A:C, 3, FALSE)</f>
        <v>24.89</v>
      </c>
      <c r="D466" t="str">
        <f>VLOOKUP($A466, 'Medical Examinations'!A:D, 4, FALSE)</f>
        <v>Prediabetes</v>
      </c>
      <c r="E466" t="str">
        <f>VLOOKUP($A466, 'Medical Examinations'!A:F, 6, FALSE)</f>
        <v>yes</v>
      </c>
      <c r="F466" t="str">
        <f>VLOOKUP($A466, 'Medical Examinations'!A:G, 7, FALSE)</f>
        <v>No</v>
      </c>
      <c r="G466" t="str">
        <f>VLOOKUP($A466, 'Medical Examinations'!A:H, 8, FALSE)</f>
        <v>Yes</v>
      </c>
      <c r="H466">
        <f>VLOOKUP($A466, 'Medical Examinations'!A:J, 10, FALSE)</f>
        <v>1</v>
      </c>
      <c r="I466" t="str">
        <f>VLOOKUP($A466, 'Medical Examinations'!A:K, 11, FALSE)</f>
        <v>yes</v>
      </c>
      <c r="J466" t="str">
        <f>VLOOKUP($A466, 'Medical Examinations'!A:B, 2, FALSE)</f>
        <v>Normal Weight</v>
      </c>
      <c r="K466" t="str">
        <f>VLOOKUP($A466, 'Medical Examinations'!A:D, 4, FALSE)</f>
        <v>Prediabetes</v>
      </c>
    </row>
    <row r="467" spans="1:11" ht="15.5" x14ac:dyDescent="0.35">
      <c r="A467" s="1" t="s">
        <v>1906</v>
      </c>
      <c r="B467" t="str">
        <f>VLOOKUP($A467, 'Customer Names'!A:D, 3, FALSE)</f>
        <v>Koneazny</v>
      </c>
      <c r="C467">
        <f>VLOOKUP($A467,'Medical Examinations'!A:C, 3, FALSE)</f>
        <v>18.715</v>
      </c>
      <c r="D467" t="str">
        <f>VLOOKUP($A467, 'Medical Examinations'!A:D, 4, FALSE)</f>
        <v>Normal</v>
      </c>
      <c r="E467" t="str">
        <f>VLOOKUP($A467, 'Medical Examinations'!A:F, 6, FALSE)</f>
        <v>No</v>
      </c>
      <c r="F467" t="str">
        <f>VLOOKUP($A467, 'Medical Examinations'!A:G, 7, FALSE)</f>
        <v>No</v>
      </c>
      <c r="G467" t="str">
        <f>VLOOKUP($A467, 'Medical Examinations'!A:H, 8, FALSE)</f>
        <v>No</v>
      </c>
      <c r="H467" t="str">
        <f>VLOOKUP($A467, 'Medical Examinations'!A:J, 10, FALSE)</f>
        <v>No major surgery</v>
      </c>
      <c r="I467" t="str">
        <f>VLOOKUP($A467, 'Medical Examinations'!A:K, 11, FALSE)</f>
        <v>No</v>
      </c>
      <c r="J467" t="str">
        <f>VLOOKUP($A467, 'Medical Examinations'!A:B, 2, FALSE)</f>
        <v>Normal Weight</v>
      </c>
      <c r="K467" t="str">
        <f>VLOOKUP($A467, 'Medical Examinations'!A:D, 4, FALSE)</f>
        <v>Normal</v>
      </c>
    </row>
    <row r="468" spans="1:11" ht="15.5" x14ac:dyDescent="0.35">
      <c r="A468" s="1" t="s">
        <v>1905</v>
      </c>
      <c r="B468" t="str">
        <f>VLOOKUP($A468, 'Customer Names'!A:D, 3, FALSE)</f>
        <v>Johnson</v>
      </c>
      <c r="C468">
        <f>VLOOKUP($A468,'Medical Examinations'!A:C, 3, FALSE)</f>
        <v>28.12</v>
      </c>
      <c r="D468" t="str">
        <f>VLOOKUP($A468, 'Medical Examinations'!A:D, 4, FALSE)</f>
        <v>Prediabetes</v>
      </c>
      <c r="E468" t="str">
        <f>VLOOKUP($A468, 'Medical Examinations'!A:F, 6, FALSE)</f>
        <v>No</v>
      </c>
      <c r="F468" t="str">
        <f>VLOOKUP($A468, 'Medical Examinations'!A:G, 7, FALSE)</f>
        <v>No</v>
      </c>
      <c r="G468" t="str">
        <f>VLOOKUP($A468, 'Medical Examinations'!A:H, 8, FALSE)</f>
        <v>No</v>
      </c>
      <c r="H468" t="str">
        <f>VLOOKUP($A468, 'Medical Examinations'!A:J, 10, FALSE)</f>
        <v>No major surgery</v>
      </c>
      <c r="I468" t="str">
        <f>VLOOKUP($A468, 'Medical Examinations'!A:K, 11, FALSE)</f>
        <v>yes</v>
      </c>
      <c r="J468" t="str">
        <f>VLOOKUP($A468, 'Medical Examinations'!A:B, 2, FALSE)</f>
        <v>Overweight</v>
      </c>
      <c r="K468" t="str">
        <f>VLOOKUP($A468, 'Medical Examinations'!A:D, 4, FALSE)</f>
        <v>Prediabetes</v>
      </c>
    </row>
    <row r="469" spans="1:11" ht="15.5" x14ac:dyDescent="0.35">
      <c r="A469" s="1" t="s">
        <v>1904</v>
      </c>
      <c r="B469" t="str">
        <f>VLOOKUP($A469, 'Customer Names'!A:D, 3, FALSE)</f>
        <v>Glasson</v>
      </c>
      <c r="C469">
        <f>VLOOKUP($A469,'Medical Examinations'!A:C, 3, FALSE)</f>
        <v>26.6</v>
      </c>
      <c r="D469" t="str">
        <f>VLOOKUP($A469, 'Medical Examinations'!A:D, 4, FALSE)</f>
        <v>Normal</v>
      </c>
      <c r="E469" t="str">
        <f>VLOOKUP($A469, 'Medical Examinations'!A:F, 6, FALSE)</f>
        <v>No</v>
      </c>
      <c r="F469" t="str">
        <f>VLOOKUP($A469, 'Medical Examinations'!A:G, 7, FALSE)</f>
        <v>No</v>
      </c>
      <c r="G469" t="str">
        <f>VLOOKUP($A469, 'Medical Examinations'!A:H, 8, FALSE)</f>
        <v>No</v>
      </c>
      <c r="H469" t="str">
        <f>VLOOKUP($A469, 'Medical Examinations'!A:J, 10, FALSE)</f>
        <v>No major surgery</v>
      </c>
      <c r="I469" t="str">
        <f>VLOOKUP($A469, 'Medical Examinations'!A:K, 11, FALSE)</f>
        <v>yes</v>
      </c>
      <c r="J469" t="str">
        <f>VLOOKUP($A469, 'Medical Examinations'!A:B, 2, FALSE)</f>
        <v>Overweight</v>
      </c>
      <c r="K469" t="str">
        <f>VLOOKUP($A469, 'Medical Examinations'!A:D, 4, FALSE)</f>
        <v>Normal</v>
      </c>
    </row>
    <row r="470" spans="1:11" ht="15.5" x14ac:dyDescent="0.35">
      <c r="A470" s="1" t="s">
        <v>1903</v>
      </c>
      <c r="B470" t="str">
        <f>VLOOKUP($A470, 'Customer Names'!A:D, 3, FALSE)</f>
        <v>Canitz</v>
      </c>
      <c r="C470">
        <f>VLOOKUP($A470,'Medical Examinations'!A:C, 3, FALSE)</f>
        <v>30.114999999999998</v>
      </c>
      <c r="D470" t="str">
        <f>VLOOKUP($A470, 'Medical Examinations'!A:D, 4, FALSE)</f>
        <v>Normal</v>
      </c>
      <c r="E470" t="str">
        <f>VLOOKUP($A470, 'Medical Examinations'!A:F, 6, FALSE)</f>
        <v>No</v>
      </c>
      <c r="F470" t="str">
        <f>VLOOKUP($A470, 'Medical Examinations'!A:G, 7, FALSE)</f>
        <v>yes</v>
      </c>
      <c r="G470" t="str">
        <f>VLOOKUP($A470, 'Medical Examinations'!A:H, 8, FALSE)</f>
        <v>No</v>
      </c>
      <c r="H470">
        <f>VLOOKUP($A470, 'Medical Examinations'!A:J, 10, FALSE)</f>
        <v>1</v>
      </c>
      <c r="I470" t="str">
        <f>VLOOKUP($A470, 'Medical Examinations'!A:K, 11, FALSE)</f>
        <v>No</v>
      </c>
      <c r="J470" t="str">
        <f>VLOOKUP($A470, 'Medical Examinations'!A:B, 2, FALSE)</f>
        <v>Obesity</v>
      </c>
      <c r="K470" t="str">
        <f>VLOOKUP($A470, 'Medical Examinations'!A:D, 4, FALSE)</f>
        <v>Normal</v>
      </c>
    </row>
    <row r="471" spans="1:11" ht="15.5" x14ac:dyDescent="0.35">
      <c r="A471" s="1" t="s">
        <v>1902</v>
      </c>
      <c r="B471" t="str">
        <f>VLOOKUP($A471, 'Customer Names'!A:D, 3, FALSE)</f>
        <v>Li</v>
      </c>
      <c r="C471">
        <f>VLOOKUP($A471,'Medical Examinations'!A:C, 3, FALSE)</f>
        <v>24.605</v>
      </c>
      <c r="D471" t="str">
        <f>VLOOKUP($A471, 'Medical Examinations'!A:D, 4, FALSE)</f>
        <v>Normal</v>
      </c>
      <c r="E471" t="str">
        <f>VLOOKUP($A471, 'Medical Examinations'!A:F, 6, FALSE)</f>
        <v>No</v>
      </c>
      <c r="F471" t="str">
        <f>VLOOKUP($A471, 'Medical Examinations'!A:G, 7, FALSE)</f>
        <v>No</v>
      </c>
      <c r="G471" t="str">
        <f>VLOOKUP($A471, 'Medical Examinations'!A:H, 8, FALSE)</f>
        <v>No</v>
      </c>
      <c r="H471" t="str">
        <f>VLOOKUP($A471, 'Medical Examinations'!A:J, 10, FALSE)</f>
        <v>No major surgery</v>
      </c>
      <c r="I471" t="str">
        <f>VLOOKUP($A471, 'Medical Examinations'!A:K, 11, FALSE)</f>
        <v>yes</v>
      </c>
      <c r="J471" t="str">
        <f>VLOOKUP($A471, 'Medical Examinations'!A:B, 2, FALSE)</f>
        <v>Normal Weight</v>
      </c>
      <c r="K471" t="str">
        <f>VLOOKUP($A471, 'Medical Examinations'!A:D, 4, FALSE)</f>
        <v>Normal</v>
      </c>
    </row>
    <row r="472" spans="1:11" ht="15.5" x14ac:dyDescent="0.35">
      <c r="A472" s="1" t="s">
        <v>1901</v>
      </c>
      <c r="B472" t="str">
        <f>VLOOKUP($A472, 'Customer Names'!A:D, 3, FALSE)</f>
        <v>Parsons</v>
      </c>
      <c r="C472">
        <f>VLOOKUP($A472,'Medical Examinations'!A:C, 3, FALSE)</f>
        <v>29.6</v>
      </c>
      <c r="D472" t="str">
        <f>VLOOKUP($A472, 'Medical Examinations'!A:D, 4, FALSE)</f>
        <v>Diabetes</v>
      </c>
      <c r="E472" t="str">
        <f>VLOOKUP($A472, 'Medical Examinations'!A:F, 6, FALSE)</f>
        <v>No</v>
      </c>
      <c r="F472" t="str">
        <f>VLOOKUP($A472, 'Medical Examinations'!A:G, 7, FALSE)</f>
        <v>No</v>
      </c>
      <c r="G472" t="str">
        <f>VLOOKUP($A472, 'Medical Examinations'!A:H, 8, FALSE)</f>
        <v>No</v>
      </c>
      <c r="H472" t="str">
        <f>VLOOKUP($A472, 'Medical Examinations'!A:J, 10, FALSE)</f>
        <v>No major surgery</v>
      </c>
      <c r="I472" t="str">
        <f>VLOOKUP($A472, 'Medical Examinations'!A:K, 11, FALSE)</f>
        <v>No</v>
      </c>
      <c r="J472" t="str">
        <f>VLOOKUP($A472, 'Medical Examinations'!A:B, 2, FALSE)</f>
        <v>Overweight</v>
      </c>
      <c r="K472" t="str">
        <f>VLOOKUP($A472, 'Medical Examinations'!A:D, 4, FALSE)</f>
        <v>Diabetes</v>
      </c>
    </row>
    <row r="473" spans="1:11" ht="15.5" x14ac:dyDescent="0.35">
      <c r="A473" s="1" t="s">
        <v>1900</v>
      </c>
      <c r="B473" t="str">
        <f>VLOOKUP($A473, 'Customer Names'!A:D, 3, FALSE)</f>
        <v>Raulli</v>
      </c>
      <c r="C473">
        <f>VLOOKUP($A473,'Medical Examinations'!A:C, 3, FALSE)</f>
        <v>24.42</v>
      </c>
      <c r="D473" t="str">
        <f>VLOOKUP($A473, 'Medical Examinations'!A:D, 4, FALSE)</f>
        <v>Diabetes</v>
      </c>
      <c r="E473" t="str">
        <f>VLOOKUP($A473, 'Medical Examinations'!A:F, 6, FALSE)</f>
        <v>No</v>
      </c>
      <c r="F473" t="str">
        <f>VLOOKUP($A473, 'Medical Examinations'!A:G, 7, FALSE)</f>
        <v>No</v>
      </c>
      <c r="G473" t="str">
        <f>VLOOKUP($A473, 'Medical Examinations'!A:H, 8, FALSE)</f>
        <v>No</v>
      </c>
      <c r="H473" t="str">
        <f>VLOOKUP($A473, 'Medical Examinations'!A:J, 10, FALSE)</f>
        <v>No major surgery</v>
      </c>
      <c r="I473" t="str">
        <f>VLOOKUP($A473, 'Medical Examinations'!A:K, 11, FALSE)</f>
        <v>yes</v>
      </c>
      <c r="J473" t="str">
        <f>VLOOKUP($A473, 'Medical Examinations'!A:B, 2, FALSE)</f>
        <v>Normal Weight</v>
      </c>
      <c r="K473" t="str">
        <f>VLOOKUP($A473, 'Medical Examinations'!A:D, 4, FALSE)</f>
        <v>Diabetes</v>
      </c>
    </row>
    <row r="474" spans="1:11" ht="15.5" x14ac:dyDescent="0.35">
      <c r="A474" s="1" t="s">
        <v>1899</v>
      </c>
      <c r="B474" t="str">
        <f>VLOOKUP($A474, 'Customer Names'!A:D, 3, FALSE)</f>
        <v>Frome</v>
      </c>
      <c r="C474">
        <f>VLOOKUP($A474,'Medical Examinations'!A:C, 3, FALSE)</f>
        <v>20.9</v>
      </c>
      <c r="D474" t="str">
        <f>VLOOKUP($A474, 'Medical Examinations'!A:D, 4, FALSE)</f>
        <v>Normal</v>
      </c>
      <c r="E474" t="str">
        <f>VLOOKUP($A474, 'Medical Examinations'!A:F, 6, FALSE)</f>
        <v>yes</v>
      </c>
      <c r="F474" t="str">
        <f>VLOOKUP($A474, 'Medical Examinations'!A:G, 7, FALSE)</f>
        <v>No</v>
      </c>
      <c r="G474" t="str">
        <f>VLOOKUP($A474, 'Medical Examinations'!A:H, 8, FALSE)</f>
        <v>Yes</v>
      </c>
      <c r="H474">
        <f>VLOOKUP($A474, 'Medical Examinations'!A:J, 10, FALSE)</f>
        <v>1</v>
      </c>
      <c r="I474" t="str">
        <f>VLOOKUP($A474, 'Medical Examinations'!A:K, 11, FALSE)</f>
        <v>yes</v>
      </c>
      <c r="J474" t="str">
        <f>VLOOKUP($A474, 'Medical Examinations'!A:B, 2, FALSE)</f>
        <v>Normal Weight</v>
      </c>
      <c r="K474" t="str">
        <f>VLOOKUP($A474, 'Medical Examinations'!A:D, 4, FALSE)</f>
        <v>Normal</v>
      </c>
    </row>
    <row r="475" spans="1:11" ht="15.5" x14ac:dyDescent="0.35">
      <c r="A475" s="1" t="s">
        <v>1898</v>
      </c>
      <c r="B475" t="str">
        <f>VLOOKUP($A475, 'Customer Names'!A:D, 3, FALSE)</f>
        <v>Sevcik</v>
      </c>
      <c r="C475">
        <f>VLOOKUP($A475,'Medical Examinations'!A:C, 3, FALSE)</f>
        <v>22.895</v>
      </c>
      <c r="D475" t="str">
        <f>VLOOKUP($A475, 'Medical Examinations'!A:D, 4, FALSE)</f>
        <v>Prediabetes</v>
      </c>
      <c r="E475" t="str">
        <f>VLOOKUP($A475, 'Medical Examinations'!A:F, 6, FALSE)</f>
        <v>No</v>
      </c>
      <c r="F475" t="str">
        <f>VLOOKUP($A475, 'Medical Examinations'!A:G, 7, FALSE)</f>
        <v>No</v>
      </c>
      <c r="G475" t="str">
        <f>VLOOKUP($A475, 'Medical Examinations'!A:H, 8, FALSE)</f>
        <v>No</v>
      </c>
      <c r="H475" t="str">
        <f>VLOOKUP($A475, 'Medical Examinations'!A:J, 10, FALSE)</f>
        <v>No major surgery</v>
      </c>
      <c r="I475" t="str">
        <f>VLOOKUP($A475, 'Medical Examinations'!A:K, 11, FALSE)</f>
        <v>yes</v>
      </c>
      <c r="J475" t="str">
        <f>VLOOKUP($A475, 'Medical Examinations'!A:B, 2, FALSE)</f>
        <v>Normal Weight</v>
      </c>
      <c r="K475" t="str">
        <f>VLOOKUP($A475, 'Medical Examinations'!A:D, 4, FALSE)</f>
        <v>Prediabetes</v>
      </c>
    </row>
    <row r="476" spans="1:11" ht="15.5" x14ac:dyDescent="0.35">
      <c r="A476" s="1" t="s">
        <v>1897</v>
      </c>
      <c r="B476" t="str">
        <f>VLOOKUP($A476, 'Customer Names'!A:D, 3, FALSE)</f>
        <v>Narang</v>
      </c>
      <c r="C476">
        <f>VLOOKUP($A476,'Medical Examinations'!A:C, 3, FALSE)</f>
        <v>28.3</v>
      </c>
      <c r="D476" t="str">
        <f>VLOOKUP($A476, 'Medical Examinations'!A:D, 4, FALSE)</f>
        <v>Normal</v>
      </c>
      <c r="E476" t="str">
        <f>VLOOKUP($A476, 'Medical Examinations'!A:F, 6, FALSE)</f>
        <v>yes</v>
      </c>
      <c r="F476" t="str">
        <f>VLOOKUP($A476, 'Medical Examinations'!A:G, 7, FALSE)</f>
        <v>No</v>
      </c>
      <c r="G476" t="str">
        <f>VLOOKUP($A476, 'Medical Examinations'!A:H, 8, FALSE)</f>
        <v>Yes</v>
      </c>
      <c r="H476">
        <f>VLOOKUP($A476, 'Medical Examinations'!A:J, 10, FALSE)</f>
        <v>1</v>
      </c>
      <c r="I476" t="str">
        <f>VLOOKUP($A476, 'Medical Examinations'!A:K, 11, FALSE)</f>
        <v>yes</v>
      </c>
      <c r="J476" t="str">
        <f>VLOOKUP($A476, 'Medical Examinations'!A:B, 2, FALSE)</f>
        <v>Overweight</v>
      </c>
      <c r="K476" t="str">
        <f>VLOOKUP($A476, 'Medical Examinations'!A:D, 4, FALSE)</f>
        <v>Normal</v>
      </c>
    </row>
    <row r="477" spans="1:11" ht="15.5" x14ac:dyDescent="0.35">
      <c r="A477" s="1" t="s">
        <v>1895</v>
      </c>
      <c r="B477" t="str">
        <f>VLOOKUP($A477, 'Customer Names'!A:D, 3, FALSE)</f>
        <v>Royston</v>
      </c>
      <c r="C477">
        <f>VLOOKUP($A477,'Medical Examinations'!A:C, 3, FALSE)</f>
        <v>54.3</v>
      </c>
      <c r="D477" t="str">
        <f>VLOOKUP($A477, 'Medical Examinations'!A:D, 4, FALSE)</f>
        <v>Normal</v>
      </c>
      <c r="E477" t="str">
        <f>VLOOKUP($A477, 'Medical Examinations'!A:F, 6, FALSE)</f>
        <v>yes</v>
      </c>
      <c r="F477" t="str">
        <f>VLOOKUP($A477, 'Medical Examinations'!A:G, 7, FALSE)</f>
        <v>No</v>
      </c>
      <c r="G477" t="str">
        <f>VLOOKUP($A477, 'Medical Examinations'!A:H, 8, FALSE)</f>
        <v>No</v>
      </c>
      <c r="H477">
        <f>VLOOKUP($A477, 'Medical Examinations'!A:J, 10, FALSE)</f>
        <v>1</v>
      </c>
      <c r="I477" t="str">
        <f>VLOOKUP($A477, 'Medical Examinations'!A:K, 11, FALSE)</f>
        <v>No</v>
      </c>
      <c r="J477" t="str">
        <f>VLOOKUP($A477, 'Medical Examinations'!A:B, 2, FALSE)</f>
        <v>Obesity</v>
      </c>
      <c r="K477" t="str">
        <f>VLOOKUP($A477, 'Medical Examinations'!A:D, 4, FALSE)</f>
        <v>Normal</v>
      </c>
    </row>
    <row r="478" spans="1:11" ht="15.5" x14ac:dyDescent="0.35">
      <c r="A478" s="1" t="s">
        <v>1894</v>
      </c>
      <c r="B478" t="str">
        <f>VLOOKUP($A478, 'Customer Names'!A:D, 3, FALSE)</f>
        <v>Tieri</v>
      </c>
      <c r="C478">
        <f>VLOOKUP($A478,'Medical Examinations'!A:C, 3, FALSE)</f>
        <v>33.344999999999999</v>
      </c>
      <c r="D478" t="str">
        <f>VLOOKUP($A478, 'Medical Examinations'!A:D, 4, FALSE)</f>
        <v>Diabetes</v>
      </c>
      <c r="E478" t="str">
        <f>VLOOKUP($A478, 'Medical Examinations'!A:F, 6, FALSE)</f>
        <v>yes</v>
      </c>
      <c r="F478" t="str">
        <f>VLOOKUP($A478, 'Medical Examinations'!A:G, 7, FALSE)</f>
        <v>No</v>
      </c>
      <c r="G478" t="str">
        <f>VLOOKUP($A478, 'Medical Examinations'!A:H, 8, FALSE)</f>
        <v>No</v>
      </c>
      <c r="H478">
        <f>VLOOKUP($A478, 'Medical Examinations'!A:J, 10, FALSE)</f>
        <v>1</v>
      </c>
      <c r="I478" t="str">
        <f>VLOOKUP($A478, 'Medical Examinations'!A:K, 11, FALSE)</f>
        <v>No</v>
      </c>
      <c r="J478" t="str">
        <f>VLOOKUP($A478, 'Medical Examinations'!A:B, 2, FALSE)</f>
        <v>Obesity</v>
      </c>
      <c r="K478" t="str">
        <f>VLOOKUP($A478, 'Medical Examinations'!A:D, 4, FALSE)</f>
        <v>Diabetes</v>
      </c>
    </row>
    <row r="479" spans="1:11" ht="15.5" x14ac:dyDescent="0.35">
      <c r="A479" s="1" t="s">
        <v>1893</v>
      </c>
      <c r="B479" t="str">
        <f>VLOOKUP($A479, 'Customer Names'!A:D, 3, FALSE)</f>
        <v>Whitney</v>
      </c>
      <c r="C479">
        <f>VLOOKUP($A479,'Medical Examinations'!A:C, 3, FALSE)</f>
        <v>33</v>
      </c>
      <c r="D479" t="str">
        <f>VLOOKUP($A479, 'Medical Examinations'!A:D, 4, FALSE)</f>
        <v>Diabetes</v>
      </c>
      <c r="E479" t="str">
        <f>VLOOKUP($A479, 'Medical Examinations'!A:F, 6, FALSE)</f>
        <v>yes</v>
      </c>
      <c r="F479" t="str">
        <f>VLOOKUP($A479, 'Medical Examinations'!A:G, 7, FALSE)</f>
        <v>No</v>
      </c>
      <c r="G479" t="str">
        <f>VLOOKUP($A479, 'Medical Examinations'!A:H, 8, FALSE)</f>
        <v>No</v>
      </c>
      <c r="H479" t="str">
        <f>VLOOKUP($A479, 'Medical Examinations'!A:J, 10, FALSE)</f>
        <v>No major surgery</v>
      </c>
      <c r="I479" t="str">
        <f>VLOOKUP($A479, 'Medical Examinations'!A:K, 11, FALSE)</f>
        <v>No</v>
      </c>
      <c r="J479" t="str">
        <f>VLOOKUP($A479, 'Medical Examinations'!A:B, 2, FALSE)</f>
        <v>Obesity</v>
      </c>
      <c r="K479" t="str">
        <f>VLOOKUP($A479, 'Medical Examinations'!A:D, 4, FALSE)</f>
        <v>Diabetes</v>
      </c>
    </row>
    <row r="480" spans="1:11" ht="15.5" x14ac:dyDescent="0.35">
      <c r="A480" s="1" t="s">
        <v>1892</v>
      </c>
      <c r="B480" t="str">
        <f>VLOOKUP($A480, 'Customer Names'!A:D, 3, FALSE)</f>
        <v>Wandzilak</v>
      </c>
      <c r="C480">
        <f>VLOOKUP($A480,'Medical Examinations'!A:C, 3, FALSE)</f>
        <v>28.024999999999999</v>
      </c>
      <c r="D480" t="str">
        <f>VLOOKUP($A480, 'Medical Examinations'!A:D, 4, FALSE)</f>
        <v>Diabetes</v>
      </c>
      <c r="E480" t="str">
        <f>VLOOKUP($A480, 'Medical Examinations'!A:F, 6, FALSE)</f>
        <v>yes</v>
      </c>
      <c r="F480" t="str">
        <f>VLOOKUP($A480, 'Medical Examinations'!A:G, 7, FALSE)</f>
        <v>No</v>
      </c>
      <c r="G480" t="str">
        <f>VLOOKUP($A480, 'Medical Examinations'!A:H, 8, FALSE)</f>
        <v>No</v>
      </c>
      <c r="H480">
        <f>VLOOKUP($A480, 'Medical Examinations'!A:J, 10, FALSE)</f>
        <v>1</v>
      </c>
      <c r="I480" t="str">
        <f>VLOOKUP($A480, 'Medical Examinations'!A:K, 11, FALSE)</f>
        <v>yes</v>
      </c>
      <c r="J480" t="str">
        <f>VLOOKUP($A480, 'Medical Examinations'!A:B, 2, FALSE)</f>
        <v>Overweight</v>
      </c>
      <c r="K480" t="str">
        <f>VLOOKUP($A480, 'Medical Examinations'!A:D, 4, FALSE)</f>
        <v>Diabetes</v>
      </c>
    </row>
    <row r="481" spans="1:11" ht="15.5" x14ac:dyDescent="0.35">
      <c r="A481" s="1" t="s">
        <v>1891</v>
      </c>
      <c r="B481" t="str">
        <f>VLOOKUP($A481, 'Customer Names'!A:D, 3, FALSE)</f>
        <v>Valenzona</v>
      </c>
      <c r="C481">
        <f>VLOOKUP($A481,'Medical Examinations'!A:C, 3, FALSE)</f>
        <v>28.69</v>
      </c>
      <c r="D481" t="str">
        <f>VLOOKUP($A481, 'Medical Examinations'!A:D, 4, FALSE)</f>
        <v>Prediabetes</v>
      </c>
      <c r="E481" t="str">
        <f>VLOOKUP($A481, 'Medical Examinations'!A:F, 6, FALSE)</f>
        <v>No</v>
      </c>
      <c r="F481" t="str">
        <f>VLOOKUP($A481, 'Medical Examinations'!A:G, 7, FALSE)</f>
        <v>No</v>
      </c>
      <c r="G481" t="str">
        <f>VLOOKUP($A481, 'Medical Examinations'!A:H, 8, FALSE)</f>
        <v>No</v>
      </c>
      <c r="H481">
        <f>VLOOKUP($A481, 'Medical Examinations'!A:J, 10, FALSE)</f>
        <v>1</v>
      </c>
      <c r="I481" t="str">
        <f>VLOOKUP($A481, 'Medical Examinations'!A:K, 11, FALSE)</f>
        <v>yes</v>
      </c>
      <c r="J481" t="str">
        <f>VLOOKUP($A481, 'Medical Examinations'!A:B, 2, FALSE)</f>
        <v>Overweight</v>
      </c>
      <c r="K481" t="str">
        <f>VLOOKUP($A481, 'Medical Examinations'!A:D, 4, FALSE)</f>
        <v>Prediabetes</v>
      </c>
    </row>
    <row r="482" spans="1:11" ht="15.5" x14ac:dyDescent="0.35">
      <c r="A482" s="1" t="s">
        <v>1890</v>
      </c>
      <c r="B482" t="str">
        <f>VLOOKUP($A482, 'Customer Names'!A:D, 3, FALSE)</f>
        <v>Young</v>
      </c>
      <c r="C482">
        <f>VLOOKUP($A482,'Medical Examinations'!A:C, 3, FALSE)</f>
        <v>40.28</v>
      </c>
      <c r="D482" t="str">
        <f>VLOOKUP($A482, 'Medical Examinations'!A:D, 4, FALSE)</f>
        <v>Diabetes</v>
      </c>
      <c r="E482" t="str">
        <f>VLOOKUP($A482, 'Medical Examinations'!A:F, 6, FALSE)</f>
        <v>No</v>
      </c>
      <c r="F482" t="str">
        <f>VLOOKUP($A482, 'Medical Examinations'!A:G, 7, FALSE)</f>
        <v>No</v>
      </c>
      <c r="G482" t="str">
        <f>VLOOKUP($A482, 'Medical Examinations'!A:H, 8, FALSE)</f>
        <v>No</v>
      </c>
      <c r="H482" t="str">
        <f>VLOOKUP($A482, 'Medical Examinations'!A:J, 10, FALSE)</f>
        <v>No major surgery</v>
      </c>
      <c r="I482" t="str">
        <f>VLOOKUP($A482, 'Medical Examinations'!A:K, 11, FALSE)</f>
        <v>No</v>
      </c>
      <c r="J482" t="str">
        <f>VLOOKUP($A482, 'Medical Examinations'!A:B, 2, FALSE)</f>
        <v>Obesity</v>
      </c>
      <c r="K482" t="str">
        <f>VLOOKUP($A482, 'Medical Examinations'!A:D, 4, FALSE)</f>
        <v>Diabetes</v>
      </c>
    </row>
    <row r="483" spans="1:11" ht="15.5" x14ac:dyDescent="0.35">
      <c r="A483" s="1" t="s">
        <v>1889</v>
      </c>
      <c r="B483" t="str">
        <f>VLOOKUP($A483, 'Customer Names'!A:D, 3, FALSE)</f>
        <v>Richards</v>
      </c>
      <c r="C483">
        <f>VLOOKUP($A483,'Medical Examinations'!A:C, 3, FALSE)</f>
        <v>37.299999999999997</v>
      </c>
      <c r="D483" t="str">
        <f>VLOOKUP($A483, 'Medical Examinations'!A:D, 4, FALSE)</f>
        <v>Diabetes</v>
      </c>
      <c r="E483" t="str">
        <f>VLOOKUP($A483, 'Medical Examinations'!A:F, 6, FALSE)</f>
        <v>yes</v>
      </c>
      <c r="F483" t="str">
        <f>VLOOKUP($A483, 'Medical Examinations'!A:G, 7, FALSE)</f>
        <v>No</v>
      </c>
      <c r="G483" t="str">
        <f>VLOOKUP($A483, 'Medical Examinations'!A:H, 8, FALSE)</f>
        <v>No</v>
      </c>
      <c r="H483" t="str">
        <f>VLOOKUP($A483, 'Medical Examinations'!A:J, 10, FALSE)</f>
        <v>No major surgery</v>
      </c>
      <c r="I483" t="str">
        <f>VLOOKUP($A483, 'Medical Examinations'!A:K, 11, FALSE)</f>
        <v>No</v>
      </c>
      <c r="J483" t="str">
        <f>VLOOKUP($A483, 'Medical Examinations'!A:B, 2, FALSE)</f>
        <v>Obesity</v>
      </c>
      <c r="K483" t="str">
        <f>VLOOKUP($A483, 'Medical Examinations'!A:D, 4, FALSE)</f>
        <v>Diabetes</v>
      </c>
    </row>
    <row r="484" spans="1:11" ht="15.5" x14ac:dyDescent="0.35">
      <c r="A484" s="1" t="s">
        <v>1888</v>
      </c>
      <c r="B484" t="str">
        <f>VLOOKUP($A484, 'Customer Names'!A:D, 3, FALSE)</f>
        <v>Alexson</v>
      </c>
      <c r="C484">
        <f>VLOOKUP($A484,'Medical Examinations'!A:C, 3, FALSE)</f>
        <v>54.47</v>
      </c>
      <c r="D484" t="str">
        <f>VLOOKUP($A484, 'Medical Examinations'!A:D, 4, FALSE)</f>
        <v>Normal</v>
      </c>
      <c r="E484" t="str">
        <f>VLOOKUP($A484, 'Medical Examinations'!A:F, 6, FALSE)</f>
        <v>yes</v>
      </c>
      <c r="F484" t="str">
        <f>VLOOKUP($A484, 'Medical Examinations'!A:G, 7, FALSE)</f>
        <v>No</v>
      </c>
      <c r="G484" t="str">
        <f>VLOOKUP($A484, 'Medical Examinations'!A:H, 8, FALSE)</f>
        <v>No</v>
      </c>
      <c r="H484">
        <f>VLOOKUP($A484, 'Medical Examinations'!A:J, 10, FALSE)</f>
        <v>2</v>
      </c>
      <c r="I484" t="str">
        <f>VLOOKUP($A484, 'Medical Examinations'!A:K, 11, FALSE)</f>
        <v>No</v>
      </c>
      <c r="J484" t="str">
        <f>VLOOKUP($A484, 'Medical Examinations'!A:B, 2, FALSE)</f>
        <v>Obesity</v>
      </c>
      <c r="K484" t="str">
        <f>VLOOKUP($A484, 'Medical Examinations'!A:D, 4, FALSE)</f>
        <v>Normal</v>
      </c>
    </row>
    <row r="485" spans="1:11" ht="15.5" x14ac:dyDescent="0.35">
      <c r="A485" s="1" t="s">
        <v>1887</v>
      </c>
      <c r="B485" t="str">
        <f>VLOOKUP($A485, 'Customer Names'!A:D, 3, FALSE)</f>
        <v>Wright</v>
      </c>
      <c r="C485">
        <f>VLOOKUP($A485,'Medical Examinations'!A:C, 3, FALSE)</f>
        <v>38.06</v>
      </c>
      <c r="D485" t="str">
        <f>VLOOKUP($A485, 'Medical Examinations'!A:D, 4, FALSE)</f>
        <v>Normal</v>
      </c>
      <c r="E485" t="str">
        <f>VLOOKUP($A485, 'Medical Examinations'!A:F, 6, FALSE)</f>
        <v>yes</v>
      </c>
      <c r="F485" t="str">
        <f>VLOOKUP($A485, 'Medical Examinations'!A:G, 7, FALSE)</f>
        <v>No</v>
      </c>
      <c r="G485" t="str">
        <f>VLOOKUP($A485, 'Medical Examinations'!A:H, 8, FALSE)</f>
        <v>Yes</v>
      </c>
      <c r="H485">
        <f>VLOOKUP($A485, 'Medical Examinations'!A:J, 10, FALSE)</f>
        <v>1</v>
      </c>
      <c r="I485" t="str">
        <f>VLOOKUP($A485, 'Medical Examinations'!A:K, 11, FALSE)</f>
        <v>No</v>
      </c>
      <c r="J485" t="str">
        <f>VLOOKUP($A485, 'Medical Examinations'!A:B, 2, FALSE)</f>
        <v>Obesity</v>
      </c>
      <c r="K485" t="str">
        <f>VLOOKUP($A485, 'Medical Examinations'!A:D, 4, FALSE)</f>
        <v>Normal</v>
      </c>
    </row>
    <row r="486" spans="1:11" ht="15.5" x14ac:dyDescent="0.35">
      <c r="A486" s="1" t="s">
        <v>1886</v>
      </c>
      <c r="B486" t="str">
        <f>VLOOKUP($A486, 'Customer Names'!A:D, 3, FALSE)</f>
        <v>McKenna</v>
      </c>
      <c r="C486">
        <f>VLOOKUP($A486,'Medical Examinations'!A:C, 3, FALSE)</f>
        <v>51.47</v>
      </c>
      <c r="D486" t="str">
        <f>VLOOKUP($A486, 'Medical Examinations'!A:D, 4, FALSE)</f>
        <v>Diabetes</v>
      </c>
      <c r="E486" t="str">
        <f>VLOOKUP($A486, 'Medical Examinations'!A:F, 6, FALSE)</f>
        <v>No</v>
      </c>
      <c r="F486" t="str">
        <f>VLOOKUP($A486, 'Medical Examinations'!A:G, 7, FALSE)</f>
        <v>No</v>
      </c>
      <c r="G486" t="str">
        <f>VLOOKUP($A486, 'Medical Examinations'!A:H, 8, FALSE)</f>
        <v>No</v>
      </c>
      <c r="H486" t="str">
        <f>VLOOKUP($A486, 'Medical Examinations'!A:J, 10, FALSE)</f>
        <v>No major surgery</v>
      </c>
      <c r="I486" t="str">
        <f>VLOOKUP($A486, 'Medical Examinations'!A:K, 11, FALSE)</f>
        <v>No</v>
      </c>
      <c r="J486" t="str">
        <f>VLOOKUP($A486, 'Medical Examinations'!A:B, 2, FALSE)</f>
        <v>Obesity</v>
      </c>
      <c r="K486" t="str">
        <f>VLOOKUP($A486, 'Medical Examinations'!A:D, 4, FALSE)</f>
        <v>Diabetes</v>
      </c>
    </row>
    <row r="487" spans="1:11" ht="15.5" x14ac:dyDescent="0.35">
      <c r="A487" s="1" t="s">
        <v>1885</v>
      </c>
      <c r="B487" t="str">
        <f>VLOOKUP($A487, 'Customer Names'!A:D, 3, FALSE)</f>
        <v>Sallade</v>
      </c>
      <c r="C487">
        <f>VLOOKUP($A487,'Medical Examinations'!A:C, 3, FALSE)</f>
        <v>29.8</v>
      </c>
      <c r="D487" t="str">
        <f>VLOOKUP($A487, 'Medical Examinations'!A:D, 4, FALSE)</f>
        <v>Prediabetes</v>
      </c>
      <c r="E487" t="str">
        <f>VLOOKUP($A487, 'Medical Examinations'!A:F, 6, FALSE)</f>
        <v>yes</v>
      </c>
      <c r="F487" t="str">
        <f>VLOOKUP($A487, 'Medical Examinations'!A:G, 7, FALSE)</f>
        <v>No</v>
      </c>
      <c r="G487" t="str">
        <f>VLOOKUP($A487, 'Medical Examinations'!A:H, 8, FALSE)</f>
        <v>No</v>
      </c>
      <c r="H487" t="str">
        <f>VLOOKUP($A487, 'Medical Examinations'!A:J, 10, FALSE)</f>
        <v>No major surgery</v>
      </c>
      <c r="I487" t="str">
        <f>VLOOKUP($A487, 'Medical Examinations'!A:K, 11, FALSE)</f>
        <v>No</v>
      </c>
      <c r="J487" t="str">
        <f>VLOOKUP($A487, 'Medical Examinations'!A:B, 2, FALSE)</f>
        <v>Overweight</v>
      </c>
      <c r="K487" t="str">
        <f>VLOOKUP($A487, 'Medical Examinations'!A:D, 4, FALSE)</f>
        <v>Prediabetes</v>
      </c>
    </row>
    <row r="488" spans="1:11" ht="15.5" x14ac:dyDescent="0.35">
      <c r="A488" s="1" t="s">
        <v>1884</v>
      </c>
      <c r="B488" t="str">
        <f>VLOOKUP($A488, 'Customer Names'!A:D, 3, FALSE)</f>
        <v>Argall</v>
      </c>
      <c r="C488">
        <f>VLOOKUP($A488,'Medical Examinations'!A:C, 3, FALSE)</f>
        <v>49.77</v>
      </c>
      <c r="D488" t="str">
        <f>VLOOKUP($A488, 'Medical Examinations'!A:D, 4, FALSE)</f>
        <v>Diabetes</v>
      </c>
      <c r="E488" t="str">
        <f>VLOOKUP($A488, 'Medical Examinations'!A:F, 6, FALSE)</f>
        <v>No</v>
      </c>
      <c r="F488" t="str">
        <f>VLOOKUP($A488, 'Medical Examinations'!A:G, 7, FALSE)</f>
        <v>No</v>
      </c>
      <c r="G488" t="str">
        <f>VLOOKUP($A488, 'Medical Examinations'!A:H, 8, FALSE)</f>
        <v>No</v>
      </c>
      <c r="H488" t="str">
        <f>VLOOKUP($A488, 'Medical Examinations'!A:J, 10, FALSE)</f>
        <v>No major surgery</v>
      </c>
      <c r="I488" t="str">
        <f>VLOOKUP($A488, 'Medical Examinations'!A:K, 11, FALSE)</f>
        <v>No</v>
      </c>
      <c r="J488" t="str">
        <f>VLOOKUP($A488, 'Medical Examinations'!A:B, 2, FALSE)</f>
        <v>Obesity</v>
      </c>
      <c r="K488" t="str">
        <f>VLOOKUP($A488, 'Medical Examinations'!A:D, 4, FALSE)</f>
        <v>Diabetes</v>
      </c>
    </row>
    <row r="489" spans="1:11" ht="15.5" x14ac:dyDescent="0.35">
      <c r="A489" s="1" t="s">
        <v>1883</v>
      </c>
      <c r="B489" t="str">
        <f>VLOOKUP($A489, 'Customer Names'!A:D, 3, FALSE)</f>
        <v>Patchell</v>
      </c>
      <c r="C489">
        <f>VLOOKUP($A489,'Medical Examinations'!A:C, 3, FALSE)</f>
        <v>25.555</v>
      </c>
      <c r="D489" t="str">
        <f>VLOOKUP($A489, 'Medical Examinations'!A:D, 4, FALSE)</f>
        <v>Normal</v>
      </c>
      <c r="E489" t="str">
        <f>VLOOKUP($A489, 'Medical Examinations'!A:F, 6, FALSE)</f>
        <v>yes</v>
      </c>
      <c r="F489" t="str">
        <f>VLOOKUP($A489, 'Medical Examinations'!A:G, 7, FALSE)</f>
        <v>No</v>
      </c>
      <c r="G489" t="str">
        <f>VLOOKUP($A489, 'Medical Examinations'!A:H, 8, FALSE)</f>
        <v>No</v>
      </c>
      <c r="H489" t="str">
        <f>VLOOKUP($A489, 'Medical Examinations'!A:J, 10, FALSE)</f>
        <v>No major surgery</v>
      </c>
      <c r="I489" t="str">
        <f>VLOOKUP($A489, 'Medical Examinations'!A:K, 11, FALSE)</f>
        <v>yes</v>
      </c>
      <c r="J489" t="str">
        <f>VLOOKUP($A489, 'Medical Examinations'!A:B, 2, FALSE)</f>
        <v>Overweight</v>
      </c>
      <c r="K489" t="str">
        <f>VLOOKUP($A489, 'Medical Examinations'!A:D, 4, FALSE)</f>
        <v>Normal</v>
      </c>
    </row>
    <row r="490" spans="1:11" ht="15.5" x14ac:dyDescent="0.35">
      <c r="A490" s="1" t="s">
        <v>1882</v>
      </c>
      <c r="B490" t="str">
        <f>VLOOKUP($A490, 'Customer Names'!A:D, 3, FALSE)</f>
        <v>Catoggio</v>
      </c>
      <c r="C490">
        <f>VLOOKUP($A490,'Medical Examinations'!A:C, 3, FALSE)</f>
        <v>29.64</v>
      </c>
      <c r="D490" t="str">
        <f>VLOOKUP($A490, 'Medical Examinations'!A:D, 4, FALSE)</f>
        <v>Normal</v>
      </c>
      <c r="E490" t="str">
        <f>VLOOKUP($A490, 'Medical Examinations'!A:F, 6, FALSE)</f>
        <v>No</v>
      </c>
      <c r="F490" t="str">
        <f>VLOOKUP($A490, 'Medical Examinations'!A:G, 7, FALSE)</f>
        <v>No</v>
      </c>
      <c r="G490" t="str">
        <f>VLOOKUP($A490, 'Medical Examinations'!A:H, 8, FALSE)</f>
        <v>Yes</v>
      </c>
      <c r="H490">
        <f>VLOOKUP($A490, 'Medical Examinations'!A:J, 10, FALSE)</f>
        <v>1</v>
      </c>
      <c r="I490" t="str">
        <f>VLOOKUP($A490, 'Medical Examinations'!A:K, 11, FALSE)</f>
        <v>No</v>
      </c>
      <c r="J490" t="str">
        <f>VLOOKUP($A490, 'Medical Examinations'!A:B, 2, FALSE)</f>
        <v>Overweight</v>
      </c>
      <c r="K490" t="str">
        <f>VLOOKUP($A490, 'Medical Examinations'!A:D, 4, FALSE)</f>
        <v>Normal</v>
      </c>
    </row>
    <row r="491" spans="1:11" ht="15.5" x14ac:dyDescent="0.35">
      <c r="A491" s="1" t="s">
        <v>1881</v>
      </c>
      <c r="B491" t="str">
        <f>VLOOKUP($A491, 'Customer Names'!A:D, 3, FALSE)</f>
        <v>Adams</v>
      </c>
      <c r="C491">
        <f>VLOOKUP($A491,'Medical Examinations'!A:C, 3, FALSE)</f>
        <v>53.93</v>
      </c>
      <c r="D491" t="str">
        <f>VLOOKUP($A491, 'Medical Examinations'!A:D, 4, FALSE)</f>
        <v>Normal</v>
      </c>
      <c r="E491" t="str">
        <f>VLOOKUP($A491, 'Medical Examinations'!A:F, 6, FALSE)</f>
        <v>yes</v>
      </c>
      <c r="F491" t="str">
        <f>VLOOKUP($A491, 'Medical Examinations'!A:G, 7, FALSE)</f>
        <v>No</v>
      </c>
      <c r="G491" t="str">
        <f>VLOOKUP($A491, 'Medical Examinations'!A:H, 8, FALSE)</f>
        <v>No</v>
      </c>
      <c r="H491">
        <f>VLOOKUP($A491, 'Medical Examinations'!A:J, 10, FALSE)</f>
        <v>2</v>
      </c>
      <c r="I491" t="str">
        <f>VLOOKUP($A491, 'Medical Examinations'!A:K, 11, FALSE)</f>
        <v>No</v>
      </c>
      <c r="J491" t="str">
        <f>VLOOKUP($A491, 'Medical Examinations'!A:B, 2, FALSE)</f>
        <v>Obesity</v>
      </c>
      <c r="K491" t="str">
        <f>VLOOKUP($A491, 'Medical Examinations'!A:D, 4, FALSE)</f>
        <v>Normal</v>
      </c>
    </row>
    <row r="492" spans="1:11" ht="15.5" x14ac:dyDescent="0.35">
      <c r="A492" s="1" t="s">
        <v>1880</v>
      </c>
      <c r="B492" t="str">
        <f>VLOOKUP($A492, 'Customer Names'!A:D, 3, FALSE)</f>
        <v>Windt</v>
      </c>
      <c r="C492">
        <f>VLOOKUP($A492,'Medical Examinations'!A:C, 3, FALSE)</f>
        <v>28.024999999999999</v>
      </c>
      <c r="D492" t="str">
        <f>VLOOKUP($A492, 'Medical Examinations'!A:D, 4, FALSE)</f>
        <v>Normal</v>
      </c>
      <c r="E492" t="str">
        <f>VLOOKUP($A492, 'Medical Examinations'!A:F, 6, FALSE)</f>
        <v>No</v>
      </c>
      <c r="F492" t="str">
        <f>VLOOKUP($A492, 'Medical Examinations'!A:G, 7, FALSE)</f>
        <v>No</v>
      </c>
      <c r="G492" t="str">
        <f>VLOOKUP($A492, 'Medical Examinations'!A:H, 8, FALSE)</f>
        <v>No</v>
      </c>
      <c r="H492">
        <f>VLOOKUP($A492, 'Medical Examinations'!A:J, 10, FALSE)</f>
        <v>1</v>
      </c>
      <c r="I492" t="str">
        <f>VLOOKUP($A492, 'Medical Examinations'!A:K, 11, FALSE)</f>
        <v>yes</v>
      </c>
      <c r="J492" t="str">
        <f>VLOOKUP($A492, 'Medical Examinations'!A:B, 2, FALSE)</f>
        <v>Overweight</v>
      </c>
      <c r="K492" t="str">
        <f>VLOOKUP($A492, 'Medical Examinations'!A:D, 4, FALSE)</f>
        <v>Normal</v>
      </c>
    </row>
    <row r="493" spans="1:11" ht="15.5" x14ac:dyDescent="0.35">
      <c r="A493" s="1" t="s">
        <v>1879</v>
      </c>
      <c r="B493" t="str">
        <f>VLOOKUP($A493, 'Customer Names'!A:D, 3, FALSE)</f>
        <v>Ryan</v>
      </c>
      <c r="C493">
        <f>VLOOKUP($A493,'Medical Examinations'!A:C, 3, FALSE)</f>
        <v>27.5</v>
      </c>
      <c r="D493" t="str">
        <f>VLOOKUP($A493, 'Medical Examinations'!A:D, 4, FALSE)</f>
        <v>Normal</v>
      </c>
      <c r="E493" t="str">
        <f>VLOOKUP($A493, 'Medical Examinations'!A:F, 6, FALSE)</f>
        <v>No</v>
      </c>
      <c r="F493" t="str">
        <f>VLOOKUP($A493, 'Medical Examinations'!A:G, 7, FALSE)</f>
        <v>No</v>
      </c>
      <c r="G493" t="str">
        <f>VLOOKUP($A493, 'Medical Examinations'!A:H, 8, FALSE)</f>
        <v>No</v>
      </c>
      <c r="H493" t="str">
        <f>VLOOKUP($A493, 'Medical Examinations'!A:J, 10, FALSE)</f>
        <v>No major surgery</v>
      </c>
      <c r="I493" t="str">
        <f>VLOOKUP($A493, 'Medical Examinations'!A:K, 11, FALSE)</f>
        <v>No</v>
      </c>
      <c r="J493" t="str">
        <f>VLOOKUP($A493, 'Medical Examinations'!A:B, 2, FALSE)</f>
        <v>Overweight</v>
      </c>
      <c r="K493" t="str">
        <f>VLOOKUP($A493, 'Medical Examinations'!A:D, 4, FALSE)</f>
        <v>Normal</v>
      </c>
    </row>
    <row r="494" spans="1:11" ht="15.5" x14ac:dyDescent="0.35">
      <c r="A494" s="1" t="s">
        <v>1878</v>
      </c>
      <c r="B494" t="str">
        <f>VLOOKUP($A494, 'Customer Names'!A:D, 3, FALSE)</f>
        <v>Marion</v>
      </c>
      <c r="C494">
        <f>VLOOKUP($A494,'Medical Examinations'!A:C, 3, FALSE)</f>
        <v>21.8</v>
      </c>
      <c r="D494" t="str">
        <f>VLOOKUP($A494, 'Medical Examinations'!A:D, 4, FALSE)</f>
        <v>Diabetes</v>
      </c>
      <c r="E494" t="str">
        <f>VLOOKUP($A494, 'Medical Examinations'!A:F, 6, FALSE)</f>
        <v>No</v>
      </c>
      <c r="F494" t="str">
        <f>VLOOKUP($A494, 'Medical Examinations'!A:G, 7, FALSE)</f>
        <v>No</v>
      </c>
      <c r="G494" t="str">
        <f>VLOOKUP($A494, 'Medical Examinations'!A:H, 8, FALSE)</f>
        <v>No</v>
      </c>
      <c r="H494" t="str">
        <f>VLOOKUP($A494, 'Medical Examinations'!A:J, 10, FALSE)</f>
        <v>No major surgery</v>
      </c>
      <c r="I494" t="str">
        <f>VLOOKUP($A494, 'Medical Examinations'!A:K, 11, FALSE)</f>
        <v>yes</v>
      </c>
      <c r="J494" t="str">
        <f>VLOOKUP($A494, 'Medical Examinations'!A:B, 2, FALSE)</f>
        <v>Normal Weight</v>
      </c>
      <c r="K494" t="str">
        <f>VLOOKUP($A494, 'Medical Examinations'!A:D, 4, FALSE)</f>
        <v>Diabetes</v>
      </c>
    </row>
    <row r="495" spans="1:11" ht="15.5" x14ac:dyDescent="0.35">
      <c r="A495" s="1" t="s">
        <v>1877</v>
      </c>
      <c r="B495" t="str">
        <f>VLOOKUP($A495, 'Customer Names'!A:D, 3, FALSE)</f>
        <v>Raffetto</v>
      </c>
      <c r="C495">
        <f>VLOOKUP($A495,'Medical Examinations'!A:C, 3, FALSE)</f>
        <v>26.41</v>
      </c>
      <c r="D495" t="str">
        <f>VLOOKUP($A495, 'Medical Examinations'!A:D, 4, FALSE)</f>
        <v>Normal</v>
      </c>
      <c r="E495" t="str">
        <f>VLOOKUP($A495, 'Medical Examinations'!A:F, 6, FALSE)</f>
        <v>yes</v>
      </c>
      <c r="F495" t="str">
        <f>VLOOKUP($A495, 'Medical Examinations'!A:G, 7, FALSE)</f>
        <v>No</v>
      </c>
      <c r="G495" t="str">
        <f>VLOOKUP($A495, 'Medical Examinations'!A:H, 8, FALSE)</f>
        <v>Yes</v>
      </c>
      <c r="H495">
        <f>VLOOKUP($A495, 'Medical Examinations'!A:J, 10, FALSE)</f>
        <v>1</v>
      </c>
      <c r="I495" t="str">
        <f>VLOOKUP($A495, 'Medical Examinations'!A:K, 11, FALSE)</f>
        <v>yes</v>
      </c>
      <c r="J495" t="str">
        <f>VLOOKUP($A495, 'Medical Examinations'!A:B, 2, FALSE)</f>
        <v>Overweight</v>
      </c>
      <c r="K495" t="str">
        <f>VLOOKUP($A495, 'Medical Examinations'!A:D, 4, FALSE)</f>
        <v>Normal</v>
      </c>
    </row>
    <row r="496" spans="1:11" ht="15.5" x14ac:dyDescent="0.35">
      <c r="A496" s="1" t="s">
        <v>1876</v>
      </c>
      <c r="B496" t="str">
        <f>VLOOKUP($A496, 'Customer Names'!A:D, 3, FALSE)</f>
        <v>Young</v>
      </c>
      <c r="C496">
        <f>VLOOKUP($A496,'Medical Examinations'!A:C, 3, FALSE)</f>
        <v>27.835000000000001</v>
      </c>
      <c r="D496" t="str">
        <f>VLOOKUP($A496, 'Medical Examinations'!A:D, 4, FALSE)</f>
        <v>Prediabetes</v>
      </c>
      <c r="E496" t="str">
        <f>VLOOKUP($A496, 'Medical Examinations'!A:F, 6, FALSE)</f>
        <v>yes</v>
      </c>
      <c r="F496" t="str">
        <f>VLOOKUP($A496, 'Medical Examinations'!A:G, 7, FALSE)</f>
        <v>No</v>
      </c>
      <c r="G496" t="str">
        <f>VLOOKUP($A496, 'Medical Examinations'!A:H, 8, FALSE)</f>
        <v>No</v>
      </c>
      <c r="H496">
        <f>VLOOKUP($A496, 'Medical Examinations'!A:J, 10, FALSE)</f>
        <v>1</v>
      </c>
      <c r="I496" t="str">
        <f>VLOOKUP($A496, 'Medical Examinations'!A:K, 11, FALSE)</f>
        <v>yes</v>
      </c>
      <c r="J496" t="str">
        <f>VLOOKUP($A496, 'Medical Examinations'!A:B, 2, FALSE)</f>
        <v>Overweight</v>
      </c>
      <c r="K496" t="str">
        <f>VLOOKUP($A496, 'Medical Examinations'!A:D, 4, FALSE)</f>
        <v>Prediabetes</v>
      </c>
    </row>
    <row r="497" spans="1:11" ht="15.5" x14ac:dyDescent="0.35">
      <c r="A497" s="1" t="s">
        <v>1875</v>
      </c>
      <c r="B497" t="str">
        <f>VLOOKUP($A497, 'Customer Names'!A:D, 3, FALSE)</f>
        <v>Oehlke</v>
      </c>
      <c r="C497">
        <f>VLOOKUP($A497,'Medical Examinations'!A:C, 3, FALSE)</f>
        <v>51.74</v>
      </c>
      <c r="D497" t="str">
        <f>VLOOKUP($A497, 'Medical Examinations'!A:D, 4, FALSE)</f>
        <v>Normal</v>
      </c>
      <c r="E497" t="str">
        <f>VLOOKUP($A497, 'Medical Examinations'!A:F, 6, FALSE)</f>
        <v>yes</v>
      </c>
      <c r="F497" t="str">
        <f>VLOOKUP($A497, 'Medical Examinations'!A:G, 7, FALSE)</f>
        <v>No</v>
      </c>
      <c r="G497" t="str">
        <f>VLOOKUP($A497, 'Medical Examinations'!A:H, 8, FALSE)</f>
        <v>No</v>
      </c>
      <c r="H497">
        <f>VLOOKUP($A497, 'Medical Examinations'!A:J, 10, FALSE)</f>
        <v>2</v>
      </c>
      <c r="I497" t="str">
        <f>VLOOKUP($A497, 'Medical Examinations'!A:K, 11, FALSE)</f>
        <v>No</v>
      </c>
      <c r="J497" t="str">
        <f>VLOOKUP($A497, 'Medical Examinations'!A:B, 2, FALSE)</f>
        <v>Obesity</v>
      </c>
      <c r="K497" t="str">
        <f>VLOOKUP($A497, 'Medical Examinations'!A:D, 4, FALSE)</f>
        <v>Normal</v>
      </c>
    </row>
    <row r="498" spans="1:11" ht="15.5" x14ac:dyDescent="0.35">
      <c r="A498" s="1" t="s">
        <v>1874</v>
      </c>
      <c r="B498" t="str">
        <f>VLOOKUP($A498, 'Customer Names'!A:D, 3, FALSE)</f>
        <v>Sudol</v>
      </c>
      <c r="C498">
        <f>VLOOKUP($A498,'Medical Examinations'!A:C, 3, FALSE)</f>
        <v>23.37</v>
      </c>
      <c r="D498" t="str">
        <f>VLOOKUP($A498, 'Medical Examinations'!A:D, 4, FALSE)</f>
        <v>Prediabetes</v>
      </c>
      <c r="E498" t="str">
        <f>VLOOKUP($A498, 'Medical Examinations'!A:F, 6, FALSE)</f>
        <v>No</v>
      </c>
      <c r="F498" t="str">
        <f>VLOOKUP($A498, 'Medical Examinations'!A:G, 7, FALSE)</f>
        <v>No</v>
      </c>
      <c r="G498" t="str">
        <f>VLOOKUP($A498, 'Medical Examinations'!A:H, 8, FALSE)</f>
        <v>No</v>
      </c>
      <c r="H498" t="str">
        <f>VLOOKUP($A498, 'Medical Examinations'!A:J, 10, FALSE)</f>
        <v>No major surgery</v>
      </c>
      <c r="I498" t="str">
        <f>VLOOKUP($A498, 'Medical Examinations'!A:K, 11, FALSE)</f>
        <v>yes</v>
      </c>
      <c r="J498" t="str">
        <f>VLOOKUP($A498, 'Medical Examinations'!A:B, 2, FALSE)</f>
        <v>Normal Weight</v>
      </c>
      <c r="K498" t="str">
        <f>VLOOKUP($A498, 'Medical Examinations'!A:D, 4, FALSE)</f>
        <v>Prediabetes</v>
      </c>
    </row>
    <row r="499" spans="1:11" ht="15.5" x14ac:dyDescent="0.35">
      <c r="A499" s="1" t="s">
        <v>1873</v>
      </c>
      <c r="B499" t="str">
        <f>VLOOKUP($A499, 'Customer Names'!A:D, 3, FALSE)</f>
        <v>Van Es</v>
      </c>
      <c r="C499">
        <f>VLOOKUP($A499,'Medical Examinations'!A:C, 3, FALSE)</f>
        <v>29.7</v>
      </c>
      <c r="D499" t="str">
        <f>VLOOKUP($A499, 'Medical Examinations'!A:D, 4, FALSE)</f>
        <v>Prediabetes</v>
      </c>
      <c r="E499" t="str">
        <f>VLOOKUP($A499, 'Medical Examinations'!A:F, 6, FALSE)</f>
        <v>yes</v>
      </c>
      <c r="F499" t="str">
        <f>VLOOKUP($A499, 'Medical Examinations'!A:G, 7, FALSE)</f>
        <v>No</v>
      </c>
      <c r="G499" t="str">
        <f>VLOOKUP($A499, 'Medical Examinations'!A:H, 8, FALSE)</f>
        <v>Yes</v>
      </c>
      <c r="H499">
        <f>VLOOKUP($A499, 'Medical Examinations'!A:J, 10, FALSE)</f>
        <v>1</v>
      </c>
      <c r="I499" t="str">
        <f>VLOOKUP($A499, 'Medical Examinations'!A:K, 11, FALSE)</f>
        <v>yes</v>
      </c>
      <c r="J499" t="str">
        <f>VLOOKUP($A499, 'Medical Examinations'!A:B, 2, FALSE)</f>
        <v>Overweight</v>
      </c>
      <c r="K499" t="str">
        <f>VLOOKUP($A499, 'Medical Examinations'!A:D, 4, FALSE)</f>
        <v>Prediabetes</v>
      </c>
    </row>
    <row r="500" spans="1:11" ht="15.5" x14ac:dyDescent="0.35">
      <c r="A500" s="1" t="s">
        <v>1872</v>
      </c>
      <c r="B500" t="str">
        <f>VLOOKUP($A500, 'Customer Names'!A:D, 3, FALSE)</f>
        <v>Dolge</v>
      </c>
      <c r="C500">
        <f>VLOOKUP($A500,'Medical Examinations'!A:C, 3, FALSE)</f>
        <v>20.045000000000002</v>
      </c>
      <c r="D500" t="str">
        <f>VLOOKUP($A500, 'Medical Examinations'!A:D, 4, FALSE)</f>
        <v>Prediabetes</v>
      </c>
      <c r="E500" t="str">
        <f>VLOOKUP($A500, 'Medical Examinations'!A:F, 6, FALSE)</f>
        <v>No</v>
      </c>
      <c r="F500" t="str">
        <f>VLOOKUP($A500, 'Medical Examinations'!A:G, 7, FALSE)</f>
        <v>No</v>
      </c>
      <c r="G500" t="str">
        <f>VLOOKUP($A500, 'Medical Examinations'!A:H, 8, FALSE)</f>
        <v>Yes</v>
      </c>
      <c r="H500">
        <f>VLOOKUP($A500, 'Medical Examinations'!A:J, 10, FALSE)</f>
        <v>1</v>
      </c>
      <c r="I500" t="str">
        <f>VLOOKUP($A500, 'Medical Examinations'!A:K, 11, FALSE)</f>
        <v>yes</v>
      </c>
      <c r="J500" t="str">
        <f>VLOOKUP($A500, 'Medical Examinations'!A:B, 2, FALSE)</f>
        <v>Normal Weight</v>
      </c>
      <c r="K500" t="str">
        <f>VLOOKUP($A500, 'Medical Examinations'!A:D, 4, FALSE)</f>
        <v>Prediabetes</v>
      </c>
    </row>
    <row r="501" spans="1:11" ht="15.5" x14ac:dyDescent="0.35">
      <c r="A501" s="1" t="s">
        <v>1871</v>
      </c>
      <c r="B501" t="str">
        <f>VLOOKUP($A501, 'Customer Names'!A:D, 3, FALSE)</f>
        <v>Marlier</v>
      </c>
      <c r="C501">
        <f>VLOOKUP($A501,'Medical Examinations'!A:C, 3, FALSE)</f>
        <v>27.83</v>
      </c>
      <c r="D501" t="str">
        <f>VLOOKUP($A501, 'Medical Examinations'!A:D, 4, FALSE)</f>
        <v>Normal</v>
      </c>
      <c r="E501" t="str">
        <f>VLOOKUP($A501, 'Medical Examinations'!A:F, 6, FALSE)</f>
        <v>No</v>
      </c>
      <c r="F501" t="str">
        <f>VLOOKUP($A501, 'Medical Examinations'!A:G, 7, FALSE)</f>
        <v>No</v>
      </c>
      <c r="G501" t="str">
        <f>VLOOKUP($A501, 'Medical Examinations'!A:H, 8, FALSE)</f>
        <v>No</v>
      </c>
      <c r="H501">
        <f>VLOOKUP($A501, 'Medical Examinations'!A:J, 10, FALSE)</f>
        <v>2</v>
      </c>
      <c r="I501" t="str">
        <f>VLOOKUP($A501, 'Medical Examinations'!A:K, 11, FALSE)</f>
        <v>No</v>
      </c>
      <c r="J501" t="str">
        <f>VLOOKUP($A501, 'Medical Examinations'!A:B, 2, FALSE)</f>
        <v>Overweight</v>
      </c>
      <c r="K501" t="str">
        <f>VLOOKUP($A501, 'Medical Examinations'!A:D, 4, FALSE)</f>
        <v>Normal</v>
      </c>
    </row>
    <row r="502" spans="1:11" ht="15.5" x14ac:dyDescent="0.35">
      <c r="A502" s="1" t="s">
        <v>1870</v>
      </c>
      <c r="B502" t="str">
        <f>VLOOKUP($A502, 'Customer Names'!A:D, 3, FALSE)</f>
        <v>Girard</v>
      </c>
      <c r="C502">
        <f>VLOOKUP($A502,'Medical Examinations'!A:C, 3, FALSE)</f>
        <v>28.93</v>
      </c>
      <c r="D502" t="str">
        <f>VLOOKUP($A502, 'Medical Examinations'!A:D, 4, FALSE)</f>
        <v>Normal</v>
      </c>
      <c r="E502" t="str">
        <f>VLOOKUP($A502, 'Medical Examinations'!A:F, 6, FALSE)</f>
        <v>No</v>
      </c>
      <c r="F502" t="str">
        <f>VLOOKUP($A502, 'Medical Examinations'!A:G, 7, FALSE)</f>
        <v>No</v>
      </c>
      <c r="G502" t="str">
        <f>VLOOKUP($A502, 'Medical Examinations'!A:H, 8, FALSE)</f>
        <v>No</v>
      </c>
      <c r="H502" t="str">
        <f>VLOOKUP($A502, 'Medical Examinations'!A:J, 10, FALSE)</f>
        <v>No major surgery</v>
      </c>
      <c r="I502" t="str">
        <f>VLOOKUP($A502, 'Medical Examinations'!A:K, 11, FALSE)</f>
        <v>yes</v>
      </c>
      <c r="J502" t="str">
        <f>VLOOKUP($A502, 'Medical Examinations'!A:B, 2, FALSE)</f>
        <v>Overweight</v>
      </c>
      <c r="K502" t="str">
        <f>VLOOKUP($A502, 'Medical Examinations'!A:D, 4, FALSE)</f>
        <v>Normal</v>
      </c>
    </row>
    <row r="503" spans="1:11" ht="15.5" x14ac:dyDescent="0.35">
      <c r="A503" s="1" t="s">
        <v>1869</v>
      </c>
      <c r="B503" t="str">
        <f>VLOOKUP($A503, 'Customer Names'!A:D, 3, FALSE)</f>
        <v>Lee</v>
      </c>
      <c r="C503">
        <f>VLOOKUP($A503,'Medical Examinations'!A:C, 3, FALSE)</f>
        <v>33.82</v>
      </c>
      <c r="D503" t="str">
        <f>VLOOKUP($A503, 'Medical Examinations'!A:D, 4, FALSE)</f>
        <v>Normal</v>
      </c>
      <c r="E503" t="str">
        <f>VLOOKUP($A503, 'Medical Examinations'!A:F, 6, FALSE)</f>
        <v>No</v>
      </c>
      <c r="F503" t="str">
        <f>VLOOKUP($A503, 'Medical Examinations'!A:G, 7, FALSE)</f>
        <v>No</v>
      </c>
      <c r="G503" t="str">
        <f>VLOOKUP($A503, 'Medical Examinations'!A:H, 8, FALSE)</f>
        <v>No</v>
      </c>
      <c r="H503" t="str">
        <f>VLOOKUP($A503, 'Medical Examinations'!A:J, 10, FALSE)</f>
        <v>No major surgery</v>
      </c>
      <c r="I503" t="str">
        <f>VLOOKUP($A503, 'Medical Examinations'!A:K, 11, FALSE)</f>
        <v>No</v>
      </c>
      <c r="J503" t="str">
        <f>VLOOKUP($A503, 'Medical Examinations'!A:B, 2, FALSE)</f>
        <v>Obesity</v>
      </c>
      <c r="K503" t="str">
        <f>VLOOKUP($A503, 'Medical Examinations'!A:D, 4, FALSE)</f>
        <v>Normal</v>
      </c>
    </row>
    <row r="504" spans="1:11" ht="15.5" x14ac:dyDescent="0.35">
      <c r="A504" s="1" t="s">
        <v>1868</v>
      </c>
      <c r="B504" t="str">
        <f>VLOOKUP($A504, 'Customer Names'!A:D, 3, FALSE)</f>
        <v>Hubbard</v>
      </c>
      <c r="C504">
        <f>VLOOKUP($A504,'Medical Examinations'!A:C, 3, FALSE)</f>
        <v>20.234999999999999</v>
      </c>
      <c r="D504" t="str">
        <f>VLOOKUP($A504, 'Medical Examinations'!A:D, 4, FALSE)</f>
        <v>Diabetes</v>
      </c>
      <c r="E504" t="str">
        <f>VLOOKUP($A504, 'Medical Examinations'!A:F, 6, FALSE)</f>
        <v>No</v>
      </c>
      <c r="F504" t="str">
        <f>VLOOKUP($A504, 'Medical Examinations'!A:G, 7, FALSE)</f>
        <v>No</v>
      </c>
      <c r="G504" t="str">
        <f>VLOOKUP($A504, 'Medical Examinations'!A:H, 8, FALSE)</f>
        <v>No</v>
      </c>
      <c r="H504" t="str">
        <f>VLOOKUP($A504, 'Medical Examinations'!A:J, 10, FALSE)</f>
        <v>No major surgery</v>
      </c>
      <c r="I504" t="str">
        <f>VLOOKUP($A504, 'Medical Examinations'!A:K, 11, FALSE)</f>
        <v>yes</v>
      </c>
      <c r="J504" t="str">
        <f>VLOOKUP($A504, 'Medical Examinations'!A:B, 2, FALSE)</f>
        <v>Normal Weight</v>
      </c>
      <c r="K504" t="str">
        <f>VLOOKUP($A504, 'Medical Examinations'!A:D, 4, FALSE)</f>
        <v>Diabetes</v>
      </c>
    </row>
    <row r="505" spans="1:11" ht="15.5" x14ac:dyDescent="0.35">
      <c r="A505" s="1" t="s">
        <v>1867</v>
      </c>
      <c r="B505" t="str">
        <f>VLOOKUP($A505, 'Customer Names'!A:D, 3, FALSE)</f>
        <v>Koester</v>
      </c>
      <c r="C505">
        <f>VLOOKUP($A505,'Medical Examinations'!A:C, 3, FALSE)</f>
        <v>49.2</v>
      </c>
      <c r="D505" t="str">
        <f>VLOOKUP($A505, 'Medical Examinations'!A:D, 4, FALSE)</f>
        <v>Diabetes</v>
      </c>
      <c r="E505" t="str">
        <f>VLOOKUP($A505, 'Medical Examinations'!A:F, 6, FALSE)</f>
        <v>yes</v>
      </c>
      <c r="F505" t="str">
        <f>VLOOKUP($A505, 'Medical Examinations'!A:G, 7, FALSE)</f>
        <v>No</v>
      </c>
      <c r="G505" t="str">
        <f>VLOOKUP($A505, 'Medical Examinations'!A:H, 8, FALSE)</f>
        <v>Yes</v>
      </c>
      <c r="H505">
        <f>VLOOKUP($A505, 'Medical Examinations'!A:J, 10, FALSE)</f>
        <v>1</v>
      </c>
      <c r="I505" t="str">
        <f>VLOOKUP($A505, 'Medical Examinations'!A:K, 11, FALSE)</f>
        <v>No</v>
      </c>
      <c r="J505" t="str">
        <f>VLOOKUP($A505, 'Medical Examinations'!A:B, 2, FALSE)</f>
        <v>Obesity</v>
      </c>
      <c r="K505" t="str">
        <f>VLOOKUP($A505, 'Medical Examinations'!A:D, 4, FALSE)</f>
        <v>Diabetes</v>
      </c>
    </row>
    <row r="506" spans="1:11" ht="15.5" x14ac:dyDescent="0.35">
      <c r="A506" s="1" t="s">
        <v>1866</v>
      </c>
      <c r="B506" t="str">
        <f>VLOOKUP($A506, 'Customer Names'!A:D, 3, FALSE)</f>
        <v>Matthews</v>
      </c>
      <c r="C506">
        <f>VLOOKUP($A506,'Medical Examinations'!A:C, 3, FALSE)</f>
        <v>26.4</v>
      </c>
      <c r="D506" t="str">
        <f>VLOOKUP($A506, 'Medical Examinations'!A:D, 4, FALSE)</f>
        <v>Normal</v>
      </c>
      <c r="E506" t="str">
        <f>VLOOKUP($A506, 'Medical Examinations'!A:F, 6, FALSE)</f>
        <v>yes</v>
      </c>
      <c r="F506" t="str">
        <f>VLOOKUP($A506, 'Medical Examinations'!A:G, 7, FALSE)</f>
        <v>No</v>
      </c>
      <c r="G506" t="str">
        <f>VLOOKUP($A506, 'Medical Examinations'!A:H, 8, FALSE)</f>
        <v>No</v>
      </c>
      <c r="H506" t="str">
        <f>VLOOKUP($A506, 'Medical Examinations'!A:J, 10, FALSE)</f>
        <v>No major surgery</v>
      </c>
      <c r="I506" t="str">
        <f>VLOOKUP($A506, 'Medical Examinations'!A:K, 11, FALSE)</f>
        <v>yes</v>
      </c>
      <c r="J506" t="str">
        <f>VLOOKUP($A506, 'Medical Examinations'!A:B, 2, FALSE)</f>
        <v>Overweight</v>
      </c>
      <c r="K506" t="str">
        <f>VLOOKUP($A506, 'Medical Examinations'!A:D, 4, FALSE)</f>
        <v>Normal</v>
      </c>
    </row>
    <row r="507" spans="1:11" ht="15.5" x14ac:dyDescent="0.35">
      <c r="A507" s="1" t="s">
        <v>1865</v>
      </c>
      <c r="B507" t="str">
        <f>VLOOKUP($A507, 'Customer Names'!A:D, 3, FALSE)</f>
        <v>Rubinich</v>
      </c>
      <c r="C507">
        <f>VLOOKUP($A507,'Medical Examinations'!A:C, 3, FALSE)</f>
        <v>28.38</v>
      </c>
      <c r="D507" t="str">
        <f>VLOOKUP($A507, 'Medical Examinations'!A:D, 4, FALSE)</f>
        <v>Prediabetes</v>
      </c>
      <c r="E507" t="str">
        <f>VLOOKUP($A507, 'Medical Examinations'!A:F, 6, FALSE)</f>
        <v>No</v>
      </c>
      <c r="F507" t="str">
        <f>VLOOKUP($A507, 'Medical Examinations'!A:G, 7, FALSE)</f>
        <v>No</v>
      </c>
      <c r="G507" t="str">
        <f>VLOOKUP($A507, 'Medical Examinations'!A:H, 8, FALSE)</f>
        <v>No</v>
      </c>
      <c r="H507">
        <f>VLOOKUP($A507, 'Medical Examinations'!A:J, 10, FALSE)</f>
        <v>1</v>
      </c>
      <c r="I507" t="str">
        <f>VLOOKUP($A507, 'Medical Examinations'!A:K, 11, FALSE)</f>
        <v>yes</v>
      </c>
      <c r="J507" t="str">
        <f>VLOOKUP($A507, 'Medical Examinations'!A:B, 2, FALSE)</f>
        <v>Overweight</v>
      </c>
      <c r="K507" t="str">
        <f>VLOOKUP($A507, 'Medical Examinations'!A:D, 4, FALSE)</f>
        <v>Prediabetes</v>
      </c>
    </row>
    <row r="508" spans="1:11" ht="15.5" x14ac:dyDescent="0.35">
      <c r="A508" s="1" t="s">
        <v>1864</v>
      </c>
      <c r="B508" t="str">
        <f>VLOOKUP($A508, 'Customer Names'!A:D, 3, FALSE)</f>
        <v>Alban</v>
      </c>
      <c r="C508">
        <f>VLOOKUP($A508,'Medical Examinations'!A:C, 3, FALSE)</f>
        <v>24.64</v>
      </c>
      <c r="D508" t="str">
        <f>VLOOKUP($A508, 'Medical Examinations'!A:D, 4, FALSE)</f>
        <v>Normal</v>
      </c>
      <c r="E508" t="str">
        <f>VLOOKUP($A508, 'Medical Examinations'!A:F, 6, FALSE)</f>
        <v>No</v>
      </c>
      <c r="F508" t="str">
        <f>VLOOKUP($A508, 'Medical Examinations'!A:G, 7, FALSE)</f>
        <v>No</v>
      </c>
      <c r="G508" t="str">
        <f>VLOOKUP($A508, 'Medical Examinations'!A:H, 8, FALSE)</f>
        <v>No</v>
      </c>
      <c r="H508" t="str">
        <f>VLOOKUP($A508, 'Medical Examinations'!A:J, 10, FALSE)</f>
        <v>No major surgery</v>
      </c>
      <c r="I508" t="str">
        <f>VLOOKUP($A508, 'Medical Examinations'!A:K, 11, FALSE)</f>
        <v>yes</v>
      </c>
      <c r="J508" t="str">
        <f>VLOOKUP($A508, 'Medical Examinations'!A:B, 2, FALSE)</f>
        <v>Normal Weight</v>
      </c>
      <c r="K508" t="str">
        <f>VLOOKUP($A508, 'Medical Examinations'!A:D, 4, FALSE)</f>
        <v>Normal</v>
      </c>
    </row>
    <row r="509" spans="1:11" ht="15.5" x14ac:dyDescent="0.35">
      <c r="A509" s="1" t="s">
        <v>1863</v>
      </c>
      <c r="B509" t="str">
        <f>VLOOKUP($A509, 'Customer Names'!A:D, 3, FALSE)</f>
        <v>Corcoran</v>
      </c>
      <c r="C509">
        <f>VLOOKUP($A509,'Medical Examinations'!A:C, 3, FALSE)</f>
        <v>39.71</v>
      </c>
      <c r="D509" t="str">
        <f>VLOOKUP($A509, 'Medical Examinations'!A:D, 4, FALSE)</f>
        <v>Prediabetes</v>
      </c>
      <c r="E509" t="str">
        <f>VLOOKUP($A509, 'Medical Examinations'!A:F, 6, FALSE)</f>
        <v>No</v>
      </c>
      <c r="F509" t="str">
        <f>VLOOKUP($A509, 'Medical Examinations'!A:G, 7, FALSE)</f>
        <v>No</v>
      </c>
      <c r="G509" t="str">
        <f>VLOOKUP($A509, 'Medical Examinations'!A:H, 8, FALSE)</f>
        <v>No</v>
      </c>
      <c r="H509">
        <f>VLOOKUP($A509, 'Medical Examinations'!A:J, 10, FALSE)</f>
        <v>1</v>
      </c>
      <c r="I509" t="str">
        <f>VLOOKUP($A509, 'Medical Examinations'!A:K, 11, FALSE)</f>
        <v>No</v>
      </c>
      <c r="J509" t="str">
        <f>VLOOKUP($A509, 'Medical Examinations'!A:B, 2, FALSE)</f>
        <v>Obesity</v>
      </c>
      <c r="K509" t="str">
        <f>VLOOKUP($A509, 'Medical Examinations'!A:D, 4, FALSE)</f>
        <v>Prediabetes</v>
      </c>
    </row>
    <row r="510" spans="1:11" ht="15.5" x14ac:dyDescent="0.35">
      <c r="A510" s="1" t="s">
        <v>1862</v>
      </c>
      <c r="B510" t="str">
        <f>VLOOKUP($A510, 'Customer Names'!A:D, 3, FALSE)</f>
        <v>Sargent</v>
      </c>
      <c r="C510">
        <f>VLOOKUP($A510,'Medical Examinations'!A:C, 3, FALSE)</f>
        <v>22.22</v>
      </c>
      <c r="D510" t="str">
        <f>VLOOKUP($A510, 'Medical Examinations'!A:D, 4, FALSE)</f>
        <v>Normal</v>
      </c>
      <c r="E510" t="str">
        <f>VLOOKUP($A510, 'Medical Examinations'!A:F, 6, FALSE)</f>
        <v>No</v>
      </c>
      <c r="F510" t="str">
        <f>VLOOKUP($A510, 'Medical Examinations'!A:G, 7, FALSE)</f>
        <v>No</v>
      </c>
      <c r="G510" t="str">
        <f>VLOOKUP($A510, 'Medical Examinations'!A:H, 8, FALSE)</f>
        <v>No</v>
      </c>
      <c r="H510" t="str">
        <f>VLOOKUP($A510, 'Medical Examinations'!A:J, 10, FALSE)</f>
        <v>No major surgery</v>
      </c>
      <c r="I510" t="str">
        <f>VLOOKUP($A510, 'Medical Examinations'!A:K, 11, FALSE)</f>
        <v>yes</v>
      </c>
      <c r="J510" t="str">
        <f>VLOOKUP($A510, 'Medical Examinations'!A:B, 2, FALSE)</f>
        <v>Normal Weight</v>
      </c>
      <c r="K510" t="str">
        <f>VLOOKUP($A510, 'Medical Examinations'!A:D, 4, FALSE)</f>
        <v>Normal</v>
      </c>
    </row>
    <row r="511" spans="1:11" ht="15.5" x14ac:dyDescent="0.35">
      <c r="A511" s="1" t="s">
        <v>1861</v>
      </c>
      <c r="B511" t="str">
        <f>VLOOKUP($A511, 'Customer Names'!A:D, 3, FALSE)</f>
        <v>Watson</v>
      </c>
      <c r="C511">
        <f>VLOOKUP($A511,'Medical Examinations'!A:C, 3, FALSE)</f>
        <v>33.344999999999999</v>
      </c>
      <c r="D511" t="str">
        <f>VLOOKUP($A511, 'Medical Examinations'!A:D, 4, FALSE)</f>
        <v>Normal</v>
      </c>
      <c r="E511" t="str">
        <f>VLOOKUP($A511, 'Medical Examinations'!A:F, 6, FALSE)</f>
        <v>No</v>
      </c>
      <c r="F511" t="str">
        <f>VLOOKUP($A511, 'Medical Examinations'!A:G, 7, FALSE)</f>
        <v>No</v>
      </c>
      <c r="G511" t="str">
        <f>VLOOKUP($A511, 'Medical Examinations'!A:H, 8, FALSE)</f>
        <v>Yes</v>
      </c>
      <c r="H511">
        <f>VLOOKUP($A511, 'Medical Examinations'!A:J, 10, FALSE)</f>
        <v>1</v>
      </c>
      <c r="I511" t="str">
        <f>VLOOKUP($A511, 'Medical Examinations'!A:K, 11, FALSE)</f>
        <v>No</v>
      </c>
      <c r="J511" t="str">
        <f>VLOOKUP($A511, 'Medical Examinations'!A:B, 2, FALSE)</f>
        <v>Obesity</v>
      </c>
      <c r="K511" t="str">
        <f>VLOOKUP($A511, 'Medical Examinations'!A:D, 4, FALSE)</f>
        <v>Normal</v>
      </c>
    </row>
    <row r="512" spans="1:11" ht="15.5" x14ac:dyDescent="0.35">
      <c r="A512" s="1" t="s">
        <v>1860</v>
      </c>
      <c r="B512" t="str">
        <f>VLOOKUP($A512, 'Customer Names'!A:D, 3, FALSE)</f>
        <v>Esponda</v>
      </c>
      <c r="C512">
        <f>VLOOKUP($A512,'Medical Examinations'!A:C, 3, FALSE)</f>
        <v>24.42</v>
      </c>
      <c r="D512" t="str">
        <f>VLOOKUP($A512, 'Medical Examinations'!A:D, 4, FALSE)</f>
        <v>Prediabetes</v>
      </c>
      <c r="E512" t="str">
        <f>VLOOKUP($A512, 'Medical Examinations'!A:F, 6, FALSE)</f>
        <v>No</v>
      </c>
      <c r="F512" t="str">
        <f>VLOOKUP($A512, 'Medical Examinations'!A:G, 7, FALSE)</f>
        <v>No</v>
      </c>
      <c r="G512" t="str">
        <f>VLOOKUP($A512, 'Medical Examinations'!A:H, 8, FALSE)</f>
        <v>No</v>
      </c>
      <c r="H512">
        <f>VLOOKUP($A512, 'Medical Examinations'!A:J, 10, FALSE)</f>
        <v>1</v>
      </c>
      <c r="I512" t="str">
        <f>VLOOKUP($A512, 'Medical Examinations'!A:K, 11, FALSE)</f>
        <v>yes</v>
      </c>
      <c r="J512" t="str">
        <f>VLOOKUP($A512, 'Medical Examinations'!A:B, 2, FALSE)</f>
        <v>Normal Weight</v>
      </c>
      <c r="K512" t="str">
        <f>VLOOKUP($A512, 'Medical Examinations'!A:D, 4, FALSE)</f>
        <v>Prediabetes</v>
      </c>
    </row>
    <row r="513" spans="1:11" ht="15.5" x14ac:dyDescent="0.35">
      <c r="A513" s="1" t="s">
        <v>1859</v>
      </c>
      <c r="B513" t="str">
        <f>VLOOKUP($A513, 'Customer Names'!A:D, 3, FALSE)</f>
        <v>Krall</v>
      </c>
      <c r="C513">
        <f>VLOOKUP($A513,'Medical Examinations'!A:C, 3, FALSE)</f>
        <v>29.81</v>
      </c>
      <c r="D513" t="str">
        <f>VLOOKUP($A513, 'Medical Examinations'!A:D, 4, FALSE)</f>
        <v>Normal</v>
      </c>
      <c r="E513" t="str">
        <f>VLOOKUP($A513, 'Medical Examinations'!A:F, 6, FALSE)</f>
        <v>No</v>
      </c>
      <c r="F513" t="str">
        <f>VLOOKUP($A513, 'Medical Examinations'!A:G, 7, FALSE)</f>
        <v>No</v>
      </c>
      <c r="G513" t="str">
        <f>VLOOKUP($A513, 'Medical Examinations'!A:H, 8, FALSE)</f>
        <v>No</v>
      </c>
      <c r="H513" t="str">
        <f>VLOOKUP($A513, 'Medical Examinations'!A:J, 10, FALSE)</f>
        <v>No major surgery</v>
      </c>
      <c r="I513" t="str">
        <f>VLOOKUP($A513, 'Medical Examinations'!A:K, 11, FALSE)</f>
        <v>yes</v>
      </c>
      <c r="J513" t="str">
        <f>VLOOKUP($A513, 'Medical Examinations'!A:B, 2, FALSE)</f>
        <v>Overweight</v>
      </c>
      <c r="K513" t="str">
        <f>VLOOKUP($A513, 'Medical Examinations'!A:D, 4, FALSE)</f>
        <v>Normal</v>
      </c>
    </row>
    <row r="514" spans="1:11" ht="15.5" x14ac:dyDescent="0.35">
      <c r="A514" s="1" t="s">
        <v>1858</v>
      </c>
      <c r="B514" t="str">
        <f>VLOOKUP($A514, 'Customer Names'!A:D, 3, FALSE)</f>
        <v>Poskin</v>
      </c>
      <c r="C514">
        <f>VLOOKUP($A514,'Medical Examinations'!A:C, 3, FALSE)</f>
        <v>51.18</v>
      </c>
      <c r="D514" t="str">
        <f>VLOOKUP($A514, 'Medical Examinations'!A:D, 4, FALSE)</f>
        <v>Normal</v>
      </c>
      <c r="E514" t="str">
        <f>VLOOKUP($A514, 'Medical Examinations'!A:F, 6, FALSE)</f>
        <v>yes</v>
      </c>
      <c r="F514" t="str">
        <f>VLOOKUP($A514, 'Medical Examinations'!A:G, 7, FALSE)</f>
        <v>No</v>
      </c>
      <c r="G514" t="str">
        <f>VLOOKUP($A514, 'Medical Examinations'!A:H, 8, FALSE)</f>
        <v>No</v>
      </c>
      <c r="H514">
        <f>VLOOKUP($A514, 'Medical Examinations'!A:J, 10, FALSE)</f>
        <v>2</v>
      </c>
      <c r="I514" t="str">
        <f>VLOOKUP($A514, 'Medical Examinations'!A:K, 11, FALSE)</f>
        <v>No</v>
      </c>
      <c r="J514" t="str">
        <f>VLOOKUP($A514, 'Medical Examinations'!A:B, 2, FALSE)</f>
        <v>Obesity</v>
      </c>
      <c r="K514" t="str">
        <f>VLOOKUP($A514, 'Medical Examinations'!A:D, 4, FALSE)</f>
        <v>Normal</v>
      </c>
    </row>
    <row r="515" spans="1:11" ht="15.5" x14ac:dyDescent="0.35">
      <c r="A515" s="1" t="s">
        <v>1857</v>
      </c>
      <c r="B515" t="str">
        <f>VLOOKUP($A515, 'Customer Names'!A:D, 3, FALSE)</f>
        <v>Halfmann</v>
      </c>
      <c r="C515">
        <f>VLOOKUP($A515,'Medical Examinations'!A:C, 3, FALSE)</f>
        <v>51.37</v>
      </c>
      <c r="D515" t="str">
        <f>VLOOKUP($A515, 'Medical Examinations'!A:D, 4, FALSE)</f>
        <v>Diabetes</v>
      </c>
      <c r="E515" t="str">
        <f>VLOOKUP($A515, 'Medical Examinations'!A:F, 6, FALSE)</f>
        <v>yes</v>
      </c>
      <c r="F515" t="str">
        <f>VLOOKUP($A515, 'Medical Examinations'!A:G, 7, FALSE)</f>
        <v>No</v>
      </c>
      <c r="G515" t="str">
        <f>VLOOKUP($A515, 'Medical Examinations'!A:H, 8, FALSE)</f>
        <v>No</v>
      </c>
      <c r="H515" t="str">
        <f>VLOOKUP($A515, 'Medical Examinations'!A:J, 10, FALSE)</f>
        <v>No major surgery</v>
      </c>
      <c r="I515" t="str">
        <f>VLOOKUP($A515, 'Medical Examinations'!A:K, 11, FALSE)</f>
        <v>No</v>
      </c>
      <c r="J515" t="str">
        <f>VLOOKUP($A515, 'Medical Examinations'!A:B, 2, FALSE)</f>
        <v>Obesity</v>
      </c>
      <c r="K515" t="str">
        <f>VLOOKUP($A515, 'Medical Examinations'!A:D, 4, FALSE)</f>
        <v>Diabetes</v>
      </c>
    </row>
    <row r="516" spans="1:11" ht="15.5" x14ac:dyDescent="0.35">
      <c r="A516" s="1" t="s">
        <v>1856</v>
      </c>
      <c r="B516" t="str">
        <f>VLOOKUP($A516, 'Customer Names'!A:D, 3, FALSE)</f>
        <v>Klapper</v>
      </c>
      <c r="C516">
        <f>VLOOKUP($A516,'Medical Examinations'!A:C, 3, FALSE)</f>
        <v>36.19</v>
      </c>
      <c r="D516" t="str">
        <f>VLOOKUP($A516, 'Medical Examinations'!A:D, 4, FALSE)</f>
        <v>Normal</v>
      </c>
      <c r="E516" t="str">
        <f>VLOOKUP($A516, 'Medical Examinations'!A:F, 6, FALSE)</f>
        <v>yes</v>
      </c>
      <c r="F516" t="str">
        <f>VLOOKUP($A516, 'Medical Examinations'!A:G, 7, FALSE)</f>
        <v>No</v>
      </c>
      <c r="G516" t="str">
        <f>VLOOKUP($A516, 'Medical Examinations'!A:H, 8, FALSE)</f>
        <v>No</v>
      </c>
      <c r="H516" t="str">
        <f>VLOOKUP($A516, 'Medical Examinations'!A:J, 10, FALSE)</f>
        <v>No major surgery</v>
      </c>
      <c r="I516" t="str">
        <f>VLOOKUP($A516, 'Medical Examinations'!A:K, 11, FALSE)</f>
        <v>No</v>
      </c>
      <c r="J516" t="str">
        <f>VLOOKUP($A516, 'Medical Examinations'!A:B, 2, FALSE)</f>
        <v>Obesity</v>
      </c>
      <c r="K516" t="str">
        <f>VLOOKUP($A516, 'Medical Examinations'!A:D, 4, FALSE)</f>
        <v>Normal</v>
      </c>
    </row>
    <row r="517" spans="1:11" ht="15.5" x14ac:dyDescent="0.35">
      <c r="A517" s="1" t="s">
        <v>1855</v>
      </c>
      <c r="B517" t="str">
        <f>VLOOKUP($A517, 'Customer Names'!A:D, 3, FALSE)</f>
        <v>George</v>
      </c>
      <c r="C517">
        <f>VLOOKUP($A517,'Medical Examinations'!A:C, 3, FALSE)</f>
        <v>25.9</v>
      </c>
      <c r="D517" t="str">
        <f>VLOOKUP($A517, 'Medical Examinations'!A:D, 4, FALSE)</f>
        <v>Normal</v>
      </c>
      <c r="E517" t="str">
        <f>VLOOKUP($A517, 'Medical Examinations'!A:F, 6, FALSE)</f>
        <v>No</v>
      </c>
      <c r="F517" t="str">
        <f>VLOOKUP($A517, 'Medical Examinations'!A:G, 7, FALSE)</f>
        <v>No</v>
      </c>
      <c r="G517" t="str">
        <f>VLOOKUP($A517, 'Medical Examinations'!A:H, 8, FALSE)</f>
        <v>No</v>
      </c>
      <c r="H517" t="str">
        <f>VLOOKUP($A517, 'Medical Examinations'!A:J, 10, FALSE)</f>
        <v>No major surgery</v>
      </c>
      <c r="I517" t="str">
        <f>VLOOKUP($A517, 'Medical Examinations'!A:K, 11, FALSE)</f>
        <v>yes</v>
      </c>
      <c r="J517" t="str">
        <f>VLOOKUP($A517, 'Medical Examinations'!A:B, 2, FALSE)</f>
        <v>Overweight</v>
      </c>
      <c r="K517" t="str">
        <f>VLOOKUP($A517, 'Medical Examinations'!A:D, 4, FALSE)</f>
        <v>Normal</v>
      </c>
    </row>
    <row r="518" spans="1:11" ht="15.5" x14ac:dyDescent="0.35">
      <c r="A518" s="1" t="s">
        <v>1854</v>
      </c>
      <c r="B518" t="str">
        <f>VLOOKUP($A518, 'Customer Names'!A:D, 3, FALSE)</f>
        <v>Hicks</v>
      </c>
      <c r="C518">
        <f>VLOOKUP($A518,'Medical Examinations'!A:C, 3, FALSE)</f>
        <v>35.72</v>
      </c>
      <c r="D518" t="str">
        <f>VLOOKUP($A518, 'Medical Examinations'!A:D, 4, FALSE)</f>
        <v>Normal</v>
      </c>
      <c r="E518" t="str">
        <f>VLOOKUP($A518, 'Medical Examinations'!A:F, 6, FALSE)</f>
        <v>No</v>
      </c>
      <c r="F518" t="str">
        <f>VLOOKUP($A518, 'Medical Examinations'!A:G, 7, FALSE)</f>
        <v>No</v>
      </c>
      <c r="G518" t="str">
        <f>VLOOKUP($A518, 'Medical Examinations'!A:H, 8, FALSE)</f>
        <v>Yes</v>
      </c>
      <c r="H518">
        <f>VLOOKUP($A518, 'Medical Examinations'!A:J, 10, FALSE)</f>
        <v>1</v>
      </c>
      <c r="I518" t="str">
        <f>VLOOKUP($A518, 'Medical Examinations'!A:K, 11, FALSE)</f>
        <v>No</v>
      </c>
      <c r="J518" t="str">
        <f>VLOOKUP($A518, 'Medical Examinations'!A:B, 2, FALSE)</f>
        <v>Obesity</v>
      </c>
      <c r="K518" t="str">
        <f>VLOOKUP($A518, 'Medical Examinations'!A:D, 4, FALSE)</f>
        <v>Normal</v>
      </c>
    </row>
    <row r="519" spans="1:11" ht="15.5" x14ac:dyDescent="0.35">
      <c r="A519" s="1" t="s">
        <v>1853</v>
      </c>
      <c r="B519" t="str">
        <f>VLOOKUP($A519, 'Customer Names'!A:D, 3, FALSE)</f>
        <v>Lockyer</v>
      </c>
      <c r="C519">
        <f>VLOOKUP($A519,'Medical Examinations'!A:C, 3, FALSE)</f>
        <v>27.94</v>
      </c>
      <c r="D519" t="str">
        <f>VLOOKUP($A519, 'Medical Examinations'!A:D, 4, FALSE)</f>
        <v>Normal</v>
      </c>
      <c r="E519" t="str">
        <f>VLOOKUP($A519, 'Medical Examinations'!A:F, 6, FALSE)</f>
        <v>No</v>
      </c>
      <c r="F519" t="str">
        <f>VLOOKUP($A519, 'Medical Examinations'!A:G, 7, FALSE)</f>
        <v>No</v>
      </c>
      <c r="G519" t="str">
        <f>VLOOKUP($A519, 'Medical Examinations'!A:H, 8, FALSE)</f>
        <v>Yes</v>
      </c>
      <c r="H519">
        <f>VLOOKUP($A519, 'Medical Examinations'!A:J, 10, FALSE)</f>
        <v>1</v>
      </c>
      <c r="I519" t="str">
        <f>VLOOKUP($A519, 'Medical Examinations'!A:K, 11, FALSE)</f>
        <v>yes</v>
      </c>
      <c r="J519" t="str">
        <f>VLOOKUP($A519, 'Medical Examinations'!A:B, 2, FALSE)</f>
        <v>Overweight</v>
      </c>
      <c r="K519" t="str">
        <f>VLOOKUP($A519, 'Medical Examinations'!A:D, 4, FALSE)</f>
        <v>Normal</v>
      </c>
    </row>
    <row r="520" spans="1:11" ht="15.5" x14ac:dyDescent="0.35">
      <c r="A520" s="1" t="s">
        <v>1852</v>
      </c>
      <c r="B520" t="str">
        <f>VLOOKUP($A520, 'Customer Names'!A:D, 3, FALSE)</f>
        <v>Byrnes</v>
      </c>
      <c r="C520">
        <f>VLOOKUP($A520,'Medical Examinations'!A:C, 3, FALSE)</f>
        <v>27.1</v>
      </c>
      <c r="D520" t="str">
        <f>VLOOKUP($A520, 'Medical Examinations'!A:D, 4, FALSE)</f>
        <v>Prediabetes</v>
      </c>
      <c r="E520" t="str">
        <f>VLOOKUP($A520, 'Medical Examinations'!A:F, 6, FALSE)</f>
        <v>No</v>
      </c>
      <c r="F520" t="str">
        <f>VLOOKUP($A520, 'Medical Examinations'!A:G, 7, FALSE)</f>
        <v>No</v>
      </c>
      <c r="G520" t="str">
        <f>VLOOKUP($A520, 'Medical Examinations'!A:H, 8, FALSE)</f>
        <v>No</v>
      </c>
      <c r="H520" t="str">
        <f>VLOOKUP($A520, 'Medical Examinations'!A:J, 10, FALSE)</f>
        <v>No major surgery</v>
      </c>
      <c r="I520" t="str">
        <f>VLOOKUP($A520, 'Medical Examinations'!A:K, 11, FALSE)</f>
        <v>yes</v>
      </c>
      <c r="J520" t="str">
        <f>VLOOKUP($A520, 'Medical Examinations'!A:B, 2, FALSE)</f>
        <v>Overweight</v>
      </c>
      <c r="K520" t="str">
        <f>VLOOKUP($A520, 'Medical Examinations'!A:D, 4, FALSE)</f>
        <v>Prediabetes</v>
      </c>
    </row>
    <row r="521" spans="1:11" ht="15.5" x14ac:dyDescent="0.35">
      <c r="A521" s="1" t="s">
        <v>1851</v>
      </c>
      <c r="B521" t="str">
        <f>VLOOKUP($A521, 'Customer Names'!A:D, 3, FALSE)</f>
        <v>Norris</v>
      </c>
      <c r="C521">
        <f>VLOOKUP($A521,'Medical Examinations'!A:C, 3, FALSE)</f>
        <v>18.3</v>
      </c>
      <c r="D521" t="str">
        <f>VLOOKUP($A521, 'Medical Examinations'!A:D, 4, FALSE)</f>
        <v>Normal</v>
      </c>
      <c r="E521" t="str">
        <f>VLOOKUP($A521, 'Medical Examinations'!A:F, 6, FALSE)</f>
        <v>yes</v>
      </c>
      <c r="F521" t="str">
        <f>VLOOKUP($A521, 'Medical Examinations'!A:G, 7, FALSE)</f>
        <v>No</v>
      </c>
      <c r="G521" t="str">
        <f>VLOOKUP($A521, 'Medical Examinations'!A:H, 8, FALSE)</f>
        <v>Yes</v>
      </c>
      <c r="H521">
        <f>VLOOKUP($A521, 'Medical Examinations'!A:J, 10, FALSE)</f>
        <v>1</v>
      </c>
      <c r="I521" t="str">
        <f>VLOOKUP($A521, 'Medical Examinations'!A:K, 11, FALSE)</f>
        <v>yes</v>
      </c>
      <c r="J521" t="str">
        <f>VLOOKUP($A521, 'Medical Examinations'!A:B, 2, FALSE)</f>
        <v>Underweight</v>
      </c>
      <c r="K521" t="str">
        <f>VLOOKUP($A521, 'Medical Examinations'!A:D, 4, FALSE)</f>
        <v>Normal</v>
      </c>
    </row>
    <row r="522" spans="1:11" ht="15.5" x14ac:dyDescent="0.35">
      <c r="A522" s="1" t="s">
        <v>1850</v>
      </c>
      <c r="B522" t="str">
        <f>VLOOKUP($A522, 'Customer Names'!A:D, 3, FALSE)</f>
        <v>Darda</v>
      </c>
      <c r="C522">
        <f>VLOOKUP($A522,'Medical Examinations'!A:C, 3, FALSE)</f>
        <v>25.3</v>
      </c>
      <c r="D522" t="str">
        <f>VLOOKUP($A522, 'Medical Examinations'!A:D, 4, FALSE)</f>
        <v>Normal</v>
      </c>
      <c r="E522" t="str">
        <f>VLOOKUP($A522, 'Medical Examinations'!A:F, 6, FALSE)</f>
        <v>yes</v>
      </c>
      <c r="F522" t="str">
        <f>VLOOKUP($A522, 'Medical Examinations'!A:G, 7, FALSE)</f>
        <v>No</v>
      </c>
      <c r="G522" t="str">
        <f>VLOOKUP($A522, 'Medical Examinations'!A:H, 8, FALSE)</f>
        <v>No</v>
      </c>
      <c r="H522">
        <f>VLOOKUP($A522, 'Medical Examinations'!A:J, 10, FALSE)</f>
        <v>1</v>
      </c>
      <c r="I522" t="str">
        <f>VLOOKUP($A522, 'Medical Examinations'!A:K, 11, FALSE)</f>
        <v>yes</v>
      </c>
      <c r="J522" t="str">
        <f>VLOOKUP($A522, 'Medical Examinations'!A:B, 2, FALSE)</f>
        <v>Overweight</v>
      </c>
      <c r="K522" t="str">
        <f>VLOOKUP($A522, 'Medical Examinations'!A:D, 4, FALSE)</f>
        <v>Normal</v>
      </c>
    </row>
    <row r="523" spans="1:11" ht="15.5" x14ac:dyDescent="0.35">
      <c r="A523" s="1" t="s">
        <v>1849</v>
      </c>
      <c r="B523" t="str">
        <f>VLOOKUP($A523, 'Customer Names'!A:D, 3, FALSE)</f>
        <v>Otstot</v>
      </c>
      <c r="C523">
        <f>VLOOKUP($A523,'Medical Examinations'!A:C, 3, FALSE)</f>
        <v>38.83</v>
      </c>
      <c r="D523" t="str">
        <f>VLOOKUP($A523, 'Medical Examinations'!A:D, 4, FALSE)</f>
        <v>Prediabetes</v>
      </c>
      <c r="E523" t="str">
        <f>VLOOKUP($A523, 'Medical Examinations'!A:F, 6, FALSE)</f>
        <v>No</v>
      </c>
      <c r="F523" t="str">
        <f>VLOOKUP($A523, 'Medical Examinations'!A:G, 7, FALSE)</f>
        <v>No</v>
      </c>
      <c r="G523" t="str">
        <f>VLOOKUP($A523, 'Medical Examinations'!A:H, 8, FALSE)</f>
        <v>No</v>
      </c>
      <c r="H523">
        <f>VLOOKUP($A523, 'Medical Examinations'!A:J, 10, FALSE)</f>
        <v>1</v>
      </c>
      <c r="I523" t="str">
        <f>VLOOKUP($A523, 'Medical Examinations'!A:K, 11, FALSE)</f>
        <v>No</v>
      </c>
      <c r="J523" t="str">
        <f>VLOOKUP($A523, 'Medical Examinations'!A:B, 2, FALSE)</f>
        <v>Obesity</v>
      </c>
      <c r="K523" t="str">
        <f>VLOOKUP($A523, 'Medical Examinations'!A:D, 4, FALSE)</f>
        <v>Prediabetes</v>
      </c>
    </row>
    <row r="524" spans="1:11" ht="15.5" x14ac:dyDescent="0.35">
      <c r="A524" s="1" t="s">
        <v>1848</v>
      </c>
      <c r="B524" t="str">
        <f>VLOOKUP($A524, 'Customer Names'!A:D, 3, FALSE)</f>
        <v>Bowley</v>
      </c>
      <c r="C524">
        <f>VLOOKUP($A524,'Medical Examinations'!A:C, 3, FALSE)</f>
        <v>27.6</v>
      </c>
      <c r="D524" t="str">
        <f>VLOOKUP($A524, 'Medical Examinations'!A:D, 4, FALSE)</f>
        <v>Normal</v>
      </c>
      <c r="E524" t="str">
        <f>VLOOKUP($A524, 'Medical Examinations'!A:F, 6, FALSE)</f>
        <v>No</v>
      </c>
      <c r="F524" t="str">
        <f>VLOOKUP($A524, 'Medical Examinations'!A:G, 7, FALSE)</f>
        <v>No</v>
      </c>
      <c r="G524" t="str">
        <f>VLOOKUP($A524, 'Medical Examinations'!A:H, 8, FALSE)</f>
        <v>No</v>
      </c>
      <c r="H524">
        <f>VLOOKUP($A524, 'Medical Examinations'!A:J, 10, FALSE)</f>
        <v>1</v>
      </c>
      <c r="I524" t="str">
        <f>VLOOKUP($A524, 'Medical Examinations'!A:K, 11, FALSE)</f>
        <v>No</v>
      </c>
      <c r="J524" t="str">
        <f>VLOOKUP($A524, 'Medical Examinations'!A:B, 2, FALSE)</f>
        <v>Overweight</v>
      </c>
      <c r="K524" t="str">
        <f>VLOOKUP($A524, 'Medical Examinations'!A:D, 4, FALSE)</f>
        <v>Normal</v>
      </c>
    </row>
    <row r="525" spans="1:11" ht="15.5" x14ac:dyDescent="0.35">
      <c r="A525" s="1" t="s">
        <v>1847</v>
      </c>
      <c r="B525" t="str">
        <f>VLOOKUP($A525, 'Customer Names'!A:D, 3, FALSE)</f>
        <v>Rogers</v>
      </c>
      <c r="C525">
        <f>VLOOKUP($A525,'Medical Examinations'!A:C, 3, FALSE)</f>
        <v>46.4</v>
      </c>
      <c r="D525" t="str">
        <f>VLOOKUP($A525, 'Medical Examinations'!A:D, 4, FALSE)</f>
        <v>Diabetes</v>
      </c>
      <c r="E525" t="str">
        <f>VLOOKUP($A525, 'Medical Examinations'!A:F, 6, FALSE)</f>
        <v>yes</v>
      </c>
      <c r="F525" t="str">
        <f>VLOOKUP($A525, 'Medical Examinations'!A:G, 7, FALSE)</f>
        <v>No</v>
      </c>
      <c r="G525" t="str">
        <f>VLOOKUP($A525, 'Medical Examinations'!A:H, 8, FALSE)</f>
        <v>Yes</v>
      </c>
      <c r="H525">
        <f>VLOOKUP($A525, 'Medical Examinations'!A:J, 10, FALSE)</f>
        <v>1</v>
      </c>
      <c r="I525" t="str">
        <f>VLOOKUP($A525, 'Medical Examinations'!A:K, 11, FALSE)</f>
        <v>No</v>
      </c>
      <c r="J525" t="str">
        <f>VLOOKUP($A525, 'Medical Examinations'!A:B, 2, FALSE)</f>
        <v>Obesity</v>
      </c>
      <c r="K525" t="str">
        <f>VLOOKUP($A525, 'Medical Examinations'!A:D, 4, FALSE)</f>
        <v>Diabetes</v>
      </c>
    </row>
    <row r="526" spans="1:11" ht="15.5" x14ac:dyDescent="0.35">
      <c r="A526" s="1" t="s">
        <v>1846</v>
      </c>
      <c r="B526" t="str">
        <f>VLOOKUP($A526, 'Customer Names'!A:D, 3, FALSE)</f>
        <v>Mclaughlin</v>
      </c>
      <c r="C526">
        <f>VLOOKUP($A526,'Medical Examinations'!A:C, 3, FALSE)</f>
        <v>51.92</v>
      </c>
      <c r="D526" t="str">
        <f>VLOOKUP($A526, 'Medical Examinations'!A:D, 4, FALSE)</f>
        <v>Normal</v>
      </c>
      <c r="E526" t="str">
        <f>VLOOKUP($A526, 'Medical Examinations'!A:F, 6, FALSE)</f>
        <v>yes</v>
      </c>
      <c r="F526" t="str">
        <f>VLOOKUP($A526, 'Medical Examinations'!A:G, 7, FALSE)</f>
        <v>No</v>
      </c>
      <c r="G526" t="str">
        <f>VLOOKUP($A526, 'Medical Examinations'!A:H, 8, FALSE)</f>
        <v>Yes</v>
      </c>
      <c r="H526">
        <f>VLOOKUP($A526, 'Medical Examinations'!A:J, 10, FALSE)</f>
        <v>1</v>
      </c>
      <c r="I526" t="str">
        <f>VLOOKUP($A526, 'Medical Examinations'!A:K, 11, FALSE)</f>
        <v>No</v>
      </c>
      <c r="J526" t="str">
        <f>VLOOKUP($A526, 'Medical Examinations'!A:B, 2, FALSE)</f>
        <v>Obesity</v>
      </c>
      <c r="K526" t="str">
        <f>VLOOKUP($A526, 'Medical Examinations'!A:D, 4, FALSE)</f>
        <v>Normal</v>
      </c>
    </row>
    <row r="527" spans="1:11" ht="15.5" x14ac:dyDescent="0.35">
      <c r="A527" s="1" t="s">
        <v>1845</v>
      </c>
      <c r="B527" t="str">
        <f>VLOOKUP($A527, 'Customer Names'!A:D, 3, FALSE)</f>
        <v>Ziegler</v>
      </c>
      <c r="C527">
        <f>VLOOKUP($A527,'Medical Examinations'!A:C, 3, FALSE)</f>
        <v>32.395000000000003</v>
      </c>
      <c r="D527" t="str">
        <f>VLOOKUP($A527, 'Medical Examinations'!A:D, 4, FALSE)</f>
        <v>Normal</v>
      </c>
      <c r="E527" t="str">
        <f>VLOOKUP($A527, 'Medical Examinations'!A:F, 6, FALSE)</f>
        <v>yes</v>
      </c>
      <c r="F527" t="str">
        <f>VLOOKUP($A527, 'Medical Examinations'!A:G, 7, FALSE)</f>
        <v>No</v>
      </c>
      <c r="G527" t="str">
        <f>VLOOKUP($A527, 'Medical Examinations'!A:H, 8, FALSE)</f>
        <v>No</v>
      </c>
      <c r="H527">
        <f>VLOOKUP($A527, 'Medical Examinations'!A:J, 10, FALSE)</f>
        <v>1</v>
      </c>
      <c r="I527" t="str">
        <f>VLOOKUP($A527, 'Medical Examinations'!A:K, 11, FALSE)</f>
        <v>No</v>
      </c>
      <c r="J527" t="str">
        <f>VLOOKUP($A527, 'Medical Examinations'!A:B, 2, FALSE)</f>
        <v>Obesity</v>
      </c>
      <c r="K527" t="str">
        <f>VLOOKUP($A527, 'Medical Examinations'!A:D, 4, FALSE)</f>
        <v>Normal</v>
      </c>
    </row>
    <row r="528" spans="1:11" ht="15.5" x14ac:dyDescent="0.35">
      <c r="A528" s="1" t="s">
        <v>1844</v>
      </c>
      <c r="B528" t="str">
        <f>VLOOKUP($A528, 'Customer Names'!A:D, 3, FALSE)</f>
        <v>Hughey</v>
      </c>
      <c r="C528">
        <f>VLOOKUP($A528,'Medical Examinations'!A:C, 3, FALSE)</f>
        <v>46.19</v>
      </c>
      <c r="D528" t="str">
        <f>VLOOKUP($A528, 'Medical Examinations'!A:D, 4, FALSE)</f>
        <v>Diabetes</v>
      </c>
      <c r="E528" t="str">
        <f>VLOOKUP($A528, 'Medical Examinations'!A:F, 6, FALSE)</f>
        <v>yes</v>
      </c>
      <c r="F528" t="str">
        <f>VLOOKUP($A528, 'Medical Examinations'!A:G, 7, FALSE)</f>
        <v>No</v>
      </c>
      <c r="G528" t="str">
        <f>VLOOKUP($A528, 'Medical Examinations'!A:H, 8, FALSE)</f>
        <v>Yes</v>
      </c>
      <c r="H528">
        <f>VLOOKUP($A528, 'Medical Examinations'!A:J, 10, FALSE)</f>
        <v>1</v>
      </c>
      <c r="I528" t="str">
        <f>VLOOKUP($A528, 'Medical Examinations'!A:K, 11, FALSE)</f>
        <v>No</v>
      </c>
      <c r="J528" t="str">
        <f>VLOOKUP($A528, 'Medical Examinations'!A:B, 2, FALSE)</f>
        <v>Obesity</v>
      </c>
      <c r="K528" t="str">
        <f>VLOOKUP($A528, 'Medical Examinations'!A:D, 4, FALSE)</f>
        <v>Diabetes</v>
      </c>
    </row>
    <row r="529" spans="1:11" ht="15.5" x14ac:dyDescent="0.35">
      <c r="A529" s="1" t="s">
        <v>1843</v>
      </c>
      <c r="B529" t="str">
        <f>VLOOKUP($A529, 'Customer Names'!A:D, 3, FALSE)</f>
        <v>Knast</v>
      </c>
      <c r="C529">
        <f>VLOOKUP($A529,'Medical Examinations'!A:C, 3, FALSE)</f>
        <v>27.93</v>
      </c>
      <c r="D529" t="str">
        <f>VLOOKUP($A529, 'Medical Examinations'!A:D, 4, FALSE)</f>
        <v>Normal</v>
      </c>
      <c r="E529" t="str">
        <f>VLOOKUP($A529, 'Medical Examinations'!A:F, 6, FALSE)</f>
        <v>No</v>
      </c>
      <c r="F529" t="str">
        <f>VLOOKUP($A529, 'Medical Examinations'!A:G, 7, FALSE)</f>
        <v>No</v>
      </c>
      <c r="G529" t="str">
        <f>VLOOKUP($A529, 'Medical Examinations'!A:H, 8, FALSE)</f>
        <v>Yes</v>
      </c>
      <c r="H529">
        <f>VLOOKUP($A529, 'Medical Examinations'!A:J, 10, FALSE)</f>
        <v>1</v>
      </c>
      <c r="I529" t="str">
        <f>VLOOKUP($A529, 'Medical Examinations'!A:K, 11, FALSE)</f>
        <v>No</v>
      </c>
      <c r="J529" t="str">
        <f>VLOOKUP($A529, 'Medical Examinations'!A:B, 2, FALSE)</f>
        <v>Overweight</v>
      </c>
      <c r="K529" t="str">
        <f>VLOOKUP($A529, 'Medical Examinations'!A:D, 4, FALSE)</f>
        <v>Normal</v>
      </c>
    </row>
    <row r="530" spans="1:11" ht="15.5" x14ac:dyDescent="0.35">
      <c r="A530" s="1" t="s">
        <v>1842</v>
      </c>
      <c r="B530" t="str">
        <f>VLOOKUP($A530, 'Customer Names'!A:D, 3, FALSE)</f>
        <v>Stob</v>
      </c>
      <c r="C530">
        <f>VLOOKUP($A530,'Medical Examinations'!A:C, 3, FALSE)</f>
        <v>45.62</v>
      </c>
      <c r="D530" t="str">
        <f>VLOOKUP($A530, 'Medical Examinations'!A:D, 4, FALSE)</f>
        <v>Diabetes</v>
      </c>
      <c r="E530" t="str">
        <f>VLOOKUP($A530, 'Medical Examinations'!A:F, 6, FALSE)</f>
        <v>No</v>
      </c>
      <c r="F530" t="str">
        <f>VLOOKUP($A530, 'Medical Examinations'!A:G, 7, FALSE)</f>
        <v>No</v>
      </c>
      <c r="G530" t="str">
        <f>VLOOKUP($A530, 'Medical Examinations'!A:H, 8, FALSE)</f>
        <v>No</v>
      </c>
      <c r="H530" t="str">
        <f>VLOOKUP($A530, 'Medical Examinations'!A:J, 10, FALSE)</f>
        <v>No major surgery</v>
      </c>
      <c r="I530" t="str">
        <f>VLOOKUP($A530, 'Medical Examinations'!A:K, 11, FALSE)</f>
        <v>No</v>
      </c>
      <c r="J530" t="str">
        <f>VLOOKUP($A530, 'Medical Examinations'!A:B, 2, FALSE)</f>
        <v>Obesity</v>
      </c>
      <c r="K530" t="str">
        <f>VLOOKUP($A530, 'Medical Examinations'!A:D, 4, FALSE)</f>
        <v>Diabetes</v>
      </c>
    </row>
    <row r="531" spans="1:11" ht="15.5" x14ac:dyDescent="0.35">
      <c r="A531" s="1" t="s">
        <v>1841</v>
      </c>
      <c r="B531" t="str">
        <f>VLOOKUP($A531, 'Customer Names'!A:D, 3, FALSE)</f>
        <v>Jensen</v>
      </c>
      <c r="C531">
        <f>VLOOKUP($A531,'Medical Examinations'!A:C, 3, FALSE)</f>
        <v>35.31</v>
      </c>
      <c r="D531" t="str">
        <f>VLOOKUP($A531, 'Medical Examinations'!A:D, 4, FALSE)</f>
        <v>Prediabetes</v>
      </c>
      <c r="E531" t="str">
        <f>VLOOKUP($A531, 'Medical Examinations'!A:F, 6, FALSE)</f>
        <v>No</v>
      </c>
      <c r="F531" t="str">
        <f>VLOOKUP($A531, 'Medical Examinations'!A:G, 7, FALSE)</f>
        <v>No</v>
      </c>
      <c r="G531" t="str">
        <f>VLOOKUP($A531, 'Medical Examinations'!A:H, 8, FALSE)</f>
        <v>Yes</v>
      </c>
      <c r="H531">
        <f>VLOOKUP($A531, 'Medical Examinations'!A:J, 10, FALSE)</f>
        <v>1</v>
      </c>
      <c r="I531" t="str">
        <f>VLOOKUP($A531, 'Medical Examinations'!A:K, 11, FALSE)</f>
        <v>No</v>
      </c>
      <c r="J531" t="str">
        <f>VLOOKUP($A531, 'Medical Examinations'!A:B, 2, FALSE)</f>
        <v>Obesity</v>
      </c>
      <c r="K531" t="str">
        <f>VLOOKUP($A531, 'Medical Examinations'!A:D, 4, FALSE)</f>
        <v>Prediabetes</v>
      </c>
    </row>
    <row r="532" spans="1:11" ht="15.5" x14ac:dyDescent="0.35">
      <c r="A532" s="1" t="s">
        <v>1840</v>
      </c>
      <c r="B532" t="str">
        <f>VLOOKUP($A532, 'Customer Names'!A:D, 3, FALSE)</f>
        <v>Mutter</v>
      </c>
      <c r="C532">
        <f>VLOOKUP($A532,'Medical Examinations'!A:C, 3, FALSE)</f>
        <v>30.4</v>
      </c>
      <c r="D532" t="str">
        <f>VLOOKUP($A532, 'Medical Examinations'!A:D, 4, FALSE)</f>
        <v>Normal</v>
      </c>
      <c r="E532" t="str">
        <f>VLOOKUP($A532, 'Medical Examinations'!A:F, 6, FALSE)</f>
        <v>yes</v>
      </c>
      <c r="F532" t="str">
        <f>VLOOKUP($A532, 'Medical Examinations'!A:G, 7, FALSE)</f>
        <v>No</v>
      </c>
      <c r="G532" t="str">
        <f>VLOOKUP($A532, 'Medical Examinations'!A:H, 8, FALSE)</f>
        <v>No</v>
      </c>
      <c r="H532">
        <f>VLOOKUP($A532, 'Medical Examinations'!A:J, 10, FALSE)</f>
        <v>1</v>
      </c>
      <c r="I532" t="str">
        <f>VLOOKUP($A532, 'Medical Examinations'!A:K, 11, FALSE)</f>
        <v>No</v>
      </c>
      <c r="J532" t="str">
        <f>VLOOKUP($A532, 'Medical Examinations'!A:B, 2, FALSE)</f>
        <v>Obesity</v>
      </c>
      <c r="K532" t="str">
        <f>VLOOKUP($A532, 'Medical Examinations'!A:D, 4, FALSE)</f>
        <v>Normal</v>
      </c>
    </row>
    <row r="533" spans="1:11" ht="15.5" x14ac:dyDescent="0.35">
      <c r="A533" s="1" t="s">
        <v>1839</v>
      </c>
      <c r="B533" t="str">
        <f>VLOOKUP($A533, 'Customer Names'!A:D, 3, FALSE)</f>
        <v>Ahern</v>
      </c>
      <c r="C533">
        <f>VLOOKUP($A533,'Medical Examinations'!A:C, 3, FALSE)</f>
        <v>20.13</v>
      </c>
      <c r="D533" t="e">
        <f>VLOOKUP($A533, 'Medical Examinations'!A:D, 4, FALSE)</f>
        <v>#N/A</v>
      </c>
      <c r="E533" t="str">
        <f>VLOOKUP($A533, 'Medical Examinations'!A:F, 6, FALSE)</f>
        <v>No</v>
      </c>
      <c r="F533" t="str">
        <f>VLOOKUP($A533, 'Medical Examinations'!A:G, 7, FALSE)</f>
        <v>No</v>
      </c>
      <c r="G533" t="str">
        <f>VLOOKUP($A533, 'Medical Examinations'!A:H, 8, FALSE)</f>
        <v>Yes</v>
      </c>
      <c r="H533">
        <f>VLOOKUP($A533, 'Medical Examinations'!A:J, 10, FALSE)</f>
        <v>1</v>
      </c>
      <c r="I533" t="str">
        <f>VLOOKUP($A533, 'Medical Examinations'!A:K, 11, FALSE)</f>
        <v>yes</v>
      </c>
      <c r="J533" t="str">
        <f>VLOOKUP($A533, 'Medical Examinations'!A:B, 2, FALSE)</f>
        <v>Normal Weight</v>
      </c>
      <c r="K533" t="e">
        <f>VLOOKUP($A533, 'Medical Examinations'!A:D, 4, FALSE)</f>
        <v>#N/A</v>
      </c>
    </row>
    <row r="534" spans="1:11" ht="15.5" x14ac:dyDescent="0.35">
      <c r="A534" s="1" t="s">
        <v>1838</v>
      </c>
      <c r="B534" t="str">
        <f>VLOOKUP($A534, 'Customer Names'!A:D, 3, FALSE)</f>
        <v>Chviruk</v>
      </c>
      <c r="C534">
        <f>VLOOKUP($A534,'Medical Examinations'!A:C, 3, FALSE)</f>
        <v>23.655000000000001</v>
      </c>
      <c r="D534" t="str">
        <f>VLOOKUP($A534, 'Medical Examinations'!A:D, 4, FALSE)</f>
        <v>Normal</v>
      </c>
      <c r="E534" t="str">
        <f>VLOOKUP($A534, 'Medical Examinations'!A:F, 6, FALSE)</f>
        <v>No</v>
      </c>
      <c r="F534" t="str">
        <f>VLOOKUP($A534, 'Medical Examinations'!A:G, 7, FALSE)</f>
        <v>No</v>
      </c>
      <c r="G534" t="str">
        <f>VLOOKUP($A534, 'Medical Examinations'!A:H, 8, FALSE)</f>
        <v>No</v>
      </c>
      <c r="H534">
        <f>VLOOKUP($A534, 'Medical Examinations'!A:J, 10, FALSE)</f>
        <v>1</v>
      </c>
      <c r="I534" t="str">
        <f>VLOOKUP($A534, 'Medical Examinations'!A:K, 11, FALSE)</f>
        <v>yes</v>
      </c>
      <c r="J534" t="str">
        <f>VLOOKUP($A534, 'Medical Examinations'!A:B, 2, FALSE)</f>
        <v>Normal Weight</v>
      </c>
      <c r="K534" t="str">
        <f>VLOOKUP($A534, 'Medical Examinations'!A:D, 4, FALSE)</f>
        <v>Normal</v>
      </c>
    </row>
    <row r="535" spans="1:11" ht="15.5" x14ac:dyDescent="0.35">
      <c r="A535" s="1" t="s">
        <v>1837</v>
      </c>
      <c r="B535" t="str">
        <f>VLOOKUP($A535, 'Customer Names'!A:D, 3, FALSE)</f>
        <v>Meehan</v>
      </c>
      <c r="C535">
        <f>VLOOKUP($A535,'Medical Examinations'!A:C, 3, FALSE)</f>
        <v>49.05</v>
      </c>
      <c r="D535" t="str">
        <f>VLOOKUP($A535, 'Medical Examinations'!A:D, 4, FALSE)</f>
        <v>Diabetes</v>
      </c>
      <c r="E535" t="str">
        <f>VLOOKUP($A535, 'Medical Examinations'!A:F, 6, FALSE)</f>
        <v>yes</v>
      </c>
      <c r="F535" t="str">
        <f>VLOOKUP($A535, 'Medical Examinations'!A:G, 7, FALSE)</f>
        <v>No</v>
      </c>
      <c r="G535" t="str">
        <f>VLOOKUP($A535, 'Medical Examinations'!A:H, 8, FALSE)</f>
        <v>No</v>
      </c>
      <c r="H535" t="str">
        <f>VLOOKUP($A535, 'Medical Examinations'!A:J, 10, FALSE)</f>
        <v>No major surgery</v>
      </c>
      <c r="I535" t="str">
        <f>VLOOKUP($A535, 'Medical Examinations'!A:K, 11, FALSE)</f>
        <v>No</v>
      </c>
      <c r="J535" t="str">
        <f>VLOOKUP($A535, 'Medical Examinations'!A:B, 2, FALSE)</f>
        <v>Obesity</v>
      </c>
      <c r="K535" t="str">
        <f>VLOOKUP($A535, 'Medical Examinations'!A:D, 4, FALSE)</f>
        <v>Diabetes</v>
      </c>
    </row>
    <row r="536" spans="1:11" ht="15.5" x14ac:dyDescent="0.35">
      <c r="A536" s="1" t="s">
        <v>1836</v>
      </c>
      <c r="B536" t="str">
        <f>VLOOKUP($A536, 'Customer Names'!A:D, 3, FALSE)</f>
        <v>Gammon</v>
      </c>
      <c r="C536">
        <f>VLOOKUP($A536,'Medical Examinations'!A:C, 3, FALSE)</f>
        <v>51.94</v>
      </c>
      <c r="D536" t="str">
        <f>VLOOKUP($A536, 'Medical Examinations'!A:D, 4, FALSE)</f>
        <v>Diabetes</v>
      </c>
      <c r="E536" t="str">
        <f>VLOOKUP($A536, 'Medical Examinations'!A:F, 6, FALSE)</f>
        <v>yes</v>
      </c>
      <c r="F536" t="str">
        <f>VLOOKUP($A536, 'Medical Examinations'!A:G, 7, FALSE)</f>
        <v>No</v>
      </c>
      <c r="G536" t="str">
        <f>VLOOKUP($A536, 'Medical Examinations'!A:H, 8, FALSE)</f>
        <v>No</v>
      </c>
      <c r="H536">
        <f>VLOOKUP($A536, 'Medical Examinations'!A:J, 10, FALSE)</f>
        <v>2</v>
      </c>
      <c r="I536" t="str">
        <f>VLOOKUP($A536, 'Medical Examinations'!A:K, 11, FALSE)</f>
        <v>No</v>
      </c>
      <c r="J536" t="str">
        <f>VLOOKUP($A536, 'Medical Examinations'!A:B, 2, FALSE)</f>
        <v>Obesity</v>
      </c>
      <c r="K536" t="str">
        <f>VLOOKUP($A536, 'Medical Examinations'!A:D, 4, FALSE)</f>
        <v>Diabetes</v>
      </c>
    </row>
    <row r="537" spans="1:11" ht="15.5" x14ac:dyDescent="0.35">
      <c r="A537" s="1" t="s">
        <v>1835</v>
      </c>
      <c r="B537" t="str">
        <f>VLOOKUP($A537, 'Customer Names'!A:D, 3, FALSE)</f>
        <v>Lee</v>
      </c>
      <c r="C537">
        <f>VLOOKUP($A537,'Medical Examinations'!A:C, 3, FALSE)</f>
        <v>29.83</v>
      </c>
      <c r="D537" t="str">
        <f>VLOOKUP($A537, 'Medical Examinations'!A:D, 4, FALSE)</f>
        <v>Prediabetes</v>
      </c>
      <c r="E537" t="str">
        <f>VLOOKUP($A537, 'Medical Examinations'!A:F, 6, FALSE)</f>
        <v>No</v>
      </c>
      <c r="F537" t="str">
        <f>VLOOKUP($A537, 'Medical Examinations'!A:G, 7, FALSE)</f>
        <v>No</v>
      </c>
      <c r="G537" t="str">
        <f>VLOOKUP($A537, 'Medical Examinations'!A:H, 8, FALSE)</f>
        <v>No</v>
      </c>
      <c r="H537">
        <f>VLOOKUP($A537, 'Medical Examinations'!A:J, 10, FALSE)</f>
        <v>1</v>
      </c>
      <c r="I537" t="str">
        <f>VLOOKUP($A537, 'Medical Examinations'!A:K, 11, FALSE)</f>
        <v>yes</v>
      </c>
      <c r="J537" t="str">
        <f>VLOOKUP($A537, 'Medical Examinations'!A:B, 2, FALSE)</f>
        <v>Overweight</v>
      </c>
      <c r="K537" t="str">
        <f>VLOOKUP($A537, 'Medical Examinations'!A:D, 4, FALSE)</f>
        <v>Prediabetes</v>
      </c>
    </row>
    <row r="538" spans="1:11" ht="15.5" x14ac:dyDescent="0.35">
      <c r="A538" s="1" t="s">
        <v>1834</v>
      </c>
      <c r="B538" t="str">
        <f>VLOOKUP($A538, 'Customer Names'!A:D, 3, FALSE)</f>
        <v>Franco</v>
      </c>
      <c r="C538">
        <f>VLOOKUP($A538,'Medical Examinations'!A:C, 3, FALSE)</f>
        <v>22.6</v>
      </c>
      <c r="D538" t="str">
        <f>VLOOKUP($A538, 'Medical Examinations'!A:D, 4, FALSE)</f>
        <v>Diabetes</v>
      </c>
      <c r="E538" t="str">
        <f>VLOOKUP($A538, 'Medical Examinations'!A:F, 6, FALSE)</f>
        <v>yes</v>
      </c>
      <c r="F538" t="str">
        <f>VLOOKUP($A538, 'Medical Examinations'!A:G, 7, FALSE)</f>
        <v>No</v>
      </c>
      <c r="G538" t="str">
        <f>VLOOKUP($A538, 'Medical Examinations'!A:H, 8, FALSE)</f>
        <v>No</v>
      </c>
      <c r="H538">
        <f>VLOOKUP($A538, 'Medical Examinations'!A:J, 10, FALSE)</f>
        <v>1</v>
      </c>
      <c r="I538" t="str">
        <f>VLOOKUP($A538, 'Medical Examinations'!A:K, 11, FALSE)</f>
        <v>yes</v>
      </c>
      <c r="J538" t="str">
        <f>VLOOKUP($A538, 'Medical Examinations'!A:B, 2, FALSE)</f>
        <v>Normal Weight</v>
      </c>
      <c r="K538" t="str">
        <f>VLOOKUP($A538, 'Medical Examinations'!A:D, 4, FALSE)</f>
        <v>Diabetes</v>
      </c>
    </row>
    <row r="539" spans="1:11" ht="15.5" x14ac:dyDescent="0.35">
      <c r="A539" s="1" t="s">
        <v>1833</v>
      </c>
      <c r="B539" t="str">
        <f>VLOOKUP($A539, 'Customer Names'!A:D, 3, FALSE)</f>
        <v>Patterson</v>
      </c>
      <c r="C539">
        <f>VLOOKUP($A539,'Medical Examinations'!A:C, 3, FALSE)</f>
        <v>46.69</v>
      </c>
      <c r="D539" t="str">
        <f>VLOOKUP($A539, 'Medical Examinations'!A:D, 4, FALSE)</f>
        <v>Normal</v>
      </c>
      <c r="E539" t="str">
        <f>VLOOKUP($A539, 'Medical Examinations'!A:F, 6, FALSE)</f>
        <v>yes</v>
      </c>
      <c r="F539" t="str">
        <f>VLOOKUP($A539, 'Medical Examinations'!A:G, 7, FALSE)</f>
        <v>No</v>
      </c>
      <c r="G539" t="str">
        <f>VLOOKUP($A539, 'Medical Examinations'!A:H, 8, FALSE)</f>
        <v>No</v>
      </c>
      <c r="H539">
        <f>VLOOKUP($A539, 'Medical Examinations'!A:J, 10, FALSE)</f>
        <v>1</v>
      </c>
      <c r="I539" t="str">
        <f>VLOOKUP($A539, 'Medical Examinations'!A:K, 11, FALSE)</f>
        <v>No</v>
      </c>
      <c r="J539" t="str">
        <f>VLOOKUP($A539, 'Medical Examinations'!A:B, 2, FALSE)</f>
        <v>Obesity</v>
      </c>
      <c r="K539" t="str">
        <f>VLOOKUP($A539, 'Medical Examinations'!A:D, 4, FALSE)</f>
        <v>Normal</v>
      </c>
    </row>
    <row r="540" spans="1:11" ht="15.5" x14ac:dyDescent="0.35">
      <c r="A540" s="1" t="s">
        <v>1832</v>
      </c>
      <c r="B540" t="str">
        <f>VLOOKUP($A540, 'Customer Names'!A:D, 3, FALSE)</f>
        <v>Valdes</v>
      </c>
      <c r="C540">
        <f>VLOOKUP($A540,'Medical Examinations'!A:C, 3, FALSE)</f>
        <v>28.49</v>
      </c>
      <c r="D540" t="str">
        <f>VLOOKUP($A540, 'Medical Examinations'!A:D, 4, FALSE)</f>
        <v>Normal</v>
      </c>
      <c r="E540" t="str">
        <f>VLOOKUP($A540, 'Medical Examinations'!A:F, 6, FALSE)</f>
        <v>No</v>
      </c>
      <c r="F540" t="str">
        <f>VLOOKUP($A540, 'Medical Examinations'!A:G, 7, FALSE)</f>
        <v>No</v>
      </c>
      <c r="G540" t="str">
        <f>VLOOKUP($A540, 'Medical Examinations'!A:H, 8, FALSE)</f>
        <v>No</v>
      </c>
      <c r="H540" t="str">
        <f>VLOOKUP($A540, 'Medical Examinations'!A:J, 10, FALSE)</f>
        <v>No major surgery</v>
      </c>
      <c r="I540" t="str">
        <f>VLOOKUP($A540, 'Medical Examinations'!A:K, 11, FALSE)</f>
        <v>yes</v>
      </c>
      <c r="J540" t="str">
        <f>VLOOKUP($A540, 'Medical Examinations'!A:B, 2, FALSE)</f>
        <v>Overweight</v>
      </c>
      <c r="K540" t="str">
        <f>VLOOKUP($A540, 'Medical Examinations'!A:D, 4, FALSE)</f>
        <v>Normal</v>
      </c>
    </row>
    <row r="541" spans="1:11" ht="15.5" x14ac:dyDescent="0.35">
      <c r="A541" s="1" t="s">
        <v>1831</v>
      </c>
      <c r="B541" t="str">
        <f>VLOOKUP($A541, 'Customer Names'!A:D, 3, FALSE)</f>
        <v>Craig</v>
      </c>
      <c r="C541">
        <f>VLOOKUP($A541,'Medical Examinations'!A:C, 3, FALSE)</f>
        <v>28.5</v>
      </c>
      <c r="D541" t="str">
        <f>VLOOKUP($A541, 'Medical Examinations'!A:D, 4, FALSE)</f>
        <v>Normal</v>
      </c>
      <c r="E541" t="str">
        <f>VLOOKUP($A541, 'Medical Examinations'!A:F, 6, FALSE)</f>
        <v>yes</v>
      </c>
      <c r="F541" t="str">
        <f>VLOOKUP($A541, 'Medical Examinations'!A:G, 7, FALSE)</f>
        <v>No</v>
      </c>
      <c r="G541" t="str">
        <f>VLOOKUP($A541, 'Medical Examinations'!A:H, 8, FALSE)</f>
        <v>No</v>
      </c>
      <c r="H541">
        <f>VLOOKUP($A541, 'Medical Examinations'!A:J, 10, FALSE)</f>
        <v>1</v>
      </c>
      <c r="I541" t="str">
        <f>VLOOKUP($A541, 'Medical Examinations'!A:K, 11, FALSE)</f>
        <v>yes</v>
      </c>
      <c r="J541" t="str">
        <f>VLOOKUP($A541, 'Medical Examinations'!A:B, 2, FALSE)</f>
        <v>Overweight</v>
      </c>
      <c r="K541" t="str">
        <f>VLOOKUP($A541, 'Medical Examinations'!A:D, 4, FALSE)</f>
        <v>Normal</v>
      </c>
    </row>
    <row r="542" spans="1:11" ht="15.5" x14ac:dyDescent="0.35">
      <c r="A542" s="1" t="s">
        <v>1830</v>
      </c>
      <c r="B542" t="str">
        <f>VLOOKUP($A542, 'Customer Names'!A:D, 3, FALSE)</f>
        <v>Whipple</v>
      </c>
      <c r="C542">
        <f>VLOOKUP($A542,'Medical Examinations'!A:C, 3, FALSE)</f>
        <v>24.4</v>
      </c>
      <c r="D542" t="str">
        <f>VLOOKUP($A542, 'Medical Examinations'!A:D, 4, FALSE)</f>
        <v>Normal</v>
      </c>
      <c r="E542" t="str">
        <f>VLOOKUP($A542, 'Medical Examinations'!A:F, 6, FALSE)</f>
        <v>No</v>
      </c>
      <c r="F542" t="str">
        <f>VLOOKUP($A542, 'Medical Examinations'!A:G, 7, FALSE)</f>
        <v>No</v>
      </c>
      <c r="G542" t="str">
        <f>VLOOKUP($A542, 'Medical Examinations'!A:H, 8, FALSE)</f>
        <v>No</v>
      </c>
      <c r="H542">
        <f>VLOOKUP($A542, 'Medical Examinations'!A:J, 10, FALSE)</f>
        <v>1</v>
      </c>
      <c r="I542" t="str">
        <f>VLOOKUP($A542, 'Medical Examinations'!A:K, 11, FALSE)</f>
        <v>yes</v>
      </c>
      <c r="J542" t="str">
        <f>VLOOKUP($A542, 'Medical Examinations'!A:B, 2, FALSE)</f>
        <v>Normal Weight</v>
      </c>
      <c r="K542" t="str">
        <f>VLOOKUP($A542, 'Medical Examinations'!A:D, 4, FALSE)</f>
        <v>Normal</v>
      </c>
    </row>
    <row r="543" spans="1:11" ht="15.5" x14ac:dyDescent="0.35">
      <c r="A543" s="1" t="s">
        <v>1829</v>
      </c>
      <c r="B543" t="str">
        <f>VLOOKUP($A543, 'Customer Names'!A:D, 3, FALSE)</f>
        <v>Marton</v>
      </c>
      <c r="C543">
        <f>VLOOKUP($A543,'Medical Examinations'!A:C, 3, FALSE)</f>
        <v>29.15</v>
      </c>
      <c r="D543" t="str">
        <f>VLOOKUP($A543, 'Medical Examinations'!A:D, 4, FALSE)</f>
        <v>Normal</v>
      </c>
      <c r="E543" t="str">
        <f>VLOOKUP($A543, 'Medical Examinations'!A:F, 6, FALSE)</f>
        <v>yes</v>
      </c>
      <c r="F543" t="str">
        <f>VLOOKUP($A543, 'Medical Examinations'!A:G, 7, FALSE)</f>
        <v>No</v>
      </c>
      <c r="G543" t="str">
        <f>VLOOKUP($A543, 'Medical Examinations'!A:H, 8, FALSE)</f>
        <v>No</v>
      </c>
      <c r="H543">
        <f>VLOOKUP($A543, 'Medical Examinations'!A:J, 10, FALSE)</f>
        <v>1</v>
      </c>
      <c r="I543" t="str">
        <f>VLOOKUP($A543, 'Medical Examinations'!A:K, 11, FALSE)</f>
        <v>yes</v>
      </c>
      <c r="J543" t="str">
        <f>VLOOKUP($A543, 'Medical Examinations'!A:B, 2, FALSE)</f>
        <v>Overweight</v>
      </c>
      <c r="K543" t="str">
        <f>VLOOKUP($A543, 'Medical Examinations'!A:D, 4, FALSE)</f>
        <v>Normal</v>
      </c>
    </row>
    <row r="544" spans="1:11" ht="15.5" x14ac:dyDescent="0.35">
      <c r="A544" s="1" t="s">
        <v>1828</v>
      </c>
      <c r="B544" t="str">
        <f>VLOOKUP($A544, 'Customer Names'!A:D, 3, FALSE)</f>
        <v>Hildebrandt</v>
      </c>
      <c r="C544">
        <f>VLOOKUP($A544,'Medical Examinations'!A:C, 3, FALSE)</f>
        <v>27.28</v>
      </c>
      <c r="D544" t="str">
        <f>VLOOKUP($A544, 'Medical Examinations'!A:D, 4, FALSE)</f>
        <v>Normal</v>
      </c>
      <c r="E544" t="str">
        <f>VLOOKUP($A544, 'Medical Examinations'!A:F, 6, FALSE)</f>
        <v>No</v>
      </c>
      <c r="F544" t="str">
        <f>VLOOKUP($A544, 'Medical Examinations'!A:G, 7, FALSE)</f>
        <v>yes</v>
      </c>
      <c r="G544" t="str">
        <f>VLOOKUP($A544, 'Medical Examinations'!A:H, 8, FALSE)</f>
        <v>No</v>
      </c>
      <c r="H544">
        <f>VLOOKUP($A544, 'Medical Examinations'!A:J, 10, FALSE)</f>
        <v>1</v>
      </c>
      <c r="I544" t="str">
        <f>VLOOKUP($A544, 'Medical Examinations'!A:K, 11, FALSE)</f>
        <v>yes</v>
      </c>
      <c r="J544" t="str">
        <f>VLOOKUP($A544, 'Medical Examinations'!A:B, 2, FALSE)</f>
        <v>Overweight</v>
      </c>
      <c r="K544" t="str">
        <f>VLOOKUP($A544, 'Medical Examinations'!A:D, 4, FALSE)</f>
        <v>Normal</v>
      </c>
    </row>
    <row r="545" spans="1:11" ht="15.5" x14ac:dyDescent="0.35">
      <c r="A545" s="1" t="s">
        <v>1827</v>
      </c>
      <c r="B545" t="str">
        <f>VLOOKUP($A545, 'Customer Names'!A:D, 3, FALSE)</f>
        <v>Biggs</v>
      </c>
      <c r="C545">
        <f>VLOOKUP($A545,'Medical Examinations'!A:C, 3, FALSE)</f>
        <v>32.229999999999997</v>
      </c>
      <c r="D545" t="str">
        <f>VLOOKUP($A545, 'Medical Examinations'!A:D, 4, FALSE)</f>
        <v>Normal</v>
      </c>
      <c r="E545" t="str">
        <f>VLOOKUP($A545, 'Medical Examinations'!A:F, 6, FALSE)</f>
        <v>yes</v>
      </c>
      <c r="F545" t="str">
        <f>VLOOKUP($A545, 'Medical Examinations'!A:G, 7, FALSE)</f>
        <v>No</v>
      </c>
      <c r="G545" t="str">
        <f>VLOOKUP($A545, 'Medical Examinations'!A:H, 8, FALSE)</f>
        <v>Yes</v>
      </c>
      <c r="H545">
        <f>VLOOKUP($A545, 'Medical Examinations'!A:J, 10, FALSE)</f>
        <v>1</v>
      </c>
      <c r="I545" t="str">
        <f>VLOOKUP($A545, 'Medical Examinations'!A:K, 11, FALSE)</f>
        <v>No</v>
      </c>
      <c r="J545" t="str">
        <f>VLOOKUP($A545, 'Medical Examinations'!A:B, 2, FALSE)</f>
        <v>Obesity</v>
      </c>
      <c r="K545" t="str">
        <f>VLOOKUP($A545, 'Medical Examinations'!A:D, 4, FALSE)</f>
        <v>Normal</v>
      </c>
    </row>
    <row r="546" spans="1:11" ht="15.5" x14ac:dyDescent="0.35">
      <c r="A546" s="1" t="s">
        <v>1826</v>
      </c>
      <c r="B546" t="str">
        <f>VLOOKUP($A546, 'Customer Names'!A:D, 3, FALSE)</f>
        <v>Shigezumi</v>
      </c>
      <c r="C546">
        <f>VLOOKUP($A546,'Medical Examinations'!A:C, 3, FALSE)</f>
        <v>44.2</v>
      </c>
      <c r="D546" t="str">
        <f>VLOOKUP($A546, 'Medical Examinations'!A:D, 4, FALSE)</f>
        <v>Diabetes</v>
      </c>
      <c r="E546" t="str">
        <f>VLOOKUP($A546, 'Medical Examinations'!A:F, 6, FALSE)</f>
        <v>yes</v>
      </c>
      <c r="F546" t="str">
        <f>VLOOKUP($A546, 'Medical Examinations'!A:G, 7, FALSE)</f>
        <v>No</v>
      </c>
      <c r="G546" t="str">
        <f>VLOOKUP($A546, 'Medical Examinations'!A:H, 8, FALSE)</f>
        <v>Yes</v>
      </c>
      <c r="H546">
        <f>VLOOKUP($A546, 'Medical Examinations'!A:J, 10, FALSE)</f>
        <v>1</v>
      </c>
      <c r="I546" t="str">
        <f>VLOOKUP($A546, 'Medical Examinations'!A:K, 11, FALSE)</f>
        <v>No</v>
      </c>
      <c r="J546" t="str">
        <f>VLOOKUP($A546, 'Medical Examinations'!A:B, 2, FALSE)</f>
        <v>Obesity</v>
      </c>
      <c r="K546" t="str">
        <f>VLOOKUP($A546, 'Medical Examinations'!A:D, 4, FALSE)</f>
        <v>Diabetes</v>
      </c>
    </row>
    <row r="547" spans="1:11" ht="15.5" x14ac:dyDescent="0.35">
      <c r="A547" s="1" t="s">
        <v>1825</v>
      </c>
      <c r="B547" t="str">
        <f>VLOOKUP($A547, 'Customer Names'!A:D, 3, FALSE)</f>
        <v>Meineke</v>
      </c>
      <c r="C547">
        <f>VLOOKUP($A547,'Medical Examinations'!A:C, 3, FALSE)</f>
        <v>29.734999999999999</v>
      </c>
      <c r="D547" t="str">
        <f>VLOOKUP($A547, 'Medical Examinations'!A:D, 4, FALSE)</f>
        <v>Normal</v>
      </c>
      <c r="E547" t="str">
        <f>VLOOKUP($A547, 'Medical Examinations'!A:F, 6, FALSE)</f>
        <v>No</v>
      </c>
      <c r="F547" t="str">
        <f>VLOOKUP($A547, 'Medical Examinations'!A:G, 7, FALSE)</f>
        <v>No</v>
      </c>
      <c r="G547" t="str">
        <f>VLOOKUP($A547, 'Medical Examinations'!A:H, 8, FALSE)</f>
        <v>Yes</v>
      </c>
      <c r="H547">
        <f>VLOOKUP($A547, 'Medical Examinations'!A:J, 10, FALSE)</f>
        <v>1</v>
      </c>
      <c r="I547" t="str">
        <f>VLOOKUP($A547, 'Medical Examinations'!A:K, 11, FALSE)</f>
        <v>No</v>
      </c>
      <c r="J547" t="str">
        <f>VLOOKUP($A547, 'Medical Examinations'!A:B, 2, FALSE)</f>
        <v>Overweight</v>
      </c>
      <c r="K547" t="str">
        <f>VLOOKUP($A547, 'Medical Examinations'!A:D, 4, FALSE)</f>
        <v>Normal</v>
      </c>
    </row>
    <row r="548" spans="1:11" ht="15.5" x14ac:dyDescent="0.35">
      <c r="A548" s="1" t="s">
        <v>1824</v>
      </c>
      <c r="B548" t="str">
        <f>VLOOKUP($A548, 'Customer Names'!A:D, 3, FALSE)</f>
        <v>Ludington</v>
      </c>
      <c r="C548">
        <f>VLOOKUP($A548,'Medical Examinations'!A:C, 3, FALSE)</f>
        <v>28.31</v>
      </c>
      <c r="D548" t="str">
        <f>VLOOKUP($A548, 'Medical Examinations'!A:D, 4, FALSE)</f>
        <v>Prediabetes</v>
      </c>
      <c r="E548" t="str">
        <f>VLOOKUP($A548, 'Medical Examinations'!A:F, 6, FALSE)</f>
        <v>No</v>
      </c>
      <c r="F548" t="str">
        <f>VLOOKUP($A548, 'Medical Examinations'!A:G, 7, FALSE)</f>
        <v>No</v>
      </c>
      <c r="G548" t="str">
        <f>VLOOKUP($A548, 'Medical Examinations'!A:H, 8, FALSE)</f>
        <v>No</v>
      </c>
      <c r="H548" t="str">
        <f>VLOOKUP($A548, 'Medical Examinations'!A:J, 10, FALSE)</f>
        <v>No major surgery</v>
      </c>
      <c r="I548" t="str">
        <f>VLOOKUP($A548, 'Medical Examinations'!A:K, 11, FALSE)</f>
        <v>yes</v>
      </c>
      <c r="J548" t="str">
        <f>VLOOKUP($A548, 'Medical Examinations'!A:B, 2, FALSE)</f>
        <v>Overweight</v>
      </c>
      <c r="K548" t="str">
        <f>VLOOKUP($A548, 'Medical Examinations'!A:D, 4, FALSE)</f>
        <v>Prediabetes</v>
      </c>
    </row>
    <row r="549" spans="1:11" ht="15.5" x14ac:dyDescent="0.35">
      <c r="A549" s="1" t="s">
        <v>1823</v>
      </c>
      <c r="B549" t="str">
        <f>VLOOKUP($A549, 'Customer Names'!A:D, 3, FALSE)</f>
        <v>Perrich</v>
      </c>
      <c r="C549">
        <f>VLOOKUP($A549,'Medical Examinations'!A:C, 3, FALSE)</f>
        <v>46.62</v>
      </c>
      <c r="D549" t="str">
        <f>VLOOKUP($A549, 'Medical Examinations'!A:D, 4, FALSE)</f>
        <v>Diabetes</v>
      </c>
      <c r="E549" t="str">
        <f>VLOOKUP($A549, 'Medical Examinations'!A:F, 6, FALSE)</f>
        <v>No</v>
      </c>
      <c r="F549" t="str">
        <f>VLOOKUP($A549, 'Medical Examinations'!A:G, 7, FALSE)</f>
        <v>No</v>
      </c>
      <c r="G549" t="str">
        <f>VLOOKUP($A549, 'Medical Examinations'!A:H, 8, FALSE)</f>
        <v>No</v>
      </c>
      <c r="H549" t="str">
        <f>VLOOKUP($A549, 'Medical Examinations'!A:J, 10, FALSE)</f>
        <v>No major surgery</v>
      </c>
      <c r="I549" t="str">
        <f>VLOOKUP($A549, 'Medical Examinations'!A:K, 11, FALSE)</f>
        <v>No</v>
      </c>
      <c r="J549" t="str">
        <f>VLOOKUP($A549, 'Medical Examinations'!A:B, 2, FALSE)</f>
        <v>Obesity</v>
      </c>
      <c r="K549" t="str">
        <f>VLOOKUP($A549, 'Medical Examinations'!A:D, 4, FALSE)</f>
        <v>Diabetes</v>
      </c>
    </row>
    <row r="550" spans="1:11" ht="15.5" x14ac:dyDescent="0.35">
      <c r="A550" s="1" t="s">
        <v>1822</v>
      </c>
      <c r="B550" t="str">
        <f>VLOOKUP($A550, 'Customer Names'!A:D, 3, FALSE)</f>
        <v>Cervantes</v>
      </c>
      <c r="C550">
        <f>VLOOKUP($A550,'Medical Examinations'!A:C, 3, FALSE)</f>
        <v>51.75</v>
      </c>
      <c r="D550" t="str">
        <f>VLOOKUP($A550, 'Medical Examinations'!A:D, 4, FALSE)</f>
        <v>Diabetes</v>
      </c>
      <c r="E550" t="str">
        <f>VLOOKUP($A550, 'Medical Examinations'!A:F, 6, FALSE)</f>
        <v>yes</v>
      </c>
      <c r="F550" t="str">
        <f>VLOOKUP($A550, 'Medical Examinations'!A:G, 7, FALSE)</f>
        <v>No</v>
      </c>
      <c r="G550" t="str">
        <f>VLOOKUP($A550, 'Medical Examinations'!A:H, 8, FALSE)</f>
        <v>No</v>
      </c>
      <c r="H550">
        <f>VLOOKUP($A550, 'Medical Examinations'!A:J, 10, FALSE)</f>
        <v>1</v>
      </c>
      <c r="I550" t="str">
        <f>VLOOKUP($A550, 'Medical Examinations'!A:K, 11, FALSE)</f>
        <v>No</v>
      </c>
      <c r="J550" t="str">
        <f>VLOOKUP($A550, 'Medical Examinations'!A:B, 2, FALSE)</f>
        <v>Obesity</v>
      </c>
      <c r="K550" t="str">
        <f>VLOOKUP($A550, 'Medical Examinations'!A:D, 4, FALSE)</f>
        <v>Diabetes</v>
      </c>
    </row>
    <row r="551" spans="1:11" ht="15.5" x14ac:dyDescent="0.35">
      <c r="A551" s="1" t="s">
        <v>1821</v>
      </c>
      <c r="B551" t="str">
        <f>VLOOKUP($A551, 'Customer Names'!A:D, 3, FALSE)</f>
        <v>Andrews</v>
      </c>
      <c r="C551">
        <f>VLOOKUP($A551,'Medical Examinations'!A:C, 3, FALSE)</f>
        <v>25.7</v>
      </c>
      <c r="D551" t="str">
        <f>VLOOKUP($A551, 'Medical Examinations'!A:D, 4, FALSE)</f>
        <v>Normal</v>
      </c>
      <c r="E551" t="str">
        <f>VLOOKUP($A551, 'Medical Examinations'!A:F, 6, FALSE)</f>
        <v>yes</v>
      </c>
      <c r="F551" t="str">
        <f>VLOOKUP($A551, 'Medical Examinations'!A:G, 7, FALSE)</f>
        <v>No</v>
      </c>
      <c r="G551" t="str">
        <f>VLOOKUP($A551, 'Medical Examinations'!A:H, 8, FALSE)</f>
        <v>No</v>
      </c>
      <c r="H551" t="str">
        <f>VLOOKUP($A551, 'Medical Examinations'!A:J, 10, FALSE)</f>
        <v>No major surgery</v>
      </c>
      <c r="I551" t="str">
        <f>VLOOKUP($A551, 'Medical Examinations'!A:K, 11, FALSE)</f>
        <v>yes</v>
      </c>
      <c r="J551" t="str">
        <f>VLOOKUP($A551, 'Medical Examinations'!A:B, 2, FALSE)</f>
        <v>Overweight</v>
      </c>
      <c r="K551" t="str">
        <f>VLOOKUP($A551, 'Medical Examinations'!A:D, 4, FALSE)</f>
        <v>Normal</v>
      </c>
    </row>
    <row r="552" spans="1:11" ht="15.5" x14ac:dyDescent="0.35">
      <c r="A552" s="1" t="s">
        <v>1820</v>
      </c>
      <c r="B552" t="str">
        <f>VLOOKUP($A552, 'Customer Names'!A:D, 3, FALSE)</f>
        <v>Ruvalcaba</v>
      </c>
      <c r="C552">
        <f>VLOOKUP($A552,'Medical Examinations'!A:C, 3, FALSE)</f>
        <v>31.79</v>
      </c>
      <c r="D552" t="str">
        <f>VLOOKUP($A552, 'Medical Examinations'!A:D, 4, FALSE)</f>
        <v>Normal</v>
      </c>
      <c r="E552" t="str">
        <f>VLOOKUP($A552, 'Medical Examinations'!A:F, 6, FALSE)</f>
        <v>No</v>
      </c>
      <c r="F552" t="str">
        <f>VLOOKUP($A552, 'Medical Examinations'!A:G, 7, FALSE)</f>
        <v>No</v>
      </c>
      <c r="G552" t="str">
        <f>VLOOKUP($A552, 'Medical Examinations'!A:H, 8, FALSE)</f>
        <v>No</v>
      </c>
      <c r="H552" t="str">
        <f>VLOOKUP($A552, 'Medical Examinations'!A:J, 10, FALSE)</f>
        <v>No major surgery</v>
      </c>
      <c r="I552" t="str">
        <f>VLOOKUP($A552, 'Medical Examinations'!A:K, 11, FALSE)</f>
        <v>No</v>
      </c>
      <c r="J552" t="str">
        <f>VLOOKUP($A552, 'Medical Examinations'!A:B, 2, FALSE)</f>
        <v>Obesity</v>
      </c>
      <c r="K552" t="str">
        <f>VLOOKUP($A552, 'Medical Examinations'!A:D, 4, FALSE)</f>
        <v>Normal</v>
      </c>
    </row>
    <row r="553" spans="1:11" ht="15.5" x14ac:dyDescent="0.35">
      <c r="A553" s="1" t="s">
        <v>1819</v>
      </c>
      <c r="B553" t="str">
        <f>VLOOKUP($A553, 'Customer Names'!A:D, 3, FALSE)</f>
        <v>King</v>
      </c>
      <c r="C553">
        <f>VLOOKUP($A553,'Medical Examinations'!A:C, 3, FALSE)</f>
        <v>24.795000000000002</v>
      </c>
      <c r="D553" t="str">
        <f>VLOOKUP($A553, 'Medical Examinations'!A:D, 4, FALSE)</f>
        <v>Normal</v>
      </c>
      <c r="E553" t="str">
        <f>VLOOKUP($A553, 'Medical Examinations'!A:F, 6, FALSE)</f>
        <v>No</v>
      </c>
      <c r="F553" t="str">
        <f>VLOOKUP($A553, 'Medical Examinations'!A:G, 7, FALSE)</f>
        <v>No</v>
      </c>
      <c r="G553" t="str">
        <f>VLOOKUP($A553, 'Medical Examinations'!A:H, 8, FALSE)</f>
        <v>No</v>
      </c>
      <c r="H553" t="str">
        <f>VLOOKUP($A553, 'Medical Examinations'!A:J, 10, FALSE)</f>
        <v>No major surgery</v>
      </c>
      <c r="I553" t="str">
        <f>VLOOKUP($A553, 'Medical Examinations'!A:K, 11, FALSE)</f>
        <v>yes</v>
      </c>
      <c r="J553" t="str">
        <f>VLOOKUP($A553, 'Medical Examinations'!A:B, 2, FALSE)</f>
        <v>Normal Weight</v>
      </c>
      <c r="K553" t="str">
        <f>VLOOKUP($A553, 'Medical Examinations'!A:D, 4, FALSE)</f>
        <v>Normal</v>
      </c>
    </row>
    <row r="554" spans="1:11" ht="15.5" x14ac:dyDescent="0.35">
      <c r="A554" s="1" t="s">
        <v>1818</v>
      </c>
      <c r="B554" t="str">
        <f>VLOOKUP($A554, 'Customer Names'!A:D, 3, FALSE)</f>
        <v>Stone</v>
      </c>
      <c r="C554">
        <f>VLOOKUP($A554,'Medical Examinations'!A:C, 3, FALSE)</f>
        <v>53.98</v>
      </c>
      <c r="D554" t="str">
        <f>VLOOKUP($A554, 'Medical Examinations'!A:D, 4, FALSE)</f>
        <v>Normal</v>
      </c>
      <c r="E554" t="str">
        <f>VLOOKUP($A554, 'Medical Examinations'!A:F, 6, FALSE)</f>
        <v>No</v>
      </c>
      <c r="F554" t="str">
        <f>VLOOKUP($A554, 'Medical Examinations'!A:G, 7, FALSE)</f>
        <v>No</v>
      </c>
      <c r="G554" t="str">
        <f>VLOOKUP($A554, 'Medical Examinations'!A:H, 8, FALSE)</f>
        <v>Yes</v>
      </c>
      <c r="H554">
        <f>VLOOKUP($A554, 'Medical Examinations'!A:J, 10, FALSE)</f>
        <v>1</v>
      </c>
      <c r="I554" t="str">
        <f>VLOOKUP($A554, 'Medical Examinations'!A:K, 11, FALSE)</f>
        <v>No</v>
      </c>
      <c r="J554" t="str">
        <f>VLOOKUP($A554, 'Medical Examinations'!A:B, 2, FALSE)</f>
        <v>Obesity</v>
      </c>
      <c r="K554" t="str">
        <f>VLOOKUP($A554, 'Medical Examinations'!A:D, 4, FALSE)</f>
        <v>Normal</v>
      </c>
    </row>
    <row r="555" spans="1:11" ht="15.5" x14ac:dyDescent="0.35">
      <c r="A555" s="1" t="s">
        <v>1817</v>
      </c>
      <c r="B555" t="str">
        <f>VLOOKUP($A555, 'Customer Names'!A:D, 3, FALSE)</f>
        <v>Campbell</v>
      </c>
      <c r="C555">
        <f>VLOOKUP($A555,'Medical Examinations'!A:C, 3, FALSE)</f>
        <v>41.325000000000003</v>
      </c>
      <c r="D555" t="str">
        <f>VLOOKUP($A555, 'Medical Examinations'!A:D, 4, FALSE)</f>
        <v>Normal</v>
      </c>
      <c r="E555" t="str">
        <f>VLOOKUP($A555, 'Medical Examinations'!A:F, 6, FALSE)</f>
        <v>yes</v>
      </c>
      <c r="F555" t="str">
        <f>VLOOKUP($A555, 'Medical Examinations'!A:G, 7, FALSE)</f>
        <v>No</v>
      </c>
      <c r="G555" t="str">
        <f>VLOOKUP($A555, 'Medical Examinations'!A:H, 8, FALSE)</f>
        <v>Yes</v>
      </c>
      <c r="H555">
        <f>VLOOKUP($A555, 'Medical Examinations'!A:J, 10, FALSE)</f>
        <v>1</v>
      </c>
      <c r="I555" t="str">
        <f>VLOOKUP($A555, 'Medical Examinations'!A:K, 11, FALSE)</f>
        <v>No</v>
      </c>
      <c r="J555" t="str">
        <f>VLOOKUP($A555, 'Medical Examinations'!A:B, 2, FALSE)</f>
        <v>Obesity</v>
      </c>
      <c r="K555" t="str">
        <f>VLOOKUP($A555, 'Medical Examinations'!A:D, 4, FALSE)</f>
        <v>Normal</v>
      </c>
    </row>
    <row r="556" spans="1:11" ht="15.5" x14ac:dyDescent="0.35">
      <c r="A556" s="1" t="s">
        <v>1816</v>
      </c>
      <c r="B556" t="str">
        <f>VLOOKUP($A556, 'Customer Names'!A:D, 3, FALSE)</f>
        <v>Asher</v>
      </c>
      <c r="C556">
        <f>VLOOKUP($A556,'Medical Examinations'!A:C, 3, FALSE)</f>
        <v>51.65</v>
      </c>
      <c r="D556" t="str">
        <f>VLOOKUP($A556, 'Medical Examinations'!A:D, 4, FALSE)</f>
        <v>Normal</v>
      </c>
      <c r="E556" t="str">
        <f>VLOOKUP($A556, 'Medical Examinations'!A:F, 6, FALSE)</f>
        <v>yes</v>
      </c>
      <c r="F556" t="str">
        <f>VLOOKUP($A556, 'Medical Examinations'!A:G, 7, FALSE)</f>
        <v>No</v>
      </c>
      <c r="G556" t="str">
        <f>VLOOKUP($A556, 'Medical Examinations'!A:H, 8, FALSE)</f>
        <v>No</v>
      </c>
      <c r="H556" t="str">
        <f>VLOOKUP($A556, 'Medical Examinations'!A:J, 10, FALSE)</f>
        <v>No major surgery</v>
      </c>
      <c r="I556" t="str">
        <f>VLOOKUP($A556, 'Medical Examinations'!A:K, 11, FALSE)</f>
        <v>No</v>
      </c>
      <c r="J556" t="str">
        <f>VLOOKUP($A556, 'Medical Examinations'!A:B, 2, FALSE)</f>
        <v>Obesity</v>
      </c>
      <c r="K556" t="str">
        <f>VLOOKUP($A556, 'Medical Examinations'!A:D, 4, FALSE)</f>
        <v>Normal</v>
      </c>
    </row>
    <row r="557" spans="1:11" ht="15.5" x14ac:dyDescent="0.35">
      <c r="A557" s="1" t="s">
        <v>1815</v>
      </c>
      <c r="B557" t="str">
        <f>VLOOKUP($A557, 'Customer Names'!A:D, 3, FALSE)</f>
        <v>Mazzotta</v>
      </c>
      <c r="C557">
        <f>VLOOKUP($A557,'Medical Examinations'!A:C, 3, FALSE)</f>
        <v>44.52</v>
      </c>
      <c r="D557" t="str">
        <f>VLOOKUP($A557, 'Medical Examinations'!A:D, 4, FALSE)</f>
        <v>Diabetes</v>
      </c>
      <c r="E557" t="str">
        <f>VLOOKUP($A557, 'Medical Examinations'!A:F, 6, FALSE)</f>
        <v>yes</v>
      </c>
      <c r="F557" t="str">
        <f>VLOOKUP($A557, 'Medical Examinations'!A:G, 7, FALSE)</f>
        <v>No</v>
      </c>
      <c r="G557" t="str">
        <f>VLOOKUP($A557, 'Medical Examinations'!A:H, 8, FALSE)</f>
        <v>Yes</v>
      </c>
      <c r="H557">
        <f>VLOOKUP($A557, 'Medical Examinations'!A:J, 10, FALSE)</f>
        <v>1</v>
      </c>
      <c r="I557" t="str">
        <f>VLOOKUP($A557, 'Medical Examinations'!A:K, 11, FALSE)</f>
        <v>No</v>
      </c>
      <c r="J557" t="str">
        <f>VLOOKUP($A557, 'Medical Examinations'!A:B, 2, FALSE)</f>
        <v>Obesity</v>
      </c>
      <c r="K557" t="str">
        <f>VLOOKUP($A557, 'Medical Examinations'!A:D, 4, FALSE)</f>
        <v>Diabetes</v>
      </c>
    </row>
    <row r="558" spans="1:11" ht="15.5" x14ac:dyDescent="0.35">
      <c r="A558" s="1" t="s">
        <v>1814</v>
      </c>
      <c r="B558" t="str">
        <f>VLOOKUP($A558, 'Customer Names'!A:D, 3, FALSE)</f>
        <v>Huttl</v>
      </c>
      <c r="C558">
        <f>VLOOKUP($A558,'Medical Examinations'!A:C, 3, FALSE)</f>
        <v>53.29</v>
      </c>
      <c r="D558" t="str">
        <f>VLOOKUP($A558, 'Medical Examinations'!A:D, 4, FALSE)</f>
        <v>Normal</v>
      </c>
      <c r="E558" t="str">
        <f>VLOOKUP($A558, 'Medical Examinations'!A:F, 6, FALSE)</f>
        <v>No</v>
      </c>
      <c r="F558" t="str">
        <f>VLOOKUP($A558, 'Medical Examinations'!A:G, 7, FALSE)</f>
        <v>No</v>
      </c>
      <c r="G558" t="str">
        <f>VLOOKUP($A558, 'Medical Examinations'!A:H, 8, FALSE)</f>
        <v>Yes</v>
      </c>
      <c r="H558">
        <f>VLOOKUP($A558, 'Medical Examinations'!A:J, 10, FALSE)</f>
        <v>1</v>
      </c>
      <c r="I558" t="str">
        <f>VLOOKUP($A558, 'Medical Examinations'!A:K, 11, FALSE)</f>
        <v>No</v>
      </c>
      <c r="J558" t="str">
        <f>VLOOKUP($A558, 'Medical Examinations'!A:B, 2, FALSE)</f>
        <v>Obesity</v>
      </c>
      <c r="K558" t="str">
        <f>VLOOKUP($A558, 'Medical Examinations'!A:D, 4, FALSE)</f>
        <v>Normal</v>
      </c>
    </row>
    <row r="559" spans="1:11" ht="15.5" x14ac:dyDescent="0.35">
      <c r="A559" s="1" t="s">
        <v>1813</v>
      </c>
      <c r="B559" t="str">
        <f>VLOOKUP($A559, 'Customer Names'!A:D, 3, FALSE)</f>
        <v>Ferron</v>
      </c>
      <c r="C559">
        <f>VLOOKUP($A559,'Medical Examinations'!A:C, 3, FALSE)</f>
        <v>46.63</v>
      </c>
      <c r="D559" t="str">
        <f>VLOOKUP($A559, 'Medical Examinations'!A:D, 4, FALSE)</f>
        <v>Normal</v>
      </c>
      <c r="E559" t="str">
        <f>VLOOKUP($A559, 'Medical Examinations'!A:F, 6, FALSE)</f>
        <v>yes</v>
      </c>
      <c r="F559" t="str">
        <f>VLOOKUP($A559, 'Medical Examinations'!A:G, 7, FALSE)</f>
        <v>No</v>
      </c>
      <c r="G559" t="str">
        <f>VLOOKUP($A559, 'Medical Examinations'!A:H, 8, FALSE)</f>
        <v>No</v>
      </c>
      <c r="H559">
        <f>VLOOKUP($A559, 'Medical Examinations'!A:J, 10, FALSE)</f>
        <v>2</v>
      </c>
      <c r="I559" t="str">
        <f>VLOOKUP($A559, 'Medical Examinations'!A:K, 11, FALSE)</f>
        <v>No</v>
      </c>
      <c r="J559" t="str">
        <f>VLOOKUP($A559, 'Medical Examinations'!A:B, 2, FALSE)</f>
        <v>Obesity</v>
      </c>
      <c r="K559" t="str">
        <f>VLOOKUP($A559, 'Medical Examinations'!A:D, 4, FALSE)</f>
        <v>Normal</v>
      </c>
    </row>
    <row r="560" spans="1:11" ht="15.5" x14ac:dyDescent="0.35">
      <c r="A560" s="1" t="s">
        <v>1812</v>
      </c>
      <c r="B560" t="str">
        <f>VLOOKUP($A560, 'Customer Names'!A:D, 3, FALSE)</f>
        <v>Colarusso</v>
      </c>
      <c r="C560">
        <f>VLOOKUP($A560,'Medical Examinations'!A:C, 3, FALSE)</f>
        <v>28.88</v>
      </c>
      <c r="D560" t="str">
        <f>VLOOKUP($A560, 'Medical Examinations'!A:D, 4, FALSE)</f>
        <v>Normal</v>
      </c>
      <c r="E560" t="str">
        <f>VLOOKUP($A560, 'Medical Examinations'!A:F, 6, FALSE)</f>
        <v>No</v>
      </c>
      <c r="F560" t="str">
        <f>VLOOKUP($A560, 'Medical Examinations'!A:G, 7, FALSE)</f>
        <v>No</v>
      </c>
      <c r="G560" t="str">
        <f>VLOOKUP($A560, 'Medical Examinations'!A:H, 8, FALSE)</f>
        <v>Yes</v>
      </c>
      <c r="H560">
        <f>VLOOKUP($A560, 'Medical Examinations'!A:J, 10, FALSE)</f>
        <v>1</v>
      </c>
      <c r="I560" t="str">
        <f>VLOOKUP($A560, 'Medical Examinations'!A:K, 11, FALSE)</f>
        <v>yes</v>
      </c>
      <c r="J560" t="str">
        <f>VLOOKUP($A560, 'Medical Examinations'!A:B, 2, FALSE)</f>
        <v>Overweight</v>
      </c>
      <c r="K560" t="str">
        <f>VLOOKUP($A560, 'Medical Examinations'!A:D, 4, FALSE)</f>
        <v>Normal</v>
      </c>
    </row>
    <row r="561" spans="1:11" ht="15.5" x14ac:dyDescent="0.35">
      <c r="A561" s="1" t="s">
        <v>1811</v>
      </c>
      <c r="B561" t="str">
        <f>VLOOKUP($A561, 'Customer Names'!A:D, 3, FALSE)</f>
        <v>Pearlman</v>
      </c>
      <c r="C561">
        <f>VLOOKUP($A561,'Medical Examinations'!A:C, 3, FALSE)</f>
        <v>23.98</v>
      </c>
      <c r="D561" t="str">
        <f>VLOOKUP($A561, 'Medical Examinations'!A:D, 4, FALSE)</f>
        <v>Normal</v>
      </c>
      <c r="E561" t="str">
        <f>VLOOKUP($A561, 'Medical Examinations'!A:F, 6, FALSE)</f>
        <v>No</v>
      </c>
      <c r="F561" t="str">
        <f>VLOOKUP($A561, 'Medical Examinations'!A:G, 7, FALSE)</f>
        <v>No</v>
      </c>
      <c r="G561" t="str">
        <f>VLOOKUP($A561, 'Medical Examinations'!A:H, 8, FALSE)</f>
        <v>No</v>
      </c>
      <c r="H561" t="str">
        <f>VLOOKUP($A561, 'Medical Examinations'!A:J, 10, FALSE)</f>
        <v>No major surgery</v>
      </c>
      <c r="I561" t="str">
        <f>VLOOKUP($A561, 'Medical Examinations'!A:K, 11, FALSE)</f>
        <v>No</v>
      </c>
      <c r="J561" t="str">
        <f>VLOOKUP($A561, 'Medical Examinations'!A:B, 2, FALSE)</f>
        <v>Normal Weight</v>
      </c>
      <c r="K561" t="str">
        <f>VLOOKUP($A561, 'Medical Examinations'!A:D, 4, FALSE)</f>
        <v>Normal</v>
      </c>
    </row>
    <row r="562" spans="1:11" ht="15.5" x14ac:dyDescent="0.35">
      <c r="A562" s="1" t="s">
        <v>1810</v>
      </c>
      <c r="B562" t="str">
        <f>VLOOKUP($A562, 'Customer Names'!A:D, 3, FALSE)</f>
        <v>O'Mara</v>
      </c>
      <c r="C562">
        <f>VLOOKUP($A562,'Medical Examinations'!A:C, 3, FALSE)</f>
        <v>23.65</v>
      </c>
      <c r="D562" t="str">
        <f>VLOOKUP($A562, 'Medical Examinations'!A:D, 4, FALSE)</f>
        <v>Normal</v>
      </c>
      <c r="E562" t="str">
        <f>VLOOKUP($A562, 'Medical Examinations'!A:F, 6, FALSE)</f>
        <v>No</v>
      </c>
      <c r="F562" t="str">
        <f>VLOOKUP($A562, 'Medical Examinations'!A:G, 7, FALSE)</f>
        <v>No</v>
      </c>
      <c r="G562" t="str">
        <f>VLOOKUP($A562, 'Medical Examinations'!A:H, 8, FALSE)</f>
        <v>No</v>
      </c>
      <c r="H562" t="str">
        <f>VLOOKUP($A562, 'Medical Examinations'!A:J, 10, FALSE)</f>
        <v>No major surgery</v>
      </c>
      <c r="I562" t="str">
        <f>VLOOKUP($A562, 'Medical Examinations'!A:K, 11, FALSE)</f>
        <v>No</v>
      </c>
      <c r="J562" t="str">
        <f>VLOOKUP($A562, 'Medical Examinations'!A:B, 2, FALSE)</f>
        <v>Normal Weight</v>
      </c>
      <c r="K562" t="str">
        <f>VLOOKUP($A562, 'Medical Examinations'!A:D, 4, FALSE)</f>
        <v>Normal</v>
      </c>
    </row>
    <row r="563" spans="1:11" ht="15.5" x14ac:dyDescent="0.35">
      <c r="A563" s="1" t="s">
        <v>1809</v>
      </c>
      <c r="B563" t="str">
        <f>VLOOKUP($A563, 'Customer Names'!A:D, 3, FALSE)</f>
        <v>Niska</v>
      </c>
      <c r="C563">
        <f>VLOOKUP($A563,'Medical Examinations'!A:C, 3, FALSE)</f>
        <v>49.09</v>
      </c>
      <c r="D563" t="str">
        <f>VLOOKUP($A563, 'Medical Examinations'!A:D, 4, FALSE)</f>
        <v>Diabetes</v>
      </c>
      <c r="E563" t="str">
        <f>VLOOKUP($A563, 'Medical Examinations'!A:F, 6, FALSE)</f>
        <v>yes</v>
      </c>
      <c r="F563" t="str">
        <f>VLOOKUP($A563, 'Medical Examinations'!A:G, 7, FALSE)</f>
        <v>No</v>
      </c>
      <c r="G563" t="str">
        <f>VLOOKUP($A563, 'Medical Examinations'!A:H, 8, FALSE)</f>
        <v>No</v>
      </c>
      <c r="H563">
        <f>VLOOKUP($A563, 'Medical Examinations'!A:J, 10, FALSE)</f>
        <v>2</v>
      </c>
      <c r="I563" t="str">
        <f>VLOOKUP($A563, 'Medical Examinations'!A:K, 11, FALSE)</f>
        <v>No</v>
      </c>
      <c r="J563" t="str">
        <f>VLOOKUP($A563, 'Medical Examinations'!A:B, 2, FALSE)</f>
        <v>Obesity</v>
      </c>
      <c r="K563" t="str">
        <f>VLOOKUP($A563, 'Medical Examinations'!A:D, 4, FALSE)</f>
        <v>Diabetes</v>
      </c>
    </row>
    <row r="564" spans="1:11" ht="15.5" x14ac:dyDescent="0.35">
      <c r="A564" s="1" t="s">
        <v>1808</v>
      </c>
      <c r="B564" t="str">
        <f>VLOOKUP($A564, 'Customer Names'!A:D, 3, FALSE)</f>
        <v>Schlich</v>
      </c>
      <c r="C564">
        <f>VLOOKUP($A564,'Medical Examinations'!A:C, 3, FALSE)</f>
        <v>28.024999999999999</v>
      </c>
      <c r="D564" t="str">
        <f>VLOOKUP($A564, 'Medical Examinations'!A:D, 4, FALSE)</f>
        <v>Diabetes</v>
      </c>
      <c r="E564" t="str">
        <f>VLOOKUP($A564, 'Medical Examinations'!A:F, 6, FALSE)</f>
        <v>No</v>
      </c>
      <c r="F564" t="str">
        <f>VLOOKUP($A564, 'Medical Examinations'!A:G, 7, FALSE)</f>
        <v>No</v>
      </c>
      <c r="G564" t="str">
        <f>VLOOKUP($A564, 'Medical Examinations'!A:H, 8, FALSE)</f>
        <v>No</v>
      </c>
      <c r="H564" t="str">
        <f>VLOOKUP($A564, 'Medical Examinations'!A:J, 10, FALSE)</f>
        <v>No major surgery</v>
      </c>
      <c r="I564" t="str">
        <f>VLOOKUP($A564, 'Medical Examinations'!A:K, 11, FALSE)</f>
        <v>yes</v>
      </c>
      <c r="J564" t="str">
        <f>VLOOKUP($A564, 'Medical Examinations'!A:B, 2, FALSE)</f>
        <v>Overweight</v>
      </c>
      <c r="K564" t="str">
        <f>VLOOKUP($A564, 'Medical Examinations'!A:D, 4, FALSE)</f>
        <v>Diabetes</v>
      </c>
    </row>
    <row r="565" spans="1:11" ht="15.5" x14ac:dyDescent="0.35">
      <c r="A565" s="1" t="s">
        <v>1807</v>
      </c>
      <c r="B565" t="str">
        <f>VLOOKUP($A565, 'Customer Names'!A:D, 3, FALSE)</f>
        <v>Zidek</v>
      </c>
      <c r="C565">
        <f>VLOOKUP($A565,'Medical Examinations'!A:C, 3, FALSE)</f>
        <v>43.32</v>
      </c>
      <c r="D565" t="str">
        <f>VLOOKUP($A565, 'Medical Examinations'!A:D, 4, FALSE)</f>
        <v>Diabetes</v>
      </c>
      <c r="E565" t="str">
        <f>VLOOKUP($A565, 'Medical Examinations'!A:F, 6, FALSE)</f>
        <v>yes</v>
      </c>
      <c r="F565" t="str">
        <f>VLOOKUP($A565, 'Medical Examinations'!A:G, 7, FALSE)</f>
        <v>No</v>
      </c>
      <c r="G565" t="str">
        <f>VLOOKUP($A565, 'Medical Examinations'!A:H, 8, FALSE)</f>
        <v>Yes</v>
      </c>
      <c r="H565">
        <f>VLOOKUP($A565, 'Medical Examinations'!A:J, 10, FALSE)</f>
        <v>1</v>
      </c>
      <c r="I565" t="str">
        <f>VLOOKUP($A565, 'Medical Examinations'!A:K, 11, FALSE)</f>
        <v>No</v>
      </c>
      <c r="J565" t="str">
        <f>VLOOKUP($A565, 'Medical Examinations'!A:B, 2, FALSE)</f>
        <v>Obesity</v>
      </c>
      <c r="K565" t="str">
        <f>VLOOKUP($A565, 'Medical Examinations'!A:D, 4, FALSE)</f>
        <v>Diabetes</v>
      </c>
    </row>
    <row r="566" spans="1:11" ht="15.5" x14ac:dyDescent="0.35">
      <c r="A566" s="1" t="s">
        <v>1806</v>
      </c>
      <c r="B566" t="str">
        <f>VLOOKUP($A566, 'Customer Names'!A:D, 3, FALSE)</f>
        <v>Ellgass</v>
      </c>
      <c r="C566">
        <f>VLOOKUP($A566,'Medical Examinations'!A:C, 3, FALSE)</f>
        <v>45.92</v>
      </c>
      <c r="D566" t="str">
        <f>VLOOKUP($A566, 'Medical Examinations'!A:D, 4, FALSE)</f>
        <v>Diabetes</v>
      </c>
      <c r="E566" t="str">
        <f>VLOOKUP($A566, 'Medical Examinations'!A:F, 6, FALSE)</f>
        <v>No</v>
      </c>
      <c r="F566" t="str">
        <f>VLOOKUP($A566, 'Medical Examinations'!A:G, 7, FALSE)</f>
        <v>No</v>
      </c>
      <c r="G566" t="str">
        <f>VLOOKUP($A566, 'Medical Examinations'!A:H, 8, FALSE)</f>
        <v>No</v>
      </c>
      <c r="H566" t="str">
        <f>VLOOKUP($A566, 'Medical Examinations'!A:J, 10, FALSE)</f>
        <v>No major surgery</v>
      </c>
      <c r="I566" t="str">
        <f>VLOOKUP($A566, 'Medical Examinations'!A:K, 11, FALSE)</f>
        <v>No</v>
      </c>
      <c r="J566" t="str">
        <f>VLOOKUP($A566, 'Medical Examinations'!A:B, 2, FALSE)</f>
        <v>Obesity</v>
      </c>
      <c r="K566" t="str">
        <f>VLOOKUP($A566, 'Medical Examinations'!A:D, 4, FALSE)</f>
        <v>Diabetes</v>
      </c>
    </row>
    <row r="567" spans="1:11" ht="15.5" x14ac:dyDescent="0.35">
      <c r="A567" s="1" t="s">
        <v>1805</v>
      </c>
      <c r="B567" t="str">
        <f>VLOOKUP($A567, 'Customer Names'!A:D, 3, FALSE)</f>
        <v>Lowe</v>
      </c>
      <c r="C567">
        <f>VLOOKUP($A567,'Medical Examinations'!A:C, 3, FALSE)</f>
        <v>44.03</v>
      </c>
      <c r="D567" t="str">
        <f>VLOOKUP($A567, 'Medical Examinations'!A:D, 4, FALSE)</f>
        <v>Diabetes</v>
      </c>
      <c r="E567" t="str">
        <f>VLOOKUP($A567, 'Medical Examinations'!A:F, 6, FALSE)</f>
        <v>No</v>
      </c>
      <c r="F567" t="str">
        <f>VLOOKUP($A567, 'Medical Examinations'!A:G, 7, FALSE)</f>
        <v>No</v>
      </c>
      <c r="G567" t="str">
        <f>VLOOKUP($A567, 'Medical Examinations'!A:H, 8, FALSE)</f>
        <v>No</v>
      </c>
      <c r="H567" t="str">
        <f>VLOOKUP($A567, 'Medical Examinations'!A:J, 10, FALSE)</f>
        <v>No major surgery</v>
      </c>
      <c r="I567" t="str">
        <f>VLOOKUP($A567, 'Medical Examinations'!A:K, 11, FALSE)</f>
        <v>No</v>
      </c>
      <c r="J567" t="str">
        <f>VLOOKUP($A567, 'Medical Examinations'!A:B, 2, FALSE)</f>
        <v>Obesity</v>
      </c>
      <c r="K567" t="str">
        <f>VLOOKUP($A567, 'Medical Examinations'!A:D, 4, FALSE)</f>
        <v>Diabetes</v>
      </c>
    </row>
    <row r="568" spans="1:11" ht="15.5" x14ac:dyDescent="0.35">
      <c r="A568" s="1" t="s">
        <v>1804</v>
      </c>
      <c r="B568" t="str">
        <f>VLOOKUP($A568, 'Customer Names'!A:D, 3, FALSE)</f>
        <v>Malone</v>
      </c>
      <c r="C568">
        <f>VLOOKUP($A568,'Medical Examinations'!A:C, 3, FALSE)</f>
        <v>24.6</v>
      </c>
      <c r="D568" t="str">
        <f>VLOOKUP($A568, 'Medical Examinations'!A:D, 4, FALSE)</f>
        <v>Normal</v>
      </c>
      <c r="E568" t="str">
        <f>VLOOKUP($A568, 'Medical Examinations'!A:F, 6, FALSE)</f>
        <v>No</v>
      </c>
      <c r="F568" t="str">
        <f>VLOOKUP($A568, 'Medical Examinations'!A:G, 7, FALSE)</f>
        <v>No</v>
      </c>
      <c r="G568" t="str">
        <f>VLOOKUP($A568, 'Medical Examinations'!A:H, 8, FALSE)</f>
        <v>No</v>
      </c>
      <c r="H568" t="str">
        <f>VLOOKUP($A568, 'Medical Examinations'!A:J, 10, FALSE)</f>
        <v>No major surgery</v>
      </c>
      <c r="I568" t="str">
        <f>VLOOKUP($A568, 'Medical Examinations'!A:K, 11, FALSE)</f>
        <v>yes</v>
      </c>
      <c r="J568" t="str">
        <f>VLOOKUP($A568, 'Medical Examinations'!A:B, 2, FALSE)</f>
        <v>Normal Weight</v>
      </c>
      <c r="K568" t="str">
        <f>VLOOKUP($A568, 'Medical Examinations'!A:D, 4, FALSE)</f>
        <v>Normal</v>
      </c>
    </row>
    <row r="569" spans="1:11" ht="15.5" x14ac:dyDescent="0.35">
      <c r="A569" s="1" t="s">
        <v>1803</v>
      </c>
      <c r="B569" t="str">
        <f>VLOOKUP($A569, 'Customer Names'!A:D, 3, FALSE)</f>
        <v>Dumke</v>
      </c>
      <c r="C569">
        <f>VLOOKUP($A569,'Medical Examinations'!A:C, 3, FALSE)</f>
        <v>49.15</v>
      </c>
      <c r="D569" t="str">
        <f>VLOOKUP($A569, 'Medical Examinations'!A:D, 4, FALSE)</f>
        <v>Diabetes</v>
      </c>
      <c r="E569" t="str">
        <f>VLOOKUP($A569, 'Medical Examinations'!A:F, 6, FALSE)</f>
        <v>No</v>
      </c>
      <c r="F569" t="str">
        <f>VLOOKUP($A569, 'Medical Examinations'!A:G, 7, FALSE)</f>
        <v>No</v>
      </c>
      <c r="G569" t="str">
        <f>VLOOKUP($A569, 'Medical Examinations'!A:H, 8, FALSE)</f>
        <v>No</v>
      </c>
      <c r="H569" t="str">
        <f>VLOOKUP($A569, 'Medical Examinations'!A:J, 10, FALSE)</f>
        <v>No major surgery</v>
      </c>
      <c r="I569" t="str">
        <f>VLOOKUP($A569, 'Medical Examinations'!A:K, 11, FALSE)</f>
        <v>No</v>
      </c>
      <c r="J569" t="str">
        <f>VLOOKUP($A569, 'Medical Examinations'!A:B, 2, FALSE)</f>
        <v>Obesity</v>
      </c>
      <c r="K569" t="str">
        <f>VLOOKUP($A569, 'Medical Examinations'!A:D, 4, FALSE)</f>
        <v>Diabetes</v>
      </c>
    </row>
    <row r="570" spans="1:11" ht="15.5" x14ac:dyDescent="0.35">
      <c r="A570" s="1" t="s">
        <v>1802</v>
      </c>
      <c r="B570" t="str">
        <f>VLOOKUP($A570, 'Customer Names'!A:D, 3, FALSE)</f>
        <v>Strong</v>
      </c>
      <c r="C570">
        <f>VLOOKUP($A570,'Medical Examinations'!A:C, 3, FALSE)</f>
        <v>28.31</v>
      </c>
      <c r="D570" t="str">
        <f>VLOOKUP($A570, 'Medical Examinations'!A:D, 4, FALSE)</f>
        <v>Prediabetes</v>
      </c>
      <c r="E570" t="str">
        <f>VLOOKUP($A570, 'Medical Examinations'!A:F, 6, FALSE)</f>
        <v>No</v>
      </c>
      <c r="F570" t="str">
        <f>VLOOKUP($A570, 'Medical Examinations'!A:G, 7, FALSE)</f>
        <v>No</v>
      </c>
      <c r="G570" t="str">
        <f>VLOOKUP($A570, 'Medical Examinations'!A:H, 8, FALSE)</f>
        <v>Yes</v>
      </c>
      <c r="H570">
        <f>VLOOKUP($A570, 'Medical Examinations'!A:J, 10, FALSE)</f>
        <v>1</v>
      </c>
      <c r="I570" t="str">
        <f>VLOOKUP($A570, 'Medical Examinations'!A:K, 11, FALSE)</f>
        <v>yes</v>
      </c>
      <c r="J570" t="str">
        <f>VLOOKUP($A570, 'Medical Examinations'!A:B, 2, FALSE)</f>
        <v>Overweight</v>
      </c>
      <c r="K570" t="str">
        <f>VLOOKUP($A570, 'Medical Examinations'!A:D, 4, FALSE)</f>
        <v>Prediabetes</v>
      </c>
    </row>
    <row r="571" spans="1:11" ht="15.5" x14ac:dyDescent="0.35">
      <c r="A571" s="1" t="s">
        <v>1801</v>
      </c>
      <c r="B571" t="str">
        <f>VLOOKUP($A571, 'Customer Names'!A:D, 3, FALSE)</f>
        <v>Ferguson</v>
      </c>
      <c r="C571">
        <f>VLOOKUP($A571,'Medical Examinations'!A:C, 3, FALSE)</f>
        <v>22.99</v>
      </c>
      <c r="D571" t="str">
        <f>VLOOKUP($A571, 'Medical Examinations'!A:D, 4, FALSE)</f>
        <v>Prediabetes</v>
      </c>
      <c r="E571" t="str">
        <f>VLOOKUP($A571, 'Medical Examinations'!A:F, 6, FALSE)</f>
        <v>No</v>
      </c>
      <c r="F571" t="str">
        <f>VLOOKUP($A571, 'Medical Examinations'!A:G, 7, FALSE)</f>
        <v>No</v>
      </c>
      <c r="G571" t="str">
        <f>VLOOKUP($A571, 'Medical Examinations'!A:H, 8, FALSE)</f>
        <v>No</v>
      </c>
      <c r="H571">
        <f>VLOOKUP($A571, 'Medical Examinations'!A:J, 10, FALSE)</f>
        <v>1</v>
      </c>
      <c r="I571" t="str">
        <f>VLOOKUP($A571, 'Medical Examinations'!A:K, 11, FALSE)</f>
        <v>yes</v>
      </c>
      <c r="J571" t="str">
        <f>VLOOKUP($A571, 'Medical Examinations'!A:B, 2, FALSE)</f>
        <v>Normal Weight</v>
      </c>
      <c r="K571" t="str">
        <f>VLOOKUP($A571, 'Medical Examinations'!A:D, 4, FALSE)</f>
        <v>Prediabetes</v>
      </c>
    </row>
    <row r="572" spans="1:11" ht="15.5" x14ac:dyDescent="0.35">
      <c r="A572" s="1" t="s">
        <v>1800</v>
      </c>
      <c r="B572" t="str">
        <f>VLOOKUP($A572, 'Customer Names'!A:D, 3, FALSE)</f>
        <v>Klein</v>
      </c>
      <c r="C572">
        <f>VLOOKUP($A572,'Medical Examinations'!A:C, 3, FALSE)</f>
        <v>29.07</v>
      </c>
      <c r="D572" t="str">
        <f>VLOOKUP($A572, 'Medical Examinations'!A:D, 4, FALSE)</f>
        <v>Normal</v>
      </c>
      <c r="E572" t="str">
        <f>VLOOKUP($A572, 'Medical Examinations'!A:F, 6, FALSE)</f>
        <v>No</v>
      </c>
      <c r="F572" t="str">
        <f>VLOOKUP($A572, 'Medical Examinations'!A:G, 7, FALSE)</f>
        <v>No</v>
      </c>
      <c r="G572" t="str">
        <f>VLOOKUP($A572, 'Medical Examinations'!A:H, 8, FALSE)</f>
        <v>Yes</v>
      </c>
      <c r="H572">
        <f>VLOOKUP($A572, 'Medical Examinations'!A:J, 10, FALSE)</f>
        <v>1</v>
      </c>
      <c r="I572" t="str">
        <f>VLOOKUP($A572, 'Medical Examinations'!A:K, 11, FALSE)</f>
        <v>yes</v>
      </c>
      <c r="J572" t="str">
        <f>VLOOKUP($A572, 'Medical Examinations'!A:B, 2, FALSE)</f>
        <v>Overweight</v>
      </c>
      <c r="K572" t="str">
        <f>VLOOKUP($A572, 'Medical Examinations'!A:D, 4, FALSE)</f>
        <v>Normal</v>
      </c>
    </row>
    <row r="573" spans="1:11" ht="15.5" x14ac:dyDescent="0.35">
      <c r="A573" s="1" t="s">
        <v>1799</v>
      </c>
      <c r="B573" t="str">
        <f>VLOOKUP($A573, 'Customer Names'!A:D, 3, FALSE)</f>
        <v>Eusebio</v>
      </c>
      <c r="C573">
        <f>VLOOKUP($A573,'Medical Examinations'!A:C, 3, FALSE)</f>
        <v>42.02</v>
      </c>
      <c r="D573" t="str">
        <f>VLOOKUP($A573, 'Medical Examinations'!A:D, 4, FALSE)</f>
        <v>Diabetes</v>
      </c>
      <c r="E573" t="str">
        <f>VLOOKUP($A573, 'Medical Examinations'!A:F, 6, FALSE)</f>
        <v>yes</v>
      </c>
      <c r="F573" t="str">
        <f>VLOOKUP($A573, 'Medical Examinations'!A:G, 7, FALSE)</f>
        <v>No</v>
      </c>
      <c r="G573" t="str">
        <f>VLOOKUP($A573, 'Medical Examinations'!A:H, 8, FALSE)</f>
        <v>Yes</v>
      </c>
      <c r="H573">
        <f>VLOOKUP($A573, 'Medical Examinations'!A:J, 10, FALSE)</f>
        <v>1</v>
      </c>
      <c r="I573" t="str">
        <f>VLOOKUP($A573, 'Medical Examinations'!A:K, 11, FALSE)</f>
        <v>No</v>
      </c>
      <c r="J573" t="str">
        <f>VLOOKUP($A573, 'Medical Examinations'!A:B, 2, FALSE)</f>
        <v>Obesity</v>
      </c>
      <c r="K573" t="str">
        <f>VLOOKUP($A573, 'Medical Examinations'!A:D, 4, FALSE)</f>
        <v>Diabetes</v>
      </c>
    </row>
    <row r="574" spans="1:11" ht="15.5" x14ac:dyDescent="0.35">
      <c r="A574" s="1" t="s">
        <v>1798</v>
      </c>
      <c r="B574" t="str">
        <f>VLOOKUP($A574, 'Customer Names'!A:D, 3, FALSE)</f>
        <v>Szolosi</v>
      </c>
      <c r="C574">
        <f>VLOOKUP($A574,'Medical Examinations'!A:C, 3, FALSE)</f>
        <v>49.07</v>
      </c>
      <c r="D574" t="str">
        <f>VLOOKUP($A574, 'Medical Examinations'!A:D, 4, FALSE)</f>
        <v>Diabetes</v>
      </c>
      <c r="E574" t="str">
        <f>VLOOKUP($A574, 'Medical Examinations'!A:F, 6, FALSE)</f>
        <v>yes</v>
      </c>
      <c r="F574" t="str">
        <f>VLOOKUP($A574, 'Medical Examinations'!A:G, 7, FALSE)</f>
        <v>No</v>
      </c>
      <c r="G574" t="str">
        <f>VLOOKUP($A574, 'Medical Examinations'!A:H, 8, FALSE)</f>
        <v>No</v>
      </c>
      <c r="H574">
        <f>VLOOKUP($A574, 'Medical Examinations'!A:J, 10, FALSE)</f>
        <v>1</v>
      </c>
      <c r="I574" t="str">
        <f>VLOOKUP($A574, 'Medical Examinations'!A:K, 11, FALSE)</f>
        <v>No</v>
      </c>
      <c r="J574" t="str">
        <f>VLOOKUP($A574, 'Medical Examinations'!A:B, 2, FALSE)</f>
        <v>Obesity</v>
      </c>
      <c r="K574" t="str">
        <f>VLOOKUP($A574, 'Medical Examinations'!A:D, 4, FALSE)</f>
        <v>Diabetes</v>
      </c>
    </row>
    <row r="575" spans="1:11" ht="15.5" x14ac:dyDescent="0.35">
      <c r="A575" s="1" t="s">
        <v>1797</v>
      </c>
      <c r="B575" t="str">
        <f>VLOOKUP($A575, 'Customer Names'!A:D, 3, FALSE)</f>
        <v>Butler</v>
      </c>
      <c r="C575">
        <f>VLOOKUP($A575,'Medical Examinations'!A:C, 3, FALSE)</f>
        <v>19.8</v>
      </c>
      <c r="D575" t="str">
        <f>VLOOKUP($A575, 'Medical Examinations'!A:D, 4, FALSE)</f>
        <v>Normal</v>
      </c>
      <c r="E575" t="str">
        <f>VLOOKUP($A575, 'Medical Examinations'!A:F, 6, FALSE)</f>
        <v>No</v>
      </c>
      <c r="F575" t="str">
        <f>VLOOKUP($A575, 'Medical Examinations'!A:G, 7, FALSE)</f>
        <v>No</v>
      </c>
      <c r="G575" t="str">
        <f>VLOOKUP($A575, 'Medical Examinations'!A:H, 8, FALSE)</f>
        <v>No</v>
      </c>
      <c r="H575" t="str">
        <f>VLOOKUP($A575, 'Medical Examinations'!A:J, 10, FALSE)</f>
        <v>No major surgery</v>
      </c>
      <c r="I575" t="str">
        <f>VLOOKUP($A575, 'Medical Examinations'!A:K, 11, FALSE)</f>
        <v>yes</v>
      </c>
      <c r="J575" t="str">
        <f>VLOOKUP($A575, 'Medical Examinations'!A:B, 2, FALSE)</f>
        <v>Normal Weight</v>
      </c>
      <c r="K575" t="str">
        <f>VLOOKUP($A575, 'Medical Examinations'!A:D, 4, FALSE)</f>
        <v>Normal</v>
      </c>
    </row>
    <row r="576" spans="1:11" ht="15.5" x14ac:dyDescent="0.35">
      <c r="A576" s="1" t="s">
        <v>1796</v>
      </c>
      <c r="B576" t="str">
        <f>VLOOKUP($A576, 'Customer Names'!A:D, 3, FALSE)</f>
        <v>Fukuchi</v>
      </c>
      <c r="C576">
        <f>VLOOKUP($A576,'Medical Examinations'!A:C, 3, FALSE)</f>
        <v>27.36</v>
      </c>
      <c r="D576" t="str">
        <f>VLOOKUP($A576, 'Medical Examinations'!A:D, 4, FALSE)</f>
        <v>Normal</v>
      </c>
      <c r="E576" t="str">
        <f>VLOOKUP($A576, 'Medical Examinations'!A:F, 6, FALSE)</f>
        <v>No</v>
      </c>
      <c r="F576" t="str">
        <f>VLOOKUP($A576, 'Medical Examinations'!A:G, 7, FALSE)</f>
        <v>yes</v>
      </c>
      <c r="G576" t="str">
        <f>VLOOKUP($A576, 'Medical Examinations'!A:H, 8, FALSE)</f>
        <v>No</v>
      </c>
      <c r="H576">
        <f>VLOOKUP($A576, 'Medical Examinations'!A:J, 10, FALSE)</f>
        <v>1</v>
      </c>
      <c r="I576" t="str">
        <f>VLOOKUP($A576, 'Medical Examinations'!A:K, 11, FALSE)</f>
        <v>yes</v>
      </c>
      <c r="J576" t="str">
        <f>VLOOKUP($A576, 'Medical Examinations'!A:B, 2, FALSE)</f>
        <v>Overweight</v>
      </c>
      <c r="K576" t="str">
        <f>VLOOKUP($A576, 'Medical Examinations'!A:D, 4, FALSE)</f>
        <v>Normal</v>
      </c>
    </row>
    <row r="577" spans="1:11" ht="15.5" x14ac:dyDescent="0.35">
      <c r="A577" s="1" t="s">
        <v>1795</v>
      </c>
      <c r="B577" t="str">
        <f>VLOOKUP($A577, 'Customer Names'!A:D, 3, FALSE)</f>
        <v>Drucker</v>
      </c>
      <c r="C577">
        <f>VLOOKUP($A577,'Medical Examinations'!A:C, 3, FALSE)</f>
        <v>42.95</v>
      </c>
      <c r="D577" t="str">
        <f>VLOOKUP($A577, 'Medical Examinations'!A:D, 4, FALSE)</f>
        <v>Normal</v>
      </c>
      <c r="E577" t="str">
        <f>VLOOKUP($A577, 'Medical Examinations'!A:F, 6, FALSE)</f>
        <v>yes</v>
      </c>
      <c r="F577" t="str">
        <f>VLOOKUP($A577, 'Medical Examinations'!A:G, 7, FALSE)</f>
        <v>No</v>
      </c>
      <c r="G577" t="str">
        <f>VLOOKUP($A577, 'Medical Examinations'!A:H, 8, FALSE)</f>
        <v>No</v>
      </c>
      <c r="H577">
        <f>VLOOKUP($A577, 'Medical Examinations'!A:J, 10, FALSE)</f>
        <v>1</v>
      </c>
      <c r="I577" t="str">
        <f>VLOOKUP($A577, 'Medical Examinations'!A:K, 11, FALSE)</f>
        <v>No</v>
      </c>
      <c r="J577" t="str">
        <f>VLOOKUP($A577, 'Medical Examinations'!A:B, 2, FALSE)</f>
        <v>Obesity</v>
      </c>
      <c r="K577" t="str">
        <f>VLOOKUP($A577, 'Medical Examinations'!A:D, 4, FALSE)</f>
        <v>Normal</v>
      </c>
    </row>
    <row r="578" spans="1:11" ht="15.5" x14ac:dyDescent="0.35">
      <c r="A578" s="1" t="s">
        <v>1794</v>
      </c>
      <c r="B578" t="str">
        <f>VLOOKUP($A578, 'Customer Names'!A:D, 3, FALSE)</f>
        <v>Aziz</v>
      </c>
      <c r="C578">
        <f>VLOOKUP($A578,'Medical Examinations'!A:C, 3, FALSE)</f>
        <v>42.66</v>
      </c>
      <c r="D578" t="str">
        <f>VLOOKUP($A578, 'Medical Examinations'!A:D, 4, FALSE)</f>
        <v>Diabetes</v>
      </c>
      <c r="E578" t="str">
        <f>VLOOKUP($A578, 'Medical Examinations'!A:F, 6, FALSE)</f>
        <v>No</v>
      </c>
      <c r="F578" t="str">
        <f>VLOOKUP($A578, 'Medical Examinations'!A:G, 7, FALSE)</f>
        <v>No</v>
      </c>
      <c r="G578" t="str">
        <f>VLOOKUP($A578, 'Medical Examinations'!A:H, 8, FALSE)</f>
        <v>No</v>
      </c>
      <c r="H578" t="str">
        <f>VLOOKUP($A578, 'Medical Examinations'!A:J, 10, FALSE)</f>
        <v>No major surgery</v>
      </c>
      <c r="I578" t="str">
        <f>VLOOKUP($A578, 'Medical Examinations'!A:K, 11, FALSE)</f>
        <v>No</v>
      </c>
      <c r="J578" t="str">
        <f>VLOOKUP($A578, 'Medical Examinations'!A:B, 2, FALSE)</f>
        <v>Obesity</v>
      </c>
      <c r="K578" t="str">
        <f>VLOOKUP($A578, 'Medical Examinations'!A:D, 4, FALSE)</f>
        <v>Diabetes</v>
      </c>
    </row>
    <row r="579" spans="1:11" ht="15.5" x14ac:dyDescent="0.35">
      <c r="A579" s="1" t="s">
        <v>1793</v>
      </c>
      <c r="B579" t="str">
        <f>VLOOKUP($A579, 'Customer Names'!A:D, 3, FALSE)</f>
        <v>Pak</v>
      </c>
      <c r="C579">
        <f>VLOOKUP($A579,'Medical Examinations'!A:C, 3, FALSE)</f>
        <v>33.630000000000003</v>
      </c>
      <c r="D579" t="str">
        <f>VLOOKUP($A579, 'Medical Examinations'!A:D, 4, FALSE)</f>
        <v>Normal</v>
      </c>
      <c r="E579" t="str">
        <f>VLOOKUP($A579, 'Medical Examinations'!A:F, 6, FALSE)</f>
        <v>No</v>
      </c>
      <c r="F579" t="str">
        <f>VLOOKUP($A579, 'Medical Examinations'!A:G, 7, FALSE)</f>
        <v>No</v>
      </c>
      <c r="G579" t="str">
        <f>VLOOKUP($A579, 'Medical Examinations'!A:H, 8, FALSE)</f>
        <v>No</v>
      </c>
      <c r="H579">
        <f>VLOOKUP($A579, 'Medical Examinations'!A:J, 10, FALSE)</f>
        <v>1</v>
      </c>
      <c r="I579" t="str">
        <f>VLOOKUP($A579, 'Medical Examinations'!A:K, 11, FALSE)</f>
        <v>No</v>
      </c>
      <c r="J579" t="str">
        <f>VLOOKUP($A579, 'Medical Examinations'!A:B, 2, FALSE)</f>
        <v>Obesity</v>
      </c>
      <c r="K579" t="str">
        <f>VLOOKUP($A579, 'Medical Examinations'!A:D, 4, FALSE)</f>
        <v>Normal</v>
      </c>
    </row>
    <row r="580" spans="1:11" ht="15.5" x14ac:dyDescent="0.35">
      <c r="A580" s="1" t="s">
        <v>1792</v>
      </c>
      <c r="B580" t="str">
        <f>VLOOKUP($A580, 'Customer Names'!A:D, 3, FALSE)</f>
        <v>Kieta</v>
      </c>
      <c r="C580">
        <f>VLOOKUP($A580,'Medical Examinations'!A:C, 3, FALSE)</f>
        <v>26.84</v>
      </c>
      <c r="D580" t="str">
        <f>VLOOKUP($A580, 'Medical Examinations'!A:D, 4, FALSE)</f>
        <v>Diabetes</v>
      </c>
      <c r="E580" t="str">
        <f>VLOOKUP($A580, 'Medical Examinations'!A:F, 6, FALSE)</f>
        <v>No</v>
      </c>
      <c r="F580" t="str">
        <f>VLOOKUP($A580, 'Medical Examinations'!A:G, 7, FALSE)</f>
        <v>No</v>
      </c>
      <c r="G580" t="str">
        <f>VLOOKUP($A580, 'Medical Examinations'!A:H, 8, FALSE)</f>
        <v>No</v>
      </c>
      <c r="H580" t="str">
        <f>VLOOKUP($A580, 'Medical Examinations'!A:J, 10, FALSE)</f>
        <v>No major surgery</v>
      </c>
      <c r="I580" t="str">
        <f>VLOOKUP($A580, 'Medical Examinations'!A:K, 11, FALSE)</f>
        <v>yes</v>
      </c>
      <c r="J580" t="str">
        <f>VLOOKUP($A580, 'Medical Examinations'!A:B, 2, FALSE)</f>
        <v>Overweight</v>
      </c>
      <c r="K580" t="str">
        <f>VLOOKUP($A580, 'Medical Examinations'!A:D, 4, FALSE)</f>
        <v>Diabetes</v>
      </c>
    </row>
    <row r="581" spans="1:11" ht="15.5" x14ac:dyDescent="0.35">
      <c r="A581" s="1" t="s">
        <v>1791</v>
      </c>
      <c r="B581" t="str">
        <f>VLOOKUP($A581, 'Customer Names'!A:D, 3, FALSE)</f>
        <v>Velez</v>
      </c>
      <c r="C581">
        <f>VLOOKUP($A581,'Medical Examinations'!A:C, 3, FALSE)</f>
        <v>28.3</v>
      </c>
      <c r="D581" t="str">
        <f>VLOOKUP($A581, 'Medical Examinations'!A:D, 4, FALSE)</f>
        <v>Prediabetes</v>
      </c>
      <c r="E581" t="str">
        <f>VLOOKUP($A581, 'Medical Examinations'!A:F, 6, FALSE)</f>
        <v>No</v>
      </c>
      <c r="F581" t="str">
        <f>VLOOKUP($A581, 'Medical Examinations'!A:G, 7, FALSE)</f>
        <v>No</v>
      </c>
      <c r="G581" t="str">
        <f>VLOOKUP($A581, 'Medical Examinations'!A:H, 8, FALSE)</f>
        <v>Yes</v>
      </c>
      <c r="H581">
        <f>VLOOKUP($A581, 'Medical Examinations'!A:J, 10, FALSE)</f>
        <v>1</v>
      </c>
      <c r="I581" t="str">
        <f>VLOOKUP($A581, 'Medical Examinations'!A:K, 11, FALSE)</f>
        <v>yes</v>
      </c>
      <c r="J581" t="str">
        <f>VLOOKUP($A581, 'Medical Examinations'!A:B, 2, FALSE)</f>
        <v>Overweight</v>
      </c>
      <c r="K581" t="str">
        <f>VLOOKUP($A581, 'Medical Examinations'!A:D, 4, FALSE)</f>
        <v>Prediabetes</v>
      </c>
    </row>
    <row r="582" spans="1:11" ht="15.5" x14ac:dyDescent="0.35">
      <c r="A582" s="1" t="s">
        <v>1790</v>
      </c>
      <c r="B582" t="str">
        <f>VLOOKUP($A582, 'Customer Names'!A:D, 3, FALSE)</f>
        <v>Bussiere</v>
      </c>
      <c r="C582">
        <f>VLOOKUP($A582,'Medical Examinations'!A:C, 3, FALSE)</f>
        <v>27.06</v>
      </c>
      <c r="D582" t="str">
        <f>VLOOKUP($A582, 'Medical Examinations'!A:D, 4, FALSE)</f>
        <v>Prediabetes</v>
      </c>
      <c r="E582" t="str">
        <f>VLOOKUP($A582, 'Medical Examinations'!A:F, 6, FALSE)</f>
        <v>yes</v>
      </c>
      <c r="F582" t="str">
        <f>VLOOKUP($A582, 'Medical Examinations'!A:G, 7, FALSE)</f>
        <v>No</v>
      </c>
      <c r="G582" t="str">
        <f>VLOOKUP($A582, 'Medical Examinations'!A:H, 8, FALSE)</f>
        <v>No</v>
      </c>
      <c r="H582" t="str">
        <f>VLOOKUP($A582, 'Medical Examinations'!A:J, 10, FALSE)</f>
        <v>No major surgery</v>
      </c>
      <c r="I582" t="str">
        <f>VLOOKUP($A582, 'Medical Examinations'!A:K, 11, FALSE)</f>
        <v>yes</v>
      </c>
      <c r="J582" t="str">
        <f>VLOOKUP($A582, 'Medical Examinations'!A:B, 2, FALSE)</f>
        <v>Overweight</v>
      </c>
      <c r="K582" t="str">
        <f>VLOOKUP($A582, 'Medical Examinations'!A:D, 4, FALSE)</f>
        <v>Prediabetes</v>
      </c>
    </row>
    <row r="583" spans="1:11" ht="15.5" x14ac:dyDescent="0.35">
      <c r="A583" s="1" t="s">
        <v>1789</v>
      </c>
      <c r="B583" t="str">
        <f>VLOOKUP($A583, 'Customer Names'!A:D, 3, FALSE)</f>
        <v>McCartney</v>
      </c>
      <c r="C583">
        <f>VLOOKUP($A583,'Medical Examinations'!A:C, 3, FALSE)</f>
        <v>47.13</v>
      </c>
      <c r="D583" t="str">
        <f>VLOOKUP($A583, 'Medical Examinations'!A:D, 4, FALSE)</f>
        <v>Diabetes</v>
      </c>
      <c r="E583" t="str">
        <f>VLOOKUP($A583, 'Medical Examinations'!A:F, 6, FALSE)</f>
        <v>No</v>
      </c>
      <c r="F583" t="str">
        <f>VLOOKUP($A583, 'Medical Examinations'!A:G, 7, FALSE)</f>
        <v>No</v>
      </c>
      <c r="G583" t="str">
        <f>VLOOKUP($A583, 'Medical Examinations'!A:H, 8, FALSE)</f>
        <v>No</v>
      </c>
      <c r="H583" t="str">
        <f>VLOOKUP($A583, 'Medical Examinations'!A:J, 10, FALSE)</f>
        <v>No major surgery</v>
      </c>
      <c r="I583" t="str">
        <f>VLOOKUP($A583, 'Medical Examinations'!A:K, 11, FALSE)</f>
        <v>No</v>
      </c>
      <c r="J583" t="str">
        <f>VLOOKUP($A583, 'Medical Examinations'!A:B, 2, FALSE)</f>
        <v>Obesity</v>
      </c>
      <c r="K583" t="str">
        <f>VLOOKUP($A583, 'Medical Examinations'!A:D, 4, FALSE)</f>
        <v>Diabetes</v>
      </c>
    </row>
    <row r="584" spans="1:11" ht="15.5" x14ac:dyDescent="0.35">
      <c r="A584" s="1" t="s">
        <v>1788</v>
      </c>
      <c r="B584" t="str">
        <f>VLOOKUP($A584, 'Customer Names'!A:D, 3, FALSE)</f>
        <v>Bambauer</v>
      </c>
      <c r="C584">
        <f>VLOOKUP($A584,'Medical Examinations'!A:C, 3, FALSE)</f>
        <v>51.72</v>
      </c>
      <c r="D584" t="str">
        <f>VLOOKUP($A584, 'Medical Examinations'!A:D, 4, FALSE)</f>
        <v>Normal</v>
      </c>
      <c r="E584" t="str">
        <f>VLOOKUP($A584, 'Medical Examinations'!A:F, 6, FALSE)</f>
        <v>No</v>
      </c>
      <c r="F584" t="str">
        <f>VLOOKUP($A584, 'Medical Examinations'!A:G, 7, FALSE)</f>
        <v>No</v>
      </c>
      <c r="G584" t="str">
        <f>VLOOKUP($A584, 'Medical Examinations'!A:H, 8, FALSE)</f>
        <v>No</v>
      </c>
      <c r="H584" t="str">
        <f>VLOOKUP($A584, 'Medical Examinations'!A:J, 10, FALSE)</f>
        <v>No major surgery</v>
      </c>
      <c r="I584" t="str">
        <f>VLOOKUP($A584, 'Medical Examinations'!A:K, 11, FALSE)</f>
        <v>No</v>
      </c>
      <c r="J584" t="str">
        <f>VLOOKUP($A584, 'Medical Examinations'!A:B, 2, FALSE)</f>
        <v>Obesity</v>
      </c>
      <c r="K584" t="str">
        <f>VLOOKUP($A584, 'Medical Examinations'!A:D, 4, FALSE)</f>
        <v>Normal</v>
      </c>
    </row>
    <row r="585" spans="1:11" ht="15.5" x14ac:dyDescent="0.35">
      <c r="A585" s="1" t="s">
        <v>1787</v>
      </c>
      <c r="B585" t="str">
        <f>VLOOKUP($A585, 'Customer Names'!A:D, 3, FALSE)</f>
        <v>Mertz</v>
      </c>
      <c r="C585">
        <f>VLOOKUP($A585,'Medical Examinations'!A:C, 3, FALSE)</f>
        <v>48.59</v>
      </c>
      <c r="D585" t="str">
        <f>VLOOKUP($A585, 'Medical Examinations'!A:D, 4, FALSE)</f>
        <v>Normal</v>
      </c>
      <c r="E585" t="str">
        <f>VLOOKUP($A585, 'Medical Examinations'!A:F, 6, FALSE)</f>
        <v>No</v>
      </c>
      <c r="F585" t="str">
        <f>VLOOKUP($A585, 'Medical Examinations'!A:G, 7, FALSE)</f>
        <v>No</v>
      </c>
      <c r="G585" t="str">
        <f>VLOOKUP($A585, 'Medical Examinations'!A:H, 8, FALSE)</f>
        <v>No</v>
      </c>
      <c r="H585" t="str">
        <f>VLOOKUP($A585, 'Medical Examinations'!A:J, 10, FALSE)</f>
        <v>No major surgery</v>
      </c>
      <c r="I585" t="str">
        <f>VLOOKUP($A585, 'Medical Examinations'!A:K, 11, FALSE)</f>
        <v>No</v>
      </c>
      <c r="J585" t="str">
        <f>VLOOKUP($A585, 'Medical Examinations'!A:B, 2, FALSE)</f>
        <v>Obesity</v>
      </c>
      <c r="K585" t="str">
        <f>VLOOKUP($A585, 'Medical Examinations'!A:D, 4, FALSE)</f>
        <v>Normal</v>
      </c>
    </row>
    <row r="586" spans="1:11" ht="15.5" x14ac:dyDescent="0.35">
      <c r="A586" s="1" t="s">
        <v>1786</v>
      </c>
      <c r="B586" t="str">
        <f>VLOOKUP($A586, 'Customer Names'!A:D, 3, FALSE)</f>
        <v>Mason</v>
      </c>
      <c r="C586">
        <f>VLOOKUP($A586,'Medical Examinations'!A:C, 3, FALSE)</f>
        <v>45.18</v>
      </c>
      <c r="D586" t="str">
        <f>VLOOKUP($A586, 'Medical Examinations'!A:D, 4, FALSE)</f>
        <v>Diabetes</v>
      </c>
      <c r="E586" t="str">
        <f>VLOOKUP($A586, 'Medical Examinations'!A:F, 6, FALSE)</f>
        <v>No</v>
      </c>
      <c r="F586" t="str">
        <f>VLOOKUP($A586, 'Medical Examinations'!A:G, 7, FALSE)</f>
        <v>No</v>
      </c>
      <c r="G586" t="str">
        <f>VLOOKUP($A586, 'Medical Examinations'!A:H, 8, FALSE)</f>
        <v>No</v>
      </c>
      <c r="H586" t="str">
        <f>VLOOKUP($A586, 'Medical Examinations'!A:J, 10, FALSE)</f>
        <v>No major surgery</v>
      </c>
      <c r="I586" t="str">
        <f>VLOOKUP($A586, 'Medical Examinations'!A:K, 11, FALSE)</f>
        <v>No</v>
      </c>
      <c r="J586" t="str">
        <f>VLOOKUP($A586, 'Medical Examinations'!A:B, 2, FALSE)</f>
        <v>Obesity</v>
      </c>
      <c r="K586" t="str">
        <f>VLOOKUP($A586, 'Medical Examinations'!A:D, 4, FALSE)</f>
        <v>Diabetes</v>
      </c>
    </row>
    <row r="587" spans="1:11" ht="15.5" x14ac:dyDescent="0.35">
      <c r="A587" s="1" t="s">
        <v>1785</v>
      </c>
      <c r="B587" t="str">
        <f>VLOOKUP($A587, 'Customer Names'!A:D, 3, FALSE)</f>
        <v>Rotich</v>
      </c>
      <c r="C587">
        <f>VLOOKUP($A587,'Medical Examinations'!A:C, 3, FALSE)</f>
        <v>27.9</v>
      </c>
      <c r="D587" t="str">
        <f>VLOOKUP($A587, 'Medical Examinations'!A:D, 4, FALSE)</f>
        <v>Prediabetes</v>
      </c>
      <c r="E587" t="str">
        <f>VLOOKUP($A587, 'Medical Examinations'!A:F, 6, FALSE)</f>
        <v>No</v>
      </c>
      <c r="F587" t="str">
        <f>VLOOKUP($A587, 'Medical Examinations'!A:G, 7, FALSE)</f>
        <v>No</v>
      </c>
      <c r="G587" t="str">
        <f>VLOOKUP($A587, 'Medical Examinations'!A:H, 8, FALSE)</f>
        <v>Yes</v>
      </c>
      <c r="H587">
        <f>VLOOKUP($A587, 'Medical Examinations'!A:J, 10, FALSE)</f>
        <v>1</v>
      </c>
      <c r="I587" t="str">
        <f>VLOOKUP($A587, 'Medical Examinations'!A:K, 11, FALSE)</f>
        <v>yes</v>
      </c>
      <c r="J587" t="str">
        <f>VLOOKUP($A587, 'Medical Examinations'!A:B, 2, FALSE)</f>
        <v>Overweight</v>
      </c>
      <c r="K587" t="str">
        <f>VLOOKUP($A587, 'Medical Examinations'!A:D, 4, FALSE)</f>
        <v>Prediabetes</v>
      </c>
    </row>
    <row r="588" spans="1:11" ht="15.5" x14ac:dyDescent="0.35">
      <c r="A588" s="1" t="s">
        <v>1784</v>
      </c>
      <c r="B588" t="str">
        <f>VLOOKUP($A588, 'Customer Names'!A:D, 3, FALSE)</f>
        <v>Fetzer</v>
      </c>
      <c r="C588">
        <f>VLOOKUP($A588,'Medical Examinations'!A:C, 3, FALSE)</f>
        <v>51.33</v>
      </c>
      <c r="D588" t="str">
        <f>VLOOKUP($A588, 'Medical Examinations'!A:D, 4, FALSE)</f>
        <v>Diabetes</v>
      </c>
      <c r="E588" t="str">
        <f>VLOOKUP($A588, 'Medical Examinations'!A:F, 6, FALSE)</f>
        <v>No</v>
      </c>
      <c r="F588" t="str">
        <f>VLOOKUP($A588, 'Medical Examinations'!A:G, 7, FALSE)</f>
        <v>No</v>
      </c>
      <c r="G588" t="str">
        <f>VLOOKUP($A588, 'Medical Examinations'!A:H, 8, FALSE)</f>
        <v>No</v>
      </c>
      <c r="H588" t="str">
        <f>VLOOKUP($A588, 'Medical Examinations'!A:J, 10, FALSE)</f>
        <v>No major surgery</v>
      </c>
      <c r="I588" t="str">
        <f>VLOOKUP($A588, 'Medical Examinations'!A:K, 11, FALSE)</f>
        <v>No</v>
      </c>
      <c r="J588" t="str">
        <f>VLOOKUP($A588, 'Medical Examinations'!A:B, 2, FALSE)</f>
        <v>Obesity</v>
      </c>
      <c r="K588" t="str">
        <f>VLOOKUP($A588, 'Medical Examinations'!A:D, 4, FALSE)</f>
        <v>Diabetes</v>
      </c>
    </row>
    <row r="589" spans="1:11" ht="15.5" x14ac:dyDescent="0.35">
      <c r="A589" s="1" t="s">
        <v>1783</v>
      </c>
      <c r="B589" t="str">
        <f>VLOOKUP($A589, 'Customer Names'!A:D, 3, FALSE)</f>
        <v>Mattis</v>
      </c>
      <c r="C589">
        <f>VLOOKUP($A589,'Medical Examinations'!A:C, 3, FALSE)</f>
        <v>30.59</v>
      </c>
      <c r="D589" t="str">
        <f>VLOOKUP($A589, 'Medical Examinations'!A:D, 4, FALSE)</f>
        <v>Normal</v>
      </c>
      <c r="E589" t="str">
        <f>VLOOKUP($A589, 'Medical Examinations'!A:F, 6, FALSE)</f>
        <v>yes</v>
      </c>
      <c r="F589" t="str">
        <f>VLOOKUP($A589, 'Medical Examinations'!A:G, 7, FALSE)</f>
        <v>No</v>
      </c>
      <c r="G589" t="str">
        <f>VLOOKUP($A589, 'Medical Examinations'!A:H, 8, FALSE)</f>
        <v>No</v>
      </c>
      <c r="H589">
        <f>VLOOKUP($A589, 'Medical Examinations'!A:J, 10, FALSE)</f>
        <v>1</v>
      </c>
      <c r="I589" t="str">
        <f>VLOOKUP($A589, 'Medical Examinations'!A:K, 11, FALSE)</f>
        <v>No</v>
      </c>
      <c r="J589" t="str">
        <f>VLOOKUP($A589, 'Medical Examinations'!A:B, 2, FALSE)</f>
        <v>Obesity</v>
      </c>
      <c r="K589" t="str">
        <f>VLOOKUP($A589, 'Medical Examinations'!A:D, 4, FALSE)</f>
        <v>Normal</v>
      </c>
    </row>
    <row r="590" spans="1:11" ht="15.5" x14ac:dyDescent="0.35">
      <c r="A590" s="1" t="s">
        <v>1782</v>
      </c>
      <c r="B590" t="str">
        <f>VLOOKUP($A590, 'Customer Names'!A:D, 3, FALSE)</f>
        <v>Cochran</v>
      </c>
      <c r="C590">
        <f>VLOOKUP($A590,'Medical Examinations'!A:C, 3, FALSE)</f>
        <v>39.229999999999997</v>
      </c>
      <c r="D590" t="str">
        <f>VLOOKUP($A590, 'Medical Examinations'!A:D, 4, FALSE)</f>
        <v>Diabetes</v>
      </c>
      <c r="E590" t="str">
        <f>VLOOKUP($A590, 'Medical Examinations'!A:F, 6, FALSE)</f>
        <v>No</v>
      </c>
      <c r="F590" t="str">
        <f>VLOOKUP($A590, 'Medical Examinations'!A:G, 7, FALSE)</f>
        <v>No</v>
      </c>
      <c r="G590" t="str">
        <f>VLOOKUP($A590, 'Medical Examinations'!A:H, 8, FALSE)</f>
        <v>No</v>
      </c>
      <c r="H590" t="str">
        <f>VLOOKUP($A590, 'Medical Examinations'!A:J, 10, FALSE)</f>
        <v>No major surgery</v>
      </c>
      <c r="I590" t="str">
        <f>VLOOKUP($A590, 'Medical Examinations'!A:K, 11, FALSE)</f>
        <v>No</v>
      </c>
      <c r="J590" t="str">
        <f>VLOOKUP($A590, 'Medical Examinations'!A:B, 2, FALSE)</f>
        <v>Obesity</v>
      </c>
      <c r="K590" t="str">
        <f>VLOOKUP($A590, 'Medical Examinations'!A:D, 4, FALSE)</f>
        <v>Diabetes</v>
      </c>
    </row>
    <row r="591" spans="1:11" ht="15.5" x14ac:dyDescent="0.35">
      <c r="A591" s="1" t="s">
        <v>1781</v>
      </c>
      <c r="B591" t="str">
        <f>VLOOKUP($A591, 'Customer Names'!A:D, 3, FALSE)</f>
        <v>Balinsky</v>
      </c>
      <c r="C591">
        <f>VLOOKUP($A591,'Medical Examinations'!A:C, 3, FALSE)</f>
        <v>19.094999999999999</v>
      </c>
      <c r="D591" t="str">
        <f>VLOOKUP($A591, 'Medical Examinations'!A:D, 4, FALSE)</f>
        <v>Prediabetes</v>
      </c>
      <c r="E591" t="str">
        <f>VLOOKUP($A591, 'Medical Examinations'!A:F, 6, FALSE)</f>
        <v>No</v>
      </c>
      <c r="F591" t="str">
        <f>VLOOKUP($A591, 'Medical Examinations'!A:G, 7, FALSE)</f>
        <v>No</v>
      </c>
      <c r="G591" t="str">
        <f>VLOOKUP($A591, 'Medical Examinations'!A:H, 8, FALSE)</f>
        <v>No</v>
      </c>
      <c r="H591" t="str">
        <f>VLOOKUP($A591, 'Medical Examinations'!A:J, 10, FALSE)</f>
        <v>No major surgery</v>
      </c>
      <c r="I591" t="str">
        <f>VLOOKUP($A591, 'Medical Examinations'!A:K, 11, FALSE)</f>
        <v>yes</v>
      </c>
      <c r="J591" t="str">
        <f>VLOOKUP($A591, 'Medical Examinations'!A:B, 2, FALSE)</f>
        <v>Normal Weight</v>
      </c>
      <c r="K591" t="str">
        <f>VLOOKUP($A591, 'Medical Examinations'!A:D, 4, FALSE)</f>
        <v>Prediabetes</v>
      </c>
    </row>
    <row r="592" spans="1:11" ht="15.5" x14ac:dyDescent="0.35">
      <c r="A592" s="1" t="s">
        <v>1780</v>
      </c>
      <c r="B592" t="str">
        <f>VLOOKUP($A592, 'Customer Names'!A:D, 3, FALSE)</f>
        <v>Reilly</v>
      </c>
      <c r="C592">
        <f>VLOOKUP($A592,'Medical Examinations'!A:C, 3, FALSE)</f>
        <v>49.72</v>
      </c>
      <c r="D592" t="str">
        <f>VLOOKUP($A592, 'Medical Examinations'!A:D, 4, FALSE)</f>
        <v>Diabetes</v>
      </c>
      <c r="E592" t="str">
        <f>VLOOKUP($A592, 'Medical Examinations'!A:F, 6, FALSE)</f>
        <v>No</v>
      </c>
      <c r="F592" t="str">
        <f>VLOOKUP($A592, 'Medical Examinations'!A:G, 7, FALSE)</f>
        <v>No</v>
      </c>
      <c r="G592" t="str">
        <f>VLOOKUP($A592, 'Medical Examinations'!A:H, 8, FALSE)</f>
        <v>No</v>
      </c>
      <c r="H592" t="str">
        <f>VLOOKUP($A592, 'Medical Examinations'!A:J, 10, FALSE)</f>
        <v>No major surgery</v>
      </c>
      <c r="I592" t="str">
        <f>VLOOKUP($A592, 'Medical Examinations'!A:K, 11, FALSE)</f>
        <v>No</v>
      </c>
      <c r="J592" t="str">
        <f>VLOOKUP($A592, 'Medical Examinations'!A:B, 2, FALSE)</f>
        <v>Obesity</v>
      </c>
      <c r="K592" t="str">
        <f>VLOOKUP($A592, 'Medical Examinations'!A:D, 4, FALSE)</f>
        <v>Diabetes</v>
      </c>
    </row>
    <row r="593" spans="1:11" ht="15.5" x14ac:dyDescent="0.35">
      <c r="A593" s="1" t="s">
        <v>1779</v>
      </c>
      <c r="B593" t="str">
        <f>VLOOKUP($A593, 'Customer Names'!A:D, 3, FALSE)</f>
        <v>Johnson</v>
      </c>
      <c r="C593">
        <f>VLOOKUP($A593,'Medical Examinations'!A:C, 3, FALSE)</f>
        <v>21.754999999999999</v>
      </c>
      <c r="D593" t="str">
        <f>VLOOKUP($A593, 'Medical Examinations'!A:D, 4, FALSE)</f>
        <v>Normal</v>
      </c>
      <c r="E593" t="str">
        <f>VLOOKUP($A593, 'Medical Examinations'!A:F, 6, FALSE)</f>
        <v>No</v>
      </c>
      <c r="F593" t="str">
        <f>VLOOKUP($A593, 'Medical Examinations'!A:G, 7, FALSE)</f>
        <v>No</v>
      </c>
      <c r="G593" t="str">
        <f>VLOOKUP($A593, 'Medical Examinations'!A:H, 8, FALSE)</f>
        <v>Yes</v>
      </c>
      <c r="H593">
        <f>VLOOKUP($A593, 'Medical Examinations'!A:J, 10, FALSE)</f>
        <v>1</v>
      </c>
      <c r="I593" t="str">
        <f>VLOOKUP($A593, 'Medical Examinations'!A:K, 11, FALSE)</f>
        <v>yes</v>
      </c>
      <c r="J593" t="str">
        <f>VLOOKUP($A593, 'Medical Examinations'!A:B, 2, FALSE)</f>
        <v>Normal Weight</v>
      </c>
      <c r="K593" t="str">
        <f>VLOOKUP($A593, 'Medical Examinations'!A:D, 4, FALSE)</f>
        <v>Normal</v>
      </c>
    </row>
    <row r="594" spans="1:11" ht="15.5" x14ac:dyDescent="0.35">
      <c r="A594" s="1" t="s">
        <v>1778</v>
      </c>
      <c r="B594" t="str">
        <f>VLOOKUP($A594, 'Customer Names'!A:D, 3, FALSE)</f>
        <v>Petry</v>
      </c>
      <c r="C594">
        <f>VLOOKUP($A594,'Medical Examinations'!A:C, 3, FALSE)</f>
        <v>48.39</v>
      </c>
      <c r="D594" t="str">
        <f>VLOOKUP($A594, 'Medical Examinations'!A:D, 4, FALSE)</f>
        <v>Normal</v>
      </c>
      <c r="E594" t="str">
        <f>VLOOKUP($A594, 'Medical Examinations'!A:F, 6, FALSE)</f>
        <v>No</v>
      </c>
      <c r="F594" t="str">
        <f>VLOOKUP($A594, 'Medical Examinations'!A:G, 7, FALSE)</f>
        <v>No</v>
      </c>
      <c r="G594" t="str">
        <f>VLOOKUP($A594, 'Medical Examinations'!A:H, 8, FALSE)</f>
        <v>No</v>
      </c>
      <c r="H594" t="str">
        <f>VLOOKUP($A594, 'Medical Examinations'!A:J, 10, FALSE)</f>
        <v>No major surgery</v>
      </c>
      <c r="I594" t="str">
        <f>VLOOKUP($A594, 'Medical Examinations'!A:K, 11, FALSE)</f>
        <v>No</v>
      </c>
      <c r="J594" t="str">
        <f>VLOOKUP($A594, 'Medical Examinations'!A:B, 2, FALSE)</f>
        <v>Obesity</v>
      </c>
      <c r="K594" t="str">
        <f>VLOOKUP($A594, 'Medical Examinations'!A:D, 4, FALSE)</f>
        <v>Normal</v>
      </c>
    </row>
    <row r="595" spans="1:11" ht="15.5" x14ac:dyDescent="0.35">
      <c r="A595" s="1" t="s">
        <v>1777</v>
      </c>
      <c r="B595" t="str">
        <f>VLOOKUP($A595, 'Customer Names'!A:D, 3, FALSE)</f>
        <v>Laleman</v>
      </c>
      <c r="C595">
        <f>VLOOKUP($A595,'Medical Examinations'!A:C, 3, FALSE)</f>
        <v>47.15</v>
      </c>
      <c r="D595" t="str">
        <f>VLOOKUP($A595, 'Medical Examinations'!A:D, 4, FALSE)</f>
        <v>Diabetes</v>
      </c>
      <c r="E595" t="str">
        <f>VLOOKUP($A595, 'Medical Examinations'!A:F, 6, FALSE)</f>
        <v>yes</v>
      </c>
      <c r="F595" t="str">
        <f>VLOOKUP($A595, 'Medical Examinations'!A:G, 7, FALSE)</f>
        <v>No</v>
      </c>
      <c r="G595" t="str">
        <f>VLOOKUP($A595, 'Medical Examinations'!A:H, 8, FALSE)</f>
        <v>No</v>
      </c>
      <c r="H595">
        <f>VLOOKUP($A595, 'Medical Examinations'!A:J, 10, FALSE)</f>
        <v>1</v>
      </c>
      <c r="I595" t="str">
        <f>VLOOKUP($A595, 'Medical Examinations'!A:K, 11, FALSE)</f>
        <v>No</v>
      </c>
      <c r="J595" t="str">
        <f>VLOOKUP($A595, 'Medical Examinations'!A:B, 2, FALSE)</f>
        <v>Obesity</v>
      </c>
      <c r="K595" t="str">
        <f>VLOOKUP($A595, 'Medical Examinations'!A:D, 4, FALSE)</f>
        <v>Diabetes</v>
      </c>
    </row>
    <row r="596" spans="1:11" ht="15.5" x14ac:dyDescent="0.35">
      <c r="A596" s="1" t="s">
        <v>1776</v>
      </c>
      <c r="B596" t="str">
        <f>VLOOKUP($A596, 'Customer Names'!A:D, 3, FALSE)</f>
        <v>Colby</v>
      </c>
      <c r="C596">
        <f>VLOOKUP($A596,'Medical Examinations'!A:C, 3, FALSE)</f>
        <v>47.59</v>
      </c>
      <c r="D596" t="str">
        <f>VLOOKUP($A596, 'Medical Examinations'!A:D, 4, FALSE)</f>
        <v>Diabetes</v>
      </c>
      <c r="E596" t="str">
        <f>VLOOKUP($A596, 'Medical Examinations'!A:F, 6, FALSE)</f>
        <v>yes</v>
      </c>
      <c r="F596" t="str">
        <f>VLOOKUP($A596, 'Medical Examinations'!A:G, 7, FALSE)</f>
        <v>No</v>
      </c>
      <c r="G596" t="str">
        <f>VLOOKUP($A596, 'Medical Examinations'!A:H, 8, FALSE)</f>
        <v>No</v>
      </c>
      <c r="H596">
        <f>VLOOKUP($A596, 'Medical Examinations'!A:J, 10, FALSE)</f>
        <v>2</v>
      </c>
      <c r="I596" t="str">
        <f>VLOOKUP($A596, 'Medical Examinations'!A:K, 11, FALSE)</f>
        <v>No</v>
      </c>
      <c r="J596" t="str">
        <f>VLOOKUP($A596, 'Medical Examinations'!A:B, 2, FALSE)</f>
        <v>Obesity</v>
      </c>
      <c r="K596" t="str">
        <f>VLOOKUP($A596, 'Medical Examinations'!A:D, 4, FALSE)</f>
        <v>Diabetes</v>
      </c>
    </row>
    <row r="597" spans="1:11" ht="15.5" x14ac:dyDescent="0.35">
      <c r="A597" s="1" t="s">
        <v>1775</v>
      </c>
      <c r="B597" t="str">
        <f>VLOOKUP($A597, 'Customer Names'!A:D, 3, FALSE)</f>
        <v>Wathke</v>
      </c>
      <c r="C597">
        <f>VLOOKUP($A597,'Medical Examinations'!A:C, 3, FALSE)</f>
        <v>39.81</v>
      </c>
      <c r="D597" t="str">
        <f>VLOOKUP($A597, 'Medical Examinations'!A:D, 4, FALSE)</f>
        <v>Diabetes</v>
      </c>
      <c r="E597" t="str">
        <f>VLOOKUP($A597, 'Medical Examinations'!A:F, 6, FALSE)</f>
        <v>yes</v>
      </c>
      <c r="F597" t="str">
        <f>VLOOKUP($A597, 'Medical Examinations'!A:G, 7, FALSE)</f>
        <v>No</v>
      </c>
      <c r="G597" t="str">
        <f>VLOOKUP($A597, 'Medical Examinations'!A:H, 8, FALSE)</f>
        <v>Yes</v>
      </c>
      <c r="H597">
        <f>VLOOKUP($A597, 'Medical Examinations'!A:J, 10, FALSE)</f>
        <v>1</v>
      </c>
      <c r="I597" t="str">
        <f>VLOOKUP($A597, 'Medical Examinations'!A:K, 11, FALSE)</f>
        <v>No</v>
      </c>
      <c r="J597" t="str">
        <f>VLOOKUP($A597, 'Medical Examinations'!A:B, 2, FALSE)</f>
        <v>Obesity</v>
      </c>
      <c r="K597" t="str">
        <f>VLOOKUP($A597, 'Medical Examinations'!A:D, 4, FALSE)</f>
        <v>Diabetes</v>
      </c>
    </row>
    <row r="598" spans="1:11" ht="15.5" x14ac:dyDescent="0.35">
      <c r="A598" s="1" t="s">
        <v>1774</v>
      </c>
      <c r="B598" t="str">
        <f>VLOOKUP($A598, 'Customer Names'!A:D, 3, FALSE)</f>
        <v>Daly</v>
      </c>
      <c r="C598">
        <f>VLOOKUP($A598,'Medical Examinations'!A:C, 3, FALSE)</f>
        <v>31.02</v>
      </c>
      <c r="D598" t="str">
        <f>VLOOKUP($A598, 'Medical Examinations'!A:D, 4, FALSE)</f>
        <v>Prediabetes</v>
      </c>
      <c r="E598" t="str">
        <f>VLOOKUP($A598, 'Medical Examinations'!A:F, 6, FALSE)</f>
        <v>yes</v>
      </c>
      <c r="F598" t="str">
        <f>VLOOKUP($A598, 'Medical Examinations'!A:G, 7, FALSE)</f>
        <v>No</v>
      </c>
      <c r="G598" t="str">
        <f>VLOOKUP($A598, 'Medical Examinations'!A:H, 8, FALSE)</f>
        <v>No</v>
      </c>
      <c r="H598" t="str">
        <f>VLOOKUP($A598, 'Medical Examinations'!A:J, 10, FALSE)</f>
        <v>No major surgery</v>
      </c>
      <c r="I598" t="str">
        <f>VLOOKUP($A598, 'Medical Examinations'!A:K, 11, FALSE)</f>
        <v>No</v>
      </c>
      <c r="J598" t="str">
        <f>VLOOKUP($A598, 'Medical Examinations'!A:B, 2, FALSE)</f>
        <v>Obesity</v>
      </c>
      <c r="K598" t="str">
        <f>VLOOKUP($A598, 'Medical Examinations'!A:D, 4, FALSE)</f>
        <v>Prediabetes</v>
      </c>
    </row>
    <row r="599" spans="1:11" ht="15.5" x14ac:dyDescent="0.35">
      <c r="A599" s="1" t="s">
        <v>1773</v>
      </c>
      <c r="B599" t="str">
        <f>VLOOKUP($A599, 'Customer Names'!A:D, 3, FALSE)</f>
        <v>Dillon</v>
      </c>
      <c r="C599">
        <f>VLOOKUP($A599,'Medical Examinations'!A:C, 3, FALSE)</f>
        <v>24.75</v>
      </c>
      <c r="D599" t="str">
        <f>VLOOKUP($A599, 'Medical Examinations'!A:D, 4, FALSE)</f>
        <v>Normal</v>
      </c>
      <c r="E599" t="str">
        <f>VLOOKUP($A599, 'Medical Examinations'!A:F, 6, FALSE)</f>
        <v>yes</v>
      </c>
      <c r="F599" t="str">
        <f>VLOOKUP($A599, 'Medical Examinations'!A:G, 7, FALSE)</f>
        <v>No</v>
      </c>
      <c r="G599" t="str">
        <f>VLOOKUP($A599, 'Medical Examinations'!A:H, 8, FALSE)</f>
        <v>No</v>
      </c>
      <c r="H599">
        <f>VLOOKUP($A599, 'Medical Examinations'!A:J, 10, FALSE)</f>
        <v>1</v>
      </c>
      <c r="I599" t="str">
        <f>VLOOKUP($A599, 'Medical Examinations'!A:K, 11, FALSE)</f>
        <v>yes</v>
      </c>
      <c r="J599" t="str">
        <f>VLOOKUP($A599, 'Medical Examinations'!A:B, 2, FALSE)</f>
        <v>Normal Weight</v>
      </c>
      <c r="K599" t="str">
        <f>VLOOKUP($A599, 'Medical Examinations'!A:D, 4, FALSE)</f>
        <v>Normal</v>
      </c>
    </row>
    <row r="600" spans="1:11" ht="15.5" x14ac:dyDescent="0.35">
      <c r="A600" s="1" t="s">
        <v>1772</v>
      </c>
      <c r="B600" t="str">
        <f>VLOOKUP($A600, 'Customer Names'!A:D, 3, FALSE)</f>
        <v>Pontes</v>
      </c>
      <c r="C600">
        <f>VLOOKUP($A600,'Medical Examinations'!A:C, 3, FALSE)</f>
        <v>30.114999999999998</v>
      </c>
      <c r="D600" t="str">
        <f>VLOOKUP($A600, 'Medical Examinations'!A:D, 4, FALSE)</f>
        <v>Diabetes</v>
      </c>
      <c r="E600" t="str">
        <f>VLOOKUP($A600, 'Medical Examinations'!A:F, 6, FALSE)</f>
        <v>No</v>
      </c>
      <c r="F600" t="str">
        <f>VLOOKUP($A600, 'Medical Examinations'!A:G, 7, FALSE)</f>
        <v>No</v>
      </c>
      <c r="G600" t="str">
        <f>VLOOKUP($A600, 'Medical Examinations'!A:H, 8, FALSE)</f>
        <v>No</v>
      </c>
      <c r="H600">
        <f>VLOOKUP($A600, 'Medical Examinations'!A:J, 10, FALSE)</f>
        <v>3</v>
      </c>
      <c r="I600" t="str">
        <f>VLOOKUP($A600, 'Medical Examinations'!A:K, 11, FALSE)</f>
        <v>No</v>
      </c>
      <c r="J600" t="str">
        <f>VLOOKUP($A600, 'Medical Examinations'!A:B, 2, FALSE)</f>
        <v>Obesity</v>
      </c>
      <c r="K600" t="str">
        <f>VLOOKUP($A600, 'Medical Examinations'!A:D, 4, FALSE)</f>
        <v>Diabetes</v>
      </c>
    </row>
    <row r="601" spans="1:11" ht="15.5" x14ac:dyDescent="0.35">
      <c r="A601" s="1" t="s">
        <v>1771</v>
      </c>
      <c r="B601" t="str">
        <f>VLOOKUP($A601, 'Customer Names'!A:D, 3, FALSE)</f>
        <v>Spies</v>
      </c>
      <c r="C601">
        <f>VLOOKUP($A601,'Medical Examinations'!A:C, 3, FALSE)</f>
        <v>26.03</v>
      </c>
      <c r="D601" t="str">
        <f>VLOOKUP($A601, 'Medical Examinations'!A:D, 4, FALSE)</f>
        <v>Normal</v>
      </c>
      <c r="E601" t="str">
        <f>VLOOKUP($A601, 'Medical Examinations'!A:F, 6, FALSE)</f>
        <v>No</v>
      </c>
      <c r="F601" t="str">
        <f>VLOOKUP($A601, 'Medical Examinations'!A:G, 7, FALSE)</f>
        <v>No</v>
      </c>
      <c r="G601" t="str">
        <f>VLOOKUP($A601, 'Medical Examinations'!A:H, 8, FALSE)</f>
        <v>Yes</v>
      </c>
      <c r="H601">
        <f>VLOOKUP($A601, 'Medical Examinations'!A:J, 10, FALSE)</f>
        <v>1</v>
      </c>
      <c r="I601" t="str">
        <f>VLOOKUP($A601, 'Medical Examinations'!A:K, 11, FALSE)</f>
        <v>yes</v>
      </c>
      <c r="J601" t="str">
        <f>VLOOKUP($A601, 'Medical Examinations'!A:B, 2, FALSE)</f>
        <v>Overweight</v>
      </c>
      <c r="K601" t="str">
        <f>VLOOKUP($A601, 'Medical Examinations'!A:D, 4, FALSE)</f>
        <v>Normal</v>
      </c>
    </row>
    <row r="602" spans="1:11" ht="15.5" x14ac:dyDescent="0.35">
      <c r="A602" s="1" t="s">
        <v>1770</v>
      </c>
      <c r="B602" t="str">
        <f>VLOOKUP($A602, 'Customer Names'!A:D, 3, FALSE)</f>
        <v>Greig</v>
      </c>
      <c r="C602">
        <f>VLOOKUP($A602,'Medical Examinations'!A:C, 3, FALSE)</f>
        <v>20.045000000000002</v>
      </c>
      <c r="D602" t="str">
        <f>VLOOKUP($A602, 'Medical Examinations'!A:D, 4, FALSE)</f>
        <v>Normal</v>
      </c>
      <c r="E602" t="str">
        <f>VLOOKUP($A602, 'Medical Examinations'!A:F, 6, FALSE)</f>
        <v>yes</v>
      </c>
      <c r="F602" t="str">
        <f>VLOOKUP($A602, 'Medical Examinations'!A:G, 7, FALSE)</f>
        <v>No</v>
      </c>
      <c r="G602" t="str">
        <f>VLOOKUP($A602, 'Medical Examinations'!A:H, 8, FALSE)</f>
        <v>No</v>
      </c>
      <c r="H602">
        <f>VLOOKUP($A602, 'Medical Examinations'!A:J, 10, FALSE)</f>
        <v>1</v>
      </c>
      <c r="I602" t="str">
        <f>VLOOKUP($A602, 'Medical Examinations'!A:K, 11, FALSE)</f>
        <v>yes</v>
      </c>
      <c r="J602" t="str">
        <f>VLOOKUP($A602, 'Medical Examinations'!A:B, 2, FALSE)</f>
        <v>Normal Weight</v>
      </c>
      <c r="K602" t="str">
        <f>VLOOKUP($A602, 'Medical Examinations'!A:D, 4, FALSE)</f>
        <v>Normal</v>
      </c>
    </row>
    <row r="603" spans="1:11" ht="15.5" x14ac:dyDescent="0.35">
      <c r="A603" s="1" t="s">
        <v>1769</v>
      </c>
      <c r="B603" t="str">
        <f>VLOOKUP($A603, 'Customer Names'!A:D, 3, FALSE)</f>
        <v>Scott</v>
      </c>
      <c r="C603">
        <f>VLOOKUP($A603,'Medical Examinations'!A:C, 3, FALSE)</f>
        <v>40.24</v>
      </c>
      <c r="D603" t="str">
        <f>VLOOKUP($A603, 'Medical Examinations'!A:D, 4, FALSE)</f>
        <v>Diabetes</v>
      </c>
      <c r="E603" t="str">
        <f>VLOOKUP($A603, 'Medical Examinations'!A:F, 6, FALSE)</f>
        <v>No</v>
      </c>
      <c r="F603" t="str">
        <f>VLOOKUP($A603, 'Medical Examinations'!A:G, 7, FALSE)</f>
        <v>No</v>
      </c>
      <c r="G603" t="str">
        <f>VLOOKUP($A603, 'Medical Examinations'!A:H, 8, FALSE)</f>
        <v>No</v>
      </c>
      <c r="H603" t="str">
        <f>VLOOKUP($A603, 'Medical Examinations'!A:J, 10, FALSE)</f>
        <v>No major surgery</v>
      </c>
      <c r="I603" t="str">
        <f>VLOOKUP($A603, 'Medical Examinations'!A:K, 11, FALSE)</f>
        <v>No</v>
      </c>
      <c r="J603" t="str">
        <f>VLOOKUP($A603, 'Medical Examinations'!A:B, 2, FALSE)</f>
        <v>Obesity</v>
      </c>
      <c r="K603" t="str">
        <f>VLOOKUP($A603, 'Medical Examinations'!A:D, 4, FALSE)</f>
        <v>Diabetes</v>
      </c>
    </row>
    <row r="604" spans="1:11" ht="15.5" x14ac:dyDescent="0.35">
      <c r="A604" s="1" t="s">
        <v>1768</v>
      </c>
      <c r="B604" t="str">
        <f>VLOOKUP($A604, 'Customer Names'!A:D, 3, FALSE)</f>
        <v>Erlandson</v>
      </c>
      <c r="C604">
        <f>VLOOKUP($A604,'Medical Examinations'!A:C, 3, FALSE)</f>
        <v>43.15</v>
      </c>
      <c r="D604" t="str">
        <f>VLOOKUP($A604, 'Medical Examinations'!A:D, 4, FALSE)</f>
        <v>Prediabetes</v>
      </c>
      <c r="E604" t="str">
        <f>VLOOKUP($A604, 'Medical Examinations'!A:F, 6, FALSE)</f>
        <v>yes</v>
      </c>
      <c r="F604" t="str">
        <f>VLOOKUP($A604, 'Medical Examinations'!A:G, 7, FALSE)</f>
        <v>No</v>
      </c>
      <c r="G604" t="str">
        <f>VLOOKUP($A604, 'Medical Examinations'!A:H, 8, FALSE)</f>
        <v>Yes</v>
      </c>
      <c r="H604">
        <f>VLOOKUP($A604, 'Medical Examinations'!A:J, 10, FALSE)</f>
        <v>1</v>
      </c>
      <c r="I604" t="str">
        <f>VLOOKUP($A604, 'Medical Examinations'!A:K, 11, FALSE)</f>
        <v>No</v>
      </c>
      <c r="J604" t="str">
        <f>VLOOKUP($A604, 'Medical Examinations'!A:B, 2, FALSE)</f>
        <v>Obesity</v>
      </c>
      <c r="K604" t="str">
        <f>VLOOKUP($A604, 'Medical Examinations'!A:D, 4, FALSE)</f>
        <v>Prediabetes</v>
      </c>
    </row>
    <row r="605" spans="1:11" ht="15.5" x14ac:dyDescent="0.35">
      <c r="A605" s="1" t="s">
        <v>1767</v>
      </c>
      <c r="B605" t="str">
        <f>VLOOKUP($A605, 'Customer Names'!A:D, 3, FALSE)</f>
        <v>Autrey</v>
      </c>
      <c r="C605">
        <f>VLOOKUP($A605,'Medical Examinations'!A:C, 3, FALSE)</f>
        <v>27.7</v>
      </c>
      <c r="D605" t="str">
        <f>VLOOKUP($A605, 'Medical Examinations'!A:D, 4, FALSE)</f>
        <v>Normal</v>
      </c>
      <c r="E605" t="str">
        <f>VLOOKUP($A605, 'Medical Examinations'!A:F, 6, FALSE)</f>
        <v>No</v>
      </c>
      <c r="F605" t="str">
        <f>VLOOKUP($A605, 'Medical Examinations'!A:G, 7, FALSE)</f>
        <v>No</v>
      </c>
      <c r="G605" t="str">
        <f>VLOOKUP($A605, 'Medical Examinations'!A:H, 8, FALSE)</f>
        <v>Yes</v>
      </c>
      <c r="H605">
        <f>VLOOKUP($A605, 'Medical Examinations'!A:J, 10, FALSE)</f>
        <v>1</v>
      </c>
      <c r="I605" t="str">
        <f>VLOOKUP($A605, 'Medical Examinations'!A:K, 11, FALSE)</f>
        <v>yes</v>
      </c>
      <c r="J605" t="str">
        <f>VLOOKUP($A605, 'Medical Examinations'!A:B, 2, FALSE)</f>
        <v>Overweight</v>
      </c>
      <c r="K605" t="str">
        <f>VLOOKUP($A605, 'Medical Examinations'!A:D, 4, FALSE)</f>
        <v>Normal</v>
      </c>
    </row>
    <row r="606" spans="1:11" ht="15.5" x14ac:dyDescent="0.35">
      <c r="A606" s="1" t="s">
        <v>1766</v>
      </c>
      <c r="B606" t="str">
        <f>VLOOKUP($A606, 'Customer Names'!A:D, 3, FALSE)</f>
        <v>Alleman</v>
      </c>
      <c r="C606">
        <f>VLOOKUP($A606,'Medical Examinations'!A:C, 3, FALSE)</f>
        <v>45.68</v>
      </c>
      <c r="D606" t="str">
        <f>VLOOKUP($A606, 'Medical Examinations'!A:D, 4, FALSE)</f>
        <v>Normal</v>
      </c>
      <c r="E606" t="str">
        <f>VLOOKUP($A606, 'Medical Examinations'!A:F, 6, FALSE)</f>
        <v>No</v>
      </c>
      <c r="F606" t="str">
        <f>VLOOKUP($A606, 'Medical Examinations'!A:G, 7, FALSE)</f>
        <v>No</v>
      </c>
      <c r="G606" t="str">
        <f>VLOOKUP($A606, 'Medical Examinations'!A:H, 8, FALSE)</f>
        <v>No</v>
      </c>
      <c r="H606">
        <f>VLOOKUP($A606, 'Medical Examinations'!A:J, 10, FALSE)</f>
        <v>2</v>
      </c>
      <c r="I606" t="str">
        <f>VLOOKUP($A606, 'Medical Examinations'!A:K, 11, FALSE)</f>
        <v>No</v>
      </c>
      <c r="J606" t="str">
        <f>VLOOKUP($A606, 'Medical Examinations'!A:B, 2, FALSE)</f>
        <v>Obesity</v>
      </c>
      <c r="K606" t="str">
        <f>VLOOKUP($A606, 'Medical Examinations'!A:D, 4, FALSE)</f>
        <v>Normal</v>
      </c>
    </row>
    <row r="607" spans="1:11" ht="15.5" x14ac:dyDescent="0.35">
      <c r="A607" s="1" t="s">
        <v>1765</v>
      </c>
      <c r="B607" t="str">
        <f>VLOOKUP($A607, 'Customer Names'!A:D, 3, FALSE)</f>
        <v>Michalski</v>
      </c>
      <c r="C607">
        <f>VLOOKUP($A607,'Medical Examinations'!A:C, 3, FALSE)</f>
        <v>27.3</v>
      </c>
      <c r="D607" t="str">
        <f>VLOOKUP($A607, 'Medical Examinations'!A:D, 4, FALSE)</f>
        <v>Diabetes</v>
      </c>
      <c r="E607" t="str">
        <f>VLOOKUP($A607, 'Medical Examinations'!A:F, 6, FALSE)</f>
        <v>No</v>
      </c>
      <c r="F607" t="str">
        <f>VLOOKUP($A607, 'Medical Examinations'!A:G, 7, FALSE)</f>
        <v>No</v>
      </c>
      <c r="G607" t="str">
        <f>VLOOKUP($A607, 'Medical Examinations'!A:H, 8, FALSE)</f>
        <v>No</v>
      </c>
      <c r="H607" t="str">
        <f>VLOOKUP($A607, 'Medical Examinations'!A:J, 10, FALSE)</f>
        <v>No major surgery</v>
      </c>
      <c r="I607" t="str">
        <f>VLOOKUP($A607, 'Medical Examinations'!A:K, 11, FALSE)</f>
        <v>yes</v>
      </c>
      <c r="J607" t="str">
        <f>VLOOKUP($A607, 'Medical Examinations'!A:B, 2, FALSE)</f>
        <v>Overweight</v>
      </c>
      <c r="K607" t="str">
        <f>VLOOKUP($A607, 'Medical Examinations'!A:D, 4, FALSE)</f>
        <v>Diabetes</v>
      </c>
    </row>
    <row r="608" spans="1:11" ht="15.5" x14ac:dyDescent="0.35">
      <c r="A608" s="1" t="s">
        <v>1764</v>
      </c>
      <c r="B608" t="str">
        <f>VLOOKUP($A608, 'Customer Names'!A:D, 3, FALSE)</f>
        <v>Grillo</v>
      </c>
      <c r="C608">
        <f>VLOOKUP($A608,'Medical Examinations'!A:C, 3, FALSE)</f>
        <v>54.45</v>
      </c>
      <c r="D608" t="str">
        <f>VLOOKUP($A608, 'Medical Examinations'!A:D, 4, FALSE)</f>
        <v>Normal</v>
      </c>
      <c r="E608" t="str">
        <f>VLOOKUP($A608, 'Medical Examinations'!A:F, 6, FALSE)</f>
        <v>yes</v>
      </c>
      <c r="F608" t="str">
        <f>VLOOKUP($A608, 'Medical Examinations'!A:G, 7, FALSE)</f>
        <v>No</v>
      </c>
      <c r="G608" t="str">
        <f>VLOOKUP($A608, 'Medical Examinations'!A:H, 8, FALSE)</f>
        <v>No</v>
      </c>
      <c r="H608">
        <f>VLOOKUP($A608, 'Medical Examinations'!A:J, 10, FALSE)</f>
        <v>1</v>
      </c>
      <c r="I608" t="str">
        <f>VLOOKUP($A608, 'Medical Examinations'!A:K, 11, FALSE)</f>
        <v>No</v>
      </c>
      <c r="J608" t="str">
        <f>VLOOKUP($A608, 'Medical Examinations'!A:B, 2, FALSE)</f>
        <v>Obesity</v>
      </c>
      <c r="K608" t="str">
        <f>VLOOKUP($A608, 'Medical Examinations'!A:D, 4, FALSE)</f>
        <v>Normal</v>
      </c>
    </row>
    <row r="609" spans="1:11" ht="15.5" x14ac:dyDescent="0.35">
      <c r="A609" s="1" t="s">
        <v>1763</v>
      </c>
      <c r="B609" t="str">
        <f>VLOOKUP($A609, 'Customer Names'!A:D, 3, FALSE)</f>
        <v>Coronado</v>
      </c>
      <c r="C609">
        <f>VLOOKUP($A609,'Medical Examinations'!A:C, 3, FALSE)</f>
        <v>54.43</v>
      </c>
      <c r="D609" t="str">
        <f>VLOOKUP($A609, 'Medical Examinations'!A:D, 4, FALSE)</f>
        <v>Normal</v>
      </c>
      <c r="E609" t="str">
        <f>VLOOKUP($A609, 'Medical Examinations'!A:F, 6, FALSE)</f>
        <v>yes</v>
      </c>
      <c r="F609" t="str">
        <f>VLOOKUP($A609, 'Medical Examinations'!A:G, 7, FALSE)</f>
        <v>No</v>
      </c>
      <c r="G609" t="str">
        <f>VLOOKUP($A609, 'Medical Examinations'!A:H, 8, FALSE)</f>
        <v>No</v>
      </c>
      <c r="H609">
        <f>VLOOKUP($A609, 'Medical Examinations'!A:J, 10, FALSE)</f>
        <v>1</v>
      </c>
      <c r="I609" t="str">
        <f>VLOOKUP($A609, 'Medical Examinations'!A:K, 11, FALSE)</f>
        <v>No</v>
      </c>
      <c r="J609" t="str">
        <f>VLOOKUP($A609, 'Medical Examinations'!A:B, 2, FALSE)</f>
        <v>Obesity</v>
      </c>
      <c r="K609" t="str">
        <f>VLOOKUP($A609, 'Medical Examinations'!A:D, 4, FALSE)</f>
        <v>Normal</v>
      </c>
    </row>
    <row r="610" spans="1:11" ht="15.5" x14ac:dyDescent="0.35">
      <c r="A610" s="1" t="s">
        <v>1762</v>
      </c>
      <c r="B610" t="str">
        <f>VLOOKUP($A610, 'Customer Names'!A:D, 3, FALSE)</f>
        <v>Dewine</v>
      </c>
      <c r="C610">
        <f>VLOOKUP($A610,'Medical Examinations'!A:C, 3, FALSE)</f>
        <v>48.01</v>
      </c>
      <c r="D610" t="str">
        <f>VLOOKUP($A610, 'Medical Examinations'!A:D, 4, FALSE)</f>
        <v>Diabetes</v>
      </c>
      <c r="E610" t="str">
        <f>VLOOKUP($A610, 'Medical Examinations'!A:F, 6, FALSE)</f>
        <v>No</v>
      </c>
      <c r="F610" t="str">
        <f>VLOOKUP($A610, 'Medical Examinations'!A:G, 7, FALSE)</f>
        <v>No</v>
      </c>
      <c r="G610" t="str">
        <f>VLOOKUP($A610, 'Medical Examinations'!A:H, 8, FALSE)</f>
        <v>No</v>
      </c>
      <c r="H610" t="str">
        <f>VLOOKUP($A610, 'Medical Examinations'!A:J, 10, FALSE)</f>
        <v>No major surgery</v>
      </c>
      <c r="I610" t="str">
        <f>VLOOKUP($A610, 'Medical Examinations'!A:K, 11, FALSE)</f>
        <v>No</v>
      </c>
      <c r="J610" t="str">
        <f>VLOOKUP($A610, 'Medical Examinations'!A:B, 2, FALSE)</f>
        <v>Obesity</v>
      </c>
      <c r="K610" t="str">
        <f>VLOOKUP($A610, 'Medical Examinations'!A:D, 4, FALSE)</f>
        <v>Diabetes</v>
      </c>
    </row>
    <row r="611" spans="1:11" ht="15.5" x14ac:dyDescent="0.35">
      <c r="A611" s="1" t="s">
        <v>1761</v>
      </c>
      <c r="B611" t="str">
        <f>VLOOKUP($A611, 'Customer Names'!A:D, 3, FALSE)</f>
        <v>Carman</v>
      </c>
      <c r="C611">
        <f>VLOOKUP($A611,'Medical Examinations'!A:C, 3, FALSE)</f>
        <v>48.32</v>
      </c>
      <c r="D611" t="str">
        <f>VLOOKUP($A611, 'Medical Examinations'!A:D, 4, FALSE)</f>
        <v>Prediabetes</v>
      </c>
      <c r="E611" t="str">
        <f>VLOOKUP($A611, 'Medical Examinations'!A:F, 6, FALSE)</f>
        <v>No</v>
      </c>
      <c r="F611" t="str">
        <f>VLOOKUP($A611, 'Medical Examinations'!A:G, 7, FALSE)</f>
        <v>No</v>
      </c>
      <c r="G611" t="str">
        <f>VLOOKUP($A611, 'Medical Examinations'!A:H, 8, FALSE)</f>
        <v>No</v>
      </c>
      <c r="H611" t="str">
        <f>VLOOKUP($A611, 'Medical Examinations'!A:J, 10, FALSE)</f>
        <v>No major surgery</v>
      </c>
      <c r="I611" t="str">
        <f>VLOOKUP($A611, 'Medical Examinations'!A:K, 11, FALSE)</f>
        <v>No</v>
      </c>
      <c r="J611" t="str">
        <f>VLOOKUP($A611, 'Medical Examinations'!A:B, 2, FALSE)</f>
        <v>Obesity</v>
      </c>
      <c r="K611" t="str">
        <f>VLOOKUP($A611, 'Medical Examinations'!A:D, 4, FALSE)</f>
        <v>Prediabetes</v>
      </c>
    </row>
    <row r="612" spans="1:11" ht="15.5" x14ac:dyDescent="0.35">
      <c r="A612" s="1" t="s">
        <v>1760</v>
      </c>
      <c r="B612" t="str">
        <f>VLOOKUP($A612, 'Customer Names'!A:D, 3, FALSE)</f>
        <v>Neems</v>
      </c>
      <c r="C612">
        <f>VLOOKUP($A612,'Medical Examinations'!A:C, 3, FALSE)</f>
        <v>22.895</v>
      </c>
      <c r="D612" t="str">
        <f>VLOOKUP($A612, 'Medical Examinations'!A:D, 4, FALSE)</f>
        <v>Normal</v>
      </c>
      <c r="E612" t="str">
        <f>VLOOKUP($A612, 'Medical Examinations'!A:F, 6, FALSE)</f>
        <v>No</v>
      </c>
      <c r="F612" t="str">
        <f>VLOOKUP($A612, 'Medical Examinations'!A:G, 7, FALSE)</f>
        <v>No</v>
      </c>
      <c r="G612" t="str">
        <f>VLOOKUP($A612, 'Medical Examinations'!A:H, 8, FALSE)</f>
        <v>Yes</v>
      </c>
      <c r="H612">
        <f>VLOOKUP($A612, 'Medical Examinations'!A:J, 10, FALSE)</f>
        <v>1</v>
      </c>
      <c r="I612" t="str">
        <f>VLOOKUP($A612, 'Medical Examinations'!A:K, 11, FALSE)</f>
        <v>yes</v>
      </c>
      <c r="J612" t="str">
        <f>VLOOKUP($A612, 'Medical Examinations'!A:B, 2, FALSE)</f>
        <v>Normal Weight</v>
      </c>
      <c r="K612" t="str">
        <f>VLOOKUP($A612, 'Medical Examinations'!A:D, 4, FALSE)</f>
        <v>Normal</v>
      </c>
    </row>
    <row r="613" spans="1:11" ht="15.5" x14ac:dyDescent="0.35">
      <c r="A613" s="1" t="s">
        <v>1759</v>
      </c>
      <c r="B613" t="str">
        <f>VLOOKUP($A613, 'Customer Names'!A:D, 3, FALSE)</f>
        <v>Pesyna</v>
      </c>
      <c r="C613">
        <f>VLOOKUP($A613,'Medical Examinations'!A:C, 3, FALSE)</f>
        <v>54.85</v>
      </c>
      <c r="D613" t="str">
        <f>VLOOKUP($A613, 'Medical Examinations'!A:D, 4, FALSE)</f>
        <v>Normal</v>
      </c>
      <c r="E613" t="str">
        <f>VLOOKUP($A613, 'Medical Examinations'!A:F, 6, FALSE)</f>
        <v>No</v>
      </c>
      <c r="F613" t="str">
        <f>VLOOKUP($A613, 'Medical Examinations'!A:G, 7, FALSE)</f>
        <v>No</v>
      </c>
      <c r="G613" t="str">
        <f>VLOOKUP($A613, 'Medical Examinations'!A:H, 8, FALSE)</f>
        <v>No</v>
      </c>
      <c r="H613">
        <f>VLOOKUP($A613, 'Medical Examinations'!A:J, 10, FALSE)</f>
        <v>1</v>
      </c>
      <c r="I613" t="str">
        <f>VLOOKUP($A613, 'Medical Examinations'!A:K, 11, FALSE)</f>
        <v>No</v>
      </c>
      <c r="J613" t="str">
        <f>VLOOKUP($A613, 'Medical Examinations'!A:B, 2, FALSE)</f>
        <v>Obesity</v>
      </c>
      <c r="K613" t="str">
        <f>VLOOKUP($A613, 'Medical Examinations'!A:D, 4, FALSE)</f>
        <v>Normal</v>
      </c>
    </row>
    <row r="614" spans="1:11" ht="15.5" x14ac:dyDescent="0.35">
      <c r="A614" s="1" t="s">
        <v>1758</v>
      </c>
      <c r="B614" t="str">
        <f>VLOOKUP($A614, 'Customer Names'!A:D, 3, FALSE)</f>
        <v>Meling</v>
      </c>
      <c r="C614">
        <f>VLOOKUP($A614,'Medical Examinations'!A:C, 3, FALSE)</f>
        <v>21.85</v>
      </c>
      <c r="D614" t="str">
        <f>VLOOKUP($A614, 'Medical Examinations'!A:D, 4, FALSE)</f>
        <v>Normal</v>
      </c>
      <c r="E614" t="str">
        <f>VLOOKUP($A614, 'Medical Examinations'!A:F, 6, FALSE)</f>
        <v>No</v>
      </c>
      <c r="F614" t="str">
        <f>VLOOKUP($A614, 'Medical Examinations'!A:G, 7, FALSE)</f>
        <v>No</v>
      </c>
      <c r="G614" t="str">
        <f>VLOOKUP($A614, 'Medical Examinations'!A:H, 8, FALSE)</f>
        <v>Yes</v>
      </c>
      <c r="H614">
        <f>VLOOKUP($A614, 'Medical Examinations'!A:J, 10, FALSE)</f>
        <v>1</v>
      </c>
      <c r="I614" t="str">
        <f>VLOOKUP($A614, 'Medical Examinations'!A:K, 11, FALSE)</f>
        <v>yes</v>
      </c>
      <c r="J614" t="str">
        <f>VLOOKUP($A614, 'Medical Examinations'!A:B, 2, FALSE)</f>
        <v>Normal Weight</v>
      </c>
      <c r="K614" t="str">
        <f>VLOOKUP($A614, 'Medical Examinations'!A:D, 4, FALSE)</f>
        <v>Normal</v>
      </c>
    </row>
    <row r="615" spans="1:11" ht="15.5" x14ac:dyDescent="0.35">
      <c r="A615" s="1" t="s">
        <v>1757</v>
      </c>
      <c r="B615" t="str">
        <f>VLOOKUP($A615, 'Customer Names'!A:D, 3, FALSE)</f>
        <v>Widlowski</v>
      </c>
      <c r="C615">
        <f>VLOOKUP($A615,'Medical Examinations'!A:C, 3, FALSE)</f>
        <v>51.86</v>
      </c>
      <c r="D615" t="str">
        <f>VLOOKUP($A615, 'Medical Examinations'!A:D, 4, FALSE)</f>
        <v>Normal</v>
      </c>
      <c r="E615" t="str">
        <f>VLOOKUP($A615, 'Medical Examinations'!A:F, 6, FALSE)</f>
        <v>yes</v>
      </c>
      <c r="F615" t="str">
        <f>VLOOKUP($A615, 'Medical Examinations'!A:G, 7, FALSE)</f>
        <v>No</v>
      </c>
      <c r="G615" t="str">
        <f>VLOOKUP($A615, 'Medical Examinations'!A:H, 8, FALSE)</f>
        <v>No</v>
      </c>
      <c r="H615" t="str">
        <f>VLOOKUP($A615, 'Medical Examinations'!A:J, 10, FALSE)</f>
        <v>No major surgery</v>
      </c>
      <c r="I615" t="str">
        <f>VLOOKUP($A615, 'Medical Examinations'!A:K, 11, FALSE)</f>
        <v>No</v>
      </c>
      <c r="J615" t="str">
        <f>VLOOKUP($A615, 'Medical Examinations'!A:B, 2, FALSE)</f>
        <v>Obesity</v>
      </c>
      <c r="K615" t="str">
        <f>VLOOKUP($A615, 'Medical Examinations'!A:D, 4, FALSE)</f>
        <v>Normal</v>
      </c>
    </row>
    <row r="616" spans="1:11" ht="15.5" x14ac:dyDescent="0.35">
      <c r="A616" s="1" t="s">
        <v>1756</v>
      </c>
      <c r="B616" t="str">
        <f>VLOOKUP($A616, 'Customer Names'!A:D, 3, FALSE)</f>
        <v>Nadar</v>
      </c>
      <c r="C616">
        <f>VLOOKUP($A616,'Medical Examinations'!A:C, 3, FALSE)</f>
        <v>39.049999999999997</v>
      </c>
      <c r="D616" t="str">
        <f>VLOOKUP($A616, 'Medical Examinations'!A:D, 4, FALSE)</f>
        <v>Diabetes</v>
      </c>
      <c r="E616" t="str">
        <f>VLOOKUP($A616, 'Medical Examinations'!A:F, 6, FALSE)</f>
        <v>No</v>
      </c>
      <c r="F616" t="str">
        <f>VLOOKUP($A616, 'Medical Examinations'!A:G, 7, FALSE)</f>
        <v>No</v>
      </c>
      <c r="G616" t="str">
        <f>VLOOKUP($A616, 'Medical Examinations'!A:H, 8, FALSE)</f>
        <v>No</v>
      </c>
      <c r="H616">
        <f>VLOOKUP($A616, 'Medical Examinations'!A:J, 10, FALSE)</f>
        <v>3</v>
      </c>
      <c r="I616" t="str">
        <f>VLOOKUP($A616, 'Medical Examinations'!A:K, 11, FALSE)</f>
        <v>No</v>
      </c>
      <c r="J616" t="str">
        <f>VLOOKUP($A616, 'Medical Examinations'!A:B, 2, FALSE)</f>
        <v>Obesity</v>
      </c>
      <c r="K616" t="str">
        <f>VLOOKUP($A616, 'Medical Examinations'!A:D, 4, FALSE)</f>
        <v>Diabetes</v>
      </c>
    </row>
    <row r="617" spans="1:11" ht="15.5" x14ac:dyDescent="0.35">
      <c r="A617" s="1" t="s">
        <v>1755</v>
      </c>
      <c r="B617" t="str">
        <f>VLOOKUP($A617, 'Customer Names'!A:D, 3, FALSE)</f>
        <v>Turner</v>
      </c>
      <c r="C617">
        <f>VLOOKUP($A617,'Medical Examinations'!A:C, 3, FALSE)</f>
        <v>31.824999999999999</v>
      </c>
      <c r="D617" t="str">
        <f>VLOOKUP($A617, 'Medical Examinations'!A:D, 4, FALSE)</f>
        <v>Diabetes</v>
      </c>
      <c r="E617" t="str">
        <f>VLOOKUP($A617, 'Medical Examinations'!A:F, 6, FALSE)</f>
        <v>No</v>
      </c>
      <c r="F617" t="str">
        <f>VLOOKUP($A617, 'Medical Examinations'!A:G, 7, FALSE)</f>
        <v>No</v>
      </c>
      <c r="G617" t="str">
        <f>VLOOKUP($A617, 'Medical Examinations'!A:H, 8, FALSE)</f>
        <v>No</v>
      </c>
      <c r="H617">
        <f>VLOOKUP($A617, 'Medical Examinations'!A:J, 10, FALSE)</f>
        <v>3</v>
      </c>
      <c r="I617" t="str">
        <f>VLOOKUP($A617, 'Medical Examinations'!A:K, 11, FALSE)</f>
        <v>No</v>
      </c>
      <c r="J617" t="str">
        <f>VLOOKUP($A617, 'Medical Examinations'!A:B, 2, FALSE)</f>
        <v>Obesity</v>
      </c>
      <c r="K617" t="str">
        <f>VLOOKUP($A617, 'Medical Examinations'!A:D, 4, FALSE)</f>
        <v>Diabetes</v>
      </c>
    </row>
    <row r="618" spans="1:11" ht="15.5" x14ac:dyDescent="0.35">
      <c r="A618" s="1" t="s">
        <v>1754</v>
      </c>
      <c r="B618" t="str">
        <f>VLOOKUP($A618, 'Customer Names'!A:D, 3, FALSE)</f>
        <v>Walker</v>
      </c>
      <c r="C618">
        <f>VLOOKUP($A618,'Medical Examinations'!A:C, 3, FALSE)</f>
        <v>46.43</v>
      </c>
      <c r="D618" t="str">
        <f>VLOOKUP($A618, 'Medical Examinations'!A:D, 4, FALSE)</f>
        <v>Diabetes</v>
      </c>
      <c r="E618" t="str">
        <f>VLOOKUP($A618, 'Medical Examinations'!A:F, 6, FALSE)</f>
        <v>No</v>
      </c>
      <c r="F618" t="str">
        <f>VLOOKUP($A618, 'Medical Examinations'!A:G, 7, FALSE)</f>
        <v>No</v>
      </c>
      <c r="G618" t="str">
        <f>VLOOKUP($A618, 'Medical Examinations'!A:H, 8, FALSE)</f>
        <v>No</v>
      </c>
      <c r="H618" t="str">
        <f>VLOOKUP($A618, 'Medical Examinations'!A:J, 10, FALSE)</f>
        <v>No major surgery</v>
      </c>
      <c r="I618" t="str">
        <f>VLOOKUP($A618, 'Medical Examinations'!A:K, 11, FALSE)</f>
        <v>No</v>
      </c>
      <c r="J618" t="str">
        <f>VLOOKUP($A618, 'Medical Examinations'!A:B, 2, FALSE)</f>
        <v>Obesity</v>
      </c>
      <c r="K618" t="str">
        <f>VLOOKUP($A618, 'Medical Examinations'!A:D, 4, FALSE)</f>
        <v>Diabetes</v>
      </c>
    </row>
    <row r="619" spans="1:11" ht="15.5" x14ac:dyDescent="0.35">
      <c r="A619" s="1" t="s">
        <v>1753</v>
      </c>
      <c r="B619" t="str">
        <f>VLOOKUP($A619, 'Customer Names'!A:D, 3, FALSE)</f>
        <v>Leedham</v>
      </c>
      <c r="C619">
        <f>VLOOKUP($A619,'Medical Examinations'!A:C, 3, FALSE)</f>
        <v>53.63</v>
      </c>
      <c r="D619" t="str">
        <f>VLOOKUP($A619, 'Medical Examinations'!A:D, 4, FALSE)</f>
        <v>Normal</v>
      </c>
      <c r="E619" t="str">
        <f>VLOOKUP($A619, 'Medical Examinations'!A:F, 6, FALSE)</f>
        <v>yes</v>
      </c>
      <c r="F619" t="str">
        <f>VLOOKUP($A619, 'Medical Examinations'!A:G, 7, FALSE)</f>
        <v>No</v>
      </c>
      <c r="G619" t="str">
        <f>VLOOKUP($A619, 'Medical Examinations'!A:H, 8, FALSE)</f>
        <v>No</v>
      </c>
      <c r="H619">
        <f>VLOOKUP($A619, 'Medical Examinations'!A:J, 10, FALSE)</f>
        <v>1</v>
      </c>
      <c r="I619" t="str">
        <f>VLOOKUP($A619, 'Medical Examinations'!A:K, 11, FALSE)</f>
        <v>No</v>
      </c>
      <c r="J619" t="str">
        <f>VLOOKUP($A619, 'Medical Examinations'!A:B, 2, FALSE)</f>
        <v>Obesity</v>
      </c>
      <c r="K619" t="str">
        <f>VLOOKUP($A619, 'Medical Examinations'!A:D, 4, FALSE)</f>
        <v>Normal</v>
      </c>
    </row>
    <row r="620" spans="1:11" ht="15.5" x14ac:dyDescent="0.35">
      <c r="A620" s="1" t="s">
        <v>1752</v>
      </c>
      <c r="B620" t="str">
        <f>VLOOKUP($A620, 'Customer Names'!A:D, 3, FALSE)</f>
        <v>Haglund</v>
      </c>
      <c r="C620">
        <f>VLOOKUP($A620,'Medical Examinations'!A:C, 3, FALSE)</f>
        <v>48.7</v>
      </c>
      <c r="D620" t="str">
        <f>VLOOKUP($A620, 'Medical Examinations'!A:D, 4, FALSE)</f>
        <v>Normal</v>
      </c>
      <c r="E620" t="str">
        <f>VLOOKUP($A620, 'Medical Examinations'!A:F, 6, FALSE)</f>
        <v>No</v>
      </c>
      <c r="F620" t="str">
        <f>VLOOKUP($A620, 'Medical Examinations'!A:G, 7, FALSE)</f>
        <v>No</v>
      </c>
      <c r="G620" t="str">
        <f>VLOOKUP($A620, 'Medical Examinations'!A:H, 8, FALSE)</f>
        <v>No</v>
      </c>
      <c r="H620" t="str">
        <f>VLOOKUP($A620, 'Medical Examinations'!A:J, 10, FALSE)</f>
        <v>No major surgery</v>
      </c>
      <c r="I620" t="str">
        <f>VLOOKUP($A620, 'Medical Examinations'!A:K, 11, FALSE)</f>
        <v>No</v>
      </c>
      <c r="J620" t="str">
        <f>VLOOKUP($A620, 'Medical Examinations'!A:B, 2, FALSE)</f>
        <v>Obesity</v>
      </c>
      <c r="K620" t="str">
        <f>VLOOKUP($A620, 'Medical Examinations'!A:D, 4, FALSE)</f>
        <v>Normal</v>
      </c>
    </row>
    <row r="621" spans="1:11" ht="15.5" x14ac:dyDescent="0.35">
      <c r="A621" s="1" t="s">
        <v>1751</v>
      </c>
      <c r="B621" t="str">
        <f>VLOOKUP($A621, 'Customer Names'!A:D, 3, FALSE)</f>
        <v>Mills</v>
      </c>
      <c r="C621">
        <f>VLOOKUP($A621,'Medical Examinations'!A:C, 3, FALSE)</f>
        <v>48.81</v>
      </c>
      <c r="D621" t="str">
        <f>VLOOKUP($A621, 'Medical Examinations'!A:D, 4, FALSE)</f>
        <v>Normal</v>
      </c>
      <c r="E621" t="str">
        <f>VLOOKUP($A621, 'Medical Examinations'!A:F, 6, FALSE)</f>
        <v>No</v>
      </c>
      <c r="F621" t="str">
        <f>VLOOKUP($A621, 'Medical Examinations'!A:G, 7, FALSE)</f>
        <v>No</v>
      </c>
      <c r="G621" t="str">
        <f>VLOOKUP($A621, 'Medical Examinations'!A:H, 8, FALSE)</f>
        <v>No</v>
      </c>
      <c r="H621" t="str">
        <f>VLOOKUP($A621, 'Medical Examinations'!A:J, 10, FALSE)</f>
        <v>No major surgery</v>
      </c>
      <c r="I621" t="str">
        <f>VLOOKUP($A621, 'Medical Examinations'!A:K, 11, FALSE)</f>
        <v>No</v>
      </c>
      <c r="J621" t="str">
        <f>VLOOKUP($A621, 'Medical Examinations'!A:B, 2, FALSE)</f>
        <v>Obesity</v>
      </c>
      <c r="K621" t="str">
        <f>VLOOKUP($A621, 'Medical Examinations'!A:D, 4, FALSE)</f>
        <v>Normal</v>
      </c>
    </row>
    <row r="622" spans="1:11" ht="15.5" x14ac:dyDescent="0.35">
      <c r="A622" s="1" t="s">
        <v>1750</v>
      </c>
      <c r="B622" t="str">
        <f>VLOOKUP($A622, 'Customer Names'!A:D, 3, FALSE)</f>
        <v>Drnjevich</v>
      </c>
      <c r="C622">
        <f>VLOOKUP($A622,'Medical Examinations'!A:C, 3, FALSE)</f>
        <v>47.53</v>
      </c>
      <c r="D622" t="str">
        <f>VLOOKUP($A622, 'Medical Examinations'!A:D, 4, FALSE)</f>
        <v>Normal</v>
      </c>
      <c r="E622" t="str">
        <f>VLOOKUP($A622, 'Medical Examinations'!A:F, 6, FALSE)</f>
        <v>No</v>
      </c>
      <c r="F622" t="str">
        <f>VLOOKUP($A622, 'Medical Examinations'!A:G, 7, FALSE)</f>
        <v>No</v>
      </c>
      <c r="G622" t="str">
        <f>VLOOKUP($A622, 'Medical Examinations'!A:H, 8, FALSE)</f>
        <v>No</v>
      </c>
      <c r="H622" t="str">
        <f>VLOOKUP($A622, 'Medical Examinations'!A:J, 10, FALSE)</f>
        <v>No major surgery</v>
      </c>
      <c r="I622" t="str">
        <f>VLOOKUP($A622, 'Medical Examinations'!A:K, 11, FALSE)</f>
        <v>No</v>
      </c>
      <c r="J622" t="str">
        <f>VLOOKUP($A622, 'Medical Examinations'!A:B, 2, FALSE)</f>
        <v>Obesity</v>
      </c>
      <c r="K622" t="str">
        <f>VLOOKUP($A622, 'Medical Examinations'!A:D, 4, FALSE)</f>
        <v>Normal</v>
      </c>
    </row>
    <row r="623" spans="1:11" ht="15.5" x14ac:dyDescent="0.35">
      <c r="A623" s="1" t="s">
        <v>1749</v>
      </c>
      <c r="B623" t="str">
        <f>VLOOKUP($A623, 'Customer Names'!A:D, 3, FALSE)</f>
        <v>Clay</v>
      </c>
      <c r="C623">
        <f>VLOOKUP($A623,'Medical Examinations'!A:C, 3, FALSE)</f>
        <v>36.85</v>
      </c>
      <c r="D623" t="str">
        <f>VLOOKUP($A623, 'Medical Examinations'!A:D, 4, FALSE)</f>
        <v>Diabetes</v>
      </c>
      <c r="E623" t="str">
        <f>VLOOKUP($A623, 'Medical Examinations'!A:F, 6, FALSE)</f>
        <v>No</v>
      </c>
      <c r="F623" t="str">
        <f>VLOOKUP($A623, 'Medical Examinations'!A:G, 7, FALSE)</f>
        <v>No</v>
      </c>
      <c r="G623" t="str">
        <f>VLOOKUP($A623, 'Medical Examinations'!A:H, 8, FALSE)</f>
        <v>No</v>
      </c>
      <c r="H623" t="str">
        <f>VLOOKUP($A623, 'Medical Examinations'!A:J, 10, FALSE)</f>
        <v>No major surgery</v>
      </c>
      <c r="I623" t="str">
        <f>VLOOKUP($A623, 'Medical Examinations'!A:K, 11, FALSE)</f>
        <v>No</v>
      </c>
      <c r="J623" t="str">
        <f>VLOOKUP($A623, 'Medical Examinations'!A:B, 2, FALSE)</f>
        <v>Obesity</v>
      </c>
      <c r="K623" t="str">
        <f>VLOOKUP($A623, 'Medical Examinations'!A:D, 4, FALSE)</f>
        <v>Diabetes</v>
      </c>
    </row>
    <row r="624" spans="1:11" ht="15.5" x14ac:dyDescent="0.35">
      <c r="A624" s="1" t="s">
        <v>1748</v>
      </c>
      <c r="B624" t="str">
        <f>VLOOKUP($A624, 'Customer Names'!A:D, 3, FALSE)</f>
        <v>Marbury</v>
      </c>
      <c r="C624">
        <f>VLOOKUP($A624,'Medical Examinations'!A:C, 3, FALSE)</f>
        <v>29.3</v>
      </c>
      <c r="D624" t="str">
        <f>VLOOKUP($A624, 'Medical Examinations'!A:D, 4, FALSE)</f>
        <v>Normal</v>
      </c>
      <c r="E624" t="str">
        <f>VLOOKUP($A624, 'Medical Examinations'!A:F, 6, FALSE)</f>
        <v>No</v>
      </c>
      <c r="F624" t="str">
        <f>VLOOKUP($A624, 'Medical Examinations'!A:G, 7, FALSE)</f>
        <v>No</v>
      </c>
      <c r="G624" t="str">
        <f>VLOOKUP($A624, 'Medical Examinations'!A:H, 8, FALSE)</f>
        <v>No</v>
      </c>
      <c r="H624" t="str">
        <f>VLOOKUP($A624, 'Medical Examinations'!A:J, 10, FALSE)</f>
        <v>No major surgery</v>
      </c>
      <c r="I624" t="str">
        <f>VLOOKUP($A624, 'Medical Examinations'!A:K, 11, FALSE)</f>
        <v>No</v>
      </c>
      <c r="J624" t="str">
        <f>VLOOKUP($A624, 'Medical Examinations'!A:B, 2, FALSE)</f>
        <v>Overweight</v>
      </c>
      <c r="K624" t="str">
        <f>VLOOKUP($A624, 'Medical Examinations'!A:D, 4, FALSE)</f>
        <v>Normal</v>
      </c>
    </row>
    <row r="625" spans="1:11" ht="15.5" x14ac:dyDescent="0.35">
      <c r="A625" s="1" t="s">
        <v>1747</v>
      </c>
      <c r="B625" t="str">
        <f>VLOOKUP($A625, 'Customer Names'!A:D, 3, FALSE)</f>
        <v>Coon</v>
      </c>
      <c r="C625">
        <f>VLOOKUP($A625,'Medical Examinations'!A:C, 3, FALSE)</f>
        <v>19.3</v>
      </c>
      <c r="D625" t="str">
        <f>VLOOKUP($A625, 'Medical Examinations'!A:D, 4, FALSE)</f>
        <v>Normal</v>
      </c>
      <c r="E625" t="str">
        <f>VLOOKUP($A625, 'Medical Examinations'!A:F, 6, FALSE)</f>
        <v>No</v>
      </c>
      <c r="F625" t="str">
        <f>VLOOKUP($A625, 'Medical Examinations'!A:G, 7, FALSE)</f>
        <v>No</v>
      </c>
      <c r="G625" t="str">
        <f>VLOOKUP($A625, 'Medical Examinations'!A:H, 8, FALSE)</f>
        <v>No</v>
      </c>
      <c r="H625">
        <f>VLOOKUP($A625, 'Medical Examinations'!A:J, 10, FALSE)</f>
        <v>1</v>
      </c>
      <c r="I625" t="str">
        <f>VLOOKUP($A625, 'Medical Examinations'!A:K, 11, FALSE)</f>
        <v>yes</v>
      </c>
      <c r="J625" t="str">
        <f>VLOOKUP($A625, 'Medical Examinations'!A:B, 2, FALSE)</f>
        <v>Normal Weight</v>
      </c>
      <c r="K625" t="str">
        <f>VLOOKUP($A625, 'Medical Examinations'!A:D, 4, FALSE)</f>
        <v>Normal</v>
      </c>
    </row>
    <row r="626" spans="1:11" ht="15.5" x14ac:dyDescent="0.35">
      <c r="A626" s="1" t="s">
        <v>1746</v>
      </c>
      <c r="B626" t="str">
        <f>VLOOKUP($A626, 'Customer Names'!A:D, 3, FALSE)</f>
        <v>Vanttinen</v>
      </c>
      <c r="C626">
        <f>VLOOKUP($A626,'Medical Examinations'!A:C, 3, FALSE)</f>
        <v>24.13</v>
      </c>
      <c r="D626" t="str">
        <f>VLOOKUP($A626, 'Medical Examinations'!A:D, 4, FALSE)</f>
        <v>Normal</v>
      </c>
      <c r="E626" t="str">
        <f>VLOOKUP($A626, 'Medical Examinations'!A:F, 6, FALSE)</f>
        <v>yes</v>
      </c>
      <c r="F626" t="str">
        <f>VLOOKUP($A626, 'Medical Examinations'!A:G, 7, FALSE)</f>
        <v>No</v>
      </c>
      <c r="G626" t="str">
        <f>VLOOKUP($A626, 'Medical Examinations'!A:H, 8, FALSE)</f>
        <v>Yes</v>
      </c>
      <c r="H626">
        <f>VLOOKUP($A626, 'Medical Examinations'!A:J, 10, FALSE)</f>
        <v>1</v>
      </c>
      <c r="I626" t="str">
        <f>VLOOKUP($A626, 'Medical Examinations'!A:K, 11, FALSE)</f>
        <v>yes</v>
      </c>
      <c r="J626" t="str">
        <f>VLOOKUP($A626, 'Medical Examinations'!A:B, 2, FALSE)</f>
        <v>Normal Weight</v>
      </c>
      <c r="K626" t="str">
        <f>VLOOKUP($A626, 'Medical Examinations'!A:D, 4, FALSE)</f>
        <v>Normal</v>
      </c>
    </row>
    <row r="627" spans="1:11" ht="15.5" x14ac:dyDescent="0.35">
      <c r="A627" s="1" t="s">
        <v>1745</v>
      </c>
      <c r="B627" t="str">
        <f>VLOOKUP($A627, 'Customer Names'!A:D, 3, FALSE)</f>
        <v>Garges</v>
      </c>
      <c r="C627">
        <f>VLOOKUP($A627,'Medical Examinations'!A:C, 3, FALSE)</f>
        <v>46.7</v>
      </c>
      <c r="D627" t="str">
        <f>VLOOKUP($A627, 'Medical Examinations'!A:D, 4, FALSE)</f>
        <v>Diabetes</v>
      </c>
      <c r="E627" t="str">
        <f>VLOOKUP($A627, 'Medical Examinations'!A:F, 6, FALSE)</f>
        <v>No</v>
      </c>
      <c r="F627" t="str">
        <f>VLOOKUP($A627, 'Medical Examinations'!A:G, 7, FALSE)</f>
        <v>No</v>
      </c>
      <c r="G627" t="str">
        <f>VLOOKUP($A627, 'Medical Examinations'!A:H, 8, FALSE)</f>
        <v>No</v>
      </c>
      <c r="H627" t="str">
        <f>VLOOKUP($A627, 'Medical Examinations'!A:J, 10, FALSE)</f>
        <v>No major surgery</v>
      </c>
      <c r="I627" t="str">
        <f>VLOOKUP($A627, 'Medical Examinations'!A:K, 11, FALSE)</f>
        <v>No</v>
      </c>
      <c r="J627" t="str">
        <f>VLOOKUP($A627, 'Medical Examinations'!A:B, 2, FALSE)</f>
        <v>Obesity</v>
      </c>
      <c r="K627" t="str">
        <f>VLOOKUP($A627, 'Medical Examinations'!A:D, 4, FALSE)</f>
        <v>Diabetes</v>
      </c>
    </row>
    <row r="628" spans="1:11" ht="15.5" x14ac:dyDescent="0.35">
      <c r="A628" s="1" t="s">
        <v>1744</v>
      </c>
      <c r="B628" t="str">
        <f>VLOOKUP($A628, 'Customer Names'!A:D, 3, FALSE)</f>
        <v>Rivel</v>
      </c>
      <c r="C628">
        <f>VLOOKUP($A628,'Medical Examinations'!A:C, 3, FALSE)</f>
        <v>45.27</v>
      </c>
      <c r="D628" t="str">
        <f>VLOOKUP($A628, 'Medical Examinations'!A:D, 4, FALSE)</f>
        <v>Normal</v>
      </c>
      <c r="E628" t="str">
        <f>VLOOKUP($A628, 'Medical Examinations'!A:F, 6, FALSE)</f>
        <v>yes</v>
      </c>
      <c r="F628" t="str">
        <f>VLOOKUP($A628, 'Medical Examinations'!A:G, 7, FALSE)</f>
        <v>No</v>
      </c>
      <c r="G628" t="str">
        <f>VLOOKUP($A628, 'Medical Examinations'!A:H, 8, FALSE)</f>
        <v>No</v>
      </c>
      <c r="H628" t="str">
        <f>VLOOKUP($A628, 'Medical Examinations'!A:J, 10, FALSE)</f>
        <v>No major surgery</v>
      </c>
      <c r="I628" t="str">
        <f>VLOOKUP($A628, 'Medical Examinations'!A:K, 11, FALSE)</f>
        <v>No</v>
      </c>
      <c r="J628" t="str">
        <f>VLOOKUP($A628, 'Medical Examinations'!A:B, 2, FALSE)</f>
        <v>Obesity</v>
      </c>
      <c r="K628" t="str">
        <f>VLOOKUP($A628, 'Medical Examinations'!A:D, 4, FALSE)</f>
        <v>Normal</v>
      </c>
    </row>
    <row r="629" spans="1:11" ht="15.5" x14ac:dyDescent="0.35">
      <c r="A629" s="1" t="s">
        <v>1743</v>
      </c>
      <c r="B629" t="str">
        <f>VLOOKUP($A629, 'Customer Names'!A:D, 3, FALSE)</f>
        <v>Lawson</v>
      </c>
      <c r="C629">
        <f>VLOOKUP($A629,'Medical Examinations'!A:C, 3, FALSE)</f>
        <v>44.29</v>
      </c>
      <c r="D629" t="str">
        <f>VLOOKUP($A629, 'Medical Examinations'!A:D, 4, FALSE)</f>
        <v>Diabetes</v>
      </c>
      <c r="E629" t="str">
        <f>VLOOKUP($A629, 'Medical Examinations'!A:F, 6, FALSE)</f>
        <v>No</v>
      </c>
      <c r="F629" t="str">
        <f>VLOOKUP($A629, 'Medical Examinations'!A:G, 7, FALSE)</f>
        <v>No</v>
      </c>
      <c r="G629" t="str">
        <f>VLOOKUP($A629, 'Medical Examinations'!A:H, 8, FALSE)</f>
        <v>No</v>
      </c>
      <c r="H629">
        <f>VLOOKUP($A629, 'Medical Examinations'!A:J, 10, FALSE)</f>
        <v>2</v>
      </c>
      <c r="I629" t="str">
        <f>VLOOKUP($A629, 'Medical Examinations'!A:K, 11, FALSE)</f>
        <v>No</v>
      </c>
      <c r="J629" t="str">
        <f>VLOOKUP($A629, 'Medical Examinations'!A:B, 2, FALSE)</f>
        <v>Obesity</v>
      </c>
      <c r="K629" t="str">
        <f>VLOOKUP($A629, 'Medical Examinations'!A:D, 4, FALSE)</f>
        <v>Diabetes</v>
      </c>
    </row>
    <row r="630" spans="1:11" ht="15.5" x14ac:dyDescent="0.35">
      <c r="A630" s="1" t="s">
        <v>1742</v>
      </c>
      <c r="B630" t="str">
        <f>VLOOKUP($A630, 'Customer Names'!A:D, 3, FALSE)</f>
        <v>Cale</v>
      </c>
      <c r="C630">
        <f>VLOOKUP($A630,'Medical Examinations'!A:C, 3, FALSE)</f>
        <v>54.59</v>
      </c>
      <c r="D630" t="str">
        <f>VLOOKUP($A630, 'Medical Examinations'!A:D, 4, FALSE)</f>
        <v>Normal</v>
      </c>
      <c r="E630" t="str">
        <f>VLOOKUP($A630, 'Medical Examinations'!A:F, 6, FALSE)</f>
        <v>yes</v>
      </c>
      <c r="F630" t="str">
        <f>VLOOKUP($A630, 'Medical Examinations'!A:G, 7, FALSE)</f>
        <v>No</v>
      </c>
      <c r="G630" t="str">
        <f>VLOOKUP($A630, 'Medical Examinations'!A:H, 8, FALSE)</f>
        <v>No</v>
      </c>
      <c r="H630">
        <f>VLOOKUP($A630, 'Medical Examinations'!A:J, 10, FALSE)</f>
        <v>1</v>
      </c>
      <c r="I630" t="str">
        <f>VLOOKUP($A630, 'Medical Examinations'!A:K, 11, FALSE)</f>
        <v>No</v>
      </c>
      <c r="J630" t="str">
        <f>VLOOKUP($A630, 'Medical Examinations'!A:B, 2, FALSE)</f>
        <v>Obesity</v>
      </c>
      <c r="K630" t="str">
        <f>VLOOKUP($A630, 'Medical Examinations'!A:D, 4, FALSE)</f>
        <v>Normal</v>
      </c>
    </row>
    <row r="631" spans="1:11" ht="15.5" x14ac:dyDescent="0.35">
      <c r="A631" s="1" t="s">
        <v>1741</v>
      </c>
      <c r="B631" t="str">
        <f>VLOOKUP($A631, 'Customer Names'!A:D, 3, FALSE)</f>
        <v>Phillips</v>
      </c>
      <c r="C631">
        <f>VLOOKUP($A631,'Medical Examinations'!A:C, 3, FALSE)</f>
        <v>32.965000000000003</v>
      </c>
      <c r="D631" t="str">
        <f>VLOOKUP($A631, 'Medical Examinations'!A:D, 4, FALSE)</f>
        <v>Diabetes</v>
      </c>
      <c r="E631" t="str">
        <f>VLOOKUP($A631, 'Medical Examinations'!A:F, 6, FALSE)</f>
        <v>No</v>
      </c>
      <c r="F631" t="str">
        <f>VLOOKUP($A631, 'Medical Examinations'!A:G, 7, FALSE)</f>
        <v>No</v>
      </c>
      <c r="G631" t="str">
        <f>VLOOKUP($A631, 'Medical Examinations'!A:H, 8, FALSE)</f>
        <v>No</v>
      </c>
      <c r="H631" t="str">
        <f>VLOOKUP($A631, 'Medical Examinations'!A:J, 10, FALSE)</f>
        <v>No major surgery</v>
      </c>
      <c r="I631" t="str">
        <f>VLOOKUP($A631, 'Medical Examinations'!A:K, 11, FALSE)</f>
        <v>No</v>
      </c>
      <c r="J631" t="str">
        <f>VLOOKUP($A631, 'Medical Examinations'!A:B, 2, FALSE)</f>
        <v>Obesity</v>
      </c>
      <c r="K631" t="str">
        <f>VLOOKUP($A631, 'Medical Examinations'!A:D, 4, FALSE)</f>
        <v>Diabetes</v>
      </c>
    </row>
    <row r="632" spans="1:11" ht="15.5" x14ac:dyDescent="0.35">
      <c r="A632" s="1" t="s">
        <v>1740</v>
      </c>
      <c r="B632" t="str">
        <f>VLOOKUP($A632, 'Customer Names'!A:D, 3, FALSE)</f>
        <v>Stewart</v>
      </c>
      <c r="C632">
        <f>VLOOKUP($A632,'Medical Examinations'!A:C, 3, FALSE)</f>
        <v>38.049999999999997</v>
      </c>
      <c r="D632" t="str">
        <f>VLOOKUP($A632, 'Medical Examinations'!A:D, 4, FALSE)</f>
        <v>Diabetes</v>
      </c>
      <c r="E632" t="str">
        <f>VLOOKUP($A632, 'Medical Examinations'!A:F, 6, FALSE)</f>
        <v>No</v>
      </c>
      <c r="F632" t="str">
        <f>VLOOKUP($A632, 'Medical Examinations'!A:G, 7, FALSE)</f>
        <v>No</v>
      </c>
      <c r="G632" t="str">
        <f>VLOOKUP($A632, 'Medical Examinations'!A:H, 8, FALSE)</f>
        <v>No</v>
      </c>
      <c r="H632" t="str">
        <f>VLOOKUP($A632, 'Medical Examinations'!A:J, 10, FALSE)</f>
        <v>No major surgery</v>
      </c>
      <c r="I632" t="str">
        <f>VLOOKUP($A632, 'Medical Examinations'!A:K, 11, FALSE)</f>
        <v>No</v>
      </c>
      <c r="J632" t="str">
        <f>VLOOKUP($A632, 'Medical Examinations'!A:B, 2, FALSE)</f>
        <v>Obesity</v>
      </c>
      <c r="K632" t="str">
        <f>VLOOKUP($A632, 'Medical Examinations'!A:D, 4, FALSE)</f>
        <v>Diabetes</v>
      </c>
    </row>
    <row r="633" spans="1:11" ht="15.5" x14ac:dyDescent="0.35">
      <c r="A633" s="1" t="s">
        <v>1739</v>
      </c>
      <c r="B633" t="str">
        <f>VLOOKUP($A633, 'Customer Names'!A:D, 3, FALSE)</f>
        <v>Drotz</v>
      </c>
      <c r="C633">
        <f>VLOOKUP($A633,'Medical Examinations'!A:C, 3, FALSE)</f>
        <v>46.14</v>
      </c>
      <c r="D633" t="str">
        <f>VLOOKUP($A633, 'Medical Examinations'!A:D, 4, FALSE)</f>
        <v>Diabetes</v>
      </c>
      <c r="E633" t="str">
        <f>VLOOKUP($A633, 'Medical Examinations'!A:F, 6, FALSE)</f>
        <v>No</v>
      </c>
      <c r="F633" t="str">
        <f>VLOOKUP($A633, 'Medical Examinations'!A:G, 7, FALSE)</f>
        <v>No</v>
      </c>
      <c r="G633" t="str">
        <f>VLOOKUP($A633, 'Medical Examinations'!A:H, 8, FALSE)</f>
        <v>No</v>
      </c>
      <c r="H633" t="str">
        <f>VLOOKUP($A633, 'Medical Examinations'!A:J, 10, FALSE)</f>
        <v>No major surgery</v>
      </c>
      <c r="I633" t="str">
        <f>VLOOKUP($A633, 'Medical Examinations'!A:K, 11, FALSE)</f>
        <v>No</v>
      </c>
      <c r="J633" t="str">
        <f>VLOOKUP($A633, 'Medical Examinations'!A:B, 2, FALSE)</f>
        <v>Obesity</v>
      </c>
      <c r="K633" t="str">
        <f>VLOOKUP($A633, 'Medical Examinations'!A:D, 4, FALSE)</f>
        <v>Diabetes</v>
      </c>
    </row>
    <row r="634" spans="1:11" ht="15.5" x14ac:dyDescent="0.35">
      <c r="A634" s="1" t="s">
        <v>1738</v>
      </c>
      <c r="B634" t="str">
        <f>VLOOKUP($A634, 'Customer Names'!A:D, 3, FALSE)</f>
        <v>Mutai</v>
      </c>
      <c r="C634">
        <f>VLOOKUP($A634,'Medical Examinations'!A:C, 3, FALSE)</f>
        <v>41.325000000000003</v>
      </c>
      <c r="D634" t="str">
        <f>VLOOKUP($A634, 'Medical Examinations'!A:D, 4, FALSE)</f>
        <v>Normal</v>
      </c>
      <c r="E634" t="str">
        <f>VLOOKUP($A634, 'Medical Examinations'!A:F, 6, FALSE)</f>
        <v>yes</v>
      </c>
      <c r="F634" t="str">
        <f>VLOOKUP($A634, 'Medical Examinations'!A:G, 7, FALSE)</f>
        <v>No</v>
      </c>
      <c r="G634" t="str">
        <f>VLOOKUP($A634, 'Medical Examinations'!A:H, 8, FALSE)</f>
        <v>No</v>
      </c>
      <c r="H634">
        <f>VLOOKUP($A634, 'Medical Examinations'!A:J, 10, FALSE)</f>
        <v>2</v>
      </c>
      <c r="I634" t="str">
        <f>VLOOKUP($A634, 'Medical Examinations'!A:K, 11, FALSE)</f>
        <v>No</v>
      </c>
      <c r="J634" t="str">
        <f>VLOOKUP($A634, 'Medical Examinations'!A:B, 2, FALSE)</f>
        <v>Obesity</v>
      </c>
      <c r="K634" t="str">
        <f>VLOOKUP($A634, 'Medical Examinations'!A:D, 4, FALSE)</f>
        <v>Normal</v>
      </c>
    </row>
    <row r="635" spans="1:11" ht="15.5" x14ac:dyDescent="0.35">
      <c r="A635" s="1" t="s">
        <v>1737</v>
      </c>
      <c r="B635" t="str">
        <f>VLOOKUP($A635, 'Customer Names'!A:D, 3, FALSE)</f>
        <v>Lovlien</v>
      </c>
      <c r="C635">
        <f>VLOOKUP($A635,'Medical Examinations'!A:C, 3, FALSE)</f>
        <v>44.64</v>
      </c>
      <c r="D635" t="str">
        <f>VLOOKUP($A635, 'Medical Examinations'!A:D, 4, FALSE)</f>
        <v>Diabetes</v>
      </c>
      <c r="E635" t="str">
        <f>VLOOKUP($A635, 'Medical Examinations'!A:F, 6, FALSE)</f>
        <v>No</v>
      </c>
      <c r="F635" t="str">
        <f>VLOOKUP($A635, 'Medical Examinations'!A:G, 7, FALSE)</f>
        <v>No</v>
      </c>
      <c r="G635" t="str">
        <f>VLOOKUP($A635, 'Medical Examinations'!A:H, 8, FALSE)</f>
        <v>No</v>
      </c>
      <c r="H635" t="str">
        <f>VLOOKUP($A635, 'Medical Examinations'!A:J, 10, FALSE)</f>
        <v>No major surgery</v>
      </c>
      <c r="I635" t="str">
        <f>VLOOKUP($A635, 'Medical Examinations'!A:K, 11, FALSE)</f>
        <v>No</v>
      </c>
      <c r="J635" t="str">
        <f>VLOOKUP($A635, 'Medical Examinations'!A:B, 2, FALSE)</f>
        <v>Obesity</v>
      </c>
      <c r="K635" t="str">
        <f>VLOOKUP($A635, 'Medical Examinations'!A:D, 4, FALSE)</f>
        <v>Diabetes</v>
      </c>
    </row>
    <row r="636" spans="1:11" ht="15.5" x14ac:dyDescent="0.35">
      <c r="A636" s="1" t="s">
        <v>1736</v>
      </c>
      <c r="B636" t="str">
        <f>VLOOKUP($A636, 'Customer Names'!A:D, 3, FALSE)</f>
        <v>Bruns</v>
      </c>
      <c r="C636">
        <f>VLOOKUP($A636,'Medical Examinations'!A:C, 3, FALSE)</f>
        <v>25.175000000000001</v>
      </c>
      <c r="D636" t="str">
        <f>VLOOKUP($A636, 'Medical Examinations'!A:D, 4, FALSE)</f>
        <v>Normal</v>
      </c>
      <c r="E636" t="str">
        <f>VLOOKUP($A636, 'Medical Examinations'!A:F, 6, FALSE)</f>
        <v>No</v>
      </c>
      <c r="F636" t="str">
        <f>VLOOKUP($A636, 'Medical Examinations'!A:G, 7, FALSE)</f>
        <v>yes</v>
      </c>
      <c r="G636" t="str">
        <f>VLOOKUP($A636, 'Medical Examinations'!A:H, 8, FALSE)</f>
        <v>No</v>
      </c>
      <c r="H636">
        <f>VLOOKUP($A636, 'Medical Examinations'!A:J, 10, FALSE)</f>
        <v>1</v>
      </c>
      <c r="I636" t="str">
        <f>VLOOKUP($A636, 'Medical Examinations'!A:K, 11, FALSE)</f>
        <v>No</v>
      </c>
      <c r="J636" t="str">
        <f>VLOOKUP($A636, 'Medical Examinations'!A:B, 2, FALSE)</f>
        <v>Overweight</v>
      </c>
      <c r="K636" t="str">
        <f>VLOOKUP($A636, 'Medical Examinations'!A:D, 4, FALSE)</f>
        <v>Normal</v>
      </c>
    </row>
    <row r="637" spans="1:11" ht="15.5" x14ac:dyDescent="0.35">
      <c r="A637" s="1" t="s">
        <v>1735</v>
      </c>
      <c r="B637" t="str">
        <f>VLOOKUP($A637, 'Customer Names'!A:D, 3, FALSE)</f>
        <v>Stoney</v>
      </c>
      <c r="C637">
        <f>VLOOKUP($A637,'Medical Examinations'!A:C, 3, FALSE)</f>
        <v>43.11</v>
      </c>
      <c r="D637" t="str">
        <f>VLOOKUP($A637, 'Medical Examinations'!A:D, 4, FALSE)</f>
        <v>Normal</v>
      </c>
      <c r="E637" t="str">
        <f>VLOOKUP($A637, 'Medical Examinations'!A:F, 6, FALSE)</f>
        <v>yes</v>
      </c>
      <c r="F637" t="str">
        <f>VLOOKUP($A637, 'Medical Examinations'!A:G, 7, FALSE)</f>
        <v>No</v>
      </c>
      <c r="G637" t="str">
        <f>VLOOKUP($A637, 'Medical Examinations'!A:H, 8, FALSE)</f>
        <v>No</v>
      </c>
      <c r="H637" t="str">
        <f>VLOOKUP($A637, 'Medical Examinations'!A:J, 10, FALSE)</f>
        <v>No major surgery</v>
      </c>
      <c r="I637" t="str">
        <f>VLOOKUP($A637, 'Medical Examinations'!A:K, 11, FALSE)</f>
        <v>No</v>
      </c>
      <c r="J637" t="str">
        <f>VLOOKUP($A637, 'Medical Examinations'!A:B, 2, FALSE)</f>
        <v>Obesity</v>
      </c>
      <c r="K637" t="str">
        <f>VLOOKUP($A637, 'Medical Examinations'!A:D, 4, FALSE)</f>
        <v>Normal</v>
      </c>
    </row>
    <row r="638" spans="1:11" ht="15.5" x14ac:dyDescent="0.35">
      <c r="A638" s="1" t="s">
        <v>1734</v>
      </c>
      <c r="B638" t="str">
        <f>VLOOKUP($A638, 'Customer Names'!A:D, 3, FALSE)</f>
        <v>Markert</v>
      </c>
      <c r="C638">
        <f>VLOOKUP($A638,'Medical Examinations'!A:C, 3, FALSE)</f>
        <v>53.32</v>
      </c>
      <c r="D638" t="str">
        <f>VLOOKUP($A638, 'Medical Examinations'!A:D, 4, FALSE)</f>
        <v>Normal</v>
      </c>
      <c r="E638" t="str">
        <f>VLOOKUP($A638, 'Medical Examinations'!A:F, 6, FALSE)</f>
        <v>No</v>
      </c>
      <c r="F638" t="str">
        <f>VLOOKUP($A638, 'Medical Examinations'!A:G, 7, FALSE)</f>
        <v>No</v>
      </c>
      <c r="G638" t="str">
        <f>VLOOKUP($A638, 'Medical Examinations'!A:H, 8, FALSE)</f>
        <v>No</v>
      </c>
      <c r="H638" t="str">
        <f>VLOOKUP($A638, 'Medical Examinations'!A:J, 10, FALSE)</f>
        <v>No major surgery</v>
      </c>
      <c r="I638" t="str">
        <f>VLOOKUP($A638, 'Medical Examinations'!A:K, 11, FALSE)</f>
        <v>No</v>
      </c>
      <c r="J638" t="str">
        <f>VLOOKUP($A638, 'Medical Examinations'!A:B, 2, FALSE)</f>
        <v>Obesity</v>
      </c>
      <c r="K638" t="str">
        <f>VLOOKUP($A638, 'Medical Examinations'!A:D, 4, FALSE)</f>
        <v>Normal</v>
      </c>
    </row>
    <row r="639" spans="1:11" ht="15.5" x14ac:dyDescent="0.35">
      <c r="A639" s="1" t="s">
        <v>1733</v>
      </c>
      <c r="B639" t="str">
        <f>VLOOKUP($A639, 'Customer Names'!A:D, 3, FALSE)</f>
        <v>McLucas</v>
      </c>
      <c r="C639">
        <f>VLOOKUP($A639,'Medical Examinations'!A:C, 3, FALSE)</f>
        <v>38.04</v>
      </c>
      <c r="D639" t="str">
        <f>VLOOKUP($A639, 'Medical Examinations'!A:D, 4, FALSE)</f>
        <v>Normal</v>
      </c>
      <c r="E639" t="str">
        <f>VLOOKUP($A639, 'Medical Examinations'!A:F, 6, FALSE)</f>
        <v>yes</v>
      </c>
      <c r="F639" t="str">
        <f>VLOOKUP($A639, 'Medical Examinations'!A:G, 7, FALSE)</f>
        <v>No</v>
      </c>
      <c r="G639" t="str">
        <f>VLOOKUP($A639, 'Medical Examinations'!A:H, 8, FALSE)</f>
        <v>No</v>
      </c>
      <c r="H639">
        <f>VLOOKUP($A639, 'Medical Examinations'!A:J, 10, FALSE)</f>
        <v>1</v>
      </c>
      <c r="I639" t="str">
        <f>VLOOKUP($A639, 'Medical Examinations'!A:K, 11, FALSE)</f>
        <v>No</v>
      </c>
      <c r="J639" t="str">
        <f>VLOOKUP($A639, 'Medical Examinations'!A:B, 2, FALSE)</f>
        <v>Obesity</v>
      </c>
      <c r="K639" t="str">
        <f>VLOOKUP($A639, 'Medical Examinations'!A:D, 4, FALSE)</f>
        <v>Normal</v>
      </c>
    </row>
    <row r="640" spans="1:11" ht="15.5" x14ac:dyDescent="0.35">
      <c r="A640" s="1" t="s">
        <v>1732</v>
      </c>
      <c r="B640" t="str">
        <f>VLOOKUP($A640, 'Customer Names'!A:D, 3, FALSE)</f>
        <v>Erwin</v>
      </c>
      <c r="C640">
        <f>VLOOKUP($A640,'Medical Examinations'!A:C, 3, FALSE)</f>
        <v>37.9</v>
      </c>
      <c r="D640" t="str">
        <f>VLOOKUP($A640, 'Medical Examinations'!A:D, 4, FALSE)</f>
        <v>Diabetes</v>
      </c>
      <c r="E640" t="str">
        <f>VLOOKUP($A640, 'Medical Examinations'!A:F, 6, FALSE)</f>
        <v>No</v>
      </c>
      <c r="F640" t="str">
        <f>VLOOKUP($A640, 'Medical Examinations'!A:G, 7, FALSE)</f>
        <v>No</v>
      </c>
      <c r="G640" t="str">
        <f>VLOOKUP($A640, 'Medical Examinations'!A:H, 8, FALSE)</f>
        <v>No</v>
      </c>
      <c r="H640" t="str">
        <f>VLOOKUP($A640, 'Medical Examinations'!A:J, 10, FALSE)</f>
        <v>No major surgery</v>
      </c>
      <c r="I640" t="str">
        <f>VLOOKUP($A640, 'Medical Examinations'!A:K, 11, FALSE)</f>
        <v>No</v>
      </c>
      <c r="J640" t="str">
        <f>VLOOKUP($A640, 'Medical Examinations'!A:B, 2, FALSE)</f>
        <v>Obesity</v>
      </c>
      <c r="K640" t="str">
        <f>VLOOKUP($A640, 'Medical Examinations'!A:D, 4, FALSE)</f>
        <v>Diabetes</v>
      </c>
    </row>
    <row r="641" spans="1:11" ht="15.5" x14ac:dyDescent="0.35">
      <c r="A641" s="1" t="s">
        <v>1731</v>
      </c>
      <c r="B641" t="str">
        <f>VLOOKUP($A641, 'Customer Names'!A:D, 3, FALSE)</f>
        <v>Osborne</v>
      </c>
      <c r="C641">
        <f>VLOOKUP($A641,'Medical Examinations'!A:C, 3, FALSE)</f>
        <v>39.6</v>
      </c>
      <c r="D641" t="str">
        <f>VLOOKUP($A641, 'Medical Examinations'!A:D, 4, FALSE)</f>
        <v>Diabetes</v>
      </c>
      <c r="E641" t="str">
        <f>VLOOKUP($A641, 'Medical Examinations'!A:F, 6, FALSE)</f>
        <v>No</v>
      </c>
      <c r="F641" t="str">
        <f>VLOOKUP($A641, 'Medical Examinations'!A:G, 7, FALSE)</f>
        <v>No</v>
      </c>
      <c r="G641" t="str">
        <f>VLOOKUP($A641, 'Medical Examinations'!A:H, 8, FALSE)</f>
        <v>No</v>
      </c>
      <c r="H641" t="str">
        <f>VLOOKUP($A641, 'Medical Examinations'!A:J, 10, FALSE)</f>
        <v>No major surgery</v>
      </c>
      <c r="I641" t="str">
        <f>VLOOKUP($A641, 'Medical Examinations'!A:K, 11, FALSE)</f>
        <v>No</v>
      </c>
      <c r="J641" t="str">
        <f>VLOOKUP($A641, 'Medical Examinations'!A:B, 2, FALSE)</f>
        <v>Obesity</v>
      </c>
      <c r="K641" t="str">
        <f>VLOOKUP($A641, 'Medical Examinations'!A:D, 4, FALSE)</f>
        <v>Diabetes</v>
      </c>
    </row>
    <row r="642" spans="1:11" ht="15.5" x14ac:dyDescent="0.35">
      <c r="A642" s="1" t="s">
        <v>1730</v>
      </c>
      <c r="B642" t="str">
        <f>VLOOKUP($A642, 'Customer Names'!A:D, 3, FALSE)</f>
        <v>Otsuka</v>
      </c>
      <c r="C642">
        <f>VLOOKUP($A642,'Medical Examinations'!A:C, 3, FALSE)</f>
        <v>50.92</v>
      </c>
      <c r="D642" t="str">
        <f>VLOOKUP($A642, 'Medical Examinations'!A:D, 4, FALSE)</f>
        <v>Normal</v>
      </c>
      <c r="E642" t="str">
        <f>VLOOKUP($A642, 'Medical Examinations'!A:F, 6, FALSE)</f>
        <v>yes</v>
      </c>
      <c r="F642" t="str">
        <f>VLOOKUP($A642, 'Medical Examinations'!A:G, 7, FALSE)</f>
        <v>No</v>
      </c>
      <c r="G642" t="str">
        <f>VLOOKUP($A642, 'Medical Examinations'!A:H, 8, FALSE)</f>
        <v>No</v>
      </c>
      <c r="H642">
        <f>VLOOKUP($A642, 'Medical Examinations'!A:J, 10, FALSE)</f>
        <v>1</v>
      </c>
      <c r="I642" t="str">
        <f>VLOOKUP($A642, 'Medical Examinations'!A:K, 11, FALSE)</f>
        <v>No</v>
      </c>
      <c r="J642" t="str">
        <f>VLOOKUP($A642, 'Medical Examinations'!A:B, 2, FALSE)</f>
        <v>Obesity</v>
      </c>
      <c r="K642" t="str">
        <f>VLOOKUP($A642, 'Medical Examinations'!A:D, 4, FALSE)</f>
        <v>Normal</v>
      </c>
    </row>
    <row r="643" spans="1:11" ht="15.5" x14ac:dyDescent="0.35">
      <c r="A643" s="1" t="s">
        <v>1729</v>
      </c>
      <c r="B643" t="str">
        <f>VLOOKUP($A643, 'Customer Names'!A:D, 3, FALSE)</f>
        <v>Smith</v>
      </c>
      <c r="C643">
        <f>VLOOKUP($A643,'Medical Examinations'!A:C, 3, FALSE)</f>
        <v>21.85</v>
      </c>
      <c r="D643" t="str">
        <f>VLOOKUP($A643, 'Medical Examinations'!A:D, 4, FALSE)</f>
        <v>Normal</v>
      </c>
      <c r="E643" t="str">
        <f>VLOOKUP($A643, 'Medical Examinations'!A:F, 6, FALSE)</f>
        <v>yes</v>
      </c>
      <c r="F643" t="str">
        <f>VLOOKUP($A643, 'Medical Examinations'!A:G, 7, FALSE)</f>
        <v>No</v>
      </c>
      <c r="G643" t="str">
        <f>VLOOKUP($A643, 'Medical Examinations'!A:H, 8, FALSE)</f>
        <v>No</v>
      </c>
      <c r="H643" t="str">
        <f>VLOOKUP($A643, 'Medical Examinations'!A:J, 10, FALSE)</f>
        <v>No major surgery</v>
      </c>
      <c r="I643" t="str">
        <f>VLOOKUP($A643, 'Medical Examinations'!A:K, 11, FALSE)</f>
        <v>yes</v>
      </c>
      <c r="J643" t="str">
        <f>VLOOKUP($A643, 'Medical Examinations'!A:B, 2, FALSE)</f>
        <v>Normal Weight</v>
      </c>
      <c r="K643" t="str">
        <f>VLOOKUP($A643, 'Medical Examinations'!A:D, 4, FALSE)</f>
        <v>Normal</v>
      </c>
    </row>
    <row r="644" spans="1:11" ht="15.5" x14ac:dyDescent="0.35">
      <c r="A644" s="1" t="s">
        <v>1728</v>
      </c>
      <c r="B644" t="str">
        <f>VLOOKUP($A644, 'Customer Names'!A:D, 3, FALSE)</f>
        <v>Myers</v>
      </c>
      <c r="C644">
        <f>VLOOKUP($A644,'Medical Examinations'!A:C, 3, FALSE)</f>
        <v>36.08</v>
      </c>
      <c r="D644" t="str">
        <f>VLOOKUP($A644, 'Medical Examinations'!A:D, 4, FALSE)</f>
        <v>Diabetes</v>
      </c>
      <c r="E644" t="str">
        <f>VLOOKUP($A644, 'Medical Examinations'!A:F, 6, FALSE)</f>
        <v>yes</v>
      </c>
      <c r="F644" t="str">
        <f>VLOOKUP($A644, 'Medical Examinations'!A:G, 7, FALSE)</f>
        <v>No</v>
      </c>
      <c r="G644" t="str">
        <f>VLOOKUP($A644, 'Medical Examinations'!A:H, 8, FALSE)</f>
        <v>Yes</v>
      </c>
      <c r="H644">
        <f>VLOOKUP($A644, 'Medical Examinations'!A:J, 10, FALSE)</f>
        <v>1</v>
      </c>
      <c r="I644" t="str">
        <f>VLOOKUP($A644, 'Medical Examinations'!A:K, 11, FALSE)</f>
        <v>No</v>
      </c>
      <c r="J644" t="str">
        <f>VLOOKUP($A644, 'Medical Examinations'!A:B, 2, FALSE)</f>
        <v>Obesity</v>
      </c>
      <c r="K644" t="str">
        <f>VLOOKUP($A644, 'Medical Examinations'!A:D, 4, FALSE)</f>
        <v>Diabetes</v>
      </c>
    </row>
    <row r="645" spans="1:11" ht="15.5" x14ac:dyDescent="0.35">
      <c r="A645" s="1" t="s">
        <v>1727</v>
      </c>
      <c r="B645" t="str">
        <f>VLOOKUP($A645, 'Customer Names'!A:D, 3, FALSE)</f>
        <v>Cote</v>
      </c>
      <c r="C645">
        <f>VLOOKUP($A645,'Medical Examinations'!A:C, 3, FALSE)</f>
        <v>40.44</v>
      </c>
      <c r="D645" t="str">
        <f>VLOOKUP($A645, 'Medical Examinations'!A:D, 4, FALSE)</f>
        <v>Normal</v>
      </c>
      <c r="E645" t="str">
        <f>VLOOKUP($A645, 'Medical Examinations'!A:F, 6, FALSE)</f>
        <v>yes</v>
      </c>
      <c r="F645" t="str">
        <f>VLOOKUP($A645, 'Medical Examinations'!A:G, 7, FALSE)</f>
        <v>No</v>
      </c>
      <c r="G645" t="str">
        <f>VLOOKUP($A645, 'Medical Examinations'!A:H, 8, FALSE)</f>
        <v>Yes</v>
      </c>
      <c r="H645">
        <f>VLOOKUP($A645, 'Medical Examinations'!A:J, 10, FALSE)</f>
        <v>1</v>
      </c>
      <c r="I645" t="str">
        <f>VLOOKUP($A645, 'Medical Examinations'!A:K, 11, FALSE)</f>
        <v>No</v>
      </c>
      <c r="J645" t="str">
        <f>VLOOKUP($A645, 'Medical Examinations'!A:B, 2, FALSE)</f>
        <v>Obesity</v>
      </c>
      <c r="K645" t="str">
        <f>VLOOKUP($A645, 'Medical Examinations'!A:D, 4, FALSE)</f>
        <v>Normal</v>
      </c>
    </row>
    <row r="646" spans="1:11" ht="15.5" x14ac:dyDescent="0.35">
      <c r="A646" s="1" t="s">
        <v>1726</v>
      </c>
      <c r="B646" t="str">
        <f>VLOOKUP($A646, 'Customer Names'!A:D, 3, FALSE)</f>
        <v>Ehrhardt</v>
      </c>
      <c r="C646">
        <f>VLOOKUP($A646,'Medical Examinations'!A:C, 3, FALSE)</f>
        <v>38.094999999999999</v>
      </c>
      <c r="D646" t="str">
        <f>VLOOKUP($A646, 'Medical Examinations'!A:D, 4, FALSE)</f>
        <v>Diabetes</v>
      </c>
      <c r="E646" t="str">
        <f>VLOOKUP($A646, 'Medical Examinations'!A:F, 6, FALSE)</f>
        <v>No</v>
      </c>
      <c r="F646" t="str">
        <f>VLOOKUP($A646, 'Medical Examinations'!A:G, 7, FALSE)</f>
        <v>No</v>
      </c>
      <c r="G646" t="str">
        <f>VLOOKUP($A646, 'Medical Examinations'!A:H, 8, FALSE)</f>
        <v>No</v>
      </c>
      <c r="H646" t="str">
        <f>VLOOKUP($A646, 'Medical Examinations'!A:J, 10, FALSE)</f>
        <v>No major surgery</v>
      </c>
      <c r="I646" t="str">
        <f>VLOOKUP($A646, 'Medical Examinations'!A:K, 11, FALSE)</f>
        <v>No</v>
      </c>
      <c r="J646" t="str">
        <f>VLOOKUP($A646, 'Medical Examinations'!A:B, 2, FALSE)</f>
        <v>Obesity</v>
      </c>
      <c r="K646" t="str">
        <f>VLOOKUP($A646, 'Medical Examinations'!A:D, 4, FALSE)</f>
        <v>Diabetes</v>
      </c>
    </row>
    <row r="647" spans="1:11" ht="15.5" x14ac:dyDescent="0.35">
      <c r="A647" s="1" t="s">
        <v>1725</v>
      </c>
      <c r="B647" t="str">
        <f>VLOOKUP($A647, 'Customer Names'!A:D, 3, FALSE)</f>
        <v>Petersen</v>
      </c>
      <c r="C647">
        <f>VLOOKUP($A647,'Medical Examinations'!A:C, 3, FALSE)</f>
        <v>44.95</v>
      </c>
      <c r="D647" t="str">
        <f>VLOOKUP($A647, 'Medical Examinations'!A:D, 4, FALSE)</f>
        <v>Diabetes</v>
      </c>
      <c r="E647" t="str">
        <f>VLOOKUP($A647, 'Medical Examinations'!A:F, 6, FALSE)</f>
        <v>No</v>
      </c>
      <c r="F647" t="str">
        <f>VLOOKUP($A647, 'Medical Examinations'!A:G, 7, FALSE)</f>
        <v>No</v>
      </c>
      <c r="G647" t="str">
        <f>VLOOKUP($A647, 'Medical Examinations'!A:H, 8, FALSE)</f>
        <v>No</v>
      </c>
      <c r="H647" t="str">
        <f>VLOOKUP($A647, 'Medical Examinations'!A:J, 10, FALSE)</f>
        <v>No major surgery</v>
      </c>
      <c r="I647" t="str">
        <f>VLOOKUP($A647, 'Medical Examinations'!A:K, 11, FALSE)</f>
        <v>No</v>
      </c>
      <c r="J647" t="str">
        <f>VLOOKUP($A647, 'Medical Examinations'!A:B, 2, FALSE)</f>
        <v>Obesity</v>
      </c>
      <c r="K647" t="str">
        <f>VLOOKUP($A647, 'Medical Examinations'!A:D, 4, FALSE)</f>
        <v>Diabetes</v>
      </c>
    </row>
    <row r="648" spans="1:11" ht="15.5" x14ac:dyDescent="0.35">
      <c r="A648" s="1" t="s">
        <v>1724</v>
      </c>
      <c r="B648" t="str">
        <f>VLOOKUP($A648, 'Customer Names'!A:D, 3, FALSE)</f>
        <v>Ertel</v>
      </c>
      <c r="C648">
        <f>VLOOKUP($A648,'Medical Examinations'!A:C, 3, FALSE)</f>
        <v>35.54</v>
      </c>
      <c r="D648" t="str">
        <f>VLOOKUP($A648, 'Medical Examinations'!A:D, 4, FALSE)</f>
        <v>Diabetes</v>
      </c>
      <c r="E648" t="str">
        <f>VLOOKUP($A648, 'Medical Examinations'!A:F, 6, FALSE)</f>
        <v>No</v>
      </c>
      <c r="F648" t="str">
        <f>VLOOKUP($A648, 'Medical Examinations'!A:G, 7, FALSE)</f>
        <v>No</v>
      </c>
      <c r="G648" t="str">
        <f>VLOOKUP($A648, 'Medical Examinations'!A:H, 8, FALSE)</f>
        <v>No</v>
      </c>
      <c r="H648" t="str">
        <f>VLOOKUP($A648, 'Medical Examinations'!A:J, 10, FALSE)</f>
        <v>No major surgery</v>
      </c>
      <c r="I648" t="str">
        <f>VLOOKUP($A648, 'Medical Examinations'!A:K, 11, FALSE)</f>
        <v>No</v>
      </c>
      <c r="J648" t="str">
        <f>VLOOKUP($A648, 'Medical Examinations'!A:B, 2, FALSE)</f>
        <v>Obesity</v>
      </c>
      <c r="K648" t="str">
        <f>VLOOKUP($A648, 'Medical Examinations'!A:D, 4, FALSE)</f>
        <v>Diabetes</v>
      </c>
    </row>
    <row r="649" spans="1:11" ht="15.5" x14ac:dyDescent="0.35">
      <c r="A649" s="1" t="s">
        <v>1723</v>
      </c>
      <c r="B649" t="str">
        <f>VLOOKUP($A649, 'Customer Names'!A:D, 3, FALSE)</f>
        <v>Lanza</v>
      </c>
      <c r="C649">
        <f>VLOOKUP($A649,'Medical Examinations'!A:C, 3, FALSE)</f>
        <v>39.799999999999997</v>
      </c>
      <c r="D649" t="str">
        <f>VLOOKUP($A649, 'Medical Examinations'!A:D, 4, FALSE)</f>
        <v>Normal</v>
      </c>
      <c r="E649" t="str">
        <f>VLOOKUP($A649, 'Medical Examinations'!A:F, 6, FALSE)</f>
        <v>yes</v>
      </c>
      <c r="F649" t="str">
        <f>VLOOKUP($A649, 'Medical Examinations'!A:G, 7, FALSE)</f>
        <v>No</v>
      </c>
      <c r="G649" t="str">
        <f>VLOOKUP($A649, 'Medical Examinations'!A:H, 8, FALSE)</f>
        <v>No</v>
      </c>
      <c r="H649">
        <f>VLOOKUP($A649, 'Medical Examinations'!A:J, 10, FALSE)</f>
        <v>2</v>
      </c>
      <c r="I649" t="str">
        <f>VLOOKUP($A649, 'Medical Examinations'!A:K, 11, FALSE)</f>
        <v>No</v>
      </c>
      <c r="J649" t="str">
        <f>VLOOKUP($A649, 'Medical Examinations'!A:B, 2, FALSE)</f>
        <v>Obesity</v>
      </c>
      <c r="K649" t="str">
        <f>VLOOKUP($A649, 'Medical Examinations'!A:D, 4, FALSE)</f>
        <v>Normal</v>
      </c>
    </row>
    <row r="650" spans="1:11" ht="15.5" x14ac:dyDescent="0.35">
      <c r="A650" s="1" t="s">
        <v>1722</v>
      </c>
      <c r="B650" t="str">
        <f>VLOOKUP($A650, 'Customer Names'!A:D, 3, FALSE)</f>
        <v>Picklesimer</v>
      </c>
      <c r="C650">
        <f>VLOOKUP($A650,'Medical Examinations'!A:C, 3, FALSE)</f>
        <v>33.659999999999997</v>
      </c>
      <c r="D650" t="str">
        <f>VLOOKUP($A650, 'Medical Examinations'!A:D, 4, FALSE)</f>
        <v>Normal</v>
      </c>
      <c r="E650" t="str">
        <f>VLOOKUP($A650, 'Medical Examinations'!A:F, 6, FALSE)</f>
        <v>yes</v>
      </c>
      <c r="F650" t="str">
        <f>VLOOKUP($A650, 'Medical Examinations'!A:G, 7, FALSE)</f>
        <v>No</v>
      </c>
      <c r="G650" t="str">
        <f>VLOOKUP($A650, 'Medical Examinations'!A:H, 8, FALSE)</f>
        <v>No</v>
      </c>
      <c r="H650">
        <f>VLOOKUP($A650, 'Medical Examinations'!A:J, 10, FALSE)</f>
        <v>2</v>
      </c>
      <c r="I650" t="str">
        <f>VLOOKUP($A650, 'Medical Examinations'!A:K, 11, FALSE)</f>
        <v>No</v>
      </c>
      <c r="J650" t="str">
        <f>VLOOKUP($A650, 'Medical Examinations'!A:B, 2, FALSE)</f>
        <v>Obesity</v>
      </c>
      <c r="K650" t="str">
        <f>VLOOKUP($A650, 'Medical Examinations'!A:D, 4, FALSE)</f>
        <v>Normal</v>
      </c>
    </row>
    <row r="651" spans="1:11" ht="15.5" x14ac:dyDescent="0.35">
      <c r="A651" s="1" t="s">
        <v>1721</v>
      </c>
      <c r="B651" t="str">
        <f>VLOOKUP($A651, 'Customer Names'!A:D, 3, FALSE)</f>
        <v>Giles</v>
      </c>
      <c r="C651">
        <f>VLOOKUP($A651,'Medical Examinations'!A:C, 3, FALSE)</f>
        <v>35.5</v>
      </c>
      <c r="D651" t="str">
        <f>VLOOKUP($A651, 'Medical Examinations'!A:D, 4, FALSE)</f>
        <v>Diabetes</v>
      </c>
      <c r="E651" t="str">
        <f>VLOOKUP($A651, 'Medical Examinations'!A:F, 6, FALSE)</f>
        <v>No</v>
      </c>
      <c r="F651" t="str">
        <f>VLOOKUP($A651, 'Medical Examinations'!A:G, 7, FALSE)</f>
        <v>No</v>
      </c>
      <c r="G651" t="str">
        <f>VLOOKUP($A651, 'Medical Examinations'!A:H, 8, FALSE)</f>
        <v>No</v>
      </c>
      <c r="H651" t="str">
        <f>VLOOKUP($A651, 'Medical Examinations'!A:J, 10, FALSE)</f>
        <v>No major surgery</v>
      </c>
      <c r="I651" t="str">
        <f>VLOOKUP($A651, 'Medical Examinations'!A:K, 11, FALSE)</f>
        <v>No</v>
      </c>
      <c r="J651" t="str">
        <f>VLOOKUP($A651, 'Medical Examinations'!A:B, 2, FALSE)</f>
        <v>Obesity</v>
      </c>
      <c r="K651" t="str">
        <f>VLOOKUP($A651, 'Medical Examinations'!A:D, 4, FALSE)</f>
        <v>Diabetes</v>
      </c>
    </row>
    <row r="652" spans="1:11" ht="15.5" x14ac:dyDescent="0.35">
      <c r="A652" s="1" t="s">
        <v>1720</v>
      </c>
      <c r="B652" t="str">
        <f>VLOOKUP($A652, 'Customer Names'!A:D, 3, FALSE)</f>
        <v>Harmon</v>
      </c>
      <c r="C652">
        <f>VLOOKUP($A652,'Medical Examinations'!A:C, 3, FALSE)</f>
        <v>41.63</v>
      </c>
      <c r="D652" t="str">
        <f>VLOOKUP($A652, 'Medical Examinations'!A:D, 4, FALSE)</f>
        <v>Diabetes</v>
      </c>
      <c r="E652" t="str">
        <f>VLOOKUP($A652, 'Medical Examinations'!A:F, 6, FALSE)</f>
        <v>No</v>
      </c>
      <c r="F652" t="str">
        <f>VLOOKUP($A652, 'Medical Examinations'!A:G, 7, FALSE)</f>
        <v>No</v>
      </c>
      <c r="G652" t="str">
        <f>VLOOKUP($A652, 'Medical Examinations'!A:H, 8, FALSE)</f>
        <v>No</v>
      </c>
      <c r="H652" t="str">
        <f>VLOOKUP($A652, 'Medical Examinations'!A:J, 10, FALSE)</f>
        <v>No major surgery</v>
      </c>
      <c r="I652" t="str">
        <f>VLOOKUP($A652, 'Medical Examinations'!A:K, 11, FALSE)</f>
        <v>No</v>
      </c>
      <c r="J652" t="str">
        <f>VLOOKUP($A652, 'Medical Examinations'!A:B, 2, FALSE)</f>
        <v>Obesity</v>
      </c>
      <c r="K652" t="str">
        <f>VLOOKUP($A652, 'Medical Examinations'!A:D, 4, FALSE)</f>
        <v>Diabetes</v>
      </c>
    </row>
    <row r="653" spans="1:11" ht="15.5" x14ac:dyDescent="0.35">
      <c r="A653" s="1" t="s">
        <v>1719</v>
      </c>
      <c r="B653" t="str">
        <f>VLOOKUP($A653, 'Customer Names'!A:D, 3, FALSE)</f>
        <v>Pennings</v>
      </c>
      <c r="C653">
        <f>VLOOKUP($A653,'Medical Examinations'!A:C, 3, FALSE)</f>
        <v>46.49</v>
      </c>
      <c r="D653" t="str">
        <f>VLOOKUP($A653, 'Medical Examinations'!A:D, 4, FALSE)</f>
        <v>Diabetes</v>
      </c>
      <c r="E653" t="str">
        <f>VLOOKUP($A653, 'Medical Examinations'!A:F, 6, FALSE)</f>
        <v>No</v>
      </c>
      <c r="F653" t="str">
        <f>VLOOKUP($A653, 'Medical Examinations'!A:G, 7, FALSE)</f>
        <v>No</v>
      </c>
      <c r="G653" t="str">
        <f>VLOOKUP($A653, 'Medical Examinations'!A:H, 8, FALSE)</f>
        <v>No</v>
      </c>
      <c r="H653" t="str">
        <f>VLOOKUP($A653, 'Medical Examinations'!A:J, 10, FALSE)</f>
        <v>No major surgery</v>
      </c>
      <c r="I653" t="str">
        <f>VLOOKUP($A653, 'Medical Examinations'!A:K, 11, FALSE)</f>
        <v>No</v>
      </c>
      <c r="J653" t="str">
        <f>VLOOKUP($A653, 'Medical Examinations'!A:B, 2, FALSE)</f>
        <v>Obesity</v>
      </c>
      <c r="K653" t="str">
        <f>VLOOKUP($A653, 'Medical Examinations'!A:D, 4, FALSE)</f>
        <v>Diabetes</v>
      </c>
    </row>
    <row r="654" spans="1:11" ht="15.5" x14ac:dyDescent="0.35">
      <c r="A654" s="1" t="s">
        <v>1718</v>
      </c>
      <c r="B654" t="str">
        <f>VLOOKUP($A654, 'Customer Names'!A:D, 3, FALSE)</f>
        <v>Tseronis</v>
      </c>
      <c r="C654">
        <f>VLOOKUP($A654,'Medical Examinations'!A:C, 3, FALSE)</f>
        <v>43.29</v>
      </c>
      <c r="D654" t="str">
        <f>VLOOKUP($A654, 'Medical Examinations'!A:D, 4, FALSE)</f>
        <v>Normal</v>
      </c>
      <c r="E654" t="str">
        <f>VLOOKUP($A654, 'Medical Examinations'!A:F, 6, FALSE)</f>
        <v>No</v>
      </c>
      <c r="F654" t="str">
        <f>VLOOKUP($A654, 'Medical Examinations'!A:G, 7, FALSE)</f>
        <v>No</v>
      </c>
      <c r="G654" t="str">
        <f>VLOOKUP($A654, 'Medical Examinations'!A:H, 8, FALSE)</f>
        <v>No</v>
      </c>
      <c r="H654">
        <f>VLOOKUP($A654, 'Medical Examinations'!A:J, 10, FALSE)</f>
        <v>2</v>
      </c>
      <c r="I654" t="str">
        <f>VLOOKUP($A654, 'Medical Examinations'!A:K, 11, FALSE)</f>
        <v>No</v>
      </c>
      <c r="J654" t="str">
        <f>VLOOKUP($A654, 'Medical Examinations'!A:B, 2, FALSE)</f>
        <v>Obesity</v>
      </c>
      <c r="K654" t="str">
        <f>VLOOKUP($A654, 'Medical Examinations'!A:D, 4, FALSE)</f>
        <v>Normal</v>
      </c>
    </row>
    <row r="655" spans="1:11" ht="15.5" x14ac:dyDescent="0.35">
      <c r="A655" s="1" t="s">
        <v>1717</v>
      </c>
      <c r="B655" t="str">
        <f>VLOOKUP($A655, 'Customer Names'!A:D, 3, FALSE)</f>
        <v>Aliff</v>
      </c>
      <c r="C655">
        <f>VLOOKUP($A655,'Medical Examinations'!A:C, 3, FALSE)</f>
        <v>43.08</v>
      </c>
      <c r="D655" t="str">
        <f>VLOOKUP($A655, 'Medical Examinations'!A:D, 4, FALSE)</f>
        <v>Diabetes</v>
      </c>
      <c r="E655" t="str">
        <f>VLOOKUP($A655, 'Medical Examinations'!A:F, 6, FALSE)</f>
        <v>yes</v>
      </c>
      <c r="F655" t="str">
        <f>VLOOKUP($A655, 'Medical Examinations'!A:G, 7, FALSE)</f>
        <v>No</v>
      </c>
      <c r="G655" t="str">
        <f>VLOOKUP($A655, 'Medical Examinations'!A:H, 8, FALSE)</f>
        <v>No</v>
      </c>
      <c r="H655">
        <f>VLOOKUP($A655, 'Medical Examinations'!A:J, 10, FALSE)</f>
        <v>1</v>
      </c>
      <c r="I655" t="str">
        <f>VLOOKUP($A655, 'Medical Examinations'!A:K, 11, FALSE)</f>
        <v>No</v>
      </c>
      <c r="J655" t="str">
        <f>VLOOKUP($A655, 'Medical Examinations'!A:B, 2, FALSE)</f>
        <v>Obesity</v>
      </c>
      <c r="K655" t="str">
        <f>VLOOKUP($A655, 'Medical Examinations'!A:D, 4, FALSE)</f>
        <v>Diabetes</v>
      </c>
    </row>
    <row r="656" spans="1:11" ht="15.5" x14ac:dyDescent="0.35">
      <c r="A656" s="1" t="s">
        <v>1716</v>
      </c>
      <c r="B656" t="str">
        <f>VLOOKUP($A656, 'Customer Names'!A:D, 3, FALSE)</f>
        <v>Willenberg</v>
      </c>
      <c r="C656">
        <f>VLOOKUP($A656,'Medical Examinations'!A:C, 3, FALSE)</f>
        <v>39.07</v>
      </c>
      <c r="D656" t="str">
        <f>VLOOKUP($A656, 'Medical Examinations'!A:D, 4, FALSE)</f>
        <v>Diabetes</v>
      </c>
      <c r="E656" t="str">
        <f>VLOOKUP($A656, 'Medical Examinations'!A:F, 6, FALSE)</f>
        <v>No</v>
      </c>
      <c r="F656" t="str">
        <f>VLOOKUP($A656, 'Medical Examinations'!A:G, 7, FALSE)</f>
        <v>No</v>
      </c>
      <c r="G656" t="str">
        <f>VLOOKUP($A656, 'Medical Examinations'!A:H, 8, FALSE)</f>
        <v>No</v>
      </c>
      <c r="H656" t="str">
        <f>VLOOKUP($A656, 'Medical Examinations'!A:J, 10, FALSE)</f>
        <v>No major surgery</v>
      </c>
      <c r="I656" t="str">
        <f>VLOOKUP($A656, 'Medical Examinations'!A:K, 11, FALSE)</f>
        <v>No</v>
      </c>
      <c r="J656" t="str">
        <f>VLOOKUP($A656, 'Medical Examinations'!A:B, 2, FALSE)</f>
        <v>Obesity</v>
      </c>
      <c r="K656" t="str">
        <f>VLOOKUP($A656, 'Medical Examinations'!A:D, 4, FALSE)</f>
        <v>Diabetes</v>
      </c>
    </row>
    <row r="657" spans="1:11" ht="15.5" x14ac:dyDescent="0.35">
      <c r="A657" s="1" t="s">
        <v>1715</v>
      </c>
      <c r="B657" t="str">
        <f>VLOOKUP($A657, 'Customer Names'!A:D, 3, FALSE)</f>
        <v>Millett</v>
      </c>
      <c r="C657">
        <f>VLOOKUP($A657,'Medical Examinations'!A:C, 3, FALSE)</f>
        <v>41.3</v>
      </c>
      <c r="D657" t="str">
        <f>VLOOKUP($A657, 'Medical Examinations'!A:D, 4, FALSE)</f>
        <v>Diabetes</v>
      </c>
      <c r="E657" t="str">
        <f>VLOOKUP($A657, 'Medical Examinations'!A:F, 6, FALSE)</f>
        <v>No</v>
      </c>
      <c r="F657" t="str">
        <f>VLOOKUP($A657, 'Medical Examinations'!A:G, 7, FALSE)</f>
        <v>No</v>
      </c>
      <c r="G657" t="str">
        <f>VLOOKUP($A657, 'Medical Examinations'!A:H, 8, FALSE)</f>
        <v>No</v>
      </c>
      <c r="H657" t="str">
        <f>VLOOKUP($A657, 'Medical Examinations'!A:J, 10, FALSE)</f>
        <v>No major surgery</v>
      </c>
      <c r="I657" t="str">
        <f>VLOOKUP($A657, 'Medical Examinations'!A:K, 11, FALSE)</f>
        <v>No</v>
      </c>
      <c r="J657" t="str">
        <f>VLOOKUP($A657, 'Medical Examinations'!A:B, 2, FALSE)</f>
        <v>Obesity</v>
      </c>
      <c r="K657" t="str">
        <f>VLOOKUP($A657, 'Medical Examinations'!A:D, 4, FALSE)</f>
        <v>Diabetes</v>
      </c>
    </row>
    <row r="658" spans="1:11" ht="15.5" x14ac:dyDescent="0.35">
      <c r="A658" s="1" t="s">
        <v>1714</v>
      </c>
      <c r="B658" t="str">
        <f>VLOOKUP($A658, 'Customer Names'!A:D, 3, FALSE)</f>
        <v>Haley</v>
      </c>
      <c r="C658">
        <f>VLOOKUP($A658,'Medical Examinations'!A:C, 3, FALSE)</f>
        <v>42.95</v>
      </c>
      <c r="D658" t="str">
        <f>VLOOKUP($A658, 'Medical Examinations'!A:D, 4, FALSE)</f>
        <v>Diabetes</v>
      </c>
      <c r="E658" t="str">
        <f>VLOOKUP($A658, 'Medical Examinations'!A:F, 6, FALSE)</f>
        <v>yes</v>
      </c>
      <c r="F658" t="str">
        <f>VLOOKUP($A658, 'Medical Examinations'!A:G, 7, FALSE)</f>
        <v>No</v>
      </c>
      <c r="G658" t="str">
        <f>VLOOKUP($A658, 'Medical Examinations'!A:H, 8, FALSE)</f>
        <v>No</v>
      </c>
      <c r="H658">
        <f>VLOOKUP($A658, 'Medical Examinations'!A:J, 10, FALSE)</f>
        <v>2</v>
      </c>
      <c r="I658" t="str">
        <f>VLOOKUP($A658, 'Medical Examinations'!A:K, 11, FALSE)</f>
        <v>No</v>
      </c>
      <c r="J658" t="str">
        <f>VLOOKUP($A658, 'Medical Examinations'!A:B, 2, FALSE)</f>
        <v>Obesity</v>
      </c>
      <c r="K658" t="str">
        <f>VLOOKUP($A658, 'Medical Examinations'!A:D, 4, FALSE)</f>
        <v>Diabetes</v>
      </c>
    </row>
    <row r="659" spans="1:11" ht="15.5" x14ac:dyDescent="0.35">
      <c r="A659" s="1" t="s">
        <v>1713</v>
      </c>
      <c r="B659" t="str">
        <f>VLOOKUP($A659, 'Customer Names'!A:D, 3, FALSE)</f>
        <v>Ackerman</v>
      </c>
      <c r="C659">
        <f>VLOOKUP($A659,'Medical Examinations'!A:C, 3, FALSE)</f>
        <v>46.96</v>
      </c>
      <c r="D659" t="str">
        <f>VLOOKUP($A659, 'Medical Examinations'!A:D, 4, FALSE)</f>
        <v>Normal</v>
      </c>
      <c r="E659" t="str">
        <f>VLOOKUP($A659, 'Medical Examinations'!A:F, 6, FALSE)</f>
        <v>No</v>
      </c>
      <c r="F659" t="str">
        <f>VLOOKUP($A659, 'Medical Examinations'!A:G, 7, FALSE)</f>
        <v>No</v>
      </c>
      <c r="G659" t="str">
        <f>VLOOKUP($A659, 'Medical Examinations'!A:H, 8, FALSE)</f>
        <v>Yes</v>
      </c>
      <c r="H659">
        <f>VLOOKUP($A659, 'Medical Examinations'!A:J, 10, FALSE)</f>
        <v>1</v>
      </c>
      <c r="I659" t="str">
        <f>VLOOKUP($A659, 'Medical Examinations'!A:K, 11, FALSE)</f>
        <v>No</v>
      </c>
      <c r="J659" t="str">
        <f>VLOOKUP($A659, 'Medical Examinations'!A:B, 2, FALSE)</f>
        <v>Obesity</v>
      </c>
      <c r="K659" t="str">
        <f>VLOOKUP($A659, 'Medical Examinations'!A:D, 4, FALSE)</f>
        <v>Normal</v>
      </c>
    </row>
    <row r="660" spans="1:11" ht="15.5" x14ac:dyDescent="0.35">
      <c r="A660" s="1" t="s">
        <v>1712</v>
      </c>
      <c r="B660" t="str">
        <f>VLOOKUP($A660, 'Customer Names'!A:D, 3, FALSE)</f>
        <v>Valdez</v>
      </c>
      <c r="C660">
        <f>VLOOKUP($A660,'Medical Examinations'!A:C, 3, FALSE)</f>
        <v>30.495000000000001</v>
      </c>
      <c r="D660" t="str">
        <f>VLOOKUP($A660, 'Medical Examinations'!A:D, 4, FALSE)</f>
        <v>Diabetes</v>
      </c>
      <c r="E660" t="str">
        <f>VLOOKUP($A660, 'Medical Examinations'!A:F, 6, FALSE)</f>
        <v>No</v>
      </c>
      <c r="F660" t="str">
        <f>VLOOKUP($A660, 'Medical Examinations'!A:G, 7, FALSE)</f>
        <v>No</v>
      </c>
      <c r="G660" t="str">
        <f>VLOOKUP($A660, 'Medical Examinations'!A:H, 8, FALSE)</f>
        <v>No</v>
      </c>
      <c r="H660" t="str">
        <f>VLOOKUP($A660, 'Medical Examinations'!A:J, 10, FALSE)</f>
        <v>No major surgery</v>
      </c>
      <c r="I660" t="str">
        <f>VLOOKUP($A660, 'Medical Examinations'!A:K, 11, FALSE)</f>
        <v>No</v>
      </c>
      <c r="J660" t="str">
        <f>VLOOKUP($A660, 'Medical Examinations'!A:B, 2, FALSE)</f>
        <v>Obesity</v>
      </c>
      <c r="K660" t="str">
        <f>VLOOKUP($A660, 'Medical Examinations'!A:D, 4, FALSE)</f>
        <v>Diabetes</v>
      </c>
    </row>
    <row r="661" spans="1:11" ht="15.5" x14ac:dyDescent="0.35">
      <c r="A661" s="1" t="s">
        <v>1711</v>
      </c>
      <c r="B661" t="str">
        <f>VLOOKUP($A661, 'Customer Names'!A:D, 3, FALSE)</f>
        <v>Michaud</v>
      </c>
      <c r="C661">
        <f>VLOOKUP($A661,'Medical Examinations'!A:C, 3, FALSE)</f>
        <v>17.954999999999998</v>
      </c>
      <c r="D661" t="str">
        <f>VLOOKUP($A661, 'Medical Examinations'!A:D, 4, FALSE)</f>
        <v>Normal</v>
      </c>
      <c r="E661" t="str">
        <f>VLOOKUP($A661, 'Medical Examinations'!A:F, 6, FALSE)</f>
        <v>yes</v>
      </c>
      <c r="F661" t="str">
        <f>VLOOKUP($A661, 'Medical Examinations'!A:G, 7, FALSE)</f>
        <v>No</v>
      </c>
      <c r="G661" t="str">
        <f>VLOOKUP($A661, 'Medical Examinations'!A:H, 8, FALSE)</f>
        <v>No</v>
      </c>
      <c r="H661">
        <f>VLOOKUP($A661, 'Medical Examinations'!A:J, 10, FALSE)</f>
        <v>1</v>
      </c>
      <c r="I661" t="str">
        <f>VLOOKUP($A661, 'Medical Examinations'!A:K, 11, FALSE)</f>
        <v>yes</v>
      </c>
      <c r="J661" t="str">
        <f>VLOOKUP($A661, 'Medical Examinations'!A:B, 2, FALSE)</f>
        <v>Underweight</v>
      </c>
      <c r="K661" t="str">
        <f>VLOOKUP($A661, 'Medical Examinations'!A:D, 4, FALSE)</f>
        <v>Normal</v>
      </c>
    </row>
    <row r="662" spans="1:11" ht="15.5" x14ac:dyDescent="0.35">
      <c r="A662" s="1" t="s">
        <v>1710</v>
      </c>
      <c r="B662" t="str">
        <f>VLOOKUP($A662, 'Customer Names'!A:D, 3, FALSE)</f>
        <v>Gunnink</v>
      </c>
      <c r="C662">
        <f>VLOOKUP($A662,'Medical Examinations'!A:C, 3, FALSE)</f>
        <v>25.6</v>
      </c>
      <c r="D662" t="str">
        <f>VLOOKUP($A662, 'Medical Examinations'!A:D, 4, FALSE)</f>
        <v>Diabetes</v>
      </c>
      <c r="E662" t="str">
        <f>VLOOKUP($A662, 'Medical Examinations'!A:F, 6, FALSE)</f>
        <v>No</v>
      </c>
      <c r="F662" t="str">
        <f>VLOOKUP($A662, 'Medical Examinations'!A:G, 7, FALSE)</f>
        <v>No</v>
      </c>
      <c r="G662" t="str">
        <f>VLOOKUP($A662, 'Medical Examinations'!A:H, 8, FALSE)</f>
        <v>No</v>
      </c>
      <c r="H662">
        <f>VLOOKUP($A662, 'Medical Examinations'!A:J, 10, FALSE)</f>
        <v>3</v>
      </c>
      <c r="I662" t="str">
        <f>VLOOKUP($A662, 'Medical Examinations'!A:K, 11, FALSE)</f>
        <v>No</v>
      </c>
      <c r="J662" t="str">
        <f>VLOOKUP($A662, 'Medical Examinations'!A:B, 2, FALSE)</f>
        <v>Overweight</v>
      </c>
      <c r="K662" t="str">
        <f>VLOOKUP($A662, 'Medical Examinations'!A:D, 4, FALSE)</f>
        <v>Diabetes</v>
      </c>
    </row>
    <row r="663" spans="1:11" ht="15.5" x14ac:dyDescent="0.35">
      <c r="A663" s="1" t="s">
        <v>1709</v>
      </c>
      <c r="B663" t="str">
        <f>VLOOKUP($A663, 'Customer Names'!A:D, 3, FALSE)</f>
        <v>Knight</v>
      </c>
      <c r="C663">
        <f>VLOOKUP($A663,'Medical Examinations'!A:C, 3, FALSE)</f>
        <v>34.21</v>
      </c>
      <c r="D663" t="str">
        <f>VLOOKUP($A663, 'Medical Examinations'!A:D, 4, FALSE)</f>
        <v>Diabetes</v>
      </c>
      <c r="E663" t="str">
        <f>VLOOKUP($A663, 'Medical Examinations'!A:F, 6, FALSE)</f>
        <v>No</v>
      </c>
      <c r="F663" t="str">
        <f>VLOOKUP($A663, 'Medical Examinations'!A:G, 7, FALSE)</f>
        <v>No</v>
      </c>
      <c r="G663" t="str">
        <f>VLOOKUP($A663, 'Medical Examinations'!A:H, 8, FALSE)</f>
        <v>No</v>
      </c>
      <c r="H663" t="str">
        <f>VLOOKUP($A663, 'Medical Examinations'!A:J, 10, FALSE)</f>
        <v>No major surgery</v>
      </c>
      <c r="I663" t="str">
        <f>VLOOKUP($A663, 'Medical Examinations'!A:K, 11, FALSE)</f>
        <v>No</v>
      </c>
      <c r="J663" t="str">
        <f>VLOOKUP($A663, 'Medical Examinations'!A:B, 2, FALSE)</f>
        <v>Obesity</v>
      </c>
      <c r="K663" t="str">
        <f>VLOOKUP($A663, 'Medical Examinations'!A:D, 4, FALSE)</f>
        <v>Diabetes</v>
      </c>
    </row>
    <row r="664" spans="1:11" ht="15.5" x14ac:dyDescent="0.35">
      <c r="A664" s="1" t="s">
        <v>1708</v>
      </c>
      <c r="B664" t="str">
        <f>VLOOKUP($A664, 'Customer Names'!A:D, 3, FALSE)</f>
        <v>Grosscup</v>
      </c>
      <c r="C664">
        <f>VLOOKUP($A664,'Medical Examinations'!A:C, 3, FALSE)</f>
        <v>39.74</v>
      </c>
      <c r="D664" t="str">
        <f>VLOOKUP($A664, 'Medical Examinations'!A:D, 4, FALSE)</f>
        <v>Diabetes</v>
      </c>
      <c r="E664" t="str">
        <f>VLOOKUP($A664, 'Medical Examinations'!A:F, 6, FALSE)</f>
        <v>No</v>
      </c>
      <c r="F664" t="str">
        <f>VLOOKUP($A664, 'Medical Examinations'!A:G, 7, FALSE)</f>
        <v>No</v>
      </c>
      <c r="G664" t="str">
        <f>VLOOKUP($A664, 'Medical Examinations'!A:H, 8, FALSE)</f>
        <v>No</v>
      </c>
      <c r="H664" t="str">
        <f>VLOOKUP($A664, 'Medical Examinations'!A:J, 10, FALSE)</f>
        <v>No major surgery</v>
      </c>
      <c r="I664" t="str">
        <f>VLOOKUP($A664, 'Medical Examinations'!A:K, 11, FALSE)</f>
        <v>No</v>
      </c>
      <c r="J664" t="str">
        <f>VLOOKUP($A664, 'Medical Examinations'!A:B, 2, FALSE)</f>
        <v>Obesity</v>
      </c>
      <c r="K664" t="str">
        <f>VLOOKUP($A664, 'Medical Examinations'!A:D, 4, FALSE)</f>
        <v>Diabetes</v>
      </c>
    </row>
    <row r="665" spans="1:11" ht="15.5" x14ac:dyDescent="0.35">
      <c r="A665" s="1" t="s">
        <v>1707</v>
      </c>
      <c r="B665" t="str">
        <f>VLOOKUP($A665, 'Customer Names'!A:D, 3, FALSE)</f>
        <v>Koniuch</v>
      </c>
      <c r="C665">
        <f>VLOOKUP($A665,'Medical Examinations'!A:C, 3, FALSE)</f>
        <v>49.53</v>
      </c>
      <c r="D665" t="str">
        <f>VLOOKUP($A665, 'Medical Examinations'!A:D, 4, FALSE)</f>
        <v>Diabetes</v>
      </c>
      <c r="E665" t="str">
        <f>VLOOKUP($A665, 'Medical Examinations'!A:F, 6, FALSE)</f>
        <v>yes</v>
      </c>
      <c r="F665" t="str">
        <f>VLOOKUP($A665, 'Medical Examinations'!A:G, 7, FALSE)</f>
        <v>No</v>
      </c>
      <c r="G665" t="str">
        <f>VLOOKUP($A665, 'Medical Examinations'!A:H, 8, FALSE)</f>
        <v>No</v>
      </c>
      <c r="H665" t="str">
        <f>VLOOKUP($A665, 'Medical Examinations'!A:J, 10, FALSE)</f>
        <v>No major surgery</v>
      </c>
      <c r="I665" t="str">
        <f>VLOOKUP($A665, 'Medical Examinations'!A:K, 11, FALSE)</f>
        <v>No</v>
      </c>
      <c r="J665" t="str">
        <f>VLOOKUP($A665, 'Medical Examinations'!A:B, 2, FALSE)</f>
        <v>Obesity</v>
      </c>
      <c r="K665" t="str">
        <f>VLOOKUP($A665, 'Medical Examinations'!A:D, 4, FALSE)</f>
        <v>Diabetes</v>
      </c>
    </row>
    <row r="666" spans="1:11" ht="15.5" x14ac:dyDescent="0.35">
      <c r="A666" s="1" t="s">
        <v>1706</v>
      </c>
      <c r="B666" t="str">
        <f>VLOOKUP($A666, 'Customer Names'!A:D, 3, FALSE)</f>
        <v>Heitzman</v>
      </c>
      <c r="C666">
        <f>VLOOKUP($A666,'Medical Examinations'!A:C, 3, FALSE)</f>
        <v>39.33</v>
      </c>
      <c r="D666" t="str">
        <f>VLOOKUP($A666, 'Medical Examinations'!A:D, 4, FALSE)</f>
        <v>Diabetes</v>
      </c>
      <c r="E666" t="str">
        <f>VLOOKUP($A666, 'Medical Examinations'!A:F, 6, FALSE)</f>
        <v>No</v>
      </c>
      <c r="F666" t="str">
        <f>VLOOKUP($A666, 'Medical Examinations'!A:G, 7, FALSE)</f>
        <v>No</v>
      </c>
      <c r="G666" t="str">
        <f>VLOOKUP($A666, 'Medical Examinations'!A:H, 8, FALSE)</f>
        <v>No</v>
      </c>
      <c r="H666">
        <f>VLOOKUP($A666, 'Medical Examinations'!A:J, 10, FALSE)</f>
        <v>3</v>
      </c>
      <c r="I666" t="str">
        <f>VLOOKUP($A666, 'Medical Examinations'!A:K, 11, FALSE)</f>
        <v>No</v>
      </c>
      <c r="J666" t="str">
        <f>VLOOKUP($A666, 'Medical Examinations'!A:B, 2, FALSE)</f>
        <v>Obesity</v>
      </c>
      <c r="K666" t="str">
        <f>VLOOKUP($A666, 'Medical Examinations'!A:D, 4, FALSE)</f>
        <v>Diabetes</v>
      </c>
    </row>
    <row r="667" spans="1:11" ht="15.5" x14ac:dyDescent="0.35">
      <c r="A667" s="1" t="s">
        <v>1705</v>
      </c>
      <c r="B667" t="str">
        <f>VLOOKUP($A667, 'Customer Names'!A:D, 3, FALSE)</f>
        <v>Tatton</v>
      </c>
      <c r="C667">
        <f>VLOOKUP($A667,'Medical Examinations'!A:C, 3, FALSE)</f>
        <v>39.979999999999997</v>
      </c>
      <c r="D667" t="str">
        <f>VLOOKUP($A667, 'Medical Examinations'!A:D, 4, FALSE)</f>
        <v>Diabetes</v>
      </c>
      <c r="E667" t="str">
        <f>VLOOKUP($A667, 'Medical Examinations'!A:F, 6, FALSE)</f>
        <v>yes</v>
      </c>
      <c r="F667" t="str">
        <f>VLOOKUP($A667, 'Medical Examinations'!A:G, 7, FALSE)</f>
        <v>No</v>
      </c>
      <c r="G667" t="str">
        <f>VLOOKUP($A667, 'Medical Examinations'!A:H, 8, FALSE)</f>
        <v>No</v>
      </c>
      <c r="H667">
        <f>VLOOKUP($A667, 'Medical Examinations'!A:J, 10, FALSE)</f>
        <v>2</v>
      </c>
      <c r="I667" t="str">
        <f>VLOOKUP($A667, 'Medical Examinations'!A:K, 11, FALSE)</f>
        <v>No</v>
      </c>
      <c r="J667" t="str">
        <f>VLOOKUP($A667, 'Medical Examinations'!A:B, 2, FALSE)</f>
        <v>Obesity</v>
      </c>
      <c r="K667" t="str">
        <f>VLOOKUP($A667, 'Medical Examinations'!A:D, 4, FALSE)</f>
        <v>Diabetes</v>
      </c>
    </row>
    <row r="668" spans="1:11" ht="15.5" x14ac:dyDescent="0.35">
      <c r="A668" s="1" t="s">
        <v>1704</v>
      </c>
      <c r="B668" t="str">
        <f>VLOOKUP($A668, 'Customer Names'!A:D, 3, FALSE)</f>
        <v>Flanagan</v>
      </c>
      <c r="C668">
        <f>VLOOKUP($A668,'Medical Examinations'!A:C, 3, FALSE)</f>
        <v>46.51</v>
      </c>
      <c r="D668" t="str">
        <f>VLOOKUP($A668, 'Medical Examinations'!A:D, 4, FALSE)</f>
        <v>Diabetes</v>
      </c>
      <c r="E668" t="str">
        <f>VLOOKUP($A668, 'Medical Examinations'!A:F, 6, FALSE)</f>
        <v>yes</v>
      </c>
      <c r="F668" t="str">
        <f>VLOOKUP($A668, 'Medical Examinations'!A:G, 7, FALSE)</f>
        <v>No</v>
      </c>
      <c r="G668" t="str">
        <f>VLOOKUP($A668, 'Medical Examinations'!A:H, 8, FALSE)</f>
        <v>No</v>
      </c>
      <c r="H668" t="str">
        <f>VLOOKUP($A668, 'Medical Examinations'!A:J, 10, FALSE)</f>
        <v>No major surgery</v>
      </c>
      <c r="I668" t="str">
        <f>VLOOKUP($A668, 'Medical Examinations'!A:K, 11, FALSE)</f>
        <v>No</v>
      </c>
      <c r="J668" t="str">
        <f>VLOOKUP($A668, 'Medical Examinations'!A:B, 2, FALSE)</f>
        <v>Obesity</v>
      </c>
      <c r="K668" t="str">
        <f>VLOOKUP($A668, 'Medical Examinations'!A:D, 4, FALSE)</f>
        <v>Diabetes</v>
      </c>
    </row>
    <row r="669" spans="1:11" ht="15.5" x14ac:dyDescent="0.35">
      <c r="A669" s="1" t="s">
        <v>1703</v>
      </c>
      <c r="B669" t="str">
        <f>VLOOKUP($A669, 'Customer Names'!A:D, 3, FALSE)</f>
        <v>Funk</v>
      </c>
      <c r="C669">
        <f>VLOOKUP($A669,'Medical Examinations'!A:C, 3, FALSE)</f>
        <v>43.58</v>
      </c>
      <c r="D669" t="str">
        <f>VLOOKUP($A669, 'Medical Examinations'!A:D, 4, FALSE)</f>
        <v>Normal</v>
      </c>
      <c r="E669" t="str">
        <f>VLOOKUP($A669, 'Medical Examinations'!A:F, 6, FALSE)</f>
        <v>No</v>
      </c>
      <c r="F669" t="str">
        <f>VLOOKUP($A669, 'Medical Examinations'!A:G, 7, FALSE)</f>
        <v>No</v>
      </c>
      <c r="G669" t="str">
        <f>VLOOKUP($A669, 'Medical Examinations'!A:H, 8, FALSE)</f>
        <v>Yes</v>
      </c>
      <c r="H669">
        <f>VLOOKUP($A669, 'Medical Examinations'!A:J, 10, FALSE)</f>
        <v>1</v>
      </c>
      <c r="I669" t="str">
        <f>VLOOKUP($A669, 'Medical Examinations'!A:K, 11, FALSE)</f>
        <v>No</v>
      </c>
      <c r="J669" t="str">
        <f>VLOOKUP($A669, 'Medical Examinations'!A:B, 2, FALSE)</f>
        <v>Obesity</v>
      </c>
      <c r="K669" t="str">
        <f>VLOOKUP($A669, 'Medical Examinations'!A:D, 4, FALSE)</f>
        <v>Normal</v>
      </c>
    </row>
    <row r="670" spans="1:11" ht="15.5" x14ac:dyDescent="0.35">
      <c r="A670" s="1" t="s">
        <v>1702</v>
      </c>
      <c r="B670" t="str">
        <f>VLOOKUP($A670, 'Customer Names'!A:D, 3, FALSE)</f>
        <v>Davenport</v>
      </c>
      <c r="C670">
        <f>VLOOKUP($A670,'Medical Examinations'!A:C, 3, FALSE)</f>
        <v>42.28</v>
      </c>
      <c r="D670" t="str">
        <f>VLOOKUP($A670, 'Medical Examinations'!A:D, 4, FALSE)</f>
        <v>Diabetes</v>
      </c>
      <c r="E670" t="str">
        <f>VLOOKUP($A670, 'Medical Examinations'!A:F, 6, FALSE)</f>
        <v>yes</v>
      </c>
      <c r="F670" t="str">
        <f>VLOOKUP($A670, 'Medical Examinations'!A:G, 7, FALSE)</f>
        <v>No</v>
      </c>
      <c r="G670" t="str">
        <f>VLOOKUP($A670, 'Medical Examinations'!A:H, 8, FALSE)</f>
        <v>No</v>
      </c>
      <c r="H670">
        <f>VLOOKUP($A670, 'Medical Examinations'!A:J, 10, FALSE)</f>
        <v>1</v>
      </c>
      <c r="I670" t="str">
        <f>VLOOKUP($A670, 'Medical Examinations'!A:K, 11, FALSE)</f>
        <v>No</v>
      </c>
      <c r="J670" t="str">
        <f>VLOOKUP($A670, 'Medical Examinations'!A:B, 2, FALSE)</f>
        <v>Obesity</v>
      </c>
      <c r="K670" t="str">
        <f>VLOOKUP($A670, 'Medical Examinations'!A:D, 4, FALSE)</f>
        <v>Diabetes</v>
      </c>
    </row>
    <row r="671" spans="1:11" ht="15.5" x14ac:dyDescent="0.35">
      <c r="A671" s="1" t="s">
        <v>1701</v>
      </c>
      <c r="B671" t="str">
        <f>VLOOKUP($A671, 'Customer Names'!A:D, 3, FALSE)</f>
        <v>Nicholson</v>
      </c>
      <c r="C671">
        <f>VLOOKUP($A671,'Medical Examinations'!A:C, 3, FALSE)</f>
        <v>35.520000000000003</v>
      </c>
      <c r="D671" t="str">
        <f>VLOOKUP($A671, 'Medical Examinations'!A:D, 4, FALSE)</f>
        <v>Diabetes</v>
      </c>
      <c r="E671" t="str">
        <f>VLOOKUP($A671, 'Medical Examinations'!A:F, 6, FALSE)</f>
        <v>No</v>
      </c>
      <c r="F671" t="str">
        <f>VLOOKUP($A671, 'Medical Examinations'!A:G, 7, FALSE)</f>
        <v>No</v>
      </c>
      <c r="G671" t="str">
        <f>VLOOKUP($A671, 'Medical Examinations'!A:H, 8, FALSE)</f>
        <v>No</v>
      </c>
      <c r="H671" t="str">
        <f>VLOOKUP($A671, 'Medical Examinations'!A:J, 10, FALSE)</f>
        <v>No major surgery</v>
      </c>
      <c r="I671" t="str">
        <f>VLOOKUP($A671, 'Medical Examinations'!A:K, 11, FALSE)</f>
        <v>No</v>
      </c>
      <c r="J671" t="str">
        <f>VLOOKUP($A671, 'Medical Examinations'!A:B, 2, FALSE)</f>
        <v>Obesity</v>
      </c>
      <c r="K671" t="str">
        <f>VLOOKUP($A671, 'Medical Examinations'!A:D, 4, FALSE)</f>
        <v>Diabetes</v>
      </c>
    </row>
    <row r="672" spans="1:11" ht="15.5" x14ac:dyDescent="0.35">
      <c r="A672" s="1" t="s">
        <v>1700</v>
      </c>
      <c r="B672" t="str">
        <f>VLOOKUP($A672, 'Customer Names'!A:D, 3, FALSE)</f>
        <v>Lindbloom</v>
      </c>
      <c r="C672">
        <f>VLOOKUP($A672,'Medical Examinations'!A:C, 3, FALSE)</f>
        <v>33.6</v>
      </c>
      <c r="D672" t="str">
        <f>VLOOKUP($A672, 'Medical Examinations'!A:D, 4, FALSE)</f>
        <v>Diabetes</v>
      </c>
      <c r="E672" t="str">
        <f>VLOOKUP($A672, 'Medical Examinations'!A:F, 6, FALSE)</f>
        <v>No</v>
      </c>
      <c r="F672" t="str">
        <f>VLOOKUP($A672, 'Medical Examinations'!A:G, 7, FALSE)</f>
        <v>No</v>
      </c>
      <c r="G672" t="str">
        <f>VLOOKUP($A672, 'Medical Examinations'!A:H, 8, FALSE)</f>
        <v>No</v>
      </c>
      <c r="H672" t="str">
        <f>VLOOKUP($A672, 'Medical Examinations'!A:J, 10, FALSE)</f>
        <v>No major surgery</v>
      </c>
      <c r="I672" t="str">
        <f>VLOOKUP($A672, 'Medical Examinations'!A:K, 11, FALSE)</f>
        <v>No</v>
      </c>
      <c r="J672" t="str">
        <f>VLOOKUP($A672, 'Medical Examinations'!A:B, 2, FALSE)</f>
        <v>Obesity</v>
      </c>
      <c r="K672" t="str">
        <f>VLOOKUP($A672, 'Medical Examinations'!A:D, 4, FALSE)</f>
        <v>Diabetes</v>
      </c>
    </row>
    <row r="673" spans="1:11" ht="15.5" x14ac:dyDescent="0.35">
      <c r="A673" s="1" t="s">
        <v>1699</v>
      </c>
      <c r="B673" t="str">
        <f>VLOOKUP($A673, 'Customer Names'!A:D, 3, FALSE)</f>
        <v>Wijayaratne</v>
      </c>
      <c r="C673">
        <f>VLOOKUP($A673,'Medical Examinations'!A:C, 3, FALSE)</f>
        <v>22.42</v>
      </c>
      <c r="D673" t="str">
        <f>VLOOKUP($A673, 'Medical Examinations'!A:D, 4, FALSE)</f>
        <v>Diabetes</v>
      </c>
      <c r="E673" t="str">
        <f>VLOOKUP($A673, 'Medical Examinations'!A:F, 6, FALSE)</f>
        <v>No</v>
      </c>
      <c r="F673" t="str">
        <f>VLOOKUP($A673, 'Medical Examinations'!A:G, 7, FALSE)</f>
        <v>No</v>
      </c>
      <c r="G673" t="str">
        <f>VLOOKUP($A673, 'Medical Examinations'!A:H, 8, FALSE)</f>
        <v>No</v>
      </c>
      <c r="H673" t="str">
        <f>VLOOKUP($A673, 'Medical Examinations'!A:J, 10, FALSE)</f>
        <v>No major surgery</v>
      </c>
      <c r="I673" t="str">
        <f>VLOOKUP($A673, 'Medical Examinations'!A:K, 11, FALSE)</f>
        <v>yes</v>
      </c>
      <c r="J673" t="str">
        <f>VLOOKUP($A673, 'Medical Examinations'!A:B, 2, FALSE)</f>
        <v>Normal Weight</v>
      </c>
      <c r="K673" t="str">
        <f>VLOOKUP($A673, 'Medical Examinations'!A:D, 4, FALSE)</f>
        <v>Diabetes</v>
      </c>
    </row>
    <row r="674" spans="1:11" ht="15.5" x14ac:dyDescent="0.35">
      <c r="A674" s="1" t="s">
        <v>1698</v>
      </c>
      <c r="B674" t="str">
        <f>VLOOKUP($A674, 'Customer Names'!A:D, 3, FALSE)</f>
        <v>Ainsworth</v>
      </c>
      <c r="C674">
        <f>VLOOKUP($A674,'Medical Examinations'!A:C, 3, FALSE)</f>
        <v>46.86</v>
      </c>
      <c r="D674" t="str">
        <f>VLOOKUP($A674, 'Medical Examinations'!A:D, 4, FALSE)</f>
        <v>Normal</v>
      </c>
      <c r="E674" t="str">
        <f>VLOOKUP($A674, 'Medical Examinations'!A:F, 6, FALSE)</f>
        <v>No</v>
      </c>
      <c r="F674" t="str">
        <f>VLOOKUP($A674, 'Medical Examinations'!A:G, 7, FALSE)</f>
        <v>No</v>
      </c>
      <c r="G674" t="str">
        <f>VLOOKUP($A674, 'Medical Examinations'!A:H, 8, FALSE)</f>
        <v>No</v>
      </c>
      <c r="H674" t="str">
        <f>VLOOKUP($A674, 'Medical Examinations'!A:J, 10, FALSE)</f>
        <v>No major surgery</v>
      </c>
      <c r="I674" t="str">
        <f>VLOOKUP($A674, 'Medical Examinations'!A:K, 11, FALSE)</f>
        <v>No</v>
      </c>
      <c r="J674" t="str">
        <f>VLOOKUP($A674, 'Medical Examinations'!A:B, 2, FALSE)</f>
        <v>Obesity</v>
      </c>
      <c r="K674" t="str">
        <f>VLOOKUP($A674, 'Medical Examinations'!A:D, 4, FALSE)</f>
        <v>Normal</v>
      </c>
    </row>
    <row r="675" spans="1:11" ht="15.5" x14ac:dyDescent="0.35">
      <c r="A675" s="1" t="s">
        <v>1697</v>
      </c>
      <c r="B675" t="str">
        <f>VLOOKUP($A675, 'Customer Names'!A:D, 3, FALSE)</f>
        <v>Gayagoy</v>
      </c>
      <c r="C675">
        <f>VLOOKUP($A675,'Medical Examinations'!A:C, 3, FALSE)</f>
        <v>32.965000000000003</v>
      </c>
      <c r="D675" t="str">
        <f>VLOOKUP($A675, 'Medical Examinations'!A:D, 4, FALSE)</f>
        <v>Diabetes</v>
      </c>
      <c r="E675" t="str">
        <f>VLOOKUP($A675, 'Medical Examinations'!A:F, 6, FALSE)</f>
        <v>No</v>
      </c>
      <c r="F675" t="str">
        <f>VLOOKUP($A675, 'Medical Examinations'!A:G, 7, FALSE)</f>
        <v>No</v>
      </c>
      <c r="G675" t="str">
        <f>VLOOKUP($A675, 'Medical Examinations'!A:H, 8, FALSE)</f>
        <v>No</v>
      </c>
      <c r="H675">
        <f>VLOOKUP($A675, 'Medical Examinations'!A:J, 10, FALSE)</f>
        <v>3</v>
      </c>
      <c r="I675" t="str">
        <f>VLOOKUP($A675, 'Medical Examinations'!A:K, 11, FALSE)</f>
        <v>No</v>
      </c>
      <c r="J675" t="str">
        <f>VLOOKUP($A675, 'Medical Examinations'!A:B, 2, FALSE)</f>
        <v>Obesity</v>
      </c>
      <c r="K675" t="str">
        <f>VLOOKUP($A675, 'Medical Examinations'!A:D, 4, FALSE)</f>
        <v>Diabetes</v>
      </c>
    </row>
    <row r="676" spans="1:11" ht="15.5" x14ac:dyDescent="0.35">
      <c r="A676" s="1" t="s">
        <v>1696</v>
      </c>
      <c r="B676" t="str">
        <f>VLOOKUP($A676, 'Customer Names'!A:D, 3, FALSE)</f>
        <v>Fitzmaurice</v>
      </c>
      <c r="C676">
        <f>VLOOKUP($A676,'Medical Examinations'!A:C, 3, FALSE)</f>
        <v>39.340000000000003</v>
      </c>
      <c r="D676" t="str">
        <f>VLOOKUP($A676, 'Medical Examinations'!A:D, 4, FALSE)</f>
        <v>Normal</v>
      </c>
      <c r="E676" t="str">
        <f>VLOOKUP($A676, 'Medical Examinations'!A:F, 6, FALSE)</f>
        <v>yes</v>
      </c>
      <c r="F676" t="str">
        <f>VLOOKUP($A676, 'Medical Examinations'!A:G, 7, FALSE)</f>
        <v>No</v>
      </c>
      <c r="G676" t="str">
        <f>VLOOKUP($A676, 'Medical Examinations'!A:H, 8, FALSE)</f>
        <v>Yes</v>
      </c>
      <c r="H676">
        <f>VLOOKUP($A676, 'Medical Examinations'!A:J, 10, FALSE)</f>
        <v>1</v>
      </c>
      <c r="I676" t="str">
        <f>VLOOKUP($A676, 'Medical Examinations'!A:K, 11, FALSE)</f>
        <v>No</v>
      </c>
      <c r="J676" t="str">
        <f>VLOOKUP($A676, 'Medical Examinations'!A:B, 2, FALSE)</f>
        <v>Obesity</v>
      </c>
      <c r="K676" t="str">
        <f>VLOOKUP($A676, 'Medical Examinations'!A:D, 4, FALSE)</f>
        <v>Normal</v>
      </c>
    </row>
    <row r="677" spans="1:11" ht="15.5" x14ac:dyDescent="0.35">
      <c r="A677" s="1" t="s">
        <v>1695</v>
      </c>
      <c r="B677" t="str">
        <f>VLOOKUP($A677, 'Customer Names'!A:D, 3, FALSE)</f>
        <v>Rodriguez</v>
      </c>
      <c r="C677">
        <f>VLOOKUP($A677,'Medical Examinations'!A:C, 3, FALSE)</f>
        <v>47</v>
      </c>
      <c r="D677" t="str">
        <f>VLOOKUP($A677, 'Medical Examinations'!A:D, 4, FALSE)</f>
        <v>Diabetes</v>
      </c>
      <c r="E677" t="str">
        <f>VLOOKUP($A677, 'Medical Examinations'!A:F, 6, FALSE)</f>
        <v>yes</v>
      </c>
      <c r="F677" t="str">
        <f>VLOOKUP($A677, 'Medical Examinations'!A:G, 7, FALSE)</f>
        <v>No</v>
      </c>
      <c r="G677" t="str">
        <f>VLOOKUP($A677, 'Medical Examinations'!A:H, 8, FALSE)</f>
        <v>No</v>
      </c>
      <c r="H677" t="str">
        <f>VLOOKUP($A677, 'Medical Examinations'!A:J, 10, FALSE)</f>
        <v>No major surgery</v>
      </c>
      <c r="I677" t="str">
        <f>VLOOKUP($A677, 'Medical Examinations'!A:K, 11, FALSE)</f>
        <v>No</v>
      </c>
      <c r="J677" t="str">
        <f>VLOOKUP($A677, 'Medical Examinations'!A:B, 2, FALSE)</f>
        <v>Obesity</v>
      </c>
      <c r="K677" t="str">
        <f>VLOOKUP($A677, 'Medical Examinations'!A:D, 4, FALSE)</f>
        <v>Diabetes</v>
      </c>
    </row>
    <row r="678" spans="1:11" ht="15.5" x14ac:dyDescent="0.35">
      <c r="A678" s="1" t="s">
        <v>1694</v>
      </c>
      <c r="B678" t="str">
        <f>VLOOKUP($A678, 'Customer Names'!A:D, 3, FALSE)</f>
        <v>Tsoucas</v>
      </c>
      <c r="C678">
        <f>VLOOKUP($A678,'Medical Examinations'!A:C, 3, FALSE)</f>
        <v>36.71</v>
      </c>
      <c r="D678" t="str">
        <f>VLOOKUP($A678, 'Medical Examinations'!A:D, 4, FALSE)</f>
        <v>Diabetes</v>
      </c>
      <c r="E678" t="str">
        <f>VLOOKUP($A678, 'Medical Examinations'!A:F, 6, FALSE)</f>
        <v>yes</v>
      </c>
      <c r="F678" t="str">
        <f>VLOOKUP($A678, 'Medical Examinations'!A:G, 7, FALSE)</f>
        <v>No</v>
      </c>
      <c r="G678" t="str">
        <f>VLOOKUP($A678, 'Medical Examinations'!A:H, 8, FALSE)</f>
        <v>No</v>
      </c>
      <c r="H678" t="str">
        <f>VLOOKUP($A678, 'Medical Examinations'!A:J, 10, FALSE)</f>
        <v>No major surgery</v>
      </c>
      <c r="I678" t="str">
        <f>VLOOKUP($A678, 'Medical Examinations'!A:K, 11, FALSE)</f>
        <v>No</v>
      </c>
      <c r="J678" t="str">
        <f>VLOOKUP($A678, 'Medical Examinations'!A:B, 2, FALSE)</f>
        <v>Obesity</v>
      </c>
      <c r="K678" t="str">
        <f>VLOOKUP($A678, 'Medical Examinations'!A:D, 4, FALSE)</f>
        <v>Diabetes</v>
      </c>
    </row>
    <row r="679" spans="1:11" ht="15.5" x14ac:dyDescent="0.35">
      <c r="A679" s="1" t="s">
        <v>1693</v>
      </c>
      <c r="B679" t="str">
        <f>VLOOKUP($A679, 'Customer Names'!A:D, 3, FALSE)</f>
        <v>Muhly</v>
      </c>
      <c r="C679">
        <f>VLOOKUP($A679,'Medical Examinations'!A:C, 3, FALSE)</f>
        <v>53.48</v>
      </c>
      <c r="D679" t="str">
        <f>VLOOKUP($A679, 'Medical Examinations'!A:D, 4, FALSE)</f>
        <v>Normal</v>
      </c>
      <c r="E679" t="str">
        <f>VLOOKUP($A679, 'Medical Examinations'!A:F, 6, FALSE)</f>
        <v>No</v>
      </c>
      <c r="F679" t="str">
        <f>VLOOKUP($A679, 'Medical Examinations'!A:G, 7, FALSE)</f>
        <v>No</v>
      </c>
      <c r="G679" t="str">
        <f>VLOOKUP($A679, 'Medical Examinations'!A:H, 8, FALSE)</f>
        <v>No</v>
      </c>
      <c r="H679" t="str">
        <f>VLOOKUP($A679, 'Medical Examinations'!A:J, 10, FALSE)</f>
        <v>No major surgery</v>
      </c>
      <c r="I679" t="str">
        <f>VLOOKUP($A679, 'Medical Examinations'!A:K, 11, FALSE)</f>
        <v>No</v>
      </c>
      <c r="J679" t="str">
        <f>VLOOKUP($A679, 'Medical Examinations'!A:B, 2, FALSE)</f>
        <v>Obesity</v>
      </c>
      <c r="K679" t="str">
        <f>VLOOKUP($A679, 'Medical Examinations'!A:D, 4, FALSE)</f>
        <v>Normal</v>
      </c>
    </row>
    <row r="680" spans="1:11" ht="15.5" x14ac:dyDescent="0.35">
      <c r="A680" s="1" t="s">
        <v>1692</v>
      </c>
      <c r="B680" t="str">
        <f>VLOOKUP($A680, 'Customer Names'!A:D, 3, FALSE)</f>
        <v>Lund</v>
      </c>
      <c r="C680">
        <f>VLOOKUP($A680,'Medical Examinations'!A:C, 3, FALSE)</f>
        <v>35.5</v>
      </c>
      <c r="D680" t="str">
        <f>VLOOKUP($A680, 'Medical Examinations'!A:D, 4, FALSE)</f>
        <v>Diabetes</v>
      </c>
      <c r="E680" t="str">
        <f>VLOOKUP($A680, 'Medical Examinations'!A:F, 6, FALSE)</f>
        <v>No</v>
      </c>
      <c r="F680" t="str">
        <f>VLOOKUP($A680, 'Medical Examinations'!A:G, 7, FALSE)</f>
        <v>No</v>
      </c>
      <c r="G680" t="str">
        <f>VLOOKUP($A680, 'Medical Examinations'!A:H, 8, FALSE)</f>
        <v>No</v>
      </c>
      <c r="H680" t="str">
        <f>VLOOKUP($A680, 'Medical Examinations'!A:J, 10, FALSE)</f>
        <v>No major surgery</v>
      </c>
      <c r="I680" t="str">
        <f>VLOOKUP($A680, 'Medical Examinations'!A:K, 11, FALSE)</f>
        <v>No</v>
      </c>
      <c r="J680" t="str">
        <f>VLOOKUP($A680, 'Medical Examinations'!A:B, 2, FALSE)</f>
        <v>Obesity</v>
      </c>
      <c r="K680" t="str">
        <f>VLOOKUP($A680, 'Medical Examinations'!A:D, 4, FALSE)</f>
        <v>Diabetes</v>
      </c>
    </row>
    <row r="681" spans="1:11" ht="15.5" x14ac:dyDescent="0.35">
      <c r="A681" s="1" t="s">
        <v>1691</v>
      </c>
      <c r="B681" t="str">
        <f>VLOOKUP($A681, 'Customer Names'!A:D, 3, FALSE)</f>
        <v>Battaglino</v>
      </c>
      <c r="C681">
        <f>VLOOKUP($A681,'Medical Examinations'!A:C, 3, FALSE)</f>
        <v>36.979999999999997</v>
      </c>
      <c r="D681" t="str">
        <f>VLOOKUP($A681, 'Medical Examinations'!A:D, 4, FALSE)</f>
        <v>Diabetes</v>
      </c>
      <c r="E681" t="str">
        <f>VLOOKUP($A681, 'Medical Examinations'!A:F, 6, FALSE)</f>
        <v>yes</v>
      </c>
      <c r="F681" t="str">
        <f>VLOOKUP($A681, 'Medical Examinations'!A:G, 7, FALSE)</f>
        <v>No</v>
      </c>
      <c r="G681" t="str">
        <f>VLOOKUP($A681, 'Medical Examinations'!A:H, 8, FALSE)</f>
        <v>No</v>
      </c>
      <c r="H681" t="str">
        <f>VLOOKUP($A681, 'Medical Examinations'!A:J, 10, FALSE)</f>
        <v>No major surgery</v>
      </c>
      <c r="I681" t="str">
        <f>VLOOKUP($A681, 'Medical Examinations'!A:K, 11, FALSE)</f>
        <v>No</v>
      </c>
      <c r="J681" t="str">
        <f>VLOOKUP($A681, 'Medical Examinations'!A:B, 2, FALSE)</f>
        <v>Obesity</v>
      </c>
      <c r="K681" t="str">
        <f>VLOOKUP($A681, 'Medical Examinations'!A:D, 4, FALSE)</f>
        <v>Diabetes</v>
      </c>
    </row>
    <row r="682" spans="1:11" ht="15.5" x14ac:dyDescent="0.35">
      <c r="A682" s="1" t="s">
        <v>1690</v>
      </c>
      <c r="B682" t="str">
        <f>VLOOKUP($A682, 'Customer Names'!A:D, 3, FALSE)</f>
        <v>Pena</v>
      </c>
      <c r="C682">
        <f>VLOOKUP($A682,'Medical Examinations'!A:C, 3, FALSE)</f>
        <v>32.395000000000003</v>
      </c>
      <c r="D682" t="str">
        <f>VLOOKUP($A682, 'Medical Examinations'!A:D, 4, FALSE)</f>
        <v>Diabetes</v>
      </c>
      <c r="E682" t="str">
        <f>VLOOKUP($A682, 'Medical Examinations'!A:F, 6, FALSE)</f>
        <v>yes</v>
      </c>
      <c r="F682" t="str">
        <f>VLOOKUP($A682, 'Medical Examinations'!A:G, 7, FALSE)</f>
        <v>No</v>
      </c>
      <c r="G682" t="str">
        <f>VLOOKUP($A682, 'Medical Examinations'!A:H, 8, FALSE)</f>
        <v>Yes</v>
      </c>
      <c r="H682">
        <f>VLOOKUP($A682, 'Medical Examinations'!A:J, 10, FALSE)</f>
        <v>1</v>
      </c>
      <c r="I682" t="str">
        <f>VLOOKUP($A682, 'Medical Examinations'!A:K, 11, FALSE)</f>
        <v>No</v>
      </c>
      <c r="J682" t="str">
        <f>VLOOKUP($A682, 'Medical Examinations'!A:B, 2, FALSE)</f>
        <v>Obesity</v>
      </c>
      <c r="K682" t="str">
        <f>VLOOKUP($A682, 'Medical Examinations'!A:D, 4, FALSE)</f>
        <v>Diabetes</v>
      </c>
    </row>
    <row r="683" spans="1:11" ht="15.5" x14ac:dyDescent="0.35">
      <c r="A683" s="1" t="s">
        <v>1689</v>
      </c>
      <c r="B683" t="str">
        <f>VLOOKUP($A683, 'Customer Names'!A:D, 3, FALSE)</f>
        <v>Thomason</v>
      </c>
      <c r="C683">
        <f>VLOOKUP($A683,'Medical Examinations'!A:C, 3, FALSE)</f>
        <v>32.729999999999997</v>
      </c>
      <c r="D683" t="str">
        <f>VLOOKUP($A683, 'Medical Examinations'!A:D, 4, FALSE)</f>
        <v>Diabetes</v>
      </c>
      <c r="E683" t="str">
        <f>VLOOKUP($A683, 'Medical Examinations'!A:F, 6, FALSE)</f>
        <v>No</v>
      </c>
      <c r="F683" t="str">
        <f>VLOOKUP($A683, 'Medical Examinations'!A:G, 7, FALSE)</f>
        <v>No</v>
      </c>
      <c r="G683" t="str">
        <f>VLOOKUP($A683, 'Medical Examinations'!A:H, 8, FALSE)</f>
        <v>No</v>
      </c>
      <c r="H683" t="str">
        <f>VLOOKUP($A683, 'Medical Examinations'!A:J, 10, FALSE)</f>
        <v>No major surgery</v>
      </c>
      <c r="I683" t="str">
        <f>VLOOKUP($A683, 'Medical Examinations'!A:K, 11, FALSE)</f>
        <v>No</v>
      </c>
      <c r="J683" t="str">
        <f>VLOOKUP($A683, 'Medical Examinations'!A:B, 2, FALSE)</f>
        <v>Obesity</v>
      </c>
      <c r="K683" t="str">
        <f>VLOOKUP($A683, 'Medical Examinations'!A:D, 4, FALSE)</f>
        <v>Diabetes</v>
      </c>
    </row>
    <row r="684" spans="1:11" ht="15.5" x14ac:dyDescent="0.35">
      <c r="A684" s="1" t="s">
        <v>1688</v>
      </c>
      <c r="B684" t="str">
        <f>VLOOKUP($A684, 'Customer Names'!A:D, 3, FALSE)</f>
        <v>Hancox</v>
      </c>
      <c r="C684">
        <f>VLOOKUP($A684,'Medical Examinations'!A:C, 3, FALSE)</f>
        <v>20.52</v>
      </c>
      <c r="D684" t="str">
        <f>VLOOKUP($A684, 'Medical Examinations'!A:D, 4, FALSE)</f>
        <v>Normal</v>
      </c>
      <c r="E684" t="str">
        <f>VLOOKUP($A684, 'Medical Examinations'!A:F, 6, FALSE)</f>
        <v>No</v>
      </c>
      <c r="F684" t="str">
        <f>VLOOKUP($A684, 'Medical Examinations'!A:G, 7, FALSE)</f>
        <v>No</v>
      </c>
      <c r="G684" t="str">
        <f>VLOOKUP($A684, 'Medical Examinations'!A:H, 8, FALSE)</f>
        <v>No</v>
      </c>
      <c r="H684">
        <f>VLOOKUP($A684, 'Medical Examinations'!A:J, 10, FALSE)</f>
        <v>1</v>
      </c>
      <c r="I684" t="str">
        <f>VLOOKUP($A684, 'Medical Examinations'!A:K, 11, FALSE)</f>
        <v>yes</v>
      </c>
      <c r="J684" t="str">
        <f>VLOOKUP($A684, 'Medical Examinations'!A:B, 2, FALSE)</f>
        <v>Normal Weight</v>
      </c>
      <c r="K684" t="str">
        <f>VLOOKUP($A684, 'Medical Examinations'!A:D, 4, FALSE)</f>
        <v>Normal</v>
      </c>
    </row>
    <row r="685" spans="1:11" ht="15.5" x14ac:dyDescent="0.35">
      <c r="A685" s="1" t="s">
        <v>1687</v>
      </c>
      <c r="B685" t="str">
        <f>VLOOKUP($A685, 'Customer Names'!A:D, 3, FALSE)</f>
        <v>Canarecci</v>
      </c>
      <c r="C685">
        <f>VLOOKUP($A685,'Medical Examinations'!A:C, 3, FALSE)</f>
        <v>51.72</v>
      </c>
      <c r="D685" t="str">
        <f>VLOOKUP($A685, 'Medical Examinations'!A:D, 4, FALSE)</f>
        <v>Prediabetes</v>
      </c>
      <c r="E685" t="str">
        <f>VLOOKUP($A685, 'Medical Examinations'!A:F, 6, FALSE)</f>
        <v>No</v>
      </c>
      <c r="F685" t="str">
        <f>VLOOKUP($A685, 'Medical Examinations'!A:G, 7, FALSE)</f>
        <v>No</v>
      </c>
      <c r="G685" t="str">
        <f>VLOOKUP($A685, 'Medical Examinations'!A:H, 8, FALSE)</f>
        <v>No</v>
      </c>
      <c r="H685" t="str">
        <f>VLOOKUP($A685, 'Medical Examinations'!A:J, 10, FALSE)</f>
        <v>No major surgery</v>
      </c>
      <c r="I685" t="str">
        <f>VLOOKUP($A685, 'Medical Examinations'!A:K, 11, FALSE)</f>
        <v>No</v>
      </c>
      <c r="J685" t="str">
        <f>VLOOKUP($A685, 'Medical Examinations'!A:B, 2, FALSE)</f>
        <v>Obesity</v>
      </c>
      <c r="K685" t="str">
        <f>VLOOKUP($A685, 'Medical Examinations'!A:D, 4, FALSE)</f>
        <v>Prediabetes</v>
      </c>
    </row>
    <row r="686" spans="1:11" ht="15.5" x14ac:dyDescent="0.35">
      <c r="A686" s="1" t="s">
        <v>1686</v>
      </c>
      <c r="B686" t="str">
        <f>VLOOKUP($A686, 'Customer Names'!A:D, 3, FALSE)</f>
        <v>Toupin</v>
      </c>
      <c r="C686">
        <f>VLOOKUP($A686,'Medical Examinations'!A:C, 3, FALSE)</f>
        <v>50.2</v>
      </c>
      <c r="D686" t="str">
        <f>VLOOKUP($A686, 'Medical Examinations'!A:D, 4, FALSE)</f>
        <v>Normal</v>
      </c>
      <c r="E686" t="str">
        <f>VLOOKUP($A686, 'Medical Examinations'!A:F, 6, FALSE)</f>
        <v>No</v>
      </c>
      <c r="F686" t="str">
        <f>VLOOKUP($A686, 'Medical Examinations'!A:G, 7, FALSE)</f>
        <v>No</v>
      </c>
      <c r="G686" t="str">
        <f>VLOOKUP($A686, 'Medical Examinations'!A:H, 8, FALSE)</f>
        <v>No</v>
      </c>
      <c r="H686" t="str">
        <f>VLOOKUP($A686, 'Medical Examinations'!A:J, 10, FALSE)</f>
        <v>No major surgery</v>
      </c>
      <c r="I686" t="str">
        <f>VLOOKUP($A686, 'Medical Examinations'!A:K, 11, FALSE)</f>
        <v>No</v>
      </c>
      <c r="J686" t="str">
        <f>VLOOKUP($A686, 'Medical Examinations'!A:B, 2, FALSE)</f>
        <v>Obesity</v>
      </c>
      <c r="K686" t="str">
        <f>VLOOKUP($A686, 'Medical Examinations'!A:D, 4, FALSE)</f>
        <v>Normal</v>
      </c>
    </row>
    <row r="687" spans="1:11" ht="15.5" x14ac:dyDescent="0.35">
      <c r="A687" s="1" t="s">
        <v>1685</v>
      </c>
      <c r="B687" t="str">
        <f>VLOOKUP($A687, 'Customer Names'!A:D, 3, FALSE)</f>
        <v>Mulley</v>
      </c>
      <c r="C687">
        <f>VLOOKUP($A687,'Medical Examinations'!A:C, 3, FALSE)</f>
        <v>25.52</v>
      </c>
      <c r="D687" t="str">
        <f>VLOOKUP($A687, 'Medical Examinations'!A:D, 4, FALSE)</f>
        <v>Prediabetes</v>
      </c>
      <c r="E687" t="str">
        <f>VLOOKUP($A687, 'Medical Examinations'!A:F, 6, FALSE)</f>
        <v>No</v>
      </c>
      <c r="F687" t="str">
        <f>VLOOKUP($A687, 'Medical Examinations'!A:G, 7, FALSE)</f>
        <v>No</v>
      </c>
      <c r="G687" t="str">
        <f>VLOOKUP($A687, 'Medical Examinations'!A:H, 8, FALSE)</f>
        <v>Yes</v>
      </c>
      <c r="H687">
        <f>VLOOKUP($A687, 'Medical Examinations'!A:J, 10, FALSE)</f>
        <v>1</v>
      </c>
      <c r="I687" t="str">
        <f>VLOOKUP($A687, 'Medical Examinations'!A:K, 11, FALSE)</f>
        <v>No</v>
      </c>
      <c r="J687" t="str">
        <f>VLOOKUP($A687, 'Medical Examinations'!A:B, 2, FALSE)</f>
        <v>Overweight</v>
      </c>
      <c r="K687" t="str">
        <f>VLOOKUP($A687, 'Medical Examinations'!A:D, 4, FALSE)</f>
        <v>Prediabetes</v>
      </c>
    </row>
    <row r="688" spans="1:11" ht="15.5" x14ac:dyDescent="0.35">
      <c r="A688" s="1" t="s">
        <v>1684</v>
      </c>
      <c r="B688" t="str">
        <f>VLOOKUP($A688, 'Customer Names'!A:D, 3, FALSE)</f>
        <v>Parry</v>
      </c>
      <c r="C688">
        <f>VLOOKUP($A688,'Medical Examinations'!A:C, 3, FALSE)</f>
        <v>35.200000000000003</v>
      </c>
      <c r="D688" t="str">
        <f>VLOOKUP($A688, 'Medical Examinations'!A:D, 4, FALSE)</f>
        <v>Prediabetes</v>
      </c>
      <c r="E688" t="str">
        <f>VLOOKUP($A688, 'Medical Examinations'!A:F, 6, FALSE)</f>
        <v>yes</v>
      </c>
      <c r="F688" t="str">
        <f>VLOOKUP($A688, 'Medical Examinations'!A:G, 7, FALSE)</f>
        <v>No</v>
      </c>
      <c r="G688" t="str">
        <f>VLOOKUP($A688, 'Medical Examinations'!A:H, 8, FALSE)</f>
        <v>No</v>
      </c>
      <c r="H688">
        <f>VLOOKUP($A688, 'Medical Examinations'!A:J, 10, FALSE)</f>
        <v>2</v>
      </c>
      <c r="I688" t="str">
        <f>VLOOKUP($A688, 'Medical Examinations'!A:K, 11, FALSE)</f>
        <v>No</v>
      </c>
      <c r="J688" t="str">
        <f>VLOOKUP($A688, 'Medical Examinations'!A:B, 2, FALSE)</f>
        <v>Obesity</v>
      </c>
      <c r="K688" t="str">
        <f>VLOOKUP($A688, 'Medical Examinations'!A:D, 4, FALSE)</f>
        <v>Prediabetes</v>
      </c>
    </row>
    <row r="689" spans="1:11" ht="15.5" x14ac:dyDescent="0.35">
      <c r="A689" s="1" t="s">
        <v>1683</v>
      </c>
      <c r="B689" t="str">
        <f>VLOOKUP($A689, 'Customer Names'!A:D, 3, FALSE)</f>
        <v>Mason Cox</v>
      </c>
      <c r="C689">
        <f>VLOOKUP($A689,'Medical Examinations'!A:C, 3, FALSE)</f>
        <v>41.26</v>
      </c>
      <c r="D689" t="str">
        <f>VLOOKUP($A689, 'Medical Examinations'!A:D, 4, FALSE)</f>
        <v>Prediabetes</v>
      </c>
      <c r="E689" t="str">
        <f>VLOOKUP($A689, 'Medical Examinations'!A:F, 6, FALSE)</f>
        <v>yes</v>
      </c>
      <c r="F689" t="str">
        <f>VLOOKUP($A689, 'Medical Examinations'!A:G, 7, FALSE)</f>
        <v>No</v>
      </c>
      <c r="G689" t="str">
        <f>VLOOKUP($A689, 'Medical Examinations'!A:H, 8, FALSE)</f>
        <v>No</v>
      </c>
      <c r="H689" t="str">
        <f>VLOOKUP($A689, 'Medical Examinations'!A:J, 10, FALSE)</f>
        <v>No major surgery</v>
      </c>
      <c r="I689" t="str">
        <f>VLOOKUP($A689, 'Medical Examinations'!A:K, 11, FALSE)</f>
        <v>No</v>
      </c>
      <c r="J689" t="str">
        <f>VLOOKUP($A689, 'Medical Examinations'!A:B, 2, FALSE)</f>
        <v>Obesity</v>
      </c>
      <c r="K689" t="str">
        <f>VLOOKUP($A689, 'Medical Examinations'!A:D, 4, FALSE)</f>
        <v>Prediabetes</v>
      </c>
    </row>
    <row r="690" spans="1:11" ht="15.5" x14ac:dyDescent="0.35">
      <c r="A690" s="1" t="s">
        <v>1682</v>
      </c>
      <c r="B690" t="str">
        <f>VLOOKUP($A690, 'Customer Names'!A:D, 3, FALSE)</f>
        <v>Thompson</v>
      </c>
      <c r="C690">
        <f>VLOOKUP($A690,'Medical Examinations'!A:C, 3, FALSE)</f>
        <v>17.195</v>
      </c>
      <c r="D690" t="str">
        <f>VLOOKUP($A690, 'Medical Examinations'!A:D, 4, FALSE)</f>
        <v>Normal</v>
      </c>
      <c r="E690" t="str">
        <f>VLOOKUP($A690, 'Medical Examinations'!A:F, 6, FALSE)</f>
        <v>yes</v>
      </c>
      <c r="F690" t="str">
        <f>VLOOKUP($A690, 'Medical Examinations'!A:G, 7, FALSE)</f>
        <v>No</v>
      </c>
      <c r="G690" t="str">
        <f>VLOOKUP($A690, 'Medical Examinations'!A:H, 8, FALSE)</f>
        <v>No</v>
      </c>
      <c r="H690" t="str">
        <f>VLOOKUP($A690, 'Medical Examinations'!A:J, 10, FALSE)</f>
        <v>No major surgery</v>
      </c>
      <c r="I690" t="str">
        <f>VLOOKUP($A690, 'Medical Examinations'!A:K, 11, FALSE)</f>
        <v>yes</v>
      </c>
      <c r="J690" t="str">
        <f>VLOOKUP($A690, 'Medical Examinations'!A:B, 2, FALSE)</f>
        <v>Underweight</v>
      </c>
      <c r="K690" t="str">
        <f>VLOOKUP($A690, 'Medical Examinations'!A:D, 4, FALSE)</f>
        <v>Normal</v>
      </c>
    </row>
    <row r="691" spans="1:11" ht="15.5" x14ac:dyDescent="0.35">
      <c r="A691" s="1" t="s">
        <v>1681</v>
      </c>
      <c r="B691" t="str">
        <f>VLOOKUP($A691, 'Customer Names'!A:D, 3, FALSE)</f>
        <v>Nelson</v>
      </c>
      <c r="C691">
        <f>VLOOKUP($A691,'Medical Examinations'!A:C, 3, FALSE)</f>
        <v>23.085000000000001</v>
      </c>
      <c r="D691" t="str">
        <f>VLOOKUP($A691, 'Medical Examinations'!A:D, 4, FALSE)</f>
        <v>Normal</v>
      </c>
      <c r="E691" t="str">
        <f>VLOOKUP($A691, 'Medical Examinations'!A:F, 6, FALSE)</f>
        <v>yes</v>
      </c>
      <c r="F691" t="str">
        <f>VLOOKUP($A691, 'Medical Examinations'!A:G, 7, FALSE)</f>
        <v>No</v>
      </c>
      <c r="G691" t="str">
        <f>VLOOKUP($A691, 'Medical Examinations'!A:H, 8, FALSE)</f>
        <v>No</v>
      </c>
      <c r="H691">
        <f>VLOOKUP($A691, 'Medical Examinations'!A:J, 10, FALSE)</f>
        <v>2</v>
      </c>
      <c r="I691" t="str">
        <f>VLOOKUP($A691, 'Medical Examinations'!A:K, 11, FALSE)</f>
        <v>No</v>
      </c>
      <c r="J691" t="str">
        <f>VLOOKUP($A691, 'Medical Examinations'!A:B, 2, FALSE)</f>
        <v>Normal Weight</v>
      </c>
      <c r="K691" t="str">
        <f>VLOOKUP($A691, 'Medical Examinations'!A:D, 4, FALSE)</f>
        <v>Normal</v>
      </c>
    </row>
    <row r="692" spans="1:11" ht="15.5" x14ac:dyDescent="0.35">
      <c r="A692" s="1" t="s">
        <v>1680</v>
      </c>
      <c r="B692" t="str">
        <f>VLOOKUP($A692, 'Customer Names'!A:D, 3, FALSE)</f>
        <v>Forte</v>
      </c>
      <c r="C692">
        <f>VLOOKUP($A692,'Medical Examinations'!A:C, 3, FALSE)</f>
        <v>21.66</v>
      </c>
      <c r="D692" t="str">
        <f>VLOOKUP($A692, 'Medical Examinations'!A:D, 4, FALSE)</f>
        <v>Normal</v>
      </c>
      <c r="E692" t="str">
        <f>VLOOKUP($A692, 'Medical Examinations'!A:F, 6, FALSE)</f>
        <v>yes</v>
      </c>
      <c r="F692" t="str">
        <f>VLOOKUP($A692, 'Medical Examinations'!A:G, 7, FALSE)</f>
        <v>No</v>
      </c>
      <c r="G692" t="str">
        <f>VLOOKUP($A692, 'Medical Examinations'!A:H, 8, FALSE)</f>
        <v>No</v>
      </c>
      <c r="H692">
        <f>VLOOKUP($A692, 'Medical Examinations'!A:J, 10, FALSE)</f>
        <v>2</v>
      </c>
      <c r="I692" t="str">
        <f>VLOOKUP($A692, 'Medical Examinations'!A:K, 11, FALSE)</f>
        <v>No</v>
      </c>
      <c r="J692" t="str">
        <f>VLOOKUP($A692, 'Medical Examinations'!A:B, 2, FALSE)</f>
        <v>Normal Weight</v>
      </c>
      <c r="K692" t="str">
        <f>VLOOKUP($A692, 'Medical Examinations'!A:D, 4, FALSE)</f>
        <v>Normal</v>
      </c>
    </row>
    <row r="693" spans="1:11" ht="15.5" x14ac:dyDescent="0.35">
      <c r="A693" s="1" t="s">
        <v>1679</v>
      </c>
      <c r="B693" t="str">
        <f>VLOOKUP($A693, 'Customer Names'!A:D, 3, FALSE)</f>
        <v>Corona Iturriaga</v>
      </c>
      <c r="C693">
        <f>VLOOKUP($A693,'Medical Examinations'!A:C, 3, FALSE)</f>
        <v>36.47</v>
      </c>
      <c r="D693" t="str">
        <f>VLOOKUP($A693, 'Medical Examinations'!A:D, 4, FALSE)</f>
        <v>Diabetes</v>
      </c>
      <c r="E693" t="str">
        <f>VLOOKUP($A693, 'Medical Examinations'!A:F, 6, FALSE)</f>
        <v>yes</v>
      </c>
      <c r="F693" t="str">
        <f>VLOOKUP($A693, 'Medical Examinations'!A:G, 7, FALSE)</f>
        <v>No</v>
      </c>
      <c r="G693" t="str">
        <f>VLOOKUP($A693, 'Medical Examinations'!A:H, 8, FALSE)</f>
        <v>No</v>
      </c>
      <c r="H693" t="str">
        <f>VLOOKUP($A693, 'Medical Examinations'!A:J, 10, FALSE)</f>
        <v>No major surgery</v>
      </c>
      <c r="I693" t="str">
        <f>VLOOKUP($A693, 'Medical Examinations'!A:K, 11, FALSE)</f>
        <v>No</v>
      </c>
      <c r="J693" t="str">
        <f>VLOOKUP($A693, 'Medical Examinations'!A:B, 2, FALSE)</f>
        <v>Obesity</v>
      </c>
      <c r="K693" t="str">
        <f>VLOOKUP($A693, 'Medical Examinations'!A:D, 4, FALSE)</f>
        <v>Diabetes</v>
      </c>
    </row>
    <row r="694" spans="1:11" ht="15.5" x14ac:dyDescent="0.35">
      <c r="A694" s="1" t="s">
        <v>1678</v>
      </c>
      <c r="B694" t="str">
        <f>VLOOKUP($A694, 'Customer Names'!A:D, 3, FALSE)</f>
        <v>McCollum</v>
      </c>
      <c r="C694">
        <f>VLOOKUP($A694,'Medical Examinations'!A:C, 3, FALSE)</f>
        <v>36.08</v>
      </c>
      <c r="D694" t="str">
        <f>VLOOKUP($A694, 'Medical Examinations'!A:D, 4, FALSE)</f>
        <v>Diabetes</v>
      </c>
      <c r="E694" t="str">
        <f>VLOOKUP($A694, 'Medical Examinations'!A:F, 6, FALSE)</f>
        <v>yes</v>
      </c>
      <c r="F694" t="str">
        <f>VLOOKUP($A694, 'Medical Examinations'!A:G, 7, FALSE)</f>
        <v>No</v>
      </c>
      <c r="G694" t="str">
        <f>VLOOKUP($A694, 'Medical Examinations'!A:H, 8, FALSE)</f>
        <v>No</v>
      </c>
      <c r="H694" t="str">
        <f>VLOOKUP($A694, 'Medical Examinations'!A:J, 10, FALSE)</f>
        <v>No major surgery</v>
      </c>
      <c r="I694" t="str">
        <f>VLOOKUP($A694, 'Medical Examinations'!A:K, 11, FALSE)</f>
        <v>No</v>
      </c>
      <c r="J694" t="str">
        <f>VLOOKUP($A694, 'Medical Examinations'!A:B, 2, FALSE)</f>
        <v>Obesity</v>
      </c>
      <c r="K694" t="str">
        <f>VLOOKUP($A694, 'Medical Examinations'!A:D, 4, FALSE)</f>
        <v>Diabetes</v>
      </c>
    </row>
    <row r="695" spans="1:11" ht="15.5" x14ac:dyDescent="0.35">
      <c r="A695" s="1" t="s">
        <v>1677</v>
      </c>
      <c r="B695" t="str">
        <f>VLOOKUP($A695, 'Customer Names'!A:D, 3, FALSE)</f>
        <v>Hevner</v>
      </c>
      <c r="C695">
        <f>VLOOKUP($A695,'Medical Examinations'!A:C, 3, FALSE)</f>
        <v>23.18</v>
      </c>
      <c r="D695" t="str">
        <f>VLOOKUP($A695, 'Medical Examinations'!A:D, 4, FALSE)</f>
        <v>Prediabetes</v>
      </c>
      <c r="E695" t="str">
        <f>VLOOKUP($A695, 'Medical Examinations'!A:F, 6, FALSE)</f>
        <v>No</v>
      </c>
      <c r="F695" t="str">
        <f>VLOOKUP($A695, 'Medical Examinations'!A:G, 7, FALSE)</f>
        <v>No</v>
      </c>
      <c r="G695" t="str">
        <f>VLOOKUP($A695, 'Medical Examinations'!A:H, 8, FALSE)</f>
        <v>No</v>
      </c>
      <c r="H695" t="str">
        <f>VLOOKUP($A695, 'Medical Examinations'!A:J, 10, FALSE)</f>
        <v>No major surgery</v>
      </c>
      <c r="I695" t="str">
        <f>VLOOKUP($A695, 'Medical Examinations'!A:K, 11, FALSE)</f>
        <v>No</v>
      </c>
      <c r="J695" t="str">
        <f>VLOOKUP($A695, 'Medical Examinations'!A:B, 2, FALSE)</f>
        <v>Normal Weight</v>
      </c>
      <c r="K695" t="str">
        <f>VLOOKUP($A695, 'Medical Examinations'!A:D, 4, FALSE)</f>
        <v>Prediabetes</v>
      </c>
    </row>
    <row r="696" spans="1:11" ht="15.5" x14ac:dyDescent="0.35">
      <c r="A696" s="1" t="s">
        <v>1676</v>
      </c>
      <c r="B696" t="str">
        <f>VLOOKUP($A696, 'Customer Names'!A:D, 3, FALSE)</f>
        <v>Looi</v>
      </c>
      <c r="C696">
        <f>VLOOKUP($A696,'Medical Examinations'!A:C, 3, FALSE)</f>
        <v>39.159999999999997</v>
      </c>
      <c r="D696" t="str">
        <f>VLOOKUP($A696, 'Medical Examinations'!A:D, 4, FALSE)</f>
        <v>Diabetes</v>
      </c>
      <c r="E696" t="str">
        <f>VLOOKUP($A696, 'Medical Examinations'!A:F, 6, FALSE)</f>
        <v>No</v>
      </c>
      <c r="F696" t="str">
        <f>VLOOKUP($A696, 'Medical Examinations'!A:G, 7, FALSE)</f>
        <v>No</v>
      </c>
      <c r="G696" t="str">
        <f>VLOOKUP($A696, 'Medical Examinations'!A:H, 8, FALSE)</f>
        <v>No</v>
      </c>
      <c r="H696">
        <f>VLOOKUP($A696, 'Medical Examinations'!A:J, 10, FALSE)</f>
        <v>3</v>
      </c>
      <c r="I696" t="str">
        <f>VLOOKUP($A696, 'Medical Examinations'!A:K, 11, FALSE)</f>
        <v>No</v>
      </c>
      <c r="J696" t="str">
        <f>VLOOKUP($A696, 'Medical Examinations'!A:B, 2, FALSE)</f>
        <v>Obesity</v>
      </c>
      <c r="K696" t="str">
        <f>VLOOKUP($A696, 'Medical Examinations'!A:D, 4, FALSE)</f>
        <v>Diabetes</v>
      </c>
    </row>
    <row r="697" spans="1:11" ht="15.5" x14ac:dyDescent="0.35">
      <c r="A697" s="1" t="s">
        <v>1675</v>
      </c>
      <c r="B697" t="str">
        <f>VLOOKUP($A697, 'Customer Names'!A:D, 3, FALSE)</f>
        <v>Power</v>
      </c>
      <c r="C697">
        <f>VLOOKUP($A697,'Medical Examinations'!A:C, 3, FALSE)</f>
        <v>38.19</v>
      </c>
      <c r="D697" t="str">
        <f>VLOOKUP($A697, 'Medical Examinations'!A:D, 4, FALSE)</f>
        <v>Diabetes</v>
      </c>
      <c r="E697" t="str">
        <f>VLOOKUP($A697, 'Medical Examinations'!A:F, 6, FALSE)</f>
        <v>No</v>
      </c>
      <c r="F697" t="str">
        <f>VLOOKUP($A697, 'Medical Examinations'!A:G, 7, FALSE)</f>
        <v>No</v>
      </c>
      <c r="G697" t="str">
        <f>VLOOKUP($A697, 'Medical Examinations'!A:H, 8, FALSE)</f>
        <v>No</v>
      </c>
      <c r="H697">
        <f>VLOOKUP($A697, 'Medical Examinations'!A:J, 10, FALSE)</f>
        <v>3</v>
      </c>
      <c r="I697" t="str">
        <f>VLOOKUP($A697, 'Medical Examinations'!A:K, 11, FALSE)</f>
        <v>No</v>
      </c>
      <c r="J697" t="str">
        <f>VLOOKUP($A697, 'Medical Examinations'!A:B, 2, FALSE)</f>
        <v>Obesity</v>
      </c>
      <c r="K697" t="str">
        <f>VLOOKUP($A697, 'Medical Examinations'!A:D, 4, FALSE)</f>
        <v>Diabetes</v>
      </c>
    </row>
    <row r="698" spans="1:11" ht="15.5" x14ac:dyDescent="0.35">
      <c r="A698" s="1" t="s">
        <v>1674</v>
      </c>
      <c r="B698" t="str">
        <f>VLOOKUP($A698, 'Customer Names'!A:D, 3, FALSE)</f>
        <v>Routon</v>
      </c>
      <c r="C698">
        <f>VLOOKUP($A698,'Medical Examinations'!A:C, 3, FALSE)</f>
        <v>26.41</v>
      </c>
      <c r="D698" t="str">
        <f>VLOOKUP($A698, 'Medical Examinations'!A:D, 4, FALSE)</f>
        <v>Diabetes</v>
      </c>
      <c r="E698" t="str">
        <f>VLOOKUP($A698, 'Medical Examinations'!A:F, 6, FALSE)</f>
        <v>No</v>
      </c>
      <c r="F698" t="str">
        <f>VLOOKUP($A698, 'Medical Examinations'!A:G, 7, FALSE)</f>
        <v>No</v>
      </c>
      <c r="G698" t="str">
        <f>VLOOKUP($A698, 'Medical Examinations'!A:H, 8, FALSE)</f>
        <v>No</v>
      </c>
      <c r="H698">
        <f>VLOOKUP($A698, 'Medical Examinations'!A:J, 10, FALSE)</f>
        <v>3</v>
      </c>
      <c r="I698" t="str">
        <f>VLOOKUP($A698, 'Medical Examinations'!A:K, 11, FALSE)</f>
        <v>No</v>
      </c>
      <c r="J698" t="str">
        <f>VLOOKUP($A698, 'Medical Examinations'!A:B, 2, FALSE)</f>
        <v>Overweight</v>
      </c>
      <c r="K698" t="str">
        <f>VLOOKUP($A698, 'Medical Examinations'!A:D, 4, FALSE)</f>
        <v>Diabetes</v>
      </c>
    </row>
    <row r="699" spans="1:11" ht="15.5" x14ac:dyDescent="0.35">
      <c r="A699" s="1" t="s">
        <v>1673</v>
      </c>
      <c r="B699" t="str">
        <f>VLOOKUP($A699, 'Customer Names'!A:D, 3, FALSE)</f>
        <v>Dochelli</v>
      </c>
      <c r="C699">
        <f>VLOOKUP($A699,'Medical Examinations'!A:C, 3, FALSE)</f>
        <v>28.785</v>
      </c>
      <c r="D699" t="str">
        <f>VLOOKUP($A699, 'Medical Examinations'!A:D, 4, FALSE)</f>
        <v>Diabetes</v>
      </c>
      <c r="E699" t="str">
        <f>VLOOKUP($A699, 'Medical Examinations'!A:F, 6, FALSE)</f>
        <v>No</v>
      </c>
      <c r="F699" t="str">
        <f>VLOOKUP($A699, 'Medical Examinations'!A:G, 7, FALSE)</f>
        <v>No</v>
      </c>
      <c r="G699" t="str">
        <f>VLOOKUP($A699, 'Medical Examinations'!A:H, 8, FALSE)</f>
        <v>No</v>
      </c>
      <c r="H699" t="str">
        <f>VLOOKUP($A699, 'Medical Examinations'!A:J, 10, FALSE)</f>
        <v>No major surgery</v>
      </c>
      <c r="I699" t="str">
        <f>VLOOKUP($A699, 'Medical Examinations'!A:K, 11, FALSE)</f>
        <v>No</v>
      </c>
      <c r="J699" t="str">
        <f>VLOOKUP($A699, 'Medical Examinations'!A:B, 2, FALSE)</f>
        <v>Overweight</v>
      </c>
      <c r="K699" t="str">
        <f>VLOOKUP($A699, 'Medical Examinations'!A:D, 4, FALSE)</f>
        <v>Diabetes</v>
      </c>
    </row>
    <row r="700" spans="1:11" ht="15.5" x14ac:dyDescent="0.35">
      <c r="A700" s="1" t="s">
        <v>1672</v>
      </c>
      <c r="B700" t="str">
        <f>VLOOKUP($A700, 'Customer Names'!A:D, 3, FALSE)</f>
        <v>Gillespie</v>
      </c>
      <c r="C700">
        <f>VLOOKUP($A700,'Medical Examinations'!A:C, 3, FALSE)</f>
        <v>26.695</v>
      </c>
      <c r="D700" t="str">
        <f>VLOOKUP($A700, 'Medical Examinations'!A:D, 4, FALSE)</f>
        <v>Diabetes</v>
      </c>
      <c r="E700" t="str">
        <f>VLOOKUP($A700, 'Medical Examinations'!A:F, 6, FALSE)</f>
        <v>yes</v>
      </c>
      <c r="F700" t="str">
        <f>VLOOKUP($A700, 'Medical Examinations'!A:G, 7, FALSE)</f>
        <v>No</v>
      </c>
      <c r="G700" t="str">
        <f>VLOOKUP($A700, 'Medical Examinations'!A:H, 8, FALSE)</f>
        <v>Yes</v>
      </c>
      <c r="H700">
        <f>VLOOKUP($A700, 'Medical Examinations'!A:J, 10, FALSE)</f>
        <v>1</v>
      </c>
      <c r="I700" t="str">
        <f>VLOOKUP($A700, 'Medical Examinations'!A:K, 11, FALSE)</f>
        <v>No</v>
      </c>
      <c r="J700" t="str">
        <f>VLOOKUP($A700, 'Medical Examinations'!A:B, 2, FALSE)</f>
        <v>Overweight</v>
      </c>
      <c r="K700" t="str">
        <f>VLOOKUP($A700, 'Medical Examinations'!A:D, 4, FALSE)</f>
        <v>Diabetes</v>
      </c>
    </row>
    <row r="701" spans="1:11" ht="15.5" x14ac:dyDescent="0.35">
      <c r="A701" s="1" t="s">
        <v>1671</v>
      </c>
      <c r="B701" t="str">
        <f>VLOOKUP($A701, 'Customer Names'!A:D, 3, FALSE)</f>
        <v>Oskvig</v>
      </c>
      <c r="C701">
        <f>VLOOKUP($A701,'Medical Examinations'!A:C, 3, FALSE)</f>
        <v>32.799999999999997</v>
      </c>
      <c r="D701" t="str">
        <f>VLOOKUP($A701, 'Medical Examinations'!A:D, 4, FALSE)</f>
        <v>Prediabetes</v>
      </c>
      <c r="E701" t="str">
        <f>VLOOKUP($A701, 'Medical Examinations'!A:F, 6, FALSE)</f>
        <v>yes</v>
      </c>
      <c r="F701" t="str">
        <f>VLOOKUP($A701, 'Medical Examinations'!A:G, 7, FALSE)</f>
        <v>No</v>
      </c>
      <c r="G701" t="str">
        <f>VLOOKUP($A701, 'Medical Examinations'!A:H, 8, FALSE)</f>
        <v>No</v>
      </c>
      <c r="H701">
        <f>VLOOKUP($A701, 'Medical Examinations'!A:J, 10, FALSE)</f>
        <v>1</v>
      </c>
      <c r="I701" t="str">
        <f>VLOOKUP($A701, 'Medical Examinations'!A:K, 11, FALSE)</f>
        <v>No</v>
      </c>
      <c r="J701" t="str">
        <f>VLOOKUP($A701, 'Medical Examinations'!A:B, 2, FALSE)</f>
        <v>Obesity</v>
      </c>
      <c r="K701" t="str">
        <f>VLOOKUP($A701, 'Medical Examinations'!A:D, 4, FALSE)</f>
        <v>Prediabetes</v>
      </c>
    </row>
    <row r="702" spans="1:11" ht="15.5" x14ac:dyDescent="0.35">
      <c r="A702" s="1" t="s">
        <v>1670</v>
      </c>
      <c r="B702" t="str">
        <f>VLOOKUP($A702, 'Customer Names'!A:D, 3, FALSE)</f>
        <v>Holland-Stergar</v>
      </c>
      <c r="C702">
        <f>VLOOKUP($A702,'Medical Examinations'!A:C, 3, FALSE)</f>
        <v>35.869999999999997</v>
      </c>
      <c r="D702" t="str">
        <f>VLOOKUP($A702, 'Medical Examinations'!A:D, 4, FALSE)</f>
        <v>Diabetes</v>
      </c>
      <c r="E702" t="str">
        <f>VLOOKUP($A702, 'Medical Examinations'!A:F, 6, FALSE)</f>
        <v>yes</v>
      </c>
      <c r="F702" t="str">
        <f>VLOOKUP($A702, 'Medical Examinations'!A:G, 7, FALSE)</f>
        <v>No</v>
      </c>
      <c r="G702" t="str">
        <f>VLOOKUP($A702, 'Medical Examinations'!A:H, 8, FALSE)</f>
        <v>No</v>
      </c>
      <c r="H702" t="str">
        <f>VLOOKUP($A702, 'Medical Examinations'!A:J, 10, FALSE)</f>
        <v>No major surgery</v>
      </c>
      <c r="I702" t="str">
        <f>VLOOKUP($A702, 'Medical Examinations'!A:K, 11, FALSE)</f>
        <v>No</v>
      </c>
      <c r="J702" t="str">
        <f>VLOOKUP($A702, 'Medical Examinations'!A:B, 2, FALSE)</f>
        <v>Obesity</v>
      </c>
      <c r="K702" t="str">
        <f>VLOOKUP($A702, 'Medical Examinations'!A:D, 4, FALSE)</f>
        <v>Diabetes</v>
      </c>
    </row>
    <row r="703" spans="1:11" ht="15.5" x14ac:dyDescent="0.35">
      <c r="A703" s="1" t="s">
        <v>1669</v>
      </c>
      <c r="B703" t="str">
        <f>VLOOKUP($A703, 'Customer Names'!A:D, 3, FALSE)</f>
        <v>Arai</v>
      </c>
      <c r="C703">
        <f>VLOOKUP($A703,'Medical Examinations'!A:C, 3, FALSE)</f>
        <v>21.66</v>
      </c>
      <c r="D703" t="str">
        <f>VLOOKUP($A703, 'Medical Examinations'!A:D, 4, FALSE)</f>
        <v>Normal</v>
      </c>
      <c r="E703" t="str">
        <f>VLOOKUP($A703, 'Medical Examinations'!A:F, 6, FALSE)</f>
        <v>yes</v>
      </c>
      <c r="F703" t="str">
        <f>VLOOKUP($A703, 'Medical Examinations'!A:G, 7, FALSE)</f>
        <v>No</v>
      </c>
      <c r="G703" t="str">
        <f>VLOOKUP($A703, 'Medical Examinations'!A:H, 8, FALSE)</f>
        <v>No</v>
      </c>
      <c r="H703">
        <f>VLOOKUP($A703, 'Medical Examinations'!A:J, 10, FALSE)</f>
        <v>2</v>
      </c>
      <c r="I703" t="str">
        <f>VLOOKUP($A703, 'Medical Examinations'!A:K, 11, FALSE)</f>
        <v>No</v>
      </c>
      <c r="J703" t="str">
        <f>VLOOKUP($A703, 'Medical Examinations'!A:B, 2, FALSE)</f>
        <v>Normal Weight</v>
      </c>
      <c r="K703" t="str">
        <f>VLOOKUP($A703, 'Medical Examinations'!A:D, 4, FALSE)</f>
        <v>Normal</v>
      </c>
    </row>
    <row r="704" spans="1:11" ht="15.5" x14ac:dyDescent="0.35">
      <c r="A704" s="1" t="s">
        <v>1668</v>
      </c>
      <c r="B704" t="str">
        <f>VLOOKUP($A704, 'Customer Names'!A:D, 3, FALSE)</f>
        <v>Olausson</v>
      </c>
      <c r="C704">
        <f>VLOOKUP($A704,'Medical Examinations'!A:C, 3, FALSE)</f>
        <v>37.72</v>
      </c>
      <c r="D704" t="str">
        <f>VLOOKUP($A704, 'Medical Examinations'!A:D, 4, FALSE)</f>
        <v>Normal</v>
      </c>
      <c r="E704" t="str">
        <f>VLOOKUP($A704, 'Medical Examinations'!A:F, 6, FALSE)</f>
        <v>yes</v>
      </c>
      <c r="F704" t="str">
        <f>VLOOKUP($A704, 'Medical Examinations'!A:G, 7, FALSE)</f>
        <v>No</v>
      </c>
      <c r="G704" t="str">
        <f>VLOOKUP($A704, 'Medical Examinations'!A:H, 8, FALSE)</f>
        <v>Yes</v>
      </c>
      <c r="H704">
        <f>VLOOKUP($A704, 'Medical Examinations'!A:J, 10, FALSE)</f>
        <v>1</v>
      </c>
      <c r="I704" t="str">
        <f>VLOOKUP($A704, 'Medical Examinations'!A:K, 11, FALSE)</f>
        <v>No</v>
      </c>
      <c r="J704" t="str">
        <f>VLOOKUP($A704, 'Medical Examinations'!A:B, 2, FALSE)</f>
        <v>Obesity</v>
      </c>
      <c r="K704" t="str">
        <f>VLOOKUP($A704, 'Medical Examinations'!A:D, 4, FALSE)</f>
        <v>Normal</v>
      </c>
    </row>
    <row r="705" spans="1:11" ht="15.5" x14ac:dyDescent="0.35">
      <c r="A705" s="1" t="s">
        <v>1667</v>
      </c>
      <c r="B705" t="str">
        <f>VLOOKUP($A705, 'Customer Names'!A:D, 3, FALSE)</f>
        <v>Wagner</v>
      </c>
      <c r="C705">
        <f>VLOOKUP($A705,'Medical Examinations'!A:C, 3, FALSE)</f>
        <v>39.700000000000003</v>
      </c>
      <c r="D705" t="str">
        <f>VLOOKUP($A705, 'Medical Examinations'!A:D, 4, FALSE)</f>
        <v>Diabetes</v>
      </c>
      <c r="E705" t="str">
        <f>VLOOKUP($A705, 'Medical Examinations'!A:F, 6, FALSE)</f>
        <v>No</v>
      </c>
      <c r="F705" t="str">
        <f>VLOOKUP($A705, 'Medical Examinations'!A:G, 7, FALSE)</f>
        <v>No</v>
      </c>
      <c r="G705" t="str">
        <f>VLOOKUP($A705, 'Medical Examinations'!A:H, 8, FALSE)</f>
        <v>No</v>
      </c>
      <c r="H705">
        <f>VLOOKUP($A705, 'Medical Examinations'!A:J, 10, FALSE)</f>
        <v>3</v>
      </c>
      <c r="I705" t="str">
        <f>VLOOKUP($A705, 'Medical Examinations'!A:K, 11, FALSE)</f>
        <v>No</v>
      </c>
      <c r="J705" t="str">
        <f>VLOOKUP($A705, 'Medical Examinations'!A:B, 2, FALSE)</f>
        <v>Obesity</v>
      </c>
      <c r="K705" t="str">
        <f>VLOOKUP($A705, 'Medical Examinations'!A:D, 4, FALSE)</f>
        <v>Diabetes</v>
      </c>
    </row>
    <row r="706" spans="1:11" ht="15.5" x14ac:dyDescent="0.35">
      <c r="A706" s="1" t="s">
        <v>1666</v>
      </c>
      <c r="B706" t="str">
        <f>VLOOKUP($A706, 'Customer Names'!A:D, 3, FALSE)</f>
        <v>Delong</v>
      </c>
      <c r="C706">
        <f>VLOOKUP($A706,'Medical Examinations'!A:C, 3, FALSE)</f>
        <v>35.97</v>
      </c>
      <c r="D706" t="str">
        <f>VLOOKUP($A706, 'Medical Examinations'!A:D, 4, FALSE)</f>
        <v>Diabetes</v>
      </c>
      <c r="E706" t="str">
        <f>VLOOKUP($A706, 'Medical Examinations'!A:F, 6, FALSE)</f>
        <v>No</v>
      </c>
      <c r="F706" t="str">
        <f>VLOOKUP($A706, 'Medical Examinations'!A:G, 7, FALSE)</f>
        <v>No</v>
      </c>
      <c r="G706" t="str">
        <f>VLOOKUP($A706, 'Medical Examinations'!A:H, 8, FALSE)</f>
        <v>No</v>
      </c>
      <c r="H706">
        <f>VLOOKUP($A706, 'Medical Examinations'!A:J, 10, FALSE)</f>
        <v>3</v>
      </c>
      <c r="I706" t="str">
        <f>VLOOKUP($A706, 'Medical Examinations'!A:K, 11, FALSE)</f>
        <v>No</v>
      </c>
      <c r="J706" t="str">
        <f>VLOOKUP($A706, 'Medical Examinations'!A:B, 2, FALSE)</f>
        <v>Obesity</v>
      </c>
      <c r="K706" t="str">
        <f>VLOOKUP($A706, 'Medical Examinations'!A:D, 4, FALSE)</f>
        <v>Diabetes</v>
      </c>
    </row>
    <row r="707" spans="1:11" ht="15.5" x14ac:dyDescent="0.35">
      <c r="A707" s="1" t="s">
        <v>1665</v>
      </c>
      <c r="B707" t="str">
        <f>VLOOKUP($A707, 'Customer Names'!A:D, 3, FALSE)</f>
        <v>Mehech</v>
      </c>
      <c r="C707">
        <f>VLOOKUP($A707,'Medical Examinations'!A:C, 3, FALSE)</f>
        <v>37.85</v>
      </c>
      <c r="D707" t="str">
        <f>VLOOKUP($A707, 'Medical Examinations'!A:D, 4, FALSE)</f>
        <v>Diabetes</v>
      </c>
      <c r="E707" t="str">
        <f>VLOOKUP($A707, 'Medical Examinations'!A:F, 6, FALSE)</f>
        <v>No</v>
      </c>
      <c r="F707" t="str">
        <f>VLOOKUP($A707, 'Medical Examinations'!A:G, 7, FALSE)</f>
        <v>No</v>
      </c>
      <c r="G707" t="str">
        <f>VLOOKUP($A707, 'Medical Examinations'!A:H, 8, FALSE)</f>
        <v>No</v>
      </c>
      <c r="H707" t="str">
        <f>VLOOKUP($A707, 'Medical Examinations'!A:J, 10, FALSE)</f>
        <v>No major surgery</v>
      </c>
      <c r="I707" t="str">
        <f>VLOOKUP($A707, 'Medical Examinations'!A:K, 11, FALSE)</f>
        <v>No</v>
      </c>
      <c r="J707" t="str">
        <f>VLOOKUP($A707, 'Medical Examinations'!A:B, 2, FALSE)</f>
        <v>Obesity</v>
      </c>
      <c r="K707" t="str">
        <f>VLOOKUP($A707, 'Medical Examinations'!A:D, 4, FALSE)</f>
        <v>Diabetes</v>
      </c>
    </row>
    <row r="708" spans="1:11" ht="15.5" x14ac:dyDescent="0.35">
      <c r="A708" s="1" t="s">
        <v>1664</v>
      </c>
      <c r="B708" t="str">
        <f>VLOOKUP($A708, 'Customer Names'!A:D, 3, FALSE)</f>
        <v>Machiela</v>
      </c>
      <c r="C708">
        <f>VLOOKUP($A708,'Medical Examinations'!A:C, 3, FALSE)</f>
        <v>21.66</v>
      </c>
      <c r="D708" t="str">
        <f>VLOOKUP($A708, 'Medical Examinations'!A:D, 4, FALSE)</f>
        <v>Normal</v>
      </c>
      <c r="E708" t="str">
        <f>VLOOKUP($A708, 'Medical Examinations'!A:F, 6, FALSE)</f>
        <v>No</v>
      </c>
      <c r="F708" t="str">
        <f>VLOOKUP($A708, 'Medical Examinations'!A:G, 7, FALSE)</f>
        <v>yes</v>
      </c>
      <c r="G708" t="str">
        <f>VLOOKUP($A708, 'Medical Examinations'!A:H, 8, FALSE)</f>
        <v>No</v>
      </c>
      <c r="H708">
        <f>VLOOKUP($A708, 'Medical Examinations'!A:J, 10, FALSE)</f>
        <v>1</v>
      </c>
      <c r="I708" t="str">
        <f>VLOOKUP($A708, 'Medical Examinations'!A:K, 11, FALSE)</f>
        <v>yes</v>
      </c>
      <c r="J708" t="str">
        <f>VLOOKUP($A708, 'Medical Examinations'!A:B, 2, FALSE)</f>
        <v>Normal Weight</v>
      </c>
      <c r="K708" t="str">
        <f>VLOOKUP($A708, 'Medical Examinations'!A:D, 4, FALSE)</f>
        <v>Normal</v>
      </c>
    </row>
    <row r="709" spans="1:11" ht="15.5" x14ac:dyDescent="0.35">
      <c r="A709" s="1" t="s">
        <v>1663</v>
      </c>
      <c r="B709" t="str">
        <f>VLOOKUP($A709, 'Customer Names'!A:D, 3, FALSE)</f>
        <v>Young</v>
      </c>
      <c r="C709">
        <f>VLOOKUP($A709,'Medical Examinations'!A:C, 3, FALSE)</f>
        <v>39.369999999999997</v>
      </c>
      <c r="D709" t="str">
        <f>VLOOKUP($A709, 'Medical Examinations'!A:D, 4, FALSE)</f>
        <v>Prediabetes</v>
      </c>
      <c r="E709" t="str">
        <f>VLOOKUP($A709, 'Medical Examinations'!A:F, 6, FALSE)</f>
        <v>No</v>
      </c>
      <c r="F709" t="str">
        <f>VLOOKUP($A709, 'Medical Examinations'!A:G, 7, FALSE)</f>
        <v>No</v>
      </c>
      <c r="G709" t="str">
        <f>VLOOKUP($A709, 'Medical Examinations'!A:H, 8, FALSE)</f>
        <v>No</v>
      </c>
      <c r="H709">
        <f>VLOOKUP($A709, 'Medical Examinations'!A:J, 10, FALSE)</f>
        <v>2</v>
      </c>
      <c r="I709" t="str">
        <f>VLOOKUP($A709, 'Medical Examinations'!A:K, 11, FALSE)</f>
        <v>No</v>
      </c>
      <c r="J709" t="str">
        <f>VLOOKUP($A709, 'Medical Examinations'!A:B, 2, FALSE)</f>
        <v>Obesity</v>
      </c>
      <c r="K709" t="str">
        <f>VLOOKUP($A709, 'Medical Examinations'!A:D, 4, FALSE)</f>
        <v>Prediabetes</v>
      </c>
    </row>
    <row r="710" spans="1:11" ht="15.5" x14ac:dyDescent="0.35">
      <c r="A710" s="1" t="s">
        <v>1662</v>
      </c>
      <c r="B710" t="str">
        <f>VLOOKUP($A710, 'Customer Names'!A:D, 3, FALSE)</f>
        <v>Dupere</v>
      </c>
      <c r="C710">
        <f>VLOOKUP($A710,'Medical Examinations'!A:C, 3, FALSE)</f>
        <v>40.880000000000003</v>
      </c>
      <c r="D710" t="str">
        <f>VLOOKUP($A710, 'Medical Examinations'!A:D, 4, FALSE)</f>
        <v>Diabetes</v>
      </c>
      <c r="E710" t="str">
        <f>VLOOKUP($A710, 'Medical Examinations'!A:F, 6, FALSE)</f>
        <v>No</v>
      </c>
      <c r="F710" t="str">
        <f>VLOOKUP($A710, 'Medical Examinations'!A:G, 7, FALSE)</f>
        <v>No</v>
      </c>
      <c r="G710" t="str">
        <f>VLOOKUP($A710, 'Medical Examinations'!A:H, 8, FALSE)</f>
        <v>No</v>
      </c>
      <c r="H710" t="str">
        <f>VLOOKUP($A710, 'Medical Examinations'!A:J, 10, FALSE)</f>
        <v>No major surgery</v>
      </c>
      <c r="I710" t="str">
        <f>VLOOKUP($A710, 'Medical Examinations'!A:K, 11, FALSE)</f>
        <v>No</v>
      </c>
      <c r="J710" t="str">
        <f>VLOOKUP($A710, 'Medical Examinations'!A:B, 2, FALSE)</f>
        <v>Obesity</v>
      </c>
      <c r="K710" t="str">
        <f>VLOOKUP($A710, 'Medical Examinations'!A:D, 4, FALSE)</f>
        <v>Diabetes</v>
      </c>
    </row>
    <row r="711" spans="1:11" ht="15.5" x14ac:dyDescent="0.35">
      <c r="A711" s="1" t="s">
        <v>1661</v>
      </c>
      <c r="B711" t="str">
        <f>VLOOKUP($A711, 'Customer Names'!A:D, 3, FALSE)</f>
        <v>Iandolo</v>
      </c>
      <c r="C711">
        <f>VLOOKUP($A711,'Medical Examinations'!A:C, 3, FALSE)</f>
        <v>26.22</v>
      </c>
      <c r="D711" t="str">
        <f>VLOOKUP($A711, 'Medical Examinations'!A:D, 4, FALSE)</f>
        <v>Normal</v>
      </c>
      <c r="E711" t="str">
        <f>VLOOKUP($A711, 'Medical Examinations'!A:F, 6, FALSE)</f>
        <v>yes</v>
      </c>
      <c r="F711" t="str">
        <f>VLOOKUP($A711, 'Medical Examinations'!A:G, 7, FALSE)</f>
        <v>No</v>
      </c>
      <c r="G711" t="str">
        <f>VLOOKUP($A711, 'Medical Examinations'!A:H, 8, FALSE)</f>
        <v>No</v>
      </c>
      <c r="H711">
        <f>VLOOKUP($A711, 'Medical Examinations'!A:J, 10, FALSE)</f>
        <v>2</v>
      </c>
      <c r="I711" t="str">
        <f>VLOOKUP($A711, 'Medical Examinations'!A:K, 11, FALSE)</f>
        <v>No</v>
      </c>
      <c r="J711" t="str">
        <f>VLOOKUP($A711, 'Medical Examinations'!A:B, 2, FALSE)</f>
        <v>Overweight</v>
      </c>
      <c r="K711" t="str">
        <f>VLOOKUP($A711, 'Medical Examinations'!A:D, 4, FALSE)</f>
        <v>Normal</v>
      </c>
    </row>
    <row r="712" spans="1:11" ht="15.5" x14ac:dyDescent="0.35">
      <c r="A712" s="1" t="s">
        <v>1660</v>
      </c>
      <c r="B712" t="str">
        <f>VLOOKUP($A712, 'Customer Names'!A:D, 3, FALSE)</f>
        <v>Ito</v>
      </c>
      <c r="C712">
        <f>VLOOKUP($A712,'Medical Examinations'!A:C, 3, FALSE)</f>
        <v>25.08</v>
      </c>
      <c r="D712" t="str">
        <f>VLOOKUP($A712, 'Medical Examinations'!A:D, 4, FALSE)</f>
        <v>Prediabetes</v>
      </c>
      <c r="E712" t="str">
        <f>VLOOKUP($A712, 'Medical Examinations'!A:F, 6, FALSE)</f>
        <v>yes</v>
      </c>
      <c r="F712" t="str">
        <f>VLOOKUP($A712, 'Medical Examinations'!A:G, 7, FALSE)</f>
        <v>No</v>
      </c>
      <c r="G712" t="str">
        <f>VLOOKUP($A712, 'Medical Examinations'!A:H, 8, FALSE)</f>
        <v>No</v>
      </c>
      <c r="H712">
        <f>VLOOKUP($A712, 'Medical Examinations'!A:J, 10, FALSE)</f>
        <v>2</v>
      </c>
      <c r="I712" t="str">
        <f>VLOOKUP($A712, 'Medical Examinations'!A:K, 11, FALSE)</f>
        <v>No</v>
      </c>
      <c r="J712" t="str">
        <f>VLOOKUP($A712, 'Medical Examinations'!A:B, 2, FALSE)</f>
        <v>Overweight</v>
      </c>
      <c r="K712" t="str">
        <f>VLOOKUP($A712, 'Medical Examinations'!A:D, 4, FALSE)</f>
        <v>Prediabetes</v>
      </c>
    </row>
    <row r="713" spans="1:11" ht="15.5" x14ac:dyDescent="0.35">
      <c r="A713" s="1" t="s">
        <v>1659</v>
      </c>
      <c r="B713" t="str">
        <f>VLOOKUP($A713, 'Customer Names'!A:D, 3, FALSE)</f>
        <v>Barry</v>
      </c>
      <c r="C713">
        <f>VLOOKUP($A713,'Medical Examinations'!A:C, 3, FALSE)</f>
        <v>39.1</v>
      </c>
      <c r="D713" t="str">
        <f>VLOOKUP($A713, 'Medical Examinations'!A:D, 4, FALSE)</f>
        <v>Diabetes</v>
      </c>
      <c r="E713" t="str">
        <f>VLOOKUP($A713, 'Medical Examinations'!A:F, 6, FALSE)</f>
        <v>yes</v>
      </c>
      <c r="F713" t="str">
        <f>VLOOKUP($A713, 'Medical Examinations'!A:G, 7, FALSE)</f>
        <v>No</v>
      </c>
      <c r="G713" t="str">
        <f>VLOOKUP($A713, 'Medical Examinations'!A:H, 8, FALSE)</f>
        <v>No</v>
      </c>
      <c r="H713">
        <f>VLOOKUP($A713, 'Medical Examinations'!A:J, 10, FALSE)</f>
        <v>2</v>
      </c>
      <c r="I713" t="str">
        <f>VLOOKUP($A713, 'Medical Examinations'!A:K, 11, FALSE)</f>
        <v>No</v>
      </c>
      <c r="J713" t="str">
        <f>VLOOKUP($A713, 'Medical Examinations'!A:B, 2, FALSE)</f>
        <v>Obesity</v>
      </c>
      <c r="K713" t="str">
        <f>VLOOKUP($A713, 'Medical Examinations'!A:D, 4, FALSE)</f>
        <v>Diabetes</v>
      </c>
    </row>
    <row r="714" spans="1:11" ht="15.5" x14ac:dyDescent="0.35">
      <c r="A714" s="1" t="s">
        <v>1658</v>
      </c>
      <c r="B714" t="str">
        <f>VLOOKUP($A714, 'Customer Names'!A:D, 3, FALSE)</f>
        <v>Boyce</v>
      </c>
      <c r="C714">
        <f>VLOOKUP($A714,'Medical Examinations'!A:C, 3, FALSE)</f>
        <v>37.905000000000001</v>
      </c>
      <c r="D714" t="str">
        <f>VLOOKUP($A714, 'Medical Examinations'!A:D, 4, FALSE)</f>
        <v>Diabetes</v>
      </c>
      <c r="E714" t="str">
        <f>VLOOKUP($A714, 'Medical Examinations'!A:F, 6, FALSE)</f>
        <v>No</v>
      </c>
      <c r="F714" t="str">
        <f>VLOOKUP($A714, 'Medical Examinations'!A:G, 7, FALSE)</f>
        <v>No</v>
      </c>
      <c r="G714" t="str">
        <f>VLOOKUP($A714, 'Medical Examinations'!A:H, 8, FALSE)</f>
        <v>No</v>
      </c>
      <c r="H714">
        <f>VLOOKUP($A714, 'Medical Examinations'!A:J, 10, FALSE)</f>
        <v>3</v>
      </c>
      <c r="I714" t="str">
        <f>VLOOKUP($A714, 'Medical Examinations'!A:K, 11, FALSE)</f>
        <v>No</v>
      </c>
      <c r="J714" t="str">
        <f>VLOOKUP($A714, 'Medical Examinations'!A:B, 2, FALSE)</f>
        <v>Obesity</v>
      </c>
      <c r="K714" t="str">
        <f>VLOOKUP($A714, 'Medical Examinations'!A:D, 4, FALSE)</f>
        <v>Diabetes</v>
      </c>
    </row>
    <row r="715" spans="1:11" ht="15.5" x14ac:dyDescent="0.35">
      <c r="A715" s="1" t="s">
        <v>1657</v>
      </c>
      <c r="B715" t="str">
        <f>VLOOKUP($A715, 'Customer Names'!A:D, 3, FALSE)</f>
        <v>Lin</v>
      </c>
      <c r="C715">
        <f>VLOOKUP($A715,'Medical Examinations'!A:C, 3, FALSE)</f>
        <v>43.35</v>
      </c>
      <c r="D715" t="str">
        <f>VLOOKUP($A715, 'Medical Examinations'!A:D, 4, FALSE)</f>
        <v>Normal</v>
      </c>
      <c r="E715" t="str">
        <f>VLOOKUP($A715, 'Medical Examinations'!A:F, 6, FALSE)</f>
        <v>yes</v>
      </c>
      <c r="F715" t="str">
        <f>VLOOKUP($A715, 'Medical Examinations'!A:G, 7, FALSE)</f>
        <v>No</v>
      </c>
      <c r="G715" t="str">
        <f>VLOOKUP($A715, 'Medical Examinations'!A:H, 8, FALSE)</f>
        <v>Yes</v>
      </c>
      <c r="H715">
        <f>VLOOKUP($A715, 'Medical Examinations'!A:J, 10, FALSE)</f>
        <v>1</v>
      </c>
      <c r="I715" t="str">
        <f>VLOOKUP($A715, 'Medical Examinations'!A:K, 11, FALSE)</f>
        <v>No</v>
      </c>
      <c r="J715" t="str">
        <f>VLOOKUP($A715, 'Medical Examinations'!A:B, 2, FALSE)</f>
        <v>Obesity</v>
      </c>
      <c r="K715" t="str">
        <f>VLOOKUP($A715, 'Medical Examinations'!A:D, 4, FALSE)</f>
        <v>Normal</v>
      </c>
    </row>
    <row r="716" spans="1:11" ht="15.5" x14ac:dyDescent="0.35">
      <c r="A716" s="1" t="s">
        <v>1656</v>
      </c>
      <c r="B716" t="str">
        <f>VLOOKUP($A716, 'Customer Names'!A:D, 3, FALSE)</f>
        <v>Smith</v>
      </c>
      <c r="C716">
        <f>VLOOKUP($A716,'Medical Examinations'!A:C, 3, FALSE)</f>
        <v>36.15</v>
      </c>
      <c r="D716" t="str">
        <f>VLOOKUP($A716, 'Medical Examinations'!A:D, 4, FALSE)</f>
        <v>Diabetes</v>
      </c>
      <c r="E716" t="str">
        <f>VLOOKUP($A716, 'Medical Examinations'!A:F, 6, FALSE)</f>
        <v>No</v>
      </c>
      <c r="F716" t="str">
        <f>VLOOKUP($A716, 'Medical Examinations'!A:G, 7, FALSE)</f>
        <v>No</v>
      </c>
      <c r="G716" t="str">
        <f>VLOOKUP($A716, 'Medical Examinations'!A:H, 8, FALSE)</f>
        <v>No</v>
      </c>
      <c r="H716" t="str">
        <f>VLOOKUP($A716, 'Medical Examinations'!A:J, 10, FALSE)</f>
        <v>No major surgery</v>
      </c>
      <c r="I716" t="str">
        <f>VLOOKUP($A716, 'Medical Examinations'!A:K, 11, FALSE)</f>
        <v>No</v>
      </c>
      <c r="J716" t="str">
        <f>VLOOKUP($A716, 'Medical Examinations'!A:B, 2, FALSE)</f>
        <v>Obesity</v>
      </c>
      <c r="K716" t="str">
        <f>VLOOKUP($A716, 'Medical Examinations'!A:D, 4, FALSE)</f>
        <v>Diabetes</v>
      </c>
    </row>
    <row r="717" spans="1:11" ht="15.5" x14ac:dyDescent="0.35">
      <c r="A717" s="1" t="s">
        <v>1655</v>
      </c>
      <c r="B717" t="str">
        <f>VLOOKUP($A717, 'Customer Names'!A:D, 3, FALSE)</f>
        <v>Nalven</v>
      </c>
      <c r="C717">
        <f>VLOOKUP($A717,'Medical Examinations'!A:C, 3, FALSE)</f>
        <v>44.98</v>
      </c>
      <c r="D717" t="str">
        <f>VLOOKUP($A717, 'Medical Examinations'!A:D, 4, FALSE)</f>
        <v>Prediabetes</v>
      </c>
      <c r="E717" t="str">
        <f>VLOOKUP($A717, 'Medical Examinations'!A:F, 6, FALSE)</f>
        <v>No</v>
      </c>
      <c r="F717" t="str">
        <f>VLOOKUP($A717, 'Medical Examinations'!A:G, 7, FALSE)</f>
        <v>No</v>
      </c>
      <c r="G717" t="str">
        <f>VLOOKUP($A717, 'Medical Examinations'!A:H, 8, FALSE)</f>
        <v>No</v>
      </c>
      <c r="H717">
        <f>VLOOKUP($A717, 'Medical Examinations'!A:J, 10, FALSE)</f>
        <v>1</v>
      </c>
      <c r="I717" t="str">
        <f>VLOOKUP($A717, 'Medical Examinations'!A:K, 11, FALSE)</f>
        <v>No</v>
      </c>
      <c r="J717" t="str">
        <f>VLOOKUP($A717, 'Medical Examinations'!A:B, 2, FALSE)</f>
        <v>Obesity</v>
      </c>
      <c r="K717" t="str">
        <f>VLOOKUP($A717, 'Medical Examinations'!A:D, 4, FALSE)</f>
        <v>Prediabetes</v>
      </c>
    </row>
    <row r="718" spans="1:11" ht="15.5" x14ac:dyDescent="0.35">
      <c r="A718" s="1" t="s">
        <v>1654</v>
      </c>
      <c r="B718" t="str">
        <f>VLOOKUP($A718, 'Customer Names'!A:D, 3, FALSE)</f>
        <v>Bourgeois</v>
      </c>
      <c r="C718">
        <f>VLOOKUP($A718,'Medical Examinations'!A:C, 3, FALSE)</f>
        <v>38.28</v>
      </c>
      <c r="D718" t="str">
        <f>VLOOKUP($A718, 'Medical Examinations'!A:D, 4, FALSE)</f>
        <v>Normal</v>
      </c>
      <c r="E718" t="str">
        <f>VLOOKUP($A718, 'Medical Examinations'!A:F, 6, FALSE)</f>
        <v>No</v>
      </c>
      <c r="F718" t="str">
        <f>VLOOKUP($A718, 'Medical Examinations'!A:G, 7, FALSE)</f>
        <v>yes</v>
      </c>
      <c r="G718" t="str">
        <f>VLOOKUP($A718, 'Medical Examinations'!A:H, 8, FALSE)</f>
        <v>No</v>
      </c>
      <c r="H718">
        <f>VLOOKUP($A718, 'Medical Examinations'!A:J, 10, FALSE)</f>
        <v>1</v>
      </c>
      <c r="I718" t="str">
        <f>VLOOKUP($A718, 'Medical Examinations'!A:K, 11, FALSE)</f>
        <v>No</v>
      </c>
      <c r="J718" t="str">
        <f>VLOOKUP($A718, 'Medical Examinations'!A:B, 2, FALSE)</f>
        <v>Obesity</v>
      </c>
      <c r="K718" t="str">
        <f>VLOOKUP($A718, 'Medical Examinations'!A:D, 4, FALSE)</f>
        <v>Normal</v>
      </c>
    </row>
    <row r="719" spans="1:11" ht="15.5" x14ac:dyDescent="0.35">
      <c r="A719" s="1" t="s">
        <v>1653</v>
      </c>
      <c r="B719" t="str">
        <f>VLOOKUP($A719, 'Customer Names'!A:D, 3, FALSE)</f>
        <v>Orloff</v>
      </c>
      <c r="C719">
        <f>VLOOKUP($A719,'Medical Examinations'!A:C, 3, FALSE)</f>
        <v>32.299999999999997</v>
      </c>
      <c r="D719" t="str">
        <f>VLOOKUP($A719, 'Medical Examinations'!A:D, 4, FALSE)</f>
        <v>Diabetes</v>
      </c>
      <c r="E719" t="str">
        <f>VLOOKUP($A719, 'Medical Examinations'!A:F, 6, FALSE)</f>
        <v>yes</v>
      </c>
      <c r="F719" t="str">
        <f>VLOOKUP($A719, 'Medical Examinations'!A:G, 7, FALSE)</f>
        <v>No</v>
      </c>
      <c r="G719" t="str">
        <f>VLOOKUP($A719, 'Medical Examinations'!A:H, 8, FALSE)</f>
        <v>No</v>
      </c>
      <c r="H719">
        <f>VLOOKUP($A719, 'Medical Examinations'!A:J, 10, FALSE)</f>
        <v>2</v>
      </c>
      <c r="I719" t="str">
        <f>VLOOKUP($A719, 'Medical Examinations'!A:K, 11, FALSE)</f>
        <v>No</v>
      </c>
      <c r="J719" t="str">
        <f>VLOOKUP($A719, 'Medical Examinations'!A:B, 2, FALSE)</f>
        <v>Obesity</v>
      </c>
      <c r="K719" t="str">
        <f>VLOOKUP($A719, 'Medical Examinations'!A:D, 4, FALSE)</f>
        <v>Diabetes</v>
      </c>
    </row>
    <row r="720" spans="1:11" ht="15.5" x14ac:dyDescent="0.35">
      <c r="A720" s="1" t="s">
        <v>1652</v>
      </c>
      <c r="B720" t="str">
        <f>VLOOKUP($A720, 'Customer Names'!A:D, 3, FALSE)</f>
        <v>Ramirez</v>
      </c>
      <c r="C720">
        <f>VLOOKUP($A720,'Medical Examinations'!A:C, 3, FALSE)</f>
        <v>39.51</v>
      </c>
      <c r="D720" t="str">
        <f>VLOOKUP($A720, 'Medical Examinations'!A:D, 4, FALSE)</f>
        <v>Prediabetes</v>
      </c>
      <c r="E720" t="str">
        <f>VLOOKUP($A720, 'Medical Examinations'!A:F, 6, FALSE)</f>
        <v>yes</v>
      </c>
      <c r="F720" t="str">
        <f>VLOOKUP($A720, 'Medical Examinations'!A:G, 7, FALSE)</f>
        <v>No</v>
      </c>
      <c r="G720" t="str">
        <f>VLOOKUP($A720, 'Medical Examinations'!A:H, 8, FALSE)</f>
        <v>No</v>
      </c>
      <c r="H720" t="str">
        <f>VLOOKUP($A720, 'Medical Examinations'!A:J, 10, FALSE)</f>
        <v>No major surgery</v>
      </c>
      <c r="I720" t="str">
        <f>VLOOKUP($A720, 'Medical Examinations'!A:K, 11, FALSE)</f>
        <v>No</v>
      </c>
      <c r="J720" t="str">
        <f>VLOOKUP($A720, 'Medical Examinations'!A:B, 2, FALSE)</f>
        <v>Obesity</v>
      </c>
      <c r="K720" t="str">
        <f>VLOOKUP($A720, 'Medical Examinations'!A:D, 4, FALSE)</f>
        <v>Prediabetes</v>
      </c>
    </row>
    <row r="721" spans="1:11" ht="15.5" x14ac:dyDescent="0.35">
      <c r="A721" s="1" t="s">
        <v>1651</v>
      </c>
      <c r="B721" t="str">
        <f>VLOOKUP($A721, 'Customer Names'!A:D, 3, FALSE)</f>
        <v>Fouquet</v>
      </c>
      <c r="C721">
        <f>VLOOKUP($A721,'Medical Examinations'!A:C, 3, FALSE)</f>
        <v>50.46</v>
      </c>
      <c r="D721" t="str">
        <f>VLOOKUP($A721, 'Medical Examinations'!A:D, 4, FALSE)</f>
        <v>Normal</v>
      </c>
      <c r="E721" t="str">
        <f>VLOOKUP($A721, 'Medical Examinations'!A:F, 6, FALSE)</f>
        <v>No</v>
      </c>
      <c r="F721" t="str">
        <f>VLOOKUP($A721, 'Medical Examinations'!A:G, 7, FALSE)</f>
        <v>No</v>
      </c>
      <c r="G721" t="str">
        <f>VLOOKUP($A721, 'Medical Examinations'!A:H, 8, FALSE)</f>
        <v>No</v>
      </c>
      <c r="H721" t="str">
        <f>VLOOKUP($A721, 'Medical Examinations'!A:J, 10, FALSE)</f>
        <v>No major surgery</v>
      </c>
      <c r="I721" t="str">
        <f>VLOOKUP($A721, 'Medical Examinations'!A:K, 11, FALSE)</f>
        <v>No</v>
      </c>
      <c r="J721" t="str">
        <f>VLOOKUP($A721, 'Medical Examinations'!A:B, 2, FALSE)</f>
        <v>Obesity</v>
      </c>
      <c r="K721" t="str">
        <f>VLOOKUP($A721, 'Medical Examinations'!A:D, 4, FALSE)</f>
        <v>Normal</v>
      </c>
    </row>
    <row r="722" spans="1:11" ht="15.5" x14ac:dyDescent="0.35">
      <c r="A722" s="1" t="s">
        <v>1650</v>
      </c>
      <c r="B722" t="str">
        <f>VLOOKUP($A722, 'Customer Names'!A:D, 3, FALSE)</f>
        <v>McPhillips</v>
      </c>
      <c r="C722">
        <f>VLOOKUP($A722,'Medical Examinations'!A:C, 3, FALSE)</f>
        <v>31.73</v>
      </c>
      <c r="D722" t="str">
        <f>VLOOKUP($A722, 'Medical Examinations'!A:D, 4, FALSE)</f>
        <v>Diabetes</v>
      </c>
      <c r="E722" t="str">
        <f>VLOOKUP($A722, 'Medical Examinations'!A:F, 6, FALSE)</f>
        <v>No</v>
      </c>
      <c r="F722" t="str">
        <f>VLOOKUP($A722, 'Medical Examinations'!A:G, 7, FALSE)</f>
        <v>No</v>
      </c>
      <c r="G722" t="str">
        <f>VLOOKUP($A722, 'Medical Examinations'!A:H, 8, FALSE)</f>
        <v>No</v>
      </c>
      <c r="H722" t="str">
        <f>VLOOKUP($A722, 'Medical Examinations'!A:J, 10, FALSE)</f>
        <v>No major surgery</v>
      </c>
      <c r="I722" t="str">
        <f>VLOOKUP($A722, 'Medical Examinations'!A:K, 11, FALSE)</f>
        <v>No</v>
      </c>
      <c r="J722" t="str">
        <f>VLOOKUP($A722, 'Medical Examinations'!A:B, 2, FALSE)</f>
        <v>Obesity</v>
      </c>
      <c r="K722" t="str">
        <f>VLOOKUP($A722, 'Medical Examinations'!A:D, 4, FALSE)</f>
        <v>Diabetes</v>
      </c>
    </row>
    <row r="723" spans="1:11" ht="15.5" x14ac:dyDescent="0.35">
      <c r="A723" s="1" t="s">
        <v>1649</v>
      </c>
      <c r="B723" t="str">
        <f>VLOOKUP($A723, 'Customer Names'!A:D, 3, FALSE)</f>
        <v>Burgin</v>
      </c>
      <c r="C723">
        <f>VLOOKUP($A723,'Medical Examinations'!A:C, 3, FALSE)</f>
        <v>32.1</v>
      </c>
      <c r="D723" t="str">
        <f>VLOOKUP($A723, 'Medical Examinations'!A:D, 4, FALSE)</f>
        <v>Diabetes</v>
      </c>
      <c r="E723" t="str">
        <f>VLOOKUP($A723, 'Medical Examinations'!A:F, 6, FALSE)</f>
        <v>yes</v>
      </c>
      <c r="F723" t="str">
        <f>VLOOKUP($A723, 'Medical Examinations'!A:G, 7, FALSE)</f>
        <v>No</v>
      </c>
      <c r="G723" t="str">
        <f>VLOOKUP($A723, 'Medical Examinations'!A:H, 8, FALSE)</f>
        <v>Yes</v>
      </c>
      <c r="H723">
        <f>VLOOKUP($A723, 'Medical Examinations'!A:J, 10, FALSE)</f>
        <v>1</v>
      </c>
      <c r="I723" t="str">
        <f>VLOOKUP($A723, 'Medical Examinations'!A:K, 11, FALSE)</f>
        <v>No</v>
      </c>
      <c r="J723" t="str">
        <f>VLOOKUP($A723, 'Medical Examinations'!A:B, 2, FALSE)</f>
        <v>Obesity</v>
      </c>
      <c r="K723" t="str">
        <f>VLOOKUP($A723, 'Medical Examinations'!A:D, 4, FALSE)</f>
        <v>Diabetes</v>
      </c>
    </row>
    <row r="724" spans="1:11" ht="15.5" x14ac:dyDescent="0.35">
      <c r="A724" s="1" t="s">
        <v>1648</v>
      </c>
      <c r="B724" t="str">
        <f>VLOOKUP($A724, 'Customer Names'!A:D, 3, FALSE)</f>
        <v>Roberts</v>
      </c>
      <c r="C724">
        <f>VLOOKUP($A724,'Medical Examinations'!A:C, 3, FALSE)</f>
        <v>27.83</v>
      </c>
      <c r="D724" t="str">
        <f>VLOOKUP($A724, 'Medical Examinations'!A:D, 4, FALSE)</f>
        <v>Diabetes</v>
      </c>
      <c r="E724" t="str">
        <f>VLOOKUP($A724, 'Medical Examinations'!A:F, 6, FALSE)</f>
        <v>yes</v>
      </c>
      <c r="F724" t="str">
        <f>VLOOKUP($A724, 'Medical Examinations'!A:G, 7, FALSE)</f>
        <v>No</v>
      </c>
      <c r="G724" t="str">
        <f>VLOOKUP($A724, 'Medical Examinations'!A:H, 8, FALSE)</f>
        <v>Yes</v>
      </c>
      <c r="H724">
        <f>VLOOKUP($A724, 'Medical Examinations'!A:J, 10, FALSE)</f>
        <v>1</v>
      </c>
      <c r="I724" t="str">
        <f>VLOOKUP($A724, 'Medical Examinations'!A:K, 11, FALSE)</f>
        <v>No</v>
      </c>
      <c r="J724" t="str">
        <f>VLOOKUP($A724, 'Medical Examinations'!A:B, 2, FALSE)</f>
        <v>Overweight</v>
      </c>
      <c r="K724" t="str">
        <f>VLOOKUP($A724, 'Medical Examinations'!A:D, 4, FALSE)</f>
        <v>Diabetes</v>
      </c>
    </row>
    <row r="725" spans="1:11" ht="15.5" x14ac:dyDescent="0.35">
      <c r="A725" s="1" t="s">
        <v>1647</v>
      </c>
      <c r="B725" t="str">
        <f>VLOOKUP($A725, 'Customer Names'!A:D, 3, FALSE)</f>
        <v>Nemec</v>
      </c>
      <c r="C725">
        <f>VLOOKUP($A725,'Medical Examinations'!A:C, 3, FALSE)</f>
        <v>27.72</v>
      </c>
      <c r="D725" t="str">
        <f>VLOOKUP($A725, 'Medical Examinations'!A:D, 4, FALSE)</f>
        <v>Diabetes</v>
      </c>
      <c r="E725" t="str">
        <f>VLOOKUP($A725, 'Medical Examinations'!A:F, 6, FALSE)</f>
        <v>yes</v>
      </c>
      <c r="F725" t="str">
        <f>VLOOKUP($A725, 'Medical Examinations'!A:G, 7, FALSE)</f>
        <v>No</v>
      </c>
      <c r="G725" t="str">
        <f>VLOOKUP($A725, 'Medical Examinations'!A:H, 8, FALSE)</f>
        <v>Yes</v>
      </c>
      <c r="H725">
        <f>VLOOKUP($A725, 'Medical Examinations'!A:J, 10, FALSE)</f>
        <v>1</v>
      </c>
      <c r="I725" t="str">
        <f>VLOOKUP($A725, 'Medical Examinations'!A:K, 11, FALSE)</f>
        <v>No</v>
      </c>
      <c r="J725" t="str">
        <f>VLOOKUP($A725, 'Medical Examinations'!A:B, 2, FALSE)</f>
        <v>Overweight</v>
      </c>
      <c r="K725" t="str">
        <f>VLOOKUP($A725, 'Medical Examinations'!A:D, 4, FALSE)</f>
        <v>Diabetes</v>
      </c>
    </row>
    <row r="726" spans="1:11" ht="15.5" x14ac:dyDescent="0.35">
      <c r="A726" s="1" t="s">
        <v>1646</v>
      </c>
      <c r="B726" t="str">
        <f>VLOOKUP($A726, 'Customer Names'!A:D, 3, FALSE)</f>
        <v>Appman</v>
      </c>
      <c r="C726">
        <f>VLOOKUP($A726,'Medical Examinations'!A:C, 3, FALSE)</f>
        <v>36.765000000000001</v>
      </c>
      <c r="D726" t="str">
        <f>VLOOKUP($A726, 'Medical Examinations'!A:D, 4, FALSE)</f>
        <v>Normal</v>
      </c>
      <c r="E726" t="str">
        <f>VLOOKUP($A726, 'Medical Examinations'!A:F, 6, FALSE)</f>
        <v>yes</v>
      </c>
      <c r="F726" t="str">
        <f>VLOOKUP($A726, 'Medical Examinations'!A:G, 7, FALSE)</f>
        <v>No</v>
      </c>
      <c r="G726" t="str">
        <f>VLOOKUP($A726, 'Medical Examinations'!A:H, 8, FALSE)</f>
        <v>No</v>
      </c>
      <c r="H726">
        <f>VLOOKUP($A726, 'Medical Examinations'!A:J, 10, FALSE)</f>
        <v>2</v>
      </c>
      <c r="I726" t="str">
        <f>VLOOKUP($A726, 'Medical Examinations'!A:K, 11, FALSE)</f>
        <v>No</v>
      </c>
      <c r="J726" t="str">
        <f>VLOOKUP($A726, 'Medical Examinations'!A:B, 2, FALSE)</f>
        <v>Obesity</v>
      </c>
      <c r="K726" t="str">
        <f>VLOOKUP($A726, 'Medical Examinations'!A:D, 4, FALSE)</f>
        <v>Normal</v>
      </c>
    </row>
    <row r="727" spans="1:11" ht="15.5" x14ac:dyDescent="0.35">
      <c r="A727" s="1" t="s">
        <v>1645</v>
      </c>
      <c r="B727" t="str">
        <f>VLOOKUP($A727, 'Customer Names'!A:D, 3, FALSE)</f>
        <v>Driscoll</v>
      </c>
      <c r="C727">
        <f>VLOOKUP($A727,'Medical Examinations'!A:C, 3, FALSE)</f>
        <v>48.36</v>
      </c>
      <c r="D727" t="str">
        <f>VLOOKUP($A727, 'Medical Examinations'!A:D, 4, FALSE)</f>
        <v>Normal</v>
      </c>
      <c r="E727" t="str">
        <f>VLOOKUP($A727, 'Medical Examinations'!A:F, 6, FALSE)</f>
        <v>No</v>
      </c>
      <c r="F727" t="str">
        <f>VLOOKUP($A727, 'Medical Examinations'!A:G, 7, FALSE)</f>
        <v>No</v>
      </c>
      <c r="G727" t="str">
        <f>VLOOKUP($A727, 'Medical Examinations'!A:H, 8, FALSE)</f>
        <v>No</v>
      </c>
      <c r="H727" t="str">
        <f>VLOOKUP($A727, 'Medical Examinations'!A:J, 10, FALSE)</f>
        <v>No major surgery</v>
      </c>
      <c r="I727" t="str">
        <f>VLOOKUP($A727, 'Medical Examinations'!A:K, 11, FALSE)</f>
        <v>No</v>
      </c>
      <c r="J727" t="str">
        <f>VLOOKUP($A727, 'Medical Examinations'!A:B, 2, FALSE)</f>
        <v>Obesity</v>
      </c>
      <c r="K727" t="str">
        <f>VLOOKUP($A727, 'Medical Examinations'!A:D, 4, FALSE)</f>
        <v>Normal</v>
      </c>
    </row>
    <row r="728" spans="1:11" ht="15.5" x14ac:dyDescent="0.35">
      <c r="A728" s="1" t="s">
        <v>1644</v>
      </c>
      <c r="B728" t="str">
        <f>VLOOKUP($A728, 'Customer Names'!A:D, 3, FALSE)</f>
        <v>Glotzbach</v>
      </c>
      <c r="C728">
        <f>VLOOKUP($A728,'Medical Examinations'!A:C, 3, FALSE)</f>
        <v>31.445</v>
      </c>
      <c r="D728" t="str">
        <f>VLOOKUP($A728, 'Medical Examinations'!A:D, 4, FALSE)</f>
        <v>Normal</v>
      </c>
      <c r="E728" t="str">
        <f>VLOOKUP($A728, 'Medical Examinations'!A:F, 6, FALSE)</f>
        <v>yes</v>
      </c>
      <c r="F728" t="str">
        <f>VLOOKUP($A728, 'Medical Examinations'!A:G, 7, FALSE)</f>
        <v>No</v>
      </c>
      <c r="G728" t="str">
        <f>VLOOKUP($A728, 'Medical Examinations'!A:H, 8, FALSE)</f>
        <v>No</v>
      </c>
      <c r="H728">
        <f>VLOOKUP($A728, 'Medical Examinations'!A:J, 10, FALSE)</f>
        <v>2</v>
      </c>
      <c r="I728" t="str">
        <f>VLOOKUP($A728, 'Medical Examinations'!A:K, 11, FALSE)</f>
        <v>No</v>
      </c>
      <c r="J728" t="str">
        <f>VLOOKUP($A728, 'Medical Examinations'!A:B, 2, FALSE)</f>
        <v>Obesity</v>
      </c>
      <c r="K728" t="str">
        <f>VLOOKUP($A728, 'Medical Examinations'!A:D, 4, FALSE)</f>
        <v>Normal</v>
      </c>
    </row>
    <row r="729" spans="1:11" ht="15.5" x14ac:dyDescent="0.35">
      <c r="A729" s="1" t="s">
        <v>1643</v>
      </c>
      <c r="B729" t="str">
        <f>VLOOKUP($A729, 'Customer Names'!A:D, 3, FALSE)</f>
        <v>Tenforde</v>
      </c>
      <c r="C729">
        <f>VLOOKUP($A729,'Medical Examinations'!A:C, 3, FALSE)</f>
        <v>27.55</v>
      </c>
      <c r="D729" t="str">
        <f>VLOOKUP($A729, 'Medical Examinations'!A:D, 4, FALSE)</f>
        <v>Diabetes</v>
      </c>
      <c r="E729" t="str">
        <f>VLOOKUP($A729, 'Medical Examinations'!A:F, 6, FALSE)</f>
        <v>No</v>
      </c>
      <c r="F729" t="str">
        <f>VLOOKUP($A729, 'Medical Examinations'!A:G, 7, FALSE)</f>
        <v>No</v>
      </c>
      <c r="G729" t="str">
        <f>VLOOKUP($A729, 'Medical Examinations'!A:H, 8, FALSE)</f>
        <v>No</v>
      </c>
      <c r="H729" t="str">
        <f>VLOOKUP($A729, 'Medical Examinations'!A:J, 10, FALSE)</f>
        <v>No major surgery</v>
      </c>
      <c r="I729" t="str">
        <f>VLOOKUP($A729, 'Medical Examinations'!A:K, 11, FALSE)</f>
        <v>No</v>
      </c>
      <c r="J729" t="str">
        <f>VLOOKUP($A729, 'Medical Examinations'!A:B, 2, FALSE)</f>
        <v>Overweight</v>
      </c>
      <c r="K729" t="str">
        <f>VLOOKUP($A729, 'Medical Examinations'!A:D, 4, FALSE)</f>
        <v>Diabetes</v>
      </c>
    </row>
    <row r="730" spans="1:11" ht="15.5" x14ac:dyDescent="0.35">
      <c r="A730" s="1" t="s">
        <v>1642</v>
      </c>
      <c r="B730" t="str">
        <f>VLOOKUP($A730, 'Customer Names'!A:D, 3, FALSE)</f>
        <v>Ramirez</v>
      </c>
      <c r="C730">
        <f>VLOOKUP($A730,'Medical Examinations'!A:C, 3, FALSE)</f>
        <v>33.11</v>
      </c>
      <c r="D730" t="str">
        <f>VLOOKUP($A730, 'Medical Examinations'!A:D, 4, FALSE)</f>
        <v>Diabetes</v>
      </c>
      <c r="E730" t="str">
        <f>VLOOKUP($A730, 'Medical Examinations'!A:F, 6, FALSE)</f>
        <v>No</v>
      </c>
      <c r="F730" t="str">
        <f>VLOOKUP($A730, 'Medical Examinations'!A:G, 7, FALSE)</f>
        <v>No</v>
      </c>
      <c r="G730" t="str">
        <f>VLOOKUP($A730, 'Medical Examinations'!A:H, 8, FALSE)</f>
        <v>No</v>
      </c>
      <c r="H730" t="str">
        <f>VLOOKUP($A730, 'Medical Examinations'!A:J, 10, FALSE)</f>
        <v>No major surgery</v>
      </c>
      <c r="I730" t="str">
        <f>VLOOKUP($A730, 'Medical Examinations'!A:K, 11, FALSE)</f>
        <v>No</v>
      </c>
      <c r="J730" t="str">
        <f>VLOOKUP($A730, 'Medical Examinations'!A:B, 2, FALSE)</f>
        <v>Obesity</v>
      </c>
      <c r="K730" t="str">
        <f>VLOOKUP($A730, 'Medical Examinations'!A:D, 4, FALSE)</f>
        <v>Diabetes</v>
      </c>
    </row>
    <row r="731" spans="1:11" ht="15.5" x14ac:dyDescent="0.35">
      <c r="A731" s="1" t="s">
        <v>1641</v>
      </c>
      <c r="B731" t="str">
        <f>VLOOKUP($A731, 'Customer Names'!A:D, 3, FALSE)</f>
        <v>Stanley Torres</v>
      </c>
      <c r="C731">
        <f>VLOOKUP($A731,'Medical Examinations'!A:C, 3, FALSE)</f>
        <v>36.85</v>
      </c>
      <c r="D731" t="str">
        <f>VLOOKUP($A731, 'Medical Examinations'!A:D, 4, FALSE)</f>
        <v>Prediabetes</v>
      </c>
      <c r="E731" t="str">
        <f>VLOOKUP($A731, 'Medical Examinations'!A:F, 6, FALSE)</f>
        <v>yes</v>
      </c>
      <c r="F731" t="str">
        <f>VLOOKUP($A731, 'Medical Examinations'!A:G, 7, FALSE)</f>
        <v>No</v>
      </c>
      <c r="G731" t="str">
        <f>VLOOKUP($A731, 'Medical Examinations'!A:H, 8, FALSE)</f>
        <v>No</v>
      </c>
      <c r="H731">
        <f>VLOOKUP($A731, 'Medical Examinations'!A:J, 10, FALSE)</f>
        <v>2</v>
      </c>
      <c r="I731" t="str">
        <f>VLOOKUP($A731, 'Medical Examinations'!A:K, 11, FALSE)</f>
        <v>No</v>
      </c>
      <c r="J731" t="str">
        <f>VLOOKUP($A731, 'Medical Examinations'!A:B, 2, FALSE)</f>
        <v>Obesity</v>
      </c>
      <c r="K731" t="str">
        <f>VLOOKUP($A731, 'Medical Examinations'!A:D, 4, FALSE)</f>
        <v>Prediabetes</v>
      </c>
    </row>
    <row r="732" spans="1:11" ht="15.5" x14ac:dyDescent="0.35">
      <c r="A732" s="1" t="s">
        <v>1640</v>
      </c>
      <c r="B732" t="str">
        <f>VLOOKUP($A732, 'Customer Names'!A:D, 3, FALSE)</f>
        <v>Vandongen</v>
      </c>
      <c r="C732">
        <f>VLOOKUP($A732,'Medical Examinations'!A:C, 3, FALSE)</f>
        <v>36.299999999999997</v>
      </c>
      <c r="D732" t="str">
        <f>VLOOKUP($A732, 'Medical Examinations'!A:D, 4, FALSE)</f>
        <v>Prediabetes</v>
      </c>
      <c r="E732" t="str">
        <f>VLOOKUP($A732, 'Medical Examinations'!A:F, 6, FALSE)</f>
        <v>yes</v>
      </c>
      <c r="F732" t="str">
        <f>VLOOKUP($A732, 'Medical Examinations'!A:G, 7, FALSE)</f>
        <v>No</v>
      </c>
      <c r="G732" t="str">
        <f>VLOOKUP($A732, 'Medical Examinations'!A:H, 8, FALSE)</f>
        <v>No</v>
      </c>
      <c r="H732">
        <f>VLOOKUP($A732, 'Medical Examinations'!A:J, 10, FALSE)</f>
        <v>2</v>
      </c>
      <c r="I732" t="str">
        <f>VLOOKUP($A732, 'Medical Examinations'!A:K, 11, FALSE)</f>
        <v>No</v>
      </c>
      <c r="J732" t="str">
        <f>VLOOKUP($A732, 'Medical Examinations'!A:B, 2, FALSE)</f>
        <v>Obesity</v>
      </c>
      <c r="K732" t="str">
        <f>VLOOKUP($A732, 'Medical Examinations'!A:D, 4, FALSE)</f>
        <v>Prediabetes</v>
      </c>
    </row>
    <row r="733" spans="1:11" ht="15.5" x14ac:dyDescent="0.35">
      <c r="A733" s="1" t="s">
        <v>1639</v>
      </c>
      <c r="B733" t="str">
        <f>VLOOKUP($A733, 'Customer Names'!A:D, 3, FALSE)</f>
        <v>Liebald</v>
      </c>
      <c r="C733">
        <f>VLOOKUP($A733,'Medical Examinations'!A:C, 3, FALSE)</f>
        <v>45.34</v>
      </c>
      <c r="D733" t="str">
        <f>VLOOKUP($A733, 'Medical Examinations'!A:D, 4, FALSE)</f>
        <v>Normal</v>
      </c>
      <c r="E733" t="str">
        <f>VLOOKUP($A733, 'Medical Examinations'!A:F, 6, FALSE)</f>
        <v>yes</v>
      </c>
      <c r="F733" t="str">
        <f>VLOOKUP($A733, 'Medical Examinations'!A:G, 7, FALSE)</f>
        <v>No</v>
      </c>
      <c r="G733" t="str">
        <f>VLOOKUP($A733, 'Medical Examinations'!A:H, 8, FALSE)</f>
        <v>No</v>
      </c>
      <c r="H733" t="str">
        <f>VLOOKUP($A733, 'Medical Examinations'!A:J, 10, FALSE)</f>
        <v>No major surgery</v>
      </c>
      <c r="I733" t="str">
        <f>VLOOKUP($A733, 'Medical Examinations'!A:K, 11, FALSE)</f>
        <v>No</v>
      </c>
      <c r="J733" t="str">
        <f>VLOOKUP($A733, 'Medical Examinations'!A:B, 2, FALSE)</f>
        <v>Obesity</v>
      </c>
      <c r="K733" t="str">
        <f>VLOOKUP($A733, 'Medical Examinations'!A:D, 4, FALSE)</f>
        <v>Normal</v>
      </c>
    </row>
    <row r="734" spans="1:11" ht="15.5" x14ac:dyDescent="0.35">
      <c r="A734" s="1" t="s">
        <v>1638</v>
      </c>
      <c r="B734" t="str">
        <f>VLOOKUP($A734, 'Customer Names'!A:D, 3, FALSE)</f>
        <v>Holte</v>
      </c>
      <c r="C734">
        <f>VLOOKUP($A734,'Medical Examinations'!A:C, 3, FALSE)</f>
        <v>31.8</v>
      </c>
      <c r="D734" t="str">
        <f>VLOOKUP($A734, 'Medical Examinations'!A:D, 4, FALSE)</f>
        <v>Normal</v>
      </c>
      <c r="E734" t="str">
        <f>VLOOKUP($A734, 'Medical Examinations'!A:F, 6, FALSE)</f>
        <v>yes</v>
      </c>
      <c r="F734" t="str">
        <f>VLOOKUP($A734, 'Medical Examinations'!A:G, 7, FALSE)</f>
        <v>No</v>
      </c>
      <c r="G734" t="str">
        <f>VLOOKUP($A734, 'Medical Examinations'!A:H, 8, FALSE)</f>
        <v>No</v>
      </c>
      <c r="H734">
        <f>VLOOKUP($A734, 'Medical Examinations'!A:J, 10, FALSE)</f>
        <v>2</v>
      </c>
      <c r="I734" t="str">
        <f>VLOOKUP($A734, 'Medical Examinations'!A:K, 11, FALSE)</f>
        <v>No</v>
      </c>
      <c r="J734" t="str">
        <f>VLOOKUP($A734, 'Medical Examinations'!A:B, 2, FALSE)</f>
        <v>Obesity</v>
      </c>
      <c r="K734" t="str">
        <f>VLOOKUP($A734, 'Medical Examinations'!A:D, 4, FALSE)</f>
        <v>Normal</v>
      </c>
    </row>
    <row r="735" spans="1:11" ht="15.5" x14ac:dyDescent="0.35">
      <c r="A735" s="1" t="s">
        <v>1637</v>
      </c>
      <c r="B735" t="str">
        <f>VLOOKUP($A735, 'Customer Names'!A:D, 3, FALSE)</f>
        <v>Johnson</v>
      </c>
      <c r="C735">
        <f>VLOOKUP($A735,'Medical Examinations'!A:C, 3, FALSE)</f>
        <v>41.02</v>
      </c>
      <c r="D735" t="str">
        <f>VLOOKUP($A735, 'Medical Examinations'!A:D, 4, FALSE)</f>
        <v>Diabetes</v>
      </c>
      <c r="E735" t="str">
        <f>VLOOKUP($A735, 'Medical Examinations'!A:F, 6, FALSE)</f>
        <v>No</v>
      </c>
      <c r="F735" t="str">
        <f>VLOOKUP($A735, 'Medical Examinations'!A:G, 7, FALSE)</f>
        <v>No</v>
      </c>
      <c r="G735" t="str">
        <f>VLOOKUP($A735, 'Medical Examinations'!A:H, 8, FALSE)</f>
        <v>No</v>
      </c>
      <c r="H735" t="str">
        <f>VLOOKUP($A735, 'Medical Examinations'!A:J, 10, FALSE)</f>
        <v>No major surgery</v>
      </c>
      <c r="I735" t="str">
        <f>VLOOKUP($A735, 'Medical Examinations'!A:K, 11, FALSE)</f>
        <v>No</v>
      </c>
      <c r="J735" t="str">
        <f>VLOOKUP($A735, 'Medical Examinations'!A:B, 2, FALSE)</f>
        <v>Obesity</v>
      </c>
      <c r="K735" t="str">
        <f>VLOOKUP($A735, 'Medical Examinations'!A:D, 4, FALSE)</f>
        <v>Diabetes</v>
      </c>
    </row>
    <row r="736" spans="1:11" ht="15.5" x14ac:dyDescent="0.35">
      <c r="A736" s="1" t="s">
        <v>1636</v>
      </c>
      <c r="B736" t="str">
        <f>VLOOKUP($A736, 'Customer Names'!A:D, 3, FALSE)</f>
        <v>Bartlett</v>
      </c>
      <c r="C736">
        <f>VLOOKUP($A736,'Medical Examinations'!A:C, 3, FALSE)</f>
        <v>32.68</v>
      </c>
      <c r="D736" t="str">
        <f>VLOOKUP($A736, 'Medical Examinations'!A:D, 4, FALSE)</f>
        <v>Diabetes</v>
      </c>
      <c r="E736" t="str">
        <f>VLOOKUP($A736, 'Medical Examinations'!A:F, 6, FALSE)</f>
        <v>No</v>
      </c>
      <c r="F736" t="str">
        <f>VLOOKUP($A736, 'Medical Examinations'!A:G, 7, FALSE)</f>
        <v>No</v>
      </c>
      <c r="G736" t="str">
        <f>VLOOKUP($A736, 'Medical Examinations'!A:H, 8, FALSE)</f>
        <v>No</v>
      </c>
      <c r="H736" t="str">
        <f>VLOOKUP($A736, 'Medical Examinations'!A:J, 10, FALSE)</f>
        <v>No major surgery</v>
      </c>
      <c r="I736" t="str">
        <f>VLOOKUP($A736, 'Medical Examinations'!A:K, 11, FALSE)</f>
        <v>No</v>
      </c>
      <c r="J736" t="str">
        <f>VLOOKUP($A736, 'Medical Examinations'!A:B, 2, FALSE)</f>
        <v>Obesity</v>
      </c>
      <c r="K736" t="str">
        <f>VLOOKUP($A736, 'Medical Examinations'!A:D, 4, FALSE)</f>
        <v>Diabetes</v>
      </c>
    </row>
    <row r="737" spans="1:11" ht="15.5" x14ac:dyDescent="0.35">
      <c r="A737" s="1" t="s">
        <v>1635</v>
      </c>
      <c r="B737" t="str">
        <f>VLOOKUP($A737, 'Customer Names'!A:D, 3, FALSE)</f>
        <v>Bergman</v>
      </c>
      <c r="C737">
        <f>VLOOKUP($A737,'Medical Examinations'!A:C, 3, FALSE)</f>
        <v>21.7</v>
      </c>
      <c r="D737" t="str">
        <f>VLOOKUP($A737, 'Medical Examinations'!A:D, 4, FALSE)</f>
        <v>Normal</v>
      </c>
      <c r="E737" t="str">
        <f>VLOOKUP($A737, 'Medical Examinations'!A:F, 6, FALSE)</f>
        <v>No</v>
      </c>
      <c r="F737" t="str">
        <f>VLOOKUP($A737, 'Medical Examinations'!A:G, 7, FALSE)</f>
        <v>No</v>
      </c>
      <c r="G737" t="str">
        <f>VLOOKUP($A737, 'Medical Examinations'!A:H, 8, FALSE)</f>
        <v>Yes</v>
      </c>
      <c r="H737">
        <f>VLOOKUP($A737, 'Medical Examinations'!A:J, 10, FALSE)</f>
        <v>1</v>
      </c>
      <c r="I737" t="str">
        <f>VLOOKUP($A737, 'Medical Examinations'!A:K, 11, FALSE)</f>
        <v>yes</v>
      </c>
      <c r="J737" t="str">
        <f>VLOOKUP($A737, 'Medical Examinations'!A:B, 2, FALSE)</f>
        <v>Normal Weight</v>
      </c>
      <c r="K737" t="str">
        <f>VLOOKUP($A737, 'Medical Examinations'!A:D, 4, FALSE)</f>
        <v>Normal</v>
      </c>
    </row>
    <row r="738" spans="1:11" ht="15.5" x14ac:dyDescent="0.35">
      <c r="A738" s="1" t="s">
        <v>1634</v>
      </c>
      <c r="B738" t="str">
        <f>VLOOKUP($A738, 'Customer Names'!A:D, 3, FALSE)</f>
        <v>Aitken</v>
      </c>
      <c r="C738">
        <f>VLOOKUP($A738,'Medical Examinations'!A:C, 3, FALSE)</f>
        <v>40.479999999999997</v>
      </c>
      <c r="D738" t="str">
        <f>VLOOKUP($A738, 'Medical Examinations'!A:D, 4, FALSE)</f>
        <v>Diabetes</v>
      </c>
      <c r="E738" t="str">
        <f>VLOOKUP($A738, 'Medical Examinations'!A:F, 6, FALSE)</f>
        <v>No</v>
      </c>
      <c r="F738" t="str">
        <f>VLOOKUP($A738, 'Medical Examinations'!A:G, 7, FALSE)</f>
        <v>No</v>
      </c>
      <c r="G738" t="str">
        <f>VLOOKUP($A738, 'Medical Examinations'!A:H, 8, FALSE)</f>
        <v>No</v>
      </c>
      <c r="H738">
        <f>VLOOKUP($A738, 'Medical Examinations'!A:J, 10, FALSE)</f>
        <v>3</v>
      </c>
      <c r="I738" t="str">
        <f>VLOOKUP($A738, 'Medical Examinations'!A:K, 11, FALSE)</f>
        <v>No</v>
      </c>
      <c r="J738" t="str">
        <f>VLOOKUP($A738, 'Medical Examinations'!A:B, 2, FALSE)</f>
        <v>Obesity</v>
      </c>
      <c r="K738" t="str">
        <f>VLOOKUP($A738, 'Medical Examinations'!A:D, 4, FALSE)</f>
        <v>Diabetes</v>
      </c>
    </row>
    <row r="739" spans="1:11" ht="15.5" x14ac:dyDescent="0.35">
      <c r="A739" s="1" t="s">
        <v>1633</v>
      </c>
      <c r="B739" t="str">
        <f>VLOOKUP($A739, 'Customer Names'!A:D, 3, FALSE)</f>
        <v>Berger</v>
      </c>
      <c r="C739">
        <f>VLOOKUP($A739,'Medical Examinations'!A:C, 3, FALSE)</f>
        <v>34.5</v>
      </c>
      <c r="D739" t="str">
        <f>VLOOKUP($A739, 'Medical Examinations'!A:D, 4, FALSE)</f>
        <v>Diabetes</v>
      </c>
      <c r="E739" t="str">
        <f>VLOOKUP($A739, 'Medical Examinations'!A:F, 6, FALSE)</f>
        <v>No</v>
      </c>
      <c r="F739" t="str">
        <f>VLOOKUP($A739, 'Medical Examinations'!A:G, 7, FALSE)</f>
        <v>No</v>
      </c>
      <c r="G739" t="str">
        <f>VLOOKUP($A739, 'Medical Examinations'!A:H, 8, FALSE)</f>
        <v>No</v>
      </c>
      <c r="H739">
        <f>VLOOKUP($A739, 'Medical Examinations'!A:J, 10, FALSE)</f>
        <v>3</v>
      </c>
      <c r="I739" t="str">
        <f>VLOOKUP($A739, 'Medical Examinations'!A:K, 11, FALSE)</f>
        <v>No</v>
      </c>
      <c r="J739" t="str">
        <f>VLOOKUP($A739, 'Medical Examinations'!A:B, 2, FALSE)</f>
        <v>Obesity</v>
      </c>
      <c r="K739" t="str">
        <f>VLOOKUP($A739, 'Medical Examinations'!A:D, 4, FALSE)</f>
        <v>Diabetes</v>
      </c>
    </row>
    <row r="740" spans="1:11" ht="15.5" x14ac:dyDescent="0.35">
      <c r="A740" s="1" t="s">
        <v>1632</v>
      </c>
      <c r="B740" t="str">
        <f>VLOOKUP($A740, 'Customer Names'!A:D, 3, FALSE)</f>
        <v>Richey</v>
      </c>
      <c r="C740">
        <f>VLOOKUP($A740,'Medical Examinations'!A:C, 3, FALSE)</f>
        <v>45.9</v>
      </c>
      <c r="D740" t="str">
        <f>VLOOKUP($A740, 'Medical Examinations'!A:D, 4, FALSE)</f>
        <v>Diabetes</v>
      </c>
      <c r="E740" t="str">
        <f>VLOOKUP($A740, 'Medical Examinations'!A:F, 6, FALSE)</f>
        <v>yes</v>
      </c>
      <c r="F740" t="str">
        <f>VLOOKUP($A740, 'Medical Examinations'!A:G, 7, FALSE)</f>
        <v>No</v>
      </c>
      <c r="G740" t="str">
        <f>VLOOKUP($A740, 'Medical Examinations'!A:H, 8, FALSE)</f>
        <v>No</v>
      </c>
      <c r="H740">
        <f>VLOOKUP($A740, 'Medical Examinations'!A:J, 10, FALSE)</f>
        <v>1</v>
      </c>
      <c r="I740" t="str">
        <f>VLOOKUP($A740, 'Medical Examinations'!A:K, 11, FALSE)</f>
        <v>No</v>
      </c>
      <c r="J740" t="str">
        <f>VLOOKUP($A740, 'Medical Examinations'!A:B, 2, FALSE)</f>
        <v>Obesity</v>
      </c>
      <c r="K740" t="str">
        <f>VLOOKUP($A740, 'Medical Examinations'!A:D, 4, FALSE)</f>
        <v>Diabetes</v>
      </c>
    </row>
    <row r="741" spans="1:11" ht="15.5" x14ac:dyDescent="0.35">
      <c r="A741" s="1" t="s">
        <v>1631</v>
      </c>
      <c r="B741" t="str">
        <f>VLOOKUP($A741, 'Customer Names'!A:D, 3, FALSE)</f>
        <v>Trotter</v>
      </c>
      <c r="C741">
        <f>VLOOKUP($A741,'Medical Examinations'!A:C, 3, FALSE)</f>
        <v>33.479999999999997</v>
      </c>
      <c r="D741" t="str">
        <f>VLOOKUP($A741, 'Medical Examinations'!A:D, 4, FALSE)</f>
        <v>Normal</v>
      </c>
      <c r="E741" t="str">
        <f>VLOOKUP($A741, 'Medical Examinations'!A:F, 6, FALSE)</f>
        <v>yes</v>
      </c>
      <c r="F741" t="str">
        <f>VLOOKUP($A741, 'Medical Examinations'!A:G, 7, FALSE)</f>
        <v>No</v>
      </c>
      <c r="G741" t="str">
        <f>VLOOKUP($A741, 'Medical Examinations'!A:H, 8, FALSE)</f>
        <v>No</v>
      </c>
      <c r="H741">
        <f>VLOOKUP($A741, 'Medical Examinations'!A:J, 10, FALSE)</f>
        <v>2</v>
      </c>
      <c r="I741" t="str">
        <f>VLOOKUP($A741, 'Medical Examinations'!A:K, 11, FALSE)</f>
        <v>No</v>
      </c>
      <c r="J741" t="str">
        <f>VLOOKUP($A741, 'Medical Examinations'!A:B, 2, FALSE)</f>
        <v>Obesity</v>
      </c>
      <c r="K741" t="str">
        <f>VLOOKUP($A741, 'Medical Examinations'!A:D, 4, FALSE)</f>
        <v>Normal</v>
      </c>
    </row>
    <row r="742" spans="1:11" ht="15.5" x14ac:dyDescent="0.35">
      <c r="A742" s="1" t="s">
        <v>1630</v>
      </c>
      <c r="B742" t="str">
        <f>VLOOKUP($A742, 'Customer Names'!A:D, 3, FALSE)</f>
        <v>Chavez</v>
      </c>
      <c r="C742">
        <f>VLOOKUP($A742,'Medical Examinations'!A:C, 3, FALSE)</f>
        <v>28.31</v>
      </c>
      <c r="D742" t="str">
        <f>VLOOKUP($A742, 'Medical Examinations'!A:D, 4, FALSE)</f>
        <v>Prediabetes</v>
      </c>
      <c r="E742" t="str">
        <f>VLOOKUP($A742, 'Medical Examinations'!A:F, 6, FALSE)</f>
        <v>yes</v>
      </c>
      <c r="F742" t="str">
        <f>VLOOKUP($A742, 'Medical Examinations'!A:G, 7, FALSE)</f>
        <v>No</v>
      </c>
      <c r="G742" t="str">
        <f>VLOOKUP($A742, 'Medical Examinations'!A:H, 8, FALSE)</f>
        <v>No</v>
      </c>
      <c r="H742">
        <f>VLOOKUP($A742, 'Medical Examinations'!A:J, 10, FALSE)</f>
        <v>2</v>
      </c>
      <c r="I742" t="str">
        <f>VLOOKUP($A742, 'Medical Examinations'!A:K, 11, FALSE)</f>
        <v>No</v>
      </c>
      <c r="J742" t="str">
        <f>VLOOKUP($A742, 'Medical Examinations'!A:B, 2, FALSE)</f>
        <v>Overweight</v>
      </c>
      <c r="K742" t="str">
        <f>VLOOKUP($A742, 'Medical Examinations'!A:D, 4, FALSE)</f>
        <v>Prediabetes</v>
      </c>
    </row>
    <row r="743" spans="1:11" ht="15.5" x14ac:dyDescent="0.35">
      <c r="A743" s="1" t="s">
        <v>1629</v>
      </c>
      <c r="B743" t="str">
        <f>VLOOKUP($A743, 'Customer Names'!A:D, 3, FALSE)</f>
        <v>Orifice</v>
      </c>
      <c r="C743">
        <f>VLOOKUP($A743,'Medical Examinations'!A:C, 3, FALSE)</f>
        <v>21.565000000000001</v>
      </c>
      <c r="D743" t="str">
        <f>VLOOKUP($A743, 'Medical Examinations'!A:D, 4, FALSE)</f>
        <v>Normal</v>
      </c>
      <c r="E743" t="str">
        <f>VLOOKUP($A743, 'Medical Examinations'!A:F, 6, FALSE)</f>
        <v>No</v>
      </c>
      <c r="F743" t="str">
        <f>VLOOKUP($A743, 'Medical Examinations'!A:G, 7, FALSE)</f>
        <v>yes</v>
      </c>
      <c r="G743" t="str">
        <f>VLOOKUP($A743, 'Medical Examinations'!A:H, 8, FALSE)</f>
        <v>No</v>
      </c>
      <c r="H743">
        <f>VLOOKUP($A743, 'Medical Examinations'!A:J, 10, FALSE)</f>
        <v>1</v>
      </c>
      <c r="I743" t="str">
        <f>VLOOKUP($A743, 'Medical Examinations'!A:K, 11, FALSE)</f>
        <v>yes</v>
      </c>
      <c r="J743" t="str">
        <f>VLOOKUP($A743, 'Medical Examinations'!A:B, 2, FALSE)</f>
        <v>Normal Weight</v>
      </c>
      <c r="K743" t="str">
        <f>VLOOKUP($A743, 'Medical Examinations'!A:D, 4, FALSE)</f>
        <v>Normal</v>
      </c>
    </row>
    <row r="744" spans="1:11" ht="15.5" x14ac:dyDescent="0.35">
      <c r="A744" s="1" t="s">
        <v>1628</v>
      </c>
      <c r="B744" t="str">
        <f>VLOOKUP($A744, 'Customer Names'!A:D, 3, FALSE)</f>
        <v>Farkash</v>
      </c>
      <c r="C744">
        <f>VLOOKUP($A744,'Medical Examinations'!A:C, 3, FALSE)</f>
        <v>35.590000000000003</v>
      </c>
      <c r="D744" t="str">
        <f>VLOOKUP($A744, 'Medical Examinations'!A:D, 4, FALSE)</f>
        <v>Normal</v>
      </c>
      <c r="E744" t="str">
        <f>VLOOKUP($A744, 'Medical Examinations'!A:F, 6, FALSE)</f>
        <v>yes</v>
      </c>
      <c r="F744" t="str">
        <f>VLOOKUP($A744, 'Medical Examinations'!A:G, 7, FALSE)</f>
        <v>No</v>
      </c>
      <c r="G744" t="str">
        <f>VLOOKUP($A744, 'Medical Examinations'!A:H, 8, FALSE)</f>
        <v>Yes</v>
      </c>
      <c r="H744">
        <f>VLOOKUP($A744, 'Medical Examinations'!A:J, 10, FALSE)</f>
        <v>1</v>
      </c>
      <c r="I744" t="str">
        <f>VLOOKUP($A744, 'Medical Examinations'!A:K, 11, FALSE)</f>
        <v>No</v>
      </c>
      <c r="J744" t="str">
        <f>VLOOKUP($A744, 'Medical Examinations'!A:B, 2, FALSE)</f>
        <v>Obesity</v>
      </c>
      <c r="K744" t="str">
        <f>VLOOKUP($A744, 'Medical Examinations'!A:D, 4, FALSE)</f>
        <v>Normal</v>
      </c>
    </row>
    <row r="745" spans="1:11" ht="15.5" x14ac:dyDescent="0.35">
      <c r="A745" s="1" t="s">
        <v>1627</v>
      </c>
      <c r="B745" t="str">
        <f>VLOOKUP($A745, 'Customer Names'!A:D, 3, FALSE)</f>
        <v>Hribar</v>
      </c>
      <c r="C745">
        <f>VLOOKUP($A745,'Medical Examinations'!A:C, 3, FALSE)</f>
        <v>43.44</v>
      </c>
      <c r="D745" t="str">
        <f>VLOOKUP($A745, 'Medical Examinations'!A:D, 4, FALSE)</f>
        <v>Normal</v>
      </c>
      <c r="E745" t="str">
        <f>VLOOKUP($A745, 'Medical Examinations'!A:F, 6, FALSE)</f>
        <v>yes</v>
      </c>
      <c r="F745" t="str">
        <f>VLOOKUP($A745, 'Medical Examinations'!A:G, 7, FALSE)</f>
        <v>No</v>
      </c>
      <c r="G745" t="str">
        <f>VLOOKUP($A745, 'Medical Examinations'!A:H, 8, FALSE)</f>
        <v>No</v>
      </c>
      <c r="H745" t="str">
        <f>VLOOKUP($A745, 'Medical Examinations'!A:J, 10, FALSE)</f>
        <v>No major surgery</v>
      </c>
      <c r="I745" t="str">
        <f>VLOOKUP($A745, 'Medical Examinations'!A:K, 11, FALSE)</f>
        <v>No</v>
      </c>
      <c r="J745" t="str">
        <f>VLOOKUP($A745, 'Medical Examinations'!A:B, 2, FALSE)</f>
        <v>Obesity</v>
      </c>
      <c r="K745" t="str">
        <f>VLOOKUP($A745, 'Medical Examinations'!A:D, 4, FALSE)</f>
        <v>Normal</v>
      </c>
    </row>
    <row r="746" spans="1:11" ht="15.5" x14ac:dyDescent="0.35">
      <c r="A746" s="1" t="s">
        <v>1626</v>
      </c>
      <c r="B746" t="str">
        <f>VLOOKUP($A746, 'Customer Names'!A:D, 3, FALSE)</f>
        <v>Crawford</v>
      </c>
      <c r="C746">
        <f>VLOOKUP($A746,'Medical Examinations'!A:C, 3, FALSE)</f>
        <v>21.754999999999999</v>
      </c>
      <c r="D746" t="str">
        <f>VLOOKUP($A746, 'Medical Examinations'!A:D, 4, FALSE)</f>
        <v>Diabetes</v>
      </c>
      <c r="E746" t="str">
        <f>VLOOKUP($A746, 'Medical Examinations'!A:F, 6, FALSE)</f>
        <v>yes</v>
      </c>
      <c r="F746" t="str">
        <f>VLOOKUP($A746, 'Medical Examinations'!A:G, 7, FALSE)</f>
        <v>No</v>
      </c>
      <c r="G746" t="str">
        <f>VLOOKUP($A746, 'Medical Examinations'!A:H, 8, FALSE)</f>
        <v>No</v>
      </c>
      <c r="H746" t="str">
        <f>VLOOKUP($A746, 'Medical Examinations'!A:J, 10, FALSE)</f>
        <v>No major surgery</v>
      </c>
      <c r="I746" t="str">
        <f>VLOOKUP($A746, 'Medical Examinations'!A:K, 11, FALSE)</f>
        <v>No</v>
      </c>
      <c r="J746" t="str">
        <f>VLOOKUP($A746, 'Medical Examinations'!A:B, 2, FALSE)</f>
        <v>Normal Weight</v>
      </c>
      <c r="K746" t="str">
        <f>VLOOKUP($A746, 'Medical Examinations'!A:D, 4, FALSE)</f>
        <v>Diabetes</v>
      </c>
    </row>
    <row r="747" spans="1:11" ht="15.5" x14ac:dyDescent="0.35">
      <c r="A747" s="1" t="s">
        <v>1625</v>
      </c>
      <c r="B747" t="str">
        <f>VLOOKUP($A747, 'Customer Names'!A:D, 3, FALSE)</f>
        <v>Sittlington</v>
      </c>
      <c r="C747">
        <f>VLOOKUP($A747,'Medical Examinations'!A:C, 3, FALSE)</f>
        <v>44.55</v>
      </c>
      <c r="D747" t="str">
        <f>VLOOKUP($A747, 'Medical Examinations'!A:D, 4, FALSE)</f>
        <v>Diabetes</v>
      </c>
      <c r="E747" t="str">
        <f>VLOOKUP($A747, 'Medical Examinations'!A:F, 6, FALSE)</f>
        <v>yes</v>
      </c>
      <c r="F747" t="str">
        <f>VLOOKUP($A747, 'Medical Examinations'!A:G, 7, FALSE)</f>
        <v>No</v>
      </c>
      <c r="G747" t="str">
        <f>VLOOKUP($A747, 'Medical Examinations'!A:H, 8, FALSE)</f>
        <v>No</v>
      </c>
      <c r="H747">
        <f>VLOOKUP($A747, 'Medical Examinations'!A:J, 10, FALSE)</f>
        <v>1</v>
      </c>
      <c r="I747" t="str">
        <f>VLOOKUP($A747, 'Medical Examinations'!A:K, 11, FALSE)</f>
        <v>No</v>
      </c>
      <c r="J747" t="str">
        <f>VLOOKUP($A747, 'Medical Examinations'!A:B, 2, FALSE)</f>
        <v>Obesity</v>
      </c>
      <c r="K747" t="str">
        <f>VLOOKUP($A747, 'Medical Examinations'!A:D, 4, FALSE)</f>
        <v>Diabetes</v>
      </c>
    </row>
    <row r="748" spans="1:11" ht="15.5" x14ac:dyDescent="0.35">
      <c r="A748" s="1" t="s">
        <v>1624</v>
      </c>
      <c r="B748" t="str">
        <f>VLOOKUP($A748, 'Customer Names'!A:D, 3, FALSE)</f>
        <v>Silbert</v>
      </c>
      <c r="C748">
        <f>VLOOKUP($A748,'Medical Examinations'!A:C, 3, FALSE)</f>
        <v>43.32</v>
      </c>
      <c r="D748" t="str">
        <f>VLOOKUP($A748, 'Medical Examinations'!A:D, 4, FALSE)</f>
        <v>Normal</v>
      </c>
      <c r="E748" t="str">
        <f>VLOOKUP($A748, 'Medical Examinations'!A:F, 6, FALSE)</f>
        <v>yes</v>
      </c>
      <c r="F748" t="str">
        <f>VLOOKUP($A748, 'Medical Examinations'!A:G, 7, FALSE)</f>
        <v>No</v>
      </c>
      <c r="G748" t="str">
        <f>VLOOKUP($A748, 'Medical Examinations'!A:H, 8, FALSE)</f>
        <v>No</v>
      </c>
      <c r="H748" t="str">
        <f>VLOOKUP($A748, 'Medical Examinations'!A:J, 10, FALSE)</f>
        <v>No major surgery</v>
      </c>
      <c r="I748" t="str">
        <f>VLOOKUP($A748, 'Medical Examinations'!A:K, 11, FALSE)</f>
        <v>No</v>
      </c>
      <c r="J748" t="str">
        <f>VLOOKUP($A748, 'Medical Examinations'!A:B, 2, FALSE)</f>
        <v>Obesity</v>
      </c>
      <c r="K748" t="str">
        <f>VLOOKUP($A748, 'Medical Examinations'!A:D, 4, FALSE)</f>
        <v>Normal</v>
      </c>
    </row>
    <row r="749" spans="1:11" ht="15.5" x14ac:dyDescent="0.35">
      <c r="A749" s="1" t="s">
        <v>1623</v>
      </c>
      <c r="B749" t="str">
        <f>VLOOKUP($A749, 'Customer Names'!A:D, 3, FALSE)</f>
        <v>Carrique</v>
      </c>
      <c r="C749">
        <f>VLOOKUP($A749,'Medical Examinations'!A:C, 3, FALSE)</f>
        <v>31.23</v>
      </c>
      <c r="D749" t="str">
        <f>VLOOKUP($A749, 'Medical Examinations'!A:D, 4, FALSE)</f>
        <v>Diabetes</v>
      </c>
      <c r="E749" t="str">
        <f>VLOOKUP($A749, 'Medical Examinations'!A:F, 6, FALSE)</f>
        <v>yes</v>
      </c>
      <c r="F749" t="str">
        <f>VLOOKUP($A749, 'Medical Examinations'!A:G, 7, FALSE)</f>
        <v>No</v>
      </c>
      <c r="G749" t="str">
        <f>VLOOKUP($A749, 'Medical Examinations'!A:H, 8, FALSE)</f>
        <v>Yes</v>
      </c>
      <c r="H749">
        <f>VLOOKUP($A749, 'Medical Examinations'!A:J, 10, FALSE)</f>
        <v>1</v>
      </c>
      <c r="I749" t="str">
        <f>VLOOKUP($A749, 'Medical Examinations'!A:K, 11, FALSE)</f>
        <v>No</v>
      </c>
      <c r="J749" t="str">
        <f>VLOOKUP($A749, 'Medical Examinations'!A:B, 2, FALSE)</f>
        <v>Obesity</v>
      </c>
      <c r="K749" t="str">
        <f>VLOOKUP($A749, 'Medical Examinations'!A:D, 4, FALSE)</f>
        <v>Diabetes</v>
      </c>
    </row>
    <row r="750" spans="1:11" ht="15.5" x14ac:dyDescent="0.35">
      <c r="A750" s="1" t="s">
        <v>1622</v>
      </c>
      <c r="B750" t="str">
        <f>VLOOKUP($A750, 'Customer Names'!A:D, 3, FALSE)</f>
        <v>Kosla</v>
      </c>
      <c r="C750">
        <f>VLOOKUP($A750,'Medical Examinations'!A:C, 3, FALSE)</f>
        <v>42.81</v>
      </c>
      <c r="D750" t="str">
        <f>VLOOKUP($A750, 'Medical Examinations'!A:D, 4, FALSE)</f>
        <v>Normal</v>
      </c>
      <c r="E750" t="str">
        <f>VLOOKUP($A750, 'Medical Examinations'!A:F, 6, FALSE)</f>
        <v>No</v>
      </c>
      <c r="F750" t="str">
        <f>VLOOKUP($A750, 'Medical Examinations'!A:G, 7, FALSE)</f>
        <v>No</v>
      </c>
      <c r="G750" t="str">
        <f>VLOOKUP($A750, 'Medical Examinations'!A:H, 8, FALSE)</f>
        <v>No</v>
      </c>
      <c r="H750">
        <f>VLOOKUP($A750, 'Medical Examinations'!A:J, 10, FALSE)</f>
        <v>1</v>
      </c>
      <c r="I750" t="str">
        <f>VLOOKUP($A750, 'Medical Examinations'!A:K, 11, FALSE)</f>
        <v>No</v>
      </c>
      <c r="J750" t="str">
        <f>VLOOKUP($A750, 'Medical Examinations'!A:B, 2, FALSE)</f>
        <v>Obesity</v>
      </c>
      <c r="K750" t="str">
        <f>VLOOKUP($A750, 'Medical Examinations'!A:D, 4, FALSE)</f>
        <v>Normal</v>
      </c>
    </row>
    <row r="751" spans="1:11" ht="15.5" x14ac:dyDescent="0.35">
      <c r="A751" s="1" t="s">
        <v>1621</v>
      </c>
      <c r="B751" t="str">
        <f>VLOOKUP($A751, 'Customer Names'!A:D, 3, FALSE)</f>
        <v>Parker</v>
      </c>
      <c r="C751">
        <f>VLOOKUP($A751,'Medical Examinations'!A:C, 3, FALSE)</f>
        <v>35.909999999999997</v>
      </c>
      <c r="D751" t="str">
        <f>VLOOKUP($A751, 'Medical Examinations'!A:D, 4, FALSE)</f>
        <v>Diabetes</v>
      </c>
      <c r="E751" t="str">
        <f>VLOOKUP($A751, 'Medical Examinations'!A:F, 6, FALSE)</f>
        <v>yes</v>
      </c>
      <c r="F751" t="str">
        <f>VLOOKUP($A751, 'Medical Examinations'!A:G, 7, FALSE)</f>
        <v>No</v>
      </c>
      <c r="G751" t="str">
        <f>VLOOKUP($A751, 'Medical Examinations'!A:H, 8, FALSE)</f>
        <v>No</v>
      </c>
      <c r="H751">
        <f>VLOOKUP($A751, 'Medical Examinations'!A:J, 10, FALSE)</f>
        <v>2</v>
      </c>
      <c r="I751" t="str">
        <f>VLOOKUP($A751, 'Medical Examinations'!A:K, 11, FALSE)</f>
        <v>No</v>
      </c>
      <c r="J751" t="str">
        <f>VLOOKUP($A751, 'Medical Examinations'!A:B, 2, FALSE)</f>
        <v>Obesity</v>
      </c>
      <c r="K751" t="str">
        <f>VLOOKUP($A751, 'Medical Examinations'!A:D, 4, FALSE)</f>
        <v>Diabetes</v>
      </c>
    </row>
    <row r="752" spans="1:11" ht="15.5" x14ac:dyDescent="0.35">
      <c r="A752" s="1" t="s">
        <v>1620</v>
      </c>
      <c r="B752" t="str">
        <f>VLOOKUP($A752, 'Customer Names'!A:D, 3, FALSE)</f>
        <v>Horton</v>
      </c>
      <c r="C752">
        <f>VLOOKUP($A752,'Medical Examinations'!A:C, 3, FALSE)</f>
        <v>36.65</v>
      </c>
      <c r="D752" t="str">
        <f>VLOOKUP($A752, 'Medical Examinations'!A:D, 4, FALSE)</f>
        <v>Normal</v>
      </c>
      <c r="E752" t="str">
        <f>VLOOKUP($A752, 'Medical Examinations'!A:F, 6, FALSE)</f>
        <v>yes</v>
      </c>
      <c r="F752" t="str">
        <f>VLOOKUP($A752, 'Medical Examinations'!A:G, 7, FALSE)</f>
        <v>No</v>
      </c>
      <c r="G752" t="str">
        <f>VLOOKUP($A752, 'Medical Examinations'!A:H, 8, FALSE)</f>
        <v>Yes</v>
      </c>
      <c r="H752">
        <f>VLOOKUP($A752, 'Medical Examinations'!A:J, 10, FALSE)</f>
        <v>1</v>
      </c>
      <c r="I752" t="str">
        <f>VLOOKUP($A752, 'Medical Examinations'!A:K, 11, FALSE)</f>
        <v>No</v>
      </c>
      <c r="J752" t="str">
        <f>VLOOKUP($A752, 'Medical Examinations'!A:B, 2, FALSE)</f>
        <v>Obesity</v>
      </c>
      <c r="K752" t="str">
        <f>VLOOKUP($A752, 'Medical Examinations'!A:D, 4, FALSE)</f>
        <v>Normal</v>
      </c>
    </row>
    <row r="753" spans="1:11" ht="15.5" x14ac:dyDescent="0.35">
      <c r="A753" s="1" t="s">
        <v>1619</v>
      </c>
      <c r="B753" t="str">
        <f>VLOOKUP($A753, 'Customer Names'!A:D, 3, FALSE)</f>
        <v>Boller</v>
      </c>
      <c r="C753">
        <f>VLOOKUP($A753,'Medical Examinations'!A:C, 3, FALSE)</f>
        <v>22.04</v>
      </c>
      <c r="D753" t="str">
        <f>VLOOKUP($A753, 'Medical Examinations'!A:D, 4, FALSE)</f>
        <v>Diabetes</v>
      </c>
      <c r="E753" t="str">
        <f>VLOOKUP($A753, 'Medical Examinations'!A:F, 6, FALSE)</f>
        <v>yes</v>
      </c>
      <c r="F753" t="str">
        <f>VLOOKUP($A753, 'Medical Examinations'!A:G, 7, FALSE)</f>
        <v>No</v>
      </c>
      <c r="G753" t="str">
        <f>VLOOKUP($A753, 'Medical Examinations'!A:H, 8, FALSE)</f>
        <v>No</v>
      </c>
      <c r="H753">
        <f>VLOOKUP($A753, 'Medical Examinations'!A:J, 10, FALSE)</f>
        <v>2</v>
      </c>
      <c r="I753" t="str">
        <f>VLOOKUP($A753, 'Medical Examinations'!A:K, 11, FALSE)</f>
        <v>No</v>
      </c>
      <c r="J753" t="str">
        <f>VLOOKUP($A753, 'Medical Examinations'!A:B, 2, FALSE)</f>
        <v>Normal Weight</v>
      </c>
      <c r="K753" t="str">
        <f>VLOOKUP($A753, 'Medical Examinations'!A:D, 4, FALSE)</f>
        <v>Diabetes</v>
      </c>
    </row>
    <row r="754" spans="1:11" ht="15.5" x14ac:dyDescent="0.35">
      <c r="A754" s="1" t="s">
        <v>1618</v>
      </c>
      <c r="B754" t="str">
        <f>VLOOKUP($A754, 'Customer Names'!A:D, 3, FALSE)</f>
        <v>Olaru</v>
      </c>
      <c r="C754">
        <f>VLOOKUP($A754,'Medical Examinations'!A:C, 3, FALSE)</f>
        <v>31.824999999999999</v>
      </c>
      <c r="D754" t="str">
        <f>VLOOKUP($A754, 'Medical Examinations'!A:D, 4, FALSE)</f>
        <v>Normal</v>
      </c>
      <c r="E754" t="str">
        <f>VLOOKUP($A754, 'Medical Examinations'!A:F, 6, FALSE)</f>
        <v>yes</v>
      </c>
      <c r="F754" t="str">
        <f>VLOOKUP($A754, 'Medical Examinations'!A:G, 7, FALSE)</f>
        <v>No</v>
      </c>
      <c r="G754" t="str">
        <f>VLOOKUP($A754, 'Medical Examinations'!A:H, 8, FALSE)</f>
        <v>No</v>
      </c>
      <c r="H754">
        <f>VLOOKUP($A754, 'Medical Examinations'!A:J, 10, FALSE)</f>
        <v>1</v>
      </c>
      <c r="I754" t="str">
        <f>VLOOKUP($A754, 'Medical Examinations'!A:K, 11, FALSE)</f>
        <v>No</v>
      </c>
      <c r="J754" t="str">
        <f>VLOOKUP($A754, 'Medical Examinations'!A:B, 2, FALSE)</f>
        <v>Obesity</v>
      </c>
      <c r="K754" t="str">
        <f>VLOOKUP($A754, 'Medical Examinations'!A:D, 4, FALSE)</f>
        <v>Normal</v>
      </c>
    </row>
    <row r="755" spans="1:11" ht="15.5" x14ac:dyDescent="0.35">
      <c r="A755" s="1" t="s">
        <v>1617</v>
      </c>
      <c r="B755" t="str">
        <f>VLOOKUP($A755, 'Customer Names'!A:D, 3, FALSE)</f>
        <v>Prescott</v>
      </c>
      <c r="C755">
        <f>VLOOKUP($A755,'Medical Examinations'!A:C, 3, FALSE)</f>
        <v>53.58</v>
      </c>
      <c r="D755" t="str">
        <f>VLOOKUP($A755, 'Medical Examinations'!A:D, 4, FALSE)</f>
        <v>Normal</v>
      </c>
      <c r="E755" t="str">
        <f>VLOOKUP($A755, 'Medical Examinations'!A:F, 6, FALSE)</f>
        <v>No</v>
      </c>
      <c r="F755" t="str">
        <f>VLOOKUP($A755, 'Medical Examinations'!A:G, 7, FALSE)</f>
        <v>No</v>
      </c>
      <c r="G755" t="str">
        <f>VLOOKUP($A755, 'Medical Examinations'!A:H, 8, FALSE)</f>
        <v>No</v>
      </c>
      <c r="H755">
        <f>VLOOKUP($A755, 'Medical Examinations'!A:J, 10, FALSE)</f>
        <v>1</v>
      </c>
      <c r="I755" t="str">
        <f>VLOOKUP($A755, 'Medical Examinations'!A:K, 11, FALSE)</f>
        <v>No</v>
      </c>
      <c r="J755" t="str">
        <f>VLOOKUP($A755, 'Medical Examinations'!A:B, 2, FALSE)</f>
        <v>Obesity</v>
      </c>
      <c r="K755" t="str">
        <f>VLOOKUP($A755, 'Medical Examinations'!A:D, 4, FALSE)</f>
        <v>Normal</v>
      </c>
    </row>
    <row r="756" spans="1:11" ht="15.5" x14ac:dyDescent="0.35">
      <c r="A756" s="1" t="s">
        <v>1616</v>
      </c>
      <c r="B756" t="str">
        <f>VLOOKUP($A756, 'Customer Names'!A:D, 3, FALSE)</f>
        <v>Hines</v>
      </c>
      <c r="C756">
        <f>VLOOKUP($A756,'Medical Examinations'!A:C, 3, FALSE)</f>
        <v>34.299999999999997</v>
      </c>
      <c r="D756" t="str">
        <f>VLOOKUP($A756, 'Medical Examinations'!A:D, 4, FALSE)</f>
        <v>Diabetes</v>
      </c>
      <c r="E756" t="str">
        <f>VLOOKUP($A756, 'Medical Examinations'!A:F, 6, FALSE)</f>
        <v>No</v>
      </c>
      <c r="F756" t="str">
        <f>VLOOKUP($A756, 'Medical Examinations'!A:G, 7, FALSE)</f>
        <v>No</v>
      </c>
      <c r="G756" t="str">
        <f>VLOOKUP($A756, 'Medical Examinations'!A:H, 8, FALSE)</f>
        <v>No</v>
      </c>
      <c r="H756" t="str">
        <f>VLOOKUP($A756, 'Medical Examinations'!A:J, 10, FALSE)</f>
        <v>No major surgery</v>
      </c>
      <c r="I756" t="str">
        <f>VLOOKUP($A756, 'Medical Examinations'!A:K, 11, FALSE)</f>
        <v>No</v>
      </c>
      <c r="J756" t="str">
        <f>VLOOKUP($A756, 'Medical Examinations'!A:B, 2, FALSE)</f>
        <v>Obesity</v>
      </c>
      <c r="K756" t="str">
        <f>VLOOKUP($A756, 'Medical Examinations'!A:D, 4, FALSE)</f>
        <v>Diabetes</v>
      </c>
    </row>
    <row r="757" spans="1:11" ht="15.5" x14ac:dyDescent="0.35">
      <c r="A757" s="1" t="s">
        <v>1615</v>
      </c>
      <c r="B757" t="str">
        <f>VLOOKUP($A757, 'Customer Names'!A:D, 3, FALSE)</f>
        <v>Blanton</v>
      </c>
      <c r="C757">
        <f>VLOOKUP($A757,'Medical Examinations'!A:C, 3, FALSE)</f>
        <v>32.11</v>
      </c>
      <c r="D757" t="str">
        <f>VLOOKUP($A757, 'Medical Examinations'!A:D, 4, FALSE)</f>
        <v>Diabetes</v>
      </c>
      <c r="E757" t="str">
        <f>VLOOKUP($A757, 'Medical Examinations'!A:F, 6, FALSE)</f>
        <v>No</v>
      </c>
      <c r="F757" t="str">
        <f>VLOOKUP($A757, 'Medical Examinations'!A:G, 7, FALSE)</f>
        <v>No</v>
      </c>
      <c r="G757" t="str">
        <f>VLOOKUP($A757, 'Medical Examinations'!A:H, 8, FALSE)</f>
        <v>No</v>
      </c>
      <c r="H757" t="str">
        <f>VLOOKUP($A757, 'Medical Examinations'!A:J, 10, FALSE)</f>
        <v>No major surgery</v>
      </c>
      <c r="I757" t="str">
        <f>VLOOKUP($A757, 'Medical Examinations'!A:K, 11, FALSE)</f>
        <v>No</v>
      </c>
      <c r="J757" t="str">
        <f>VLOOKUP($A757, 'Medical Examinations'!A:B, 2, FALSE)</f>
        <v>Obesity</v>
      </c>
      <c r="K757" t="str">
        <f>VLOOKUP($A757, 'Medical Examinations'!A:D, 4, FALSE)</f>
        <v>Diabetes</v>
      </c>
    </row>
    <row r="758" spans="1:11" ht="15.5" x14ac:dyDescent="0.35">
      <c r="A758" s="1" t="s">
        <v>1614</v>
      </c>
      <c r="B758" t="str">
        <f>VLOOKUP($A758, 'Customer Names'!A:D, 3, FALSE)</f>
        <v>Bustamante</v>
      </c>
      <c r="C758">
        <f>VLOOKUP($A758,'Medical Examinations'!A:C, 3, FALSE)</f>
        <v>31.78</v>
      </c>
      <c r="D758" t="str">
        <f>VLOOKUP($A758, 'Medical Examinations'!A:D, 4, FALSE)</f>
        <v>Diabetes</v>
      </c>
      <c r="E758" t="str">
        <f>VLOOKUP($A758, 'Medical Examinations'!A:F, 6, FALSE)</f>
        <v>yes</v>
      </c>
      <c r="F758" t="str">
        <f>VLOOKUP($A758, 'Medical Examinations'!A:G, 7, FALSE)</f>
        <v>No</v>
      </c>
      <c r="G758" t="str">
        <f>VLOOKUP($A758, 'Medical Examinations'!A:H, 8, FALSE)</f>
        <v>Yes</v>
      </c>
      <c r="H758">
        <f>VLOOKUP($A758, 'Medical Examinations'!A:J, 10, FALSE)</f>
        <v>1</v>
      </c>
      <c r="I758" t="str">
        <f>VLOOKUP($A758, 'Medical Examinations'!A:K, 11, FALSE)</f>
        <v>No</v>
      </c>
      <c r="J758" t="str">
        <f>VLOOKUP($A758, 'Medical Examinations'!A:B, 2, FALSE)</f>
        <v>Obesity</v>
      </c>
      <c r="K758" t="str">
        <f>VLOOKUP($A758, 'Medical Examinations'!A:D, 4, FALSE)</f>
        <v>Diabetes</v>
      </c>
    </row>
    <row r="759" spans="1:11" ht="15.5" x14ac:dyDescent="0.35">
      <c r="A759" s="1" t="s">
        <v>1613</v>
      </c>
      <c r="B759" t="str">
        <f>VLOOKUP($A759, 'Customer Names'!A:D, 3, FALSE)</f>
        <v>McCann</v>
      </c>
      <c r="C759">
        <f>VLOOKUP($A759,'Medical Examinations'!A:C, 3, FALSE)</f>
        <v>46.89</v>
      </c>
      <c r="D759" t="str">
        <f>VLOOKUP($A759, 'Medical Examinations'!A:D, 4, FALSE)</f>
        <v>Normal</v>
      </c>
      <c r="E759" t="str">
        <f>VLOOKUP($A759, 'Medical Examinations'!A:F, 6, FALSE)</f>
        <v>No</v>
      </c>
      <c r="F759" t="str">
        <f>VLOOKUP($A759, 'Medical Examinations'!A:G, 7, FALSE)</f>
        <v>No</v>
      </c>
      <c r="G759" t="str">
        <f>VLOOKUP($A759, 'Medical Examinations'!A:H, 8, FALSE)</f>
        <v>No</v>
      </c>
      <c r="H759" t="str">
        <f>VLOOKUP($A759, 'Medical Examinations'!A:J, 10, FALSE)</f>
        <v>No major surgery</v>
      </c>
      <c r="I759" t="str">
        <f>VLOOKUP($A759, 'Medical Examinations'!A:K, 11, FALSE)</f>
        <v>No</v>
      </c>
      <c r="J759" t="str">
        <f>VLOOKUP($A759, 'Medical Examinations'!A:B, 2, FALSE)</f>
        <v>Obesity</v>
      </c>
      <c r="K759" t="str">
        <f>VLOOKUP($A759, 'Medical Examinations'!A:D, 4, FALSE)</f>
        <v>Normal</v>
      </c>
    </row>
    <row r="760" spans="1:11" ht="15.5" x14ac:dyDescent="0.35">
      <c r="A760" s="1" t="s">
        <v>1612</v>
      </c>
      <c r="B760" t="str">
        <f>VLOOKUP($A760, 'Customer Names'!A:D, 3, FALSE)</f>
        <v>Schmole</v>
      </c>
      <c r="C760">
        <f>VLOOKUP($A760,'Medical Examinations'!A:C, 3, FALSE)</f>
        <v>39.35</v>
      </c>
      <c r="D760" t="str">
        <f>VLOOKUP($A760, 'Medical Examinations'!A:D, 4, FALSE)</f>
        <v>Diabetes</v>
      </c>
      <c r="E760" t="str">
        <f>VLOOKUP($A760, 'Medical Examinations'!A:F, 6, FALSE)</f>
        <v>yes</v>
      </c>
      <c r="F760" t="str">
        <f>VLOOKUP($A760, 'Medical Examinations'!A:G, 7, FALSE)</f>
        <v>No</v>
      </c>
      <c r="G760" t="str">
        <f>VLOOKUP($A760, 'Medical Examinations'!A:H, 8, FALSE)</f>
        <v>No</v>
      </c>
      <c r="H760">
        <f>VLOOKUP($A760, 'Medical Examinations'!A:J, 10, FALSE)</f>
        <v>1</v>
      </c>
      <c r="I760" t="str">
        <f>VLOOKUP($A760, 'Medical Examinations'!A:K, 11, FALSE)</f>
        <v>No</v>
      </c>
      <c r="J760" t="str">
        <f>VLOOKUP($A760, 'Medical Examinations'!A:B, 2, FALSE)</f>
        <v>Obesity</v>
      </c>
      <c r="K760" t="str">
        <f>VLOOKUP($A760, 'Medical Examinations'!A:D, 4, FALSE)</f>
        <v>Diabetes</v>
      </c>
    </row>
    <row r="761" spans="1:11" ht="15.5" x14ac:dyDescent="0.35">
      <c r="A761" s="1" t="s">
        <v>1611</v>
      </c>
      <c r="B761" t="str">
        <f>VLOOKUP($A761, 'Customer Names'!A:D, 3, FALSE)</f>
        <v>Barber</v>
      </c>
      <c r="C761">
        <f>VLOOKUP($A761,'Medical Examinations'!A:C, 3, FALSE)</f>
        <v>39.200000000000003</v>
      </c>
      <c r="D761" t="str">
        <f>VLOOKUP($A761, 'Medical Examinations'!A:D, 4, FALSE)</f>
        <v>Diabetes</v>
      </c>
      <c r="E761" t="str">
        <f>VLOOKUP($A761, 'Medical Examinations'!A:F, 6, FALSE)</f>
        <v>No</v>
      </c>
      <c r="F761" t="str">
        <f>VLOOKUP($A761, 'Medical Examinations'!A:G, 7, FALSE)</f>
        <v>No</v>
      </c>
      <c r="G761" t="str">
        <f>VLOOKUP($A761, 'Medical Examinations'!A:H, 8, FALSE)</f>
        <v>No</v>
      </c>
      <c r="H761" t="str">
        <f>VLOOKUP($A761, 'Medical Examinations'!A:J, 10, FALSE)</f>
        <v>No major surgery</v>
      </c>
      <c r="I761" t="str">
        <f>VLOOKUP($A761, 'Medical Examinations'!A:K, 11, FALSE)</f>
        <v>No</v>
      </c>
      <c r="J761" t="str">
        <f>VLOOKUP($A761, 'Medical Examinations'!A:B, 2, FALSE)</f>
        <v>Obesity</v>
      </c>
      <c r="K761" t="str">
        <f>VLOOKUP($A761, 'Medical Examinations'!A:D, 4, FALSE)</f>
        <v>Diabetes</v>
      </c>
    </row>
    <row r="762" spans="1:11" ht="15.5" x14ac:dyDescent="0.35">
      <c r="A762" s="1" t="s">
        <v>1610</v>
      </c>
      <c r="B762" t="str">
        <f>VLOOKUP($A762, 'Customer Names'!A:D, 3, FALSE)</f>
        <v>Reichmann</v>
      </c>
      <c r="C762">
        <f>VLOOKUP($A762,'Medical Examinations'!A:C, 3, FALSE)</f>
        <v>39.159999999999997</v>
      </c>
      <c r="D762" t="str">
        <f>VLOOKUP($A762, 'Medical Examinations'!A:D, 4, FALSE)</f>
        <v>Diabetes</v>
      </c>
      <c r="E762" t="str">
        <f>VLOOKUP($A762, 'Medical Examinations'!A:F, 6, FALSE)</f>
        <v>No</v>
      </c>
      <c r="F762" t="str">
        <f>VLOOKUP($A762, 'Medical Examinations'!A:G, 7, FALSE)</f>
        <v>No</v>
      </c>
      <c r="G762" t="str">
        <f>VLOOKUP($A762, 'Medical Examinations'!A:H, 8, FALSE)</f>
        <v>No</v>
      </c>
      <c r="H762" t="str">
        <f>VLOOKUP($A762, 'Medical Examinations'!A:J, 10, FALSE)</f>
        <v>No major surgery</v>
      </c>
      <c r="I762" t="str">
        <f>VLOOKUP($A762, 'Medical Examinations'!A:K, 11, FALSE)</f>
        <v>No</v>
      </c>
      <c r="J762" t="str">
        <f>VLOOKUP($A762, 'Medical Examinations'!A:B, 2, FALSE)</f>
        <v>Obesity</v>
      </c>
      <c r="K762" t="str">
        <f>VLOOKUP($A762, 'Medical Examinations'!A:D, 4, FALSE)</f>
        <v>Diabetes</v>
      </c>
    </row>
    <row r="763" spans="1:11" ht="15.5" x14ac:dyDescent="0.35">
      <c r="A763" s="1" t="s">
        <v>1609</v>
      </c>
      <c r="B763" t="str">
        <f>VLOOKUP($A763, 'Customer Names'!A:D, 3, FALSE)</f>
        <v>Cavatorta</v>
      </c>
      <c r="C763">
        <f>VLOOKUP($A763,'Medical Examinations'!A:C, 3, FALSE)</f>
        <v>44.1</v>
      </c>
      <c r="D763" t="str">
        <f>VLOOKUP($A763, 'Medical Examinations'!A:D, 4, FALSE)</f>
        <v>Normal</v>
      </c>
      <c r="E763" t="str">
        <f>VLOOKUP($A763, 'Medical Examinations'!A:F, 6, FALSE)</f>
        <v>yes</v>
      </c>
      <c r="F763" t="str">
        <f>VLOOKUP($A763, 'Medical Examinations'!A:G, 7, FALSE)</f>
        <v>No</v>
      </c>
      <c r="G763" t="str">
        <f>VLOOKUP($A763, 'Medical Examinations'!A:H, 8, FALSE)</f>
        <v>No</v>
      </c>
      <c r="H763" t="str">
        <f>VLOOKUP($A763, 'Medical Examinations'!A:J, 10, FALSE)</f>
        <v>No major surgery</v>
      </c>
      <c r="I763" t="str">
        <f>VLOOKUP($A763, 'Medical Examinations'!A:K, 11, FALSE)</f>
        <v>No</v>
      </c>
      <c r="J763" t="str">
        <f>VLOOKUP($A763, 'Medical Examinations'!A:B, 2, FALSE)</f>
        <v>Obesity</v>
      </c>
      <c r="K763" t="str">
        <f>VLOOKUP($A763, 'Medical Examinations'!A:D, 4, FALSE)</f>
        <v>Normal</v>
      </c>
    </row>
    <row r="764" spans="1:11" ht="15.5" x14ac:dyDescent="0.35">
      <c r="A764" s="1" t="s">
        <v>1608</v>
      </c>
      <c r="B764" t="str">
        <f>VLOOKUP($A764, 'Customer Names'!A:D, 3, FALSE)</f>
        <v>Yaeger</v>
      </c>
      <c r="C764">
        <f>VLOOKUP($A764,'Medical Examinations'!A:C, 3, FALSE)</f>
        <v>33.200000000000003</v>
      </c>
      <c r="D764" t="str">
        <f>VLOOKUP($A764, 'Medical Examinations'!A:D, 4, FALSE)</f>
        <v>Diabetes</v>
      </c>
      <c r="E764" t="str">
        <f>VLOOKUP($A764, 'Medical Examinations'!A:F, 6, FALSE)</f>
        <v>No</v>
      </c>
      <c r="F764" t="str">
        <f>VLOOKUP($A764, 'Medical Examinations'!A:G, 7, FALSE)</f>
        <v>No</v>
      </c>
      <c r="G764" t="str">
        <f>VLOOKUP($A764, 'Medical Examinations'!A:H, 8, FALSE)</f>
        <v>No</v>
      </c>
      <c r="H764" t="str">
        <f>VLOOKUP($A764, 'Medical Examinations'!A:J, 10, FALSE)</f>
        <v>No major surgery</v>
      </c>
      <c r="I764" t="str">
        <f>VLOOKUP($A764, 'Medical Examinations'!A:K, 11, FALSE)</f>
        <v>No</v>
      </c>
      <c r="J764" t="str">
        <f>VLOOKUP($A764, 'Medical Examinations'!A:B, 2, FALSE)</f>
        <v>Obesity</v>
      </c>
      <c r="K764" t="str">
        <f>VLOOKUP($A764, 'Medical Examinations'!A:D, 4, FALSE)</f>
        <v>Diabetes</v>
      </c>
    </row>
    <row r="765" spans="1:11" ht="15.5" x14ac:dyDescent="0.35">
      <c r="A765" s="1" t="s">
        <v>1607</v>
      </c>
      <c r="B765" t="str">
        <f>VLOOKUP($A765, 'Customer Names'!A:D, 3, FALSE)</f>
        <v>Hughes</v>
      </c>
      <c r="C765">
        <f>VLOOKUP($A765,'Medical Examinations'!A:C, 3, FALSE)</f>
        <v>29.92</v>
      </c>
      <c r="D765" t="str">
        <f>VLOOKUP($A765, 'Medical Examinations'!A:D, 4, FALSE)</f>
        <v>Diabetes</v>
      </c>
      <c r="E765" t="str">
        <f>VLOOKUP($A765, 'Medical Examinations'!A:F, 6, FALSE)</f>
        <v>No</v>
      </c>
      <c r="F765" t="str">
        <f>VLOOKUP($A765, 'Medical Examinations'!A:G, 7, FALSE)</f>
        <v>No</v>
      </c>
      <c r="G765" t="str">
        <f>VLOOKUP($A765, 'Medical Examinations'!A:H, 8, FALSE)</f>
        <v>No</v>
      </c>
      <c r="H765" t="str">
        <f>VLOOKUP($A765, 'Medical Examinations'!A:J, 10, FALSE)</f>
        <v>No major surgery</v>
      </c>
      <c r="I765" t="str">
        <f>VLOOKUP($A765, 'Medical Examinations'!A:K, 11, FALSE)</f>
        <v>No</v>
      </c>
      <c r="J765" t="e">
        <f>VLOOKUP($A765, 'Medical Examinations'!A:B, 2, FALSE)</f>
        <v>#N/A</v>
      </c>
      <c r="K765" t="str">
        <f>VLOOKUP($A765, 'Medical Examinations'!A:D, 4, FALSE)</f>
        <v>Diabetes</v>
      </c>
    </row>
    <row r="766" spans="1:11" ht="15.5" x14ac:dyDescent="0.35">
      <c r="A766" s="1" t="s">
        <v>1606</v>
      </c>
      <c r="B766" t="str">
        <f>VLOOKUP($A766, 'Customer Names'!A:D, 3, FALSE)</f>
        <v>Donahue</v>
      </c>
      <c r="C766">
        <f>VLOOKUP($A766,'Medical Examinations'!A:C, 3, FALSE)</f>
        <v>25</v>
      </c>
      <c r="D766" t="str">
        <f>VLOOKUP($A766, 'Medical Examinations'!A:D, 4, FALSE)</f>
        <v>Diabetes</v>
      </c>
      <c r="E766" t="str">
        <f>VLOOKUP($A766, 'Medical Examinations'!A:F, 6, FALSE)</f>
        <v>No</v>
      </c>
      <c r="F766" t="str">
        <f>VLOOKUP($A766, 'Medical Examinations'!A:G, 7, FALSE)</f>
        <v>No</v>
      </c>
      <c r="G766" t="str">
        <f>VLOOKUP($A766, 'Medical Examinations'!A:H, 8, FALSE)</f>
        <v>No</v>
      </c>
      <c r="H766" t="str">
        <f>VLOOKUP($A766, 'Medical Examinations'!A:J, 10, FALSE)</f>
        <v>No major surgery</v>
      </c>
      <c r="I766" t="str">
        <f>VLOOKUP($A766, 'Medical Examinations'!A:K, 11, FALSE)</f>
        <v>No</v>
      </c>
      <c r="J766" t="str">
        <f>VLOOKUP($A766, 'Medical Examinations'!A:B, 2, FALSE)</f>
        <v>Overweight</v>
      </c>
      <c r="K766" t="str">
        <f>VLOOKUP($A766, 'Medical Examinations'!A:D, 4, FALSE)</f>
        <v>Diabetes</v>
      </c>
    </row>
    <row r="767" spans="1:11" ht="15.5" x14ac:dyDescent="0.35">
      <c r="A767" s="1" t="s">
        <v>1605</v>
      </c>
      <c r="B767" t="str">
        <f>VLOOKUP($A767, 'Customer Names'!A:D, 3, FALSE)</f>
        <v>Greenwell</v>
      </c>
      <c r="C767">
        <f>VLOOKUP($A767,'Medical Examinations'!A:C, 3, FALSE)</f>
        <v>38.869999999999997</v>
      </c>
      <c r="D767" t="str">
        <f>VLOOKUP($A767, 'Medical Examinations'!A:D, 4, FALSE)</f>
        <v>Diabetes</v>
      </c>
      <c r="E767" t="str">
        <f>VLOOKUP($A767, 'Medical Examinations'!A:F, 6, FALSE)</f>
        <v>yes</v>
      </c>
      <c r="F767" t="str">
        <f>VLOOKUP($A767, 'Medical Examinations'!A:G, 7, FALSE)</f>
        <v>No</v>
      </c>
      <c r="G767" t="str">
        <f>VLOOKUP($A767, 'Medical Examinations'!A:H, 8, FALSE)</f>
        <v>No</v>
      </c>
      <c r="H767">
        <f>VLOOKUP($A767, 'Medical Examinations'!A:J, 10, FALSE)</f>
        <v>1</v>
      </c>
      <c r="I767" t="str">
        <f>VLOOKUP($A767, 'Medical Examinations'!A:K, 11, FALSE)</f>
        <v>No</v>
      </c>
      <c r="J767" t="str">
        <f>VLOOKUP($A767, 'Medical Examinations'!A:B, 2, FALSE)</f>
        <v>Obesity</v>
      </c>
      <c r="K767" t="str">
        <f>VLOOKUP($A767, 'Medical Examinations'!A:D, 4, FALSE)</f>
        <v>Diabetes</v>
      </c>
    </row>
    <row r="768" spans="1:11" ht="15.5" x14ac:dyDescent="0.35">
      <c r="A768" s="1" t="s">
        <v>1604</v>
      </c>
      <c r="B768" t="str">
        <f>VLOOKUP($A768, 'Customer Names'!A:D, 3, FALSE)</f>
        <v>Steele</v>
      </c>
      <c r="C768">
        <f>VLOOKUP($A768,'Medical Examinations'!A:C, 3, FALSE)</f>
        <v>32.299999999999997</v>
      </c>
      <c r="D768" t="str">
        <f>VLOOKUP($A768, 'Medical Examinations'!A:D, 4, FALSE)</f>
        <v>Normal</v>
      </c>
      <c r="E768" t="str">
        <f>VLOOKUP($A768, 'Medical Examinations'!A:F, 6, FALSE)</f>
        <v>yes</v>
      </c>
      <c r="F768" t="str">
        <f>VLOOKUP($A768, 'Medical Examinations'!A:G, 7, FALSE)</f>
        <v>No</v>
      </c>
      <c r="G768" t="str">
        <f>VLOOKUP($A768, 'Medical Examinations'!A:H, 8, FALSE)</f>
        <v>No</v>
      </c>
      <c r="H768">
        <f>VLOOKUP($A768, 'Medical Examinations'!A:J, 10, FALSE)</f>
        <v>2</v>
      </c>
      <c r="I768" t="str">
        <f>VLOOKUP($A768, 'Medical Examinations'!A:K, 11, FALSE)</f>
        <v>No</v>
      </c>
      <c r="J768" t="str">
        <f>VLOOKUP($A768, 'Medical Examinations'!A:B, 2, FALSE)</f>
        <v>Obesity</v>
      </c>
      <c r="K768" t="str">
        <f>VLOOKUP($A768, 'Medical Examinations'!A:D, 4, FALSE)</f>
        <v>Normal</v>
      </c>
    </row>
    <row r="769" spans="1:11" ht="15.5" x14ac:dyDescent="0.35">
      <c r="A769" s="1" t="s">
        <v>1603</v>
      </c>
      <c r="B769" t="str">
        <f>VLOOKUP($A769, 'Customer Names'!A:D, 3, FALSE)</f>
        <v>Gunter</v>
      </c>
      <c r="C769">
        <f>VLOOKUP($A769,'Medical Examinations'!A:C, 3, FALSE)</f>
        <v>31.16</v>
      </c>
      <c r="D769" t="str">
        <f>VLOOKUP($A769, 'Medical Examinations'!A:D, 4, FALSE)</f>
        <v>Diabetes</v>
      </c>
      <c r="E769" t="str">
        <f>VLOOKUP($A769, 'Medical Examinations'!A:F, 6, FALSE)</f>
        <v>yes</v>
      </c>
      <c r="F769" t="str">
        <f>VLOOKUP($A769, 'Medical Examinations'!A:G, 7, FALSE)</f>
        <v>No</v>
      </c>
      <c r="G769" t="str">
        <f>VLOOKUP($A769, 'Medical Examinations'!A:H, 8, FALSE)</f>
        <v>No</v>
      </c>
      <c r="H769">
        <f>VLOOKUP($A769, 'Medical Examinations'!A:J, 10, FALSE)</f>
        <v>2</v>
      </c>
      <c r="I769" t="str">
        <f>VLOOKUP($A769, 'Medical Examinations'!A:K, 11, FALSE)</f>
        <v>No</v>
      </c>
      <c r="J769" t="str">
        <f>VLOOKUP($A769, 'Medical Examinations'!A:B, 2, FALSE)</f>
        <v>Obesity</v>
      </c>
      <c r="K769" t="str">
        <f>VLOOKUP($A769, 'Medical Examinations'!A:D, 4, FALSE)</f>
        <v>Diabetes</v>
      </c>
    </row>
    <row r="770" spans="1:11" ht="15.5" x14ac:dyDescent="0.35">
      <c r="A770" s="1" t="s">
        <v>1602</v>
      </c>
      <c r="B770" t="str">
        <f>VLOOKUP($A770, 'Customer Names'!A:D, 3, FALSE)</f>
        <v>McDonough</v>
      </c>
      <c r="C770">
        <f>VLOOKUP($A770,'Medical Examinations'!A:C, 3, FALSE)</f>
        <v>54.59</v>
      </c>
      <c r="D770" t="str">
        <f>VLOOKUP($A770, 'Medical Examinations'!A:D, 4, FALSE)</f>
        <v>Normal</v>
      </c>
      <c r="E770" t="str">
        <f>VLOOKUP($A770, 'Medical Examinations'!A:F, 6, FALSE)</f>
        <v>No</v>
      </c>
      <c r="F770" t="str">
        <f>VLOOKUP($A770, 'Medical Examinations'!A:G, 7, FALSE)</f>
        <v>No</v>
      </c>
      <c r="G770" t="str">
        <f>VLOOKUP($A770, 'Medical Examinations'!A:H, 8, FALSE)</f>
        <v>No</v>
      </c>
      <c r="H770" t="str">
        <f>VLOOKUP($A770, 'Medical Examinations'!A:J, 10, FALSE)</f>
        <v>No major surgery</v>
      </c>
      <c r="I770" t="str">
        <f>VLOOKUP($A770, 'Medical Examinations'!A:K, 11, FALSE)</f>
        <v>No</v>
      </c>
      <c r="J770" t="str">
        <f>VLOOKUP($A770, 'Medical Examinations'!A:B, 2, FALSE)</f>
        <v>Obesity</v>
      </c>
      <c r="K770" t="str">
        <f>VLOOKUP($A770, 'Medical Examinations'!A:D, 4, FALSE)</f>
        <v>Normal</v>
      </c>
    </row>
    <row r="771" spans="1:11" ht="15.5" x14ac:dyDescent="0.35">
      <c r="A771" s="1" t="s">
        <v>1601</v>
      </c>
      <c r="B771" t="str">
        <f>VLOOKUP($A771, 'Customer Names'!A:D, 3, FALSE)</f>
        <v>Sweetland</v>
      </c>
      <c r="C771">
        <f>VLOOKUP($A771,'Medical Examinations'!A:C, 3, FALSE)</f>
        <v>21.09</v>
      </c>
      <c r="D771" t="str">
        <f>VLOOKUP($A771, 'Medical Examinations'!A:D, 4, FALSE)</f>
        <v>Diabetes</v>
      </c>
      <c r="E771" t="str">
        <f>VLOOKUP($A771, 'Medical Examinations'!A:F, 6, FALSE)</f>
        <v>yes</v>
      </c>
      <c r="F771" t="str">
        <f>VLOOKUP($A771, 'Medical Examinations'!A:G, 7, FALSE)</f>
        <v>No</v>
      </c>
      <c r="G771" t="str">
        <f>VLOOKUP($A771, 'Medical Examinations'!A:H, 8, FALSE)</f>
        <v>No</v>
      </c>
      <c r="H771">
        <f>VLOOKUP($A771, 'Medical Examinations'!A:J, 10, FALSE)</f>
        <v>2</v>
      </c>
      <c r="I771" t="str">
        <f>VLOOKUP($A771, 'Medical Examinations'!A:K, 11, FALSE)</f>
        <v>No</v>
      </c>
      <c r="J771" t="str">
        <f>VLOOKUP($A771, 'Medical Examinations'!A:B, 2, FALSE)</f>
        <v>Normal Weight</v>
      </c>
      <c r="K771" t="str">
        <f>VLOOKUP($A771, 'Medical Examinations'!A:D, 4, FALSE)</f>
        <v>Diabetes</v>
      </c>
    </row>
    <row r="772" spans="1:11" ht="15.5" x14ac:dyDescent="0.35">
      <c r="A772" s="1" t="s">
        <v>1600</v>
      </c>
      <c r="B772" t="str">
        <f>VLOOKUP($A772, 'Customer Names'!A:D, 3, FALSE)</f>
        <v>Hammersmith</v>
      </c>
      <c r="C772">
        <f>VLOOKUP($A772,'Medical Examinations'!A:C, 3, FALSE)</f>
        <v>52.41</v>
      </c>
      <c r="D772" t="str">
        <f>VLOOKUP($A772, 'Medical Examinations'!A:D, 4, FALSE)</f>
        <v>Prediabetes</v>
      </c>
      <c r="E772" t="str">
        <f>VLOOKUP($A772, 'Medical Examinations'!A:F, 6, FALSE)</f>
        <v>No</v>
      </c>
      <c r="F772" t="str">
        <f>VLOOKUP($A772, 'Medical Examinations'!A:G, 7, FALSE)</f>
        <v>No</v>
      </c>
      <c r="G772" t="str">
        <f>VLOOKUP($A772, 'Medical Examinations'!A:H, 8, FALSE)</f>
        <v>No</v>
      </c>
      <c r="H772">
        <f>VLOOKUP($A772, 'Medical Examinations'!A:J, 10, FALSE)</f>
        <v>1</v>
      </c>
      <c r="I772" t="str">
        <f>VLOOKUP($A772, 'Medical Examinations'!A:K, 11, FALSE)</f>
        <v>No</v>
      </c>
      <c r="J772" t="str">
        <f>VLOOKUP($A772, 'Medical Examinations'!A:B, 2, FALSE)</f>
        <v>Obesity</v>
      </c>
      <c r="K772" t="str">
        <f>VLOOKUP($A772, 'Medical Examinations'!A:D, 4, FALSE)</f>
        <v>Prediabetes</v>
      </c>
    </row>
    <row r="773" spans="1:11" ht="15.5" x14ac:dyDescent="0.35">
      <c r="A773" s="1" t="s">
        <v>1599</v>
      </c>
      <c r="B773" t="str">
        <f>VLOOKUP($A773, 'Customer Names'!A:D, 3, FALSE)</f>
        <v>French</v>
      </c>
      <c r="C773">
        <f>VLOOKUP($A773,'Medical Examinations'!A:C, 3, FALSE)</f>
        <v>41.47</v>
      </c>
      <c r="D773" t="str">
        <f>VLOOKUP($A773, 'Medical Examinations'!A:D, 4, FALSE)</f>
        <v>Prediabetes</v>
      </c>
      <c r="E773" t="str">
        <f>VLOOKUP($A773, 'Medical Examinations'!A:F, 6, FALSE)</f>
        <v>yes</v>
      </c>
      <c r="F773" t="str">
        <f>VLOOKUP($A773, 'Medical Examinations'!A:G, 7, FALSE)</f>
        <v>No</v>
      </c>
      <c r="G773" t="str">
        <f>VLOOKUP($A773, 'Medical Examinations'!A:H, 8, FALSE)</f>
        <v>No</v>
      </c>
      <c r="H773">
        <f>VLOOKUP($A773, 'Medical Examinations'!A:J, 10, FALSE)</f>
        <v>2</v>
      </c>
      <c r="I773" t="str">
        <f>VLOOKUP($A773, 'Medical Examinations'!A:K, 11, FALSE)</f>
        <v>No</v>
      </c>
      <c r="J773" t="str">
        <f>VLOOKUP($A773, 'Medical Examinations'!A:B, 2, FALSE)</f>
        <v>Obesity</v>
      </c>
      <c r="K773" t="str">
        <f>VLOOKUP($A773, 'Medical Examinations'!A:D, 4, FALSE)</f>
        <v>Prediabetes</v>
      </c>
    </row>
    <row r="774" spans="1:11" ht="15.5" x14ac:dyDescent="0.35">
      <c r="A774" s="1" t="s">
        <v>1598</v>
      </c>
      <c r="B774" t="str">
        <f>VLOOKUP($A774, 'Customer Names'!A:D, 3, FALSE)</f>
        <v>Garbe</v>
      </c>
      <c r="C774">
        <f>VLOOKUP($A774,'Medical Examinations'!A:C, 3, FALSE)</f>
        <v>33.1</v>
      </c>
      <c r="D774" t="str">
        <f>VLOOKUP($A774, 'Medical Examinations'!A:D, 4, FALSE)</f>
        <v>Normal</v>
      </c>
      <c r="E774" t="str">
        <f>VLOOKUP($A774, 'Medical Examinations'!A:F, 6, FALSE)</f>
        <v>yes</v>
      </c>
      <c r="F774" t="str">
        <f>VLOOKUP($A774, 'Medical Examinations'!A:G, 7, FALSE)</f>
        <v>No</v>
      </c>
      <c r="G774" t="str">
        <f>VLOOKUP($A774, 'Medical Examinations'!A:H, 8, FALSE)</f>
        <v>No</v>
      </c>
      <c r="H774">
        <f>VLOOKUP($A774, 'Medical Examinations'!A:J, 10, FALSE)</f>
        <v>2</v>
      </c>
      <c r="I774" t="str">
        <f>VLOOKUP($A774, 'Medical Examinations'!A:K, 11, FALSE)</f>
        <v>No</v>
      </c>
      <c r="J774" t="str">
        <f>VLOOKUP($A774, 'Medical Examinations'!A:B, 2, FALSE)</f>
        <v>Obesity</v>
      </c>
      <c r="K774" t="str">
        <f>VLOOKUP($A774, 'Medical Examinations'!A:D, 4, FALSE)</f>
        <v>Normal</v>
      </c>
    </row>
    <row r="775" spans="1:11" ht="15.5" x14ac:dyDescent="0.35">
      <c r="A775" s="1" t="s">
        <v>1597</v>
      </c>
      <c r="B775" t="str">
        <f>VLOOKUP($A775, 'Customer Names'!A:D, 3, FALSE)</f>
        <v>Duncan</v>
      </c>
      <c r="C775">
        <f>VLOOKUP($A775,'Medical Examinations'!A:C, 3, FALSE)</f>
        <v>30.8</v>
      </c>
      <c r="D775" t="str">
        <f>VLOOKUP($A775, 'Medical Examinations'!A:D, 4, FALSE)</f>
        <v>Normal</v>
      </c>
      <c r="E775" t="str">
        <f>VLOOKUP($A775, 'Medical Examinations'!A:F, 6, FALSE)</f>
        <v>yes</v>
      </c>
      <c r="F775" t="str">
        <f>VLOOKUP($A775, 'Medical Examinations'!A:G, 7, FALSE)</f>
        <v>No</v>
      </c>
      <c r="G775" t="str">
        <f>VLOOKUP($A775, 'Medical Examinations'!A:H, 8, FALSE)</f>
        <v>No</v>
      </c>
      <c r="H775">
        <f>VLOOKUP($A775, 'Medical Examinations'!A:J, 10, FALSE)</f>
        <v>2</v>
      </c>
      <c r="I775" t="str">
        <f>VLOOKUP($A775, 'Medical Examinations'!A:K, 11, FALSE)</f>
        <v>No</v>
      </c>
      <c r="J775" t="str">
        <f>VLOOKUP($A775, 'Medical Examinations'!A:B, 2, FALSE)</f>
        <v>Obesity</v>
      </c>
      <c r="K775" t="str">
        <f>VLOOKUP($A775, 'Medical Examinations'!A:D, 4, FALSE)</f>
        <v>Normal</v>
      </c>
    </row>
    <row r="776" spans="1:11" ht="15.5" x14ac:dyDescent="0.35">
      <c r="A776" s="1" t="s">
        <v>1596</v>
      </c>
      <c r="B776" t="str">
        <f>VLOOKUP($A776, 'Customer Names'!A:D, 3, FALSE)</f>
        <v>Wallace</v>
      </c>
      <c r="C776">
        <f>VLOOKUP($A776,'Medical Examinations'!A:C, 3, FALSE)</f>
        <v>42.06</v>
      </c>
      <c r="D776" t="str">
        <f>VLOOKUP($A776, 'Medical Examinations'!A:D, 4, FALSE)</f>
        <v>Normal</v>
      </c>
      <c r="E776" t="str">
        <f>VLOOKUP($A776, 'Medical Examinations'!A:F, 6, FALSE)</f>
        <v>No</v>
      </c>
      <c r="F776" t="str">
        <f>VLOOKUP($A776, 'Medical Examinations'!A:G, 7, FALSE)</f>
        <v>No</v>
      </c>
      <c r="G776" t="str">
        <f>VLOOKUP($A776, 'Medical Examinations'!A:H, 8, FALSE)</f>
        <v>No</v>
      </c>
      <c r="H776">
        <f>VLOOKUP($A776, 'Medical Examinations'!A:J, 10, FALSE)</f>
        <v>1</v>
      </c>
      <c r="I776" t="str">
        <f>VLOOKUP($A776, 'Medical Examinations'!A:K, 11, FALSE)</f>
        <v>No</v>
      </c>
      <c r="J776" t="str">
        <f>VLOOKUP($A776, 'Medical Examinations'!A:B, 2, FALSE)</f>
        <v>Obesity</v>
      </c>
      <c r="K776" t="str">
        <f>VLOOKUP($A776, 'Medical Examinations'!A:D, 4, FALSE)</f>
        <v>Normal</v>
      </c>
    </row>
    <row r="777" spans="1:11" ht="15.5" x14ac:dyDescent="0.35">
      <c r="A777" s="1" t="s">
        <v>1595</v>
      </c>
      <c r="B777" t="str">
        <f>VLOOKUP($A777, 'Customer Names'!A:D, 3, FALSE)</f>
        <v>Tillman</v>
      </c>
      <c r="C777">
        <f>VLOOKUP($A777,'Medical Examinations'!A:C, 3, FALSE)</f>
        <v>39.270000000000003</v>
      </c>
      <c r="D777" t="str">
        <f>VLOOKUP($A777, 'Medical Examinations'!A:D, 4, FALSE)</f>
        <v>Normal</v>
      </c>
      <c r="E777" t="str">
        <f>VLOOKUP($A777, 'Medical Examinations'!A:F, 6, FALSE)</f>
        <v>No</v>
      </c>
      <c r="F777" t="str">
        <f>VLOOKUP($A777, 'Medical Examinations'!A:G, 7, FALSE)</f>
        <v>No</v>
      </c>
      <c r="G777" t="str">
        <f>VLOOKUP($A777, 'Medical Examinations'!A:H, 8, FALSE)</f>
        <v>Yes</v>
      </c>
      <c r="H777">
        <f>VLOOKUP($A777, 'Medical Examinations'!A:J, 10, FALSE)</f>
        <v>1</v>
      </c>
      <c r="I777" t="str">
        <f>VLOOKUP($A777, 'Medical Examinations'!A:K, 11, FALSE)</f>
        <v>No</v>
      </c>
      <c r="J777" t="str">
        <f>VLOOKUP($A777, 'Medical Examinations'!A:B, 2, FALSE)</f>
        <v>Obesity</v>
      </c>
      <c r="K777" t="str">
        <f>VLOOKUP($A777, 'Medical Examinations'!A:D, 4, FALSE)</f>
        <v>Normal</v>
      </c>
    </row>
    <row r="778" spans="1:11" ht="15.5" x14ac:dyDescent="0.35">
      <c r="A778" s="1" t="s">
        <v>1594</v>
      </c>
      <c r="B778" t="str">
        <f>VLOOKUP($A778, 'Customer Names'!A:D, 3, FALSE)</f>
        <v>Lee</v>
      </c>
      <c r="C778">
        <f>VLOOKUP($A778,'Medical Examinations'!A:C, 3, FALSE)</f>
        <v>30.71</v>
      </c>
      <c r="D778" t="str">
        <f>VLOOKUP($A778, 'Medical Examinations'!A:D, 4, FALSE)</f>
        <v>Normal</v>
      </c>
      <c r="E778" t="str">
        <f>VLOOKUP($A778, 'Medical Examinations'!A:F, 6, FALSE)</f>
        <v>yes</v>
      </c>
      <c r="F778" t="str">
        <f>VLOOKUP($A778, 'Medical Examinations'!A:G, 7, FALSE)</f>
        <v>No</v>
      </c>
      <c r="G778" t="str">
        <f>VLOOKUP($A778, 'Medical Examinations'!A:H, 8, FALSE)</f>
        <v>No</v>
      </c>
      <c r="H778">
        <f>VLOOKUP($A778, 'Medical Examinations'!A:J, 10, FALSE)</f>
        <v>1</v>
      </c>
      <c r="I778" t="str">
        <f>VLOOKUP($A778, 'Medical Examinations'!A:K, 11, FALSE)</f>
        <v>No</v>
      </c>
      <c r="J778" t="str">
        <f>VLOOKUP($A778, 'Medical Examinations'!A:B, 2, FALSE)</f>
        <v>Obesity</v>
      </c>
      <c r="K778" t="str">
        <f>VLOOKUP($A778, 'Medical Examinations'!A:D, 4, FALSE)</f>
        <v>Normal</v>
      </c>
    </row>
    <row r="779" spans="1:11" ht="15.5" x14ac:dyDescent="0.35">
      <c r="A779" s="1" t="s">
        <v>1593</v>
      </c>
      <c r="B779" t="str">
        <f>VLOOKUP($A779, 'Customer Names'!A:D, 3, FALSE)</f>
        <v>Taylor</v>
      </c>
      <c r="C779">
        <f>VLOOKUP($A779,'Medical Examinations'!A:C, 3, FALSE)</f>
        <v>47.19</v>
      </c>
      <c r="D779" t="str">
        <f>VLOOKUP($A779, 'Medical Examinations'!A:D, 4, FALSE)</f>
        <v>Normal</v>
      </c>
      <c r="E779" t="str">
        <f>VLOOKUP($A779, 'Medical Examinations'!A:F, 6, FALSE)</f>
        <v>No</v>
      </c>
      <c r="F779" t="str">
        <f>VLOOKUP($A779, 'Medical Examinations'!A:G, 7, FALSE)</f>
        <v>No</v>
      </c>
      <c r="G779" t="str">
        <f>VLOOKUP($A779, 'Medical Examinations'!A:H, 8, FALSE)</f>
        <v>No</v>
      </c>
      <c r="H779" t="str">
        <f>VLOOKUP($A779, 'Medical Examinations'!A:J, 10, FALSE)</f>
        <v>No major surgery</v>
      </c>
      <c r="I779" t="str">
        <f>VLOOKUP($A779, 'Medical Examinations'!A:K, 11, FALSE)</f>
        <v>No</v>
      </c>
      <c r="J779" t="str">
        <f>VLOOKUP($A779, 'Medical Examinations'!A:B, 2, FALSE)</f>
        <v>Obesity</v>
      </c>
      <c r="K779" t="str">
        <f>VLOOKUP($A779, 'Medical Examinations'!A:D, 4, FALSE)</f>
        <v>Normal</v>
      </c>
    </row>
    <row r="780" spans="1:11" ht="15.5" x14ac:dyDescent="0.35">
      <c r="A780" s="1" t="s">
        <v>1592</v>
      </c>
      <c r="B780" t="str">
        <f>VLOOKUP($A780, 'Customer Names'!A:D, 3, FALSE)</f>
        <v>McSween</v>
      </c>
      <c r="C780">
        <f>VLOOKUP($A780,'Medical Examinations'!A:C, 3, FALSE)</f>
        <v>30.02</v>
      </c>
      <c r="D780" t="str">
        <f>VLOOKUP($A780, 'Medical Examinations'!A:D, 4, FALSE)</f>
        <v>Diabetes</v>
      </c>
      <c r="E780" t="str">
        <f>VLOOKUP($A780, 'Medical Examinations'!A:F, 6, FALSE)</f>
        <v>No</v>
      </c>
      <c r="F780" t="str">
        <f>VLOOKUP($A780, 'Medical Examinations'!A:G, 7, FALSE)</f>
        <v>No</v>
      </c>
      <c r="G780" t="str">
        <f>VLOOKUP($A780, 'Medical Examinations'!A:H, 8, FALSE)</f>
        <v>No</v>
      </c>
      <c r="H780" t="str">
        <f>VLOOKUP($A780, 'Medical Examinations'!A:J, 10, FALSE)</f>
        <v>No major surgery</v>
      </c>
      <c r="I780" t="str">
        <f>VLOOKUP($A780, 'Medical Examinations'!A:K, 11, FALSE)</f>
        <v>No</v>
      </c>
      <c r="J780" t="str">
        <f>VLOOKUP($A780, 'Medical Examinations'!A:B, 2, FALSE)</f>
        <v>Obesity</v>
      </c>
      <c r="K780" t="str">
        <f>VLOOKUP($A780, 'Medical Examinations'!A:D, 4, FALSE)</f>
        <v>Diabetes</v>
      </c>
    </row>
    <row r="781" spans="1:11" ht="15.5" x14ac:dyDescent="0.35">
      <c r="A781" s="1" t="s">
        <v>1591</v>
      </c>
      <c r="B781" t="str">
        <f>VLOOKUP($A781, 'Customer Names'!A:D, 3, FALSE)</f>
        <v>Schubert</v>
      </c>
      <c r="C781">
        <f>VLOOKUP($A781,'Medical Examinations'!A:C, 3, FALSE)</f>
        <v>37.909999999999997</v>
      </c>
      <c r="D781" t="str">
        <f>VLOOKUP($A781, 'Medical Examinations'!A:D, 4, FALSE)</f>
        <v>Normal</v>
      </c>
      <c r="E781" t="str">
        <f>VLOOKUP($A781, 'Medical Examinations'!A:F, 6, FALSE)</f>
        <v>yes</v>
      </c>
      <c r="F781" t="str">
        <f>VLOOKUP($A781, 'Medical Examinations'!A:G, 7, FALSE)</f>
        <v>No</v>
      </c>
      <c r="G781" t="str">
        <f>VLOOKUP($A781, 'Medical Examinations'!A:H, 8, FALSE)</f>
        <v>No</v>
      </c>
      <c r="H781" t="str">
        <f>VLOOKUP($A781, 'Medical Examinations'!A:J, 10, FALSE)</f>
        <v>No major surgery</v>
      </c>
      <c r="I781" t="str">
        <f>VLOOKUP($A781, 'Medical Examinations'!A:K, 11, FALSE)</f>
        <v>No</v>
      </c>
      <c r="J781" t="str">
        <f>VLOOKUP($A781, 'Medical Examinations'!A:B, 2, FALSE)</f>
        <v>Obesity</v>
      </c>
      <c r="K781" t="str">
        <f>VLOOKUP($A781, 'Medical Examinations'!A:D, 4, FALSE)</f>
        <v>Normal</v>
      </c>
    </row>
    <row r="782" spans="1:11" ht="15.5" x14ac:dyDescent="0.35">
      <c r="A782" s="1" t="s">
        <v>1590</v>
      </c>
      <c r="B782" t="str">
        <f>VLOOKUP($A782, 'Customer Names'!A:D, 3, FALSE)</f>
        <v>Lalanne</v>
      </c>
      <c r="C782">
        <f>VLOOKUP($A782,'Medical Examinations'!A:C, 3, FALSE)</f>
        <v>54.61</v>
      </c>
      <c r="D782" t="str">
        <f>VLOOKUP($A782, 'Medical Examinations'!A:D, 4, FALSE)</f>
        <v>Normal</v>
      </c>
      <c r="E782" t="str">
        <f>VLOOKUP($A782, 'Medical Examinations'!A:F, 6, FALSE)</f>
        <v>No</v>
      </c>
      <c r="F782" t="str">
        <f>VLOOKUP($A782, 'Medical Examinations'!A:G, 7, FALSE)</f>
        <v>No</v>
      </c>
      <c r="G782" t="str">
        <f>VLOOKUP($A782, 'Medical Examinations'!A:H, 8, FALSE)</f>
        <v>No</v>
      </c>
      <c r="H782" t="str">
        <f>VLOOKUP($A782, 'Medical Examinations'!A:J, 10, FALSE)</f>
        <v>No major surgery</v>
      </c>
      <c r="I782" t="str">
        <f>VLOOKUP($A782, 'Medical Examinations'!A:K, 11, FALSE)</f>
        <v>No</v>
      </c>
      <c r="J782" t="str">
        <f>VLOOKUP($A782, 'Medical Examinations'!A:B, 2, FALSE)</f>
        <v>Obesity</v>
      </c>
      <c r="K782" t="str">
        <f>VLOOKUP($A782, 'Medical Examinations'!A:D, 4, FALSE)</f>
        <v>Normal</v>
      </c>
    </row>
    <row r="783" spans="1:11" ht="15.5" x14ac:dyDescent="0.35">
      <c r="A783" s="1" t="s">
        <v>1589</v>
      </c>
      <c r="B783" t="str">
        <f>VLOOKUP($A783, 'Customer Names'!A:D, 3, FALSE)</f>
        <v>Flanagan</v>
      </c>
      <c r="C783">
        <f>VLOOKUP($A783,'Medical Examinations'!A:C, 3, FALSE)</f>
        <v>36.005000000000003</v>
      </c>
      <c r="D783" t="str">
        <f>VLOOKUP($A783, 'Medical Examinations'!A:D, 4, FALSE)</f>
        <v>Diabetes</v>
      </c>
      <c r="E783" t="str">
        <f>VLOOKUP($A783, 'Medical Examinations'!A:F, 6, FALSE)</f>
        <v>No</v>
      </c>
      <c r="F783" t="str">
        <f>VLOOKUP($A783, 'Medical Examinations'!A:G, 7, FALSE)</f>
        <v>No</v>
      </c>
      <c r="G783" t="str">
        <f>VLOOKUP($A783, 'Medical Examinations'!A:H, 8, FALSE)</f>
        <v>No</v>
      </c>
      <c r="H783" t="str">
        <f>VLOOKUP($A783, 'Medical Examinations'!A:J, 10, FALSE)</f>
        <v>No major surgery</v>
      </c>
      <c r="I783" t="str">
        <f>VLOOKUP($A783, 'Medical Examinations'!A:K, 11, FALSE)</f>
        <v>No</v>
      </c>
      <c r="J783" t="str">
        <f>VLOOKUP($A783, 'Medical Examinations'!A:B, 2, FALSE)</f>
        <v>Obesity</v>
      </c>
      <c r="K783" t="str">
        <f>VLOOKUP($A783, 'Medical Examinations'!A:D, 4, FALSE)</f>
        <v>Diabetes</v>
      </c>
    </row>
    <row r="784" spans="1:11" ht="15.5" x14ac:dyDescent="0.35">
      <c r="A784" s="1" t="s">
        <v>1588</v>
      </c>
      <c r="B784" t="str">
        <f>VLOOKUP($A784, 'Customer Names'!A:D, 3, FALSE)</f>
        <v>Arellano</v>
      </c>
      <c r="C784">
        <f>VLOOKUP($A784,'Medical Examinations'!A:C, 3, FALSE)</f>
        <v>28.7</v>
      </c>
      <c r="D784" t="str">
        <f>VLOOKUP($A784, 'Medical Examinations'!A:D, 4, FALSE)</f>
        <v>Diabetes</v>
      </c>
      <c r="E784" t="str">
        <f>VLOOKUP($A784, 'Medical Examinations'!A:F, 6, FALSE)</f>
        <v>No</v>
      </c>
      <c r="F784" t="str">
        <f>VLOOKUP($A784, 'Medical Examinations'!A:G, 7, FALSE)</f>
        <v>No</v>
      </c>
      <c r="G784" t="str">
        <f>VLOOKUP($A784, 'Medical Examinations'!A:H, 8, FALSE)</f>
        <v>No</v>
      </c>
      <c r="H784" t="str">
        <f>VLOOKUP($A784, 'Medical Examinations'!A:J, 10, FALSE)</f>
        <v>No major surgery</v>
      </c>
      <c r="I784" t="str">
        <f>VLOOKUP($A784, 'Medical Examinations'!A:K, 11, FALSE)</f>
        <v>No</v>
      </c>
      <c r="J784" t="str">
        <f>VLOOKUP($A784, 'Medical Examinations'!A:B, 2, FALSE)</f>
        <v>Overweight</v>
      </c>
      <c r="K784" t="str">
        <f>VLOOKUP($A784, 'Medical Examinations'!A:D, 4, FALSE)</f>
        <v>Diabetes</v>
      </c>
    </row>
    <row r="785" spans="1:11" ht="15.5" x14ac:dyDescent="0.35">
      <c r="A785" s="1" t="s">
        <v>1587</v>
      </c>
      <c r="B785" t="str">
        <f>VLOOKUP($A785, 'Customer Names'!A:D, 3, FALSE)</f>
        <v>Charette</v>
      </c>
      <c r="C785">
        <f>VLOOKUP($A785,'Medical Examinations'!A:C, 3, FALSE)</f>
        <v>34.295000000000002</v>
      </c>
      <c r="D785" t="str">
        <f>VLOOKUP($A785, 'Medical Examinations'!A:D, 4, FALSE)</f>
        <v>Diabetes</v>
      </c>
      <c r="E785" t="str">
        <f>VLOOKUP($A785, 'Medical Examinations'!A:F, 6, FALSE)</f>
        <v>No</v>
      </c>
      <c r="F785" t="str">
        <f>VLOOKUP($A785, 'Medical Examinations'!A:G, 7, FALSE)</f>
        <v>No</v>
      </c>
      <c r="G785" t="str">
        <f>VLOOKUP($A785, 'Medical Examinations'!A:H, 8, FALSE)</f>
        <v>No</v>
      </c>
      <c r="H785" t="str">
        <f>VLOOKUP($A785, 'Medical Examinations'!A:J, 10, FALSE)</f>
        <v>No major surgery</v>
      </c>
      <c r="I785" t="str">
        <f>VLOOKUP($A785, 'Medical Examinations'!A:K, 11, FALSE)</f>
        <v>No</v>
      </c>
      <c r="J785" t="str">
        <f>VLOOKUP($A785, 'Medical Examinations'!A:B, 2, FALSE)</f>
        <v>Obesity</v>
      </c>
      <c r="K785" t="str">
        <f>VLOOKUP($A785, 'Medical Examinations'!A:D, 4, FALSE)</f>
        <v>Diabetes</v>
      </c>
    </row>
    <row r="786" spans="1:11" ht="15.5" x14ac:dyDescent="0.35">
      <c r="A786" s="1" t="s">
        <v>1586</v>
      </c>
      <c r="B786" t="str">
        <f>VLOOKUP($A786, 'Customer Names'!A:D, 3, FALSE)</f>
        <v>Pena Reyes</v>
      </c>
      <c r="C786">
        <f>VLOOKUP($A786,'Medical Examinations'!A:C, 3, FALSE)</f>
        <v>27.55</v>
      </c>
      <c r="D786" t="str">
        <f>VLOOKUP($A786, 'Medical Examinations'!A:D, 4, FALSE)</f>
        <v>Diabetes</v>
      </c>
      <c r="E786" t="str">
        <f>VLOOKUP($A786, 'Medical Examinations'!A:F, 6, FALSE)</f>
        <v>No</v>
      </c>
      <c r="F786" t="str">
        <f>VLOOKUP($A786, 'Medical Examinations'!A:G, 7, FALSE)</f>
        <v>No</v>
      </c>
      <c r="G786" t="str">
        <f>VLOOKUP($A786, 'Medical Examinations'!A:H, 8, FALSE)</f>
        <v>No</v>
      </c>
      <c r="H786" t="str">
        <f>VLOOKUP($A786, 'Medical Examinations'!A:J, 10, FALSE)</f>
        <v>No major surgery</v>
      </c>
      <c r="I786" t="str">
        <f>VLOOKUP($A786, 'Medical Examinations'!A:K, 11, FALSE)</f>
        <v>No</v>
      </c>
      <c r="J786" t="str">
        <f>VLOOKUP($A786, 'Medical Examinations'!A:B, 2, FALSE)</f>
        <v>Overweight</v>
      </c>
      <c r="K786" t="str">
        <f>VLOOKUP($A786, 'Medical Examinations'!A:D, 4, FALSE)</f>
        <v>Diabetes</v>
      </c>
    </row>
    <row r="787" spans="1:11" ht="15.5" x14ac:dyDescent="0.35">
      <c r="A787" s="1" t="s">
        <v>1585</v>
      </c>
      <c r="B787" t="str">
        <f>VLOOKUP($A787, 'Customer Names'!A:D, 3, FALSE)</f>
        <v>Broderick</v>
      </c>
      <c r="C787">
        <f>VLOOKUP($A787,'Medical Examinations'!A:C, 3, FALSE)</f>
        <v>40.700000000000003</v>
      </c>
      <c r="D787" t="str">
        <f>VLOOKUP($A787, 'Medical Examinations'!A:D, 4, FALSE)</f>
        <v>Normal</v>
      </c>
      <c r="E787" t="str">
        <f>VLOOKUP($A787, 'Medical Examinations'!A:F, 6, FALSE)</f>
        <v>No</v>
      </c>
      <c r="F787" t="str">
        <f>VLOOKUP($A787, 'Medical Examinations'!A:G, 7, FALSE)</f>
        <v>No</v>
      </c>
      <c r="G787" t="str">
        <f>VLOOKUP($A787, 'Medical Examinations'!A:H, 8, FALSE)</f>
        <v>No</v>
      </c>
      <c r="H787" t="str">
        <f>VLOOKUP($A787, 'Medical Examinations'!A:J, 10, FALSE)</f>
        <v>No major surgery</v>
      </c>
      <c r="I787" t="str">
        <f>VLOOKUP($A787, 'Medical Examinations'!A:K, 11, FALSE)</f>
        <v>No</v>
      </c>
      <c r="J787" t="str">
        <f>VLOOKUP($A787, 'Medical Examinations'!A:B, 2, FALSE)</f>
        <v>Obesity</v>
      </c>
      <c r="K787" t="str">
        <f>VLOOKUP($A787, 'Medical Examinations'!A:D, 4, FALSE)</f>
        <v>Normal</v>
      </c>
    </row>
    <row r="788" spans="1:11" ht="15.5" x14ac:dyDescent="0.35">
      <c r="A788" s="1" t="s">
        <v>1584</v>
      </c>
      <c r="B788" t="str">
        <f>VLOOKUP($A788, 'Customer Names'!A:D, 3, FALSE)</f>
        <v>Summers</v>
      </c>
      <c r="C788">
        <f>VLOOKUP($A788,'Medical Examinations'!A:C, 3, FALSE)</f>
        <v>18.335000000000001</v>
      </c>
      <c r="D788" t="str">
        <f>VLOOKUP($A788, 'Medical Examinations'!A:D, 4, FALSE)</f>
        <v>Diabetes</v>
      </c>
      <c r="E788" t="str">
        <f>VLOOKUP($A788, 'Medical Examinations'!A:F, 6, FALSE)</f>
        <v>No</v>
      </c>
      <c r="F788" t="str">
        <f>VLOOKUP($A788, 'Medical Examinations'!A:G, 7, FALSE)</f>
        <v>No</v>
      </c>
      <c r="G788" t="str">
        <f>VLOOKUP($A788, 'Medical Examinations'!A:H, 8, FALSE)</f>
        <v>No</v>
      </c>
      <c r="H788" t="str">
        <f>VLOOKUP($A788, 'Medical Examinations'!A:J, 10, FALSE)</f>
        <v>No major surgery</v>
      </c>
      <c r="I788" t="str">
        <f>VLOOKUP($A788, 'Medical Examinations'!A:K, 11, FALSE)</f>
        <v>No</v>
      </c>
      <c r="J788" t="str">
        <f>VLOOKUP($A788, 'Medical Examinations'!A:B, 2, FALSE)</f>
        <v>Underweight</v>
      </c>
      <c r="K788" t="str">
        <f>VLOOKUP($A788, 'Medical Examinations'!A:D, 4, FALSE)</f>
        <v>Diabetes</v>
      </c>
    </row>
    <row r="789" spans="1:11" ht="15.5" x14ac:dyDescent="0.35">
      <c r="A789" s="1" t="s">
        <v>1583</v>
      </c>
      <c r="B789" t="str">
        <f>VLOOKUP($A789, 'Customer Names'!A:D, 3, FALSE)</f>
        <v>Fisher</v>
      </c>
      <c r="C789">
        <f>VLOOKUP($A789,'Medical Examinations'!A:C, 3, FALSE)</f>
        <v>33.914999999999999</v>
      </c>
      <c r="D789" t="str">
        <f>VLOOKUP($A789, 'Medical Examinations'!A:D, 4, FALSE)</f>
        <v>Diabetes</v>
      </c>
      <c r="E789" t="str">
        <f>VLOOKUP($A789, 'Medical Examinations'!A:F, 6, FALSE)</f>
        <v>yes</v>
      </c>
      <c r="F789" t="str">
        <f>VLOOKUP($A789, 'Medical Examinations'!A:G, 7, FALSE)</f>
        <v>No</v>
      </c>
      <c r="G789" t="str">
        <f>VLOOKUP($A789, 'Medical Examinations'!A:H, 8, FALSE)</f>
        <v>No</v>
      </c>
      <c r="H789">
        <f>VLOOKUP($A789, 'Medical Examinations'!A:J, 10, FALSE)</f>
        <v>2</v>
      </c>
      <c r="I789" t="str">
        <f>VLOOKUP($A789, 'Medical Examinations'!A:K, 11, FALSE)</f>
        <v>No</v>
      </c>
      <c r="J789" t="str">
        <f>VLOOKUP($A789, 'Medical Examinations'!A:B, 2, FALSE)</f>
        <v>Obesity</v>
      </c>
      <c r="K789" t="str">
        <f>VLOOKUP($A789, 'Medical Examinations'!A:D, 4, FALSE)</f>
        <v>Diabetes</v>
      </c>
    </row>
    <row r="790" spans="1:11" ht="15.5" x14ac:dyDescent="0.35">
      <c r="A790" s="1" t="s">
        <v>1582</v>
      </c>
      <c r="B790" t="str">
        <f>VLOOKUP($A790, 'Customer Names'!A:D, 3, FALSE)</f>
        <v>Zhou</v>
      </c>
      <c r="C790">
        <f>VLOOKUP($A790,'Medical Examinations'!A:C, 3, FALSE)</f>
        <v>33.534999999999997</v>
      </c>
      <c r="D790" t="str">
        <f>VLOOKUP($A790, 'Medical Examinations'!A:D, 4, FALSE)</f>
        <v>Diabetes</v>
      </c>
      <c r="E790" t="str">
        <f>VLOOKUP($A790, 'Medical Examinations'!A:F, 6, FALSE)</f>
        <v>yes</v>
      </c>
      <c r="F790" t="str">
        <f>VLOOKUP($A790, 'Medical Examinations'!A:G, 7, FALSE)</f>
        <v>No</v>
      </c>
      <c r="G790" t="str">
        <f>VLOOKUP($A790, 'Medical Examinations'!A:H, 8, FALSE)</f>
        <v>No</v>
      </c>
      <c r="H790">
        <f>VLOOKUP($A790, 'Medical Examinations'!A:J, 10, FALSE)</f>
        <v>2</v>
      </c>
      <c r="I790" t="str">
        <f>VLOOKUP($A790, 'Medical Examinations'!A:K, 11, FALSE)</f>
        <v>No</v>
      </c>
      <c r="J790" t="str">
        <f>VLOOKUP($A790, 'Medical Examinations'!A:B, 2, FALSE)</f>
        <v>Obesity</v>
      </c>
      <c r="K790" t="str">
        <f>VLOOKUP($A790, 'Medical Examinations'!A:D, 4, FALSE)</f>
        <v>Diabetes</v>
      </c>
    </row>
    <row r="791" spans="1:11" ht="15.5" x14ac:dyDescent="0.35">
      <c r="A791" s="1" t="s">
        <v>1581</v>
      </c>
      <c r="B791" t="str">
        <f>VLOOKUP($A791, 'Customer Names'!A:D, 3, FALSE)</f>
        <v>Clarke-Ames</v>
      </c>
      <c r="C791">
        <f>VLOOKUP($A791,'Medical Examinations'!A:C, 3, FALSE)</f>
        <v>23.655000000000001</v>
      </c>
      <c r="D791" t="str">
        <f>VLOOKUP($A791, 'Medical Examinations'!A:D, 4, FALSE)</f>
        <v>Diabetes</v>
      </c>
      <c r="E791" t="str">
        <f>VLOOKUP($A791, 'Medical Examinations'!A:F, 6, FALSE)</f>
        <v>yes</v>
      </c>
      <c r="F791" t="str">
        <f>VLOOKUP($A791, 'Medical Examinations'!A:G, 7, FALSE)</f>
        <v>No</v>
      </c>
      <c r="G791" t="str">
        <f>VLOOKUP($A791, 'Medical Examinations'!A:H, 8, FALSE)</f>
        <v>No</v>
      </c>
      <c r="H791">
        <f>VLOOKUP($A791, 'Medical Examinations'!A:J, 10, FALSE)</f>
        <v>2</v>
      </c>
      <c r="I791" t="str">
        <f>VLOOKUP($A791, 'Medical Examinations'!A:K, 11, FALSE)</f>
        <v>No</v>
      </c>
      <c r="J791" t="str">
        <f>VLOOKUP($A791, 'Medical Examinations'!A:B, 2, FALSE)</f>
        <v>Normal Weight</v>
      </c>
      <c r="K791" t="str">
        <f>VLOOKUP($A791, 'Medical Examinations'!A:D, 4, FALSE)</f>
        <v>Diabetes</v>
      </c>
    </row>
    <row r="792" spans="1:11" ht="15.5" x14ac:dyDescent="0.35">
      <c r="A792" s="1" t="s">
        <v>1580</v>
      </c>
      <c r="B792" t="str">
        <f>VLOOKUP($A792, 'Customer Names'!A:D, 3, FALSE)</f>
        <v>Staton</v>
      </c>
      <c r="C792">
        <f>VLOOKUP($A792,'Medical Examinations'!A:C, 3, FALSE)</f>
        <v>28</v>
      </c>
      <c r="D792" t="str">
        <f>VLOOKUP($A792, 'Medical Examinations'!A:D, 4, FALSE)</f>
        <v>Normal</v>
      </c>
      <c r="E792" t="str">
        <f>VLOOKUP($A792, 'Medical Examinations'!A:F, 6, FALSE)</f>
        <v>No</v>
      </c>
      <c r="F792" t="str">
        <f>VLOOKUP($A792, 'Medical Examinations'!A:G, 7, FALSE)</f>
        <v>No</v>
      </c>
      <c r="G792" t="str">
        <f>VLOOKUP($A792, 'Medical Examinations'!A:H, 8, FALSE)</f>
        <v>No</v>
      </c>
      <c r="H792" t="str">
        <f>VLOOKUP($A792, 'Medical Examinations'!A:J, 10, FALSE)</f>
        <v>No major surgery</v>
      </c>
      <c r="I792" t="str">
        <f>VLOOKUP($A792, 'Medical Examinations'!A:K, 11, FALSE)</f>
        <v>No</v>
      </c>
      <c r="J792" t="str">
        <f>VLOOKUP($A792, 'Medical Examinations'!A:B, 2, FALSE)</f>
        <v>Overweight</v>
      </c>
      <c r="K792" t="str">
        <f>VLOOKUP($A792, 'Medical Examinations'!A:D, 4, FALSE)</f>
        <v>Normal</v>
      </c>
    </row>
    <row r="793" spans="1:11" ht="15.5" x14ac:dyDescent="0.35">
      <c r="A793" s="1" t="s">
        <v>1579</v>
      </c>
      <c r="B793" t="str">
        <f>VLOOKUP($A793, 'Customer Names'!A:D, 3, FALSE)</f>
        <v>Forster</v>
      </c>
      <c r="C793">
        <f>VLOOKUP($A793,'Medical Examinations'!A:C, 3, FALSE)</f>
        <v>30.23</v>
      </c>
      <c r="D793" t="str">
        <f>VLOOKUP($A793, 'Medical Examinations'!A:D, 4, FALSE)</f>
        <v>Diabetes</v>
      </c>
      <c r="E793" t="str">
        <f>VLOOKUP($A793, 'Medical Examinations'!A:F, 6, FALSE)</f>
        <v>yes</v>
      </c>
      <c r="F793" t="str">
        <f>VLOOKUP($A793, 'Medical Examinations'!A:G, 7, FALSE)</f>
        <v>No</v>
      </c>
      <c r="G793" t="str">
        <f>VLOOKUP($A793, 'Medical Examinations'!A:H, 8, FALSE)</f>
        <v>Yes</v>
      </c>
      <c r="H793">
        <f>VLOOKUP($A793, 'Medical Examinations'!A:J, 10, FALSE)</f>
        <v>1</v>
      </c>
      <c r="I793" t="str">
        <f>VLOOKUP($A793, 'Medical Examinations'!A:K, 11, FALSE)</f>
        <v>No</v>
      </c>
      <c r="J793" t="str">
        <f>VLOOKUP($A793, 'Medical Examinations'!A:B, 2, FALSE)</f>
        <v>Obesity</v>
      </c>
      <c r="K793" t="str">
        <f>VLOOKUP($A793, 'Medical Examinations'!A:D, 4, FALSE)</f>
        <v>Diabetes</v>
      </c>
    </row>
    <row r="794" spans="1:11" ht="15.5" x14ac:dyDescent="0.35">
      <c r="A794" s="1" t="s">
        <v>1578</v>
      </c>
      <c r="B794" t="str">
        <f>VLOOKUP($A794, 'Customer Names'!A:D, 3, FALSE)</f>
        <v>Monaghan</v>
      </c>
      <c r="C794">
        <f>VLOOKUP($A794,'Medical Examinations'!A:C, 3, FALSE)</f>
        <v>51.14</v>
      </c>
      <c r="D794" t="str">
        <f>VLOOKUP($A794, 'Medical Examinations'!A:D, 4, FALSE)</f>
        <v>Normal</v>
      </c>
      <c r="E794" t="str">
        <f>VLOOKUP($A794, 'Medical Examinations'!A:F, 6, FALSE)</f>
        <v>No</v>
      </c>
      <c r="F794" t="str">
        <f>VLOOKUP($A794, 'Medical Examinations'!A:G, 7, FALSE)</f>
        <v>No</v>
      </c>
      <c r="G794" t="str">
        <f>VLOOKUP($A794, 'Medical Examinations'!A:H, 8, FALSE)</f>
        <v>No</v>
      </c>
      <c r="H794">
        <f>VLOOKUP($A794, 'Medical Examinations'!A:J, 10, FALSE)</f>
        <v>1</v>
      </c>
      <c r="I794" t="str">
        <f>VLOOKUP($A794, 'Medical Examinations'!A:K, 11, FALSE)</f>
        <v>No</v>
      </c>
      <c r="J794" t="str">
        <f>VLOOKUP($A794, 'Medical Examinations'!A:B, 2, FALSE)</f>
        <v>Obesity</v>
      </c>
      <c r="K794" t="str">
        <f>VLOOKUP($A794, 'Medical Examinations'!A:D, 4, FALSE)</f>
        <v>Normal</v>
      </c>
    </row>
    <row r="795" spans="1:11" ht="15.5" x14ac:dyDescent="0.35">
      <c r="A795" s="1" t="s">
        <v>1577</v>
      </c>
      <c r="B795" t="str">
        <f>VLOOKUP($A795, 'Customer Names'!A:D, 3, FALSE)</f>
        <v>Kawamoto</v>
      </c>
      <c r="C795">
        <f>VLOOKUP($A795,'Medical Examinations'!A:C, 3, FALSE)</f>
        <v>24.32</v>
      </c>
      <c r="D795" t="str">
        <f>VLOOKUP($A795, 'Medical Examinations'!A:D, 4, FALSE)</f>
        <v>Diabetes</v>
      </c>
      <c r="E795" t="str">
        <f>VLOOKUP($A795, 'Medical Examinations'!A:F, 6, FALSE)</f>
        <v>No</v>
      </c>
      <c r="F795" t="str">
        <f>VLOOKUP($A795, 'Medical Examinations'!A:G, 7, FALSE)</f>
        <v>No</v>
      </c>
      <c r="G795" t="str">
        <f>VLOOKUP($A795, 'Medical Examinations'!A:H, 8, FALSE)</f>
        <v>No</v>
      </c>
      <c r="H795" t="str">
        <f>VLOOKUP($A795, 'Medical Examinations'!A:J, 10, FALSE)</f>
        <v>No major surgery</v>
      </c>
      <c r="I795" t="str">
        <f>VLOOKUP($A795, 'Medical Examinations'!A:K, 11, FALSE)</f>
        <v>No</v>
      </c>
      <c r="J795" t="str">
        <f>VLOOKUP($A795, 'Medical Examinations'!A:B, 2, FALSE)</f>
        <v>Normal Weight</v>
      </c>
      <c r="K795" t="str">
        <f>VLOOKUP($A795, 'Medical Examinations'!A:D, 4, FALSE)</f>
        <v>Diabetes</v>
      </c>
    </row>
    <row r="796" spans="1:11" ht="15.5" x14ac:dyDescent="0.35">
      <c r="A796" s="1" t="s">
        <v>1576</v>
      </c>
      <c r="B796" t="str">
        <f>VLOOKUP($A796, 'Customer Names'!A:D, 3, FALSE)</f>
        <v>Dicharry</v>
      </c>
      <c r="C796">
        <f>VLOOKUP($A796,'Medical Examinations'!A:C, 3, FALSE)</f>
        <v>38.06</v>
      </c>
      <c r="D796" t="str">
        <f>VLOOKUP($A796, 'Medical Examinations'!A:D, 4, FALSE)</f>
        <v>Diabetes</v>
      </c>
      <c r="E796" t="str">
        <f>VLOOKUP($A796, 'Medical Examinations'!A:F, 6, FALSE)</f>
        <v>No</v>
      </c>
      <c r="F796" t="str">
        <f>VLOOKUP($A796, 'Medical Examinations'!A:G, 7, FALSE)</f>
        <v>No</v>
      </c>
      <c r="G796" t="str">
        <f>VLOOKUP($A796, 'Medical Examinations'!A:H, 8, FALSE)</f>
        <v>No</v>
      </c>
      <c r="H796" t="str">
        <f>VLOOKUP($A796, 'Medical Examinations'!A:J, 10, FALSE)</f>
        <v>No major surgery</v>
      </c>
      <c r="I796" t="str">
        <f>VLOOKUP($A796, 'Medical Examinations'!A:K, 11, FALSE)</f>
        <v>No</v>
      </c>
      <c r="J796" t="str">
        <f>VLOOKUP($A796, 'Medical Examinations'!A:B, 2, FALSE)</f>
        <v>Obesity</v>
      </c>
      <c r="K796" t="str">
        <f>VLOOKUP($A796, 'Medical Examinations'!A:D, 4, FALSE)</f>
        <v>Diabetes</v>
      </c>
    </row>
    <row r="797" spans="1:11" ht="15.5" x14ac:dyDescent="0.35">
      <c r="A797" s="1" t="s">
        <v>1575</v>
      </c>
      <c r="B797" t="str">
        <f>VLOOKUP($A797, 'Customer Names'!A:D, 3, FALSE)</f>
        <v>Berry</v>
      </c>
      <c r="C797">
        <f>VLOOKUP($A797,'Medical Examinations'!A:C, 3, FALSE)</f>
        <v>37.700000000000003</v>
      </c>
      <c r="D797" t="str">
        <f>VLOOKUP($A797, 'Medical Examinations'!A:D, 4, FALSE)</f>
        <v>Diabetes</v>
      </c>
      <c r="E797" t="str">
        <f>VLOOKUP($A797, 'Medical Examinations'!A:F, 6, FALSE)</f>
        <v>No</v>
      </c>
      <c r="F797" t="str">
        <f>VLOOKUP($A797, 'Medical Examinations'!A:G, 7, FALSE)</f>
        <v>No</v>
      </c>
      <c r="G797" t="str">
        <f>VLOOKUP($A797, 'Medical Examinations'!A:H, 8, FALSE)</f>
        <v>No</v>
      </c>
      <c r="H797" t="str">
        <f>VLOOKUP($A797, 'Medical Examinations'!A:J, 10, FALSE)</f>
        <v>No major surgery</v>
      </c>
      <c r="I797" t="str">
        <f>VLOOKUP($A797, 'Medical Examinations'!A:K, 11, FALSE)</f>
        <v>No</v>
      </c>
      <c r="J797" t="str">
        <f>VLOOKUP($A797, 'Medical Examinations'!A:B, 2, FALSE)</f>
        <v>Obesity</v>
      </c>
      <c r="K797" t="str">
        <f>VLOOKUP($A797, 'Medical Examinations'!A:D, 4, FALSE)</f>
        <v>Diabetes</v>
      </c>
    </row>
    <row r="798" spans="1:11" ht="15.5" x14ac:dyDescent="0.35">
      <c r="A798" s="1" t="s">
        <v>1574</v>
      </c>
      <c r="B798" t="str">
        <f>VLOOKUP($A798, 'Customer Names'!A:D, 3, FALSE)</f>
        <v>Porfirio</v>
      </c>
      <c r="C798">
        <f>VLOOKUP($A798,'Medical Examinations'!A:C, 3, FALSE)</f>
        <v>44</v>
      </c>
      <c r="D798" t="str">
        <f>VLOOKUP($A798, 'Medical Examinations'!A:D, 4, FALSE)</f>
        <v>Diabetes</v>
      </c>
      <c r="E798" t="str">
        <f>VLOOKUP($A798, 'Medical Examinations'!A:F, 6, FALSE)</f>
        <v>yes</v>
      </c>
      <c r="F798" t="str">
        <f>VLOOKUP($A798, 'Medical Examinations'!A:G, 7, FALSE)</f>
        <v>No</v>
      </c>
      <c r="G798" t="str">
        <f>VLOOKUP($A798, 'Medical Examinations'!A:H, 8, FALSE)</f>
        <v>No</v>
      </c>
      <c r="H798">
        <f>VLOOKUP($A798, 'Medical Examinations'!A:J, 10, FALSE)</f>
        <v>2</v>
      </c>
      <c r="I798" t="str">
        <f>VLOOKUP($A798, 'Medical Examinations'!A:K, 11, FALSE)</f>
        <v>No</v>
      </c>
      <c r="J798" t="str">
        <f>VLOOKUP($A798, 'Medical Examinations'!A:B, 2, FALSE)</f>
        <v>Obesity</v>
      </c>
      <c r="K798" t="str">
        <f>VLOOKUP($A798, 'Medical Examinations'!A:D, 4, FALSE)</f>
        <v>Diabetes</v>
      </c>
    </row>
    <row r="799" spans="1:11" ht="15.5" x14ac:dyDescent="0.35">
      <c r="A799" s="1" t="s">
        <v>1573</v>
      </c>
      <c r="B799" t="str">
        <f>VLOOKUP($A799, 'Customer Names'!A:D, 3, FALSE)</f>
        <v>Thind</v>
      </c>
      <c r="C799">
        <f>VLOOKUP($A799,'Medical Examinations'!A:C, 3, FALSE)</f>
        <v>41.45</v>
      </c>
      <c r="D799" t="str">
        <f>VLOOKUP($A799, 'Medical Examinations'!A:D, 4, FALSE)</f>
        <v>Prediabetes</v>
      </c>
      <c r="E799" t="str">
        <f>VLOOKUP($A799, 'Medical Examinations'!A:F, 6, FALSE)</f>
        <v>yes</v>
      </c>
      <c r="F799" t="str">
        <f>VLOOKUP($A799, 'Medical Examinations'!A:G, 7, FALSE)</f>
        <v>No</v>
      </c>
      <c r="G799" t="str">
        <f>VLOOKUP($A799, 'Medical Examinations'!A:H, 8, FALSE)</f>
        <v>No</v>
      </c>
      <c r="H799" t="str">
        <f>VLOOKUP($A799, 'Medical Examinations'!A:J, 10, FALSE)</f>
        <v>No major surgery</v>
      </c>
      <c r="I799" t="str">
        <f>VLOOKUP($A799, 'Medical Examinations'!A:K, 11, FALSE)</f>
        <v>No</v>
      </c>
      <c r="J799" t="str">
        <f>VLOOKUP($A799, 'Medical Examinations'!A:B, 2, FALSE)</f>
        <v>Obesity</v>
      </c>
      <c r="K799" t="str">
        <f>VLOOKUP($A799, 'Medical Examinations'!A:D, 4, FALSE)</f>
        <v>Prediabetes</v>
      </c>
    </row>
    <row r="800" spans="1:11" ht="15.5" x14ac:dyDescent="0.35">
      <c r="A800" s="1" t="s">
        <v>1572</v>
      </c>
      <c r="B800" t="str">
        <f>VLOOKUP($A800, 'Customer Names'!A:D, 3, FALSE)</f>
        <v>Ryan</v>
      </c>
      <c r="C800">
        <f>VLOOKUP($A800,'Medical Examinations'!A:C, 3, FALSE)</f>
        <v>25.364999999999998</v>
      </c>
      <c r="D800" t="str">
        <f>VLOOKUP($A800, 'Medical Examinations'!A:D, 4, FALSE)</f>
        <v>Diabetes</v>
      </c>
      <c r="E800" t="str">
        <f>VLOOKUP($A800, 'Medical Examinations'!A:F, 6, FALSE)</f>
        <v>yes</v>
      </c>
      <c r="F800" t="str">
        <f>VLOOKUP($A800, 'Medical Examinations'!A:G, 7, FALSE)</f>
        <v>No</v>
      </c>
      <c r="G800" t="str">
        <f>VLOOKUP($A800, 'Medical Examinations'!A:H, 8, FALSE)</f>
        <v>No</v>
      </c>
      <c r="H800" t="str">
        <f>VLOOKUP($A800, 'Medical Examinations'!A:J, 10, FALSE)</f>
        <v>No major surgery</v>
      </c>
      <c r="I800" t="str">
        <f>VLOOKUP($A800, 'Medical Examinations'!A:K, 11, FALSE)</f>
        <v>No</v>
      </c>
      <c r="J800" t="str">
        <f>VLOOKUP($A800, 'Medical Examinations'!A:B, 2, FALSE)</f>
        <v>Overweight</v>
      </c>
      <c r="K800" t="str">
        <f>VLOOKUP($A800, 'Medical Examinations'!A:D, 4, FALSE)</f>
        <v>Diabetes</v>
      </c>
    </row>
    <row r="801" spans="1:11" ht="15.5" x14ac:dyDescent="0.35">
      <c r="A801" s="1" t="s">
        <v>1571</v>
      </c>
      <c r="B801" t="str">
        <f>VLOOKUP($A801, 'Customer Names'!A:D, 3, FALSE)</f>
        <v>Horn</v>
      </c>
      <c r="C801">
        <f>VLOOKUP($A801,'Medical Examinations'!A:C, 3, FALSE)</f>
        <v>34.56</v>
      </c>
      <c r="D801" t="str">
        <f>VLOOKUP($A801, 'Medical Examinations'!A:D, 4, FALSE)</f>
        <v>Prediabetes</v>
      </c>
      <c r="E801" t="str">
        <f>VLOOKUP($A801, 'Medical Examinations'!A:F, 6, FALSE)</f>
        <v>yes</v>
      </c>
      <c r="F801" t="str">
        <f>VLOOKUP($A801, 'Medical Examinations'!A:G, 7, FALSE)</f>
        <v>No</v>
      </c>
      <c r="G801" t="str">
        <f>VLOOKUP($A801, 'Medical Examinations'!A:H, 8, FALSE)</f>
        <v>Yes</v>
      </c>
      <c r="H801">
        <f>VLOOKUP($A801, 'Medical Examinations'!A:J, 10, FALSE)</f>
        <v>1</v>
      </c>
      <c r="I801" t="str">
        <f>VLOOKUP($A801, 'Medical Examinations'!A:K, 11, FALSE)</f>
        <v>No</v>
      </c>
      <c r="J801" t="str">
        <f>VLOOKUP($A801, 'Medical Examinations'!A:B, 2, FALSE)</f>
        <v>Obesity</v>
      </c>
      <c r="K801" t="str">
        <f>VLOOKUP($A801, 'Medical Examinations'!A:D, 4, FALSE)</f>
        <v>Prediabetes</v>
      </c>
    </row>
    <row r="802" spans="1:11" ht="15.5" x14ac:dyDescent="0.35">
      <c r="A802" s="1" t="s">
        <v>1570</v>
      </c>
      <c r="B802" t="str">
        <f>VLOOKUP($A802, 'Customer Names'!A:D, 3, FALSE)</f>
        <v>Sabadosa</v>
      </c>
      <c r="C802">
        <f>VLOOKUP($A802,'Medical Examinations'!A:C, 3, FALSE)</f>
        <v>28.2</v>
      </c>
      <c r="D802" t="str">
        <f>VLOOKUP($A802, 'Medical Examinations'!A:D, 4, FALSE)</f>
        <v>Diabetes</v>
      </c>
      <c r="E802" t="str">
        <f>VLOOKUP($A802, 'Medical Examinations'!A:F, 6, FALSE)</f>
        <v>yes</v>
      </c>
      <c r="F802" t="str">
        <f>VLOOKUP($A802, 'Medical Examinations'!A:G, 7, FALSE)</f>
        <v>No</v>
      </c>
      <c r="G802" t="str">
        <f>VLOOKUP($A802, 'Medical Examinations'!A:H, 8, FALSE)</f>
        <v>No</v>
      </c>
      <c r="H802">
        <f>VLOOKUP($A802, 'Medical Examinations'!A:J, 10, FALSE)</f>
        <v>2</v>
      </c>
      <c r="I802" t="str">
        <f>VLOOKUP($A802, 'Medical Examinations'!A:K, 11, FALSE)</f>
        <v>No</v>
      </c>
      <c r="J802" t="str">
        <f>VLOOKUP($A802, 'Medical Examinations'!A:B, 2, FALSE)</f>
        <v>Overweight</v>
      </c>
      <c r="K802" t="str">
        <f>VLOOKUP($A802, 'Medical Examinations'!A:D, 4, FALSE)</f>
        <v>Diabetes</v>
      </c>
    </row>
    <row r="803" spans="1:11" ht="15.5" x14ac:dyDescent="0.35">
      <c r="A803" s="1" t="s">
        <v>1569</v>
      </c>
      <c r="B803" t="str">
        <f>VLOOKUP($A803, 'Customer Names'!A:D, 3, FALSE)</f>
        <v>Casady</v>
      </c>
      <c r="C803">
        <f>VLOOKUP($A803,'Medical Examinations'!A:C, 3, FALSE)</f>
        <v>30.43</v>
      </c>
      <c r="D803" t="str">
        <f>VLOOKUP($A803, 'Medical Examinations'!A:D, 4, FALSE)</f>
        <v>Diabetes</v>
      </c>
      <c r="E803" t="str">
        <f>VLOOKUP($A803, 'Medical Examinations'!A:F, 6, FALSE)</f>
        <v>No</v>
      </c>
      <c r="F803" t="str">
        <f>VLOOKUP($A803, 'Medical Examinations'!A:G, 7, FALSE)</f>
        <v>No</v>
      </c>
      <c r="G803" t="str">
        <f>VLOOKUP($A803, 'Medical Examinations'!A:H, 8, FALSE)</f>
        <v>No</v>
      </c>
      <c r="H803" t="str">
        <f>VLOOKUP($A803, 'Medical Examinations'!A:J, 10, FALSE)</f>
        <v>No major surgery</v>
      </c>
      <c r="I803" t="str">
        <f>VLOOKUP($A803, 'Medical Examinations'!A:K, 11, FALSE)</f>
        <v>No</v>
      </c>
      <c r="J803" t="str">
        <f>VLOOKUP($A803, 'Medical Examinations'!A:B, 2, FALSE)</f>
        <v>Obesity</v>
      </c>
      <c r="K803" t="str">
        <f>VLOOKUP($A803, 'Medical Examinations'!A:D, 4, FALSE)</f>
        <v>Diabetes</v>
      </c>
    </row>
    <row r="804" spans="1:11" ht="15.5" x14ac:dyDescent="0.35">
      <c r="A804" s="1" t="s">
        <v>1568</v>
      </c>
      <c r="B804" t="str">
        <f>VLOOKUP($A804, 'Customer Names'!A:D, 3, FALSE)</f>
        <v>Phillips</v>
      </c>
      <c r="C804">
        <f>VLOOKUP($A804,'Medical Examinations'!A:C, 3, FALSE)</f>
        <v>32.395000000000003</v>
      </c>
      <c r="D804" t="str">
        <f>VLOOKUP($A804, 'Medical Examinations'!A:D, 4, FALSE)</f>
        <v>Normal</v>
      </c>
      <c r="E804" t="str">
        <f>VLOOKUP($A804, 'Medical Examinations'!A:F, 6, FALSE)</f>
        <v>yes</v>
      </c>
      <c r="F804" t="str">
        <f>VLOOKUP($A804, 'Medical Examinations'!A:G, 7, FALSE)</f>
        <v>No</v>
      </c>
      <c r="G804" t="str">
        <f>VLOOKUP($A804, 'Medical Examinations'!A:H, 8, FALSE)</f>
        <v>No</v>
      </c>
      <c r="H804">
        <f>VLOOKUP($A804, 'Medical Examinations'!A:J, 10, FALSE)</f>
        <v>1</v>
      </c>
      <c r="I804" t="str">
        <f>VLOOKUP($A804, 'Medical Examinations'!A:K, 11, FALSE)</f>
        <v>No</v>
      </c>
      <c r="J804" t="str">
        <f>VLOOKUP($A804, 'Medical Examinations'!A:B, 2, FALSE)</f>
        <v>Obesity</v>
      </c>
      <c r="K804" t="str">
        <f>VLOOKUP($A804, 'Medical Examinations'!A:D, 4, FALSE)</f>
        <v>Normal</v>
      </c>
    </row>
    <row r="805" spans="1:11" ht="15.5" x14ac:dyDescent="0.35">
      <c r="A805" s="1" t="s">
        <v>1567</v>
      </c>
      <c r="B805" t="str">
        <f>VLOOKUP($A805, 'Customer Names'!A:D, 3, FALSE)</f>
        <v>Ahokas</v>
      </c>
      <c r="C805">
        <f>VLOOKUP($A805,'Medical Examinations'!A:C, 3, FALSE)</f>
        <v>24.035</v>
      </c>
      <c r="D805" t="str">
        <f>VLOOKUP($A805, 'Medical Examinations'!A:D, 4, FALSE)</f>
        <v>Diabetes</v>
      </c>
      <c r="E805" t="str">
        <f>VLOOKUP($A805, 'Medical Examinations'!A:F, 6, FALSE)</f>
        <v>No</v>
      </c>
      <c r="F805" t="str">
        <f>VLOOKUP($A805, 'Medical Examinations'!A:G, 7, FALSE)</f>
        <v>No</v>
      </c>
      <c r="G805" t="str">
        <f>VLOOKUP($A805, 'Medical Examinations'!A:H, 8, FALSE)</f>
        <v>No</v>
      </c>
      <c r="H805" t="str">
        <f>VLOOKUP($A805, 'Medical Examinations'!A:J, 10, FALSE)</f>
        <v>No major surgery</v>
      </c>
      <c r="I805" t="str">
        <f>VLOOKUP($A805, 'Medical Examinations'!A:K, 11, FALSE)</f>
        <v>No</v>
      </c>
      <c r="J805" t="str">
        <f>VLOOKUP($A805, 'Medical Examinations'!A:B, 2, FALSE)</f>
        <v>Normal Weight</v>
      </c>
      <c r="K805" t="str">
        <f>VLOOKUP($A805, 'Medical Examinations'!A:D, 4, FALSE)</f>
        <v>Diabetes</v>
      </c>
    </row>
    <row r="806" spans="1:11" ht="15.5" x14ac:dyDescent="0.35">
      <c r="A806" s="1" t="s">
        <v>1566</v>
      </c>
      <c r="B806" t="str">
        <f>VLOOKUP($A806, 'Customer Names'!A:D, 3, FALSE)</f>
        <v>Hebert</v>
      </c>
      <c r="C806">
        <f>VLOOKUP($A806,'Medical Examinations'!A:C, 3, FALSE)</f>
        <v>37.119999999999997</v>
      </c>
      <c r="D806" t="str">
        <f>VLOOKUP($A806, 'Medical Examinations'!A:D, 4, FALSE)</f>
        <v>Normal</v>
      </c>
      <c r="E806" t="str">
        <f>VLOOKUP($A806, 'Medical Examinations'!A:F, 6, FALSE)</f>
        <v>No</v>
      </c>
      <c r="F806" t="str">
        <f>VLOOKUP($A806, 'Medical Examinations'!A:G, 7, FALSE)</f>
        <v>No</v>
      </c>
      <c r="G806" t="str">
        <f>VLOOKUP($A806, 'Medical Examinations'!A:H, 8, FALSE)</f>
        <v>No</v>
      </c>
      <c r="H806">
        <f>VLOOKUP($A806, 'Medical Examinations'!A:J, 10, FALSE)</f>
        <v>2</v>
      </c>
      <c r="I806" t="str">
        <f>VLOOKUP($A806, 'Medical Examinations'!A:K, 11, FALSE)</f>
        <v>No</v>
      </c>
      <c r="J806" t="str">
        <f>VLOOKUP($A806, 'Medical Examinations'!A:B, 2, FALSE)</f>
        <v>Obesity</v>
      </c>
      <c r="K806" t="str">
        <f>VLOOKUP($A806, 'Medical Examinations'!A:D, 4, FALSE)</f>
        <v>Normal</v>
      </c>
    </row>
    <row r="807" spans="1:11" ht="15.5" x14ac:dyDescent="0.35">
      <c r="A807" s="1" t="s">
        <v>1565</v>
      </c>
      <c r="B807" t="str">
        <f>VLOOKUP($A807, 'Customer Names'!A:D, 3, FALSE)</f>
        <v>Fair</v>
      </c>
      <c r="C807">
        <f>VLOOKUP($A807,'Medical Examinations'!A:C, 3, FALSE)</f>
        <v>34.840000000000003</v>
      </c>
      <c r="D807" t="str">
        <f>VLOOKUP($A807, 'Medical Examinations'!A:D, 4, FALSE)</f>
        <v>Prediabetes</v>
      </c>
      <c r="E807" t="str">
        <f>VLOOKUP($A807, 'Medical Examinations'!A:F, 6, FALSE)</f>
        <v>yes</v>
      </c>
      <c r="F807" t="str">
        <f>VLOOKUP($A807, 'Medical Examinations'!A:G, 7, FALSE)</f>
        <v>No</v>
      </c>
      <c r="G807" t="str">
        <f>VLOOKUP($A807, 'Medical Examinations'!A:H, 8, FALSE)</f>
        <v>Yes</v>
      </c>
      <c r="H807">
        <f>VLOOKUP($A807, 'Medical Examinations'!A:J, 10, FALSE)</f>
        <v>1</v>
      </c>
      <c r="I807" t="str">
        <f>VLOOKUP($A807, 'Medical Examinations'!A:K, 11, FALSE)</f>
        <v>No</v>
      </c>
      <c r="J807" t="str">
        <f>VLOOKUP($A807, 'Medical Examinations'!A:B, 2, FALSE)</f>
        <v>Obesity</v>
      </c>
      <c r="K807" t="str">
        <f>VLOOKUP($A807, 'Medical Examinations'!A:D, 4, FALSE)</f>
        <v>Prediabetes</v>
      </c>
    </row>
    <row r="808" spans="1:11" ht="15.5" x14ac:dyDescent="0.35">
      <c r="A808" s="1" t="s">
        <v>1564</v>
      </c>
      <c r="B808" t="str">
        <f>VLOOKUP($A808, 'Customer Names'!A:D, 3, FALSE)</f>
        <v>Swenson</v>
      </c>
      <c r="C808">
        <f>VLOOKUP($A808,'Medical Examinations'!A:C, 3, FALSE)</f>
        <v>29.53</v>
      </c>
      <c r="D808" t="str">
        <f>VLOOKUP($A808, 'Medical Examinations'!A:D, 4, FALSE)</f>
        <v>Diabetes</v>
      </c>
      <c r="E808" t="str">
        <f>VLOOKUP($A808, 'Medical Examinations'!A:F, 6, FALSE)</f>
        <v>No</v>
      </c>
      <c r="F808" t="str">
        <f>VLOOKUP($A808, 'Medical Examinations'!A:G, 7, FALSE)</f>
        <v>No</v>
      </c>
      <c r="G808" t="str">
        <f>VLOOKUP($A808, 'Medical Examinations'!A:H, 8, FALSE)</f>
        <v>No</v>
      </c>
      <c r="H808" t="str">
        <f>VLOOKUP($A808, 'Medical Examinations'!A:J, 10, FALSE)</f>
        <v>No major surgery</v>
      </c>
      <c r="I808" t="str">
        <f>VLOOKUP($A808, 'Medical Examinations'!A:K, 11, FALSE)</f>
        <v>No</v>
      </c>
      <c r="J808" t="str">
        <f>VLOOKUP($A808, 'Medical Examinations'!A:B, 2, FALSE)</f>
        <v>Overweight</v>
      </c>
      <c r="K808" t="str">
        <f>VLOOKUP($A808, 'Medical Examinations'!A:D, 4, FALSE)</f>
        <v>Diabetes</v>
      </c>
    </row>
    <row r="809" spans="1:11" ht="15.5" x14ac:dyDescent="0.35">
      <c r="A809" s="1" t="s">
        <v>1563</v>
      </c>
      <c r="B809" t="str">
        <f>VLOOKUP($A809, 'Customer Names'!A:D, 3, FALSE)</f>
        <v>Revenis</v>
      </c>
      <c r="C809">
        <f>VLOOKUP($A809,'Medical Examinations'!A:C, 3, FALSE)</f>
        <v>42.51</v>
      </c>
      <c r="D809" t="str">
        <f>VLOOKUP($A809, 'Medical Examinations'!A:D, 4, FALSE)</f>
        <v>Diabetes</v>
      </c>
      <c r="E809" t="str">
        <f>VLOOKUP($A809, 'Medical Examinations'!A:F, 6, FALSE)</f>
        <v>yes</v>
      </c>
      <c r="F809" t="str">
        <f>VLOOKUP($A809, 'Medical Examinations'!A:G, 7, FALSE)</f>
        <v>No</v>
      </c>
      <c r="G809" t="str">
        <f>VLOOKUP($A809, 'Medical Examinations'!A:H, 8, FALSE)</f>
        <v>No</v>
      </c>
      <c r="H809" t="str">
        <f>VLOOKUP($A809, 'Medical Examinations'!A:J, 10, FALSE)</f>
        <v>No major surgery</v>
      </c>
      <c r="I809" t="str">
        <f>VLOOKUP($A809, 'Medical Examinations'!A:K, 11, FALSE)</f>
        <v>No</v>
      </c>
      <c r="J809" t="str">
        <f>VLOOKUP($A809, 'Medical Examinations'!A:B, 2, FALSE)</f>
        <v>Obesity</v>
      </c>
      <c r="K809" t="str">
        <f>VLOOKUP($A809, 'Medical Examinations'!A:D, 4, FALSE)</f>
        <v>Diabetes</v>
      </c>
    </row>
    <row r="810" spans="1:11" ht="15.5" x14ac:dyDescent="0.35">
      <c r="A810" s="1" t="s">
        <v>1562</v>
      </c>
      <c r="B810" t="str">
        <f>VLOOKUP($A810, 'Customer Names'!A:D, 3, FALSE)</f>
        <v>Engnes</v>
      </c>
      <c r="C810">
        <f>VLOOKUP($A810,'Medical Examinations'!A:C, 3, FALSE)</f>
        <v>38.14</v>
      </c>
      <c r="D810" t="str">
        <f>VLOOKUP($A810, 'Medical Examinations'!A:D, 4, FALSE)</f>
        <v>Normal</v>
      </c>
      <c r="E810" t="str">
        <f>VLOOKUP($A810, 'Medical Examinations'!A:F, 6, FALSE)</f>
        <v>No</v>
      </c>
      <c r="F810" t="str">
        <f>VLOOKUP($A810, 'Medical Examinations'!A:G, 7, FALSE)</f>
        <v>No</v>
      </c>
      <c r="G810" t="str">
        <f>VLOOKUP($A810, 'Medical Examinations'!A:H, 8, FALSE)</f>
        <v>Yes</v>
      </c>
      <c r="H810">
        <f>VLOOKUP($A810, 'Medical Examinations'!A:J, 10, FALSE)</f>
        <v>1</v>
      </c>
      <c r="I810" t="str">
        <f>VLOOKUP($A810, 'Medical Examinations'!A:K, 11, FALSE)</f>
        <v>No</v>
      </c>
      <c r="J810" t="str">
        <f>VLOOKUP($A810, 'Medical Examinations'!A:B, 2, FALSE)</f>
        <v>Obesity</v>
      </c>
      <c r="K810" t="str">
        <f>VLOOKUP($A810, 'Medical Examinations'!A:D, 4, FALSE)</f>
        <v>Normal</v>
      </c>
    </row>
    <row r="811" spans="1:11" ht="15.5" x14ac:dyDescent="0.35">
      <c r="A811" s="1" t="s">
        <v>1561</v>
      </c>
      <c r="B811" t="str">
        <f>VLOOKUP($A811, 'Customer Names'!A:D, 3, FALSE)</f>
        <v>Wiltse</v>
      </c>
      <c r="C811">
        <f>VLOOKUP($A811,'Medical Examinations'!A:C, 3, FALSE)</f>
        <v>39.93</v>
      </c>
      <c r="D811" t="str">
        <f>VLOOKUP($A811, 'Medical Examinations'!A:D, 4, FALSE)</f>
        <v>Diabetes</v>
      </c>
      <c r="E811" t="str">
        <f>VLOOKUP($A811, 'Medical Examinations'!A:F, 6, FALSE)</f>
        <v>No</v>
      </c>
      <c r="F811" t="str">
        <f>VLOOKUP($A811, 'Medical Examinations'!A:G, 7, FALSE)</f>
        <v>No</v>
      </c>
      <c r="G811" t="str">
        <f>VLOOKUP($A811, 'Medical Examinations'!A:H, 8, FALSE)</f>
        <v>No</v>
      </c>
      <c r="H811" t="str">
        <f>VLOOKUP($A811, 'Medical Examinations'!A:J, 10, FALSE)</f>
        <v>No major surgery</v>
      </c>
      <c r="I811" t="str">
        <f>VLOOKUP($A811, 'Medical Examinations'!A:K, 11, FALSE)</f>
        <v>No</v>
      </c>
      <c r="J811" t="str">
        <f>VLOOKUP($A811, 'Medical Examinations'!A:B, 2, FALSE)</f>
        <v>Obesity</v>
      </c>
      <c r="K811" t="str">
        <f>VLOOKUP($A811, 'Medical Examinations'!A:D, 4, FALSE)</f>
        <v>Diabetes</v>
      </c>
    </row>
    <row r="812" spans="1:11" ht="15.5" x14ac:dyDescent="0.35">
      <c r="A812" s="1" t="s">
        <v>1560</v>
      </c>
      <c r="B812" t="str">
        <f>VLOOKUP($A812, 'Customer Names'!A:D, 3, FALSE)</f>
        <v>Fernandez</v>
      </c>
      <c r="C812">
        <f>VLOOKUP($A812,'Medical Examinations'!A:C, 3, FALSE)</f>
        <v>38.83</v>
      </c>
      <c r="D812" t="str">
        <f>VLOOKUP($A812, 'Medical Examinations'!A:D, 4, FALSE)</f>
        <v>Diabetes</v>
      </c>
      <c r="E812" t="str">
        <f>VLOOKUP($A812, 'Medical Examinations'!A:F, 6, FALSE)</f>
        <v>No</v>
      </c>
      <c r="F812" t="str">
        <f>VLOOKUP($A812, 'Medical Examinations'!A:G, 7, FALSE)</f>
        <v>No</v>
      </c>
      <c r="G812" t="str">
        <f>VLOOKUP($A812, 'Medical Examinations'!A:H, 8, FALSE)</f>
        <v>No</v>
      </c>
      <c r="H812" t="str">
        <f>VLOOKUP($A812, 'Medical Examinations'!A:J, 10, FALSE)</f>
        <v>No major surgery</v>
      </c>
      <c r="I812" t="str">
        <f>VLOOKUP($A812, 'Medical Examinations'!A:K, 11, FALSE)</f>
        <v>No</v>
      </c>
      <c r="J812" t="str">
        <f>VLOOKUP($A812, 'Medical Examinations'!A:B, 2, FALSE)</f>
        <v>Obesity</v>
      </c>
      <c r="K812" t="str">
        <f>VLOOKUP($A812, 'Medical Examinations'!A:D, 4, FALSE)</f>
        <v>Diabetes</v>
      </c>
    </row>
    <row r="813" spans="1:11" ht="15.5" x14ac:dyDescent="0.35">
      <c r="A813" s="1" t="s">
        <v>1559</v>
      </c>
      <c r="B813" t="str">
        <f>VLOOKUP($A813, 'Customer Names'!A:D, 3, FALSE)</f>
        <v>Edwards</v>
      </c>
      <c r="C813">
        <f>VLOOKUP($A813,'Medical Examinations'!A:C, 3, FALSE)</f>
        <v>37.4</v>
      </c>
      <c r="D813" t="str">
        <f>VLOOKUP($A813, 'Medical Examinations'!A:D, 4, FALSE)</f>
        <v>Diabetes</v>
      </c>
      <c r="E813" t="str">
        <f>VLOOKUP($A813, 'Medical Examinations'!A:F, 6, FALSE)</f>
        <v>No</v>
      </c>
      <c r="F813" t="str">
        <f>VLOOKUP($A813, 'Medical Examinations'!A:G, 7, FALSE)</f>
        <v>No</v>
      </c>
      <c r="G813" t="str">
        <f>VLOOKUP($A813, 'Medical Examinations'!A:H, 8, FALSE)</f>
        <v>No</v>
      </c>
      <c r="H813" t="str">
        <f>VLOOKUP($A813, 'Medical Examinations'!A:J, 10, FALSE)</f>
        <v>No major surgery</v>
      </c>
      <c r="I813" t="str">
        <f>VLOOKUP($A813, 'Medical Examinations'!A:K, 11, FALSE)</f>
        <v>No</v>
      </c>
      <c r="J813" t="str">
        <f>VLOOKUP($A813, 'Medical Examinations'!A:B, 2, FALSE)</f>
        <v>Obesity</v>
      </c>
      <c r="K813" t="str">
        <f>VLOOKUP($A813, 'Medical Examinations'!A:D, 4, FALSE)</f>
        <v>Diabetes</v>
      </c>
    </row>
    <row r="814" spans="1:11" ht="15.5" x14ac:dyDescent="0.35">
      <c r="A814" s="1" t="s">
        <v>1558</v>
      </c>
      <c r="B814" t="str">
        <f>VLOOKUP($A814, 'Customer Names'!A:D, 3, FALSE)</f>
        <v>Pinney</v>
      </c>
      <c r="C814">
        <f>VLOOKUP($A814,'Medical Examinations'!A:C, 3, FALSE)</f>
        <v>21.4</v>
      </c>
      <c r="D814" t="str">
        <f>VLOOKUP($A814, 'Medical Examinations'!A:D, 4, FALSE)</f>
        <v>Diabetes</v>
      </c>
      <c r="E814" t="str">
        <f>VLOOKUP($A814, 'Medical Examinations'!A:F, 6, FALSE)</f>
        <v>No</v>
      </c>
      <c r="F814" t="str">
        <f>VLOOKUP($A814, 'Medical Examinations'!A:G, 7, FALSE)</f>
        <v>No</v>
      </c>
      <c r="G814" t="str">
        <f>VLOOKUP($A814, 'Medical Examinations'!A:H, 8, FALSE)</f>
        <v>No</v>
      </c>
      <c r="H814" t="str">
        <f>VLOOKUP($A814, 'Medical Examinations'!A:J, 10, FALSE)</f>
        <v>No major surgery</v>
      </c>
      <c r="I814" t="str">
        <f>VLOOKUP($A814, 'Medical Examinations'!A:K, 11, FALSE)</f>
        <v>No</v>
      </c>
      <c r="J814" t="str">
        <f>VLOOKUP($A814, 'Medical Examinations'!A:B, 2, FALSE)</f>
        <v>Normal Weight</v>
      </c>
      <c r="K814" t="str">
        <f>VLOOKUP($A814, 'Medical Examinations'!A:D, 4, FALSE)</f>
        <v>Diabetes</v>
      </c>
    </row>
    <row r="815" spans="1:11" ht="15.5" x14ac:dyDescent="0.35">
      <c r="A815" s="1" t="s">
        <v>1557</v>
      </c>
      <c r="B815" t="str">
        <f>VLOOKUP($A815, 'Customer Names'!A:D, 3, FALSE)</f>
        <v>Levy</v>
      </c>
      <c r="C815">
        <f>VLOOKUP($A815,'Medical Examinations'!A:C, 3, FALSE)</f>
        <v>38.380000000000003</v>
      </c>
      <c r="D815" t="str">
        <f>VLOOKUP($A815, 'Medical Examinations'!A:D, 4, FALSE)</f>
        <v>Diabetes</v>
      </c>
      <c r="E815" t="str">
        <f>VLOOKUP($A815, 'Medical Examinations'!A:F, 6, FALSE)</f>
        <v>yes</v>
      </c>
      <c r="F815" t="str">
        <f>VLOOKUP($A815, 'Medical Examinations'!A:G, 7, FALSE)</f>
        <v>No</v>
      </c>
      <c r="G815" t="str">
        <f>VLOOKUP($A815, 'Medical Examinations'!A:H, 8, FALSE)</f>
        <v>No</v>
      </c>
      <c r="H815">
        <f>VLOOKUP($A815, 'Medical Examinations'!A:J, 10, FALSE)</f>
        <v>2</v>
      </c>
      <c r="I815" t="str">
        <f>VLOOKUP($A815, 'Medical Examinations'!A:K, 11, FALSE)</f>
        <v>No</v>
      </c>
      <c r="J815" t="str">
        <f>VLOOKUP($A815, 'Medical Examinations'!A:B, 2, FALSE)</f>
        <v>Obesity</v>
      </c>
      <c r="K815" t="str">
        <f>VLOOKUP($A815, 'Medical Examinations'!A:D, 4, FALSE)</f>
        <v>Diabetes</v>
      </c>
    </row>
    <row r="816" spans="1:11" ht="15.5" x14ac:dyDescent="0.35">
      <c r="A816" s="1" t="s">
        <v>1556</v>
      </c>
      <c r="B816" t="str">
        <f>VLOOKUP($A816, 'Customer Names'!A:D, 3, FALSE)</f>
        <v>Takeda</v>
      </c>
      <c r="C816">
        <f>VLOOKUP($A816,'Medical Examinations'!A:C, 3, FALSE)</f>
        <v>33.659999999999997</v>
      </c>
      <c r="D816" t="str">
        <f>VLOOKUP($A816, 'Medical Examinations'!A:D, 4, FALSE)</f>
        <v>Normal</v>
      </c>
      <c r="E816" t="str">
        <f>VLOOKUP($A816, 'Medical Examinations'!A:F, 6, FALSE)</f>
        <v>yes</v>
      </c>
      <c r="F816" t="str">
        <f>VLOOKUP($A816, 'Medical Examinations'!A:G, 7, FALSE)</f>
        <v>No</v>
      </c>
      <c r="G816" t="str">
        <f>VLOOKUP($A816, 'Medical Examinations'!A:H, 8, FALSE)</f>
        <v>No</v>
      </c>
      <c r="H816">
        <f>VLOOKUP($A816, 'Medical Examinations'!A:J, 10, FALSE)</f>
        <v>2</v>
      </c>
      <c r="I816" t="str">
        <f>VLOOKUP($A816, 'Medical Examinations'!A:K, 11, FALSE)</f>
        <v>No</v>
      </c>
      <c r="J816" t="str">
        <f>VLOOKUP($A816, 'Medical Examinations'!A:B, 2, FALSE)</f>
        <v>Obesity</v>
      </c>
      <c r="K816" t="str">
        <f>VLOOKUP($A816, 'Medical Examinations'!A:D, 4, FALSE)</f>
        <v>Normal</v>
      </c>
    </row>
    <row r="817" spans="1:11" ht="15.5" x14ac:dyDescent="0.35">
      <c r="A817" s="1" t="s">
        <v>1555</v>
      </c>
      <c r="B817" t="str">
        <f>VLOOKUP($A817, 'Customer Names'!A:D, 3, FALSE)</f>
        <v>Burke</v>
      </c>
      <c r="C817">
        <f>VLOOKUP($A817,'Medical Examinations'!A:C, 3, FALSE)</f>
        <v>31.79</v>
      </c>
      <c r="D817" t="str">
        <f>VLOOKUP($A817, 'Medical Examinations'!A:D, 4, FALSE)</f>
        <v>Diabetes</v>
      </c>
      <c r="E817" t="str">
        <f>VLOOKUP($A817, 'Medical Examinations'!A:F, 6, FALSE)</f>
        <v>yes</v>
      </c>
      <c r="F817" t="str">
        <f>VLOOKUP($A817, 'Medical Examinations'!A:G, 7, FALSE)</f>
        <v>No</v>
      </c>
      <c r="G817" t="str">
        <f>VLOOKUP($A817, 'Medical Examinations'!A:H, 8, FALSE)</f>
        <v>Yes</v>
      </c>
      <c r="H817">
        <f>VLOOKUP($A817, 'Medical Examinations'!A:J, 10, FALSE)</f>
        <v>1</v>
      </c>
      <c r="I817" t="str">
        <f>VLOOKUP($A817, 'Medical Examinations'!A:K, 11, FALSE)</f>
        <v>No</v>
      </c>
      <c r="J817" t="str">
        <f>VLOOKUP($A817, 'Medical Examinations'!A:B, 2, FALSE)</f>
        <v>Obesity</v>
      </c>
      <c r="K817" t="str">
        <f>VLOOKUP($A817, 'Medical Examinations'!A:D, 4, FALSE)</f>
        <v>Diabetes</v>
      </c>
    </row>
    <row r="818" spans="1:11" ht="15.5" x14ac:dyDescent="0.35">
      <c r="A818" s="1" t="s">
        <v>1554</v>
      </c>
      <c r="B818" t="str">
        <f>VLOOKUP($A818, 'Customer Names'!A:D, 3, FALSE)</f>
        <v>Duarte</v>
      </c>
      <c r="C818">
        <f>VLOOKUP($A818,'Medical Examinations'!A:C, 3, FALSE)</f>
        <v>29.7</v>
      </c>
      <c r="D818" t="str">
        <f>VLOOKUP($A818, 'Medical Examinations'!A:D, 4, FALSE)</f>
        <v>Diabetes</v>
      </c>
      <c r="E818" t="str">
        <f>VLOOKUP($A818, 'Medical Examinations'!A:F, 6, FALSE)</f>
        <v>yes</v>
      </c>
      <c r="F818" t="str">
        <f>VLOOKUP($A818, 'Medical Examinations'!A:G, 7, FALSE)</f>
        <v>No</v>
      </c>
      <c r="G818" t="str">
        <f>VLOOKUP($A818, 'Medical Examinations'!A:H, 8, FALSE)</f>
        <v>Yes</v>
      </c>
      <c r="H818">
        <f>VLOOKUP($A818, 'Medical Examinations'!A:J, 10, FALSE)</f>
        <v>1</v>
      </c>
      <c r="I818" t="str">
        <f>VLOOKUP($A818, 'Medical Examinations'!A:K, 11, FALSE)</f>
        <v>No</v>
      </c>
      <c r="J818" t="str">
        <f>VLOOKUP($A818, 'Medical Examinations'!A:B, 2, FALSE)</f>
        <v>Overweight</v>
      </c>
      <c r="K818" t="str">
        <f>VLOOKUP($A818, 'Medical Examinations'!A:D, 4, FALSE)</f>
        <v>Diabetes</v>
      </c>
    </row>
    <row r="819" spans="1:11" ht="15.5" x14ac:dyDescent="0.35">
      <c r="A819" s="1" t="s">
        <v>1553</v>
      </c>
      <c r="B819" t="str">
        <f>VLOOKUP($A819, 'Customer Names'!A:D, 3, FALSE)</f>
        <v>Clark</v>
      </c>
      <c r="C819">
        <f>VLOOKUP($A819,'Medical Examinations'!A:C, 3, FALSE)</f>
        <v>25.46</v>
      </c>
      <c r="D819" t="str">
        <f>VLOOKUP($A819, 'Medical Examinations'!A:D, 4, FALSE)</f>
        <v>Diabetes</v>
      </c>
      <c r="E819" t="str">
        <f>VLOOKUP($A819, 'Medical Examinations'!A:F, 6, FALSE)</f>
        <v>yes</v>
      </c>
      <c r="F819" t="str">
        <f>VLOOKUP($A819, 'Medical Examinations'!A:G, 7, FALSE)</f>
        <v>No</v>
      </c>
      <c r="G819" t="str">
        <f>VLOOKUP($A819, 'Medical Examinations'!A:H, 8, FALSE)</f>
        <v>Yes</v>
      </c>
      <c r="H819">
        <f>VLOOKUP($A819, 'Medical Examinations'!A:J, 10, FALSE)</f>
        <v>1</v>
      </c>
      <c r="I819" t="str">
        <f>VLOOKUP($A819, 'Medical Examinations'!A:K, 11, FALSE)</f>
        <v>No</v>
      </c>
      <c r="J819" t="str">
        <f>VLOOKUP($A819, 'Medical Examinations'!A:B, 2, FALSE)</f>
        <v>Overweight</v>
      </c>
      <c r="K819" t="str">
        <f>VLOOKUP($A819, 'Medical Examinations'!A:D, 4, FALSE)</f>
        <v>Diabetes</v>
      </c>
    </row>
    <row r="820" spans="1:11" ht="15.5" x14ac:dyDescent="0.35">
      <c r="A820" s="1" t="s">
        <v>1552</v>
      </c>
      <c r="B820" t="str">
        <f>VLOOKUP($A820, 'Customer Names'!A:D, 3, FALSE)</f>
        <v>Nice</v>
      </c>
      <c r="C820">
        <f>VLOOKUP($A820,'Medical Examinations'!A:C, 3, FALSE)</f>
        <v>39.14</v>
      </c>
      <c r="D820" t="str">
        <f>VLOOKUP($A820, 'Medical Examinations'!A:D, 4, FALSE)</f>
        <v>Normal</v>
      </c>
      <c r="E820" t="str">
        <f>VLOOKUP($A820, 'Medical Examinations'!A:F, 6, FALSE)</f>
        <v>No</v>
      </c>
      <c r="F820" t="str">
        <f>VLOOKUP($A820, 'Medical Examinations'!A:G, 7, FALSE)</f>
        <v>yes</v>
      </c>
      <c r="G820" t="str">
        <f>VLOOKUP($A820, 'Medical Examinations'!A:H, 8, FALSE)</f>
        <v>No</v>
      </c>
      <c r="H820">
        <f>VLOOKUP($A820, 'Medical Examinations'!A:J, 10, FALSE)</f>
        <v>1</v>
      </c>
      <c r="I820" t="str">
        <f>VLOOKUP($A820, 'Medical Examinations'!A:K, 11, FALSE)</f>
        <v>No</v>
      </c>
      <c r="J820" t="str">
        <f>VLOOKUP($A820, 'Medical Examinations'!A:B, 2, FALSE)</f>
        <v>Obesity</v>
      </c>
      <c r="K820" t="str">
        <f>VLOOKUP($A820, 'Medical Examinations'!A:D, 4, FALSE)</f>
        <v>Normal</v>
      </c>
    </row>
    <row r="821" spans="1:11" ht="15.5" x14ac:dyDescent="0.35">
      <c r="A821" s="1" t="s">
        <v>1551</v>
      </c>
      <c r="B821" t="str">
        <f>VLOOKUP($A821, 'Customer Names'!A:D, 3, FALSE)</f>
        <v>Windler</v>
      </c>
      <c r="C821">
        <f>VLOOKUP($A821,'Medical Examinations'!A:C, 3, FALSE)</f>
        <v>41.2</v>
      </c>
      <c r="D821" t="str">
        <f>VLOOKUP($A821, 'Medical Examinations'!A:D, 4, FALSE)</f>
        <v>Normal</v>
      </c>
      <c r="E821" t="str">
        <f>VLOOKUP($A821, 'Medical Examinations'!A:F, 6, FALSE)</f>
        <v>No</v>
      </c>
      <c r="F821" t="str">
        <f>VLOOKUP($A821, 'Medical Examinations'!A:G, 7, FALSE)</f>
        <v>No</v>
      </c>
      <c r="G821" t="str">
        <f>VLOOKUP($A821, 'Medical Examinations'!A:H, 8, FALSE)</f>
        <v>No</v>
      </c>
      <c r="H821">
        <f>VLOOKUP($A821, 'Medical Examinations'!A:J, 10, FALSE)</f>
        <v>1</v>
      </c>
      <c r="I821" t="str">
        <f>VLOOKUP($A821, 'Medical Examinations'!A:K, 11, FALSE)</f>
        <v>No</v>
      </c>
      <c r="J821" t="str">
        <f>VLOOKUP($A821, 'Medical Examinations'!A:B, 2, FALSE)</f>
        <v>Obesity</v>
      </c>
      <c r="K821" t="str">
        <f>VLOOKUP($A821, 'Medical Examinations'!A:D, 4, FALSE)</f>
        <v>Normal</v>
      </c>
    </row>
    <row r="822" spans="1:11" ht="15.5" x14ac:dyDescent="0.35">
      <c r="A822" s="1" t="s">
        <v>1550</v>
      </c>
      <c r="B822" t="str">
        <f>VLOOKUP($A822, 'Customer Names'!A:D, 3, FALSE)</f>
        <v>Jones</v>
      </c>
      <c r="C822">
        <f>VLOOKUP($A822,'Medical Examinations'!A:C, 3, FALSE)</f>
        <v>28.81</v>
      </c>
      <c r="D822" t="str">
        <f>VLOOKUP($A822, 'Medical Examinations'!A:D, 4, FALSE)</f>
        <v>Diabetes</v>
      </c>
      <c r="E822" t="str">
        <f>VLOOKUP($A822, 'Medical Examinations'!A:F, 6, FALSE)</f>
        <v>yes</v>
      </c>
      <c r="F822" t="str">
        <f>VLOOKUP($A822, 'Medical Examinations'!A:G, 7, FALSE)</f>
        <v>No</v>
      </c>
      <c r="G822" t="str">
        <f>VLOOKUP($A822, 'Medical Examinations'!A:H, 8, FALSE)</f>
        <v>Yes</v>
      </c>
      <c r="H822">
        <f>VLOOKUP($A822, 'Medical Examinations'!A:J, 10, FALSE)</f>
        <v>1</v>
      </c>
      <c r="I822" t="str">
        <f>VLOOKUP($A822, 'Medical Examinations'!A:K, 11, FALSE)</f>
        <v>No</v>
      </c>
      <c r="J822" t="str">
        <f>VLOOKUP($A822, 'Medical Examinations'!A:B, 2, FALSE)</f>
        <v>Overweight</v>
      </c>
      <c r="K822" t="str">
        <f>VLOOKUP($A822, 'Medical Examinations'!A:D, 4, FALSE)</f>
        <v>Diabetes</v>
      </c>
    </row>
    <row r="823" spans="1:11" ht="15.5" x14ac:dyDescent="0.35">
      <c r="A823" s="1" t="s">
        <v>1549</v>
      </c>
      <c r="B823" t="str">
        <f>VLOOKUP($A823, 'Customer Names'!A:D, 3, FALSE)</f>
        <v>Stevenson</v>
      </c>
      <c r="C823">
        <f>VLOOKUP($A823,'Medical Examinations'!A:C, 3, FALSE)</f>
        <v>37.409999999999997</v>
      </c>
      <c r="D823" t="str">
        <f>VLOOKUP($A823, 'Medical Examinations'!A:D, 4, FALSE)</f>
        <v>Diabetes</v>
      </c>
      <c r="E823" t="str">
        <f>VLOOKUP($A823, 'Medical Examinations'!A:F, 6, FALSE)</f>
        <v>No</v>
      </c>
      <c r="F823" t="str">
        <f>VLOOKUP($A823, 'Medical Examinations'!A:G, 7, FALSE)</f>
        <v>No</v>
      </c>
      <c r="G823" t="str">
        <f>VLOOKUP($A823, 'Medical Examinations'!A:H, 8, FALSE)</f>
        <v>No</v>
      </c>
      <c r="H823">
        <f>VLOOKUP($A823, 'Medical Examinations'!A:J, 10, FALSE)</f>
        <v>2</v>
      </c>
      <c r="I823" t="str">
        <f>VLOOKUP($A823, 'Medical Examinations'!A:K, 11, FALSE)</f>
        <v>No</v>
      </c>
      <c r="J823" t="str">
        <f>VLOOKUP($A823, 'Medical Examinations'!A:B, 2, FALSE)</f>
        <v>Obesity</v>
      </c>
      <c r="K823" t="str">
        <f>VLOOKUP($A823, 'Medical Examinations'!A:D, 4, FALSE)</f>
        <v>Diabetes</v>
      </c>
    </row>
    <row r="824" spans="1:11" ht="15.5" x14ac:dyDescent="0.35">
      <c r="A824" s="1" t="s">
        <v>1548</v>
      </c>
      <c r="B824" t="str">
        <f>VLOOKUP($A824, 'Customer Names'!A:D, 3, FALSE)</f>
        <v>Humphrey</v>
      </c>
      <c r="C824">
        <f>VLOOKUP($A824,'Medical Examinations'!A:C, 3, FALSE)</f>
        <v>52.54</v>
      </c>
      <c r="D824" t="str">
        <f>VLOOKUP($A824, 'Medical Examinations'!A:D, 4, FALSE)</f>
        <v>Normal</v>
      </c>
      <c r="E824" t="str">
        <f>VLOOKUP($A824, 'Medical Examinations'!A:F, 6, FALSE)</f>
        <v>No</v>
      </c>
      <c r="F824" t="str">
        <f>VLOOKUP($A824, 'Medical Examinations'!A:G, 7, FALSE)</f>
        <v>No</v>
      </c>
      <c r="G824" t="str">
        <f>VLOOKUP($A824, 'Medical Examinations'!A:H, 8, FALSE)</f>
        <v>Yes</v>
      </c>
      <c r="H824">
        <f>VLOOKUP($A824, 'Medical Examinations'!A:J, 10, FALSE)</f>
        <v>1</v>
      </c>
      <c r="I824" t="str">
        <f>VLOOKUP($A824, 'Medical Examinations'!A:K, 11, FALSE)</f>
        <v>No</v>
      </c>
      <c r="J824" t="str">
        <f>VLOOKUP($A824, 'Medical Examinations'!A:B, 2, FALSE)</f>
        <v>Obesity</v>
      </c>
      <c r="K824" t="str">
        <f>VLOOKUP($A824, 'Medical Examinations'!A:D, 4, FALSE)</f>
        <v>Normal</v>
      </c>
    </row>
    <row r="825" spans="1:11" ht="15.5" x14ac:dyDescent="0.35">
      <c r="A825" s="1" t="s">
        <v>1547</v>
      </c>
      <c r="B825" t="str">
        <f>VLOOKUP($A825, 'Customer Names'!A:D, 3, FALSE)</f>
        <v>Nelson</v>
      </c>
      <c r="C825">
        <f>VLOOKUP($A825,'Medical Examinations'!A:C, 3, FALSE)</f>
        <v>17.29</v>
      </c>
      <c r="D825" t="str">
        <f>VLOOKUP($A825, 'Medical Examinations'!A:D, 4, FALSE)</f>
        <v>Normal</v>
      </c>
      <c r="E825" t="str">
        <f>VLOOKUP($A825, 'Medical Examinations'!A:F, 6, FALSE)</f>
        <v>No</v>
      </c>
      <c r="F825" t="str">
        <f>VLOOKUP($A825, 'Medical Examinations'!A:G, 7, FALSE)</f>
        <v>yes</v>
      </c>
      <c r="G825" t="str">
        <f>VLOOKUP($A825, 'Medical Examinations'!A:H, 8, FALSE)</f>
        <v>No</v>
      </c>
      <c r="H825">
        <f>VLOOKUP($A825, 'Medical Examinations'!A:J, 10, FALSE)</f>
        <v>1</v>
      </c>
      <c r="I825" t="str">
        <f>VLOOKUP($A825, 'Medical Examinations'!A:K, 11, FALSE)</f>
        <v>yes</v>
      </c>
      <c r="J825" t="str">
        <f>VLOOKUP($A825, 'Medical Examinations'!A:B, 2, FALSE)</f>
        <v>Underweight</v>
      </c>
      <c r="K825" t="str">
        <f>VLOOKUP($A825, 'Medical Examinations'!A:D, 4, FALSE)</f>
        <v>Normal</v>
      </c>
    </row>
    <row r="826" spans="1:11" ht="15.5" x14ac:dyDescent="0.35">
      <c r="A826" s="1" t="s">
        <v>1546</v>
      </c>
      <c r="B826" t="str">
        <f>VLOOKUP($A826, 'Customer Names'!A:D, 3, FALSE)</f>
        <v>Payne</v>
      </c>
      <c r="C826">
        <f>VLOOKUP($A826,'Medical Examinations'!A:C, 3, FALSE)</f>
        <v>31.74</v>
      </c>
      <c r="D826" t="str">
        <f>VLOOKUP($A826, 'Medical Examinations'!A:D, 4, FALSE)</f>
        <v>Diabetes</v>
      </c>
      <c r="E826" t="str">
        <f>VLOOKUP($A826, 'Medical Examinations'!A:F, 6, FALSE)</f>
        <v>yes</v>
      </c>
      <c r="F826" t="str">
        <f>VLOOKUP($A826, 'Medical Examinations'!A:G, 7, FALSE)</f>
        <v>No</v>
      </c>
      <c r="G826" t="str">
        <f>VLOOKUP($A826, 'Medical Examinations'!A:H, 8, FALSE)</f>
        <v>No</v>
      </c>
      <c r="H826" t="str">
        <f>VLOOKUP($A826, 'Medical Examinations'!A:J, 10, FALSE)</f>
        <v>No major surgery</v>
      </c>
      <c r="I826" t="str">
        <f>VLOOKUP($A826, 'Medical Examinations'!A:K, 11, FALSE)</f>
        <v>No</v>
      </c>
      <c r="J826" t="str">
        <f>VLOOKUP($A826, 'Medical Examinations'!A:B, 2, FALSE)</f>
        <v>Obesity</v>
      </c>
      <c r="K826" t="str">
        <f>VLOOKUP($A826, 'Medical Examinations'!A:D, 4, FALSE)</f>
        <v>Diabetes</v>
      </c>
    </row>
    <row r="827" spans="1:11" ht="15.5" x14ac:dyDescent="0.35">
      <c r="A827" s="1" t="s">
        <v>1545</v>
      </c>
      <c r="B827" t="str">
        <f>VLOOKUP($A827, 'Customer Names'!A:D, 3, FALSE)</f>
        <v>Hails</v>
      </c>
      <c r="C827">
        <f>VLOOKUP($A827,'Medical Examinations'!A:C, 3, FALSE)</f>
        <v>26.504999999999999</v>
      </c>
      <c r="D827" t="str">
        <f>VLOOKUP($A827, 'Medical Examinations'!A:D, 4, FALSE)</f>
        <v>Diabetes</v>
      </c>
      <c r="E827" t="str">
        <f>VLOOKUP($A827, 'Medical Examinations'!A:F, 6, FALSE)</f>
        <v>yes</v>
      </c>
      <c r="F827" t="str">
        <f>VLOOKUP($A827, 'Medical Examinations'!A:G, 7, FALSE)</f>
        <v>No</v>
      </c>
      <c r="G827" t="str">
        <f>VLOOKUP($A827, 'Medical Examinations'!A:H, 8, FALSE)</f>
        <v>Yes</v>
      </c>
      <c r="H827">
        <f>VLOOKUP($A827, 'Medical Examinations'!A:J, 10, FALSE)</f>
        <v>1</v>
      </c>
      <c r="I827" t="str">
        <f>VLOOKUP($A827, 'Medical Examinations'!A:K, 11, FALSE)</f>
        <v>No</v>
      </c>
      <c r="J827" t="str">
        <f>VLOOKUP($A827, 'Medical Examinations'!A:B, 2, FALSE)</f>
        <v>Overweight</v>
      </c>
      <c r="K827" t="str">
        <f>VLOOKUP($A827, 'Medical Examinations'!A:D, 4, FALSE)</f>
        <v>Diabetes</v>
      </c>
    </row>
    <row r="828" spans="1:11" ht="15.5" x14ac:dyDescent="0.35">
      <c r="A828" s="1" t="s">
        <v>1544</v>
      </c>
      <c r="B828" t="str">
        <f>VLOOKUP($A828, 'Customer Names'!A:D, 3, FALSE)</f>
        <v>Proctor</v>
      </c>
      <c r="C828">
        <f>VLOOKUP($A828,'Medical Examinations'!A:C, 3, FALSE)</f>
        <v>36.479999999999997</v>
      </c>
      <c r="D828" t="str">
        <f>VLOOKUP($A828, 'Medical Examinations'!A:D, 4, FALSE)</f>
        <v>Diabetes</v>
      </c>
      <c r="E828" t="str">
        <f>VLOOKUP($A828, 'Medical Examinations'!A:F, 6, FALSE)</f>
        <v>No</v>
      </c>
      <c r="F828" t="str">
        <f>VLOOKUP($A828, 'Medical Examinations'!A:G, 7, FALSE)</f>
        <v>No</v>
      </c>
      <c r="G828" t="str">
        <f>VLOOKUP($A828, 'Medical Examinations'!A:H, 8, FALSE)</f>
        <v>No</v>
      </c>
      <c r="H828" t="str">
        <f>VLOOKUP($A828, 'Medical Examinations'!A:J, 10, FALSE)</f>
        <v>No major surgery</v>
      </c>
      <c r="I828" t="str">
        <f>VLOOKUP($A828, 'Medical Examinations'!A:K, 11, FALSE)</f>
        <v>No</v>
      </c>
      <c r="J828" t="str">
        <f>VLOOKUP($A828, 'Medical Examinations'!A:B, 2, FALSE)</f>
        <v>Obesity</v>
      </c>
      <c r="K828" t="str">
        <f>VLOOKUP($A828, 'Medical Examinations'!A:D, 4, FALSE)</f>
        <v>Diabetes</v>
      </c>
    </row>
    <row r="829" spans="1:11" ht="15.5" x14ac:dyDescent="0.35">
      <c r="A829" s="1" t="s">
        <v>1543</v>
      </c>
      <c r="B829" t="str">
        <f>VLOOKUP($A829, 'Customer Names'!A:D, 3, FALSE)</f>
        <v>Ryan</v>
      </c>
      <c r="C829">
        <f>VLOOKUP($A829,'Medical Examinations'!A:C, 3, FALSE)</f>
        <v>39.159999999999997</v>
      </c>
      <c r="D829" t="str">
        <f>VLOOKUP($A829, 'Medical Examinations'!A:D, 4, FALSE)</f>
        <v>Normal</v>
      </c>
      <c r="E829" t="str">
        <f>VLOOKUP($A829, 'Medical Examinations'!A:F, 6, FALSE)</f>
        <v>yes</v>
      </c>
      <c r="F829" t="str">
        <f>VLOOKUP($A829, 'Medical Examinations'!A:G, 7, FALSE)</f>
        <v>No</v>
      </c>
      <c r="G829" t="str">
        <f>VLOOKUP($A829, 'Medical Examinations'!A:H, 8, FALSE)</f>
        <v>Yes</v>
      </c>
      <c r="H829">
        <f>VLOOKUP($A829, 'Medical Examinations'!A:J, 10, FALSE)</f>
        <v>1</v>
      </c>
      <c r="I829" t="str">
        <f>VLOOKUP($A829, 'Medical Examinations'!A:K, 11, FALSE)</f>
        <v>No</v>
      </c>
      <c r="J829" t="str">
        <f>VLOOKUP($A829, 'Medical Examinations'!A:B, 2, FALSE)</f>
        <v>Obesity</v>
      </c>
      <c r="K829" t="str">
        <f>VLOOKUP($A829, 'Medical Examinations'!A:D, 4, FALSE)</f>
        <v>Normal</v>
      </c>
    </row>
    <row r="830" spans="1:11" ht="15.5" x14ac:dyDescent="0.35">
      <c r="A830" s="1" t="s">
        <v>1542</v>
      </c>
      <c r="B830" t="str">
        <f>VLOOKUP($A830, 'Customer Names'!A:D, 3, FALSE)</f>
        <v>Watson</v>
      </c>
      <c r="C830">
        <f>VLOOKUP($A830,'Medical Examinations'!A:C, 3, FALSE)</f>
        <v>28.22</v>
      </c>
      <c r="D830" t="str">
        <f>VLOOKUP($A830, 'Medical Examinations'!A:D, 4, FALSE)</f>
        <v>Diabetes</v>
      </c>
      <c r="E830" t="str">
        <f>VLOOKUP($A830, 'Medical Examinations'!A:F, 6, FALSE)</f>
        <v>yes</v>
      </c>
      <c r="F830" t="str">
        <f>VLOOKUP($A830, 'Medical Examinations'!A:G, 7, FALSE)</f>
        <v>No</v>
      </c>
      <c r="G830" t="str">
        <f>VLOOKUP($A830, 'Medical Examinations'!A:H, 8, FALSE)</f>
        <v>Yes</v>
      </c>
      <c r="H830">
        <f>VLOOKUP($A830, 'Medical Examinations'!A:J, 10, FALSE)</f>
        <v>1</v>
      </c>
      <c r="I830" t="str">
        <f>VLOOKUP($A830, 'Medical Examinations'!A:K, 11, FALSE)</f>
        <v>No</v>
      </c>
      <c r="J830" t="str">
        <f>VLOOKUP($A830, 'Medical Examinations'!A:B, 2, FALSE)</f>
        <v>Overweight</v>
      </c>
      <c r="K830" t="str">
        <f>VLOOKUP($A830, 'Medical Examinations'!A:D, 4, FALSE)</f>
        <v>Diabetes</v>
      </c>
    </row>
    <row r="831" spans="1:11" ht="15.5" x14ac:dyDescent="0.35">
      <c r="A831" s="1" t="s">
        <v>1541</v>
      </c>
      <c r="B831" t="str">
        <f>VLOOKUP($A831, 'Customer Names'!A:D, 3, FALSE)</f>
        <v>Gresh</v>
      </c>
      <c r="C831">
        <f>VLOOKUP($A831,'Medical Examinations'!A:C, 3, FALSE)</f>
        <v>35</v>
      </c>
      <c r="D831" t="str">
        <f>VLOOKUP($A831, 'Medical Examinations'!A:D, 4, FALSE)</f>
        <v>Normal</v>
      </c>
      <c r="E831" t="str">
        <f>VLOOKUP($A831, 'Medical Examinations'!A:F, 6, FALSE)</f>
        <v>No</v>
      </c>
      <c r="F831" t="str">
        <f>VLOOKUP($A831, 'Medical Examinations'!A:G, 7, FALSE)</f>
        <v>No</v>
      </c>
      <c r="G831" t="str">
        <f>VLOOKUP($A831, 'Medical Examinations'!A:H, 8, FALSE)</f>
        <v>No</v>
      </c>
      <c r="H831">
        <f>VLOOKUP($A831, 'Medical Examinations'!A:J, 10, FALSE)</f>
        <v>2</v>
      </c>
      <c r="I831" t="str">
        <f>VLOOKUP($A831, 'Medical Examinations'!A:K, 11, FALSE)</f>
        <v>No</v>
      </c>
      <c r="J831" t="str">
        <f>VLOOKUP($A831, 'Medical Examinations'!A:B, 2, FALSE)</f>
        <v>Obesity</v>
      </c>
      <c r="K831" t="str">
        <f>VLOOKUP($A831, 'Medical Examinations'!A:D, 4, FALSE)</f>
        <v>Normal</v>
      </c>
    </row>
    <row r="832" spans="1:11" ht="15.5" x14ac:dyDescent="0.35">
      <c r="A832" s="1" t="s">
        <v>1540</v>
      </c>
      <c r="B832" t="str">
        <f>VLOOKUP($A832, 'Customer Names'!A:D, 3, FALSE)</f>
        <v>Anis</v>
      </c>
      <c r="C832">
        <f>VLOOKUP($A832,'Medical Examinations'!A:C, 3, FALSE)</f>
        <v>36.24</v>
      </c>
      <c r="D832" t="str">
        <f>VLOOKUP($A832, 'Medical Examinations'!A:D, 4, FALSE)</f>
        <v>Diabetes</v>
      </c>
      <c r="E832" t="str">
        <f>VLOOKUP($A832, 'Medical Examinations'!A:F, 6, FALSE)</f>
        <v>yes</v>
      </c>
      <c r="F832" t="str">
        <f>VLOOKUP($A832, 'Medical Examinations'!A:G, 7, FALSE)</f>
        <v>No</v>
      </c>
      <c r="G832" t="str">
        <f>VLOOKUP($A832, 'Medical Examinations'!A:H, 8, FALSE)</f>
        <v>No</v>
      </c>
      <c r="H832">
        <f>VLOOKUP($A832, 'Medical Examinations'!A:J, 10, FALSE)</f>
        <v>1</v>
      </c>
      <c r="I832" t="str">
        <f>VLOOKUP($A832, 'Medical Examinations'!A:K, 11, FALSE)</f>
        <v>No</v>
      </c>
      <c r="J832" t="str">
        <f>VLOOKUP($A832, 'Medical Examinations'!A:B, 2, FALSE)</f>
        <v>Obesity</v>
      </c>
      <c r="K832" t="str">
        <f>VLOOKUP($A832, 'Medical Examinations'!A:D, 4, FALSE)</f>
        <v>Diabetes</v>
      </c>
    </row>
    <row r="833" spans="1:11" ht="15.5" x14ac:dyDescent="0.35">
      <c r="A833" s="1" t="s">
        <v>1539</v>
      </c>
      <c r="B833" t="str">
        <f>VLOOKUP($A833, 'Customer Names'!A:D, 3, FALSE)</f>
        <v>Swartz</v>
      </c>
      <c r="C833">
        <f>VLOOKUP($A833,'Medical Examinations'!A:C, 3, FALSE)</f>
        <v>36.954999999999998</v>
      </c>
      <c r="D833" t="str">
        <f>VLOOKUP($A833, 'Medical Examinations'!A:D, 4, FALSE)</f>
        <v>Diabetes</v>
      </c>
      <c r="E833" t="str">
        <f>VLOOKUP($A833, 'Medical Examinations'!A:F, 6, FALSE)</f>
        <v>No</v>
      </c>
      <c r="F833" t="str">
        <f>VLOOKUP($A833, 'Medical Examinations'!A:G, 7, FALSE)</f>
        <v>No</v>
      </c>
      <c r="G833" t="str">
        <f>VLOOKUP($A833, 'Medical Examinations'!A:H, 8, FALSE)</f>
        <v>No</v>
      </c>
      <c r="H833" t="str">
        <f>VLOOKUP($A833, 'Medical Examinations'!A:J, 10, FALSE)</f>
        <v>No major surgery</v>
      </c>
      <c r="I833" t="str">
        <f>VLOOKUP($A833, 'Medical Examinations'!A:K, 11, FALSE)</f>
        <v>No</v>
      </c>
      <c r="J833" t="str">
        <f>VLOOKUP($A833, 'Medical Examinations'!A:B, 2, FALSE)</f>
        <v>Obesity</v>
      </c>
      <c r="K833" t="str">
        <f>VLOOKUP($A833, 'Medical Examinations'!A:D, 4, FALSE)</f>
        <v>Diabetes</v>
      </c>
    </row>
    <row r="834" spans="1:11" ht="15.5" x14ac:dyDescent="0.35">
      <c r="A834" s="1" t="s">
        <v>1538</v>
      </c>
      <c r="B834" t="str">
        <f>VLOOKUP($A834, 'Customer Names'!A:D, 3, FALSE)</f>
        <v>Schluneker</v>
      </c>
      <c r="C834">
        <f>VLOOKUP($A834,'Medical Examinations'!A:C, 3, FALSE)</f>
        <v>29.64</v>
      </c>
      <c r="D834" t="str">
        <f>VLOOKUP($A834, 'Medical Examinations'!A:D, 4, FALSE)</f>
        <v>Diabetes</v>
      </c>
      <c r="E834" t="str">
        <f>VLOOKUP($A834, 'Medical Examinations'!A:F, 6, FALSE)</f>
        <v>No</v>
      </c>
      <c r="F834" t="str">
        <f>VLOOKUP($A834, 'Medical Examinations'!A:G, 7, FALSE)</f>
        <v>No</v>
      </c>
      <c r="G834" t="str">
        <f>VLOOKUP($A834, 'Medical Examinations'!A:H, 8, FALSE)</f>
        <v>No</v>
      </c>
      <c r="H834" t="str">
        <f>VLOOKUP($A834, 'Medical Examinations'!A:J, 10, FALSE)</f>
        <v>No major surgery</v>
      </c>
      <c r="I834" t="str">
        <f>VLOOKUP($A834, 'Medical Examinations'!A:K, 11, FALSE)</f>
        <v>No</v>
      </c>
      <c r="J834" t="str">
        <f>VLOOKUP($A834, 'Medical Examinations'!A:B, 2, FALSE)</f>
        <v>Overweight</v>
      </c>
      <c r="K834" t="str">
        <f>VLOOKUP($A834, 'Medical Examinations'!A:D, 4, FALSE)</f>
        <v>Diabetes</v>
      </c>
    </row>
    <row r="835" spans="1:11" ht="15.5" x14ac:dyDescent="0.35">
      <c r="A835" s="1" t="s">
        <v>1537</v>
      </c>
      <c r="B835" t="str">
        <f>VLOOKUP($A835, 'Customer Names'!A:D, 3, FALSE)</f>
        <v>Bellemare</v>
      </c>
      <c r="C835">
        <f>VLOOKUP($A835,'Medical Examinations'!A:C, 3, FALSE)</f>
        <v>42.74</v>
      </c>
      <c r="D835" t="str">
        <f>VLOOKUP($A835, 'Medical Examinations'!A:D, 4, FALSE)</f>
        <v>Prediabetes</v>
      </c>
      <c r="E835" t="str">
        <f>VLOOKUP($A835, 'Medical Examinations'!A:F, 6, FALSE)</f>
        <v>yes</v>
      </c>
      <c r="F835" t="str">
        <f>VLOOKUP($A835, 'Medical Examinations'!A:G, 7, FALSE)</f>
        <v>No</v>
      </c>
      <c r="G835" t="str">
        <f>VLOOKUP($A835, 'Medical Examinations'!A:H, 8, FALSE)</f>
        <v>No</v>
      </c>
      <c r="H835">
        <f>VLOOKUP($A835, 'Medical Examinations'!A:J, 10, FALSE)</f>
        <v>1</v>
      </c>
      <c r="I835" t="str">
        <f>VLOOKUP($A835, 'Medical Examinations'!A:K, 11, FALSE)</f>
        <v>No</v>
      </c>
      <c r="J835" t="str">
        <f>VLOOKUP($A835, 'Medical Examinations'!A:B, 2, FALSE)</f>
        <v>Obesity</v>
      </c>
      <c r="K835" t="str">
        <f>VLOOKUP($A835, 'Medical Examinations'!A:D, 4, FALSE)</f>
        <v>Prediabetes</v>
      </c>
    </row>
    <row r="836" spans="1:11" ht="15.5" x14ac:dyDescent="0.35">
      <c r="A836" s="1" t="s">
        <v>1536</v>
      </c>
      <c r="B836" t="str">
        <f>VLOOKUP($A836, 'Customer Names'!A:D, 3, FALSE)</f>
        <v>Vitalo</v>
      </c>
      <c r="C836">
        <f>VLOOKUP($A836,'Medical Examinations'!A:C, 3, FALSE)</f>
        <v>36.130000000000003</v>
      </c>
      <c r="D836" t="str">
        <f>VLOOKUP($A836, 'Medical Examinations'!A:D, 4, FALSE)</f>
        <v>Diabetes</v>
      </c>
      <c r="E836" t="str">
        <f>VLOOKUP($A836, 'Medical Examinations'!A:F, 6, FALSE)</f>
        <v>yes</v>
      </c>
      <c r="F836" t="str">
        <f>VLOOKUP($A836, 'Medical Examinations'!A:G, 7, FALSE)</f>
        <v>No</v>
      </c>
      <c r="G836" t="str">
        <f>VLOOKUP($A836, 'Medical Examinations'!A:H, 8, FALSE)</f>
        <v>No</v>
      </c>
      <c r="H836">
        <f>VLOOKUP($A836, 'Medical Examinations'!A:J, 10, FALSE)</f>
        <v>2</v>
      </c>
      <c r="I836" t="str">
        <f>VLOOKUP($A836, 'Medical Examinations'!A:K, 11, FALSE)</f>
        <v>No</v>
      </c>
      <c r="J836" t="str">
        <f>VLOOKUP($A836, 'Medical Examinations'!A:B, 2, FALSE)</f>
        <v>Obesity</v>
      </c>
      <c r="K836" t="str">
        <f>VLOOKUP($A836, 'Medical Examinations'!A:D, 4, FALSE)</f>
        <v>Diabetes</v>
      </c>
    </row>
    <row r="837" spans="1:11" ht="15.5" x14ac:dyDescent="0.35">
      <c r="A837" s="1" t="s">
        <v>1535</v>
      </c>
      <c r="B837" t="str">
        <f>VLOOKUP($A837, 'Customer Names'!A:D, 3, FALSE)</f>
        <v>Hamilton</v>
      </c>
      <c r="C837">
        <f>VLOOKUP($A837,'Medical Examinations'!A:C, 3, FALSE)</f>
        <v>31.55</v>
      </c>
      <c r="D837" t="str">
        <f>VLOOKUP($A837, 'Medical Examinations'!A:D, 4, FALSE)</f>
        <v>Prediabetes</v>
      </c>
      <c r="E837" t="str">
        <f>VLOOKUP($A837, 'Medical Examinations'!A:F, 6, FALSE)</f>
        <v>yes</v>
      </c>
      <c r="F837" t="str">
        <f>VLOOKUP($A837, 'Medical Examinations'!A:G, 7, FALSE)</f>
        <v>No</v>
      </c>
      <c r="G837" t="str">
        <f>VLOOKUP($A837, 'Medical Examinations'!A:H, 8, FALSE)</f>
        <v>No</v>
      </c>
      <c r="H837">
        <f>VLOOKUP($A837, 'Medical Examinations'!A:J, 10, FALSE)</f>
        <v>1</v>
      </c>
      <c r="I837" t="str">
        <f>VLOOKUP($A837, 'Medical Examinations'!A:K, 11, FALSE)</f>
        <v>No</v>
      </c>
      <c r="J837" t="str">
        <f>VLOOKUP($A837, 'Medical Examinations'!A:B, 2, FALSE)</f>
        <v>Obesity</v>
      </c>
      <c r="K837" t="str">
        <f>VLOOKUP($A837, 'Medical Examinations'!A:D, 4, FALSE)</f>
        <v>Prediabetes</v>
      </c>
    </row>
    <row r="838" spans="1:11" ht="15.5" x14ac:dyDescent="0.35">
      <c r="A838" s="1" t="s">
        <v>1534</v>
      </c>
      <c r="B838" t="str">
        <f>VLOOKUP($A838, 'Customer Names'!A:D, 3, FALSE)</f>
        <v>Marshall</v>
      </c>
      <c r="C838">
        <f>VLOOKUP($A838,'Medical Examinations'!A:C, 3, FALSE)</f>
        <v>52.75</v>
      </c>
      <c r="D838" t="str">
        <f>VLOOKUP($A838, 'Medical Examinations'!A:D, 4, FALSE)</f>
        <v>Prediabetes</v>
      </c>
      <c r="E838" t="str">
        <f>VLOOKUP($A838, 'Medical Examinations'!A:F, 6, FALSE)</f>
        <v>No</v>
      </c>
      <c r="F838" t="str">
        <f>VLOOKUP($A838, 'Medical Examinations'!A:G, 7, FALSE)</f>
        <v>No</v>
      </c>
      <c r="G838" t="str">
        <f>VLOOKUP($A838, 'Medical Examinations'!A:H, 8, FALSE)</f>
        <v>No</v>
      </c>
      <c r="H838">
        <f>VLOOKUP($A838, 'Medical Examinations'!A:J, 10, FALSE)</f>
        <v>1</v>
      </c>
      <c r="I838" t="str">
        <f>VLOOKUP($A838, 'Medical Examinations'!A:K, 11, FALSE)</f>
        <v>No</v>
      </c>
      <c r="J838" t="str">
        <f>VLOOKUP($A838, 'Medical Examinations'!A:B, 2, FALSE)</f>
        <v>Obesity</v>
      </c>
      <c r="K838" t="str">
        <f>VLOOKUP($A838, 'Medical Examinations'!A:D, 4, FALSE)</f>
        <v>Prediabetes</v>
      </c>
    </row>
    <row r="839" spans="1:11" ht="15.5" x14ac:dyDescent="0.35">
      <c r="A839" s="1" t="s">
        <v>1533</v>
      </c>
      <c r="B839" t="str">
        <f>VLOOKUP($A839, 'Customer Names'!A:D, 3, FALSE)</f>
        <v>Cale</v>
      </c>
      <c r="C839">
        <f>VLOOKUP($A839,'Medical Examinations'!A:C, 3, FALSE)</f>
        <v>36.67</v>
      </c>
      <c r="D839" t="str">
        <f>VLOOKUP($A839, 'Medical Examinations'!A:D, 4, FALSE)</f>
        <v>Diabetes</v>
      </c>
      <c r="E839" t="str">
        <f>VLOOKUP($A839, 'Medical Examinations'!A:F, 6, FALSE)</f>
        <v>No</v>
      </c>
      <c r="F839" t="str">
        <f>VLOOKUP($A839, 'Medical Examinations'!A:G, 7, FALSE)</f>
        <v>No</v>
      </c>
      <c r="G839" t="str">
        <f>VLOOKUP($A839, 'Medical Examinations'!A:H, 8, FALSE)</f>
        <v>No</v>
      </c>
      <c r="H839" t="str">
        <f>VLOOKUP($A839, 'Medical Examinations'!A:J, 10, FALSE)</f>
        <v>No major surgery</v>
      </c>
      <c r="I839" t="str">
        <f>VLOOKUP($A839, 'Medical Examinations'!A:K, 11, FALSE)</f>
        <v>No</v>
      </c>
      <c r="J839" t="str">
        <f>VLOOKUP($A839, 'Medical Examinations'!A:B, 2, FALSE)</f>
        <v>Obesity</v>
      </c>
      <c r="K839" t="str">
        <f>VLOOKUP($A839, 'Medical Examinations'!A:D, 4, FALSE)</f>
        <v>Diabetes</v>
      </c>
    </row>
    <row r="840" spans="1:11" ht="15.5" x14ac:dyDescent="0.35">
      <c r="A840" s="1" t="s">
        <v>1532</v>
      </c>
      <c r="B840" t="str">
        <f>VLOOKUP($A840, 'Customer Names'!A:D, 3, FALSE)</f>
        <v>Pittaway</v>
      </c>
      <c r="C840">
        <f>VLOOKUP($A840,'Medical Examinations'!A:C, 3, FALSE)</f>
        <v>38.06</v>
      </c>
      <c r="D840" t="str">
        <f>VLOOKUP($A840, 'Medical Examinations'!A:D, 4, FALSE)</f>
        <v>Diabetes</v>
      </c>
      <c r="E840" t="str">
        <f>VLOOKUP($A840, 'Medical Examinations'!A:F, 6, FALSE)</f>
        <v>No</v>
      </c>
      <c r="F840" t="str">
        <f>VLOOKUP($A840, 'Medical Examinations'!A:G, 7, FALSE)</f>
        <v>No</v>
      </c>
      <c r="G840" t="str">
        <f>VLOOKUP($A840, 'Medical Examinations'!A:H, 8, FALSE)</f>
        <v>No</v>
      </c>
      <c r="H840" t="str">
        <f>VLOOKUP($A840, 'Medical Examinations'!A:J, 10, FALSE)</f>
        <v>No major surgery</v>
      </c>
      <c r="I840" t="str">
        <f>VLOOKUP($A840, 'Medical Examinations'!A:K, 11, FALSE)</f>
        <v>No</v>
      </c>
      <c r="J840" t="str">
        <f>VLOOKUP($A840, 'Medical Examinations'!A:B, 2, FALSE)</f>
        <v>Obesity</v>
      </c>
      <c r="K840" t="str">
        <f>VLOOKUP($A840, 'Medical Examinations'!A:D, 4, FALSE)</f>
        <v>Diabetes</v>
      </c>
    </row>
    <row r="841" spans="1:11" ht="15.5" x14ac:dyDescent="0.35">
      <c r="A841" s="1" t="s">
        <v>1531</v>
      </c>
      <c r="B841" t="str">
        <f>VLOOKUP($A841, 'Customer Names'!A:D, 3, FALSE)</f>
        <v>Bill</v>
      </c>
      <c r="C841">
        <f>VLOOKUP($A841,'Medical Examinations'!A:C, 3, FALSE)</f>
        <v>38</v>
      </c>
      <c r="D841" t="str">
        <f>VLOOKUP($A841, 'Medical Examinations'!A:D, 4, FALSE)</f>
        <v>Diabetes</v>
      </c>
      <c r="E841" t="str">
        <f>VLOOKUP($A841, 'Medical Examinations'!A:F, 6, FALSE)</f>
        <v>No</v>
      </c>
      <c r="F841" t="str">
        <f>VLOOKUP($A841, 'Medical Examinations'!A:G, 7, FALSE)</f>
        <v>No</v>
      </c>
      <c r="G841" t="str">
        <f>VLOOKUP($A841, 'Medical Examinations'!A:H, 8, FALSE)</f>
        <v>No</v>
      </c>
      <c r="H841" t="str">
        <f>VLOOKUP($A841, 'Medical Examinations'!A:J, 10, FALSE)</f>
        <v>No major surgery</v>
      </c>
      <c r="I841" t="str">
        <f>VLOOKUP($A841, 'Medical Examinations'!A:K, 11, FALSE)</f>
        <v>No</v>
      </c>
      <c r="J841" t="str">
        <f>VLOOKUP($A841, 'Medical Examinations'!A:B, 2, FALSE)</f>
        <v>Obesity</v>
      </c>
      <c r="K841" t="str">
        <f>VLOOKUP($A841, 'Medical Examinations'!A:D, 4, FALSE)</f>
        <v>Diabetes</v>
      </c>
    </row>
    <row r="842" spans="1:11" ht="15.5" x14ac:dyDescent="0.35">
      <c r="A842" s="1" t="s">
        <v>1530</v>
      </c>
      <c r="B842" t="str">
        <f>VLOOKUP($A842, 'Customer Names'!A:D, 3, FALSE)</f>
        <v>Antrim</v>
      </c>
      <c r="C842">
        <f>VLOOKUP($A842,'Medical Examinations'!A:C, 3, FALSE)</f>
        <v>35.1</v>
      </c>
      <c r="D842" t="str">
        <f>VLOOKUP($A842, 'Medical Examinations'!A:D, 4, FALSE)</f>
        <v>Diabetes</v>
      </c>
      <c r="E842" t="str">
        <f>VLOOKUP($A842, 'Medical Examinations'!A:F, 6, FALSE)</f>
        <v>No</v>
      </c>
      <c r="F842" t="str">
        <f>VLOOKUP($A842, 'Medical Examinations'!A:G, 7, FALSE)</f>
        <v>No</v>
      </c>
      <c r="G842" t="str">
        <f>VLOOKUP($A842, 'Medical Examinations'!A:H, 8, FALSE)</f>
        <v>No</v>
      </c>
      <c r="H842" t="str">
        <f>VLOOKUP($A842, 'Medical Examinations'!A:J, 10, FALSE)</f>
        <v>No major surgery</v>
      </c>
      <c r="I842" t="str">
        <f>VLOOKUP($A842, 'Medical Examinations'!A:K, 11, FALSE)</f>
        <v>No</v>
      </c>
      <c r="J842" t="str">
        <f>VLOOKUP($A842, 'Medical Examinations'!A:B, 2, FALSE)</f>
        <v>Obesity</v>
      </c>
      <c r="K842" t="str">
        <f>VLOOKUP($A842, 'Medical Examinations'!A:D, 4, FALSE)</f>
        <v>Diabetes</v>
      </c>
    </row>
    <row r="843" spans="1:11" ht="15.5" x14ac:dyDescent="0.35">
      <c r="A843" s="1" t="s">
        <v>1529</v>
      </c>
      <c r="B843" t="str">
        <f>VLOOKUP($A843, 'Customer Names'!A:D, 3, FALSE)</f>
        <v>Doolittle-Crider</v>
      </c>
      <c r="C843">
        <f>VLOOKUP($A843,'Medical Examinations'!A:C, 3, FALSE)</f>
        <v>33.82</v>
      </c>
      <c r="D843" t="str">
        <f>VLOOKUP($A843, 'Medical Examinations'!A:D, 4, FALSE)</f>
        <v>Prediabetes</v>
      </c>
      <c r="E843" t="str">
        <f>VLOOKUP($A843, 'Medical Examinations'!A:F, 6, FALSE)</f>
        <v>yes</v>
      </c>
      <c r="F843" t="str">
        <f>VLOOKUP($A843, 'Medical Examinations'!A:G, 7, FALSE)</f>
        <v>No</v>
      </c>
      <c r="G843" t="str">
        <f>VLOOKUP($A843, 'Medical Examinations'!A:H, 8, FALSE)</f>
        <v>No</v>
      </c>
      <c r="H843">
        <f>VLOOKUP($A843, 'Medical Examinations'!A:J, 10, FALSE)</f>
        <v>2</v>
      </c>
      <c r="I843" t="str">
        <f>VLOOKUP($A843, 'Medical Examinations'!A:K, 11, FALSE)</f>
        <v>No</v>
      </c>
      <c r="J843" t="str">
        <f>VLOOKUP($A843, 'Medical Examinations'!A:B, 2, FALSE)</f>
        <v>Obesity</v>
      </c>
      <c r="K843" t="str">
        <f>VLOOKUP($A843, 'Medical Examinations'!A:D, 4, FALSE)</f>
        <v>Prediabetes</v>
      </c>
    </row>
    <row r="844" spans="1:11" ht="15.5" x14ac:dyDescent="0.35">
      <c r="A844" s="1" t="s">
        <v>1528</v>
      </c>
      <c r="B844" t="str">
        <f>VLOOKUP($A844, 'Customer Names'!A:D, 3, FALSE)</f>
        <v>Ruhlman</v>
      </c>
      <c r="C844">
        <f>VLOOKUP($A844,'Medical Examinations'!A:C, 3, FALSE)</f>
        <v>37.43</v>
      </c>
      <c r="D844" t="str">
        <f>VLOOKUP($A844, 'Medical Examinations'!A:D, 4, FALSE)</f>
        <v>Normal</v>
      </c>
      <c r="E844" t="str">
        <f>VLOOKUP($A844, 'Medical Examinations'!A:F, 6, FALSE)</f>
        <v>No</v>
      </c>
      <c r="F844" t="str">
        <f>VLOOKUP($A844, 'Medical Examinations'!A:G, 7, FALSE)</f>
        <v>No</v>
      </c>
      <c r="G844" t="str">
        <f>VLOOKUP($A844, 'Medical Examinations'!A:H, 8, FALSE)</f>
        <v>No</v>
      </c>
      <c r="H844">
        <f>VLOOKUP($A844, 'Medical Examinations'!A:J, 10, FALSE)</f>
        <v>2</v>
      </c>
      <c r="I844" t="str">
        <f>VLOOKUP($A844, 'Medical Examinations'!A:K, 11, FALSE)</f>
        <v>No</v>
      </c>
      <c r="J844" t="str">
        <f>VLOOKUP($A844, 'Medical Examinations'!A:B, 2, FALSE)</f>
        <v>Obesity</v>
      </c>
      <c r="K844" t="str">
        <f>VLOOKUP($A844, 'Medical Examinations'!A:D, 4, FALSE)</f>
        <v>Normal</v>
      </c>
    </row>
    <row r="845" spans="1:11" ht="15.5" x14ac:dyDescent="0.35">
      <c r="A845" s="1" t="s">
        <v>1527</v>
      </c>
      <c r="B845" t="str">
        <f>VLOOKUP($A845, 'Customer Names'!A:D, 3, FALSE)</f>
        <v>Anderson</v>
      </c>
      <c r="C845">
        <f>VLOOKUP($A845,'Medical Examinations'!A:C, 3, FALSE)</f>
        <v>30.5</v>
      </c>
      <c r="D845" t="str">
        <f>VLOOKUP($A845, 'Medical Examinations'!A:D, 4, FALSE)</f>
        <v>Diabetes</v>
      </c>
      <c r="E845" t="str">
        <f>VLOOKUP($A845, 'Medical Examinations'!A:F, 6, FALSE)</f>
        <v>No</v>
      </c>
      <c r="F845" t="str">
        <f>VLOOKUP($A845, 'Medical Examinations'!A:G, 7, FALSE)</f>
        <v>No</v>
      </c>
      <c r="G845" t="str">
        <f>VLOOKUP($A845, 'Medical Examinations'!A:H, 8, FALSE)</f>
        <v>No</v>
      </c>
      <c r="H845" t="str">
        <f>VLOOKUP($A845, 'Medical Examinations'!A:J, 10, FALSE)</f>
        <v>No major surgery</v>
      </c>
      <c r="I845" t="str">
        <f>VLOOKUP($A845, 'Medical Examinations'!A:K, 11, FALSE)</f>
        <v>No</v>
      </c>
      <c r="J845" t="str">
        <f>VLOOKUP($A845, 'Medical Examinations'!A:B, 2, FALSE)</f>
        <v>Obesity</v>
      </c>
      <c r="K845" t="str">
        <f>VLOOKUP($A845, 'Medical Examinations'!A:D, 4, FALSE)</f>
        <v>Diabetes</v>
      </c>
    </row>
    <row r="846" spans="1:11" ht="15.5" x14ac:dyDescent="0.35">
      <c r="A846" s="1" t="s">
        <v>1526</v>
      </c>
      <c r="B846" t="str">
        <f>VLOOKUP($A846, 'Customer Names'!A:D, 3, FALSE)</f>
        <v>Uchiyama</v>
      </c>
      <c r="C846">
        <f>VLOOKUP($A846,'Medical Examinations'!A:C, 3, FALSE)</f>
        <v>24.53</v>
      </c>
      <c r="D846" t="str">
        <f>VLOOKUP($A846, 'Medical Examinations'!A:D, 4, FALSE)</f>
        <v>Diabetes</v>
      </c>
      <c r="E846" t="str">
        <f>VLOOKUP($A846, 'Medical Examinations'!A:F, 6, FALSE)</f>
        <v>No</v>
      </c>
      <c r="F846" t="str">
        <f>VLOOKUP($A846, 'Medical Examinations'!A:G, 7, FALSE)</f>
        <v>No</v>
      </c>
      <c r="G846" t="str">
        <f>VLOOKUP($A846, 'Medical Examinations'!A:H, 8, FALSE)</f>
        <v>No</v>
      </c>
      <c r="H846" t="str">
        <f>VLOOKUP($A846, 'Medical Examinations'!A:J, 10, FALSE)</f>
        <v>No major surgery</v>
      </c>
      <c r="I846" t="str">
        <f>VLOOKUP($A846, 'Medical Examinations'!A:K, 11, FALSE)</f>
        <v>No</v>
      </c>
      <c r="J846" t="str">
        <f>VLOOKUP($A846, 'Medical Examinations'!A:B, 2, FALSE)</f>
        <v>Normal Weight</v>
      </c>
      <c r="K846" t="str">
        <f>VLOOKUP($A846, 'Medical Examinations'!A:D, 4, FALSE)</f>
        <v>Diabetes</v>
      </c>
    </row>
    <row r="847" spans="1:11" ht="15.5" x14ac:dyDescent="0.35">
      <c r="A847" s="1" t="s">
        <v>1525</v>
      </c>
      <c r="B847" t="str">
        <f>VLOOKUP($A847, 'Customer Names'!A:D, 3, FALSE)</f>
        <v>Desota</v>
      </c>
      <c r="C847">
        <f>VLOOKUP($A847,'Medical Examinations'!A:C, 3, FALSE)</f>
        <v>25.74</v>
      </c>
      <c r="D847" t="str">
        <f>VLOOKUP($A847, 'Medical Examinations'!A:D, 4, FALSE)</f>
        <v>Diabetes</v>
      </c>
      <c r="E847" t="str">
        <f>VLOOKUP($A847, 'Medical Examinations'!A:F, 6, FALSE)</f>
        <v>No</v>
      </c>
      <c r="F847" t="str">
        <f>VLOOKUP($A847, 'Medical Examinations'!A:G, 7, FALSE)</f>
        <v>No</v>
      </c>
      <c r="G847" t="str">
        <f>VLOOKUP($A847, 'Medical Examinations'!A:H, 8, FALSE)</f>
        <v>No</v>
      </c>
      <c r="H847" t="str">
        <f>VLOOKUP($A847, 'Medical Examinations'!A:J, 10, FALSE)</f>
        <v>No major surgery</v>
      </c>
      <c r="I847" t="str">
        <f>VLOOKUP($A847, 'Medical Examinations'!A:K, 11, FALSE)</f>
        <v>No</v>
      </c>
      <c r="J847" t="str">
        <f>VLOOKUP($A847, 'Medical Examinations'!A:B, 2, FALSE)</f>
        <v>Overweight</v>
      </c>
      <c r="K847" t="str">
        <f>VLOOKUP($A847, 'Medical Examinations'!A:D, 4, FALSE)</f>
        <v>Diabetes</v>
      </c>
    </row>
    <row r="848" spans="1:11" ht="15.5" x14ac:dyDescent="0.35">
      <c r="A848" s="1" t="s">
        <v>1524</v>
      </c>
      <c r="B848" t="str">
        <f>VLOOKUP($A848, 'Customer Names'!A:D, 3, FALSE)</f>
        <v>Edmonds</v>
      </c>
      <c r="C848">
        <f>VLOOKUP($A848,'Medical Examinations'!A:C, 3, FALSE)</f>
        <v>34.08</v>
      </c>
      <c r="D848" t="str">
        <f>VLOOKUP($A848, 'Medical Examinations'!A:D, 4, FALSE)</f>
        <v>Diabetes</v>
      </c>
      <c r="E848" t="str">
        <f>VLOOKUP($A848, 'Medical Examinations'!A:F, 6, FALSE)</f>
        <v>yes</v>
      </c>
      <c r="F848" t="str">
        <f>VLOOKUP($A848, 'Medical Examinations'!A:G, 7, FALSE)</f>
        <v>No</v>
      </c>
      <c r="G848" t="str">
        <f>VLOOKUP($A848, 'Medical Examinations'!A:H, 8, FALSE)</f>
        <v>No</v>
      </c>
      <c r="H848">
        <f>VLOOKUP($A848, 'Medical Examinations'!A:J, 10, FALSE)</f>
        <v>2</v>
      </c>
      <c r="I848" t="str">
        <f>VLOOKUP($A848, 'Medical Examinations'!A:K, 11, FALSE)</f>
        <v>No</v>
      </c>
      <c r="J848" t="str">
        <f>VLOOKUP($A848, 'Medical Examinations'!A:B, 2, FALSE)</f>
        <v>Obesity</v>
      </c>
      <c r="K848" t="str">
        <f>VLOOKUP($A848, 'Medical Examinations'!A:D, 4, FALSE)</f>
        <v>Diabetes</v>
      </c>
    </row>
    <row r="849" spans="1:11" ht="15.5" x14ac:dyDescent="0.35">
      <c r="A849" s="1" t="s">
        <v>1523</v>
      </c>
      <c r="B849" t="str">
        <f>VLOOKUP($A849, 'Customer Names'!A:D, 3, FALSE)</f>
        <v>Otto</v>
      </c>
      <c r="C849">
        <f>VLOOKUP($A849,'Medical Examinations'!A:C, 3, FALSE)</f>
        <v>31.35</v>
      </c>
      <c r="D849" t="str">
        <f>VLOOKUP($A849, 'Medical Examinations'!A:D, 4, FALSE)</f>
        <v>Diabetes</v>
      </c>
      <c r="E849" t="str">
        <f>VLOOKUP($A849, 'Medical Examinations'!A:F, 6, FALSE)</f>
        <v>yes</v>
      </c>
      <c r="F849" t="str">
        <f>VLOOKUP($A849, 'Medical Examinations'!A:G, 7, FALSE)</f>
        <v>No</v>
      </c>
      <c r="G849" t="str">
        <f>VLOOKUP($A849, 'Medical Examinations'!A:H, 8, FALSE)</f>
        <v>Yes</v>
      </c>
      <c r="H849">
        <f>VLOOKUP($A849, 'Medical Examinations'!A:J, 10, FALSE)</f>
        <v>1</v>
      </c>
      <c r="I849" t="str">
        <f>VLOOKUP($A849, 'Medical Examinations'!A:K, 11, FALSE)</f>
        <v>No</v>
      </c>
      <c r="J849" t="str">
        <f>VLOOKUP($A849, 'Medical Examinations'!A:B, 2, FALSE)</f>
        <v>Obesity</v>
      </c>
      <c r="K849" t="str">
        <f>VLOOKUP($A849, 'Medical Examinations'!A:D, 4, FALSE)</f>
        <v>Diabetes</v>
      </c>
    </row>
    <row r="850" spans="1:11" ht="15.5" x14ac:dyDescent="0.35">
      <c r="A850" s="1" t="s">
        <v>1522</v>
      </c>
      <c r="B850" t="str">
        <f>VLOOKUP($A850, 'Customer Names'!A:D, 3, FALSE)</f>
        <v>Kurt</v>
      </c>
      <c r="C850">
        <f>VLOOKUP($A850,'Medical Examinations'!A:C, 3, FALSE)</f>
        <v>26.79</v>
      </c>
      <c r="D850" t="str">
        <f>VLOOKUP($A850, 'Medical Examinations'!A:D, 4, FALSE)</f>
        <v>Normal</v>
      </c>
      <c r="E850" t="str">
        <f>VLOOKUP($A850, 'Medical Examinations'!A:F, 6, FALSE)</f>
        <v>No</v>
      </c>
      <c r="F850" t="str">
        <f>VLOOKUP($A850, 'Medical Examinations'!A:G, 7, FALSE)</f>
        <v>No</v>
      </c>
      <c r="G850" t="str">
        <f>VLOOKUP($A850, 'Medical Examinations'!A:H, 8, FALSE)</f>
        <v>No</v>
      </c>
      <c r="H850">
        <f>VLOOKUP($A850, 'Medical Examinations'!A:J, 10, FALSE)</f>
        <v>1</v>
      </c>
      <c r="I850" t="str">
        <f>VLOOKUP($A850, 'Medical Examinations'!A:K, 11, FALSE)</f>
        <v>No</v>
      </c>
      <c r="J850" t="str">
        <f>VLOOKUP($A850, 'Medical Examinations'!A:B, 2, FALSE)</f>
        <v>Overweight</v>
      </c>
      <c r="K850" t="str">
        <f>VLOOKUP($A850, 'Medical Examinations'!A:D, 4, FALSE)</f>
        <v>Normal</v>
      </c>
    </row>
    <row r="851" spans="1:11" ht="15.5" x14ac:dyDescent="0.35">
      <c r="A851" s="1" t="s">
        <v>1521</v>
      </c>
      <c r="B851" t="str">
        <f>VLOOKUP($A851, 'Customer Names'!A:D, 3, FALSE)</f>
        <v>Duhaime</v>
      </c>
      <c r="C851">
        <f>VLOOKUP($A851,'Medical Examinations'!A:C, 3, FALSE)</f>
        <v>42.78</v>
      </c>
      <c r="D851" t="str">
        <f>VLOOKUP($A851, 'Medical Examinations'!A:D, 4, FALSE)</f>
        <v>Prediabetes</v>
      </c>
      <c r="E851" t="str">
        <f>VLOOKUP($A851, 'Medical Examinations'!A:F, 6, FALSE)</f>
        <v>yes</v>
      </c>
      <c r="F851" t="str">
        <f>VLOOKUP($A851, 'Medical Examinations'!A:G, 7, FALSE)</f>
        <v>No</v>
      </c>
      <c r="G851" t="str">
        <f>VLOOKUP($A851, 'Medical Examinations'!A:H, 8, FALSE)</f>
        <v>No</v>
      </c>
      <c r="H851">
        <f>VLOOKUP($A851, 'Medical Examinations'!A:J, 10, FALSE)</f>
        <v>1</v>
      </c>
      <c r="I851" t="str">
        <f>VLOOKUP($A851, 'Medical Examinations'!A:K, 11, FALSE)</f>
        <v>No</v>
      </c>
      <c r="J851" t="str">
        <f>VLOOKUP($A851, 'Medical Examinations'!A:B, 2, FALSE)</f>
        <v>Obesity</v>
      </c>
      <c r="K851" t="str">
        <f>VLOOKUP($A851, 'Medical Examinations'!A:D, 4, FALSE)</f>
        <v>Prediabetes</v>
      </c>
    </row>
    <row r="852" spans="1:11" ht="15.5" x14ac:dyDescent="0.35">
      <c r="A852" s="1" t="s">
        <v>1520</v>
      </c>
      <c r="B852" t="str">
        <f>VLOOKUP($A852, 'Customer Names'!A:D, 3, FALSE)</f>
        <v>Swann</v>
      </c>
      <c r="C852">
        <f>VLOOKUP($A852,'Medical Examinations'!A:C, 3, FALSE)</f>
        <v>46.75</v>
      </c>
      <c r="D852" t="str">
        <f>VLOOKUP($A852, 'Medical Examinations'!A:D, 4, FALSE)</f>
        <v>Diabetes</v>
      </c>
      <c r="E852" t="str">
        <f>VLOOKUP($A852, 'Medical Examinations'!A:F, 6, FALSE)</f>
        <v>yes</v>
      </c>
      <c r="F852" t="str">
        <f>VLOOKUP($A852, 'Medical Examinations'!A:G, 7, FALSE)</f>
        <v>No</v>
      </c>
      <c r="G852" t="str">
        <f>VLOOKUP($A852, 'Medical Examinations'!A:H, 8, FALSE)</f>
        <v>No</v>
      </c>
      <c r="H852">
        <f>VLOOKUP($A852, 'Medical Examinations'!A:J, 10, FALSE)</f>
        <v>2</v>
      </c>
      <c r="I852" t="str">
        <f>VLOOKUP($A852, 'Medical Examinations'!A:K, 11, FALSE)</f>
        <v>No</v>
      </c>
      <c r="J852" t="str">
        <f>VLOOKUP($A852, 'Medical Examinations'!A:B, 2, FALSE)</f>
        <v>Obesity</v>
      </c>
      <c r="K852" t="str">
        <f>VLOOKUP($A852, 'Medical Examinations'!A:D, 4, FALSE)</f>
        <v>Diabetes</v>
      </c>
    </row>
    <row r="853" spans="1:11" ht="15.5" x14ac:dyDescent="0.35">
      <c r="A853" s="1" t="s">
        <v>1519</v>
      </c>
      <c r="B853" t="str">
        <f>VLOOKUP($A853, 'Customer Names'!A:D, 3, FALSE)</f>
        <v>Burton</v>
      </c>
      <c r="C853">
        <f>VLOOKUP($A853,'Medical Examinations'!A:C, 3, FALSE)</f>
        <v>32.15</v>
      </c>
      <c r="D853" t="str">
        <f>VLOOKUP($A853, 'Medical Examinations'!A:D, 4, FALSE)</f>
        <v>Normal</v>
      </c>
      <c r="E853" t="str">
        <f>VLOOKUP($A853, 'Medical Examinations'!A:F, 6, FALSE)</f>
        <v>yes</v>
      </c>
      <c r="F853" t="str">
        <f>VLOOKUP($A853, 'Medical Examinations'!A:G, 7, FALSE)</f>
        <v>No</v>
      </c>
      <c r="G853" t="str">
        <f>VLOOKUP($A853, 'Medical Examinations'!A:H, 8, FALSE)</f>
        <v>Yes</v>
      </c>
      <c r="H853">
        <f>VLOOKUP($A853, 'Medical Examinations'!A:J, 10, FALSE)</f>
        <v>1</v>
      </c>
      <c r="I853" t="str">
        <f>VLOOKUP($A853, 'Medical Examinations'!A:K, 11, FALSE)</f>
        <v>No</v>
      </c>
      <c r="J853" t="str">
        <f>VLOOKUP($A853, 'Medical Examinations'!A:B, 2, FALSE)</f>
        <v>Obesity</v>
      </c>
      <c r="K853" t="str">
        <f>VLOOKUP($A853, 'Medical Examinations'!A:D, 4, FALSE)</f>
        <v>Normal</v>
      </c>
    </row>
    <row r="854" spans="1:11" ht="15.5" x14ac:dyDescent="0.35">
      <c r="A854" s="1" t="s">
        <v>1518</v>
      </c>
      <c r="B854" t="str">
        <f>VLOOKUP($A854, 'Customer Names'!A:D, 3, FALSE)</f>
        <v>Ricardi</v>
      </c>
      <c r="C854">
        <f>VLOOKUP($A854,'Medical Examinations'!A:C, 3, FALSE)</f>
        <v>43.4</v>
      </c>
      <c r="D854" t="str">
        <f>VLOOKUP($A854, 'Medical Examinations'!A:D, 4, FALSE)</f>
        <v>Diabetes</v>
      </c>
      <c r="E854" t="str">
        <f>VLOOKUP($A854, 'Medical Examinations'!A:F, 6, FALSE)</f>
        <v>yes</v>
      </c>
      <c r="F854" t="str">
        <f>VLOOKUP($A854, 'Medical Examinations'!A:G, 7, FALSE)</f>
        <v>No</v>
      </c>
      <c r="G854" t="str">
        <f>VLOOKUP($A854, 'Medical Examinations'!A:H, 8, FALSE)</f>
        <v>No</v>
      </c>
      <c r="H854">
        <f>VLOOKUP($A854, 'Medical Examinations'!A:J, 10, FALSE)</f>
        <v>2</v>
      </c>
      <c r="I854" t="str">
        <f>VLOOKUP($A854, 'Medical Examinations'!A:K, 11, FALSE)</f>
        <v>No</v>
      </c>
      <c r="J854" t="str">
        <f>VLOOKUP($A854, 'Medical Examinations'!A:B, 2, FALSE)</f>
        <v>Obesity</v>
      </c>
      <c r="K854" t="str">
        <f>VLOOKUP($A854, 'Medical Examinations'!A:D, 4, FALSE)</f>
        <v>Diabetes</v>
      </c>
    </row>
    <row r="855" spans="1:11" ht="15.5" x14ac:dyDescent="0.35">
      <c r="A855" s="1" t="s">
        <v>1517</v>
      </c>
      <c r="B855" t="str">
        <f>VLOOKUP($A855, 'Customer Names'!A:D, 3, FALSE)</f>
        <v>Joslyn</v>
      </c>
      <c r="C855">
        <f>VLOOKUP($A855,'Medical Examinations'!A:C, 3, FALSE)</f>
        <v>31.57</v>
      </c>
      <c r="D855" t="str">
        <f>VLOOKUP($A855, 'Medical Examinations'!A:D, 4, FALSE)</f>
        <v>Diabetes</v>
      </c>
      <c r="E855" t="str">
        <f>VLOOKUP($A855, 'Medical Examinations'!A:F, 6, FALSE)</f>
        <v>yes</v>
      </c>
      <c r="F855" t="str">
        <f>VLOOKUP($A855, 'Medical Examinations'!A:G, 7, FALSE)</f>
        <v>No</v>
      </c>
      <c r="G855" t="str">
        <f>VLOOKUP($A855, 'Medical Examinations'!A:H, 8, FALSE)</f>
        <v>No</v>
      </c>
      <c r="H855">
        <f>VLOOKUP($A855, 'Medical Examinations'!A:J, 10, FALSE)</f>
        <v>2</v>
      </c>
      <c r="I855" t="str">
        <f>VLOOKUP($A855, 'Medical Examinations'!A:K, 11, FALSE)</f>
        <v>No</v>
      </c>
      <c r="J855" t="str">
        <f>VLOOKUP($A855, 'Medical Examinations'!A:B, 2, FALSE)</f>
        <v>Obesity</v>
      </c>
      <c r="K855" t="str">
        <f>VLOOKUP($A855, 'Medical Examinations'!A:D, 4, FALSE)</f>
        <v>Diabetes</v>
      </c>
    </row>
    <row r="856" spans="1:11" ht="15.5" x14ac:dyDescent="0.35">
      <c r="A856" s="1" t="s">
        <v>1516</v>
      </c>
      <c r="B856" t="str">
        <f>VLOOKUP($A856, 'Customer Names'!A:D, 3, FALSE)</f>
        <v>Bennie</v>
      </c>
      <c r="C856">
        <f>VLOOKUP($A856,'Medical Examinations'!A:C, 3, FALSE)</f>
        <v>24.32</v>
      </c>
      <c r="D856" t="str">
        <f>VLOOKUP($A856, 'Medical Examinations'!A:D, 4, FALSE)</f>
        <v>Diabetes</v>
      </c>
      <c r="E856" t="str">
        <f>VLOOKUP($A856, 'Medical Examinations'!A:F, 6, FALSE)</f>
        <v>No</v>
      </c>
      <c r="F856" t="str">
        <f>VLOOKUP($A856, 'Medical Examinations'!A:G, 7, FALSE)</f>
        <v>No</v>
      </c>
      <c r="G856" t="str">
        <f>VLOOKUP($A856, 'Medical Examinations'!A:H, 8, FALSE)</f>
        <v>No</v>
      </c>
      <c r="H856" t="str">
        <f>VLOOKUP($A856, 'Medical Examinations'!A:J, 10, FALSE)</f>
        <v>No major surgery</v>
      </c>
      <c r="I856" t="str">
        <f>VLOOKUP($A856, 'Medical Examinations'!A:K, 11, FALSE)</f>
        <v>No</v>
      </c>
      <c r="J856" t="str">
        <f>VLOOKUP($A856, 'Medical Examinations'!A:B, 2, FALSE)</f>
        <v>Normal Weight</v>
      </c>
      <c r="K856" t="str">
        <f>VLOOKUP($A856, 'Medical Examinations'!A:D, 4, FALSE)</f>
        <v>Diabetes</v>
      </c>
    </row>
    <row r="857" spans="1:11" ht="15.5" x14ac:dyDescent="0.35">
      <c r="A857" s="1" t="s">
        <v>1515</v>
      </c>
      <c r="B857" t="str">
        <f>VLOOKUP($A857, 'Customer Names'!A:D, 3, FALSE)</f>
        <v>Kanyane</v>
      </c>
      <c r="C857">
        <f>VLOOKUP($A857,'Medical Examinations'!A:C, 3, FALSE)</f>
        <v>31.07</v>
      </c>
      <c r="D857" t="str">
        <f>VLOOKUP($A857, 'Medical Examinations'!A:D, 4, FALSE)</f>
        <v>Normal</v>
      </c>
      <c r="E857" t="str">
        <f>VLOOKUP($A857, 'Medical Examinations'!A:F, 6, FALSE)</f>
        <v>yes</v>
      </c>
      <c r="F857" t="str">
        <f>VLOOKUP($A857, 'Medical Examinations'!A:G, 7, FALSE)</f>
        <v>No</v>
      </c>
      <c r="G857" t="str">
        <f>VLOOKUP($A857, 'Medical Examinations'!A:H, 8, FALSE)</f>
        <v>No</v>
      </c>
      <c r="H857">
        <f>VLOOKUP($A857, 'Medical Examinations'!A:J, 10, FALSE)</f>
        <v>2</v>
      </c>
      <c r="I857" t="str">
        <f>VLOOKUP($A857, 'Medical Examinations'!A:K, 11, FALSE)</f>
        <v>No</v>
      </c>
      <c r="J857" t="str">
        <f>VLOOKUP($A857, 'Medical Examinations'!A:B, 2, FALSE)</f>
        <v>Obesity</v>
      </c>
      <c r="K857" t="str">
        <f>VLOOKUP($A857, 'Medical Examinations'!A:D, 4, FALSE)</f>
        <v>Normal</v>
      </c>
    </row>
    <row r="858" spans="1:11" ht="15.5" x14ac:dyDescent="0.35">
      <c r="A858" s="1" t="s">
        <v>1514</v>
      </c>
      <c r="B858" t="str">
        <f>VLOOKUP($A858, 'Customer Names'!A:D, 3, FALSE)</f>
        <v>McFadden</v>
      </c>
      <c r="C858">
        <f>VLOOKUP($A858,'Medical Examinations'!A:C, 3, FALSE)</f>
        <v>35.814999999999998</v>
      </c>
      <c r="D858" t="str">
        <f>VLOOKUP($A858, 'Medical Examinations'!A:D, 4, FALSE)</f>
        <v>Diabetes</v>
      </c>
      <c r="E858" t="str">
        <f>VLOOKUP($A858, 'Medical Examinations'!A:F, 6, FALSE)</f>
        <v>No</v>
      </c>
      <c r="F858" t="str">
        <f>VLOOKUP($A858, 'Medical Examinations'!A:G, 7, FALSE)</f>
        <v>No</v>
      </c>
      <c r="G858" t="str">
        <f>VLOOKUP($A858, 'Medical Examinations'!A:H, 8, FALSE)</f>
        <v>No</v>
      </c>
      <c r="H858" t="str">
        <f>VLOOKUP($A858, 'Medical Examinations'!A:J, 10, FALSE)</f>
        <v>No major surgery</v>
      </c>
      <c r="I858" t="str">
        <f>VLOOKUP($A858, 'Medical Examinations'!A:K, 11, FALSE)</f>
        <v>No</v>
      </c>
      <c r="J858" t="str">
        <f>VLOOKUP($A858, 'Medical Examinations'!A:B, 2, FALSE)</f>
        <v>Obesity</v>
      </c>
      <c r="K858" t="str">
        <f>VLOOKUP($A858, 'Medical Examinations'!A:D, 4, FALSE)</f>
        <v>Diabetes</v>
      </c>
    </row>
    <row r="859" spans="1:11" ht="15.5" x14ac:dyDescent="0.35">
      <c r="A859" s="1" t="s">
        <v>1513</v>
      </c>
      <c r="B859" t="str">
        <f>VLOOKUP($A859, 'Customer Names'!A:D, 3, FALSE)</f>
        <v>Connolly</v>
      </c>
      <c r="C859">
        <f>VLOOKUP($A859,'Medical Examinations'!A:C, 3, FALSE)</f>
        <v>40.81</v>
      </c>
      <c r="D859" t="str">
        <f>VLOOKUP($A859, 'Medical Examinations'!A:D, 4, FALSE)</f>
        <v>Diabetes</v>
      </c>
      <c r="E859" t="str">
        <f>VLOOKUP($A859, 'Medical Examinations'!A:F, 6, FALSE)</f>
        <v>yes</v>
      </c>
      <c r="F859" t="str">
        <f>VLOOKUP($A859, 'Medical Examinations'!A:G, 7, FALSE)</f>
        <v>No</v>
      </c>
      <c r="G859" t="str">
        <f>VLOOKUP($A859, 'Medical Examinations'!A:H, 8, FALSE)</f>
        <v>No</v>
      </c>
      <c r="H859" t="str">
        <f>VLOOKUP($A859, 'Medical Examinations'!A:J, 10, FALSE)</f>
        <v>No major surgery</v>
      </c>
      <c r="I859" t="str">
        <f>VLOOKUP($A859, 'Medical Examinations'!A:K, 11, FALSE)</f>
        <v>No</v>
      </c>
      <c r="J859" t="str">
        <f>VLOOKUP($A859, 'Medical Examinations'!A:B, 2, FALSE)</f>
        <v>Obesity</v>
      </c>
      <c r="K859" t="str">
        <f>VLOOKUP($A859, 'Medical Examinations'!A:D, 4, FALSE)</f>
        <v>Diabetes</v>
      </c>
    </row>
    <row r="860" spans="1:11" ht="15.5" x14ac:dyDescent="0.35">
      <c r="A860" s="1" t="s">
        <v>1512</v>
      </c>
      <c r="B860" t="str">
        <f>VLOOKUP($A860, 'Customer Names'!A:D, 3, FALSE)</f>
        <v>Merino</v>
      </c>
      <c r="C860">
        <f>VLOOKUP($A860,'Medical Examinations'!A:C, 3, FALSE)</f>
        <v>24.605</v>
      </c>
      <c r="D860" t="str">
        <f>VLOOKUP($A860, 'Medical Examinations'!A:D, 4, FALSE)</f>
        <v>Diabetes</v>
      </c>
      <c r="E860" t="str">
        <f>VLOOKUP($A860, 'Medical Examinations'!A:F, 6, FALSE)</f>
        <v>No</v>
      </c>
      <c r="F860" t="str">
        <f>VLOOKUP($A860, 'Medical Examinations'!A:G, 7, FALSE)</f>
        <v>No</v>
      </c>
      <c r="G860" t="str">
        <f>VLOOKUP($A860, 'Medical Examinations'!A:H, 8, FALSE)</f>
        <v>No</v>
      </c>
      <c r="H860" t="str">
        <f>VLOOKUP($A860, 'Medical Examinations'!A:J, 10, FALSE)</f>
        <v>No major surgery</v>
      </c>
      <c r="I860" t="str">
        <f>VLOOKUP($A860, 'Medical Examinations'!A:K, 11, FALSE)</f>
        <v>No</v>
      </c>
      <c r="J860" t="str">
        <f>VLOOKUP($A860, 'Medical Examinations'!A:B, 2, FALSE)</f>
        <v>Normal Weight</v>
      </c>
      <c r="K860" t="str">
        <f>VLOOKUP($A860, 'Medical Examinations'!A:D, 4, FALSE)</f>
        <v>Diabetes</v>
      </c>
    </row>
    <row r="861" spans="1:11" ht="15.5" x14ac:dyDescent="0.35">
      <c r="A861" s="1" t="s">
        <v>1511</v>
      </c>
      <c r="B861" t="str">
        <f>VLOOKUP($A861, 'Customer Names'!A:D, 3, FALSE)</f>
        <v>Baird</v>
      </c>
      <c r="C861">
        <f>VLOOKUP($A861,'Medical Examinations'!A:C, 3, FALSE)</f>
        <v>21.47</v>
      </c>
      <c r="D861" t="str">
        <f>VLOOKUP($A861, 'Medical Examinations'!A:D, 4, FALSE)</f>
        <v>Diabetes</v>
      </c>
      <c r="E861" t="str">
        <f>VLOOKUP($A861, 'Medical Examinations'!A:F, 6, FALSE)</f>
        <v>No</v>
      </c>
      <c r="F861" t="str">
        <f>VLOOKUP($A861, 'Medical Examinations'!A:G, 7, FALSE)</f>
        <v>No</v>
      </c>
      <c r="G861" t="str">
        <f>VLOOKUP($A861, 'Medical Examinations'!A:H, 8, FALSE)</f>
        <v>No</v>
      </c>
      <c r="H861" t="str">
        <f>VLOOKUP($A861, 'Medical Examinations'!A:J, 10, FALSE)</f>
        <v>No major surgery</v>
      </c>
      <c r="I861" t="str">
        <f>VLOOKUP($A861, 'Medical Examinations'!A:K, 11, FALSE)</f>
        <v>No</v>
      </c>
      <c r="J861" t="str">
        <f>VLOOKUP($A861, 'Medical Examinations'!A:B, 2, FALSE)</f>
        <v>Normal Weight</v>
      </c>
      <c r="K861" t="str">
        <f>VLOOKUP($A861, 'Medical Examinations'!A:D, 4, FALSE)</f>
        <v>Diabetes</v>
      </c>
    </row>
    <row r="862" spans="1:11" ht="15.5" x14ac:dyDescent="0.35">
      <c r="A862" s="1" t="s">
        <v>1510</v>
      </c>
      <c r="B862" t="str">
        <f>VLOOKUP($A862, 'Customer Names'!A:D, 3, FALSE)</f>
        <v>Locatelli</v>
      </c>
      <c r="C862">
        <f>VLOOKUP($A862,'Medical Examinations'!A:C, 3, FALSE)</f>
        <v>52.89</v>
      </c>
      <c r="D862" t="str">
        <f>VLOOKUP($A862, 'Medical Examinations'!A:D, 4, FALSE)</f>
        <v>Normal</v>
      </c>
      <c r="E862" t="str">
        <f>VLOOKUP($A862, 'Medical Examinations'!A:F, 6, FALSE)</f>
        <v>yes</v>
      </c>
      <c r="F862" t="str">
        <f>VLOOKUP($A862, 'Medical Examinations'!A:G, 7, FALSE)</f>
        <v>No</v>
      </c>
      <c r="G862" t="str">
        <f>VLOOKUP($A862, 'Medical Examinations'!A:H, 8, FALSE)</f>
        <v>No</v>
      </c>
      <c r="H862">
        <f>VLOOKUP($A862, 'Medical Examinations'!A:J, 10, FALSE)</f>
        <v>1</v>
      </c>
      <c r="I862" t="str">
        <f>VLOOKUP($A862, 'Medical Examinations'!A:K, 11, FALSE)</f>
        <v>No</v>
      </c>
      <c r="J862" t="str">
        <f>VLOOKUP($A862, 'Medical Examinations'!A:B, 2, FALSE)</f>
        <v>Obesity</v>
      </c>
      <c r="K862" t="str">
        <f>VLOOKUP($A862, 'Medical Examinations'!A:D, 4, FALSE)</f>
        <v>Normal</v>
      </c>
    </row>
    <row r="863" spans="1:11" ht="15.5" x14ac:dyDescent="0.35">
      <c r="A863" s="1" t="s">
        <v>1509</v>
      </c>
      <c r="B863" t="str">
        <f>VLOOKUP($A863, 'Customer Names'!A:D, 3, FALSE)</f>
        <v>Brake</v>
      </c>
      <c r="C863">
        <f>VLOOKUP($A863,'Medical Examinations'!A:C, 3, FALSE)</f>
        <v>32.965000000000003</v>
      </c>
      <c r="D863" t="str">
        <f>VLOOKUP($A863, 'Medical Examinations'!A:D, 4, FALSE)</f>
        <v>Prediabetes</v>
      </c>
      <c r="E863" t="str">
        <f>VLOOKUP($A863, 'Medical Examinations'!A:F, 6, FALSE)</f>
        <v>yes</v>
      </c>
      <c r="F863" t="str">
        <f>VLOOKUP($A863, 'Medical Examinations'!A:G, 7, FALSE)</f>
        <v>No</v>
      </c>
      <c r="G863" t="str">
        <f>VLOOKUP($A863, 'Medical Examinations'!A:H, 8, FALSE)</f>
        <v>No</v>
      </c>
      <c r="H863">
        <f>VLOOKUP($A863, 'Medical Examinations'!A:J, 10, FALSE)</f>
        <v>1</v>
      </c>
      <c r="I863" t="str">
        <f>VLOOKUP($A863, 'Medical Examinations'!A:K, 11, FALSE)</f>
        <v>No</v>
      </c>
      <c r="J863" t="str">
        <f>VLOOKUP($A863, 'Medical Examinations'!A:B, 2, FALSE)</f>
        <v>Obesity</v>
      </c>
      <c r="K863" t="str">
        <f>VLOOKUP($A863, 'Medical Examinations'!A:D, 4, FALSE)</f>
        <v>Prediabetes</v>
      </c>
    </row>
    <row r="864" spans="1:11" ht="15.5" x14ac:dyDescent="0.35">
      <c r="A864" s="1" t="s">
        <v>1508</v>
      </c>
      <c r="B864" t="str">
        <f>VLOOKUP($A864, 'Customer Names'!A:D, 3, FALSE)</f>
        <v>Jacobs</v>
      </c>
      <c r="C864">
        <f>VLOOKUP($A864,'Medical Examinations'!A:C, 3, FALSE)</f>
        <v>36.799999999999997</v>
      </c>
      <c r="D864" t="str">
        <f>VLOOKUP($A864, 'Medical Examinations'!A:D, 4, FALSE)</f>
        <v>Normal</v>
      </c>
      <c r="E864" t="str">
        <f>VLOOKUP($A864, 'Medical Examinations'!A:F, 6, FALSE)</f>
        <v>No</v>
      </c>
      <c r="F864" t="str">
        <f>VLOOKUP($A864, 'Medical Examinations'!A:G, 7, FALSE)</f>
        <v>No</v>
      </c>
      <c r="G864" t="str">
        <f>VLOOKUP($A864, 'Medical Examinations'!A:H, 8, FALSE)</f>
        <v>Yes</v>
      </c>
      <c r="H864">
        <f>VLOOKUP($A864, 'Medical Examinations'!A:J, 10, FALSE)</f>
        <v>1</v>
      </c>
      <c r="I864" t="str">
        <f>VLOOKUP($A864, 'Medical Examinations'!A:K, 11, FALSE)</f>
        <v>No</v>
      </c>
      <c r="J864" t="str">
        <f>VLOOKUP($A864, 'Medical Examinations'!A:B, 2, FALSE)</f>
        <v>Obesity</v>
      </c>
      <c r="K864" t="str">
        <f>VLOOKUP($A864, 'Medical Examinations'!A:D, 4, FALSE)</f>
        <v>Normal</v>
      </c>
    </row>
    <row r="865" spans="1:11" ht="15.5" x14ac:dyDescent="0.35">
      <c r="A865" s="1" t="s">
        <v>1507</v>
      </c>
      <c r="B865" t="str">
        <f>VLOOKUP($A865, 'Customer Names'!A:D, 3, FALSE)</f>
        <v>Vaught</v>
      </c>
      <c r="C865">
        <f>VLOOKUP($A865,'Medical Examinations'!A:C, 3, FALSE)</f>
        <v>34.299999999999997</v>
      </c>
      <c r="D865" t="str">
        <f>VLOOKUP($A865, 'Medical Examinations'!A:D, 4, FALSE)</f>
        <v>Normal</v>
      </c>
      <c r="E865" t="str">
        <f>VLOOKUP($A865, 'Medical Examinations'!A:F, 6, FALSE)</f>
        <v>No</v>
      </c>
      <c r="F865" t="str">
        <f>VLOOKUP($A865, 'Medical Examinations'!A:G, 7, FALSE)</f>
        <v>No</v>
      </c>
      <c r="G865" t="str">
        <f>VLOOKUP($A865, 'Medical Examinations'!A:H, 8, FALSE)</f>
        <v>No</v>
      </c>
      <c r="H865">
        <f>VLOOKUP($A865, 'Medical Examinations'!A:J, 10, FALSE)</f>
        <v>2</v>
      </c>
      <c r="I865" t="str">
        <f>VLOOKUP($A865, 'Medical Examinations'!A:K, 11, FALSE)</f>
        <v>No</v>
      </c>
      <c r="J865" t="str">
        <f>VLOOKUP($A865, 'Medical Examinations'!A:B, 2, FALSE)</f>
        <v>Obesity</v>
      </c>
      <c r="K865" t="str">
        <f>VLOOKUP($A865, 'Medical Examinations'!A:D, 4, FALSE)</f>
        <v>Normal</v>
      </c>
    </row>
    <row r="866" spans="1:11" ht="15.5" x14ac:dyDescent="0.35">
      <c r="A866" s="1" t="s">
        <v>1506</v>
      </c>
      <c r="B866" t="str">
        <f>VLOOKUP($A866, 'Customer Names'!A:D, 3, FALSE)</f>
        <v>Monteleone</v>
      </c>
      <c r="C866">
        <f>VLOOKUP($A866,'Medical Examinations'!A:C, 3, FALSE)</f>
        <v>35.244999999999997</v>
      </c>
      <c r="D866" t="str">
        <f>VLOOKUP($A866, 'Medical Examinations'!A:D, 4, FALSE)</f>
        <v>Normal</v>
      </c>
      <c r="E866" t="str">
        <f>VLOOKUP($A866, 'Medical Examinations'!A:F, 6, FALSE)</f>
        <v>No</v>
      </c>
      <c r="F866" t="str">
        <f>VLOOKUP($A866, 'Medical Examinations'!A:G, 7, FALSE)</f>
        <v>No</v>
      </c>
      <c r="G866" t="str">
        <f>VLOOKUP($A866, 'Medical Examinations'!A:H, 8, FALSE)</f>
        <v>No</v>
      </c>
      <c r="H866" t="str">
        <f>VLOOKUP($A866, 'Medical Examinations'!A:J, 10, FALSE)</f>
        <v>No major surgery</v>
      </c>
      <c r="I866" t="str">
        <f>VLOOKUP($A866, 'Medical Examinations'!A:K, 11, FALSE)</f>
        <v>No</v>
      </c>
      <c r="J866" t="str">
        <f>VLOOKUP($A866, 'Medical Examinations'!A:B, 2, FALSE)</f>
        <v>Obesity</v>
      </c>
      <c r="K866" t="str">
        <f>VLOOKUP($A866, 'Medical Examinations'!A:D, 4, FALSE)</f>
        <v>Normal</v>
      </c>
    </row>
    <row r="867" spans="1:11" ht="15.5" x14ac:dyDescent="0.35">
      <c r="A867" s="1" t="s">
        <v>1505</v>
      </c>
      <c r="B867" t="str">
        <f>VLOOKUP($A867, 'Customer Names'!A:D, 3, FALSE)</f>
        <v>Verdugo</v>
      </c>
      <c r="C867">
        <f>VLOOKUP($A867,'Medical Examinations'!A:C, 3, FALSE)</f>
        <v>26.23</v>
      </c>
      <c r="D867" t="str">
        <f>VLOOKUP($A867, 'Medical Examinations'!A:D, 4, FALSE)</f>
        <v>Diabetes</v>
      </c>
      <c r="E867" t="str">
        <f>VLOOKUP($A867, 'Medical Examinations'!A:F, 6, FALSE)</f>
        <v>No</v>
      </c>
      <c r="F867" t="str">
        <f>VLOOKUP($A867, 'Medical Examinations'!A:G, 7, FALSE)</f>
        <v>No</v>
      </c>
      <c r="G867" t="str">
        <f>VLOOKUP($A867, 'Medical Examinations'!A:H, 8, FALSE)</f>
        <v>No</v>
      </c>
      <c r="H867" t="str">
        <f>VLOOKUP($A867, 'Medical Examinations'!A:J, 10, FALSE)</f>
        <v>No major surgery</v>
      </c>
      <c r="I867" t="str">
        <f>VLOOKUP($A867, 'Medical Examinations'!A:K, 11, FALSE)</f>
        <v>No</v>
      </c>
      <c r="J867" t="str">
        <f>VLOOKUP($A867, 'Medical Examinations'!A:B, 2, FALSE)</f>
        <v>Overweight</v>
      </c>
      <c r="K867" t="str">
        <f>VLOOKUP($A867, 'Medical Examinations'!A:D, 4, FALSE)</f>
        <v>Diabetes</v>
      </c>
    </row>
    <row r="868" spans="1:11" ht="15.5" x14ac:dyDescent="0.35">
      <c r="A868" s="1" t="s">
        <v>1504</v>
      </c>
      <c r="B868" t="str">
        <f>VLOOKUP($A868, 'Customer Names'!A:D, 3, FALSE)</f>
        <v>Sellers</v>
      </c>
      <c r="C868">
        <f>VLOOKUP($A868,'Medical Examinations'!A:C, 3, FALSE)</f>
        <v>36.1</v>
      </c>
      <c r="D868" t="str">
        <f>VLOOKUP($A868, 'Medical Examinations'!A:D, 4, FALSE)</f>
        <v>Normal</v>
      </c>
      <c r="E868" t="str">
        <f>VLOOKUP($A868, 'Medical Examinations'!A:F, 6, FALSE)</f>
        <v>yes</v>
      </c>
      <c r="F868" t="str">
        <f>VLOOKUP($A868, 'Medical Examinations'!A:G, 7, FALSE)</f>
        <v>No</v>
      </c>
      <c r="G868" t="str">
        <f>VLOOKUP($A868, 'Medical Examinations'!A:H, 8, FALSE)</f>
        <v>No</v>
      </c>
      <c r="H868">
        <f>VLOOKUP($A868, 'Medical Examinations'!A:J, 10, FALSE)</f>
        <v>2</v>
      </c>
      <c r="I868" t="str">
        <f>VLOOKUP($A868, 'Medical Examinations'!A:K, 11, FALSE)</f>
        <v>No</v>
      </c>
      <c r="J868" t="str">
        <f>VLOOKUP($A868, 'Medical Examinations'!A:B, 2, FALSE)</f>
        <v>Obesity</v>
      </c>
      <c r="K868" t="str">
        <f>VLOOKUP($A868, 'Medical Examinations'!A:D, 4, FALSE)</f>
        <v>Normal</v>
      </c>
    </row>
    <row r="869" spans="1:11" ht="15.5" x14ac:dyDescent="0.35">
      <c r="A869" s="1" t="s">
        <v>1503</v>
      </c>
      <c r="B869" t="str">
        <f>VLOOKUP($A869, 'Customer Names'!A:D, 3, FALSE)</f>
        <v>Bowman</v>
      </c>
      <c r="C869">
        <f>VLOOKUP($A869,'Medical Examinations'!A:C, 3, FALSE)</f>
        <v>37.1</v>
      </c>
      <c r="D869" t="str">
        <f>VLOOKUP($A869, 'Medical Examinations'!A:D, 4, FALSE)</f>
        <v>Diabetes</v>
      </c>
      <c r="E869" t="str">
        <f>VLOOKUP($A869, 'Medical Examinations'!A:F, 6, FALSE)</f>
        <v>yes</v>
      </c>
      <c r="F869" t="str">
        <f>VLOOKUP($A869, 'Medical Examinations'!A:G, 7, FALSE)</f>
        <v>No</v>
      </c>
      <c r="G869" t="str">
        <f>VLOOKUP($A869, 'Medical Examinations'!A:H, 8, FALSE)</f>
        <v>Yes</v>
      </c>
      <c r="H869">
        <f>VLOOKUP($A869, 'Medical Examinations'!A:J, 10, FALSE)</f>
        <v>1</v>
      </c>
      <c r="I869" t="str">
        <f>VLOOKUP($A869, 'Medical Examinations'!A:K, 11, FALSE)</f>
        <v>No</v>
      </c>
      <c r="J869" t="str">
        <f>VLOOKUP($A869, 'Medical Examinations'!A:B, 2, FALSE)</f>
        <v>Obesity</v>
      </c>
      <c r="K869" t="str">
        <f>VLOOKUP($A869, 'Medical Examinations'!A:D, 4, FALSE)</f>
        <v>Diabetes</v>
      </c>
    </row>
    <row r="870" spans="1:11" ht="15.5" x14ac:dyDescent="0.35">
      <c r="A870" s="1" t="s">
        <v>1502</v>
      </c>
      <c r="B870" t="str">
        <f>VLOOKUP($A870, 'Customer Names'!A:D, 3, FALSE)</f>
        <v>Marley</v>
      </c>
      <c r="C870">
        <f>VLOOKUP($A870,'Medical Examinations'!A:C, 3, FALSE)</f>
        <v>27.5</v>
      </c>
      <c r="D870" t="str">
        <f>VLOOKUP($A870, 'Medical Examinations'!A:D, 4, FALSE)</f>
        <v>Diabetes</v>
      </c>
      <c r="E870" t="str">
        <f>VLOOKUP($A870, 'Medical Examinations'!A:F, 6, FALSE)</f>
        <v>yes</v>
      </c>
      <c r="F870" t="str">
        <f>VLOOKUP($A870, 'Medical Examinations'!A:G, 7, FALSE)</f>
        <v>No</v>
      </c>
      <c r="G870" t="str">
        <f>VLOOKUP($A870, 'Medical Examinations'!A:H, 8, FALSE)</f>
        <v>Yes</v>
      </c>
      <c r="H870">
        <f>VLOOKUP($A870, 'Medical Examinations'!A:J, 10, FALSE)</f>
        <v>1</v>
      </c>
      <c r="I870" t="str">
        <f>VLOOKUP($A870, 'Medical Examinations'!A:K, 11, FALSE)</f>
        <v>No</v>
      </c>
      <c r="J870" t="str">
        <f>VLOOKUP($A870, 'Medical Examinations'!A:B, 2, FALSE)</f>
        <v>Overweight</v>
      </c>
      <c r="K870" t="str">
        <f>VLOOKUP($A870, 'Medical Examinations'!A:D, 4, FALSE)</f>
        <v>Diabetes</v>
      </c>
    </row>
    <row r="871" spans="1:11" ht="15.5" x14ac:dyDescent="0.35">
      <c r="A871" s="1" t="s">
        <v>1501</v>
      </c>
      <c r="B871" t="str">
        <f>VLOOKUP($A871, 'Customer Names'!A:D, 3, FALSE)</f>
        <v>Grey</v>
      </c>
      <c r="C871">
        <f>VLOOKUP($A871,'Medical Examinations'!A:C, 3, FALSE)</f>
        <v>24.7</v>
      </c>
      <c r="D871" t="str">
        <f>VLOOKUP($A871, 'Medical Examinations'!A:D, 4, FALSE)</f>
        <v>Diabetes</v>
      </c>
      <c r="E871" t="str">
        <f>VLOOKUP($A871, 'Medical Examinations'!A:F, 6, FALSE)</f>
        <v>yes</v>
      </c>
      <c r="F871" t="str">
        <f>VLOOKUP($A871, 'Medical Examinations'!A:G, 7, FALSE)</f>
        <v>No</v>
      </c>
      <c r="G871" t="str">
        <f>VLOOKUP($A871, 'Medical Examinations'!A:H, 8, FALSE)</f>
        <v>Yes</v>
      </c>
      <c r="H871">
        <f>VLOOKUP($A871, 'Medical Examinations'!A:J, 10, FALSE)</f>
        <v>1</v>
      </c>
      <c r="I871" t="str">
        <f>VLOOKUP($A871, 'Medical Examinations'!A:K, 11, FALSE)</f>
        <v>No</v>
      </c>
      <c r="J871" t="str">
        <f>VLOOKUP($A871, 'Medical Examinations'!A:B, 2, FALSE)</f>
        <v>Normal Weight</v>
      </c>
      <c r="K871" t="str">
        <f>VLOOKUP($A871, 'Medical Examinations'!A:D, 4, FALSE)</f>
        <v>Diabetes</v>
      </c>
    </row>
    <row r="872" spans="1:11" ht="15.5" x14ac:dyDescent="0.35">
      <c r="A872" s="1" t="s">
        <v>1500</v>
      </c>
      <c r="B872" t="str">
        <f>VLOOKUP($A872, 'Customer Names'!A:D, 3, FALSE)</f>
        <v>O'Rourke</v>
      </c>
      <c r="C872">
        <f>VLOOKUP($A872,'Medical Examinations'!A:C, 3, FALSE)</f>
        <v>26.78</v>
      </c>
      <c r="D872" t="str">
        <f>VLOOKUP($A872, 'Medical Examinations'!A:D, 4, FALSE)</f>
        <v>Diabetes</v>
      </c>
      <c r="E872" t="str">
        <f>VLOOKUP($A872, 'Medical Examinations'!A:F, 6, FALSE)</f>
        <v>yes</v>
      </c>
      <c r="F872" t="str">
        <f>VLOOKUP($A872, 'Medical Examinations'!A:G, 7, FALSE)</f>
        <v>No</v>
      </c>
      <c r="G872" t="str">
        <f>VLOOKUP($A872, 'Medical Examinations'!A:H, 8, FALSE)</f>
        <v>Yes</v>
      </c>
      <c r="H872">
        <f>VLOOKUP($A872, 'Medical Examinations'!A:J, 10, FALSE)</f>
        <v>1</v>
      </c>
      <c r="I872" t="str">
        <f>VLOOKUP($A872, 'Medical Examinations'!A:K, 11, FALSE)</f>
        <v>No</v>
      </c>
      <c r="J872" t="str">
        <f>VLOOKUP($A872, 'Medical Examinations'!A:B, 2, FALSE)</f>
        <v>Overweight</v>
      </c>
      <c r="K872" t="str">
        <f>VLOOKUP($A872, 'Medical Examinations'!A:D, 4, FALSE)</f>
        <v>Diabetes</v>
      </c>
    </row>
    <row r="873" spans="1:11" ht="15.5" x14ac:dyDescent="0.35">
      <c r="A873" s="1" t="s">
        <v>1499</v>
      </c>
      <c r="B873" t="str">
        <f>VLOOKUP($A873, 'Customer Names'!A:D, 3, FALSE)</f>
        <v>Fatehali</v>
      </c>
      <c r="C873">
        <f>VLOOKUP($A873,'Medical Examinations'!A:C, 3, FALSE)</f>
        <v>45.8</v>
      </c>
      <c r="D873" t="str">
        <f>VLOOKUP($A873, 'Medical Examinations'!A:D, 4, FALSE)</f>
        <v>Normal</v>
      </c>
      <c r="E873" t="str">
        <f>VLOOKUP($A873, 'Medical Examinations'!A:F, 6, FALSE)</f>
        <v>No</v>
      </c>
      <c r="F873" t="str">
        <f>VLOOKUP($A873, 'Medical Examinations'!A:G, 7, FALSE)</f>
        <v>No</v>
      </c>
      <c r="G873" t="str">
        <f>VLOOKUP($A873, 'Medical Examinations'!A:H, 8, FALSE)</f>
        <v>No</v>
      </c>
      <c r="H873" t="str">
        <f>VLOOKUP($A873, 'Medical Examinations'!A:J, 10, FALSE)</f>
        <v>No major surgery</v>
      </c>
      <c r="I873" t="str">
        <f>VLOOKUP($A873, 'Medical Examinations'!A:K, 11, FALSE)</f>
        <v>No</v>
      </c>
      <c r="J873" t="str">
        <f>VLOOKUP($A873, 'Medical Examinations'!A:B, 2, FALSE)</f>
        <v>Obesity</v>
      </c>
      <c r="K873" t="str">
        <f>VLOOKUP($A873, 'Medical Examinations'!A:D, 4, FALSE)</f>
        <v>Normal</v>
      </c>
    </row>
    <row r="874" spans="1:11" ht="15.5" x14ac:dyDescent="0.35">
      <c r="A874" s="1" t="s">
        <v>1498</v>
      </c>
      <c r="B874" t="str">
        <f>VLOOKUP($A874, 'Customer Names'!A:D, 3, FALSE)</f>
        <v>Piza-Taylor</v>
      </c>
      <c r="C874">
        <f>VLOOKUP($A874,'Medical Examinations'!A:C, 3, FALSE)</f>
        <v>29</v>
      </c>
      <c r="D874" t="str">
        <f>VLOOKUP($A874, 'Medical Examinations'!A:D, 4, FALSE)</f>
        <v>Normal</v>
      </c>
      <c r="E874" t="str">
        <f>VLOOKUP($A874, 'Medical Examinations'!A:F, 6, FALSE)</f>
        <v>yes</v>
      </c>
      <c r="F874" t="str">
        <f>VLOOKUP($A874, 'Medical Examinations'!A:G, 7, FALSE)</f>
        <v>No</v>
      </c>
      <c r="G874" t="str">
        <f>VLOOKUP($A874, 'Medical Examinations'!A:H, 8, FALSE)</f>
        <v>No</v>
      </c>
      <c r="H874">
        <f>VLOOKUP($A874, 'Medical Examinations'!A:J, 10, FALSE)</f>
        <v>2</v>
      </c>
      <c r="I874" t="str">
        <f>VLOOKUP($A874, 'Medical Examinations'!A:K, 11, FALSE)</f>
        <v>No</v>
      </c>
      <c r="J874" t="str">
        <f>VLOOKUP($A874, 'Medical Examinations'!A:B, 2, FALSE)</f>
        <v>Overweight</v>
      </c>
      <c r="K874" t="str">
        <f>VLOOKUP($A874, 'Medical Examinations'!A:D, 4, FALSE)</f>
        <v>Normal</v>
      </c>
    </row>
    <row r="875" spans="1:11" ht="15.5" x14ac:dyDescent="0.35">
      <c r="A875" s="1" t="s">
        <v>1497</v>
      </c>
      <c r="B875" t="str">
        <f>VLOOKUP($A875, 'Customer Names'!A:D, 3, FALSE)</f>
        <v>Cavanaugh</v>
      </c>
      <c r="C875">
        <f>VLOOKUP($A875,'Medical Examinations'!A:C, 3, FALSE)</f>
        <v>33.534999999999997</v>
      </c>
      <c r="D875" t="str">
        <f>VLOOKUP($A875, 'Medical Examinations'!A:D, 4, FALSE)</f>
        <v>Diabetes</v>
      </c>
      <c r="E875" t="str">
        <f>VLOOKUP($A875, 'Medical Examinations'!A:F, 6, FALSE)</f>
        <v>yes</v>
      </c>
      <c r="F875" t="str">
        <f>VLOOKUP($A875, 'Medical Examinations'!A:G, 7, FALSE)</f>
        <v>No</v>
      </c>
      <c r="G875" t="str">
        <f>VLOOKUP($A875, 'Medical Examinations'!A:H, 8, FALSE)</f>
        <v>No</v>
      </c>
      <c r="H875" t="str">
        <f>VLOOKUP($A875, 'Medical Examinations'!A:J, 10, FALSE)</f>
        <v>No major surgery</v>
      </c>
      <c r="I875" t="str">
        <f>VLOOKUP($A875, 'Medical Examinations'!A:K, 11, FALSE)</f>
        <v>No</v>
      </c>
      <c r="J875" t="str">
        <f>VLOOKUP($A875, 'Medical Examinations'!A:B, 2, FALSE)</f>
        <v>Obesity</v>
      </c>
      <c r="K875" t="str">
        <f>VLOOKUP($A875, 'Medical Examinations'!A:D, 4, FALSE)</f>
        <v>Diabetes</v>
      </c>
    </row>
    <row r="876" spans="1:11" ht="15.5" x14ac:dyDescent="0.35">
      <c r="A876" s="1" t="s">
        <v>1496</v>
      </c>
      <c r="B876" t="str">
        <f>VLOOKUP($A876, 'Customer Names'!A:D, 3, FALSE)</f>
        <v>Amako</v>
      </c>
      <c r="C876">
        <f>VLOOKUP($A876,'Medical Examinations'!A:C, 3, FALSE)</f>
        <v>32.774999999999999</v>
      </c>
      <c r="D876" t="str">
        <f>VLOOKUP($A876, 'Medical Examinations'!A:D, 4, FALSE)</f>
        <v>Diabetes</v>
      </c>
      <c r="E876" t="str">
        <f>VLOOKUP($A876, 'Medical Examinations'!A:F, 6, FALSE)</f>
        <v>yes</v>
      </c>
      <c r="F876" t="str">
        <f>VLOOKUP($A876, 'Medical Examinations'!A:G, 7, FALSE)</f>
        <v>No</v>
      </c>
      <c r="G876" t="str">
        <f>VLOOKUP($A876, 'Medical Examinations'!A:H, 8, FALSE)</f>
        <v>No</v>
      </c>
      <c r="H876" t="str">
        <f>VLOOKUP($A876, 'Medical Examinations'!A:J, 10, FALSE)</f>
        <v>No major surgery</v>
      </c>
      <c r="I876" t="str">
        <f>VLOOKUP($A876, 'Medical Examinations'!A:K, 11, FALSE)</f>
        <v>No</v>
      </c>
      <c r="J876" t="str">
        <f>VLOOKUP($A876, 'Medical Examinations'!A:B, 2, FALSE)</f>
        <v>Obesity</v>
      </c>
      <c r="K876" t="str">
        <f>VLOOKUP($A876, 'Medical Examinations'!A:D, 4, FALSE)</f>
        <v>Diabetes</v>
      </c>
    </row>
    <row r="877" spans="1:11" ht="15.5" x14ac:dyDescent="0.35">
      <c r="A877" s="1" t="s">
        <v>1495</v>
      </c>
      <c r="B877" t="str">
        <f>VLOOKUP($A877, 'Customer Names'!A:D, 3, FALSE)</f>
        <v>Musa</v>
      </c>
      <c r="C877">
        <f>VLOOKUP($A877,'Medical Examinations'!A:C, 3, FALSE)</f>
        <v>37.51</v>
      </c>
      <c r="D877" t="str">
        <f>VLOOKUP($A877, 'Medical Examinations'!A:D, 4, FALSE)</f>
        <v>Normal</v>
      </c>
      <c r="E877" t="str">
        <f>VLOOKUP($A877, 'Medical Examinations'!A:F, 6, FALSE)</f>
        <v>yes</v>
      </c>
      <c r="F877" t="str">
        <f>VLOOKUP($A877, 'Medical Examinations'!A:G, 7, FALSE)</f>
        <v>No</v>
      </c>
      <c r="G877" t="str">
        <f>VLOOKUP($A877, 'Medical Examinations'!A:H, 8, FALSE)</f>
        <v>No</v>
      </c>
      <c r="H877">
        <f>VLOOKUP($A877, 'Medical Examinations'!A:J, 10, FALSE)</f>
        <v>2</v>
      </c>
      <c r="I877" t="str">
        <f>VLOOKUP($A877, 'Medical Examinations'!A:K, 11, FALSE)</f>
        <v>No</v>
      </c>
      <c r="J877" t="str">
        <f>VLOOKUP($A877, 'Medical Examinations'!A:B, 2, FALSE)</f>
        <v>Obesity</v>
      </c>
      <c r="K877" t="str">
        <f>VLOOKUP($A877, 'Medical Examinations'!A:D, 4, FALSE)</f>
        <v>Normal</v>
      </c>
    </row>
    <row r="878" spans="1:11" ht="15.5" x14ac:dyDescent="0.35">
      <c r="A878" s="1" t="s">
        <v>1494</v>
      </c>
      <c r="B878" t="str">
        <f>VLOOKUP($A878, 'Customer Names'!A:D, 3, FALSE)</f>
        <v>Phillippi</v>
      </c>
      <c r="C878">
        <f>VLOOKUP($A878,'Medical Examinations'!A:C, 3, FALSE)</f>
        <v>39.86</v>
      </c>
      <c r="D878" t="str">
        <f>VLOOKUP($A878, 'Medical Examinations'!A:D, 4, FALSE)</f>
        <v>Diabetes</v>
      </c>
      <c r="E878" t="str">
        <f>VLOOKUP($A878, 'Medical Examinations'!A:F, 6, FALSE)</f>
        <v>yes</v>
      </c>
      <c r="F878" t="str">
        <f>VLOOKUP($A878, 'Medical Examinations'!A:G, 7, FALSE)</f>
        <v>No</v>
      </c>
      <c r="G878" t="str">
        <f>VLOOKUP($A878, 'Medical Examinations'!A:H, 8, FALSE)</f>
        <v>No</v>
      </c>
      <c r="H878">
        <f>VLOOKUP($A878, 'Medical Examinations'!A:J, 10, FALSE)</f>
        <v>1</v>
      </c>
      <c r="I878" t="str">
        <f>VLOOKUP($A878, 'Medical Examinations'!A:K, 11, FALSE)</f>
        <v>No</v>
      </c>
      <c r="J878" t="str">
        <f>VLOOKUP($A878, 'Medical Examinations'!A:B, 2, FALSE)</f>
        <v>Obesity</v>
      </c>
      <c r="K878" t="str">
        <f>VLOOKUP($A878, 'Medical Examinations'!A:D, 4, FALSE)</f>
        <v>Diabetes</v>
      </c>
    </row>
    <row r="879" spans="1:11" ht="15.5" x14ac:dyDescent="0.35">
      <c r="A879" s="1" t="s">
        <v>1493</v>
      </c>
      <c r="B879" t="str">
        <f>VLOOKUP($A879, 'Customer Names'!A:D, 3, FALSE)</f>
        <v>Hoskins</v>
      </c>
      <c r="C879">
        <f>VLOOKUP($A879,'Medical Examinations'!A:C, 3, FALSE)</f>
        <v>42.13</v>
      </c>
      <c r="D879" t="str">
        <f>VLOOKUP($A879, 'Medical Examinations'!A:D, 4, FALSE)</f>
        <v>Normal</v>
      </c>
      <c r="E879" t="str">
        <f>VLOOKUP($A879, 'Medical Examinations'!A:F, 6, FALSE)</f>
        <v>No</v>
      </c>
      <c r="F879" t="str">
        <f>VLOOKUP($A879, 'Medical Examinations'!A:G, 7, FALSE)</f>
        <v>No</v>
      </c>
      <c r="G879" t="str">
        <f>VLOOKUP($A879, 'Medical Examinations'!A:H, 8, FALSE)</f>
        <v>No</v>
      </c>
      <c r="H879" t="str">
        <f>VLOOKUP($A879, 'Medical Examinations'!A:J, 10, FALSE)</f>
        <v>No major surgery</v>
      </c>
      <c r="I879" t="str">
        <f>VLOOKUP($A879, 'Medical Examinations'!A:K, 11, FALSE)</f>
        <v>No</v>
      </c>
      <c r="J879" t="str">
        <f>VLOOKUP($A879, 'Medical Examinations'!A:B, 2, FALSE)</f>
        <v>Obesity</v>
      </c>
      <c r="K879" t="str">
        <f>VLOOKUP($A879, 'Medical Examinations'!A:D, 4, FALSE)</f>
        <v>Normal</v>
      </c>
    </row>
    <row r="880" spans="1:11" ht="15.5" x14ac:dyDescent="0.35">
      <c r="A880" s="1" t="s">
        <v>1492</v>
      </c>
      <c r="B880" t="str">
        <f>VLOOKUP($A880, 'Customer Names'!A:D, 3, FALSE)</f>
        <v>Imbalzano Zegar</v>
      </c>
      <c r="C880">
        <f>VLOOKUP($A880,'Medical Examinations'!A:C, 3, FALSE)</f>
        <v>35.99</v>
      </c>
      <c r="D880" t="str">
        <f>VLOOKUP($A880, 'Medical Examinations'!A:D, 4, FALSE)</f>
        <v>Diabetes</v>
      </c>
      <c r="E880" t="str">
        <f>VLOOKUP($A880, 'Medical Examinations'!A:F, 6, FALSE)</f>
        <v>No</v>
      </c>
      <c r="F880" t="str">
        <f>VLOOKUP($A880, 'Medical Examinations'!A:G, 7, FALSE)</f>
        <v>No</v>
      </c>
      <c r="G880" t="str">
        <f>VLOOKUP($A880, 'Medical Examinations'!A:H, 8, FALSE)</f>
        <v>No</v>
      </c>
      <c r="H880" t="str">
        <f>VLOOKUP($A880, 'Medical Examinations'!A:J, 10, FALSE)</f>
        <v>No major surgery</v>
      </c>
      <c r="I880" t="str">
        <f>VLOOKUP($A880, 'Medical Examinations'!A:K, 11, FALSE)</f>
        <v>No</v>
      </c>
      <c r="J880" t="str">
        <f>VLOOKUP($A880, 'Medical Examinations'!A:B, 2, FALSE)</f>
        <v>Obesity</v>
      </c>
      <c r="K880" t="str">
        <f>VLOOKUP($A880, 'Medical Examinations'!A:D, 4, FALSE)</f>
        <v>Diabetes</v>
      </c>
    </row>
    <row r="881" spans="1:11" ht="15.5" x14ac:dyDescent="0.35">
      <c r="A881" s="1" t="s">
        <v>1491</v>
      </c>
      <c r="B881" t="str">
        <f>VLOOKUP($A881, 'Customer Names'!A:D, 3, FALSE)</f>
        <v>Triedman</v>
      </c>
      <c r="C881">
        <f>VLOOKUP($A881,'Medical Examinations'!A:C, 3, FALSE)</f>
        <v>35.200000000000003</v>
      </c>
      <c r="D881" t="str">
        <f>VLOOKUP($A881, 'Medical Examinations'!A:D, 4, FALSE)</f>
        <v>Diabetes</v>
      </c>
      <c r="E881" t="str">
        <f>VLOOKUP($A881, 'Medical Examinations'!A:F, 6, FALSE)</f>
        <v>yes</v>
      </c>
      <c r="F881" t="str">
        <f>VLOOKUP($A881, 'Medical Examinations'!A:G, 7, FALSE)</f>
        <v>No</v>
      </c>
      <c r="G881" t="str">
        <f>VLOOKUP($A881, 'Medical Examinations'!A:H, 8, FALSE)</f>
        <v>Yes</v>
      </c>
      <c r="H881">
        <f>VLOOKUP($A881, 'Medical Examinations'!A:J, 10, FALSE)</f>
        <v>1</v>
      </c>
      <c r="I881" t="str">
        <f>VLOOKUP($A881, 'Medical Examinations'!A:K, 11, FALSE)</f>
        <v>No</v>
      </c>
      <c r="J881" t="str">
        <f>VLOOKUP($A881, 'Medical Examinations'!A:B, 2, FALSE)</f>
        <v>Obesity</v>
      </c>
      <c r="K881" t="str">
        <f>VLOOKUP($A881, 'Medical Examinations'!A:D, 4, FALSE)</f>
        <v>Diabetes</v>
      </c>
    </row>
    <row r="882" spans="1:11" ht="15.5" x14ac:dyDescent="0.35">
      <c r="A882" s="1" t="s">
        <v>1490</v>
      </c>
      <c r="B882" t="str">
        <f>VLOOKUP($A882, 'Customer Names'!A:D, 3, FALSE)</f>
        <v>Lovuolo</v>
      </c>
      <c r="C882">
        <f>VLOOKUP($A882,'Medical Examinations'!A:C, 3, FALSE)</f>
        <v>29.91</v>
      </c>
      <c r="D882" t="str">
        <f>VLOOKUP($A882, 'Medical Examinations'!A:D, 4, FALSE)</f>
        <v>Normal</v>
      </c>
      <c r="E882" t="str">
        <f>VLOOKUP($A882, 'Medical Examinations'!A:F, 6, FALSE)</f>
        <v>yes</v>
      </c>
      <c r="F882" t="str">
        <f>VLOOKUP($A882, 'Medical Examinations'!A:G, 7, FALSE)</f>
        <v>No</v>
      </c>
      <c r="G882" t="str">
        <f>VLOOKUP($A882, 'Medical Examinations'!A:H, 8, FALSE)</f>
        <v>No</v>
      </c>
      <c r="H882">
        <f>VLOOKUP($A882, 'Medical Examinations'!A:J, 10, FALSE)</f>
        <v>2</v>
      </c>
      <c r="I882" t="str">
        <f>VLOOKUP($A882, 'Medical Examinations'!A:K, 11, FALSE)</f>
        <v>No</v>
      </c>
      <c r="J882" t="e">
        <f>VLOOKUP($A882, 'Medical Examinations'!A:B, 2, FALSE)</f>
        <v>#N/A</v>
      </c>
      <c r="K882" t="str">
        <f>VLOOKUP($A882, 'Medical Examinations'!A:D, 4, FALSE)</f>
        <v>Normal</v>
      </c>
    </row>
    <row r="883" spans="1:11" ht="15.5" x14ac:dyDescent="0.35">
      <c r="A883" s="1" t="s">
        <v>1489</v>
      </c>
      <c r="B883" t="str">
        <f>VLOOKUP($A883, 'Customer Names'!A:D, 3, FALSE)</f>
        <v>Chung</v>
      </c>
      <c r="C883">
        <f>VLOOKUP($A883,'Medical Examinations'!A:C, 3, FALSE)</f>
        <v>36.479999999999997</v>
      </c>
      <c r="D883" t="str">
        <f>VLOOKUP($A883, 'Medical Examinations'!A:D, 4, FALSE)</f>
        <v>Normal</v>
      </c>
      <c r="E883" t="str">
        <f>VLOOKUP($A883, 'Medical Examinations'!A:F, 6, FALSE)</f>
        <v>yes</v>
      </c>
      <c r="F883" t="str">
        <f>VLOOKUP($A883, 'Medical Examinations'!A:G, 7, FALSE)</f>
        <v>No</v>
      </c>
      <c r="G883" t="str">
        <f>VLOOKUP($A883, 'Medical Examinations'!A:H, 8, FALSE)</f>
        <v>No</v>
      </c>
      <c r="H883">
        <f>VLOOKUP($A883, 'Medical Examinations'!A:J, 10, FALSE)</f>
        <v>1</v>
      </c>
      <c r="I883" t="str">
        <f>VLOOKUP($A883, 'Medical Examinations'!A:K, 11, FALSE)</f>
        <v>No</v>
      </c>
      <c r="J883" t="str">
        <f>VLOOKUP($A883, 'Medical Examinations'!A:B, 2, FALSE)</f>
        <v>Obesity</v>
      </c>
      <c r="K883" t="str">
        <f>VLOOKUP($A883, 'Medical Examinations'!A:D, 4, FALSE)</f>
        <v>Normal</v>
      </c>
    </row>
    <row r="884" spans="1:11" ht="15.5" x14ac:dyDescent="0.35">
      <c r="A884" s="1" t="s">
        <v>1488</v>
      </c>
      <c r="B884" t="str">
        <f>VLOOKUP($A884, 'Customer Names'!A:D, 3, FALSE)</f>
        <v>Newsom</v>
      </c>
      <c r="C884">
        <f>VLOOKUP($A884,'Medical Examinations'!A:C, 3, FALSE)</f>
        <v>27.5</v>
      </c>
      <c r="D884" t="str">
        <f>VLOOKUP($A884, 'Medical Examinations'!A:D, 4, FALSE)</f>
        <v>Diabetes</v>
      </c>
      <c r="E884" t="str">
        <f>VLOOKUP($A884, 'Medical Examinations'!A:F, 6, FALSE)</f>
        <v>yes</v>
      </c>
      <c r="F884" t="str">
        <f>VLOOKUP($A884, 'Medical Examinations'!A:G, 7, FALSE)</f>
        <v>No</v>
      </c>
      <c r="G884" t="str">
        <f>VLOOKUP($A884, 'Medical Examinations'!A:H, 8, FALSE)</f>
        <v>Yes</v>
      </c>
      <c r="H884">
        <f>VLOOKUP($A884, 'Medical Examinations'!A:J, 10, FALSE)</f>
        <v>1</v>
      </c>
      <c r="I884" t="str">
        <f>VLOOKUP($A884, 'Medical Examinations'!A:K, 11, FALSE)</f>
        <v>No</v>
      </c>
      <c r="J884" t="str">
        <f>VLOOKUP($A884, 'Medical Examinations'!A:B, 2, FALSE)</f>
        <v>Overweight</v>
      </c>
      <c r="K884" t="str">
        <f>VLOOKUP($A884, 'Medical Examinations'!A:D, 4, FALSE)</f>
        <v>Diabetes</v>
      </c>
    </row>
    <row r="885" spans="1:11" ht="15.5" x14ac:dyDescent="0.35">
      <c r="A885" s="1" t="s">
        <v>1487</v>
      </c>
      <c r="B885" t="str">
        <f>VLOOKUP($A885, 'Customer Names'!A:D, 3, FALSE)</f>
        <v>Harrington</v>
      </c>
      <c r="C885">
        <f>VLOOKUP($A885,'Medical Examinations'!A:C, 3, FALSE)</f>
        <v>33.44</v>
      </c>
      <c r="D885" t="str">
        <f>VLOOKUP($A885, 'Medical Examinations'!A:D, 4, FALSE)</f>
        <v>Prediabetes</v>
      </c>
      <c r="E885" t="str">
        <f>VLOOKUP($A885, 'Medical Examinations'!A:F, 6, FALSE)</f>
        <v>yes</v>
      </c>
      <c r="F885" t="str">
        <f>VLOOKUP($A885, 'Medical Examinations'!A:G, 7, FALSE)</f>
        <v>No</v>
      </c>
      <c r="G885" t="str">
        <f>VLOOKUP($A885, 'Medical Examinations'!A:H, 8, FALSE)</f>
        <v>No</v>
      </c>
      <c r="H885">
        <f>VLOOKUP($A885, 'Medical Examinations'!A:J, 10, FALSE)</f>
        <v>1</v>
      </c>
      <c r="I885" t="str">
        <f>VLOOKUP($A885, 'Medical Examinations'!A:K, 11, FALSE)</f>
        <v>No</v>
      </c>
      <c r="J885" t="str">
        <f>VLOOKUP($A885, 'Medical Examinations'!A:B, 2, FALSE)</f>
        <v>Obesity</v>
      </c>
      <c r="K885" t="str">
        <f>VLOOKUP($A885, 'Medical Examinations'!A:D, 4, FALSE)</f>
        <v>Prediabetes</v>
      </c>
    </row>
    <row r="886" spans="1:11" ht="15.5" x14ac:dyDescent="0.35">
      <c r="A886" s="1" t="s">
        <v>1486</v>
      </c>
      <c r="B886" t="str">
        <f>VLOOKUP($A886, 'Customer Names'!A:D, 3, FALSE)</f>
        <v>Hoffman</v>
      </c>
      <c r="C886">
        <f>VLOOKUP($A886,'Medical Examinations'!A:C, 3, FALSE)</f>
        <v>28.215</v>
      </c>
      <c r="D886" t="str">
        <f>VLOOKUP($A886, 'Medical Examinations'!A:D, 4, FALSE)</f>
        <v>Prediabetes</v>
      </c>
      <c r="E886" t="str">
        <f>VLOOKUP($A886, 'Medical Examinations'!A:F, 6, FALSE)</f>
        <v>yes</v>
      </c>
      <c r="F886" t="str">
        <f>VLOOKUP($A886, 'Medical Examinations'!A:G, 7, FALSE)</f>
        <v>No</v>
      </c>
      <c r="G886" t="str">
        <f>VLOOKUP($A886, 'Medical Examinations'!A:H, 8, FALSE)</f>
        <v>No</v>
      </c>
      <c r="H886">
        <f>VLOOKUP($A886, 'Medical Examinations'!A:J, 10, FALSE)</f>
        <v>1</v>
      </c>
      <c r="I886" t="str">
        <f>VLOOKUP($A886, 'Medical Examinations'!A:K, 11, FALSE)</f>
        <v>No</v>
      </c>
      <c r="J886" t="str">
        <f>VLOOKUP($A886, 'Medical Examinations'!A:B, 2, FALSE)</f>
        <v>Overweight</v>
      </c>
      <c r="K886" t="str">
        <f>VLOOKUP($A886, 'Medical Examinations'!A:D, 4, FALSE)</f>
        <v>Prediabetes</v>
      </c>
    </row>
    <row r="887" spans="1:11" ht="15.5" x14ac:dyDescent="0.35">
      <c r="A887" s="1" t="s">
        <v>1485</v>
      </c>
      <c r="B887" t="str">
        <f>VLOOKUP($A887, 'Customer Names'!A:D, 3, FALSE)</f>
        <v>Van Vugt</v>
      </c>
      <c r="C887">
        <f>VLOOKUP($A887,'Medical Examinations'!A:C, 3, FALSE)</f>
        <v>27.17</v>
      </c>
      <c r="D887" t="str">
        <f>VLOOKUP($A887, 'Medical Examinations'!A:D, 4, FALSE)</f>
        <v>Prediabetes</v>
      </c>
      <c r="E887" t="str">
        <f>VLOOKUP($A887, 'Medical Examinations'!A:F, 6, FALSE)</f>
        <v>yes</v>
      </c>
      <c r="F887" t="str">
        <f>VLOOKUP($A887, 'Medical Examinations'!A:G, 7, FALSE)</f>
        <v>No</v>
      </c>
      <c r="G887" t="str">
        <f>VLOOKUP($A887, 'Medical Examinations'!A:H, 8, FALSE)</f>
        <v>No</v>
      </c>
      <c r="H887">
        <f>VLOOKUP($A887, 'Medical Examinations'!A:J, 10, FALSE)</f>
        <v>1</v>
      </c>
      <c r="I887" t="str">
        <f>VLOOKUP($A887, 'Medical Examinations'!A:K, 11, FALSE)</f>
        <v>No</v>
      </c>
      <c r="J887" t="str">
        <f>VLOOKUP($A887, 'Medical Examinations'!A:B, 2, FALSE)</f>
        <v>Overweight</v>
      </c>
      <c r="K887" t="str">
        <f>VLOOKUP($A887, 'Medical Examinations'!A:D, 4, FALSE)</f>
        <v>Prediabetes</v>
      </c>
    </row>
    <row r="888" spans="1:11" ht="15.5" x14ac:dyDescent="0.35">
      <c r="A888" s="1" t="s">
        <v>1484</v>
      </c>
      <c r="B888" t="str">
        <f>VLOOKUP($A888, 'Customer Names'!A:D, 3, FALSE)</f>
        <v>Feehley</v>
      </c>
      <c r="C888">
        <f>VLOOKUP($A888,'Medical Examinations'!A:C, 3, FALSE)</f>
        <v>35.380000000000003</v>
      </c>
      <c r="D888" t="str">
        <f>VLOOKUP($A888, 'Medical Examinations'!A:D, 4, FALSE)</f>
        <v>Prediabetes</v>
      </c>
      <c r="E888" t="str">
        <f>VLOOKUP($A888, 'Medical Examinations'!A:F, 6, FALSE)</f>
        <v>No</v>
      </c>
      <c r="F888" t="str">
        <f>VLOOKUP($A888, 'Medical Examinations'!A:G, 7, FALSE)</f>
        <v>No</v>
      </c>
      <c r="G888" t="str">
        <f>VLOOKUP($A888, 'Medical Examinations'!A:H, 8, FALSE)</f>
        <v>No</v>
      </c>
      <c r="H888" t="str">
        <f>VLOOKUP($A888, 'Medical Examinations'!A:J, 10, FALSE)</f>
        <v>No major surgery</v>
      </c>
      <c r="I888" t="str">
        <f>VLOOKUP($A888, 'Medical Examinations'!A:K, 11, FALSE)</f>
        <v>No</v>
      </c>
      <c r="J888" t="str">
        <f>VLOOKUP($A888, 'Medical Examinations'!A:B, 2, FALSE)</f>
        <v>Obesity</v>
      </c>
      <c r="K888" t="str">
        <f>VLOOKUP($A888, 'Medical Examinations'!A:D, 4, FALSE)</f>
        <v>Prediabetes</v>
      </c>
    </row>
    <row r="889" spans="1:11" ht="15.5" x14ac:dyDescent="0.35">
      <c r="A889" s="1" t="s">
        <v>1483</v>
      </c>
      <c r="B889" t="str">
        <f>VLOOKUP($A889, 'Customer Names'!A:D, 3, FALSE)</f>
        <v>Ashworth</v>
      </c>
      <c r="C889">
        <f>VLOOKUP($A889,'Medical Examinations'!A:C, 3, FALSE)</f>
        <v>43.48</v>
      </c>
      <c r="D889" t="str">
        <f>VLOOKUP($A889, 'Medical Examinations'!A:D, 4, FALSE)</f>
        <v>Prediabetes</v>
      </c>
      <c r="E889" t="str">
        <f>VLOOKUP($A889, 'Medical Examinations'!A:F, 6, FALSE)</f>
        <v>No</v>
      </c>
      <c r="F889" t="str">
        <f>VLOOKUP($A889, 'Medical Examinations'!A:G, 7, FALSE)</f>
        <v>No</v>
      </c>
      <c r="G889" t="str">
        <f>VLOOKUP($A889, 'Medical Examinations'!A:H, 8, FALSE)</f>
        <v>No</v>
      </c>
      <c r="H889" t="str">
        <f>VLOOKUP($A889, 'Medical Examinations'!A:J, 10, FALSE)</f>
        <v>No major surgery</v>
      </c>
      <c r="I889" t="str">
        <f>VLOOKUP($A889, 'Medical Examinations'!A:K, 11, FALSE)</f>
        <v>No</v>
      </c>
      <c r="J889" t="str">
        <f>VLOOKUP($A889, 'Medical Examinations'!A:B, 2, FALSE)</f>
        <v>Obesity</v>
      </c>
      <c r="K889" t="str">
        <f>VLOOKUP($A889, 'Medical Examinations'!A:D, 4, FALSE)</f>
        <v>Prediabetes</v>
      </c>
    </row>
    <row r="890" spans="1:11" ht="15.5" x14ac:dyDescent="0.35">
      <c r="A890" s="1" t="s">
        <v>1482</v>
      </c>
      <c r="B890" t="str">
        <f>VLOOKUP($A890, 'Customer Names'!A:D, 3, FALSE)</f>
        <v>Hansen</v>
      </c>
      <c r="C890">
        <f>VLOOKUP($A890,'Medical Examinations'!A:C, 3, FALSE)</f>
        <v>41.73</v>
      </c>
      <c r="D890" t="str">
        <f>VLOOKUP($A890, 'Medical Examinations'!A:D, 4, FALSE)</f>
        <v>Prediabetes</v>
      </c>
      <c r="E890" t="str">
        <f>VLOOKUP($A890, 'Medical Examinations'!A:F, 6, FALSE)</f>
        <v>No</v>
      </c>
      <c r="F890" t="str">
        <f>VLOOKUP($A890, 'Medical Examinations'!A:G, 7, FALSE)</f>
        <v>No</v>
      </c>
      <c r="G890" t="str">
        <f>VLOOKUP($A890, 'Medical Examinations'!A:H, 8, FALSE)</f>
        <v>No</v>
      </c>
      <c r="H890">
        <f>VLOOKUP($A890, 'Medical Examinations'!A:J, 10, FALSE)</f>
        <v>1</v>
      </c>
      <c r="I890" t="str">
        <f>VLOOKUP($A890, 'Medical Examinations'!A:K, 11, FALSE)</f>
        <v>No</v>
      </c>
      <c r="J890" t="str">
        <f>VLOOKUP($A890, 'Medical Examinations'!A:B, 2, FALSE)</f>
        <v>Obesity</v>
      </c>
      <c r="K890" t="str">
        <f>VLOOKUP($A890, 'Medical Examinations'!A:D, 4, FALSE)</f>
        <v>Prediabetes</v>
      </c>
    </row>
    <row r="891" spans="1:11" ht="15.5" x14ac:dyDescent="0.35">
      <c r="A891" s="1" t="s">
        <v>1481</v>
      </c>
      <c r="B891" t="str">
        <f>VLOOKUP($A891, 'Customer Names'!A:D, 3, FALSE)</f>
        <v>Czyz</v>
      </c>
      <c r="C891">
        <f>VLOOKUP($A891,'Medical Examinations'!A:C, 3, FALSE)</f>
        <v>28.9</v>
      </c>
      <c r="D891" t="str">
        <f>VLOOKUP($A891, 'Medical Examinations'!A:D, 4, FALSE)</f>
        <v>Diabetes</v>
      </c>
      <c r="E891" t="str">
        <f>VLOOKUP($A891, 'Medical Examinations'!A:F, 6, FALSE)</f>
        <v>No</v>
      </c>
      <c r="F891" t="str">
        <f>VLOOKUP($A891, 'Medical Examinations'!A:G, 7, FALSE)</f>
        <v>No</v>
      </c>
      <c r="G891" t="str">
        <f>VLOOKUP($A891, 'Medical Examinations'!A:H, 8, FALSE)</f>
        <v>No</v>
      </c>
      <c r="H891" t="str">
        <f>VLOOKUP($A891, 'Medical Examinations'!A:J, 10, FALSE)</f>
        <v>No major surgery</v>
      </c>
      <c r="I891" t="str">
        <f>VLOOKUP($A891, 'Medical Examinations'!A:K, 11, FALSE)</f>
        <v>No</v>
      </c>
      <c r="J891" t="str">
        <f>VLOOKUP($A891, 'Medical Examinations'!A:B, 2, FALSE)</f>
        <v>Overweight</v>
      </c>
      <c r="K891" t="str">
        <f>VLOOKUP($A891, 'Medical Examinations'!A:D, 4, FALSE)</f>
        <v>Diabetes</v>
      </c>
    </row>
    <row r="892" spans="1:11" ht="15.5" x14ac:dyDescent="0.35">
      <c r="A892" s="1" t="s">
        <v>1480</v>
      </c>
      <c r="B892" t="str">
        <f>VLOOKUP($A892, 'Customer Names'!A:D, 3, FALSE)</f>
        <v>Bauder</v>
      </c>
      <c r="C892">
        <f>VLOOKUP($A892,'Medical Examinations'!A:C, 3, FALSE)</f>
        <v>25.74</v>
      </c>
      <c r="D892" t="str">
        <f>VLOOKUP($A892, 'Medical Examinations'!A:D, 4, FALSE)</f>
        <v>Diabetes</v>
      </c>
      <c r="E892" t="str">
        <f>VLOOKUP($A892, 'Medical Examinations'!A:F, 6, FALSE)</f>
        <v>No</v>
      </c>
      <c r="F892" t="str">
        <f>VLOOKUP($A892, 'Medical Examinations'!A:G, 7, FALSE)</f>
        <v>No</v>
      </c>
      <c r="G892" t="str">
        <f>VLOOKUP($A892, 'Medical Examinations'!A:H, 8, FALSE)</f>
        <v>No</v>
      </c>
      <c r="H892" t="str">
        <f>VLOOKUP($A892, 'Medical Examinations'!A:J, 10, FALSE)</f>
        <v>No major surgery</v>
      </c>
      <c r="I892" t="str">
        <f>VLOOKUP($A892, 'Medical Examinations'!A:K, 11, FALSE)</f>
        <v>No</v>
      </c>
      <c r="J892" t="str">
        <f>VLOOKUP($A892, 'Medical Examinations'!A:B, 2, FALSE)</f>
        <v>Overweight</v>
      </c>
      <c r="K892" t="str">
        <f>VLOOKUP($A892, 'Medical Examinations'!A:D, 4, FALSE)</f>
        <v>Diabetes</v>
      </c>
    </row>
    <row r="893" spans="1:11" ht="15.5" x14ac:dyDescent="0.35">
      <c r="A893" s="1" t="s">
        <v>1479</v>
      </c>
      <c r="B893" t="str">
        <f>VLOOKUP($A893, 'Customer Names'!A:D, 3, FALSE)</f>
        <v>Mendoza</v>
      </c>
      <c r="C893">
        <f>VLOOKUP($A893,'Medical Examinations'!A:C, 3, FALSE)</f>
        <v>36.06</v>
      </c>
      <c r="D893" t="str">
        <f>VLOOKUP($A893, 'Medical Examinations'!A:D, 4, FALSE)</f>
        <v>Diabetes</v>
      </c>
      <c r="E893" t="str">
        <f>VLOOKUP($A893, 'Medical Examinations'!A:F, 6, FALSE)</f>
        <v>No</v>
      </c>
      <c r="F893" t="str">
        <f>VLOOKUP($A893, 'Medical Examinations'!A:G, 7, FALSE)</f>
        <v>No</v>
      </c>
      <c r="G893" t="str">
        <f>VLOOKUP($A893, 'Medical Examinations'!A:H, 8, FALSE)</f>
        <v>No</v>
      </c>
      <c r="H893" t="str">
        <f>VLOOKUP($A893, 'Medical Examinations'!A:J, 10, FALSE)</f>
        <v>No major surgery</v>
      </c>
      <c r="I893" t="str">
        <f>VLOOKUP($A893, 'Medical Examinations'!A:K, 11, FALSE)</f>
        <v>No</v>
      </c>
      <c r="J893" t="str">
        <f>VLOOKUP($A893, 'Medical Examinations'!A:B, 2, FALSE)</f>
        <v>Obesity</v>
      </c>
      <c r="K893" t="str">
        <f>VLOOKUP($A893, 'Medical Examinations'!A:D, 4, FALSE)</f>
        <v>Diabetes</v>
      </c>
    </row>
    <row r="894" spans="1:11" ht="15.5" x14ac:dyDescent="0.35">
      <c r="A894" s="1" t="s">
        <v>1478</v>
      </c>
      <c r="B894" t="str">
        <f>VLOOKUP($A894, 'Customer Names'!A:D, 3, FALSE)</f>
        <v>Glass</v>
      </c>
      <c r="C894">
        <f>VLOOKUP($A894,'Medical Examinations'!A:C, 3, FALSE)</f>
        <v>43.28</v>
      </c>
      <c r="D894" t="str">
        <f>VLOOKUP($A894, 'Medical Examinations'!A:D, 4, FALSE)</f>
        <v>Normal</v>
      </c>
      <c r="E894" t="str">
        <f>VLOOKUP($A894, 'Medical Examinations'!A:F, 6, FALSE)</f>
        <v>No</v>
      </c>
      <c r="F894" t="str">
        <f>VLOOKUP($A894, 'Medical Examinations'!A:G, 7, FALSE)</f>
        <v>No</v>
      </c>
      <c r="G894" t="str">
        <f>VLOOKUP($A894, 'Medical Examinations'!A:H, 8, FALSE)</f>
        <v>No</v>
      </c>
      <c r="H894" t="str">
        <f>VLOOKUP($A894, 'Medical Examinations'!A:J, 10, FALSE)</f>
        <v>No major surgery</v>
      </c>
      <c r="I894" t="str">
        <f>VLOOKUP($A894, 'Medical Examinations'!A:K, 11, FALSE)</f>
        <v>No</v>
      </c>
      <c r="J894" t="str">
        <f>VLOOKUP($A894, 'Medical Examinations'!A:B, 2, FALSE)</f>
        <v>Obesity</v>
      </c>
      <c r="K894" t="str">
        <f>VLOOKUP($A894, 'Medical Examinations'!A:D, 4, FALSE)</f>
        <v>Normal</v>
      </c>
    </row>
    <row r="895" spans="1:11" ht="15.5" x14ac:dyDescent="0.35">
      <c r="A895" s="1" t="s">
        <v>1477</v>
      </c>
      <c r="B895" t="str">
        <f>VLOOKUP($A895, 'Customer Names'!A:D, 3, FALSE)</f>
        <v>Butcher</v>
      </c>
      <c r="C895">
        <f>VLOOKUP($A895,'Medical Examinations'!A:C, 3, FALSE)</f>
        <v>28.785</v>
      </c>
      <c r="D895" t="str">
        <f>VLOOKUP($A895, 'Medical Examinations'!A:D, 4, FALSE)</f>
        <v>Diabetes</v>
      </c>
      <c r="E895" t="str">
        <f>VLOOKUP($A895, 'Medical Examinations'!A:F, 6, FALSE)</f>
        <v>yes</v>
      </c>
      <c r="F895" t="str">
        <f>VLOOKUP($A895, 'Medical Examinations'!A:G, 7, FALSE)</f>
        <v>No</v>
      </c>
      <c r="G895" t="str">
        <f>VLOOKUP($A895, 'Medical Examinations'!A:H, 8, FALSE)</f>
        <v>Yes</v>
      </c>
      <c r="H895">
        <f>VLOOKUP($A895, 'Medical Examinations'!A:J, 10, FALSE)</f>
        <v>1</v>
      </c>
      <c r="I895" t="str">
        <f>VLOOKUP($A895, 'Medical Examinations'!A:K, 11, FALSE)</f>
        <v>No</v>
      </c>
      <c r="J895" t="str">
        <f>VLOOKUP($A895, 'Medical Examinations'!A:B, 2, FALSE)</f>
        <v>Overweight</v>
      </c>
      <c r="K895" t="str">
        <f>VLOOKUP($A895, 'Medical Examinations'!A:D, 4, FALSE)</f>
        <v>Diabetes</v>
      </c>
    </row>
    <row r="896" spans="1:11" ht="15.5" x14ac:dyDescent="0.35">
      <c r="A896" s="1" t="s">
        <v>1476</v>
      </c>
      <c r="B896" t="str">
        <f>VLOOKUP($A896, 'Customer Names'!A:D, 3, FALSE)</f>
        <v>Traiser</v>
      </c>
      <c r="C896">
        <f>VLOOKUP($A896,'Medical Examinations'!A:C, 3, FALSE)</f>
        <v>25.46</v>
      </c>
      <c r="D896" t="str">
        <f>VLOOKUP($A896, 'Medical Examinations'!A:D, 4, FALSE)</f>
        <v>Diabetes</v>
      </c>
      <c r="E896" t="str">
        <f>VLOOKUP($A896, 'Medical Examinations'!A:F, 6, FALSE)</f>
        <v>yes</v>
      </c>
      <c r="F896" t="str">
        <f>VLOOKUP($A896, 'Medical Examinations'!A:G, 7, FALSE)</f>
        <v>No</v>
      </c>
      <c r="G896" t="str">
        <f>VLOOKUP($A896, 'Medical Examinations'!A:H, 8, FALSE)</f>
        <v>Yes</v>
      </c>
      <c r="H896">
        <f>VLOOKUP($A896, 'Medical Examinations'!A:J, 10, FALSE)</f>
        <v>1</v>
      </c>
      <c r="I896" t="str">
        <f>VLOOKUP($A896, 'Medical Examinations'!A:K, 11, FALSE)</f>
        <v>No</v>
      </c>
      <c r="J896" t="str">
        <f>VLOOKUP($A896, 'Medical Examinations'!A:B, 2, FALSE)</f>
        <v>Overweight</v>
      </c>
      <c r="K896" t="str">
        <f>VLOOKUP($A896, 'Medical Examinations'!A:D, 4, FALSE)</f>
        <v>Diabetes</v>
      </c>
    </row>
    <row r="897" spans="1:11" ht="15.5" x14ac:dyDescent="0.35">
      <c r="A897" s="1" t="s">
        <v>1475</v>
      </c>
      <c r="B897" t="str">
        <f>VLOOKUP($A897, 'Customer Names'!A:D, 3, FALSE)</f>
        <v>Mudy-Mader</v>
      </c>
      <c r="C897">
        <f>VLOOKUP($A897,'Medical Examinations'!A:C, 3, FALSE)</f>
        <v>30.8</v>
      </c>
      <c r="D897" t="str">
        <f>VLOOKUP($A897, 'Medical Examinations'!A:D, 4, FALSE)</f>
        <v>Diabetes</v>
      </c>
      <c r="E897" t="str">
        <f>VLOOKUP($A897, 'Medical Examinations'!A:F, 6, FALSE)</f>
        <v>No</v>
      </c>
      <c r="F897" t="str">
        <f>VLOOKUP($A897, 'Medical Examinations'!A:G, 7, FALSE)</f>
        <v>No</v>
      </c>
      <c r="G897" t="str">
        <f>VLOOKUP($A897, 'Medical Examinations'!A:H, 8, FALSE)</f>
        <v>No</v>
      </c>
      <c r="H897" t="str">
        <f>VLOOKUP($A897, 'Medical Examinations'!A:J, 10, FALSE)</f>
        <v>No major surgery</v>
      </c>
      <c r="I897" t="str">
        <f>VLOOKUP($A897, 'Medical Examinations'!A:K, 11, FALSE)</f>
        <v>No</v>
      </c>
      <c r="J897" t="str">
        <f>VLOOKUP($A897, 'Medical Examinations'!A:B, 2, FALSE)</f>
        <v>Obesity</v>
      </c>
      <c r="K897" t="str">
        <f>VLOOKUP($A897, 'Medical Examinations'!A:D, 4, FALSE)</f>
        <v>Diabetes</v>
      </c>
    </row>
    <row r="898" spans="1:11" ht="15.5" x14ac:dyDescent="0.35">
      <c r="A898" s="1" t="s">
        <v>1474</v>
      </c>
      <c r="B898" t="str">
        <f>VLOOKUP($A898, 'Customer Names'!A:D, 3, FALSE)</f>
        <v>Rogers</v>
      </c>
      <c r="C898">
        <f>VLOOKUP($A898,'Medical Examinations'!A:C, 3, FALSE)</f>
        <v>28.88</v>
      </c>
      <c r="D898" t="str">
        <f>VLOOKUP($A898, 'Medical Examinations'!A:D, 4, FALSE)</f>
        <v>Diabetes</v>
      </c>
      <c r="E898" t="str">
        <f>VLOOKUP($A898, 'Medical Examinations'!A:F, 6, FALSE)</f>
        <v>No</v>
      </c>
      <c r="F898" t="str">
        <f>VLOOKUP($A898, 'Medical Examinations'!A:G, 7, FALSE)</f>
        <v>No</v>
      </c>
      <c r="G898" t="str">
        <f>VLOOKUP($A898, 'Medical Examinations'!A:H, 8, FALSE)</f>
        <v>No</v>
      </c>
      <c r="H898" t="str">
        <f>VLOOKUP($A898, 'Medical Examinations'!A:J, 10, FALSE)</f>
        <v>No major surgery</v>
      </c>
      <c r="I898" t="str">
        <f>VLOOKUP($A898, 'Medical Examinations'!A:K, 11, FALSE)</f>
        <v>No</v>
      </c>
      <c r="J898" t="str">
        <f>VLOOKUP($A898, 'Medical Examinations'!A:B, 2, FALSE)</f>
        <v>Overweight</v>
      </c>
      <c r="K898" t="str">
        <f>VLOOKUP($A898, 'Medical Examinations'!A:D, 4, FALSE)</f>
        <v>Diabetes</v>
      </c>
    </row>
    <row r="899" spans="1:11" ht="15.5" x14ac:dyDescent="0.35">
      <c r="A899" s="1" t="s">
        <v>1473</v>
      </c>
      <c r="B899" t="str">
        <f>VLOOKUP($A899, 'Customer Names'!A:D, 3, FALSE)</f>
        <v>Woo</v>
      </c>
      <c r="C899">
        <f>VLOOKUP($A899,'Medical Examinations'!A:C, 3, FALSE)</f>
        <v>23</v>
      </c>
      <c r="D899" t="str">
        <f>VLOOKUP($A899, 'Medical Examinations'!A:D, 4, FALSE)</f>
        <v>Diabetes</v>
      </c>
      <c r="E899" t="str">
        <f>VLOOKUP($A899, 'Medical Examinations'!A:F, 6, FALSE)</f>
        <v>No</v>
      </c>
      <c r="F899" t="str">
        <f>VLOOKUP($A899, 'Medical Examinations'!A:G, 7, FALSE)</f>
        <v>No</v>
      </c>
      <c r="G899" t="str">
        <f>VLOOKUP($A899, 'Medical Examinations'!A:H, 8, FALSE)</f>
        <v>No</v>
      </c>
      <c r="H899" t="str">
        <f>VLOOKUP($A899, 'Medical Examinations'!A:J, 10, FALSE)</f>
        <v>No major surgery</v>
      </c>
      <c r="I899" t="str">
        <f>VLOOKUP($A899, 'Medical Examinations'!A:K, 11, FALSE)</f>
        <v>No</v>
      </c>
      <c r="J899" t="str">
        <f>VLOOKUP($A899, 'Medical Examinations'!A:B, 2, FALSE)</f>
        <v>Normal Weight</v>
      </c>
      <c r="K899" t="str">
        <f>VLOOKUP($A899, 'Medical Examinations'!A:D, 4, FALSE)</f>
        <v>Diabetes</v>
      </c>
    </row>
    <row r="900" spans="1:11" ht="15.5" x14ac:dyDescent="0.35">
      <c r="A900" s="1" t="s">
        <v>1472</v>
      </c>
      <c r="B900" t="str">
        <f>VLOOKUP($A900, 'Customer Names'!A:D, 3, FALSE)</f>
        <v>Walsh</v>
      </c>
      <c r="C900">
        <f>VLOOKUP($A900,'Medical Examinations'!A:C, 3, FALSE)</f>
        <v>38.25</v>
      </c>
      <c r="D900" t="str">
        <f>VLOOKUP($A900, 'Medical Examinations'!A:D, 4, FALSE)</f>
        <v>Prediabetes</v>
      </c>
      <c r="E900" t="str">
        <f>VLOOKUP($A900, 'Medical Examinations'!A:F, 6, FALSE)</f>
        <v>No</v>
      </c>
      <c r="F900" t="str">
        <f>VLOOKUP($A900, 'Medical Examinations'!A:G, 7, FALSE)</f>
        <v>No</v>
      </c>
      <c r="G900" t="str">
        <f>VLOOKUP($A900, 'Medical Examinations'!A:H, 8, FALSE)</f>
        <v>No</v>
      </c>
      <c r="H900">
        <f>VLOOKUP($A900, 'Medical Examinations'!A:J, 10, FALSE)</f>
        <v>1</v>
      </c>
      <c r="I900" t="str">
        <f>VLOOKUP($A900, 'Medical Examinations'!A:K, 11, FALSE)</f>
        <v>No</v>
      </c>
      <c r="J900" t="str">
        <f>VLOOKUP($A900, 'Medical Examinations'!A:B, 2, FALSE)</f>
        <v>Obesity</v>
      </c>
      <c r="K900" t="str">
        <f>VLOOKUP($A900, 'Medical Examinations'!A:D, 4, FALSE)</f>
        <v>Prediabetes</v>
      </c>
    </row>
    <row r="901" spans="1:11" ht="15.5" x14ac:dyDescent="0.35">
      <c r="A901" s="1" t="s">
        <v>1471</v>
      </c>
      <c r="B901" t="str">
        <f>VLOOKUP($A901, 'Customer Names'!A:D, 3, FALSE)</f>
        <v>White</v>
      </c>
      <c r="C901">
        <f>VLOOKUP($A901,'Medical Examinations'!A:C, 3, FALSE)</f>
        <v>39.25</v>
      </c>
      <c r="D901" t="str">
        <f>VLOOKUP($A901, 'Medical Examinations'!A:D, 4, FALSE)</f>
        <v>Diabetes</v>
      </c>
      <c r="E901" t="str">
        <f>VLOOKUP($A901, 'Medical Examinations'!A:F, 6, FALSE)</f>
        <v>yes</v>
      </c>
      <c r="F901" t="str">
        <f>VLOOKUP($A901, 'Medical Examinations'!A:G, 7, FALSE)</f>
        <v>No</v>
      </c>
      <c r="G901" t="str">
        <f>VLOOKUP($A901, 'Medical Examinations'!A:H, 8, FALSE)</f>
        <v>No</v>
      </c>
      <c r="H901">
        <f>VLOOKUP($A901, 'Medical Examinations'!A:J, 10, FALSE)</f>
        <v>1</v>
      </c>
      <c r="I901" t="str">
        <f>VLOOKUP($A901, 'Medical Examinations'!A:K, 11, FALSE)</f>
        <v>No</v>
      </c>
      <c r="J901" t="str">
        <f>VLOOKUP($A901, 'Medical Examinations'!A:B, 2, FALSE)</f>
        <v>Obesity</v>
      </c>
      <c r="K901" t="str">
        <f>VLOOKUP($A901, 'Medical Examinations'!A:D, 4, FALSE)</f>
        <v>Diabetes</v>
      </c>
    </row>
    <row r="902" spans="1:11" ht="15.5" x14ac:dyDescent="0.35">
      <c r="A902" s="1" t="s">
        <v>1470</v>
      </c>
      <c r="B902" t="str">
        <f>VLOOKUP($A902, 'Customer Names'!A:D, 3, FALSE)</f>
        <v>Sheppard</v>
      </c>
      <c r="C902">
        <f>VLOOKUP($A902,'Medical Examinations'!A:C, 3, FALSE)</f>
        <v>26.6</v>
      </c>
      <c r="D902" t="str">
        <f>VLOOKUP($A902, 'Medical Examinations'!A:D, 4, FALSE)</f>
        <v>Normal</v>
      </c>
      <c r="E902" t="str">
        <f>VLOOKUP($A902, 'Medical Examinations'!A:F, 6, FALSE)</f>
        <v>yes</v>
      </c>
      <c r="F902" t="str">
        <f>VLOOKUP($A902, 'Medical Examinations'!A:G, 7, FALSE)</f>
        <v>No</v>
      </c>
      <c r="G902" t="str">
        <f>VLOOKUP($A902, 'Medical Examinations'!A:H, 8, FALSE)</f>
        <v>No</v>
      </c>
      <c r="H902">
        <f>VLOOKUP($A902, 'Medical Examinations'!A:J, 10, FALSE)</f>
        <v>2</v>
      </c>
      <c r="I902" t="str">
        <f>VLOOKUP($A902, 'Medical Examinations'!A:K, 11, FALSE)</f>
        <v>No</v>
      </c>
      <c r="J902" t="str">
        <f>VLOOKUP($A902, 'Medical Examinations'!A:B, 2, FALSE)</f>
        <v>Overweight</v>
      </c>
      <c r="K902" t="str">
        <f>VLOOKUP($A902, 'Medical Examinations'!A:D, 4, FALSE)</f>
        <v>Normal</v>
      </c>
    </row>
    <row r="903" spans="1:11" ht="15.5" x14ac:dyDescent="0.35">
      <c r="A903" s="1" t="s">
        <v>1469</v>
      </c>
      <c r="B903" t="str">
        <f>VLOOKUP($A903, 'Customer Names'!A:D, 3, FALSE)</f>
        <v>Doran</v>
      </c>
      <c r="C903">
        <f>VLOOKUP($A903,'Medical Examinations'!A:C, 3, FALSE)</f>
        <v>35.700000000000003</v>
      </c>
      <c r="D903" t="str">
        <f>VLOOKUP($A903, 'Medical Examinations'!A:D, 4, FALSE)</f>
        <v>Normal</v>
      </c>
      <c r="E903" t="str">
        <f>VLOOKUP($A903, 'Medical Examinations'!A:F, 6, FALSE)</f>
        <v>No</v>
      </c>
      <c r="F903" t="str">
        <f>VLOOKUP($A903, 'Medical Examinations'!A:G, 7, FALSE)</f>
        <v>No</v>
      </c>
      <c r="G903" t="str">
        <f>VLOOKUP($A903, 'Medical Examinations'!A:H, 8, FALSE)</f>
        <v>Yes</v>
      </c>
      <c r="H903">
        <f>VLOOKUP($A903, 'Medical Examinations'!A:J, 10, FALSE)</f>
        <v>1</v>
      </c>
      <c r="I903" t="str">
        <f>VLOOKUP($A903, 'Medical Examinations'!A:K, 11, FALSE)</f>
        <v>No</v>
      </c>
      <c r="J903" t="str">
        <f>VLOOKUP($A903, 'Medical Examinations'!A:B, 2, FALSE)</f>
        <v>Obesity</v>
      </c>
      <c r="K903" t="str">
        <f>VLOOKUP($A903, 'Medical Examinations'!A:D, 4, FALSE)</f>
        <v>Normal</v>
      </c>
    </row>
    <row r="904" spans="1:11" ht="15.5" x14ac:dyDescent="0.35">
      <c r="A904" s="1" t="s">
        <v>1468</v>
      </c>
      <c r="B904" t="str">
        <f>VLOOKUP($A904, 'Customer Names'!A:D, 3, FALSE)</f>
        <v>Labrosse</v>
      </c>
      <c r="C904">
        <f>VLOOKUP($A904,'Medical Examinations'!A:C, 3, FALSE)</f>
        <v>20.100000000000001</v>
      </c>
      <c r="D904" t="str">
        <f>VLOOKUP($A904, 'Medical Examinations'!A:D, 4, FALSE)</f>
        <v>Diabetes</v>
      </c>
      <c r="E904" t="str">
        <f>VLOOKUP($A904, 'Medical Examinations'!A:F, 6, FALSE)</f>
        <v>No</v>
      </c>
      <c r="F904" t="str">
        <f>VLOOKUP($A904, 'Medical Examinations'!A:G, 7, FALSE)</f>
        <v>No</v>
      </c>
      <c r="G904" t="str">
        <f>VLOOKUP($A904, 'Medical Examinations'!A:H, 8, FALSE)</f>
        <v>No</v>
      </c>
      <c r="H904" t="str">
        <f>VLOOKUP($A904, 'Medical Examinations'!A:J, 10, FALSE)</f>
        <v>No major surgery</v>
      </c>
      <c r="I904" t="str">
        <f>VLOOKUP($A904, 'Medical Examinations'!A:K, 11, FALSE)</f>
        <v>No</v>
      </c>
      <c r="J904" t="str">
        <f>VLOOKUP($A904, 'Medical Examinations'!A:B, 2, FALSE)</f>
        <v>Normal Weight</v>
      </c>
      <c r="K904" t="str">
        <f>VLOOKUP($A904, 'Medical Examinations'!A:D, 4, FALSE)</f>
        <v>Diabetes</v>
      </c>
    </row>
    <row r="905" spans="1:11" ht="15.5" x14ac:dyDescent="0.35">
      <c r="A905" s="1" t="s">
        <v>1467</v>
      </c>
      <c r="B905" t="str">
        <f>VLOOKUP($A905, 'Customer Names'!A:D, 3, FALSE)</f>
        <v>Thomas</v>
      </c>
      <c r="C905">
        <f>VLOOKUP($A905,'Medical Examinations'!A:C, 3, FALSE)</f>
        <v>22.23</v>
      </c>
      <c r="D905" t="str">
        <f>VLOOKUP($A905, 'Medical Examinations'!A:D, 4, FALSE)</f>
        <v>Diabetes</v>
      </c>
      <c r="E905" t="str">
        <f>VLOOKUP($A905, 'Medical Examinations'!A:F, 6, FALSE)</f>
        <v>No</v>
      </c>
      <c r="F905" t="str">
        <f>VLOOKUP($A905, 'Medical Examinations'!A:G, 7, FALSE)</f>
        <v>No</v>
      </c>
      <c r="G905" t="str">
        <f>VLOOKUP($A905, 'Medical Examinations'!A:H, 8, FALSE)</f>
        <v>No</v>
      </c>
      <c r="H905" t="str">
        <f>VLOOKUP($A905, 'Medical Examinations'!A:J, 10, FALSE)</f>
        <v>No major surgery</v>
      </c>
      <c r="I905" t="str">
        <f>VLOOKUP($A905, 'Medical Examinations'!A:K, 11, FALSE)</f>
        <v>No</v>
      </c>
      <c r="J905" t="str">
        <f>VLOOKUP($A905, 'Medical Examinations'!A:B, 2, FALSE)</f>
        <v>Normal Weight</v>
      </c>
      <c r="K905" t="str">
        <f>VLOOKUP($A905, 'Medical Examinations'!A:D, 4, FALSE)</f>
        <v>Diabetes</v>
      </c>
    </row>
    <row r="906" spans="1:11" ht="15.5" x14ac:dyDescent="0.35">
      <c r="A906" s="1" t="s">
        <v>1466</v>
      </c>
      <c r="B906" t="str">
        <f>VLOOKUP($A906, 'Customer Names'!A:D, 3, FALSE)</f>
        <v>Lesniak</v>
      </c>
      <c r="C906">
        <f>VLOOKUP($A906,'Medical Examinations'!A:C, 3, FALSE)</f>
        <v>36.47</v>
      </c>
      <c r="D906" t="str">
        <f>VLOOKUP($A906, 'Medical Examinations'!A:D, 4, FALSE)</f>
        <v>Prediabetes</v>
      </c>
      <c r="E906" t="str">
        <f>VLOOKUP($A906, 'Medical Examinations'!A:F, 6, FALSE)</f>
        <v>No</v>
      </c>
      <c r="F906" t="str">
        <f>VLOOKUP($A906, 'Medical Examinations'!A:G, 7, FALSE)</f>
        <v>No</v>
      </c>
      <c r="G906" t="str">
        <f>VLOOKUP($A906, 'Medical Examinations'!A:H, 8, FALSE)</f>
        <v>No</v>
      </c>
      <c r="H906" t="str">
        <f>VLOOKUP($A906, 'Medical Examinations'!A:J, 10, FALSE)</f>
        <v>No major surgery</v>
      </c>
      <c r="I906" t="str">
        <f>VLOOKUP($A906, 'Medical Examinations'!A:K, 11, FALSE)</f>
        <v>No</v>
      </c>
      <c r="J906" t="str">
        <f>VLOOKUP($A906, 'Medical Examinations'!A:B, 2, FALSE)</f>
        <v>Obesity</v>
      </c>
      <c r="K906" t="str">
        <f>VLOOKUP($A906, 'Medical Examinations'!A:D, 4, FALSE)</f>
        <v>Prediabetes</v>
      </c>
    </row>
    <row r="907" spans="1:11" ht="15.5" x14ac:dyDescent="0.35">
      <c r="A907" s="1" t="s">
        <v>1465</v>
      </c>
      <c r="B907" t="str">
        <f>VLOOKUP($A907, 'Customer Names'!A:D, 3, FALSE)</f>
        <v>Prowse</v>
      </c>
      <c r="C907">
        <f>VLOOKUP($A907,'Medical Examinations'!A:C, 3, FALSE)</f>
        <v>49.64</v>
      </c>
      <c r="D907" t="str">
        <f>VLOOKUP($A907, 'Medical Examinations'!A:D, 4, FALSE)</f>
        <v>Normal</v>
      </c>
      <c r="E907" t="str">
        <f>VLOOKUP($A907, 'Medical Examinations'!A:F, 6, FALSE)</f>
        <v>No</v>
      </c>
      <c r="F907" t="str">
        <f>VLOOKUP($A907, 'Medical Examinations'!A:G, 7, FALSE)</f>
        <v>No</v>
      </c>
      <c r="G907" t="str">
        <f>VLOOKUP($A907, 'Medical Examinations'!A:H, 8, FALSE)</f>
        <v>Yes</v>
      </c>
      <c r="H907">
        <f>VLOOKUP($A907, 'Medical Examinations'!A:J, 10, FALSE)</f>
        <v>1</v>
      </c>
      <c r="I907" t="str">
        <f>VLOOKUP($A907, 'Medical Examinations'!A:K, 11, FALSE)</f>
        <v>No</v>
      </c>
      <c r="J907" t="str">
        <f>VLOOKUP($A907, 'Medical Examinations'!A:B, 2, FALSE)</f>
        <v>Obesity</v>
      </c>
      <c r="K907" t="str">
        <f>VLOOKUP($A907, 'Medical Examinations'!A:D, 4, FALSE)</f>
        <v>Normal</v>
      </c>
    </row>
    <row r="908" spans="1:11" ht="15.5" x14ac:dyDescent="0.35">
      <c r="A908" s="1" t="s">
        <v>1464</v>
      </c>
      <c r="B908" t="str">
        <f>VLOOKUP($A908, 'Customer Names'!A:D, 3, FALSE)</f>
        <v>Seigel</v>
      </c>
      <c r="C908">
        <f>VLOOKUP($A908,'Medical Examinations'!A:C, 3, FALSE)</f>
        <v>36.799999999999997</v>
      </c>
      <c r="D908" t="str">
        <f>VLOOKUP($A908, 'Medical Examinations'!A:D, 4, FALSE)</f>
        <v>Prediabetes</v>
      </c>
      <c r="E908" t="str">
        <f>VLOOKUP($A908, 'Medical Examinations'!A:F, 6, FALSE)</f>
        <v>yes</v>
      </c>
      <c r="F908" t="str">
        <f>VLOOKUP($A908, 'Medical Examinations'!A:G, 7, FALSE)</f>
        <v>No</v>
      </c>
      <c r="G908" t="str">
        <f>VLOOKUP($A908, 'Medical Examinations'!A:H, 8, FALSE)</f>
        <v>Yes</v>
      </c>
      <c r="H908">
        <f>VLOOKUP($A908, 'Medical Examinations'!A:J, 10, FALSE)</f>
        <v>1</v>
      </c>
      <c r="I908" t="str">
        <f>VLOOKUP($A908, 'Medical Examinations'!A:K, 11, FALSE)</f>
        <v>No</v>
      </c>
      <c r="J908" t="str">
        <f>VLOOKUP($A908, 'Medical Examinations'!A:B, 2, FALSE)</f>
        <v>Obesity</v>
      </c>
      <c r="K908" t="str">
        <f>VLOOKUP($A908, 'Medical Examinations'!A:D, 4, FALSE)</f>
        <v>Prediabetes</v>
      </c>
    </row>
    <row r="909" spans="1:11" ht="15.5" x14ac:dyDescent="0.35">
      <c r="A909" s="1" t="s">
        <v>1463</v>
      </c>
      <c r="B909" t="str">
        <f>VLOOKUP($A909, 'Customer Names'!A:D, 3, FALSE)</f>
        <v>Blas</v>
      </c>
      <c r="C909">
        <f>VLOOKUP($A909,'Medical Examinations'!A:C, 3, FALSE)</f>
        <v>33.880000000000003</v>
      </c>
      <c r="D909" t="str">
        <f>VLOOKUP($A909, 'Medical Examinations'!A:D, 4, FALSE)</f>
        <v>Diabetes</v>
      </c>
      <c r="E909" t="str">
        <f>VLOOKUP($A909, 'Medical Examinations'!A:F, 6, FALSE)</f>
        <v>yes</v>
      </c>
      <c r="F909" t="str">
        <f>VLOOKUP($A909, 'Medical Examinations'!A:G, 7, FALSE)</f>
        <v>No</v>
      </c>
      <c r="G909" t="str">
        <f>VLOOKUP($A909, 'Medical Examinations'!A:H, 8, FALSE)</f>
        <v>No</v>
      </c>
      <c r="H909" t="str">
        <f>VLOOKUP($A909, 'Medical Examinations'!A:J, 10, FALSE)</f>
        <v>No major surgery</v>
      </c>
      <c r="I909" t="str">
        <f>VLOOKUP($A909, 'Medical Examinations'!A:K, 11, FALSE)</f>
        <v>No</v>
      </c>
      <c r="J909" t="str">
        <f>VLOOKUP($A909, 'Medical Examinations'!A:B, 2, FALSE)</f>
        <v>Obesity</v>
      </c>
      <c r="K909" t="str">
        <f>VLOOKUP($A909, 'Medical Examinations'!A:D, 4, FALSE)</f>
        <v>Diabetes</v>
      </c>
    </row>
    <row r="910" spans="1:11" ht="15.5" x14ac:dyDescent="0.35">
      <c r="A910" s="1" t="s">
        <v>1462</v>
      </c>
      <c r="B910" t="str">
        <f>VLOOKUP($A910, 'Customer Names'!A:D, 3, FALSE)</f>
        <v>Simpson</v>
      </c>
      <c r="C910">
        <f>VLOOKUP($A910,'Medical Examinations'!A:C, 3, FALSE)</f>
        <v>32.01</v>
      </c>
      <c r="D910" t="str">
        <f>VLOOKUP($A910, 'Medical Examinations'!A:D, 4, FALSE)</f>
        <v>Normal</v>
      </c>
      <c r="E910" t="str">
        <f>VLOOKUP($A910, 'Medical Examinations'!A:F, 6, FALSE)</f>
        <v>yes</v>
      </c>
      <c r="F910" t="str">
        <f>VLOOKUP($A910, 'Medical Examinations'!A:G, 7, FALSE)</f>
        <v>No</v>
      </c>
      <c r="G910" t="str">
        <f>VLOOKUP($A910, 'Medical Examinations'!A:H, 8, FALSE)</f>
        <v>No</v>
      </c>
      <c r="H910">
        <f>VLOOKUP($A910, 'Medical Examinations'!A:J, 10, FALSE)</f>
        <v>1</v>
      </c>
      <c r="I910" t="str">
        <f>VLOOKUP($A910, 'Medical Examinations'!A:K, 11, FALSE)</f>
        <v>No</v>
      </c>
      <c r="J910" t="str">
        <f>VLOOKUP($A910, 'Medical Examinations'!A:B, 2, FALSE)</f>
        <v>Obesity</v>
      </c>
      <c r="K910" t="str">
        <f>VLOOKUP($A910, 'Medical Examinations'!A:D, 4, FALSE)</f>
        <v>Normal</v>
      </c>
    </row>
    <row r="911" spans="1:11" ht="15.5" x14ac:dyDescent="0.35">
      <c r="A911" s="1" t="s">
        <v>1461</v>
      </c>
      <c r="B911" t="str">
        <f>VLOOKUP($A911, 'Customer Names'!A:D, 3, FALSE)</f>
        <v>Gierman</v>
      </c>
      <c r="C911">
        <f>VLOOKUP($A911,'Medical Examinations'!A:C, 3, FALSE)</f>
        <v>33.630000000000003</v>
      </c>
      <c r="D911" t="str">
        <f>VLOOKUP($A911, 'Medical Examinations'!A:D, 4, FALSE)</f>
        <v>Diabetes</v>
      </c>
      <c r="E911" t="str">
        <f>VLOOKUP($A911, 'Medical Examinations'!A:F, 6, FALSE)</f>
        <v>No</v>
      </c>
      <c r="F911" t="str">
        <f>VLOOKUP($A911, 'Medical Examinations'!A:G, 7, FALSE)</f>
        <v>No</v>
      </c>
      <c r="G911" t="str">
        <f>VLOOKUP($A911, 'Medical Examinations'!A:H, 8, FALSE)</f>
        <v>No</v>
      </c>
      <c r="H911" t="str">
        <f>VLOOKUP($A911, 'Medical Examinations'!A:J, 10, FALSE)</f>
        <v>No major surgery</v>
      </c>
      <c r="I911" t="str">
        <f>VLOOKUP($A911, 'Medical Examinations'!A:K, 11, FALSE)</f>
        <v>No</v>
      </c>
      <c r="J911" t="str">
        <f>VLOOKUP($A911, 'Medical Examinations'!A:B, 2, FALSE)</f>
        <v>Obesity</v>
      </c>
      <c r="K911" t="str">
        <f>VLOOKUP($A911, 'Medical Examinations'!A:D, 4, FALSE)</f>
        <v>Diabetes</v>
      </c>
    </row>
    <row r="912" spans="1:11" ht="15.5" x14ac:dyDescent="0.35">
      <c r="A912" s="1" t="s">
        <v>1460</v>
      </c>
      <c r="B912" t="str">
        <f>VLOOKUP($A912, 'Customer Names'!A:D, 3, FALSE)</f>
        <v>Jeuland</v>
      </c>
      <c r="C912">
        <f>VLOOKUP($A912,'Medical Examinations'!A:C, 3, FALSE)</f>
        <v>34.865000000000002</v>
      </c>
      <c r="D912" t="str">
        <f>VLOOKUP($A912, 'Medical Examinations'!A:D, 4, FALSE)</f>
        <v>Normal</v>
      </c>
      <c r="E912" t="str">
        <f>VLOOKUP($A912, 'Medical Examinations'!A:F, 6, FALSE)</f>
        <v>yes</v>
      </c>
      <c r="F912" t="str">
        <f>VLOOKUP($A912, 'Medical Examinations'!A:G, 7, FALSE)</f>
        <v>No</v>
      </c>
      <c r="G912" t="str">
        <f>VLOOKUP($A912, 'Medical Examinations'!A:H, 8, FALSE)</f>
        <v>No</v>
      </c>
      <c r="H912">
        <f>VLOOKUP($A912, 'Medical Examinations'!A:J, 10, FALSE)</f>
        <v>1</v>
      </c>
      <c r="I912" t="str">
        <f>VLOOKUP($A912, 'Medical Examinations'!A:K, 11, FALSE)</f>
        <v>No</v>
      </c>
      <c r="J912" t="str">
        <f>VLOOKUP($A912, 'Medical Examinations'!A:B, 2, FALSE)</f>
        <v>Obesity</v>
      </c>
      <c r="K912" t="str">
        <f>VLOOKUP($A912, 'Medical Examinations'!A:D, 4, FALSE)</f>
        <v>Normal</v>
      </c>
    </row>
    <row r="913" spans="1:11" ht="15.5" x14ac:dyDescent="0.35">
      <c r="A913" s="1" t="s">
        <v>1459</v>
      </c>
      <c r="B913" t="str">
        <f>VLOOKUP($A913, 'Customer Names'!A:D, 3, FALSE)</f>
        <v>Chorney</v>
      </c>
      <c r="C913">
        <f>VLOOKUP($A913,'Medical Examinations'!A:C, 3, FALSE)</f>
        <v>43.11</v>
      </c>
      <c r="D913" t="str">
        <f>VLOOKUP($A913, 'Medical Examinations'!A:D, 4, FALSE)</f>
        <v>Normal</v>
      </c>
      <c r="E913" t="str">
        <f>VLOOKUP($A913, 'Medical Examinations'!A:F, 6, FALSE)</f>
        <v>No</v>
      </c>
      <c r="F913" t="str">
        <f>VLOOKUP($A913, 'Medical Examinations'!A:G, 7, FALSE)</f>
        <v>No</v>
      </c>
      <c r="G913" t="str">
        <f>VLOOKUP($A913, 'Medical Examinations'!A:H, 8, FALSE)</f>
        <v>No</v>
      </c>
      <c r="H913" t="str">
        <f>VLOOKUP($A913, 'Medical Examinations'!A:J, 10, FALSE)</f>
        <v>No major surgery</v>
      </c>
      <c r="I913" t="str">
        <f>VLOOKUP($A913, 'Medical Examinations'!A:K, 11, FALSE)</f>
        <v>No</v>
      </c>
      <c r="J913" t="str">
        <f>VLOOKUP($A913, 'Medical Examinations'!A:B, 2, FALSE)</f>
        <v>Obesity</v>
      </c>
      <c r="K913" t="str">
        <f>VLOOKUP($A913, 'Medical Examinations'!A:D, 4, FALSE)</f>
        <v>Normal</v>
      </c>
    </row>
    <row r="914" spans="1:11" ht="15.5" x14ac:dyDescent="0.35">
      <c r="A914" s="1" t="s">
        <v>1458</v>
      </c>
      <c r="B914" t="str">
        <f>VLOOKUP($A914, 'Customer Names'!A:D, 3, FALSE)</f>
        <v>Rook</v>
      </c>
      <c r="C914">
        <f>VLOOKUP($A914,'Medical Examinations'!A:C, 3, FALSE)</f>
        <v>30.305</v>
      </c>
      <c r="D914" t="str">
        <f>VLOOKUP($A914, 'Medical Examinations'!A:D, 4, FALSE)</f>
        <v>Normal</v>
      </c>
      <c r="E914" t="str">
        <f>VLOOKUP($A914, 'Medical Examinations'!A:F, 6, FALSE)</f>
        <v>yes</v>
      </c>
      <c r="F914" t="str">
        <f>VLOOKUP($A914, 'Medical Examinations'!A:G, 7, FALSE)</f>
        <v>No</v>
      </c>
      <c r="G914" t="str">
        <f>VLOOKUP($A914, 'Medical Examinations'!A:H, 8, FALSE)</f>
        <v>No</v>
      </c>
      <c r="H914">
        <f>VLOOKUP($A914, 'Medical Examinations'!A:J, 10, FALSE)</f>
        <v>1</v>
      </c>
      <c r="I914" t="str">
        <f>VLOOKUP($A914, 'Medical Examinations'!A:K, 11, FALSE)</f>
        <v>No</v>
      </c>
      <c r="J914" t="str">
        <f>VLOOKUP($A914, 'Medical Examinations'!A:B, 2, FALSE)</f>
        <v>Obesity</v>
      </c>
      <c r="K914" t="str">
        <f>VLOOKUP($A914, 'Medical Examinations'!A:D, 4, FALSE)</f>
        <v>Normal</v>
      </c>
    </row>
    <row r="915" spans="1:11" ht="15.5" x14ac:dyDescent="0.35">
      <c r="A915" s="1" t="s">
        <v>1457</v>
      </c>
      <c r="B915" t="str">
        <f>VLOOKUP($A915, 'Customer Names'!A:D, 3, FALSE)</f>
        <v>Wright</v>
      </c>
      <c r="C915">
        <f>VLOOKUP($A915,'Medical Examinations'!A:C, 3, FALSE)</f>
        <v>25.175000000000001</v>
      </c>
      <c r="D915" t="str">
        <f>VLOOKUP($A915, 'Medical Examinations'!A:D, 4, FALSE)</f>
        <v>Normal</v>
      </c>
      <c r="E915" t="str">
        <f>VLOOKUP($A915, 'Medical Examinations'!A:F, 6, FALSE)</f>
        <v>yes</v>
      </c>
      <c r="F915" t="str">
        <f>VLOOKUP($A915, 'Medical Examinations'!A:G, 7, FALSE)</f>
        <v>No</v>
      </c>
      <c r="G915" t="str">
        <f>VLOOKUP($A915, 'Medical Examinations'!A:H, 8, FALSE)</f>
        <v>No</v>
      </c>
      <c r="H915">
        <f>VLOOKUP($A915, 'Medical Examinations'!A:J, 10, FALSE)</f>
        <v>1</v>
      </c>
      <c r="I915" t="str">
        <f>VLOOKUP($A915, 'Medical Examinations'!A:K, 11, FALSE)</f>
        <v>No</v>
      </c>
      <c r="J915" t="str">
        <f>VLOOKUP($A915, 'Medical Examinations'!A:B, 2, FALSE)</f>
        <v>Overweight</v>
      </c>
      <c r="K915" t="str">
        <f>VLOOKUP($A915, 'Medical Examinations'!A:D, 4, FALSE)</f>
        <v>Normal</v>
      </c>
    </row>
    <row r="916" spans="1:11" ht="15.5" x14ac:dyDescent="0.35">
      <c r="A916" s="1" t="s">
        <v>1456</v>
      </c>
      <c r="B916" t="str">
        <f>VLOOKUP($A916, 'Customer Names'!A:D, 3, FALSE)</f>
        <v>Chin</v>
      </c>
      <c r="C916">
        <f>VLOOKUP($A916,'Medical Examinations'!A:C, 3, FALSE)</f>
        <v>26.8</v>
      </c>
      <c r="D916" t="str">
        <f>VLOOKUP($A916, 'Medical Examinations'!A:D, 4, FALSE)</f>
        <v>Normal</v>
      </c>
      <c r="E916" t="str">
        <f>VLOOKUP($A916, 'Medical Examinations'!A:F, 6, FALSE)</f>
        <v>yes</v>
      </c>
      <c r="F916" t="str">
        <f>VLOOKUP($A916, 'Medical Examinations'!A:G, 7, FALSE)</f>
        <v>No</v>
      </c>
      <c r="G916" t="str">
        <f>VLOOKUP($A916, 'Medical Examinations'!A:H, 8, FALSE)</f>
        <v>No</v>
      </c>
      <c r="H916">
        <f>VLOOKUP($A916, 'Medical Examinations'!A:J, 10, FALSE)</f>
        <v>1</v>
      </c>
      <c r="I916" t="str">
        <f>VLOOKUP($A916, 'Medical Examinations'!A:K, 11, FALSE)</f>
        <v>No</v>
      </c>
      <c r="J916" t="str">
        <f>VLOOKUP($A916, 'Medical Examinations'!A:B, 2, FALSE)</f>
        <v>Overweight</v>
      </c>
      <c r="K916" t="str">
        <f>VLOOKUP($A916, 'Medical Examinations'!A:D, 4, FALSE)</f>
        <v>Normal</v>
      </c>
    </row>
    <row r="917" spans="1:11" ht="15.5" x14ac:dyDescent="0.35">
      <c r="A917" s="1" t="s">
        <v>1455</v>
      </c>
      <c r="B917" t="str">
        <f>VLOOKUP($A917, 'Customer Names'!A:D, 3, FALSE)</f>
        <v>White</v>
      </c>
      <c r="C917">
        <f>VLOOKUP($A917,'Medical Examinations'!A:C, 3, FALSE)</f>
        <v>21.78</v>
      </c>
      <c r="D917" t="str">
        <f>VLOOKUP($A917, 'Medical Examinations'!A:D, 4, FALSE)</f>
        <v>Normal</v>
      </c>
      <c r="E917" t="str">
        <f>VLOOKUP($A917, 'Medical Examinations'!A:F, 6, FALSE)</f>
        <v>No</v>
      </c>
      <c r="F917" t="str">
        <f>VLOOKUP($A917, 'Medical Examinations'!A:G, 7, FALSE)</f>
        <v>yes</v>
      </c>
      <c r="G917" t="str">
        <f>VLOOKUP($A917, 'Medical Examinations'!A:H, 8, FALSE)</f>
        <v>No</v>
      </c>
      <c r="H917">
        <f>VLOOKUP($A917, 'Medical Examinations'!A:J, 10, FALSE)</f>
        <v>1</v>
      </c>
      <c r="I917" t="str">
        <f>VLOOKUP($A917, 'Medical Examinations'!A:K, 11, FALSE)</f>
        <v>No</v>
      </c>
      <c r="J917" t="str">
        <f>VLOOKUP($A917, 'Medical Examinations'!A:B, 2, FALSE)</f>
        <v>Normal Weight</v>
      </c>
      <c r="K917" t="str">
        <f>VLOOKUP($A917, 'Medical Examinations'!A:D, 4, FALSE)</f>
        <v>Normal</v>
      </c>
    </row>
    <row r="918" spans="1:11" ht="15.5" x14ac:dyDescent="0.35">
      <c r="A918" s="1" t="s">
        <v>1454</v>
      </c>
      <c r="B918" t="str">
        <f>VLOOKUP($A918, 'Customer Names'!A:D, 3, FALSE)</f>
        <v>Savage</v>
      </c>
      <c r="C918">
        <f>VLOOKUP($A918,'Medical Examinations'!A:C, 3, FALSE)</f>
        <v>30.14</v>
      </c>
      <c r="D918" t="str">
        <f>VLOOKUP($A918, 'Medical Examinations'!A:D, 4, FALSE)</f>
        <v>Diabetes</v>
      </c>
      <c r="E918" t="str">
        <f>VLOOKUP($A918, 'Medical Examinations'!A:F, 6, FALSE)</f>
        <v>yes</v>
      </c>
      <c r="F918" t="str">
        <f>VLOOKUP($A918, 'Medical Examinations'!A:G, 7, FALSE)</f>
        <v>No</v>
      </c>
      <c r="G918" t="str">
        <f>VLOOKUP($A918, 'Medical Examinations'!A:H, 8, FALSE)</f>
        <v>No</v>
      </c>
      <c r="H918" t="str">
        <f>VLOOKUP($A918, 'Medical Examinations'!A:J, 10, FALSE)</f>
        <v>No major surgery</v>
      </c>
      <c r="I918" t="str">
        <f>VLOOKUP($A918, 'Medical Examinations'!A:K, 11, FALSE)</f>
        <v>No</v>
      </c>
      <c r="J918" t="str">
        <f>VLOOKUP($A918, 'Medical Examinations'!A:B, 2, FALSE)</f>
        <v>Obesity</v>
      </c>
      <c r="K918" t="str">
        <f>VLOOKUP($A918, 'Medical Examinations'!A:D, 4, FALSE)</f>
        <v>Diabetes</v>
      </c>
    </row>
    <row r="919" spans="1:11" ht="15.5" x14ac:dyDescent="0.35">
      <c r="A919" s="1" t="s">
        <v>1453</v>
      </c>
      <c r="B919" t="str">
        <f>VLOOKUP($A919, 'Customer Names'!A:D, 3, FALSE)</f>
        <v>Hitchings</v>
      </c>
      <c r="C919">
        <f>VLOOKUP($A919,'Medical Examinations'!A:C, 3, FALSE)</f>
        <v>29.7</v>
      </c>
      <c r="D919" t="str">
        <f>VLOOKUP($A919, 'Medical Examinations'!A:D, 4, FALSE)</f>
        <v>Diabetes</v>
      </c>
      <c r="E919" t="str">
        <f>VLOOKUP($A919, 'Medical Examinations'!A:F, 6, FALSE)</f>
        <v>yes</v>
      </c>
      <c r="F919" t="str">
        <f>VLOOKUP($A919, 'Medical Examinations'!A:G, 7, FALSE)</f>
        <v>No</v>
      </c>
      <c r="G919" t="str">
        <f>VLOOKUP($A919, 'Medical Examinations'!A:H, 8, FALSE)</f>
        <v>No</v>
      </c>
      <c r="H919" t="str">
        <f>VLOOKUP($A919, 'Medical Examinations'!A:J, 10, FALSE)</f>
        <v>No major surgery</v>
      </c>
      <c r="I919" t="str">
        <f>VLOOKUP($A919, 'Medical Examinations'!A:K, 11, FALSE)</f>
        <v>No</v>
      </c>
      <c r="J919" t="str">
        <f>VLOOKUP($A919, 'Medical Examinations'!A:B, 2, FALSE)</f>
        <v>Overweight</v>
      </c>
      <c r="K919" t="str">
        <f>VLOOKUP($A919, 'Medical Examinations'!A:D, 4, FALSE)</f>
        <v>Diabetes</v>
      </c>
    </row>
    <row r="920" spans="1:11" ht="15.5" x14ac:dyDescent="0.35">
      <c r="A920" s="1" t="s">
        <v>1452</v>
      </c>
      <c r="B920" t="str">
        <f>VLOOKUP($A920, 'Customer Names'!A:D, 3, FALSE)</f>
        <v>Truitt</v>
      </c>
      <c r="C920">
        <f>VLOOKUP($A920,'Medical Examinations'!A:C, 3, FALSE)</f>
        <v>32.395000000000003</v>
      </c>
      <c r="D920" t="str">
        <f>VLOOKUP($A920, 'Medical Examinations'!A:D, 4, FALSE)</f>
        <v>Diabetes</v>
      </c>
      <c r="E920" t="str">
        <f>VLOOKUP($A920, 'Medical Examinations'!A:F, 6, FALSE)</f>
        <v>yes</v>
      </c>
      <c r="F920" t="str">
        <f>VLOOKUP($A920, 'Medical Examinations'!A:G, 7, FALSE)</f>
        <v>No</v>
      </c>
      <c r="G920" t="str">
        <f>VLOOKUP($A920, 'Medical Examinations'!A:H, 8, FALSE)</f>
        <v>No</v>
      </c>
      <c r="H920" t="str">
        <f>VLOOKUP($A920, 'Medical Examinations'!A:J, 10, FALSE)</f>
        <v>No major surgery</v>
      </c>
      <c r="I920" t="str">
        <f>VLOOKUP($A920, 'Medical Examinations'!A:K, 11, FALSE)</f>
        <v>No</v>
      </c>
      <c r="J920" t="str">
        <f>VLOOKUP($A920, 'Medical Examinations'!A:B, 2, FALSE)</f>
        <v>Obesity</v>
      </c>
      <c r="K920" t="str">
        <f>VLOOKUP($A920, 'Medical Examinations'!A:D, 4, FALSE)</f>
        <v>Diabetes</v>
      </c>
    </row>
    <row r="921" spans="1:11" ht="15.5" x14ac:dyDescent="0.35">
      <c r="A921" s="1" t="s">
        <v>1451</v>
      </c>
      <c r="B921" t="str">
        <f>VLOOKUP($A921, 'Customer Names'!A:D, 3, FALSE)</f>
        <v>Chang</v>
      </c>
      <c r="C921">
        <f>VLOOKUP($A921,'Medical Examinations'!A:C, 3, FALSE)</f>
        <v>36.64</v>
      </c>
      <c r="D921" t="str">
        <f>VLOOKUP($A921, 'Medical Examinations'!A:D, 4, FALSE)</f>
        <v>Diabetes</v>
      </c>
      <c r="E921" t="str">
        <f>VLOOKUP($A921, 'Medical Examinations'!A:F, 6, FALSE)</f>
        <v>No</v>
      </c>
      <c r="F921" t="str">
        <f>VLOOKUP($A921, 'Medical Examinations'!A:G, 7, FALSE)</f>
        <v>No</v>
      </c>
      <c r="G921" t="str">
        <f>VLOOKUP($A921, 'Medical Examinations'!A:H, 8, FALSE)</f>
        <v>No</v>
      </c>
      <c r="H921" t="str">
        <f>VLOOKUP($A921, 'Medical Examinations'!A:J, 10, FALSE)</f>
        <v>No major surgery</v>
      </c>
      <c r="I921" t="str">
        <f>VLOOKUP($A921, 'Medical Examinations'!A:K, 11, FALSE)</f>
        <v>No</v>
      </c>
      <c r="J921" t="str">
        <f>VLOOKUP($A921, 'Medical Examinations'!A:B, 2, FALSE)</f>
        <v>Obesity</v>
      </c>
      <c r="K921" t="str">
        <f>VLOOKUP($A921, 'Medical Examinations'!A:D, 4, FALSE)</f>
        <v>Diabetes</v>
      </c>
    </row>
    <row r="922" spans="1:11" ht="15.5" x14ac:dyDescent="0.35">
      <c r="A922" s="1" t="s">
        <v>1450</v>
      </c>
      <c r="B922" t="str">
        <f>VLOOKUP($A922, 'Customer Names'!A:D, 3, FALSE)</f>
        <v>Frey</v>
      </c>
      <c r="C922">
        <f>VLOOKUP($A922,'Medical Examinations'!A:C, 3, FALSE)</f>
        <v>39.049999999999997</v>
      </c>
      <c r="D922" t="str">
        <f>VLOOKUP($A922, 'Medical Examinations'!A:D, 4, FALSE)</f>
        <v>Normal</v>
      </c>
      <c r="E922" t="str">
        <f>VLOOKUP($A922, 'Medical Examinations'!A:F, 6, FALSE)</f>
        <v>yes</v>
      </c>
      <c r="F922" t="str">
        <f>VLOOKUP($A922, 'Medical Examinations'!A:G, 7, FALSE)</f>
        <v>No</v>
      </c>
      <c r="G922" t="str">
        <f>VLOOKUP($A922, 'Medical Examinations'!A:H, 8, FALSE)</f>
        <v>No</v>
      </c>
      <c r="H922">
        <f>VLOOKUP($A922, 'Medical Examinations'!A:J, 10, FALSE)</f>
        <v>1</v>
      </c>
      <c r="I922" t="str">
        <f>VLOOKUP($A922, 'Medical Examinations'!A:K, 11, FALSE)</f>
        <v>No</v>
      </c>
      <c r="J922" t="str">
        <f>VLOOKUP($A922, 'Medical Examinations'!A:B, 2, FALSE)</f>
        <v>Obesity</v>
      </c>
      <c r="K922" t="str">
        <f>VLOOKUP($A922, 'Medical Examinations'!A:D, 4, FALSE)</f>
        <v>Normal</v>
      </c>
    </row>
    <row r="923" spans="1:11" ht="15.5" x14ac:dyDescent="0.35">
      <c r="A923" s="1" t="s">
        <v>1449</v>
      </c>
      <c r="B923" t="str">
        <f>VLOOKUP($A923, 'Customer Names'!A:D, 3, FALSE)</f>
        <v>Krishna</v>
      </c>
      <c r="C923">
        <f>VLOOKUP($A923,'Medical Examinations'!A:C, 3, FALSE)</f>
        <v>33.1</v>
      </c>
      <c r="D923" t="str">
        <f>VLOOKUP($A923, 'Medical Examinations'!A:D, 4, FALSE)</f>
        <v>Normal</v>
      </c>
      <c r="E923" t="str">
        <f>VLOOKUP($A923, 'Medical Examinations'!A:F, 6, FALSE)</f>
        <v>yes</v>
      </c>
      <c r="F923" t="str">
        <f>VLOOKUP($A923, 'Medical Examinations'!A:G, 7, FALSE)</f>
        <v>No</v>
      </c>
      <c r="G923" t="str">
        <f>VLOOKUP($A923, 'Medical Examinations'!A:H, 8, FALSE)</f>
        <v>No</v>
      </c>
      <c r="H923">
        <f>VLOOKUP($A923, 'Medical Examinations'!A:J, 10, FALSE)</f>
        <v>1</v>
      </c>
      <c r="I923" t="str">
        <f>VLOOKUP($A923, 'Medical Examinations'!A:K, 11, FALSE)</f>
        <v>No</v>
      </c>
      <c r="J923" t="str">
        <f>VLOOKUP($A923, 'Medical Examinations'!A:B, 2, FALSE)</f>
        <v>Obesity</v>
      </c>
      <c r="K923" t="str">
        <f>VLOOKUP($A923, 'Medical Examinations'!A:D, 4, FALSE)</f>
        <v>Normal</v>
      </c>
    </row>
    <row r="924" spans="1:11" ht="15.5" x14ac:dyDescent="0.35">
      <c r="A924" s="1" t="s">
        <v>1448</v>
      </c>
      <c r="B924" t="str">
        <f>VLOOKUP($A924, 'Customer Names'!A:D, 3, FALSE)</f>
        <v>Maher</v>
      </c>
      <c r="C924">
        <f>VLOOKUP($A924,'Medical Examinations'!A:C, 3, FALSE)</f>
        <v>31.824999999999999</v>
      </c>
      <c r="D924" t="str">
        <f>VLOOKUP($A924, 'Medical Examinations'!A:D, 4, FALSE)</f>
        <v>Diabetes</v>
      </c>
      <c r="E924" t="str">
        <f>VLOOKUP($A924, 'Medical Examinations'!A:F, 6, FALSE)</f>
        <v>No</v>
      </c>
      <c r="F924" t="str">
        <f>VLOOKUP($A924, 'Medical Examinations'!A:G, 7, FALSE)</f>
        <v>No</v>
      </c>
      <c r="G924" t="str">
        <f>VLOOKUP($A924, 'Medical Examinations'!A:H, 8, FALSE)</f>
        <v>No</v>
      </c>
      <c r="H924" t="str">
        <f>VLOOKUP($A924, 'Medical Examinations'!A:J, 10, FALSE)</f>
        <v>No major surgery</v>
      </c>
      <c r="I924" t="str">
        <f>VLOOKUP($A924, 'Medical Examinations'!A:K, 11, FALSE)</f>
        <v>No</v>
      </c>
      <c r="J924" t="str">
        <f>VLOOKUP($A924, 'Medical Examinations'!A:B, 2, FALSE)</f>
        <v>Obesity</v>
      </c>
      <c r="K924" t="str">
        <f>VLOOKUP($A924, 'Medical Examinations'!A:D, 4, FALSE)</f>
        <v>Diabetes</v>
      </c>
    </row>
    <row r="925" spans="1:11" ht="15.5" x14ac:dyDescent="0.35">
      <c r="A925" s="1" t="s">
        <v>1447</v>
      </c>
      <c r="B925" t="str">
        <f>VLOOKUP($A925, 'Customer Names'!A:D, 3, FALSE)</f>
        <v>Boivin</v>
      </c>
      <c r="C925">
        <f>VLOOKUP($A925,'Medical Examinations'!A:C, 3, FALSE)</f>
        <v>29</v>
      </c>
      <c r="D925" t="str">
        <f>VLOOKUP($A925, 'Medical Examinations'!A:D, 4, FALSE)</f>
        <v>Normal</v>
      </c>
      <c r="E925" t="str">
        <f>VLOOKUP($A925, 'Medical Examinations'!A:F, 6, FALSE)</f>
        <v>yes</v>
      </c>
      <c r="F925" t="str">
        <f>VLOOKUP($A925, 'Medical Examinations'!A:G, 7, FALSE)</f>
        <v>No</v>
      </c>
      <c r="G925" t="str">
        <f>VLOOKUP($A925, 'Medical Examinations'!A:H, 8, FALSE)</f>
        <v>No</v>
      </c>
      <c r="H925">
        <f>VLOOKUP($A925, 'Medical Examinations'!A:J, 10, FALSE)</f>
        <v>1</v>
      </c>
      <c r="I925" t="str">
        <f>VLOOKUP($A925, 'Medical Examinations'!A:K, 11, FALSE)</f>
        <v>No</v>
      </c>
      <c r="J925" t="str">
        <f>VLOOKUP($A925, 'Medical Examinations'!A:B, 2, FALSE)</f>
        <v>Overweight</v>
      </c>
      <c r="K925" t="str">
        <f>VLOOKUP($A925, 'Medical Examinations'!A:D, 4, FALSE)</f>
        <v>Normal</v>
      </c>
    </row>
    <row r="926" spans="1:11" ht="15.5" x14ac:dyDescent="0.35">
      <c r="A926" s="1" t="s">
        <v>1446</v>
      </c>
      <c r="B926" t="str">
        <f>VLOOKUP($A926, 'Customer Names'!A:D, 3, FALSE)</f>
        <v>McAlister</v>
      </c>
      <c r="C926">
        <f>VLOOKUP($A926,'Medical Examinations'!A:C, 3, FALSE)</f>
        <v>30.495000000000001</v>
      </c>
      <c r="D926" t="str">
        <f>VLOOKUP($A926, 'Medical Examinations'!A:D, 4, FALSE)</f>
        <v>Diabetes</v>
      </c>
      <c r="E926" t="str">
        <f>VLOOKUP($A926, 'Medical Examinations'!A:F, 6, FALSE)</f>
        <v>No</v>
      </c>
      <c r="F926" t="str">
        <f>VLOOKUP($A926, 'Medical Examinations'!A:G, 7, FALSE)</f>
        <v>No</v>
      </c>
      <c r="G926" t="str">
        <f>VLOOKUP($A926, 'Medical Examinations'!A:H, 8, FALSE)</f>
        <v>No</v>
      </c>
      <c r="H926" t="str">
        <f>VLOOKUP($A926, 'Medical Examinations'!A:J, 10, FALSE)</f>
        <v>No major surgery</v>
      </c>
      <c r="I926" t="str">
        <f>VLOOKUP($A926, 'Medical Examinations'!A:K, 11, FALSE)</f>
        <v>No</v>
      </c>
      <c r="J926" t="str">
        <f>VLOOKUP($A926, 'Medical Examinations'!A:B, 2, FALSE)</f>
        <v>Obesity</v>
      </c>
      <c r="K926" t="str">
        <f>VLOOKUP($A926, 'Medical Examinations'!A:D, 4, FALSE)</f>
        <v>Diabetes</v>
      </c>
    </row>
    <row r="927" spans="1:11" ht="15.5" x14ac:dyDescent="0.35">
      <c r="A927" s="1" t="s">
        <v>1445</v>
      </c>
      <c r="B927" t="str">
        <f>VLOOKUP($A927, 'Customer Names'!A:D, 3, FALSE)</f>
        <v>Akhmedova</v>
      </c>
      <c r="C927">
        <f>VLOOKUP($A927,'Medical Examinations'!A:C, 3, FALSE)</f>
        <v>25.2</v>
      </c>
      <c r="D927" t="str">
        <f>VLOOKUP($A927, 'Medical Examinations'!A:D, 4, FALSE)</f>
        <v>Prediabetes</v>
      </c>
      <c r="E927" t="str">
        <f>VLOOKUP($A927, 'Medical Examinations'!A:F, 6, FALSE)</f>
        <v>yes</v>
      </c>
      <c r="F927" t="str">
        <f>VLOOKUP($A927, 'Medical Examinations'!A:G, 7, FALSE)</f>
        <v>No</v>
      </c>
      <c r="G927" t="str">
        <f>VLOOKUP($A927, 'Medical Examinations'!A:H, 8, FALSE)</f>
        <v>No</v>
      </c>
      <c r="H927">
        <f>VLOOKUP($A927, 'Medical Examinations'!A:J, 10, FALSE)</f>
        <v>1</v>
      </c>
      <c r="I927" t="str">
        <f>VLOOKUP($A927, 'Medical Examinations'!A:K, 11, FALSE)</f>
        <v>No</v>
      </c>
      <c r="J927" t="str">
        <f>VLOOKUP($A927, 'Medical Examinations'!A:B, 2, FALSE)</f>
        <v>Overweight</v>
      </c>
      <c r="K927" t="str">
        <f>VLOOKUP($A927, 'Medical Examinations'!A:D, 4, FALSE)</f>
        <v>Prediabetes</v>
      </c>
    </row>
    <row r="928" spans="1:11" ht="15.5" x14ac:dyDescent="0.35">
      <c r="A928" s="1" t="s">
        <v>1444</v>
      </c>
      <c r="B928" t="str">
        <f>VLOOKUP($A928, 'Customer Names'!A:D, 3, FALSE)</f>
        <v>Tucker</v>
      </c>
      <c r="C928">
        <f>VLOOKUP($A928,'Medical Examinations'!A:C, 3, FALSE)</f>
        <v>22.77</v>
      </c>
      <c r="D928" t="str">
        <f>VLOOKUP($A928, 'Medical Examinations'!A:D, 4, FALSE)</f>
        <v>Normal</v>
      </c>
      <c r="E928" t="str">
        <f>VLOOKUP($A928, 'Medical Examinations'!A:F, 6, FALSE)</f>
        <v>yes</v>
      </c>
      <c r="F928" t="str">
        <f>VLOOKUP($A928, 'Medical Examinations'!A:G, 7, FALSE)</f>
        <v>No</v>
      </c>
      <c r="G928" t="str">
        <f>VLOOKUP($A928, 'Medical Examinations'!A:H, 8, FALSE)</f>
        <v>No</v>
      </c>
      <c r="H928">
        <f>VLOOKUP($A928, 'Medical Examinations'!A:J, 10, FALSE)</f>
        <v>1</v>
      </c>
      <c r="I928" t="str">
        <f>VLOOKUP($A928, 'Medical Examinations'!A:K, 11, FALSE)</f>
        <v>No</v>
      </c>
      <c r="J928" t="str">
        <f>VLOOKUP($A928, 'Medical Examinations'!A:B, 2, FALSE)</f>
        <v>Normal Weight</v>
      </c>
      <c r="K928" t="str">
        <f>VLOOKUP($A928, 'Medical Examinations'!A:D, 4, FALSE)</f>
        <v>Normal</v>
      </c>
    </row>
    <row r="929" spans="1:11" ht="15.5" x14ac:dyDescent="0.35">
      <c r="A929" s="1" t="s">
        <v>1443</v>
      </c>
      <c r="B929" t="str">
        <f>VLOOKUP($A929, 'Customer Names'!A:D, 3, FALSE)</f>
        <v>Gramelspacher</v>
      </c>
      <c r="C929">
        <f>VLOOKUP($A929,'Medical Examinations'!A:C, 3, FALSE)</f>
        <v>23.18</v>
      </c>
      <c r="D929" t="str">
        <f>VLOOKUP($A929, 'Medical Examinations'!A:D, 4, FALSE)</f>
        <v>Diabetes</v>
      </c>
      <c r="E929" t="str">
        <f>VLOOKUP($A929, 'Medical Examinations'!A:F, 6, FALSE)</f>
        <v>No</v>
      </c>
      <c r="F929" t="str">
        <f>VLOOKUP($A929, 'Medical Examinations'!A:G, 7, FALSE)</f>
        <v>No</v>
      </c>
      <c r="G929" t="str">
        <f>VLOOKUP($A929, 'Medical Examinations'!A:H, 8, FALSE)</f>
        <v>No</v>
      </c>
      <c r="H929" t="str">
        <f>VLOOKUP($A929, 'Medical Examinations'!A:J, 10, FALSE)</f>
        <v>No major surgery</v>
      </c>
      <c r="I929" t="str">
        <f>VLOOKUP($A929, 'Medical Examinations'!A:K, 11, FALSE)</f>
        <v>No</v>
      </c>
      <c r="J929" t="str">
        <f>VLOOKUP($A929, 'Medical Examinations'!A:B, 2, FALSE)</f>
        <v>Normal Weight</v>
      </c>
      <c r="K929" t="str">
        <f>VLOOKUP($A929, 'Medical Examinations'!A:D, 4, FALSE)</f>
        <v>Diabetes</v>
      </c>
    </row>
    <row r="930" spans="1:11" ht="15.5" x14ac:dyDescent="0.35">
      <c r="A930" s="1" t="s">
        <v>1442</v>
      </c>
      <c r="B930" t="str">
        <f>VLOOKUP($A930, 'Customer Names'!A:D, 3, FALSE)</f>
        <v>Goldsmith</v>
      </c>
      <c r="C930">
        <f>VLOOKUP($A930,'Medical Examinations'!A:C, 3, FALSE)</f>
        <v>35.409999999999997</v>
      </c>
      <c r="D930" t="str">
        <f>VLOOKUP($A930, 'Medical Examinations'!A:D, 4, FALSE)</f>
        <v>Normal</v>
      </c>
      <c r="E930" t="str">
        <f>VLOOKUP($A930, 'Medical Examinations'!A:F, 6, FALSE)</f>
        <v>No</v>
      </c>
      <c r="F930" t="str">
        <f>VLOOKUP($A930, 'Medical Examinations'!A:G, 7, FALSE)</f>
        <v>No</v>
      </c>
      <c r="G930" t="str">
        <f>VLOOKUP($A930, 'Medical Examinations'!A:H, 8, FALSE)</f>
        <v>No</v>
      </c>
      <c r="H930" t="str">
        <f>VLOOKUP($A930, 'Medical Examinations'!A:J, 10, FALSE)</f>
        <v>No major surgery</v>
      </c>
      <c r="I930" t="str">
        <f>VLOOKUP($A930, 'Medical Examinations'!A:K, 11, FALSE)</f>
        <v>No</v>
      </c>
      <c r="J930" t="str">
        <f>VLOOKUP($A930, 'Medical Examinations'!A:B, 2, FALSE)</f>
        <v>Obesity</v>
      </c>
      <c r="K930" t="str">
        <f>VLOOKUP($A930, 'Medical Examinations'!A:D, 4, FALSE)</f>
        <v>Normal</v>
      </c>
    </row>
    <row r="931" spans="1:11" ht="15.5" x14ac:dyDescent="0.35">
      <c r="A931" s="1" t="s">
        <v>1441</v>
      </c>
      <c r="B931" t="str">
        <f>VLOOKUP($A931, 'Customer Names'!A:D, 3, FALSE)</f>
        <v>Tranter</v>
      </c>
      <c r="C931">
        <f>VLOOKUP($A931,'Medical Examinations'!A:C, 3, FALSE)</f>
        <v>32.11</v>
      </c>
      <c r="D931" t="str">
        <f>VLOOKUP($A931, 'Medical Examinations'!A:D, 4, FALSE)</f>
        <v>Normal</v>
      </c>
      <c r="E931" t="str">
        <f>VLOOKUP($A931, 'Medical Examinations'!A:F, 6, FALSE)</f>
        <v>yes</v>
      </c>
      <c r="F931" t="str">
        <f>VLOOKUP($A931, 'Medical Examinations'!A:G, 7, FALSE)</f>
        <v>No</v>
      </c>
      <c r="G931" t="str">
        <f>VLOOKUP($A931, 'Medical Examinations'!A:H, 8, FALSE)</f>
        <v>No</v>
      </c>
      <c r="H931">
        <f>VLOOKUP($A931, 'Medical Examinations'!A:J, 10, FALSE)</f>
        <v>2</v>
      </c>
      <c r="I931" t="str">
        <f>VLOOKUP($A931, 'Medical Examinations'!A:K, 11, FALSE)</f>
        <v>No</v>
      </c>
      <c r="J931" t="str">
        <f>VLOOKUP($A931, 'Medical Examinations'!A:B, 2, FALSE)</f>
        <v>Obesity</v>
      </c>
      <c r="K931" t="str">
        <f>VLOOKUP($A931, 'Medical Examinations'!A:D, 4, FALSE)</f>
        <v>Normal</v>
      </c>
    </row>
    <row r="932" spans="1:11" ht="15.5" x14ac:dyDescent="0.35">
      <c r="A932" s="1" t="s">
        <v>1440</v>
      </c>
      <c r="B932" t="str">
        <f>VLOOKUP($A932, 'Customer Names'!A:D, 3, FALSE)</f>
        <v>Tu</v>
      </c>
      <c r="C932">
        <f>VLOOKUP($A932,'Medical Examinations'!A:C, 3, FALSE)</f>
        <v>34.479999999999997</v>
      </c>
      <c r="D932" t="str">
        <f>VLOOKUP($A932, 'Medical Examinations'!A:D, 4, FALSE)</f>
        <v>Prediabetes</v>
      </c>
      <c r="E932" t="str">
        <f>VLOOKUP($A932, 'Medical Examinations'!A:F, 6, FALSE)</f>
        <v>No</v>
      </c>
      <c r="F932" t="str">
        <f>VLOOKUP($A932, 'Medical Examinations'!A:G, 7, FALSE)</f>
        <v>No</v>
      </c>
      <c r="G932" t="str">
        <f>VLOOKUP($A932, 'Medical Examinations'!A:H, 8, FALSE)</f>
        <v>Yes</v>
      </c>
      <c r="H932">
        <f>VLOOKUP($A932, 'Medical Examinations'!A:J, 10, FALSE)</f>
        <v>1</v>
      </c>
      <c r="I932" t="str">
        <f>VLOOKUP($A932, 'Medical Examinations'!A:K, 11, FALSE)</f>
        <v>No</v>
      </c>
      <c r="J932" t="str">
        <f>VLOOKUP($A932, 'Medical Examinations'!A:B, 2, FALSE)</f>
        <v>Obesity</v>
      </c>
      <c r="K932" t="str">
        <f>VLOOKUP($A932, 'Medical Examinations'!A:D, 4, FALSE)</f>
        <v>Prediabetes</v>
      </c>
    </row>
    <row r="933" spans="1:11" ht="15.5" x14ac:dyDescent="0.35">
      <c r="A933" s="1" t="s">
        <v>1439</v>
      </c>
      <c r="B933" t="str">
        <f>VLOOKUP($A933, 'Customer Names'!A:D, 3, FALSE)</f>
        <v>Kaczka</v>
      </c>
      <c r="C933">
        <f>VLOOKUP($A933,'Medical Examinations'!A:C, 3, FALSE)</f>
        <v>34.39</v>
      </c>
      <c r="D933" t="str">
        <f>VLOOKUP($A933, 'Medical Examinations'!A:D, 4, FALSE)</f>
        <v>Prediabetes</v>
      </c>
      <c r="E933" t="str">
        <f>VLOOKUP($A933, 'Medical Examinations'!A:F, 6, FALSE)</f>
        <v>yes</v>
      </c>
      <c r="F933" t="str">
        <f>VLOOKUP($A933, 'Medical Examinations'!A:G, 7, FALSE)</f>
        <v>No</v>
      </c>
      <c r="G933" t="str">
        <f>VLOOKUP($A933, 'Medical Examinations'!A:H, 8, FALSE)</f>
        <v>No</v>
      </c>
      <c r="H933">
        <f>VLOOKUP($A933, 'Medical Examinations'!A:J, 10, FALSE)</f>
        <v>1</v>
      </c>
      <c r="I933" t="str">
        <f>VLOOKUP($A933, 'Medical Examinations'!A:K, 11, FALSE)</f>
        <v>No</v>
      </c>
      <c r="J933" t="str">
        <f>VLOOKUP($A933, 'Medical Examinations'!A:B, 2, FALSE)</f>
        <v>Obesity</v>
      </c>
      <c r="K933" t="str">
        <f>VLOOKUP($A933, 'Medical Examinations'!A:D, 4, FALSE)</f>
        <v>Prediabetes</v>
      </c>
    </row>
    <row r="934" spans="1:11" ht="15.5" x14ac:dyDescent="0.35">
      <c r="A934" s="1" t="s">
        <v>1438</v>
      </c>
      <c r="B934" t="str">
        <f>VLOOKUP($A934, 'Customer Names'!A:D, 3, FALSE)</f>
        <v>Hunter</v>
      </c>
      <c r="C934">
        <f>VLOOKUP($A934,'Medical Examinations'!A:C, 3, FALSE)</f>
        <v>26.4</v>
      </c>
      <c r="D934" t="str">
        <f>VLOOKUP($A934, 'Medical Examinations'!A:D, 4, FALSE)</f>
        <v>Diabetes</v>
      </c>
      <c r="E934" t="str">
        <f>VLOOKUP($A934, 'Medical Examinations'!A:F, 6, FALSE)</f>
        <v>yes</v>
      </c>
      <c r="F934" t="str">
        <f>VLOOKUP($A934, 'Medical Examinations'!A:G, 7, FALSE)</f>
        <v>No</v>
      </c>
      <c r="G934" t="str">
        <f>VLOOKUP($A934, 'Medical Examinations'!A:H, 8, FALSE)</f>
        <v>Yes</v>
      </c>
      <c r="H934">
        <f>VLOOKUP($A934, 'Medical Examinations'!A:J, 10, FALSE)</f>
        <v>1</v>
      </c>
      <c r="I934" t="str">
        <f>VLOOKUP($A934, 'Medical Examinations'!A:K, 11, FALSE)</f>
        <v>No</v>
      </c>
      <c r="J934" t="str">
        <f>VLOOKUP($A934, 'Medical Examinations'!A:B, 2, FALSE)</f>
        <v>Overweight</v>
      </c>
      <c r="K934" t="str">
        <f>VLOOKUP($A934, 'Medical Examinations'!A:D, 4, FALSE)</f>
        <v>Diabetes</v>
      </c>
    </row>
    <row r="935" spans="1:11" ht="15.5" x14ac:dyDescent="0.35">
      <c r="A935" s="1" t="s">
        <v>1437</v>
      </c>
      <c r="B935" t="str">
        <f>VLOOKUP($A935, 'Customer Names'!A:D, 3, FALSE)</f>
        <v>Moran</v>
      </c>
      <c r="C935">
        <f>VLOOKUP($A935,'Medical Examinations'!A:C, 3, FALSE)</f>
        <v>28.1</v>
      </c>
      <c r="D935" t="str">
        <f>VLOOKUP($A935, 'Medical Examinations'!A:D, 4, FALSE)</f>
        <v>Prediabetes</v>
      </c>
      <c r="E935" t="str">
        <f>VLOOKUP($A935, 'Medical Examinations'!A:F, 6, FALSE)</f>
        <v>yes</v>
      </c>
      <c r="F935" t="str">
        <f>VLOOKUP($A935, 'Medical Examinations'!A:G, 7, FALSE)</f>
        <v>No</v>
      </c>
      <c r="G935" t="str">
        <f>VLOOKUP($A935, 'Medical Examinations'!A:H, 8, FALSE)</f>
        <v>Yes</v>
      </c>
      <c r="H935">
        <f>VLOOKUP($A935, 'Medical Examinations'!A:J, 10, FALSE)</f>
        <v>1</v>
      </c>
      <c r="I935" t="str">
        <f>VLOOKUP($A935, 'Medical Examinations'!A:K, 11, FALSE)</f>
        <v>No</v>
      </c>
      <c r="J935" t="str">
        <f>VLOOKUP($A935, 'Medical Examinations'!A:B, 2, FALSE)</f>
        <v>Overweight</v>
      </c>
      <c r="K935" t="str">
        <f>VLOOKUP($A935, 'Medical Examinations'!A:D, 4, FALSE)</f>
        <v>Prediabetes</v>
      </c>
    </row>
    <row r="936" spans="1:11" ht="15.5" x14ac:dyDescent="0.35">
      <c r="A936" s="1" t="s">
        <v>1436</v>
      </c>
      <c r="B936" t="str">
        <f>VLOOKUP($A936, 'Customer Names'!A:D, 3, FALSE)</f>
        <v>Ashby</v>
      </c>
      <c r="C936">
        <f>VLOOKUP($A936,'Medical Examinations'!A:C, 3, FALSE)</f>
        <v>27</v>
      </c>
      <c r="D936" t="str">
        <f>VLOOKUP($A936, 'Medical Examinations'!A:D, 4, FALSE)</f>
        <v>Normal</v>
      </c>
      <c r="E936" t="str">
        <f>VLOOKUP($A936, 'Medical Examinations'!A:F, 6, FALSE)</f>
        <v>yes</v>
      </c>
      <c r="F936" t="str">
        <f>VLOOKUP($A936, 'Medical Examinations'!A:G, 7, FALSE)</f>
        <v>No</v>
      </c>
      <c r="G936" t="str">
        <f>VLOOKUP($A936, 'Medical Examinations'!A:H, 8, FALSE)</f>
        <v>No</v>
      </c>
      <c r="H936">
        <f>VLOOKUP($A936, 'Medical Examinations'!A:J, 10, FALSE)</f>
        <v>1</v>
      </c>
      <c r="I936" t="str">
        <f>VLOOKUP($A936, 'Medical Examinations'!A:K, 11, FALSE)</f>
        <v>No</v>
      </c>
      <c r="J936" t="str">
        <f>VLOOKUP($A936, 'Medical Examinations'!A:B, 2, FALSE)</f>
        <v>Overweight</v>
      </c>
      <c r="K936" t="str">
        <f>VLOOKUP($A936, 'Medical Examinations'!A:D, 4, FALSE)</f>
        <v>Normal</v>
      </c>
    </row>
    <row r="937" spans="1:11" ht="15.5" x14ac:dyDescent="0.35">
      <c r="A937" s="1" t="s">
        <v>1435</v>
      </c>
      <c r="B937" t="str">
        <f>VLOOKUP($A937, 'Customer Names'!A:D, 3, FALSE)</f>
        <v>Ausen</v>
      </c>
      <c r="C937">
        <f>VLOOKUP($A937,'Medical Examinations'!A:C, 3, FALSE)</f>
        <v>28.594999999999999</v>
      </c>
      <c r="D937" t="str">
        <f>VLOOKUP($A937, 'Medical Examinations'!A:D, 4, FALSE)</f>
        <v>Normal</v>
      </c>
      <c r="E937" t="str">
        <f>VLOOKUP($A937, 'Medical Examinations'!A:F, 6, FALSE)</f>
        <v>yes</v>
      </c>
      <c r="F937" t="str">
        <f>VLOOKUP($A937, 'Medical Examinations'!A:G, 7, FALSE)</f>
        <v>No</v>
      </c>
      <c r="G937" t="str">
        <f>VLOOKUP($A937, 'Medical Examinations'!A:H, 8, FALSE)</f>
        <v>No</v>
      </c>
      <c r="H937">
        <f>VLOOKUP($A937, 'Medical Examinations'!A:J, 10, FALSE)</f>
        <v>1</v>
      </c>
      <c r="I937" t="str">
        <f>VLOOKUP($A937, 'Medical Examinations'!A:K, 11, FALSE)</f>
        <v>No</v>
      </c>
      <c r="J937" t="str">
        <f>VLOOKUP($A937, 'Medical Examinations'!A:B, 2, FALSE)</f>
        <v>Overweight</v>
      </c>
      <c r="K937" t="str">
        <f>VLOOKUP($A937, 'Medical Examinations'!A:D, 4, FALSE)</f>
        <v>Normal</v>
      </c>
    </row>
    <row r="938" spans="1:11" ht="15.5" x14ac:dyDescent="0.35">
      <c r="A938" s="1" t="s">
        <v>1434</v>
      </c>
      <c r="B938" t="str">
        <f>VLOOKUP($A938, 'Customer Names'!A:D, 3, FALSE)</f>
        <v>Savage</v>
      </c>
      <c r="C938">
        <f>VLOOKUP($A938,'Medical Examinations'!A:C, 3, FALSE)</f>
        <v>36.799999999999997</v>
      </c>
      <c r="D938" t="str">
        <f>VLOOKUP($A938, 'Medical Examinations'!A:D, 4, FALSE)</f>
        <v>Prediabetes</v>
      </c>
      <c r="E938" t="str">
        <f>VLOOKUP($A938, 'Medical Examinations'!A:F, 6, FALSE)</f>
        <v>No</v>
      </c>
      <c r="F938" t="str">
        <f>VLOOKUP($A938, 'Medical Examinations'!A:G, 7, FALSE)</f>
        <v>No</v>
      </c>
      <c r="G938" t="str">
        <f>VLOOKUP($A938, 'Medical Examinations'!A:H, 8, FALSE)</f>
        <v>No</v>
      </c>
      <c r="H938">
        <f>VLOOKUP($A938, 'Medical Examinations'!A:J, 10, FALSE)</f>
        <v>1</v>
      </c>
      <c r="I938" t="str">
        <f>VLOOKUP($A938, 'Medical Examinations'!A:K, 11, FALSE)</f>
        <v>No</v>
      </c>
      <c r="J938" t="str">
        <f>VLOOKUP($A938, 'Medical Examinations'!A:B, 2, FALSE)</f>
        <v>Obesity</v>
      </c>
      <c r="K938" t="str">
        <f>VLOOKUP($A938, 'Medical Examinations'!A:D, 4, FALSE)</f>
        <v>Prediabetes</v>
      </c>
    </row>
    <row r="939" spans="1:11" ht="15.5" x14ac:dyDescent="0.35">
      <c r="A939" s="1" t="s">
        <v>1433</v>
      </c>
      <c r="B939" t="str">
        <f>VLOOKUP($A939, 'Customer Names'!A:D, 3, FALSE)</f>
        <v>O'Leary</v>
      </c>
      <c r="C939">
        <f>VLOOKUP($A939,'Medical Examinations'!A:C, 3, FALSE)</f>
        <v>23.75</v>
      </c>
      <c r="D939" t="str">
        <f>VLOOKUP($A939, 'Medical Examinations'!A:D, 4, FALSE)</f>
        <v>Normal</v>
      </c>
      <c r="E939" t="str">
        <f>VLOOKUP($A939, 'Medical Examinations'!A:F, 6, FALSE)</f>
        <v>yes</v>
      </c>
      <c r="F939" t="str">
        <f>VLOOKUP($A939, 'Medical Examinations'!A:G, 7, FALSE)</f>
        <v>No</v>
      </c>
      <c r="G939" t="str">
        <f>VLOOKUP($A939, 'Medical Examinations'!A:H, 8, FALSE)</f>
        <v>Yes</v>
      </c>
      <c r="H939">
        <f>VLOOKUP($A939, 'Medical Examinations'!A:J, 10, FALSE)</f>
        <v>1</v>
      </c>
      <c r="I939" t="str">
        <f>VLOOKUP($A939, 'Medical Examinations'!A:K, 11, FALSE)</f>
        <v>No</v>
      </c>
      <c r="J939" t="str">
        <f>VLOOKUP($A939, 'Medical Examinations'!A:B, 2, FALSE)</f>
        <v>Normal Weight</v>
      </c>
      <c r="K939" t="str">
        <f>VLOOKUP($A939, 'Medical Examinations'!A:D, 4, FALSE)</f>
        <v>Normal</v>
      </c>
    </row>
    <row r="940" spans="1:11" ht="15.5" x14ac:dyDescent="0.35">
      <c r="A940" s="1" t="s">
        <v>1432</v>
      </c>
      <c r="B940" t="str">
        <f>VLOOKUP($A940, 'Customer Names'!A:D, 3, FALSE)</f>
        <v>Scoville</v>
      </c>
      <c r="C940">
        <f>VLOOKUP($A940,'Medical Examinations'!A:C, 3, FALSE)</f>
        <v>35.619999999999997</v>
      </c>
      <c r="D940" t="str">
        <f>VLOOKUP($A940, 'Medical Examinations'!A:D, 4, FALSE)</f>
        <v>Normal</v>
      </c>
      <c r="E940" t="str">
        <f>VLOOKUP($A940, 'Medical Examinations'!A:F, 6, FALSE)</f>
        <v>No</v>
      </c>
      <c r="F940" t="str">
        <f>VLOOKUP($A940, 'Medical Examinations'!A:G, 7, FALSE)</f>
        <v>No</v>
      </c>
      <c r="G940" t="str">
        <f>VLOOKUP($A940, 'Medical Examinations'!A:H, 8, FALSE)</f>
        <v>No</v>
      </c>
      <c r="H940" t="str">
        <f>VLOOKUP($A940, 'Medical Examinations'!A:J, 10, FALSE)</f>
        <v>No major surgery</v>
      </c>
      <c r="I940" t="str">
        <f>VLOOKUP($A940, 'Medical Examinations'!A:K, 11, FALSE)</f>
        <v>No</v>
      </c>
      <c r="J940" t="str">
        <f>VLOOKUP($A940, 'Medical Examinations'!A:B, 2, FALSE)</f>
        <v>Obesity</v>
      </c>
      <c r="K940" t="str">
        <f>VLOOKUP($A940, 'Medical Examinations'!A:D, 4, FALSE)</f>
        <v>Normal</v>
      </c>
    </row>
    <row r="941" spans="1:11" ht="15.5" x14ac:dyDescent="0.35">
      <c r="A941" s="1" t="s">
        <v>1431</v>
      </c>
      <c r="B941" t="str">
        <f>VLOOKUP($A941, 'Customer Names'!A:D, 3, FALSE)</f>
        <v>Kaus</v>
      </c>
      <c r="C941">
        <f>VLOOKUP($A941,'Medical Examinations'!A:C, 3, FALSE)</f>
        <v>30.69</v>
      </c>
      <c r="D941" t="str">
        <f>VLOOKUP($A941, 'Medical Examinations'!A:D, 4, FALSE)</f>
        <v>Diabetes</v>
      </c>
      <c r="E941" t="str">
        <f>VLOOKUP($A941, 'Medical Examinations'!A:F, 6, FALSE)</f>
        <v>yes</v>
      </c>
      <c r="F941" t="str">
        <f>VLOOKUP($A941, 'Medical Examinations'!A:G, 7, FALSE)</f>
        <v>No</v>
      </c>
      <c r="G941" t="str">
        <f>VLOOKUP($A941, 'Medical Examinations'!A:H, 8, FALSE)</f>
        <v>No</v>
      </c>
      <c r="H941">
        <f>VLOOKUP($A941, 'Medical Examinations'!A:J, 10, FALSE)</f>
        <v>2</v>
      </c>
      <c r="I941" t="str">
        <f>VLOOKUP($A941, 'Medical Examinations'!A:K, 11, FALSE)</f>
        <v>No</v>
      </c>
      <c r="J941" t="str">
        <f>VLOOKUP($A941, 'Medical Examinations'!A:B, 2, FALSE)</f>
        <v>Obesity</v>
      </c>
      <c r="K941" t="str">
        <f>VLOOKUP($A941, 'Medical Examinations'!A:D, 4, FALSE)</f>
        <v>Diabetes</v>
      </c>
    </row>
    <row r="942" spans="1:11" ht="15.5" x14ac:dyDescent="0.35">
      <c r="A942" s="1" t="s">
        <v>1430</v>
      </c>
      <c r="B942" t="str">
        <f>VLOOKUP($A942, 'Customer Names'!A:D, 3, FALSE)</f>
        <v>Rainey</v>
      </c>
      <c r="C942">
        <f>VLOOKUP($A942,'Medical Examinations'!A:C, 3, FALSE)</f>
        <v>35.799999999999997</v>
      </c>
      <c r="D942" t="str">
        <f>VLOOKUP($A942, 'Medical Examinations'!A:D, 4, FALSE)</f>
        <v>Normal</v>
      </c>
      <c r="E942" t="str">
        <f>VLOOKUP($A942, 'Medical Examinations'!A:F, 6, FALSE)</f>
        <v>yes</v>
      </c>
      <c r="F942" t="str">
        <f>VLOOKUP($A942, 'Medical Examinations'!A:G, 7, FALSE)</f>
        <v>No</v>
      </c>
      <c r="G942" t="str">
        <f>VLOOKUP($A942, 'Medical Examinations'!A:H, 8, FALSE)</f>
        <v>No</v>
      </c>
      <c r="H942">
        <f>VLOOKUP($A942, 'Medical Examinations'!A:J, 10, FALSE)</f>
        <v>2</v>
      </c>
      <c r="I942" t="str">
        <f>VLOOKUP($A942, 'Medical Examinations'!A:K, 11, FALSE)</f>
        <v>No</v>
      </c>
      <c r="J942" t="str">
        <f>VLOOKUP($A942, 'Medical Examinations'!A:B, 2, FALSE)</f>
        <v>Obesity</v>
      </c>
      <c r="K942" t="str">
        <f>VLOOKUP($A942, 'Medical Examinations'!A:D, 4, FALSE)</f>
        <v>Normal</v>
      </c>
    </row>
    <row r="943" spans="1:11" ht="15.5" x14ac:dyDescent="0.35">
      <c r="A943" s="1" t="s">
        <v>1429</v>
      </c>
      <c r="B943" t="str">
        <f>VLOOKUP($A943, 'Customer Names'!A:D, 3, FALSE)</f>
        <v>Rasch</v>
      </c>
      <c r="C943">
        <f>VLOOKUP($A943,'Medical Examinations'!A:C, 3, FALSE)</f>
        <v>28.785</v>
      </c>
      <c r="D943" t="str">
        <f>VLOOKUP($A943, 'Medical Examinations'!A:D, 4, FALSE)</f>
        <v>Normal</v>
      </c>
      <c r="E943" t="str">
        <f>VLOOKUP($A943, 'Medical Examinations'!A:F, 6, FALSE)</f>
        <v>yes</v>
      </c>
      <c r="F943" t="str">
        <f>VLOOKUP($A943, 'Medical Examinations'!A:G, 7, FALSE)</f>
        <v>No</v>
      </c>
      <c r="G943" t="str">
        <f>VLOOKUP($A943, 'Medical Examinations'!A:H, 8, FALSE)</f>
        <v>No</v>
      </c>
      <c r="H943">
        <f>VLOOKUP($A943, 'Medical Examinations'!A:J, 10, FALSE)</f>
        <v>2</v>
      </c>
      <c r="I943" t="str">
        <f>VLOOKUP($A943, 'Medical Examinations'!A:K, 11, FALSE)</f>
        <v>No</v>
      </c>
      <c r="J943" t="str">
        <f>VLOOKUP($A943, 'Medical Examinations'!A:B, 2, FALSE)</f>
        <v>Overweight</v>
      </c>
      <c r="K943" t="str">
        <f>VLOOKUP($A943, 'Medical Examinations'!A:D, 4, FALSE)</f>
        <v>Normal</v>
      </c>
    </row>
    <row r="944" spans="1:11" ht="15.5" x14ac:dyDescent="0.35">
      <c r="A944" s="1" t="s">
        <v>1428</v>
      </c>
      <c r="B944" t="str">
        <f>VLOOKUP($A944, 'Customer Names'!A:D, 3, FALSE)</f>
        <v>Plunkett</v>
      </c>
      <c r="C944">
        <f>VLOOKUP($A944,'Medical Examinations'!A:C, 3, FALSE)</f>
        <v>28.594999999999999</v>
      </c>
      <c r="D944" t="str">
        <f>VLOOKUP($A944, 'Medical Examinations'!A:D, 4, FALSE)</f>
        <v>Normal</v>
      </c>
      <c r="E944" t="str">
        <f>VLOOKUP($A944, 'Medical Examinations'!A:F, 6, FALSE)</f>
        <v>yes</v>
      </c>
      <c r="F944" t="str">
        <f>VLOOKUP($A944, 'Medical Examinations'!A:G, 7, FALSE)</f>
        <v>No</v>
      </c>
      <c r="G944" t="str">
        <f>VLOOKUP($A944, 'Medical Examinations'!A:H, 8, FALSE)</f>
        <v>No</v>
      </c>
      <c r="H944">
        <f>VLOOKUP($A944, 'Medical Examinations'!A:J, 10, FALSE)</f>
        <v>2</v>
      </c>
      <c r="I944" t="str">
        <f>VLOOKUP($A944, 'Medical Examinations'!A:K, 11, FALSE)</f>
        <v>No</v>
      </c>
      <c r="J944" t="str">
        <f>VLOOKUP($A944, 'Medical Examinations'!A:B, 2, FALSE)</f>
        <v>Overweight</v>
      </c>
      <c r="K944" t="str">
        <f>VLOOKUP($A944, 'Medical Examinations'!A:D, 4, FALSE)</f>
        <v>Normal</v>
      </c>
    </row>
    <row r="945" spans="1:11" ht="15.5" x14ac:dyDescent="0.35">
      <c r="A945" s="1" t="s">
        <v>1427</v>
      </c>
      <c r="B945" t="str">
        <f>VLOOKUP($A945, 'Customer Names'!A:D, 3, FALSE)</f>
        <v>Murphy</v>
      </c>
      <c r="C945">
        <f>VLOOKUP($A945,'Medical Examinations'!A:C, 3, FALSE)</f>
        <v>48.75</v>
      </c>
      <c r="D945" t="str">
        <f>VLOOKUP($A945, 'Medical Examinations'!A:D, 4, FALSE)</f>
        <v>Normal</v>
      </c>
      <c r="E945" t="str">
        <f>VLOOKUP($A945, 'Medical Examinations'!A:F, 6, FALSE)</f>
        <v>No</v>
      </c>
      <c r="F945" t="str">
        <f>VLOOKUP($A945, 'Medical Examinations'!A:G, 7, FALSE)</f>
        <v>No</v>
      </c>
      <c r="G945" t="str">
        <f>VLOOKUP($A945, 'Medical Examinations'!A:H, 8, FALSE)</f>
        <v>No</v>
      </c>
      <c r="H945" t="str">
        <f>VLOOKUP($A945, 'Medical Examinations'!A:J, 10, FALSE)</f>
        <v>No major surgery</v>
      </c>
      <c r="I945" t="str">
        <f>VLOOKUP($A945, 'Medical Examinations'!A:K, 11, FALSE)</f>
        <v>No</v>
      </c>
      <c r="J945" t="str">
        <f>VLOOKUP($A945, 'Medical Examinations'!A:B, 2, FALSE)</f>
        <v>Obesity</v>
      </c>
      <c r="K945" t="str">
        <f>VLOOKUP($A945, 'Medical Examinations'!A:D, 4, FALSE)</f>
        <v>Normal</v>
      </c>
    </row>
    <row r="946" spans="1:11" ht="15.5" x14ac:dyDescent="0.35">
      <c r="A946" s="1" t="s">
        <v>1426</v>
      </c>
      <c r="B946" t="str">
        <f>VLOOKUP($A946, 'Customer Names'!A:D, 3, FALSE)</f>
        <v>Gusmer</v>
      </c>
      <c r="C946">
        <f>VLOOKUP($A946,'Medical Examinations'!A:C, 3, FALSE)</f>
        <v>28.31</v>
      </c>
      <c r="D946" t="str">
        <f>VLOOKUP($A946, 'Medical Examinations'!A:D, 4, FALSE)</f>
        <v>Normal</v>
      </c>
      <c r="E946" t="str">
        <f>VLOOKUP($A946, 'Medical Examinations'!A:F, 6, FALSE)</f>
        <v>yes</v>
      </c>
      <c r="F946" t="str">
        <f>VLOOKUP($A946, 'Medical Examinations'!A:G, 7, FALSE)</f>
        <v>No</v>
      </c>
      <c r="G946" t="str">
        <f>VLOOKUP($A946, 'Medical Examinations'!A:H, 8, FALSE)</f>
        <v>No</v>
      </c>
      <c r="H946">
        <f>VLOOKUP($A946, 'Medical Examinations'!A:J, 10, FALSE)</f>
        <v>2</v>
      </c>
      <c r="I946" t="str">
        <f>VLOOKUP($A946, 'Medical Examinations'!A:K, 11, FALSE)</f>
        <v>No</v>
      </c>
      <c r="J946" t="str">
        <f>VLOOKUP($A946, 'Medical Examinations'!A:B, 2, FALSE)</f>
        <v>Overweight</v>
      </c>
      <c r="K946" t="str">
        <f>VLOOKUP($A946, 'Medical Examinations'!A:D, 4, FALSE)</f>
        <v>Normal</v>
      </c>
    </row>
    <row r="947" spans="1:11" ht="15.5" x14ac:dyDescent="0.35">
      <c r="A947" s="1" t="s">
        <v>1425</v>
      </c>
      <c r="B947" t="str">
        <f>VLOOKUP($A947, 'Customer Names'!A:D, 3, FALSE)</f>
        <v>Loftus</v>
      </c>
      <c r="C947">
        <f>VLOOKUP($A947,'Medical Examinations'!A:C, 3, FALSE)</f>
        <v>38.39</v>
      </c>
      <c r="D947" t="str">
        <f>VLOOKUP($A947, 'Medical Examinations'!A:D, 4, FALSE)</f>
        <v>Diabetes</v>
      </c>
      <c r="E947" t="str">
        <f>VLOOKUP($A947, 'Medical Examinations'!A:F, 6, FALSE)</f>
        <v>yes</v>
      </c>
      <c r="F947" t="str">
        <f>VLOOKUP($A947, 'Medical Examinations'!A:G, 7, FALSE)</f>
        <v>No</v>
      </c>
      <c r="G947" t="str">
        <f>VLOOKUP($A947, 'Medical Examinations'!A:H, 8, FALSE)</f>
        <v>No</v>
      </c>
      <c r="H947">
        <f>VLOOKUP($A947, 'Medical Examinations'!A:J, 10, FALSE)</f>
        <v>1</v>
      </c>
      <c r="I947" t="str">
        <f>VLOOKUP($A947, 'Medical Examinations'!A:K, 11, FALSE)</f>
        <v>No</v>
      </c>
      <c r="J947" t="str">
        <f>VLOOKUP($A947, 'Medical Examinations'!A:B, 2, FALSE)</f>
        <v>Obesity</v>
      </c>
      <c r="K947" t="str">
        <f>VLOOKUP($A947, 'Medical Examinations'!A:D, 4, FALSE)</f>
        <v>Diabetes</v>
      </c>
    </row>
    <row r="948" spans="1:11" ht="15.5" x14ac:dyDescent="0.35">
      <c r="A948" s="1" t="s">
        <v>1424</v>
      </c>
      <c r="B948" t="str">
        <f>VLOOKUP($A948, 'Customer Names'!A:D, 3, FALSE)</f>
        <v>Scott</v>
      </c>
      <c r="C948">
        <f>VLOOKUP($A948,'Medical Examinations'!A:C, 3, FALSE)</f>
        <v>25.87</v>
      </c>
      <c r="D948" t="str">
        <f>VLOOKUP($A948, 'Medical Examinations'!A:D, 4, FALSE)</f>
        <v>Normal</v>
      </c>
      <c r="E948" t="str">
        <f>VLOOKUP($A948, 'Medical Examinations'!A:F, 6, FALSE)</f>
        <v>yes</v>
      </c>
      <c r="F948" t="str">
        <f>VLOOKUP($A948, 'Medical Examinations'!A:G, 7, FALSE)</f>
        <v>No</v>
      </c>
      <c r="G948" t="str">
        <f>VLOOKUP($A948, 'Medical Examinations'!A:H, 8, FALSE)</f>
        <v>No</v>
      </c>
      <c r="H948">
        <f>VLOOKUP($A948, 'Medical Examinations'!A:J, 10, FALSE)</f>
        <v>1</v>
      </c>
      <c r="I948" t="str">
        <f>VLOOKUP($A948, 'Medical Examinations'!A:K, 11, FALSE)</f>
        <v>No</v>
      </c>
      <c r="J948" t="str">
        <f>VLOOKUP($A948, 'Medical Examinations'!A:B, 2, FALSE)</f>
        <v>Overweight</v>
      </c>
      <c r="K948" t="str">
        <f>VLOOKUP($A948, 'Medical Examinations'!A:D, 4, FALSE)</f>
        <v>Normal</v>
      </c>
    </row>
    <row r="949" spans="1:11" ht="15.5" x14ac:dyDescent="0.35">
      <c r="A949" s="1" t="s">
        <v>1423</v>
      </c>
      <c r="B949" t="str">
        <f>VLOOKUP($A949, 'Customer Names'!A:D, 3, FALSE)</f>
        <v>Alvarez</v>
      </c>
      <c r="C949">
        <f>VLOOKUP($A949,'Medical Examinations'!A:C, 3, FALSE)</f>
        <v>43.7</v>
      </c>
      <c r="D949" t="str">
        <f>VLOOKUP($A949, 'Medical Examinations'!A:D, 4, FALSE)</f>
        <v>Diabetes</v>
      </c>
      <c r="E949" t="str">
        <f>VLOOKUP($A949, 'Medical Examinations'!A:F, 6, FALSE)</f>
        <v>No</v>
      </c>
      <c r="F949" t="str">
        <f>VLOOKUP($A949, 'Medical Examinations'!A:G, 7, FALSE)</f>
        <v>No</v>
      </c>
      <c r="G949" t="str">
        <f>VLOOKUP($A949, 'Medical Examinations'!A:H, 8, FALSE)</f>
        <v>No</v>
      </c>
      <c r="H949" t="str">
        <f>VLOOKUP($A949, 'Medical Examinations'!A:J, 10, FALSE)</f>
        <v>No major surgery</v>
      </c>
      <c r="I949" t="str">
        <f>VLOOKUP($A949, 'Medical Examinations'!A:K, 11, FALSE)</f>
        <v>No</v>
      </c>
      <c r="J949" t="str">
        <f>VLOOKUP($A949, 'Medical Examinations'!A:B, 2, FALSE)</f>
        <v>Obesity</v>
      </c>
      <c r="K949" t="str">
        <f>VLOOKUP($A949, 'Medical Examinations'!A:D, 4, FALSE)</f>
        <v>Diabetes</v>
      </c>
    </row>
    <row r="950" spans="1:11" ht="15.5" x14ac:dyDescent="0.35">
      <c r="A950" s="1" t="s">
        <v>1422</v>
      </c>
      <c r="B950" t="str">
        <f>VLOOKUP($A950, 'Customer Names'!A:D, 3, FALSE)</f>
        <v>Petersson</v>
      </c>
      <c r="C950">
        <f>VLOOKUP($A950,'Medical Examinations'!A:C, 3, FALSE)</f>
        <v>40.945</v>
      </c>
      <c r="D950" t="str">
        <f>VLOOKUP($A950, 'Medical Examinations'!A:D, 4, FALSE)</f>
        <v>Diabetes</v>
      </c>
      <c r="E950" t="str">
        <f>VLOOKUP($A950, 'Medical Examinations'!A:F, 6, FALSE)</f>
        <v>No</v>
      </c>
      <c r="F950" t="str">
        <f>VLOOKUP($A950, 'Medical Examinations'!A:G, 7, FALSE)</f>
        <v>No</v>
      </c>
      <c r="G950" t="str">
        <f>VLOOKUP($A950, 'Medical Examinations'!A:H, 8, FALSE)</f>
        <v>No</v>
      </c>
      <c r="H950" t="str">
        <f>VLOOKUP($A950, 'Medical Examinations'!A:J, 10, FALSE)</f>
        <v>No major surgery</v>
      </c>
      <c r="I950" t="str">
        <f>VLOOKUP($A950, 'Medical Examinations'!A:K, 11, FALSE)</f>
        <v>No</v>
      </c>
      <c r="J950" t="str">
        <f>VLOOKUP($A950, 'Medical Examinations'!A:B, 2, FALSE)</f>
        <v>Obesity</v>
      </c>
      <c r="K950" t="str">
        <f>VLOOKUP($A950, 'Medical Examinations'!A:D, 4, FALSE)</f>
        <v>Diabetes</v>
      </c>
    </row>
    <row r="951" spans="1:11" ht="15.5" x14ac:dyDescent="0.35">
      <c r="A951" s="1" t="s">
        <v>1421</v>
      </c>
      <c r="B951" t="str">
        <f>VLOOKUP($A951, 'Customer Names'!A:D, 3, FALSE)</f>
        <v>Liaw</v>
      </c>
      <c r="C951">
        <f>VLOOKUP($A951,'Medical Examinations'!A:C, 3, FALSE)</f>
        <v>27.94</v>
      </c>
      <c r="D951" t="str">
        <f>VLOOKUP($A951, 'Medical Examinations'!A:D, 4, FALSE)</f>
        <v>Diabetes</v>
      </c>
      <c r="E951" t="str">
        <f>VLOOKUP($A951, 'Medical Examinations'!A:F, 6, FALSE)</f>
        <v>No</v>
      </c>
      <c r="F951" t="str">
        <f>VLOOKUP($A951, 'Medical Examinations'!A:G, 7, FALSE)</f>
        <v>No</v>
      </c>
      <c r="G951" t="str">
        <f>VLOOKUP($A951, 'Medical Examinations'!A:H, 8, FALSE)</f>
        <v>No</v>
      </c>
      <c r="H951" t="str">
        <f>VLOOKUP($A951, 'Medical Examinations'!A:J, 10, FALSE)</f>
        <v>No major surgery</v>
      </c>
      <c r="I951" t="str">
        <f>VLOOKUP($A951, 'Medical Examinations'!A:K, 11, FALSE)</f>
        <v>No</v>
      </c>
      <c r="J951" t="str">
        <f>VLOOKUP($A951, 'Medical Examinations'!A:B, 2, FALSE)</f>
        <v>Overweight</v>
      </c>
      <c r="K951" t="str">
        <f>VLOOKUP($A951, 'Medical Examinations'!A:D, 4, FALSE)</f>
        <v>Diabetes</v>
      </c>
    </row>
    <row r="952" spans="1:11" ht="15.5" x14ac:dyDescent="0.35">
      <c r="A952" s="1" t="s">
        <v>1420</v>
      </c>
      <c r="B952" t="str">
        <f>VLOOKUP($A952, 'Customer Names'!A:D, 3, FALSE)</f>
        <v>Tripaldi</v>
      </c>
      <c r="C952">
        <f>VLOOKUP($A952,'Medical Examinations'!A:C, 3, FALSE)</f>
        <v>31.9</v>
      </c>
      <c r="D952" t="str">
        <f>VLOOKUP($A952, 'Medical Examinations'!A:D, 4, FALSE)</f>
        <v>Diabetes</v>
      </c>
      <c r="E952" t="str">
        <f>VLOOKUP($A952, 'Medical Examinations'!A:F, 6, FALSE)</f>
        <v>No</v>
      </c>
      <c r="F952" t="str">
        <f>VLOOKUP($A952, 'Medical Examinations'!A:G, 7, FALSE)</f>
        <v>No</v>
      </c>
      <c r="G952" t="str">
        <f>VLOOKUP($A952, 'Medical Examinations'!A:H, 8, FALSE)</f>
        <v>No</v>
      </c>
      <c r="H952">
        <f>VLOOKUP($A952, 'Medical Examinations'!A:J, 10, FALSE)</f>
        <v>2</v>
      </c>
      <c r="I952" t="str">
        <f>VLOOKUP($A952, 'Medical Examinations'!A:K, 11, FALSE)</f>
        <v>No</v>
      </c>
      <c r="J952" t="str">
        <f>VLOOKUP($A952, 'Medical Examinations'!A:B, 2, FALSE)</f>
        <v>Obesity</v>
      </c>
      <c r="K952" t="str">
        <f>VLOOKUP($A952, 'Medical Examinations'!A:D, 4, FALSE)</f>
        <v>Diabetes</v>
      </c>
    </row>
    <row r="953" spans="1:11" ht="15.5" x14ac:dyDescent="0.35">
      <c r="A953" s="1" t="s">
        <v>1419</v>
      </c>
      <c r="B953" t="str">
        <f>VLOOKUP($A953, 'Customer Names'!A:D, 3, FALSE)</f>
        <v>Kelley</v>
      </c>
      <c r="C953">
        <f>VLOOKUP($A953,'Medical Examinations'!A:C, 3, FALSE)</f>
        <v>31.64</v>
      </c>
      <c r="D953" t="str">
        <f>VLOOKUP($A953, 'Medical Examinations'!A:D, 4, FALSE)</f>
        <v>Diabetes</v>
      </c>
      <c r="E953" t="str">
        <f>VLOOKUP($A953, 'Medical Examinations'!A:F, 6, FALSE)</f>
        <v>No</v>
      </c>
      <c r="F953" t="str">
        <f>VLOOKUP($A953, 'Medical Examinations'!A:G, 7, FALSE)</f>
        <v>No</v>
      </c>
      <c r="G953" t="str">
        <f>VLOOKUP($A953, 'Medical Examinations'!A:H, 8, FALSE)</f>
        <v>No</v>
      </c>
      <c r="H953" t="str">
        <f>VLOOKUP($A953, 'Medical Examinations'!A:J, 10, FALSE)</f>
        <v>No major surgery</v>
      </c>
      <c r="I953" t="str">
        <f>VLOOKUP($A953, 'Medical Examinations'!A:K, 11, FALSE)</f>
        <v>No</v>
      </c>
      <c r="J953" t="str">
        <f>VLOOKUP($A953, 'Medical Examinations'!A:B, 2, FALSE)</f>
        <v>Obesity</v>
      </c>
      <c r="K953" t="str">
        <f>VLOOKUP($A953, 'Medical Examinations'!A:D, 4, FALSE)</f>
        <v>Diabetes</v>
      </c>
    </row>
    <row r="954" spans="1:11" ht="15.5" x14ac:dyDescent="0.35">
      <c r="A954" s="1" t="s">
        <v>1418</v>
      </c>
      <c r="B954" t="str">
        <f>VLOOKUP($A954, 'Customer Names'!A:D, 3, FALSE)</f>
        <v>Endara</v>
      </c>
      <c r="C954">
        <f>VLOOKUP($A954,'Medical Examinations'!A:C, 3, FALSE)</f>
        <v>46.7</v>
      </c>
      <c r="D954" t="str">
        <f>VLOOKUP($A954, 'Medical Examinations'!A:D, 4, FALSE)</f>
        <v>Diabetes</v>
      </c>
      <c r="E954" t="str">
        <f>VLOOKUP($A954, 'Medical Examinations'!A:F, 6, FALSE)</f>
        <v>No</v>
      </c>
      <c r="F954" t="str">
        <f>VLOOKUP($A954, 'Medical Examinations'!A:G, 7, FALSE)</f>
        <v>No</v>
      </c>
      <c r="G954" t="str">
        <f>VLOOKUP($A954, 'Medical Examinations'!A:H, 8, FALSE)</f>
        <v>No</v>
      </c>
      <c r="H954" t="str">
        <f>VLOOKUP($A954, 'Medical Examinations'!A:J, 10, FALSE)</f>
        <v>No major surgery</v>
      </c>
      <c r="I954" t="str">
        <f>VLOOKUP($A954, 'Medical Examinations'!A:K, 11, FALSE)</f>
        <v>No</v>
      </c>
      <c r="J954" t="str">
        <f>VLOOKUP($A954, 'Medical Examinations'!A:B, 2, FALSE)</f>
        <v>Obesity</v>
      </c>
      <c r="K954" t="str">
        <f>VLOOKUP($A954, 'Medical Examinations'!A:D, 4, FALSE)</f>
        <v>Diabetes</v>
      </c>
    </row>
    <row r="955" spans="1:11" ht="15.5" x14ac:dyDescent="0.35">
      <c r="A955" s="1" t="s">
        <v>1417</v>
      </c>
      <c r="B955" t="str">
        <f>VLOOKUP($A955, 'Customer Names'!A:D, 3, FALSE)</f>
        <v>Valle</v>
      </c>
      <c r="C955">
        <f>VLOOKUP($A955,'Medical Examinations'!A:C, 3, FALSE)</f>
        <v>18.335000000000001</v>
      </c>
      <c r="D955" t="str">
        <f>VLOOKUP($A955, 'Medical Examinations'!A:D, 4, FALSE)</f>
        <v>Diabetes</v>
      </c>
      <c r="E955" t="str">
        <f>VLOOKUP($A955, 'Medical Examinations'!A:F, 6, FALSE)</f>
        <v>No</v>
      </c>
      <c r="F955" t="str">
        <f>VLOOKUP($A955, 'Medical Examinations'!A:G, 7, FALSE)</f>
        <v>No</v>
      </c>
      <c r="G955" t="str">
        <f>VLOOKUP($A955, 'Medical Examinations'!A:H, 8, FALSE)</f>
        <v>No</v>
      </c>
      <c r="H955" t="str">
        <f>VLOOKUP($A955, 'Medical Examinations'!A:J, 10, FALSE)</f>
        <v>No major surgery</v>
      </c>
      <c r="I955" t="str">
        <f>VLOOKUP($A955, 'Medical Examinations'!A:K, 11, FALSE)</f>
        <v>No</v>
      </c>
      <c r="J955" t="str">
        <f>VLOOKUP($A955, 'Medical Examinations'!A:B, 2, FALSE)</f>
        <v>Underweight</v>
      </c>
      <c r="K955" t="str">
        <f>VLOOKUP($A955, 'Medical Examinations'!A:D, 4, FALSE)</f>
        <v>Diabetes</v>
      </c>
    </row>
    <row r="956" spans="1:11" ht="15.5" x14ac:dyDescent="0.35">
      <c r="A956" s="1" t="s">
        <v>1416</v>
      </c>
      <c r="B956" t="str">
        <f>VLOOKUP($A956, 'Customer Names'!A:D, 3, FALSE)</f>
        <v>Germain</v>
      </c>
      <c r="C956">
        <f>VLOOKUP($A956,'Medical Examinations'!A:C, 3, FALSE)</f>
        <v>31.24</v>
      </c>
      <c r="D956" t="str">
        <f>VLOOKUP($A956, 'Medical Examinations'!A:D, 4, FALSE)</f>
        <v>Diabetes</v>
      </c>
      <c r="E956" t="str">
        <f>VLOOKUP($A956, 'Medical Examinations'!A:F, 6, FALSE)</f>
        <v>yes</v>
      </c>
      <c r="F956" t="str">
        <f>VLOOKUP($A956, 'Medical Examinations'!A:G, 7, FALSE)</f>
        <v>No</v>
      </c>
      <c r="G956" t="str">
        <f>VLOOKUP($A956, 'Medical Examinations'!A:H, 8, FALSE)</f>
        <v>No</v>
      </c>
      <c r="H956">
        <f>VLOOKUP($A956, 'Medical Examinations'!A:J, 10, FALSE)</f>
        <v>2</v>
      </c>
      <c r="I956" t="str">
        <f>VLOOKUP($A956, 'Medical Examinations'!A:K, 11, FALSE)</f>
        <v>No</v>
      </c>
      <c r="J956" t="str">
        <f>VLOOKUP($A956, 'Medical Examinations'!A:B, 2, FALSE)</f>
        <v>Obesity</v>
      </c>
      <c r="K956" t="str">
        <f>VLOOKUP($A956, 'Medical Examinations'!A:D, 4, FALSE)</f>
        <v>Diabetes</v>
      </c>
    </row>
    <row r="957" spans="1:11" ht="15.5" x14ac:dyDescent="0.35">
      <c r="A957" s="1" t="s">
        <v>1415</v>
      </c>
      <c r="B957" t="str">
        <f>VLOOKUP($A957, 'Customer Names'!A:D, 3, FALSE)</f>
        <v>Finecey</v>
      </c>
      <c r="C957">
        <f>VLOOKUP($A957,'Medical Examinations'!A:C, 3, FALSE)</f>
        <v>39.22</v>
      </c>
      <c r="D957" t="str">
        <f>VLOOKUP($A957, 'Medical Examinations'!A:D, 4, FALSE)</f>
        <v>Normal</v>
      </c>
      <c r="E957" t="str">
        <f>VLOOKUP($A957, 'Medical Examinations'!A:F, 6, FALSE)</f>
        <v>yes</v>
      </c>
      <c r="F957" t="str">
        <f>VLOOKUP($A957, 'Medical Examinations'!A:G, 7, FALSE)</f>
        <v>No</v>
      </c>
      <c r="G957" t="str">
        <f>VLOOKUP($A957, 'Medical Examinations'!A:H, 8, FALSE)</f>
        <v>No</v>
      </c>
      <c r="H957">
        <f>VLOOKUP($A957, 'Medical Examinations'!A:J, 10, FALSE)</f>
        <v>1</v>
      </c>
      <c r="I957" t="str">
        <f>VLOOKUP($A957, 'Medical Examinations'!A:K, 11, FALSE)</f>
        <v>No</v>
      </c>
      <c r="J957" t="str">
        <f>VLOOKUP($A957, 'Medical Examinations'!A:B, 2, FALSE)</f>
        <v>Obesity</v>
      </c>
      <c r="K957" t="str">
        <f>VLOOKUP($A957, 'Medical Examinations'!A:D, 4, FALSE)</f>
        <v>Normal</v>
      </c>
    </row>
    <row r="958" spans="1:11" ht="15.5" x14ac:dyDescent="0.35">
      <c r="A958" s="1" t="s">
        <v>1414</v>
      </c>
      <c r="B958" t="str">
        <f>VLOOKUP($A958, 'Customer Names'!A:D, 3, FALSE)</f>
        <v>Mendoza</v>
      </c>
      <c r="C958">
        <f>VLOOKUP($A958,'Medical Examinations'!A:C, 3, FALSE)</f>
        <v>24.414999999999999</v>
      </c>
      <c r="D958" t="str">
        <f>VLOOKUP($A958, 'Medical Examinations'!A:D, 4, FALSE)</f>
        <v>Diabetes</v>
      </c>
      <c r="E958" t="str">
        <f>VLOOKUP($A958, 'Medical Examinations'!A:F, 6, FALSE)</f>
        <v>No</v>
      </c>
      <c r="F958" t="str">
        <f>VLOOKUP($A958, 'Medical Examinations'!A:G, 7, FALSE)</f>
        <v>No</v>
      </c>
      <c r="G958" t="str">
        <f>VLOOKUP($A958, 'Medical Examinations'!A:H, 8, FALSE)</f>
        <v>No</v>
      </c>
      <c r="H958" t="str">
        <f>VLOOKUP($A958, 'Medical Examinations'!A:J, 10, FALSE)</f>
        <v>No major surgery</v>
      </c>
      <c r="I958" t="str">
        <f>VLOOKUP($A958, 'Medical Examinations'!A:K, 11, FALSE)</f>
        <v>No</v>
      </c>
      <c r="J958" t="str">
        <f>VLOOKUP($A958, 'Medical Examinations'!A:B, 2, FALSE)</f>
        <v>Normal Weight</v>
      </c>
      <c r="K958" t="str">
        <f>VLOOKUP($A958, 'Medical Examinations'!A:D, 4, FALSE)</f>
        <v>Diabetes</v>
      </c>
    </row>
    <row r="959" spans="1:11" ht="15.5" x14ac:dyDescent="0.35">
      <c r="A959" s="1" t="s">
        <v>1413</v>
      </c>
      <c r="B959" t="str">
        <f>VLOOKUP($A959, 'Customer Names'!A:D, 3, FALSE)</f>
        <v>Roe</v>
      </c>
      <c r="C959">
        <f>VLOOKUP($A959,'Medical Examinations'!A:C, 3, FALSE)</f>
        <v>32.299999999999997</v>
      </c>
      <c r="D959" t="str">
        <f>VLOOKUP($A959, 'Medical Examinations'!A:D, 4, FALSE)</f>
        <v>Diabetes</v>
      </c>
      <c r="E959" t="str">
        <f>VLOOKUP($A959, 'Medical Examinations'!A:F, 6, FALSE)</f>
        <v>No</v>
      </c>
      <c r="F959" t="str">
        <f>VLOOKUP($A959, 'Medical Examinations'!A:G, 7, FALSE)</f>
        <v>No</v>
      </c>
      <c r="G959" t="str">
        <f>VLOOKUP($A959, 'Medical Examinations'!A:H, 8, FALSE)</f>
        <v>No</v>
      </c>
      <c r="H959" t="str">
        <f>VLOOKUP($A959, 'Medical Examinations'!A:J, 10, FALSE)</f>
        <v>No major surgery</v>
      </c>
      <c r="I959" t="str">
        <f>VLOOKUP($A959, 'Medical Examinations'!A:K, 11, FALSE)</f>
        <v>No</v>
      </c>
      <c r="J959" t="str">
        <f>VLOOKUP($A959, 'Medical Examinations'!A:B, 2, FALSE)</f>
        <v>Obesity</v>
      </c>
      <c r="K959" t="str">
        <f>VLOOKUP($A959, 'Medical Examinations'!A:D, 4, FALSE)</f>
        <v>Diabetes</v>
      </c>
    </row>
    <row r="960" spans="1:11" ht="15.5" x14ac:dyDescent="0.35">
      <c r="A960" s="1" t="s">
        <v>1412</v>
      </c>
      <c r="B960" t="str">
        <f>VLOOKUP($A960, 'Customer Names'!A:D, 3, FALSE)</f>
        <v>Webb</v>
      </c>
      <c r="C960">
        <f>VLOOKUP($A960,'Medical Examinations'!A:C, 3, FALSE)</f>
        <v>39.94</v>
      </c>
      <c r="D960" t="str">
        <f>VLOOKUP($A960, 'Medical Examinations'!A:D, 4, FALSE)</f>
        <v>Normal</v>
      </c>
      <c r="E960" t="str">
        <f>VLOOKUP($A960, 'Medical Examinations'!A:F, 6, FALSE)</f>
        <v>No</v>
      </c>
      <c r="F960" t="str">
        <f>VLOOKUP($A960, 'Medical Examinations'!A:G, 7, FALSE)</f>
        <v>No</v>
      </c>
      <c r="G960" t="str">
        <f>VLOOKUP($A960, 'Medical Examinations'!A:H, 8, FALSE)</f>
        <v>No</v>
      </c>
      <c r="H960" t="str">
        <f>VLOOKUP($A960, 'Medical Examinations'!A:J, 10, FALSE)</f>
        <v>No major surgery</v>
      </c>
      <c r="I960" t="str">
        <f>VLOOKUP($A960, 'Medical Examinations'!A:K, 11, FALSE)</f>
        <v>No</v>
      </c>
      <c r="J960" t="str">
        <f>VLOOKUP($A960, 'Medical Examinations'!A:B, 2, FALSE)</f>
        <v>Obesity</v>
      </c>
      <c r="K960" t="str">
        <f>VLOOKUP($A960, 'Medical Examinations'!A:D, 4, FALSE)</f>
        <v>Normal</v>
      </c>
    </row>
    <row r="961" spans="1:11" ht="15.5" x14ac:dyDescent="0.35">
      <c r="A961" s="1" t="s">
        <v>1411</v>
      </c>
      <c r="B961" t="str">
        <f>VLOOKUP($A961, 'Customer Names'!A:D, 3, FALSE)</f>
        <v>Stocker</v>
      </c>
      <c r="C961">
        <f>VLOOKUP($A961,'Medical Examinations'!A:C, 3, FALSE)</f>
        <v>30</v>
      </c>
      <c r="D961" t="str">
        <f>VLOOKUP($A961, 'Medical Examinations'!A:D, 4, FALSE)</f>
        <v>Normal</v>
      </c>
      <c r="E961" t="str">
        <f>VLOOKUP($A961, 'Medical Examinations'!A:F, 6, FALSE)</f>
        <v>yes</v>
      </c>
      <c r="F961" t="str">
        <f>VLOOKUP($A961, 'Medical Examinations'!A:G, 7, FALSE)</f>
        <v>No</v>
      </c>
      <c r="G961" t="str">
        <f>VLOOKUP($A961, 'Medical Examinations'!A:H, 8, FALSE)</f>
        <v>Yes</v>
      </c>
      <c r="H961">
        <f>VLOOKUP($A961, 'Medical Examinations'!A:J, 10, FALSE)</f>
        <v>1</v>
      </c>
      <c r="I961" t="str">
        <f>VLOOKUP($A961, 'Medical Examinations'!A:K, 11, FALSE)</f>
        <v>No</v>
      </c>
      <c r="J961" t="str">
        <f>VLOOKUP($A961, 'Medical Examinations'!A:B, 2, FALSE)</f>
        <v>Obesity</v>
      </c>
      <c r="K961" t="str">
        <f>VLOOKUP($A961, 'Medical Examinations'!A:D, 4, FALSE)</f>
        <v>Normal</v>
      </c>
    </row>
    <row r="962" spans="1:11" ht="15.5" x14ac:dyDescent="0.35">
      <c r="A962" s="1" t="s">
        <v>1410</v>
      </c>
      <c r="B962" t="str">
        <f>VLOOKUP($A962, 'Customer Names'!A:D, 3, FALSE)</f>
        <v>Jacobson</v>
      </c>
      <c r="C962">
        <f>VLOOKUP($A962,'Medical Examinations'!A:C, 3, FALSE)</f>
        <v>35.340000000000003</v>
      </c>
      <c r="D962" t="str">
        <f>VLOOKUP($A962, 'Medical Examinations'!A:D, 4, FALSE)</f>
        <v>Normal</v>
      </c>
      <c r="E962" t="str">
        <f>VLOOKUP($A962, 'Medical Examinations'!A:F, 6, FALSE)</f>
        <v>yes</v>
      </c>
      <c r="F962" t="str">
        <f>VLOOKUP($A962, 'Medical Examinations'!A:G, 7, FALSE)</f>
        <v>No</v>
      </c>
      <c r="G962" t="str">
        <f>VLOOKUP($A962, 'Medical Examinations'!A:H, 8, FALSE)</f>
        <v>Yes</v>
      </c>
      <c r="H962">
        <f>VLOOKUP($A962, 'Medical Examinations'!A:J, 10, FALSE)</f>
        <v>1</v>
      </c>
      <c r="I962" t="str">
        <f>VLOOKUP($A962, 'Medical Examinations'!A:K, 11, FALSE)</f>
        <v>No</v>
      </c>
      <c r="J962" t="str">
        <f>VLOOKUP($A962, 'Medical Examinations'!A:B, 2, FALSE)</f>
        <v>Obesity</v>
      </c>
      <c r="K962" t="str">
        <f>VLOOKUP($A962, 'Medical Examinations'!A:D, 4, FALSE)</f>
        <v>Normal</v>
      </c>
    </row>
    <row r="963" spans="1:11" ht="15.5" x14ac:dyDescent="0.35">
      <c r="A963" s="1" t="s">
        <v>1409</v>
      </c>
      <c r="B963" t="str">
        <f>VLOOKUP($A963, 'Customer Names'!A:D, 3, FALSE)</f>
        <v>Shaw</v>
      </c>
      <c r="C963">
        <f>VLOOKUP($A963,'Medical Examinations'!A:C, 3, FALSE)</f>
        <v>32.204999999999998</v>
      </c>
      <c r="D963" t="str">
        <f>VLOOKUP($A963, 'Medical Examinations'!A:D, 4, FALSE)</f>
        <v>Diabetes</v>
      </c>
      <c r="E963" t="str">
        <f>VLOOKUP($A963, 'Medical Examinations'!A:F, 6, FALSE)</f>
        <v>yes</v>
      </c>
      <c r="F963" t="str">
        <f>VLOOKUP($A963, 'Medical Examinations'!A:G, 7, FALSE)</f>
        <v>No</v>
      </c>
      <c r="G963" t="str">
        <f>VLOOKUP($A963, 'Medical Examinations'!A:H, 8, FALSE)</f>
        <v>No</v>
      </c>
      <c r="H963">
        <f>VLOOKUP($A963, 'Medical Examinations'!A:J, 10, FALSE)</f>
        <v>2</v>
      </c>
      <c r="I963" t="str">
        <f>VLOOKUP($A963, 'Medical Examinations'!A:K, 11, FALSE)</f>
        <v>No</v>
      </c>
      <c r="J963" t="str">
        <f>VLOOKUP($A963, 'Medical Examinations'!A:B, 2, FALSE)</f>
        <v>Obesity</v>
      </c>
      <c r="K963" t="str">
        <f>VLOOKUP($A963, 'Medical Examinations'!A:D, 4, FALSE)</f>
        <v>Diabetes</v>
      </c>
    </row>
    <row r="964" spans="1:11" ht="15.5" x14ac:dyDescent="0.35">
      <c r="A964" s="1" t="s">
        <v>1408</v>
      </c>
      <c r="B964" t="str">
        <f>VLOOKUP($A964, 'Customer Names'!A:D, 3, FALSE)</f>
        <v>Goodwin</v>
      </c>
      <c r="C964">
        <f>VLOOKUP($A964,'Medical Examinations'!A:C, 3, FALSE)</f>
        <v>33.880000000000003</v>
      </c>
      <c r="D964" t="str">
        <f>VLOOKUP($A964, 'Medical Examinations'!A:D, 4, FALSE)</f>
        <v>Normal</v>
      </c>
      <c r="E964" t="str">
        <f>VLOOKUP($A964, 'Medical Examinations'!A:F, 6, FALSE)</f>
        <v>No</v>
      </c>
      <c r="F964" t="str">
        <f>VLOOKUP($A964, 'Medical Examinations'!A:G, 7, FALSE)</f>
        <v>yes</v>
      </c>
      <c r="G964" t="str">
        <f>VLOOKUP($A964, 'Medical Examinations'!A:H, 8, FALSE)</f>
        <v>No</v>
      </c>
      <c r="H964">
        <f>VLOOKUP($A964, 'Medical Examinations'!A:J, 10, FALSE)</f>
        <v>1</v>
      </c>
      <c r="I964" t="str">
        <f>VLOOKUP($A964, 'Medical Examinations'!A:K, 11, FALSE)</f>
        <v>No</v>
      </c>
      <c r="J964" t="str">
        <f>VLOOKUP($A964, 'Medical Examinations'!A:B, 2, FALSE)</f>
        <v>Obesity</v>
      </c>
      <c r="K964" t="str">
        <f>VLOOKUP($A964, 'Medical Examinations'!A:D, 4, FALSE)</f>
        <v>Normal</v>
      </c>
    </row>
    <row r="965" spans="1:11" ht="15.5" x14ac:dyDescent="0.35">
      <c r="A965" s="1" t="s">
        <v>1407</v>
      </c>
      <c r="B965" t="str">
        <f>VLOOKUP($A965, 'Customer Names'!A:D, 3, FALSE)</f>
        <v>Brock</v>
      </c>
      <c r="C965">
        <f>VLOOKUP($A965,'Medical Examinations'!A:C, 3, FALSE)</f>
        <v>26.63</v>
      </c>
      <c r="D965" t="str">
        <f>VLOOKUP($A965, 'Medical Examinations'!A:D, 4, FALSE)</f>
        <v>Normal</v>
      </c>
      <c r="E965" t="str">
        <f>VLOOKUP($A965, 'Medical Examinations'!A:F, 6, FALSE)</f>
        <v>yes</v>
      </c>
      <c r="F965" t="str">
        <f>VLOOKUP($A965, 'Medical Examinations'!A:G, 7, FALSE)</f>
        <v>No</v>
      </c>
      <c r="G965" t="str">
        <f>VLOOKUP($A965, 'Medical Examinations'!A:H, 8, FALSE)</f>
        <v>No</v>
      </c>
      <c r="H965">
        <f>VLOOKUP($A965, 'Medical Examinations'!A:J, 10, FALSE)</f>
        <v>2</v>
      </c>
      <c r="I965" t="str">
        <f>VLOOKUP($A965, 'Medical Examinations'!A:K, 11, FALSE)</f>
        <v>No</v>
      </c>
      <c r="J965" t="str">
        <f>VLOOKUP($A965, 'Medical Examinations'!A:B, 2, FALSE)</f>
        <v>Overweight</v>
      </c>
      <c r="K965" t="str">
        <f>VLOOKUP($A965, 'Medical Examinations'!A:D, 4, FALSE)</f>
        <v>Normal</v>
      </c>
    </row>
    <row r="966" spans="1:11" ht="15.5" x14ac:dyDescent="0.35">
      <c r="A966" s="1" t="s">
        <v>1406</v>
      </c>
      <c r="B966" t="str">
        <f>VLOOKUP($A966, 'Customer Names'!A:D, 3, FALSE)</f>
        <v>Papp</v>
      </c>
      <c r="C966">
        <f>VLOOKUP($A966,'Medical Examinations'!A:C, 3, FALSE)</f>
        <v>28.7</v>
      </c>
      <c r="D966" t="str">
        <f>VLOOKUP($A966, 'Medical Examinations'!A:D, 4, FALSE)</f>
        <v>Diabetes</v>
      </c>
      <c r="E966" t="str">
        <f>VLOOKUP($A966, 'Medical Examinations'!A:F, 6, FALSE)</f>
        <v>No</v>
      </c>
      <c r="F966" t="str">
        <f>VLOOKUP($A966, 'Medical Examinations'!A:G, 7, FALSE)</f>
        <v>No</v>
      </c>
      <c r="G966" t="str">
        <f>VLOOKUP($A966, 'Medical Examinations'!A:H, 8, FALSE)</f>
        <v>No</v>
      </c>
      <c r="H966" t="str">
        <f>VLOOKUP($A966, 'Medical Examinations'!A:J, 10, FALSE)</f>
        <v>No major surgery</v>
      </c>
      <c r="I966" t="str">
        <f>VLOOKUP($A966, 'Medical Examinations'!A:K, 11, FALSE)</f>
        <v>No</v>
      </c>
      <c r="J966" t="str">
        <f>VLOOKUP($A966, 'Medical Examinations'!A:B, 2, FALSE)</f>
        <v>Overweight</v>
      </c>
      <c r="K966" t="str">
        <f>VLOOKUP($A966, 'Medical Examinations'!A:D, 4, FALSE)</f>
        <v>Diabetes</v>
      </c>
    </row>
    <row r="967" spans="1:11" ht="15.5" x14ac:dyDescent="0.35">
      <c r="A967" s="1" t="s">
        <v>1405</v>
      </c>
      <c r="B967" t="str">
        <f>VLOOKUP($A967, 'Customer Names'!A:D, 3, FALSE)</f>
        <v>Siragusa</v>
      </c>
      <c r="C967">
        <f>VLOOKUP($A967,'Medical Examinations'!A:C, 3, FALSE)</f>
        <v>25.65</v>
      </c>
      <c r="D967" t="str">
        <f>VLOOKUP($A967, 'Medical Examinations'!A:D, 4, FALSE)</f>
        <v>Normal</v>
      </c>
      <c r="E967" t="str">
        <f>VLOOKUP($A967, 'Medical Examinations'!A:F, 6, FALSE)</f>
        <v>yes</v>
      </c>
      <c r="F967" t="str">
        <f>VLOOKUP($A967, 'Medical Examinations'!A:G, 7, FALSE)</f>
        <v>No</v>
      </c>
      <c r="G967" t="str">
        <f>VLOOKUP($A967, 'Medical Examinations'!A:H, 8, FALSE)</f>
        <v>No</v>
      </c>
      <c r="H967">
        <f>VLOOKUP($A967, 'Medical Examinations'!A:J, 10, FALSE)</f>
        <v>2</v>
      </c>
      <c r="I967" t="str">
        <f>VLOOKUP($A967, 'Medical Examinations'!A:K, 11, FALSE)</f>
        <v>No</v>
      </c>
      <c r="J967" t="str">
        <f>VLOOKUP($A967, 'Medical Examinations'!A:B, 2, FALSE)</f>
        <v>Overweight</v>
      </c>
      <c r="K967" t="str">
        <f>VLOOKUP($A967, 'Medical Examinations'!A:D, 4, FALSE)</f>
        <v>Normal</v>
      </c>
    </row>
    <row r="968" spans="1:11" ht="15.5" x14ac:dyDescent="0.35">
      <c r="A968" s="1" t="s">
        <v>1404</v>
      </c>
      <c r="B968" t="str">
        <f>VLOOKUP($A968, 'Customer Names'!A:D, 3, FALSE)</f>
        <v>Pizarro</v>
      </c>
      <c r="C968">
        <f>VLOOKUP($A968,'Medical Examinations'!A:C, 3, FALSE)</f>
        <v>36.384999999999998</v>
      </c>
      <c r="D968" t="str">
        <f>VLOOKUP($A968, 'Medical Examinations'!A:D, 4, FALSE)</f>
        <v>Diabetes</v>
      </c>
      <c r="E968" t="str">
        <f>VLOOKUP($A968, 'Medical Examinations'!A:F, 6, FALSE)</f>
        <v>No</v>
      </c>
      <c r="F968" t="str">
        <f>VLOOKUP($A968, 'Medical Examinations'!A:G, 7, FALSE)</f>
        <v>No</v>
      </c>
      <c r="G968" t="str">
        <f>VLOOKUP($A968, 'Medical Examinations'!A:H, 8, FALSE)</f>
        <v>No</v>
      </c>
      <c r="H968" t="str">
        <f>VLOOKUP($A968, 'Medical Examinations'!A:J, 10, FALSE)</f>
        <v>No major surgery</v>
      </c>
      <c r="I968" t="str">
        <f>VLOOKUP($A968, 'Medical Examinations'!A:K, 11, FALSE)</f>
        <v>No</v>
      </c>
      <c r="J968" t="str">
        <f>VLOOKUP($A968, 'Medical Examinations'!A:B, 2, FALSE)</f>
        <v>Obesity</v>
      </c>
      <c r="K968" t="str">
        <f>VLOOKUP($A968, 'Medical Examinations'!A:D, 4, FALSE)</f>
        <v>Diabetes</v>
      </c>
    </row>
    <row r="969" spans="1:11" ht="15.5" x14ac:dyDescent="0.35">
      <c r="A969" s="1" t="s">
        <v>1403</v>
      </c>
      <c r="B969" t="str">
        <f>VLOOKUP($A969, 'Customer Names'!A:D, 3, FALSE)</f>
        <v>Strange</v>
      </c>
      <c r="C969">
        <f>VLOOKUP($A969,'Medical Examinations'!A:C, 3, FALSE)</f>
        <v>34.69</v>
      </c>
      <c r="D969" t="str">
        <f>VLOOKUP($A969, 'Medical Examinations'!A:D, 4, FALSE)</f>
        <v>Normal</v>
      </c>
      <c r="E969" t="str">
        <f>VLOOKUP($A969, 'Medical Examinations'!A:F, 6, FALSE)</f>
        <v>No</v>
      </c>
      <c r="F969" t="str">
        <f>VLOOKUP($A969, 'Medical Examinations'!A:G, 7, FALSE)</f>
        <v>No</v>
      </c>
      <c r="G969" t="str">
        <f>VLOOKUP($A969, 'Medical Examinations'!A:H, 8, FALSE)</f>
        <v>No</v>
      </c>
      <c r="H969" t="str">
        <f>VLOOKUP($A969, 'Medical Examinations'!A:J, 10, FALSE)</f>
        <v>No major surgery</v>
      </c>
      <c r="I969" t="str">
        <f>VLOOKUP($A969, 'Medical Examinations'!A:K, 11, FALSE)</f>
        <v>No</v>
      </c>
      <c r="J969" t="str">
        <f>VLOOKUP($A969, 'Medical Examinations'!A:B, 2, FALSE)</f>
        <v>Obesity</v>
      </c>
      <c r="K969" t="str">
        <f>VLOOKUP($A969, 'Medical Examinations'!A:D, 4, FALSE)</f>
        <v>Normal</v>
      </c>
    </row>
    <row r="970" spans="1:11" ht="15.5" x14ac:dyDescent="0.35">
      <c r="A970" s="1" t="s">
        <v>1402</v>
      </c>
      <c r="B970" t="str">
        <f>VLOOKUP($A970, 'Customer Names'!A:D, 3, FALSE)</f>
        <v>Eidinger</v>
      </c>
      <c r="C970">
        <f>VLOOKUP($A970,'Medical Examinations'!A:C, 3, FALSE)</f>
        <v>37.68</v>
      </c>
      <c r="D970" t="str">
        <f>VLOOKUP($A970, 'Medical Examinations'!A:D, 4, FALSE)</f>
        <v>Normal</v>
      </c>
      <c r="E970" t="str">
        <f>VLOOKUP($A970, 'Medical Examinations'!A:F, 6, FALSE)</f>
        <v>yes</v>
      </c>
      <c r="F970" t="str">
        <f>VLOOKUP($A970, 'Medical Examinations'!A:G, 7, FALSE)</f>
        <v>No</v>
      </c>
      <c r="G970" t="str">
        <f>VLOOKUP($A970, 'Medical Examinations'!A:H, 8, FALSE)</f>
        <v>No</v>
      </c>
      <c r="H970" t="str">
        <f>VLOOKUP($A970, 'Medical Examinations'!A:J, 10, FALSE)</f>
        <v>No major surgery</v>
      </c>
      <c r="I970" t="str">
        <f>VLOOKUP($A970, 'Medical Examinations'!A:K, 11, FALSE)</f>
        <v>No</v>
      </c>
      <c r="J970" t="str">
        <f>VLOOKUP($A970, 'Medical Examinations'!A:B, 2, FALSE)</f>
        <v>Obesity</v>
      </c>
      <c r="K970" t="str">
        <f>VLOOKUP($A970, 'Medical Examinations'!A:D, 4, FALSE)</f>
        <v>Normal</v>
      </c>
    </row>
    <row r="971" spans="1:11" ht="15.5" x14ac:dyDescent="0.35">
      <c r="A971" s="1" t="s">
        <v>1401</v>
      </c>
      <c r="B971" t="str">
        <f>VLOOKUP($A971, 'Customer Names'!A:D, 3, FALSE)</f>
        <v>Ginsburg</v>
      </c>
      <c r="C971">
        <f>VLOOKUP($A971,'Medical Examinations'!A:C, 3, FALSE)</f>
        <v>35.49</v>
      </c>
      <c r="D971" t="str">
        <f>VLOOKUP($A971, 'Medical Examinations'!A:D, 4, FALSE)</f>
        <v>Normal</v>
      </c>
      <c r="E971" t="str">
        <f>VLOOKUP($A971, 'Medical Examinations'!A:F, 6, FALSE)</f>
        <v>yes</v>
      </c>
      <c r="F971" t="str">
        <f>VLOOKUP($A971, 'Medical Examinations'!A:G, 7, FALSE)</f>
        <v>No</v>
      </c>
      <c r="G971" t="str">
        <f>VLOOKUP($A971, 'Medical Examinations'!A:H, 8, FALSE)</f>
        <v>Yes</v>
      </c>
      <c r="H971">
        <f>VLOOKUP($A971, 'Medical Examinations'!A:J, 10, FALSE)</f>
        <v>1</v>
      </c>
      <c r="I971" t="str">
        <f>VLOOKUP($A971, 'Medical Examinations'!A:K, 11, FALSE)</f>
        <v>No</v>
      </c>
      <c r="J971" t="str">
        <f>VLOOKUP($A971, 'Medical Examinations'!A:B, 2, FALSE)</f>
        <v>Obesity</v>
      </c>
      <c r="K971" t="str">
        <f>VLOOKUP($A971, 'Medical Examinations'!A:D, 4, FALSE)</f>
        <v>Normal</v>
      </c>
    </row>
    <row r="972" spans="1:11" ht="15.5" x14ac:dyDescent="0.35">
      <c r="A972" s="1" t="s">
        <v>1400</v>
      </c>
      <c r="B972" t="str">
        <f>VLOOKUP($A972, 'Customer Names'!A:D, 3, FALSE)</f>
        <v>Truex</v>
      </c>
      <c r="C972">
        <f>VLOOKUP($A972,'Medical Examinations'!A:C, 3, FALSE)</f>
        <v>44.7</v>
      </c>
      <c r="D972" t="str">
        <f>VLOOKUP($A972, 'Medical Examinations'!A:D, 4, FALSE)</f>
        <v>Diabetes</v>
      </c>
      <c r="E972" t="str">
        <f>VLOOKUP($A972, 'Medical Examinations'!A:F, 6, FALSE)</f>
        <v>yes</v>
      </c>
      <c r="F972" t="str">
        <f>VLOOKUP($A972, 'Medical Examinations'!A:G, 7, FALSE)</f>
        <v>No</v>
      </c>
      <c r="G972" t="str">
        <f>VLOOKUP($A972, 'Medical Examinations'!A:H, 8, FALSE)</f>
        <v>No</v>
      </c>
      <c r="H972">
        <f>VLOOKUP($A972, 'Medical Examinations'!A:J, 10, FALSE)</f>
        <v>2</v>
      </c>
      <c r="I972" t="str">
        <f>VLOOKUP($A972, 'Medical Examinations'!A:K, 11, FALSE)</f>
        <v>No</v>
      </c>
      <c r="J972" t="str">
        <f>VLOOKUP($A972, 'Medical Examinations'!A:B, 2, FALSE)</f>
        <v>Obesity</v>
      </c>
      <c r="K972" t="str">
        <f>VLOOKUP($A972, 'Medical Examinations'!A:D, 4, FALSE)</f>
        <v>Diabetes</v>
      </c>
    </row>
    <row r="973" spans="1:11" ht="15.5" x14ac:dyDescent="0.35">
      <c r="A973" s="1" t="s">
        <v>1399</v>
      </c>
      <c r="B973" t="str">
        <f>VLOOKUP($A973, 'Customer Names'!A:D, 3, FALSE)</f>
        <v>Higgins</v>
      </c>
      <c r="C973">
        <f>VLOOKUP($A973,'Medical Examinations'!A:C, 3, FALSE)</f>
        <v>38.380000000000003</v>
      </c>
      <c r="D973" t="str">
        <f>VLOOKUP($A973, 'Medical Examinations'!A:D, 4, FALSE)</f>
        <v>Diabetes</v>
      </c>
      <c r="E973" t="str">
        <f>VLOOKUP($A973, 'Medical Examinations'!A:F, 6, FALSE)</f>
        <v>yes</v>
      </c>
      <c r="F973" t="str">
        <f>VLOOKUP($A973, 'Medical Examinations'!A:G, 7, FALSE)</f>
        <v>No</v>
      </c>
      <c r="G973" t="str">
        <f>VLOOKUP($A973, 'Medical Examinations'!A:H, 8, FALSE)</f>
        <v>No</v>
      </c>
      <c r="H973">
        <f>VLOOKUP($A973, 'Medical Examinations'!A:J, 10, FALSE)</f>
        <v>2</v>
      </c>
      <c r="I973" t="str">
        <f>VLOOKUP($A973, 'Medical Examinations'!A:K, 11, FALSE)</f>
        <v>No</v>
      </c>
      <c r="J973" t="str">
        <f>VLOOKUP($A973, 'Medical Examinations'!A:B, 2, FALSE)</f>
        <v>Obesity</v>
      </c>
      <c r="K973" t="str">
        <f>VLOOKUP($A973, 'Medical Examinations'!A:D, 4, FALSE)</f>
        <v>Diabetes</v>
      </c>
    </row>
    <row r="974" spans="1:11" ht="15.5" x14ac:dyDescent="0.35">
      <c r="A974" s="1" t="s">
        <v>1398</v>
      </c>
      <c r="B974" t="str">
        <f>VLOOKUP($A974, 'Customer Names'!A:D, 3, FALSE)</f>
        <v>McCurdy</v>
      </c>
      <c r="C974">
        <f>VLOOKUP($A974,'Medical Examinations'!A:C, 3, FALSE)</f>
        <v>35.244999999999997</v>
      </c>
      <c r="D974" t="str">
        <f>VLOOKUP($A974, 'Medical Examinations'!A:D, 4, FALSE)</f>
        <v>Diabetes</v>
      </c>
      <c r="E974" t="str">
        <f>VLOOKUP($A974, 'Medical Examinations'!A:F, 6, FALSE)</f>
        <v>yes</v>
      </c>
      <c r="F974" t="str">
        <f>VLOOKUP($A974, 'Medical Examinations'!A:G, 7, FALSE)</f>
        <v>No</v>
      </c>
      <c r="G974" t="str">
        <f>VLOOKUP($A974, 'Medical Examinations'!A:H, 8, FALSE)</f>
        <v>No</v>
      </c>
      <c r="H974" t="str">
        <f>VLOOKUP($A974, 'Medical Examinations'!A:J, 10, FALSE)</f>
        <v>No major surgery</v>
      </c>
      <c r="I974" t="str">
        <f>VLOOKUP($A974, 'Medical Examinations'!A:K, 11, FALSE)</f>
        <v>No</v>
      </c>
      <c r="J974" t="str">
        <f>VLOOKUP($A974, 'Medical Examinations'!A:B, 2, FALSE)</f>
        <v>Obesity</v>
      </c>
      <c r="K974" t="str">
        <f>VLOOKUP($A974, 'Medical Examinations'!A:D, 4, FALSE)</f>
        <v>Diabetes</v>
      </c>
    </row>
    <row r="975" spans="1:11" ht="15.5" x14ac:dyDescent="0.35">
      <c r="A975" s="1" t="s">
        <v>1397</v>
      </c>
      <c r="B975" t="str">
        <f>VLOOKUP($A975, 'Customer Names'!A:D, 3, FALSE)</f>
        <v>Hughes</v>
      </c>
      <c r="C975">
        <f>VLOOKUP($A975,'Medical Examinations'!A:C, 3, FALSE)</f>
        <v>49.84</v>
      </c>
      <c r="D975" t="str">
        <f>VLOOKUP($A975, 'Medical Examinations'!A:D, 4, FALSE)</f>
        <v>Normal</v>
      </c>
      <c r="E975" t="str">
        <f>VLOOKUP($A975, 'Medical Examinations'!A:F, 6, FALSE)</f>
        <v>yes</v>
      </c>
      <c r="F975" t="str">
        <f>VLOOKUP($A975, 'Medical Examinations'!A:G, 7, FALSE)</f>
        <v>No</v>
      </c>
      <c r="G975" t="str">
        <f>VLOOKUP($A975, 'Medical Examinations'!A:H, 8, FALSE)</f>
        <v>Yes</v>
      </c>
      <c r="H975">
        <f>VLOOKUP($A975, 'Medical Examinations'!A:J, 10, FALSE)</f>
        <v>1</v>
      </c>
      <c r="I975" t="str">
        <f>VLOOKUP($A975, 'Medical Examinations'!A:K, 11, FALSE)</f>
        <v>No</v>
      </c>
      <c r="J975" t="str">
        <f>VLOOKUP($A975, 'Medical Examinations'!A:B, 2, FALSE)</f>
        <v>Obesity</v>
      </c>
      <c r="K975" t="str">
        <f>VLOOKUP($A975, 'Medical Examinations'!A:D, 4, FALSE)</f>
        <v>Normal</v>
      </c>
    </row>
    <row r="976" spans="1:11" ht="15.5" x14ac:dyDescent="0.35">
      <c r="A976" s="1" t="s">
        <v>1396</v>
      </c>
      <c r="B976" t="str">
        <f>VLOOKUP($A976, 'Customer Names'!A:D, 3, FALSE)</f>
        <v>Varner</v>
      </c>
      <c r="C976">
        <f>VLOOKUP($A976,'Medical Examinations'!A:C, 3, FALSE)</f>
        <v>49.06</v>
      </c>
      <c r="D976" t="str">
        <f>VLOOKUP($A976, 'Medical Examinations'!A:D, 4, FALSE)</f>
        <v>Normal</v>
      </c>
      <c r="E976" t="str">
        <f>VLOOKUP($A976, 'Medical Examinations'!A:F, 6, FALSE)</f>
        <v>yes</v>
      </c>
      <c r="F976" t="str">
        <f>VLOOKUP($A976, 'Medical Examinations'!A:G, 7, FALSE)</f>
        <v>No</v>
      </c>
      <c r="G976" t="str">
        <f>VLOOKUP($A976, 'Medical Examinations'!A:H, 8, FALSE)</f>
        <v>No</v>
      </c>
      <c r="H976">
        <f>VLOOKUP($A976, 'Medical Examinations'!A:J, 10, FALSE)</f>
        <v>1</v>
      </c>
      <c r="I976" t="str">
        <f>VLOOKUP($A976, 'Medical Examinations'!A:K, 11, FALSE)</f>
        <v>No</v>
      </c>
      <c r="J976" t="str">
        <f>VLOOKUP($A976, 'Medical Examinations'!A:B, 2, FALSE)</f>
        <v>Obesity</v>
      </c>
      <c r="K976" t="str">
        <f>VLOOKUP($A976, 'Medical Examinations'!A:D, 4, FALSE)</f>
        <v>Normal</v>
      </c>
    </row>
    <row r="977" spans="1:11" ht="15.5" x14ac:dyDescent="0.35">
      <c r="A977" s="1" t="s">
        <v>1395</v>
      </c>
      <c r="B977" t="str">
        <f>VLOOKUP($A977, 'Customer Names'!A:D, 3, FALSE)</f>
        <v>Dahmen</v>
      </c>
      <c r="C977">
        <f>VLOOKUP($A977,'Medical Examinations'!A:C, 3, FALSE)</f>
        <v>30.88</v>
      </c>
      <c r="D977" t="str">
        <f>VLOOKUP($A977, 'Medical Examinations'!A:D, 4, FALSE)</f>
        <v>Prediabetes</v>
      </c>
      <c r="E977" t="str">
        <f>VLOOKUP($A977, 'Medical Examinations'!A:F, 6, FALSE)</f>
        <v>No</v>
      </c>
      <c r="F977" t="str">
        <f>VLOOKUP($A977, 'Medical Examinations'!A:G, 7, FALSE)</f>
        <v>No</v>
      </c>
      <c r="G977" t="str">
        <f>VLOOKUP($A977, 'Medical Examinations'!A:H, 8, FALSE)</f>
        <v>No</v>
      </c>
      <c r="H977">
        <f>VLOOKUP($A977, 'Medical Examinations'!A:J, 10, FALSE)</f>
        <v>2</v>
      </c>
      <c r="I977" t="str">
        <f>VLOOKUP($A977, 'Medical Examinations'!A:K, 11, FALSE)</f>
        <v>No</v>
      </c>
      <c r="J977" t="str">
        <f>VLOOKUP($A977, 'Medical Examinations'!A:B, 2, FALSE)</f>
        <v>Obesity</v>
      </c>
      <c r="K977" t="str">
        <f>VLOOKUP($A977, 'Medical Examinations'!A:D, 4, FALSE)</f>
        <v>Prediabetes</v>
      </c>
    </row>
    <row r="978" spans="1:11" ht="15.5" x14ac:dyDescent="0.35">
      <c r="A978" s="1" t="s">
        <v>1394</v>
      </c>
      <c r="B978" t="str">
        <f>VLOOKUP($A978, 'Customer Names'!A:D, 3, FALSE)</f>
        <v>Young</v>
      </c>
      <c r="C978">
        <f>VLOOKUP($A978,'Medical Examinations'!A:C, 3, FALSE)</f>
        <v>33.35</v>
      </c>
      <c r="D978" t="str">
        <f>VLOOKUP($A978, 'Medical Examinations'!A:D, 4, FALSE)</f>
        <v>Prediabetes</v>
      </c>
      <c r="E978" t="str">
        <f>VLOOKUP($A978, 'Medical Examinations'!A:F, 6, FALSE)</f>
        <v>No</v>
      </c>
      <c r="F978" t="str">
        <f>VLOOKUP($A978, 'Medical Examinations'!A:G, 7, FALSE)</f>
        <v>No</v>
      </c>
      <c r="G978" t="str">
        <f>VLOOKUP($A978, 'Medical Examinations'!A:H, 8, FALSE)</f>
        <v>Yes</v>
      </c>
      <c r="H978">
        <f>VLOOKUP($A978, 'Medical Examinations'!A:J, 10, FALSE)</f>
        <v>1</v>
      </c>
      <c r="I978" t="str">
        <f>VLOOKUP($A978, 'Medical Examinations'!A:K, 11, FALSE)</f>
        <v>No</v>
      </c>
      <c r="J978" t="str">
        <f>VLOOKUP($A978, 'Medical Examinations'!A:B, 2, FALSE)</f>
        <v>Obesity</v>
      </c>
      <c r="K978" t="str">
        <f>VLOOKUP($A978, 'Medical Examinations'!A:D, 4, FALSE)</f>
        <v>Prediabetes</v>
      </c>
    </row>
    <row r="979" spans="1:11" ht="15.5" x14ac:dyDescent="0.35">
      <c r="A979" s="1" t="s">
        <v>1393</v>
      </c>
      <c r="B979" t="str">
        <f>VLOOKUP($A979, 'Customer Names'!A:D, 3, FALSE)</f>
        <v>Fraser</v>
      </c>
      <c r="C979">
        <f>VLOOKUP($A979,'Medical Examinations'!A:C, 3, FALSE)</f>
        <v>38</v>
      </c>
      <c r="D979" t="str">
        <f>VLOOKUP($A979, 'Medical Examinations'!A:D, 4, FALSE)</f>
        <v>Prediabetes</v>
      </c>
      <c r="E979" t="str">
        <f>VLOOKUP($A979, 'Medical Examinations'!A:F, 6, FALSE)</f>
        <v>yes</v>
      </c>
      <c r="F979" t="str">
        <f>VLOOKUP($A979, 'Medical Examinations'!A:G, 7, FALSE)</f>
        <v>No</v>
      </c>
      <c r="G979" t="str">
        <f>VLOOKUP($A979, 'Medical Examinations'!A:H, 8, FALSE)</f>
        <v>No</v>
      </c>
      <c r="H979">
        <f>VLOOKUP($A979, 'Medical Examinations'!A:J, 10, FALSE)</f>
        <v>1</v>
      </c>
      <c r="I979" t="str">
        <f>VLOOKUP($A979, 'Medical Examinations'!A:K, 11, FALSE)</f>
        <v>No</v>
      </c>
      <c r="J979" t="str">
        <f>VLOOKUP($A979, 'Medical Examinations'!A:B, 2, FALSE)</f>
        <v>Obesity</v>
      </c>
      <c r="K979" t="str">
        <f>VLOOKUP($A979, 'Medical Examinations'!A:D, 4, FALSE)</f>
        <v>Prediabetes</v>
      </c>
    </row>
    <row r="980" spans="1:11" ht="15.5" x14ac:dyDescent="0.35">
      <c r="A980" s="1" t="s">
        <v>1392</v>
      </c>
      <c r="B980" t="str">
        <f>VLOOKUP($A980, 'Customer Names'!A:D, 3, FALSE)</f>
        <v>Deeg</v>
      </c>
      <c r="C980">
        <f>VLOOKUP($A980,'Medical Examinations'!A:C, 3, FALSE)</f>
        <v>36.08</v>
      </c>
      <c r="D980" t="str">
        <f>VLOOKUP($A980, 'Medical Examinations'!A:D, 4, FALSE)</f>
        <v>Prediabetes</v>
      </c>
      <c r="E980" t="str">
        <f>VLOOKUP($A980, 'Medical Examinations'!A:F, 6, FALSE)</f>
        <v>yes</v>
      </c>
      <c r="F980" t="str">
        <f>VLOOKUP($A980, 'Medical Examinations'!A:G, 7, FALSE)</f>
        <v>No</v>
      </c>
      <c r="G980" t="str">
        <f>VLOOKUP($A980, 'Medical Examinations'!A:H, 8, FALSE)</f>
        <v>No</v>
      </c>
      <c r="H980">
        <f>VLOOKUP($A980, 'Medical Examinations'!A:J, 10, FALSE)</f>
        <v>1</v>
      </c>
      <c r="I980" t="str">
        <f>VLOOKUP($A980, 'Medical Examinations'!A:K, 11, FALSE)</f>
        <v>No</v>
      </c>
      <c r="J980" t="str">
        <f>VLOOKUP($A980, 'Medical Examinations'!A:B, 2, FALSE)</f>
        <v>Obesity</v>
      </c>
      <c r="K980" t="str">
        <f>VLOOKUP($A980, 'Medical Examinations'!A:D, 4, FALSE)</f>
        <v>Prediabetes</v>
      </c>
    </row>
    <row r="981" spans="1:11" ht="15.5" x14ac:dyDescent="0.35">
      <c r="A981" s="1" t="s">
        <v>1391</v>
      </c>
      <c r="B981" t="str">
        <f>VLOOKUP($A981, 'Customer Names'!A:D, 3, FALSE)</f>
        <v>Robertson</v>
      </c>
      <c r="C981">
        <f>VLOOKUP($A981,'Medical Examinations'!A:C, 3, FALSE)</f>
        <v>35.700000000000003</v>
      </c>
      <c r="D981" t="str">
        <f>VLOOKUP($A981, 'Medical Examinations'!A:D, 4, FALSE)</f>
        <v>Normal</v>
      </c>
      <c r="E981" t="str">
        <f>VLOOKUP($A981, 'Medical Examinations'!A:F, 6, FALSE)</f>
        <v>yes</v>
      </c>
      <c r="F981" t="str">
        <f>VLOOKUP($A981, 'Medical Examinations'!A:G, 7, FALSE)</f>
        <v>No</v>
      </c>
      <c r="G981" t="str">
        <f>VLOOKUP($A981, 'Medical Examinations'!A:H, 8, FALSE)</f>
        <v>No</v>
      </c>
      <c r="H981">
        <f>VLOOKUP($A981, 'Medical Examinations'!A:J, 10, FALSE)</f>
        <v>1</v>
      </c>
      <c r="I981" t="str">
        <f>VLOOKUP($A981, 'Medical Examinations'!A:K, 11, FALSE)</f>
        <v>No</v>
      </c>
      <c r="J981" t="str">
        <f>VLOOKUP($A981, 'Medical Examinations'!A:B, 2, FALSE)</f>
        <v>Obesity</v>
      </c>
      <c r="K981" t="str">
        <f>VLOOKUP($A981, 'Medical Examinations'!A:D, 4, FALSE)</f>
        <v>Normal</v>
      </c>
    </row>
    <row r="982" spans="1:11" ht="15.5" x14ac:dyDescent="0.35">
      <c r="A982" s="1" t="s">
        <v>1390</v>
      </c>
      <c r="B982" t="str">
        <f>VLOOKUP($A982, 'Customer Names'!A:D, 3, FALSE)</f>
        <v>Peck</v>
      </c>
      <c r="C982">
        <f>VLOOKUP($A982,'Medical Examinations'!A:C, 3, FALSE)</f>
        <v>34.01</v>
      </c>
      <c r="D982" t="str">
        <f>VLOOKUP($A982, 'Medical Examinations'!A:D, 4, FALSE)</f>
        <v>Diabetes</v>
      </c>
      <c r="E982" t="str">
        <f>VLOOKUP($A982, 'Medical Examinations'!A:F, 6, FALSE)</f>
        <v>No</v>
      </c>
      <c r="F982" t="str">
        <f>VLOOKUP($A982, 'Medical Examinations'!A:G, 7, FALSE)</f>
        <v>No</v>
      </c>
      <c r="G982" t="str">
        <f>VLOOKUP($A982, 'Medical Examinations'!A:H, 8, FALSE)</f>
        <v>No</v>
      </c>
      <c r="H982" t="str">
        <f>VLOOKUP($A982, 'Medical Examinations'!A:J, 10, FALSE)</f>
        <v>No major surgery</v>
      </c>
      <c r="I982" t="str">
        <f>VLOOKUP($A982, 'Medical Examinations'!A:K, 11, FALSE)</f>
        <v>No</v>
      </c>
      <c r="J982" t="str">
        <f>VLOOKUP($A982, 'Medical Examinations'!A:B, 2, FALSE)</f>
        <v>Obesity</v>
      </c>
      <c r="K982" t="str">
        <f>VLOOKUP($A982, 'Medical Examinations'!A:D, 4, FALSE)</f>
        <v>Diabetes</v>
      </c>
    </row>
    <row r="983" spans="1:11" ht="15.5" x14ac:dyDescent="0.35">
      <c r="A983" s="1" t="s">
        <v>1389</v>
      </c>
      <c r="B983" t="str">
        <f>VLOOKUP($A983, 'Customer Names'!A:D, 3, FALSE)</f>
        <v>Burger</v>
      </c>
      <c r="C983">
        <f>VLOOKUP($A983,'Medical Examinations'!A:C, 3, FALSE)</f>
        <v>31.54</v>
      </c>
      <c r="D983" t="str">
        <f>VLOOKUP($A983, 'Medical Examinations'!A:D, 4, FALSE)</f>
        <v>Diabetes</v>
      </c>
      <c r="E983" t="str">
        <f>VLOOKUP($A983, 'Medical Examinations'!A:F, 6, FALSE)</f>
        <v>No</v>
      </c>
      <c r="F983" t="str">
        <f>VLOOKUP($A983, 'Medical Examinations'!A:G, 7, FALSE)</f>
        <v>No</v>
      </c>
      <c r="G983" t="str">
        <f>VLOOKUP($A983, 'Medical Examinations'!A:H, 8, FALSE)</f>
        <v>No</v>
      </c>
      <c r="H983" t="str">
        <f>VLOOKUP($A983, 'Medical Examinations'!A:J, 10, FALSE)</f>
        <v>No major surgery</v>
      </c>
      <c r="I983" t="str">
        <f>VLOOKUP($A983, 'Medical Examinations'!A:K, 11, FALSE)</f>
        <v>No</v>
      </c>
      <c r="J983" t="str">
        <f>VLOOKUP($A983, 'Medical Examinations'!A:B, 2, FALSE)</f>
        <v>Obesity</v>
      </c>
      <c r="K983" t="str">
        <f>VLOOKUP($A983, 'Medical Examinations'!A:D, 4, FALSE)</f>
        <v>Diabetes</v>
      </c>
    </row>
    <row r="984" spans="1:11" ht="15.5" x14ac:dyDescent="0.35">
      <c r="A984" s="1" t="s">
        <v>1388</v>
      </c>
      <c r="B984" t="str">
        <f>VLOOKUP($A984, 'Customer Names'!A:D, 3, FALSE)</f>
        <v>Blain</v>
      </c>
      <c r="C984">
        <f>VLOOKUP($A984,'Medical Examinations'!A:C, 3, FALSE)</f>
        <v>23.3</v>
      </c>
      <c r="D984" t="str">
        <f>VLOOKUP($A984, 'Medical Examinations'!A:D, 4, FALSE)</f>
        <v>Normal</v>
      </c>
      <c r="E984" t="str">
        <f>VLOOKUP($A984, 'Medical Examinations'!A:F, 6, FALSE)</f>
        <v>yes</v>
      </c>
      <c r="F984" t="str">
        <f>VLOOKUP($A984, 'Medical Examinations'!A:G, 7, FALSE)</f>
        <v>No</v>
      </c>
      <c r="G984" t="str">
        <f>VLOOKUP($A984, 'Medical Examinations'!A:H, 8, FALSE)</f>
        <v>No</v>
      </c>
      <c r="H984">
        <f>VLOOKUP($A984, 'Medical Examinations'!A:J, 10, FALSE)</f>
        <v>1</v>
      </c>
      <c r="I984" t="str">
        <f>VLOOKUP($A984, 'Medical Examinations'!A:K, 11, FALSE)</f>
        <v>No</v>
      </c>
      <c r="J984" t="str">
        <f>VLOOKUP($A984, 'Medical Examinations'!A:B, 2, FALSE)</f>
        <v>Normal Weight</v>
      </c>
      <c r="K984" t="str">
        <f>VLOOKUP($A984, 'Medical Examinations'!A:D, 4, FALSE)</f>
        <v>Normal</v>
      </c>
    </row>
    <row r="985" spans="1:11" ht="15.5" x14ac:dyDescent="0.35">
      <c r="A985" s="1" t="s">
        <v>1387</v>
      </c>
      <c r="B985" t="str">
        <f>VLOOKUP($A985, 'Customer Names'!A:D, 3, FALSE)</f>
        <v>Winters</v>
      </c>
      <c r="C985">
        <f>VLOOKUP($A985,'Medical Examinations'!A:C, 3, FALSE)</f>
        <v>27.75</v>
      </c>
      <c r="D985" t="str">
        <f>VLOOKUP($A985, 'Medical Examinations'!A:D, 4, FALSE)</f>
        <v>Diabetes</v>
      </c>
      <c r="E985" t="str">
        <f>VLOOKUP($A985, 'Medical Examinations'!A:F, 6, FALSE)</f>
        <v>No</v>
      </c>
      <c r="F985" t="str">
        <f>VLOOKUP($A985, 'Medical Examinations'!A:G, 7, FALSE)</f>
        <v>No</v>
      </c>
      <c r="G985" t="str">
        <f>VLOOKUP($A985, 'Medical Examinations'!A:H, 8, FALSE)</f>
        <v>No</v>
      </c>
      <c r="H985" t="str">
        <f>VLOOKUP($A985, 'Medical Examinations'!A:J, 10, FALSE)</f>
        <v>No major surgery</v>
      </c>
      <c r="I985" t="str">
        <f>VLOOKUP($A985, 'Medical Examinations'!A:K, 11, FALSE)</f>
        <v>No</v>
      </c>
      <c r="J985" t="str">
        <f>VLOOKUP($A985, 'Medical Examinations'!A:B, 2, FALSE)</f>
        <v>Overweight</v>
      </c>
      <c r="K985" t="str">
        <f>VLOOKUP($A985, 'Medical Examinations'!A:D, 4, FALSE)</f>
        <v>Diabetes</v>
      </c>
    </row>
    <row r="986" spans="1:11" ht="15.5" x14ac:dyDescent="0.35">
      <c r="A986" s="1" t="s">
        <v>1386</v>
      </c>
      <c r="B986" t="str">
        <f>VLOOKUP($A986, 'Customer Names'!A:D, 3, FALSE)</f>
        <v>McCue</v>
      </c>
      <c r="C986">
        <f>VLOOKUP($A986,'Medical Examinations'!A:C, 3, FALSE)</f>
        <v>42.46</v>
      </c>
      <c r="D986" t="str">
        <f>VLOOKUP($A986, 'Medical Examinations'!A:D, 4, FALSE)</f>
        <v>Normal</v>
      </c>
      <c r="E986" t="str">
        <f>VLOOKUP($A986, 'Medical Examinations'!A:F, 6, FALSE)</f>
        <v>No</v>
      </c>
      <c r="F986" t="str">
        <f>VLOOKUP($A986, 'Medical Examinations'!A:G, 7, FALSE)</f>
        <v>No</v>
      </c>
      <c r="G986" t="str">
        <f>VLOOKUP($A986, 'Medical Examinations'!A:H, 8, FALSE)</f>
        <v>No</v>
      </c>
      <c r="H986" t="str">
        <f>VLOOKUP($A986, 'Medical Examinations'!A:J, 10, FALSE)</f>
        <v>No major surgery</v>
      </c>
      <c r="I986" t="str">
        <f>VLOOKUP($A986, 'Medical Examinations'!A:K, 11, FALSE)</f>
        <v>No</v>
      </c>
      <c r="J986" t="str">
        <f>VLOOKUP($A986, 'Medical Examinations'!A:B, 2, FALSE)</f>
        <v>Obesity</v>
      </c>
      <c r="K986" t="str">
        <f>VLOOKUP($A986, 'Medical Examinations'!A:D, 4, FALSE)</f>
        <v>Normal</v>
      </c>
    </row>
    <row r="987" spans="1:11" ht="15.5" x14ac:dyDescent="0.35">
      <c r="A987" s="1" t="s">
        <v>1385</v>
      </c>
      <c r="B987" t="str">
        <f>VLOOKUP($A987, 'Customer Names'!A:D, 3, FALSE)</f>
        <v>Webster</v>
      </c>
      <c r="C987">
        <f>VLOOKUP($A987,'Medical Examinations'!A:C, 3, FALSE)</f>
        <v>54.47</v>
      </c>
      <c r="D987" t="str">
        <f>VLOOKUP($A987, 'Medical Examinations'!A:D, 4, FALSE)</f>
        <v>Diabetes</v>
      </c>
      <c r="E987" t="str">
        <f>VLOOKUP($A987, 'Medical Examinations'!A:F, 6, FALSE)</f>
        <v>No</v>
      </c>
      <c r="F987" t="str">
        <f>VLOOKUP($A987, 'Medical Examinations'!A:G, 7, FALSE)</f>
        <v>No</v>
      </c>
      <c r="G987" t="str">
        <f>VLOOKUP($A987, 'Medical Examinations'!A:H, 8, FALSE)</f>
        <v>No</v>
      </c>
      <c r="H987" t="str">
        <f>VLOOKUP($A987, 'Medical Examinations'!A:J, 10, FALSE)</f>
        <v>No major surgery</v>
      </c>
      <c r="I987" t="str">
        <f>VLOOKUP($A987, 'Medical Examinations'!A:K, 11, FALSE)</f>
        <v>No</v>
      </c>
      <c r="J987" t="str">
        <f>VLOOKUP($A987, 'Medical Examinations'!A:B, 2, FALSE)</f>
        <v>Obesity</v>
      </c>
      <c r="K987" t="str">
        <f>VLOOKUP($A987, 'Medical Examinations'!A:D, 4, FALSE)</f>
        <v>Diabetes</v>
      </c>
    </row>
    <row r="988" spans="1:11" ht="15.5" x14ac:dyDescent="0.35">
      <c r="A988" s="1" t="s">
        <v>1384</v>
      </c>
      <c r="B988" t="str">
        <f>VLOOKUP($A988, 'Customer Names'!A:D, 3, FALSE)</f>
        <v>Anderson</v>
      </c>
      <c r="C988">
        <f>VLOOKUP($A988,'Medical Examinations'!A:C, 3, FALSE)</f>
        <v>24.93</v>
      </c>
      <c r="D988" t="str">
        <f>VLOOKUP($A988, 'Medical Examinations'!A:D, 4, FALSE)</f>
        <v>Diabetes</v>
      </c>
      <c r="E988" t="str">
        <f>VLOOKUP($A988, 'Medical Examinations'!A:F, 6, FALSE)</f>
        <v>yes</v>
      </c>
      <c r="F988" t="str">
        <f>VLOOKUP($A988, 'Medical Examinations'!A:G, 7, FALSE)</f>
        <v>No</v>
      </c>
      <c r="G988" t="str">
        <f>VLOOKUP($A988, 'Medical Examinations'!A:H, 8, FALSE)</f>
        <v>Yes</v>
      </c>
      <c r="H988">
        <f>VLOOKUP($A988, 'Medical Examinations'!A:J, 10, FALSE)</f>
        <v>1</v>
      </c>
      <c r="I988" t="str">
        <f>VLOOKUP($A988, 'Medical Examinations'!A:K, 11, FALSE)</f>
        <v>No</v>
      </c>
      <c r="J988" t="str">
        <f>VLOOKUP($A988, 'Medical Examinations'!A:B, 2, FALSE)</f>
        <v>Overweight</v>
      </c>
      <c r="K988" t="str">
        <f>VLOOKUP($A988, 'Medical Examinations'!A:D, 4, FALSE)</f>
        <v>Diabetes</v>
      </c>
    </row>
    <row r="989" spans="1:11" ht="15.5" x14ac:dyDescent="0.35">
      <c r="A989" s="1" t="s">
        <v>1383</v>
      </c>
      <c r="B989" t="str">
        <f>VLOOKUP($A989, 'Customer Names'!A:D, 3, FALSE)</f>
        <v>Chiappone</v>
      </c>
      <c r="C989">
        <f>VLOOKUP($A989,'Medical Examinations'!A:C, 3, FALSE)</f>
        <v>48.12</v>
      </c>
      <c r="D989" t="str">
        <f>VLOOKUP($A989, 'Medical Examinations'!A:D, 4, FALSE)</f>
        <v>Normal</v>
      </c>
      <c r="E989" t="str">
        <f>VLOOKUP($A989, 'Medical Examinations'!A:F, 6, FALSE)</f>
        <v>yes</v>
      </c>
      <c r="F989" t="str">
        <f>VLOOKUP($A989, 'Medical Examinations'!A:G, 7, FALSE)</f>
        <v>No</v>
      </c>
      <c r="G989" t="str">
        <f>VLOOKUP($A989, 'Medical Examinations'!A:H, 8, FALSE)</f>
        <v>No</v>
      </c>
      <c r="H989">
        <f>VLOOKUP($A989, 'Medical Examinations'!A:J, 10, FALSE)</f>
        <v>1</v>
      </c>
      <c r="I989" t="str">
        <f>VLOOKUP($A989, 'Medical Examinations'!A:K, 11, FALSE)</f>
        <v>No</v>
      </c>
      <c r="J989" t="str">
        <f>VLOOKUP($A989, 'Medical Examinations'!A:B, 2, FALSE)</f>
        <v>Obesity</v>
      </c>
      <c r="K989" t="str">
        <f>VLOOKUP($A989, 'Medical Examinations'!A:D, 4, FALSE)</f>
        <v>Normal</v>
      </c>
    </row>
    <row r="990" spans="1:11" ht="15.5" x14ac:dyDescent="0.35">
      <c r="A990" s="1" t="s">
        <v>1382</v>
      </c>
      <c r="B990" t="str">
        <f>VLOOKUP($A990, 'Customer Names'!A:D, 3, FALSE)</f>
        <v>Opie</v>
      </c>
      <c r="C990">
        <f>VLOOKUP($A990,'Medical Examinations'!A:C, 3, FALSE)</f>
        <v>24.91</v>
      </c>
      <c r="D990" t="str">
        <f>VLOOKUP($A990, 'Medical Examinations'!A:D, 4, FALSE)</f>
        <v>Diabetes</v>
      </c>
      <c r="E990" t="str">
        <f>VLOOKUP($A990, 'Medical Examinations'!A:F, 6, FALSE)</f>
        <v>yes</v>
      </c>
      <c r="F990" t="str">
        <f>VLOOKUP($A990, 'Medical Examinations'!A:G, 7, FALSE)</f>
        <v>No</v>
      </c>
      <c r="G990" t="str">
        <f>VLOOKUP($A990, 'Medical Examinations'!A:H, 8, FALSE)</f>
        <v>Yes</v>
      </c>
      <c r="H990">
        <f>VLOOKUP($A990, 'Medical Examinations'!A:J, 10, FALSE)</f>
        <v>1</v>
      </c>
      <c r="I990" t="str">
        <f>VLOOKUP($A990, 'Medical Examinations'!A:K, 11, FALSE)</f>
        <v>No</v>
      </c>
      <c r="J990" t="str">
        <f>VLOOKUP($A990, 'Medical Examinations'!A:B, 2, FALSE)</f>
        <v>Overweight</v>
      </c>
      <c r="K990" t="str">
        <f>VLOOKUP($A990, 'Medical Examinations'!A:D, 4, FALSE)</f>
        <v>Diabetes</v>
      </c>
    </row>
    <row r="991" spans="1:11" ht="15.5" x14ac:dyDescent="0.35">
      <c r="A991" s="1" t="s">
        <v>1381</v>
      </c>
      <c r="B991" t="str">
        <f>VLOOKUP($A991, 'Customer Names'!A:D, 3, FALSE)</f>
        <v>Donnelly</v>
      </c>
      <c r="C991">
        <f>VLOOKUP($A991,'Medical Examinations'!A:C, 3, FALSE)</f>
        <v>27.645</v>
      </c>
      <c r="D991" t="str">
        <f>VLOOKUP($A991, 'Medical Examinations'!A:D, 4, FALSE)</f>
        <v>Diabetes</v>
      </c>
      <c r="E991" t="str">
        <f>VLOOKUP($A991, 'Medical Examinations'!A:F, 6, FALSE)</f>
        <v>No</v>
      </c>
      <c r="F991" t="str">
        <f>VLOOKUP($A991, 'Medical Examinations'!A:G, 7, FALSE)</f>
        <v>No</v>
      </c>
      <c r="G991" t="str">
        <f>VLOOKUP($A991, 'Medical Examinations'!A:H, 8, FALSE)</f>
        <v>No</v>
      </c>
      <c r="H991" t="str">
        <f>VLOOKUP($A991, 'Medical Examinations'!A:J, 10, FALSE)</f>
        <v>No major surgery</v>
      </c>
      <c r="I991" t="str">
        <f>VLOOKUP($A991, 'Medical Examinations'!A:K, 11, FALSE)</f>
        <v>No</v>
      </c>
      <c r="J991" t="str">
        <f>VLOOKUP($A991, 'Medical Examinations'!A:B, 2, FALSE)</f>
        <v>Overweight</v>
      </c>
      <c r="K991" t="str">
        <f>VLOOKUP($A991, 'Medical Examinations'!A:D, 4, FALSE)</f>
        <v>Diabetes</v>
      </c>
    </row>
    <row r="992" spans="1:11" ht="15.5" x14ac:dyDescent="0.35">
      <c r="A992" s="1" t="s">
        <v>1380</v>
      </c>
      <c r="B992" t="str">
        <f>VLOOKUP($A992, 'Customer Names'!A:D, 3, FALSE)</f>
        <v>Rall</v>
      </c>
      <c r="C992">
        <f>VLOOKUP($A992,'Medical Examinations'!A:C, 3, FALSE)</f>
        <v>33.700000000000003</v>
      </c>
      <c r="D992" t="str">
        <f>VLOOKUP($A992, 'Medical Examinations'!A:D, 4, FALSE)</f>
        <v>Normal</v>
      </c>
      <c r="E992" t="str">
        <f>VLOOKUP($A992, 'Medical Examinations'!A:F, 6, FALSE)</f>
        <v>No</v>
      </c>
      <c r="F992" t="str">
        <f>VLOOKUP($A992, 'Medical Examinations'!A:G, 7, FALSE)</f>
        <v>No</v>
      </c>
      <c r="G992" t="str">
        <f>VLOOKUP($A992, 'Medical Examinations'!A:H, 8, FALSE)</f>
        <v>No</v>
      </c>
      <c r="H992">
        <f>VLOOKUP($A992, 'Medical Examinations'!A:J, 10, FALSE)</f>
        <v>2</v>
      </c>
      <c r="I992" t="str">
        <f>VLOOKUP($A992, 'Medical Examinations'!A:K, 11, FALSE)</f>
        <v>No</v>
      </c>
      <c r="J992" t="str">
        <f>VLOOKUP($A992, 'Medical Examinations'!A:B, 2, FALSE)</f>
        <v>Obesity</v>
      </c>
      <c r="K992" t="str">
        <f>VLOOKUP($A992, 'Medical Examinations'!A:D, 4, FALSE)</f>
        <v>Normal</v>
      </c>
    </row>
    <row r="993" spans="1:11" ht="15.5" x14ac:dyDescent="0.35">
      <c r="A993" s="1" t="s">
        <v>1379</v>
      </c>
      <c r="B993" t="str">
        <f>VLOOKUP($A993, 'Customer Names'!A:D, 3, FALSE)</f>
        <v>Mitchell</v>
      </c>
      <c r="C993">
        <f>VLOOKUP($A993,'Medical Examinations'!A:C, 3, FALSE)</f>
        <v>38.93</v>
      </c>
      <c r="D993" t="str">
        <f>VLOOKUP($A993, 'Medical Examinations'!A:D, 4, FALSE)</f>
        <v>Normal</v>
      </c>
      <c r="E993" t="str">
        <f>VLOOKUP($A993, 'Medical Examinations'!A:F, 6, FALSE)</f>
        <v>yes</v>
      </c>
      <c r="F993" t="str">
        <f>VLOOKUP($A993, 'Medical Examinations'!A:G, 7, FALSE)</f>
        <v>No</v>
      </c>
      <c r="G993" t="str">
        <f>VLOOKUP($A993, 'Medical Examinations'!A:H, 8, FALSE)</f>
        <v>No</v>
      </c>
      <c r="H993">
        <f>VLOOKUP($A993, 'Medical Examinations'!A:J, 10, FALSE)</f>
        <v>1</v>
      </c>
      <c r="I993" t="str">
        <f>VLOOKUP($A993, 'Medical Examinations'!A:K, 11, FALSE)</f>
        <v>No</v>
      </c>
      <c r="J993" t="str">
        <f>VLOOKUP($A993, 'Medical Examinations'!A:B, 2, FALSE)</f>
        <v>Obesity</v>
      </c>
      <c r="K993" t="str">
        <f>VLOOKUP($A993, 'Medical Examinations'!A:D, 4, FALSE)</f>
        <v>Normal</v>
      </c>
    </row>
    <row r="994" spans="1:11" ht="15.5" x14ac:dyDescent="0.35">
      <c r="A994" s="1" t="s">
        <v>1378</v>
      </c>
      <c r="B994" t="str">
        <f>VLOOKUP($A994, 'Customer Names'!A:D, 3, FALSE)</f>
        <v>Chen</v>
      </c>
      <c r="C994">
        <f>VLOOKUP($A994,'Medical Examinations'!A:C, 3, FALSE)</f>
        <v>32.774999999999999</v>
      </c>
      <c r="D994" t="str">
        <f>VLOOKUP($A994, 'Medical Examinations'!A:D, 4, FALSE)</f>
        <v>Diabetes</v>
      </c>
      <c r="E994" t="str">
        <f>VLOOKUP($A994, 'Medical Examinations'!A:F, 6, FALSE)</f>
        <v>yes</v>
      </c>
      <c r="F994" t="str">
        <f>VLOOKUP($A994, 'Medical Examinations'!A:G, 7, FALSE)</f>
        <v>No</v>
      </c>
      <c r="G994" t="str">
        <f>VLOOKUP($A994, 'Medical Examinations'!A:H, 8, FALSE)</f>
        <v>No</v>
      </c>
      <c r="H994">
        <f>VLOOKUP($A994, 'Medical Examinations'!A:J, 10, FALSE)</f>
        <v>2</v>
      </c>
      <c r="I994" t="str">
        <f>VLOOKUP($A994, 'Medical Examinations'!A:K, 11, FALSE)</f>
        <v>No</v>
      </c>
      <c r="J994" t="str">
        <f>VLOOKUP($A994, 'Medical Examinations'!A:B, 2, FALSE)</f>
        <v>Obesity</v>
      </c>
      <c r="K994" t="str">
        <f>VLOOKUP($A994, 'Medical Examinations'!A:D, 4, FALSE)</f>
        <v>Diabetes</v>
      </c>
    </row>
    <row r="995" spans="1:11" ht="15.5" x14ac:dyDescent="0.35">
      <c r="A995" s="1" t="s">
        <v>1377</v>
      </c>
      <c r="B995" t="str">
        <f>VLOOKUP($A995, 'Customer Names'!A:D, 3, FALSE)</f>
        <v>Tufaro</v>
      </c>
      <c r="C995">
        <f>VLOOKUP($A995,'Medical Examinations'!A:C, 3, FALSE)</f>
        <v>29.83</v>
      </c>
      <c r="D995" t="str">
        <f>VLOOKUP($A995, 'Medical Examinations'!A:D, 4, FALSE)</f>
        <v>Diabetes</v>
      </c>
      <c r="E995" t="str">
        <f>VLOOKUP($A995, 'Medical Examinations'!A:F, 6, FALSE)</f>
        <v>yes</v>
      </c>
      <c r="F995" t="str">
        <f>VLOOKUP($A995, 'Medical Examinations'!A:G, 7, FALSE)</f>
        <v>No</v>
      </c>
      <c r="G995" t="str">
        <f>VLOOKUP($A995, 'Medical Examinations'!A:H, 8, FALSE)</f>
        <v>No</v>
      </c>
      <c r="H995" t="str">
        <f>VLOOKUP($A995, 'Medical Examinations'!A:J, 10, FALSE)</f>
        <v>No major surgery</v>
      </c>
      <c r="I995" t="str">
        <f>VLOOKUP($A995, 'Medical Examinations'!A:K, 11, FALSE)</f>
        <v>No</v>
      </c>
      <c r="J995" t="str">
        <f>VLOOKUP($A995, 'Medical Examinations'!A:B, 2, FALSE)</f>
        <v>Overweight</v>
      </c>
      <c r="K995" t="str">
        <f>VLOOKUP($A995, 'Medical Examinations'!A:D, 4, FALSE)</f>
        <v>Diabetes</v>
      </c>
    </row>
    <row r="996" spans="1:11" ht="15.5" x14ac:dyDescent="0.35">
      <c r="A996" s="1" t="s">
        <v>1376</v>
      </c>
      <c r="B996" t="str">
        <f>VLOOKUP($A996, 'Customer Names'!A:D, 3, FALSE)</f>
        <v>Peters</v>
      </c>
      <c r="C996">
        <f>VLOOKUP($A996,'Medical Examinations'!A:C, 3, FALSE)</f>
        <v>28.31</v>
      </c>
      <c r="D996" t="str">
        <f>VLOOKUP($A996, 'Medical Examinations'!A:D, 4, FALSE)</f>
        <v>Normal</v>
      </c>
      <c r="E996" t="str">
        <f>VLOOKUP($A996, 'Medical Examinations'!A:F, 6, FALSE)</f>
        <v>No</v>
      </c>
      <c r="F996" t="str">
        <f>VLOOKUP($A996, 'Medical Examinations'!A:G, 7, FALSE)</f>
        <v>yes</v>
      </c>
      <c r="G996" t="str">
        <f>VLOOKUP($A996, 'Medical Examinations'!A:H, 8, FALSE)</f>
        <v>No</v>
      </c>
      <c r="H996">
        <f>VLOOKUP($A996, 'Medical Examinations'!A:J, 10, FALSE)</f>
        <v>1</v>
      </c>
      <c r="I996" t="str">
        <f>VLOOKUP($A996, 'Medical Examinations'!A:K, 11, FALSE)</f>
        <v>No</v>
      </c>
      <c r="J996" t="str">
        <f>VLOOKUP($A996, 'Medical Examinations'!A:B, 2, FALSE)</f>
        <v>Overweight</v>
      </c>
      <c r="K996" t="str">
        <f>VLOOKUP($A996, 'Medical Examinations'!A:D, 4, FALSE)</f>
        <v>Normal</v>
      </c>
    </row>
    <row r="997" spans="1:11" ht="15.5" x14ac:dyDescent="0.35">
      <c r="A997" s="1" t="s">
        <v>1375</v>
      </c>
      <c r="B997" t="str">
        <f>VLOOKUP($A997, 'Customer Names'!A:D, 3, FALSE)</f>
        <v>Susedik</v>
      </c>
      <c r="C997">
        <f>VLOOKUP($A997,'Medical Examinations'!A:C, 3, FALSE)</f>
        <v>29.79</v>
      </c>
      <c r="D997" t="str">
        <f>VLOOKUP($A997, 'Medical Examinations'!A:D, 4, FALSE)</f>
        <v>Diabetes</v>
      </c>
      <c r="E997" t="str">
        <f>VLOOKUP($A997, 'Medical Examinations'!A:F, 6, FALSE)</f>
        <v>No</v>
      </c>
      <c r="F997" t="str">
        <f>VLOOKUP($A997, 'Medical Examinations'!A:G, 7, FALSE)</f>
        <v>No</v>
      </c>
      <c r="G997" t="str">
        <f>VLOOKUP($A997, 'Medical Examinations'!A:H, 8, FALSE)</f>
        <v>No</v>
      </c>
      <c r="H997" t="str">
        <f>VLOOKUP($A997, 'Medical Examinations'!A:J, 10, FALSE)</f>
        <v>No major surgery</v>
      </c>
      <c r="I997" t="str">
        <f>VLOOKUP($A997, 'Medical Examinations'!A:K, 11, FALSE)</f>
        <v>No</v>
      </c>
      <c r="J997" t="str">
        <f>VLOOKUP($A997, 'Medical Examinations'!A:B, 2, FALSE)</f>
        <v>Overweight</v>
      </c>
      <c r="K997" t="str">
        <f>VLOOKUP($A997, 'Medical Examinations'!A:D, 4, FALSE)</f>
        <v>Diabetes</v>
      </c>
    </row>
    <row r="998" spans="1:11" ht="15.5" x14ac:dyDescent="0.35">
      <c r="A998" s="1" t="s">
        <v>1374</v>
      </c>
      <c r="B998" t="str">
        <f>VLOOKUP($A998, 'Customer Names'!A:D, 3, FALSE)</f>
        <v>Garcia</v>
      </c>
      <c r="C998">
        <f>VLOOKUP($A998,'Medical Examinations'!A:C, 3, FALSE)</f>
        <v>36.6</v>
      </c>
      <c r="D998" t="str">
        <f>VLOOKUP($A998, 'Medical Examinations'!A:D, 4, FALSE)</f>
        <v>Normal</v>
      </c>
      <c r="E998" t="str">
        <f>VLOOKUP($A998, 'Medical Examinations'!A:F, 6, FALSE)</f>
        <v>yes</v>
      </c>
      <c r="F998" t="str">
        <f>VLOOKUP($A998, 'Medical Examinations'!A:G, 7, FALSE)</f>
        <v>No</v>
      </c>
      <c r="G998" t="str">
        <f>VLOOKUP($A998, 'Medical Examinations'!A:H, 8, FALSE)</f>
        <v>Yes</v>
      </c>
      <c r="H998">
        <f>VLOOKUP($A998, 'Medical Examinations'!A:J, 10, FALSE)</f>
        <v>1</v>
      </c>
      <c r="I998" t="str">
        <f>VLOOKUP($A998, 'Medical Examinations'!A:K, 11, FALSE)</f>
        <v>No</v>
      </c>
      <c r="J998" t="str">
        <f>VLOOKUP($A998, 'Medical Examinations'!A:B, 2, FALSE)</f>
        <v>Obesity</v>
      </c>
      <c r="K998" t="str">
        <f>VLOOKUP($A998, 'Medical Examinations'!A:D, 4, FALSE)</f>
        <v>Normal</v>
      </c>
    </row>
    <row r="999" spans="1:11" ht="15.5" x14ac:dyDescent="0.35">
      <c r="A999" s="1" t="s">
        <v>1373</v>
      </c>
      <c r="B999" t="str">
        <f>VLOOKUP($A999, 'Customer Names'!A:D, 3, FALSE)</f>
        <v>Deady</v>
      </c>
      <c r="C999">
        <f>VLOOKUP($A999,'Medical Examinations'!A:C, 3, FALSE)</f>
        <v>35.93</v>
      </c>
      <c r="D999" t="str">
        <f>VLOOKUP($A999, 'Medical Examinations'!A:D, 4, FALSE)</f>
        <v>Diabetes</v>
      </c>
      <c r="E999" t="str">
        <f>VLOOKUP($A999, 'Medical Examinations'!A:F, 6, FALSE)</f>
        <v>yes</v>
      </c>
      <c r="F999" t="str">
        <f>VLOOKUP($A999, 'Medical Examinations'!A:G, 7, FALSE)</f>
        <v>No</v>
      </c>
      <c r="G999" t="str">
        <f>VLOOKUP($A999, 'Medical Examinations'!A:H, 8, FALSE)</f>
        <v>No</v>
      </c>
      <c r="H999" t="str">
        <f>VLOOKUP($A999, 'Medical Examinations'!A:J, 10, FALSE)</f>
        <v>No major surgery</v>
      </c>
      <c r="I999" t="str">
        <f>VLOOKUP($A999, 'Medical Examinations'!A:K, 11, FALSE)</f>
        <v>No</v>
      </c>
      <c r="J999" t="str">
        <f>VLOOKUP($A999, 'Medical Examinations'!A:B, 2, FALSE)</f>
        <v>Obesity</v>
      </c>
      <c r="K999" t="str">
        <f>VLOOKUP($A999, 'Medical Examinations'!A:D, 4, FALSE)</f>
        <v>Diabetes</v>
      </c>
    </row>
    <row r="1000" spans="1:11" ht="15.5" x14ac:dyDescent="0.35">
      <c r="A1000" s="1" t="s">
        <v>1372</v>
      </c>
      <c r="B1000" t="str">
        <f>VLOOKUP($A1000, 'Customer Names'!A:D, 3, FALSE)</f>
        <v>Campbell</v>
      </c>
      <c r="C1000">
        <f>VLOOKUP($A1000,'Medical Examinations'!A:C, 3, FALSE)</f>
        <v>28.6</v>
      </c>
      <c r="D1000" t="str">
        <f>VLOOKUP($A1000, 'Medical Examinations'!A:D, 4, FALSE)</f>
        <v>Normal</v>
      </c>
      <c r="E1000" t="str">
        <f>VLOOKUP($A1000, 'Medical Examinations'!A:F, 6, FALSE)</f>
        <v>yes</v>
      </c>
      <c r="F1000" t="str">
        <f>VLOOKUP($A1000, 'Medical Examinations'!A:G, 7, FALSE)</f>
        <v>No</v>
      </c>
      <c r="G1000" t="str">
        <f>VLOOKUP($A1000, 'Medical Examinations'!A:H, 8, FALSE)</f>
        <v>Yes</v>
      </c>
      <c r="H1000">
        <f>VLOOKUP($A1000, 'Medical Examinations'!A:J, 10, FALSE)</f>
        <v>1</v>
      </c>
      <c r="I1000" t="str">
        <f>VLOOKUP($A1000, 'Medical Examinations'!A:K, 11, FALSE)</f>
        <v>No</v>
      </c>
      <c r="J1000" t="str">
        <f>VLOOKUP($A1000, 'Medical Examinations'!A:B, 2, FALSE)</f>
        <v>Overweight</v>
      </c>
      <c r="K1000" t="str">
        <f>VLOOKUP($A1000, 'Medical Examinations'!A:D, 4, FALSE)</f>
        <v>Normal</v>
      </c>
    </row>
    <row r="1001" spans="1:11" ht="15.5" x14ac:dyDescent="0.35">
      <c r="A1001" s="1" t="s">
        <v>1371</v>
      </c>
      <c r="B1001" t="str">
        <f>VLOOKUP($A1001, 'Customer Names'!A:D, 3, FALSE)</f>
        <v>Schaefer</v>
      </c>
      <c r="C1001">
        <f>VLOOKUP($A1001,'Medical Examinations'!A:C, 3, FALSE)</f>
        <v>39.17</v>
      </c>
      <c r="D1001" t="str">
        <f>VLOOKUP($A1001, 'Medical Examinations'!A:D, 4, FALSE)</f>
        <v>Normal</v>
      </c>
      <c r="E1001" t="str">
        <f>VLOOKUP($A1001, 'Medical Examinations'!A:F, 6, FALSE)</f>
        <v>No</v>
      </c>
      <c r="F1001" t="str">
        <f>VLOOKUP($A1001, 'Medical Examinations'!A:G, 7, FALSE)</f>
        <v>No</v>
      </c>
      <c r="G1001" t="str">
        <f>VLOOKUP($A1001, 'Medical Examinations'!A:H, 8, FALSE)</f>
        <v>No</v>
      </c>
      <c r="H1001" t="str">
        <f>VLOOKUP($A1001, 'Medical Examinations'!A:J, 10, FALSE)</f>
        <v>No major surgery</v>
      </c>
      <c r="I1001" t="str">
        <f>VLOOKUP($A1001, 'Medical Examinations'!A:K, 11, FALSE)</f>
        <v>No</v>
      </c>
      <c r="J1001" t="str">
        <f>VLOOKUP($A1001, 'Medical Examinations'!A:B, 2, FALSE)</f>
        <v>Obesity</v>
      </c>
      <c r="K1001" t="str">
        <f>VLOOKUP($A1001, 'Medical Examinations'!A:D, 4, FALSE)</f>
        <v>Normal</v>
      </c>
    </row>
    <row r="1002" spans="1:11" ht="15.5" x14ac:dyDescent="0.35">
      <c r="A1002" s="1" t="s">
        <v>1370</v>
      </c>
      <c r="B1002" t="str">
        <f>VLOOKUP($A1002, 'Customer Names'!A:D, 3, FALSE)</f>
        <v>D'Alessandro</v>
      </c>
      <c r="C1002">
        <f>VLOOKUP($A1002,'Medical Examinations'!A:C, 3, FALSE)</f>
        <v>26.41</v>
      </c>
      <c r="D1002" t="str">
        <f>VLOOKUP($A1002, 'Medical Examinations'!A:D, 4, FALSE)</f>
        <v>Prediabetes</v>
      </c>
      <c r="E1002" t="str">
        <f>VLOOKUP($A1002, 'Medical Examinations'!A:F, 6, FALSE)</f>
        <v>yes</v>
      </c>
      <c r="F1002" t="str">
        <f>VLOOKUP($A1002, 'Medical Examinations'!A:G, 7, FALSE)</f>
        <v>No</v>
      </c>
      <c r="G1002" t="str">
        <f>VLOOKUP($A1002, 'Medical Examinations'!A:H, 8, FALSE)</f>
        <v>Yes</v>
      </c>
      <c r="H1002">
        <f>VLOOKUP($A1002, 'Medical Examinations'!A:J, 10, FALSE)</f>
        <v>1</v>
      </c>
      <c r="I1002" t="str">
        <f>VLOOKUP($A1002, 'Medical Examinations'!A:K, 11, FALSE)</f>
        <v>No</v>
      </c>
      <c r="J1002" t="str">
        <f>VLOOKUP($A1002, 'Medical Examinations'!A:B, 2, FALSE)</f>
        <v>Overweight</v>
      </c>
      <c r="K1002" t="str">
        <f>VLOOKUP($A1002, 'Medical Examinations'!A:D, 4, FALSE)</f>
        <v>Prediabetes</v>
      </c>
    </row>
    <row r="1003" spans="1:11" ht="15.5" x14ac:dyDescent="0.35">
      <c r="A1003" s="1" t="s">
        <v>1369</v>
      </c>
      <c r="B1003" t="str">
        <f>VLOOKUP($A1003, 'Customer Names'!A:D, 3, FALSE)</f>
        <v>Wyss</v>
      </c>
      <c r="C1003">
        <f>VLOOKUP($A1003,'Medical Examinations'!A:C, 3, FALSE)</f>
        <v>30.63</v>
      </c>
      <c r="D1003" t="str">
        <f>VLOOKUP($A1003, 'Medical Examinations'!A:D, 4, FALSE)</f>
        <v>Prediabetes</v>
      </c>
      <c r="E1003" t="str">
        <f>VLOOKUP($A1003, 'Medical Examinations'!A:F, 6, FALSE)</f>
        <v>yes</v>
      </c>
      <c r="F1003" t="str">
        <f>VLOOKUP($A1003, 'Medical Examinations'!A:G, 7, FALSE)</f>
        <v>No</v>
      </c>
      <c r="G1003" t="str">
        <f>VLOOKUP($A1003, 'Medical Examinations'!A:H, 8, FALSE)</f>
        <v>No</v>
      </c>
      <c r="H1003" t="str">
        <f>VLOOKUP($A1003, 'Medical Examinations'!A:J, 10, FALSE)</f>
        <v>No major surgery</v>
      </c>
      <c r="I1003" t="str">
        <f>VLOOKUP($A1003, 'Medical Examinations'!A:K, 11, FALSE)</f>
        <v>No</v>
      </c>
      <c r="J1003" t="str">
        <f>VLOOKUP($A1003, 'Medical Examinations'!A:B, 2, FALSE)</f>
        <v>Obesity</v>
      </c>
      <c r="K1003" t="str">
        <f>VLOOKUP($A1003, 'Medical Examinations'!A:D, 4, FALSE)</f>
        <v>Prediabetes</v>
      </c>
    </row>
    <row r="1004" spans="1:11" ht="15.5" x14ac:dyDescent="0.35">
      <c r="A1004" s="1" t="s">
        <v>1368</v>
      </c>
      <c r="B1004" t="str">
        <f>VLOOKUP($A1004, 'Customer Names'!A:D, 3, FALSE)</f>
        <v>Rose</v>
      </c>
      <c r="C1004">
        <f>VLOOKUP($A1004,'Medical Examinations'!A:C, 3, FALSE)</f>
        <v>31.73</v>
      </c>
      <c r="D1004" t="str">
        <f>VLOOKUP($A1004, 'Medical Examinations'!A:D, 4, FALSE)</f>
        <v>Diabetes</v>
      </c>
      <c r="E1004" t="str">
        <f>VLOOKUP($A1004, 'Medical Examinations'!A:F, 6, FALSE)</f>
        <v>yes</v>
      </c>
      <c r="F1004" t="str">
        <f>VLOOKUP($A1004, 'Medical Examinations'!A:G, 7, FALSE)</f>
        <v>No</v>
      </c>
      <c r="G1004" t="str">
        <f>VLOOKUP($A1004, 'Medical Examinations'!A:H, 8, FALSE)</f>
        <v>No</v>
      </c>
      <c r="H1004">
        <f>VLOOKUP($A1004, 'Medical Examinations'!A:J, 10, FALSE)</f>
        <v>2</v>
      </c>
      <c r="I1004" t="str">
        <f>VLOOKUP($A1004, 'Medical Examinations'!A:K, 11, FALSE)</f>
        <v>No</v>
      </c>
      <c r="J1004" t="str">
        <f>VLOOKUP($A1004, 'Medical Examinations'!A:B, 2, FALSE)</f>
        <v>Obesity</v>
      </c>
      <c r="K1004" t="str">
        <f>VLOOKUP($A1004, 'Medical Examinations'!A:D, 4, FALSE)</f>
        <v>Diabetes</v>
      </c>
    </row>
    <row r="1005" spans="1:11" ht="15.5" x14ac:dyDescent="0.35">
      <c r="A1005" s="1" t="s">
        <v>1367</v>
      </c>
      <c r="B1005" t="str">
        <f>VLOOKUP($A1005, 'Customer Names'!A:D, 3, FALSE)</f>
        <v>Hopper</v>
      </c>
      <c r="C1005">
        <f>VLOOKUP($A1005,'Medical Examinations'!A:C, 3, FALSE)</f>
        <v>30.7</v>
      </c>
      <c r="D1005" t="str">
        <f>VLOOKUP($A1005, 'Medical Examinations'!A:D, 4, FALSE)</f>
        <v>Normal</v>
      </c>
      <c r="E1005" t="str">
        <f>VLOOKUP($A1005, 'Medical Examinations'!A:F, 6, FALSE)</f>
        <v>No</v>
      </c>
      <c r="F1005" t="str">
        <f>VLOOKUP($A1005, 'Medical Examinations'!A:G, 7, FALSE)</f>
        <v>No</v>
      </c>
      <c r="G1005" t="str">
        <f>VLOOKUP($A1005, 'Medical Examinations'!A:H, 8, FALSE)</f>
        <v>No</v>
      </c>
      <c r="H1005">
        <f>VLOOKUP($A1005, 'Medical Examinations'!A:J, 10, FALSE)</f>
        <v>2</v>
      </c>
      <c r="I1005" t="str">
        <f>VLOOKUP($A1005, 'Medical Examinations'!A:K, 11, FALSE)</f>
        <v>No</v>
      </c>
      <c r="J1005" t="str">
        <f>VLOOKUP($A1005, 'Medical Examinations'!A:B, 2, FALSE)</f>
        <v>Obesity</v>
      </c>
      <c r="K1005" t="str">
        <f>VLOOKUP($A1005, 'Medical Examinations'!A:D, 4, FALSE)</f>
        <v>Normal</v>
      </c>
    </row>
    <row r="1006" spans="1:11" ht="15.5" x14ac:dyDescent="0.35">
      <c r="A1006" s="1" t="s">
        <v>1366</v>
      </c>
      <c r="B1006" t="str">
        <f>VLOOKUP($A1006, 'Customer Names'!A:D, 3, FALSE)</f>
        <v>Finneran</v>
      </c>
      <c r="C1006">
        <f>VLOOKUP($A1006,'Medical Examinations'!A:C, 3, FALSE)</f>
        <v>25.934999999999999</v>
      </c>
      <c r="D1006" t="str">
        <f>VLOOKUP($A1006, 'Medical Examinations'!A:D, 4, FALSE)</f>
        <v>Prediabetes</v>
      </c>
      <c r="E1006" t="str">
        <f>VLOOKUP($A1006, 'Medical Examinations'!A:F, 6, FALSE)</f>
        <v>yes</v>
      </c>
      <c r="F1006" t="str">
        <f>VLOOKUP($A1006, 'Medical Examinations'!A:G, 7, FALSE)</f>
        <v>No</v>
      </c>
      <c r="G1006" t="str">
        <f>VLOOKUP($A1006, 'Medical Examinations'!A:H, 8, FALSE)</f>
        <v>No</v>
      </c>
      <c r="H1006">
        <f>VLOOKUP($A1006, 'Medical Examinations'!A:J, 10, FALSE)</f>
        <v>2</v>
      </c>
      <c r="I1006" t="str">
        <f>VLOOKUP($A1006, 'Medical Examinations'!A:K, 11, FALSE)</f>
        <v>No</v>
      </c>
      <c r="J1006" t="str">
        <f>VLOOKUP($A1006, 'Medical Examinations'!A:B, 2, FALSE)</f>
        <v>Overweight</v>
      </c>
      <c r="K1006" t="str">
        <f>VLOOKUP($A1006, 'Medical Examinations'!A:D, 4, FALSE)</f>
        <v>Prediabetes</v>
      </c>
    </row>
    <row r="1007" spans="1:11" ht="15.5" x14ac:dyDescent="0.35">
      <c r="A1007" s="1" t="s">
        <v>1365</v>
      </c>
      <c r="B1007" t="str">
        <f>VLOOKUP($A1007, 'Customer Names'!A:D, 3, FALSE)</f>
        <v>Basham</v>
      </c>
      <c r="C1007">
        <f>VLOOKUP($A1007,'Medical Examinations'!A:C, 3, FALSE)</f>
        <v>35.9</v>
      </c>
      <c r="D1007" t="str">
        <f>VLOOKUP($A1007, 'Medical Examinations'!A:D, 4, FALSE)</f>
        <v>Normal</v>
      </c>
      <c r="E1007" t="str">
        <f>VLOOKUP($A1007, 'Medical Examinations'!A:F, 6, FALSE)</f>
        <v>yes</v>
      </c>
      <c r="F1007" t="str">
        <f>VLOOKUP($A1007, 'Medical Examinations'!A:G, 7, FALSE)</f>
        <v>No</v>
      </c>
      <c r="G1007" t="str">
        <f>VLOOKUP($A1007, 'Medical Examinations'!A:H, 8, FALSE)</f>
        <v>Yes</v>
      </c>
      <c r="H1007">
        <f>VLOOKUP($A1007, 'Medical Examinations'!A:J, 10, FALSE)</f>
        <v>1</v>
      </c>
      <c r="I1007" t="str">
        <f>VLOOKUP($A1007, 'Medical Examinations'!A:K, 11, FALSE)</f>
        <v>No</v>
      </c>
      <c r="J1007" t="str">
        <f>VLOOKUP($A1007, 'Medical Examinations'!A:B, 2, FALSE)</f>
        <v>Obesity</v>
      </c>
      <c r="K1007" t="str">
        <f>VLOOKUP($A1007, 'Medical Examinations'!A:D, 4, FALSE)</f>
        <v>Normal</v>
      </c>
    </row>
    <row r="1008" spans="1:11" ht="15.5" x14ac:dyDescent="0.35">
      <c r="A1008" s="1" t="s">
        <v>1364</v>
      </c>
      <c r="B1008" t="str">
        <f>VLOOKUP($A1008, 'Customer Names'!A:D, 3, FALSE)</f>
        <v>Inman</v>
      </c>
      <c r="C1008">
        <f>VLOOKUP($A1008,'Medical Examinations'!A:C, 3, FALSE)</f>
        <v>26.7</v>
      </c>
      <c r="D1008" t="str">
        <f>VLOOKUP($A1008, 'Medical Examinations'!A:D, 4, FALSE)</f>
        <v>Normal</v>
      </c>
      <c r="E1008" t="str">
        <f>VLOOKUP($A1008, 'Medical Examinations'!A:F, 6, FALSE)</f>
        <v>yes</v>
      </c>
      <c r="F1008" t="str">
        <f>VLOOKUP($A1008, 'Medical Examinations'!A:G, 7, FALSE)</f>
        <v>No</v>
      </c>
      <c r="G1008" t="str">
        <f>VLOOKUP($A1008, 'Medical Examinations'!A:H, 8, FALSE)</f>
        <v>Yes</v>
      </c>
      <c r="H1008">
        <f>VLOOKUP($A1008, 'Medical Examinations'!A:J, 10, FALSE)</f>
        <v>1</v>
      </c>
      <c r="I1008" t="str">
        <f>VLOOKUP($A1008, 'Medical Examinations'!A:K, 11, FALSE)</f>
        <v>No</v>
      </c>
      <c r="J1008" t="str">
        <f>VLOOKUP($A1008, 'Medical Examinations'!A:B, 2, FALSE)</f>
        <v>Overweight</v>
      </c>
      <c r="K1008" t="str">
        <f>VLOOKUP($A1008, 'Medical Examinations'!A:D, 4, FALSE)</f>
        <v>Normal</v>
      </c>
    </row>
    <row r="1009" spans="1:11" ht="15.5" x14ac:dyDescent="0.35">
      <c r="A1009" s="1" t="s">
        <v>1363</v>
      </c>
      <c r="B1009" t="str">
        <f>VLOOKUP($A1009, 'Customer Names'!A:D, 3, FALSE)</f>
        <v>Oscal</v>
      </c>
      <c r="C1009">
        <f>VLOOKUP($A1009,'Medical Examinations'!A:C, 3, FALSE)</f>
        <v>33.71</v>
      </c>
      <c r="D1009" t="str">
        <f>VLOOKUP($A1009, 'Medical Examinations'!A:D, 4, FALSE)</f>
        <v>Normal</v>
      </c>
      <c r="E1009" t="str">
        <f>VLOOKUP($A1009, 'Medical Examinations'!A:F, 6, FALSE)</f>
        <v>No</v>
      </c>
      <c r="F1009" t="str">
        <f>VLOOKUP($A1009, 'Medical Examinations'!A:G, 7, FALSE)</f>
        <v>No</v>
      </c>
      <c r="G1009" t="str">
        <f>VLOOKUP($A1009, 'Medical Examinations'!A:H, 8, FALSE)</f>
        <v>No</v>
      </c>
      <c r="H1009" t="str">
        <f>VLOOKUP($A1009, 'Medical Examinations'!A:J, 10, FALSE)</f>
        <v>No major surgery</v>
      </c>
      <c r="I1009" t="str">
        <f>VLOOKUP($A1009, 'Medical Examinations'!A:K, 11, FALSE)</f>
        <v>No</v>
      </c>
      <c r="J1009" t="str">
        <f>VLOOKUP($A1009, 'Medical Examinations'!A:B, 2, FALSE)</f>
        <v>Obesity</v>
      </c>
      <c r="K1009" t="str">
        <f>VLOOKUP($A1009, 'Medical Examinations'!A:D, 4, FALSE)</f>
        <v>Normal</v>
      </c>
    </row>
    <row r="1010" spans="1:11" ht="15.5" x14ac:dyDescent="0.35">
      <c r="A1010" s="1" t="s">
        <v>1362</v>
      </c>
      <c r="B1010" t="str">
        <f>VLOOKUP($A1010, 'Customer Names'!A:D, 3, FALSE)</f>
        <v>Craft</v>
      </c>
      <c r="C1010">
        <f>VLOOKUP($A1010,'Medical Examinations'!A:C, 3, FALSE)</f>
        <v>41.91</v>
      </c>
      <c r="D1010" t="str">
        <f>VLOOKUP($A1010, 'Medical Examinations'!A:D, 4, FALSE)</f>
        <v>Normal</v>
      </c>
      <c r="E1010" t="str">
        <f>VLOOKUP($A1010, 'Medical Examinations'!A:F, 6, FALSE)</f>
        <v>yes</v>
      </c>
      <c r="F1010" t="str">
        <f>VLOOKUP($A1010, 'Medical Examinations'!A:G, 7, FALSE)</f>
        <v>No</v>
      </c>
      <c r="G1010" t="str">
        <f>VLOOKUP($A1010, 'Medical Examinations'!A:H, 8, FALSE)</f>
        <v>No</v>
      </c>
      <c r="H1010">
        <f>VLOOKUP($A1010, 'Medical Examinations'!A:J, 10, FALSE)</f>
        <v>2</v>
      </c>
      <c r="I1010" t="str">
        <f>VLOOKUP($A1010, 'Medical Examinations'!A:K, 11, FALSE)</f>
        <v>No</v>
      </c>
      <c r="J1010" t="str">
        <f>VLOOKUP($A1010, 'Medical Examinations'!A:B, 2, FALSE)</f>
        <v>Obesity</v>
      </c>
      <c r="K1010" t="str">
        <f>VLOOKUP($A1010, 'Medical Examinations'!A:D, 4, FALSE)</f>
        <v>Normal</v>
      </c>
    </row>
    <row r="1011" spans="1:11" ht="15.5" x14ac:dyDescent="0.35">
      <c r="A1011" s="1" t="s">
        <v>1361</v>
      </c>
      <c r="B1011" t="str">
        <f>VLOOKUP($A1011, 'Customer Names'!A:D, 3, FALSE)</f>
        <v>Kebede</v>
      </c>
      <c r="C1011">
        <f>VLOOKUP($A1011,'Medical Examinations'!A:C, 3, FALSE)</f>
        <v>39.82</v>
      </c>
      <c r="D1011" t="str">
        <f>VLOOKUP($A1011, 'Medical Examinations'!A:D, 4, FALSE)</f>
        <v>Prediabetes</v>
      </c>
      <c r="E1011" t="str">
        <f>VLOOKUP($A1011, 'Medical Examinations'!A:F, 6, FALSE)</f>
        <v>yes</v>
      </c>
      <c r="F1011" t="str">
        <f>VLOOKUP($A1011, 'Medical Examinations'!A:G, 7, FALSE)</f>
        <v>No</v>
      </c>
      <c r="G1011" t="str">
        <f>VLOOKUP($A1011, 'Medical Examinations'!A:H, 8, FALSE)</f>
        <v>No</v>
      </c>
      <c r="H1011">
        <f>VLOOKUP($A1011, 'Medical Examinations'!A:J, 10, FALSE)</f>
        <v>2</v>
      </c>
      <c r="I1011" t="str">
        <f>VLOOKUP($A1011, 'Medical Examinations'!A:K, 11, FALSE)</f>
        <v>No</v>
      </c>
      <c r="J1011" t="str">
        <f>VLOOKUP($A1011, 'Medical Examinations'!A:B, 2, FALSE)</f>
        <v>Obesity</v>
      </c>
      <c r="K1011" t="str">
        <f>VLOOKUP($A1011, 'Medical Examinations'!A:D, 4, FALSE)</f>
        <v>Prediabetes</v>
      </c>
    </row>
    <row r="1012" spans="1:11" ht="15.5" x14ac:dyDescent="0.35">
      <c r="A1012" s="1" t="s">
        <v>1360</v>
      </c>
      <c r="B1012" t="str">
        <f>VLOOKUP($A1012, 'Customer Names'!A:D, 3, FALSE)</f>
        <v>Strobel</v>
      </c>
      <c r="C1012">
        <f>VLOOKUP($A1012,'Medical Examinations'!A:C, 3, FALSE)</f>
        <v>28.12</v>
      </c>
      <c r="D1012" t="str">
        <f>VLOOKUP($A1012, 'Medical Examinations'!A:D, 4, FALSE)</f>
        <v>Normal</v>
      </c>
      <c r="E1012" t="str">
        <f>VLOOKUP($A1012, 'Medical Examinations'!A:F, 6, FALSE)</f>
        <v>No</v>
      </c>
      <c r="F1012" t="str">
        <f>VLOOKUP($A1012, 'Medical Examinations'!A:G, 7, FALSE)</f>
        <v>No</v>
      </c>
      <c r="G1012" t="str">
        <f>VLOOKUP($A1012, 'Medical Examinations'!A:H, 8, FALSE)</f>
        <v>No</v>
      </c>
      <c r="H1012">
        <f>VLOOKUP($A1012, 'Medical Examinations'!A:J, 10, FALSE)</f>
        <v>2</v>
      </c>
      <c r="I1012" t="str">
        <f>VLOOKUP($A1012, 'Medical Examinations'!A:K, 11, FALSE)</f>
        <v>No</v>
      </c>
      <c r="J1012" t="str">
        <f>VLOOKUP($A1012, 'Medical Examinations'!A:B, 2, FALSE)</f>
        <v>Overweight</v>
      </c>
      <c r="K1012" t="str">
        <f>VLOOKUP($A1012, 'Medical Examinations'!A:D, 4, FALSE)</f>
        <v>Normal</v>
      </c>
    </row>
    <row r="1013" spans="1:11" ht="15.5" x14ac:dyDescent="0.35">
      <c r="A1013" s="1" t="s">
        <v>1359</v>
      </c>
      <c r="B1013" t="str">
        <f>VLOOKUP($A1013, 'Customer Names'!A:D, 3, FALSE)</f>
        <v>Dalton</v>
      </c>
      <c r="C1013">
        <f>VLOOKUP($A1013,'Medical Examinations'!A:C, 3, FALSE)</f>
        <v>26.98</v>
      </c>
      <c r="D1013" t="str">
        <f>VLOOKUP($A1013, 'Medical Examinations'!A:D, 4, FALSE)</f>
        <v>Diabetes</v>
      </c>
      <c r="E1013" t="str">
        <f>VLOOKUP($A1013, 'Medical Examinations'!A:F, 6, FALSE)</f>
        <v>yes</v>
      </c>
      <c r="F1013" t="str">
        <f>VLOOKUP($A1013, 'Medical Examinations'!A:G, 7, FALSE)</f>
        <v>No</v>
      </c>
      <c r="G1013" t="str">
        <f>VLOOKUP($A1013, 'Medical Examinations'!A:H, 8, FALSE)</f>
        <v>No</v>
      </c>
      <c r="H1013" t="str">
        <f>VLOOKUP($A1013, 'Medical Examinations'!A:J, 10, FALSE)</f>
        <v>No major surgery</v>
      </c>
      <c r="I1013" t="str">
        <f>VLOOKUP($A1013, 'Medical Examinations'!A:K, 11, FALSE)</f>
        <v>No</v>
      </c>
      <c r="J1013" t="str">
        <f>VLOOKUP($A1013, 'Medical Examinations'!A:B, 2, FALSE)</f>
        <v>Overweight</v>
      </c>
      <c r="K1013" t="str">
        <f>VLOOKUP($A1013, 'Medical Examinations'!A:D, 4, FALSE)</f>
        <v>Diabetes</v>
      </c>
    </row>
    <row r="1014" spans="1:11" ht="15.5" x14ac:dyDescent="0.35">
      <c r="A1014" s="1" t="s">
        <v>1358</v>
      </c>
      <c r="B1014" t="str">
        <f>VLOOKUP($A1014, 'Customer Names'!A:D, 3, FALSE)</f>
        <v>Morimoto</v>
      </c>
      <c r="C1014">
        <f>VLOOKUP($A1014,'Medical Examinations'!A:C, 3, FALSE)</f>
        <v>27.2</v>
      </c>
      <c r="D1014" t="str">
        <f>VLOOKUP($A1014, 'Medical Examinations'!A:D, 4, FALSE)</f>
        <v>Prediabetes</v>
      </c>
      <c r="E1014" t="str">
        <f>VLOOKUP($A1014, 'Medical Examinations'!A:F, 6, FALSE)</f>
        <v>yes</v>
      </c>
      <c r="F1014" t="str">
        <f>VLOOKUP($A1014, 'Medical Examinations'!A:G, 7, FALSE)</f>
        <v>No</v>
      </c>
      <c r="G1014" t="str">
        <f>VLOOKUP($A1014, 'Medical Examinations'!A:H, 8, FALSE)</f>
        <v>No</v>
      </c>
      <c r="H1014">
        <f>VLOOKUP($A1014, 'Medical Examinations'!A:J, 10, FALSE)</f>
        <v>2</v>
      </c>
      <c r="I1014" t="str">
        <f>VLOOKUP($A1014, 'Medical Examinations'!A:K, 11, FALSE)</f>
        <v>No</v>
      </c>
      <c r="J1014" t="str">
        <f>VLOOKUP($A1014, 'Medical Examinations'!A:B, 2, FALSE)</f>
        <v>Overweight</v>
      </c>
      <c r="K1014" t="str">
        <f>VLOOKUP($A1014, 'Medical Examinations'!A:D, 4, FALSE)</f>
        <v>Prediabetes</v>
      </c>
    </row>
    <row r="1015" spans="1:11" ht="15.5" x14ac:dyDescent="0.35">
      <c r="A1015" s="1" t="s">
        <v>1357</v>
      </c>
      <c r="B1015" t="str">
        <f>VLOOKUP($A1015, 'Customer Names'!A:D, 3, FALSE)</f>
        <v>Manlove</v>
      </c>
      <c r="C1015">
        <f>VLOOKUP($A1015,'Medical Examinations'!A:C, 3, FALSE)</f>
        <v>25.3</v>
      </c>
      <c r="D1015" t="str">
        <f>VLOOKUP($A1015, 'Medical Examinations'!A:D, 4, FALSE)</f>
        <v>Normal</v>
      </c>
      <c r="E1015" t="str">
        <f>VLOOKUP($A1015, 'Medical Examinations'!A:F, 6, FALSE)</f>
        <v>yes</v>
      </c>
      <c r="F1015" t="str">
        <f>VLOOKUP($A1015, 'Medical Examinations'!A:G, 7, FALSE)</f>
        <v>No</v>
      </c>
      <c r="G1015" t="str">
        <f>VLOOKUP($A1015, 'Medical Examinations'!A:H, 8, FALSE)</f>
        <v>No</v>
      </c>
      <c r="H1015">
        <f>VLOOKUP($A1015, 'Medical Examinations'!A:J, 10, FALSE)</f>
        <v>2</v>
      </c>
      <c r="I1015" t="str">
        <f>VLOOKUP($A1015, 'Medical Examinations'!A:K, 11, FALSE)</f>
        <v>No</v>
      </c>
      <c r="J1015" t="str">
        <f>VLOOKUP($A1015, 'Medical Examinations'!A:B, 2, FALSE)</f>
        <v>Overweight</v>
      </c>
      <c r="K1015" t="str">
        <f>VLOOKUP($A1015, 'Medical Examinations'!A:D, 4, FALSE)</f>
        <v>Normal</v>
      </c>
    </row>
    <row r="1016" spans="1:11" ht="15.5" x14ac:dyDescent="0.35">
      <c r="A1016" s="1" t="s">
        <v>1356</v>
      </c>
      <c r="B1016" t="str">
        <f>VLOOKUP($A1016, 'Customer Names'!A:D, 3, FALSE)</f>
        <v>Madzik</v>
      </c>
      <c r="C1016">
        <f>VLOOKUP($A1016,'Medical Examinations'!A:C, 3, FALSE)</f>
        <v>30.25</v>
      </c>
      <c r="D1016" t="str">
        <f>VLOOKUP($A1016, 'Medical Examinations'!A:D, 4, FALSE)</f>
        <v>Diabetes</v>
      </c>
      <c r="E1016" t="str">
        <f>VLOOKUP($A1016, 'Medical Examinations'!A:F, 6, FALSE)</f>
        <v>No</v>
      </c>
      <c r="F1016" t="str">
        <f>VLOOKUP($A1016, 'Medical Examinations'!A:G, 7, FALSE)</f>
        <v>No</v>
      </c>
      <c r="G1016" t="str">
        <f>VLOOKUP($A1016, 'Medical Examinations'!A:H, 8, FALSE)</f>
        <v>No</v>
      </c>
      <c r="H1016" t="str">
        <f>VLOOKUP($A1016, 'Medical Examinations'!A:J, 10, FALSE)</f>
        <v>No major surgery</v>
      </c>
      <c r="I1016" t="str">
        <f>VLOOKUP($A1016, 'Medical Examinations'!A:K, 11, FALSE)</f>
        <v>No</v>
      </c>
      <c r="J1016" t="str">
        <f>VLOOKUP($A1016, 'Medical Examinations'!A:B, 2, FALSE)</f>
        <v>Obesity</v>
      </c>
      <c r="K1016" t="str">
        <f>VLOOKUP($A1016, 'Medical Examinations'!A:D, 4, FALSE)</f>
        <v>Diabetes</v>
      </c>
    </row>
    <row r="1017" spans="1:11" ht="15.5" x14ac:dyDescent="0.35">
      <c r="A1017" s="1" t="s">
        <v>1355</v>
      </c>
      <c r="B1017" t="str">
        <f>VLOOKUP($A1017, 'Customer Names'!A:D, 3, FALSE)</f>
        <v>Hobson</v>
      </c>
      <c r="C1017">
        <f>VLOOKUP($A1017,'Medical Examinations'!A:C, 3, FALSE)</f>
        <v>54</v>
      </c>
      <c r="D1017" t="str">
        <f>VLOOKUP($A1017, 'Medical Examinations'!A:D, 4, FALSE)</f>
        <v>Normal</v>
      </c>
      <c r="E1017" t="str">
        <f>VLOOKUP($A1017, 'Medical Examinations'!A:F, 6, FALSE)</f>
        <v>yes</v>
      </c>
      <c r="F1017" t="str">
        <f>VLOOKUP($A1017, 'Medical Examinations'!A:G, 7, FALSE)</f>
        <v>yes</v>
      </c>
      <c r="G1017" t="str">
        <f>VLOOKUP($A1017, 'Medical Examinations'!A:H, 8, FALSE)</f>
        <v>No</v>
      </c>
      <c r="H1017">
        <f>VLOOKUP($A1017, 'Medical Examinations'!A:J, 10, FALSE)</f>
        <v>2</v>
      </c>
      <c r="I1017" t="str">
        <f>VLOOKUP($A1017, 'Medical Examinations'!A:K, 11, FALSE)</f>
        <v>No</v>
      </c>
      <c r="J1017" t="str">
        <f>VLOOKUP($A1017, 'Medical Examinations'!A:B, 2, FALSE)</f>
        <v>Obesity</v>
      </c>
      <c r="K1017" t="str">
        <f>VLOOKUP($A1017, 'Medical Examinations'!A:D, 4, FALSE)</f>
        <v>Normal</v>
      </c>
    </row>
    <row r="1018" spans="1:11" ht="15.5" x14ac:dyDescent="0.35">
      <c r="A1018" s="1" t="s">
        <v>1354</v>
      </c>
      <c r="B1018" t="str">
        <f>VLOOKUP($A1018, 'Customer Names'!A:D, 3, FALSE)</f>
        <v>Reyes</v>
      </c>
      <c r="C1018">
        <f>VLOOKUP($A1018,'Medical Examinations'!A:C, 3, FALSE)</f>
        <v>51.86</v>
      </c>
      <c r="D1018" t="str">
        <f>VLOOKUP($A1018, 'Medical Examinations'!A:D, 4, FALSE)</f>
        <v>Normal</v>
      </c>
      <c r="E1018" t="str">
        <f>VLOOKUP($A1018, 'Medical Examinations'!A:F, 6, FALSE)</f>
        <v>yes</v>
      </c>
      <c r="F1018" t="str">
        <f>VLOOKUP($A1018, 'Medical Examinations'!A:G, 7, FALSE)</f>
        <v>No</v>
      </c>
      <c r="G1018" t="str">
        <f>VLOOKUP($A1018, 'Medical Examinations'!A:H, 8, FALSE)</f>
        <v>No</v>
      </c>
      <c r="H1018" t="str">
        <f>VLOOKUP($A1018, 'Medical Examinations'!A:J, 10, FALSE)</f>
        <v>No major surgery</v>
      </c>
      <c r="I1018" t="str">
        <f>VLOOKUP($A1018, 'Medical Examinations'!A:K, 11, FALSE)</f>
        <v>No</v>
      </c>
      <c r="J1018" t="str">
        <f>VLOOKUP($A1018, 'Medical Examinations'!A:B, 2, FALSE)</f>
        <v>Obesity</v>
      </c>
      <c r="K1018" t="str">
        <f>VLOOKUP($A1018, 'Medical Examinations'!A:D, 4, FALSE)</f>
        <v>Normal</v>
      </c>
    </row>
    <row r="1019" spans="1:11" ht="15.5" x14ac:dyDescent="0.35">
      <c r="A1019" s="1" t="s">
        <v>1353</v>
      </c>
      <c r="B1019" t="str">
        <f>VLOOKUP($A1019, 'Customer Names'!A:D, 3, FALSE)</f>
        <v>Tierney</v>
      </c>
      <c r="C1019">
        <f>VLOOKUP($A1019,'Medical Examinations'!A:C, 3, FALSE)</f>
        <v>31.39</v>
      </c>
      <c r="D1019" t="str">
        <f>VLOOKUP($A1019, 'Medical Examinations'!A:D, 4, FALSE)</f>
        <v>Diabetes</v>
      </c>
      <c r="E1019" t="str">
        <f>VLOOKUP($A1019, 'Medical Examinations'!A:F, 6, FALSE)</f>
        <v>No</v>
      </c>
      <c r="F1019" t="str">
        <f>VLOOKUP($A1019, 'Medical Examinations'!A:G, 7, FALSE)</f>
        <v>No</v>
      </c>
      <c r="G1019" t="str">
        <f>VLOOKUP($A1019, 'Medical Examinations'!A:H, 8, FALSE)</f>
        <v>No</v>
      </c>
      <c r="H1019" t="str">
        <f>VLOOKUP($A1019, 'Medical Examinations'!A:J, 10, FALSE)</f>
        <v>No major surgery</v>
      </c>
      <c r="I1019" t="str">
        <f>VLOOKUP($A1019, 'Medical Examinations'!A:K, 11, FALSE)</f>
        <v>No</v>
      </c>
      <c r="J1019" t="str">
        <f>VLOOKUP($A1019, 'Medical Examinations'!A:B, 2, FALSE)</f>
        <v>Obesity</v>
      </c>
      <c r="K1019" t="str">
        <f>VLOOKUP($A1019, 'Medical Examinations'!A:D, 4, FALSE)</f>
        <v>Diabetes</v>
      </c>
    </row>
    <row r="1020" spans="1:11" ht="15.5" x14ac:dyDescent="0.35">
      <c r="A1020" s="1" t="s">
        <v>1352</v>
      </c>
      <c r="B1020" t="str">
        <f>VLOOKUP($A1020, 'Customer Names'!A:D, 3, FALSE)</f>
        <v>Gabris</v>
      </c>
      <c r="C1020">
        <f>VLOOKUP($A1020,'Medical Examinations'!A:C, 3, FALSE)</f>
        <v>39.97</v>
      </c>
      <c r="D1020" t="str">
        <f>VLOOKUP($A1020, 'Medical Examinations'!A:D, 4, FALSE)</f>
        <v>Normal</v>
      </c>
      <c r="E1020" t="str">
        <f>VLOOKUP($A1020, 'Medical Examinations'!A:F, 6, FALSE)</f>
        <v>No</v>
      </c>
      <c r="F1020" t="str">
        <f>VLOOKUP($A1020, 'Medical Examinations'!A:G, 7, FALSE)</f>
        <v>No</v>
      </c>
      <c r="G1020" t="str">
        <f>VLOOKUP($A1020, 'Medical Examinations'!A:H, 8, FALSE)</f>
        <v>No</v>
      </c>
      <c r="H1020" t="str">
        <f>VLOOKUP($A1020, 'Medical Examinations'!A:J, 10, FALSE)</f>
        <v>No major surgery</v>
      </c>
      <c r="I1020" t="str">
        <f>VLOOKUP($A1020, 'Medical Examinations'!A:K, 11, FALSE)</f>
        <v>No</v>
      </c>
      <c r="J1020" t="str">
        <f>VLOOKUP($A1020, 'Medical Examinations'!A:B, 2, FALSE)</f>
        <v>Obesity</v>
      </c>
      <c r="K1020" t="str">
        <f>VLOOKUP($A1020, 'Medical Examinations'!A:D, 4, FALSE)</f>
        <v>Normal</v>
      </c>
    </row>
    <row r="1021" spans="1:11" ht="15.5" x14ac:dyDescent="0.35">
      <c r="A1021" s="1" t="s">
        <v>1351</v>
      </c>
      <c r="B1021" t="str">
        <f>VLOOKUP($A1021, 'Customer Names'!A:D, 3, FALSE)</f>
        <v>Howard</v>
      </c>
      <c r="C1021">
        <f>VLOOKUP($A1021,'Medical Examinations'!A:C, 3, FALSE)</f>
        <v>41.23</v>
      </c>
      <c r="D1021" t="str">
        <f>VLOOKUP($A1021, 'Medical Examinations'!A:D, 4, FALSE)</f>
        <v>Diabetes</v>
      </c>
      <c r="E1021" t="str">
        <f>VLOOKUP($A1021, 'Medical Examinations'!A:F, 6, FALSE)</f>
        <v>No</v>
      </c>
      <c r="F1021" t="str">
        <f>VLOOKUP($A1021, 'Medical Examinations'!A:G, 7, FALSE)</f>
        <v>No</v>
      </c>
      <c r="G1021" t="str">
        <f>VLOOKUP($A1021, 'Medical Examinations'!A:H, 8, FALSE)</f>
        <v>No</v>
      </c>
      <c r="H1021" t="str">
        <f>VLOOKUP($A1021, 'Medical Examinations'!A:J, 10, FALSE)</f>
        <v>No major surgery</v>
      </c>
      <c r="I1021" t="str">
        <f>VLOOKUP($A1021, 'Medical Examinations'!A:K, 11, FALSE)</f>
        <v>No</v>
      </c>
      <c r="J1021" t="str">
        <f>VLOOKUP($A1021, 'Medical Examinations'!A:B, 2, FALSE)</f>
        <v>Obesity</v>
      </c>
      <c r="K1021" t="str">
        <f>VLOOKUP($A1021, 'Medical Examinations'!A:D, 4, FALSE)</f>
        <v>Diabetes</v>
      </c>
    </row>
    <row r="1022" spans="1:11" ht="15.5" x14ac:dyDescent="0.35">
      <c r="A1022" s="1" t="s">
        <v>1350</v>
      </c>
      <c r="B1022" t="str">
        <f>VLOOKUP($A1022, 'Customer Names'!A:D, 3, FALSE)</f>
        <v>Kallay</v>
      </c>
      <c r="C1022">
        <f>VLOOKUP($A1022,'Medical Examinations'!A:C, 3, FALSE)</f>
        <v>49.45</v>
      </c>
      <c r="D1022" t="str">
        <f>VLOOKUP($A1022, 'Medical Examinations'!A:D, 4, FALSE)</f>
        <v>Normal</v>
      </c>
      <c r="E1022" t="str">
        <f>VLOOKUP($A1022, 'Medical Examinations'!A:F, 6, FALSE)</f>
        <v>yes</v>
      </c>
      <c r="F1022" t="str">
        <f>VLOOKUP($A1022, 'Medical Examinations'!A:G, 7, FALSE)</f>
        <v>No</v>
      </c>
      <c r="G1022" t="str">
        <f>VLOOKUP($A1022, 'Medical Examinations'!A:H, 8, FALSE)</f>
        <v>No</v>
      </c>
      <c r="H1022" t="str">
        <f>VLOOKUP($A1022, 'Medical Examinations'!A:J, 10, FALSE)</f>
        <v>No major surgery</v>
      </c>
      <c r="I1022" t="str">
        <f>VLOOKUP($A1022, 'Medical Examinations'!A:K, 11, FALSE)</f>
        <v>No</v>
      </c>
      <c r="J1022" t="str">
        <f>VLOOKUP($A1022, 'Medical Examinations'!A:B, 2, FALSE)</f>
        <v>Obesity</v>
      </c>
      <c r="K1022" t="str">
        <f>VLOOKUP($A1022, 'Medical Examinations'!A:D, 4, FALSE)</f>
        <v>Normal</v>
      </c>
    </row>
    <row r="1023" spans="1:11" ht="15.5" x14ac:dyDescent="0.35">
      <c r="A1023" s="1" t="s">
        <v>1349</v>
      </c>
      <c r="B1023" t="str">
        <f>VLOOKUP($A1023, 'Customer Names'!A:D, 3, FALSE)</f>
        <v>Leguizamo</v>
      </c>
      <c r="C1023">
        <f>VLOOKUP($A1023,'Medical Examinations'!A:C, 3, FALSE)</f>
        <v>41.04</v>
      </c>
      <c r="D1023" t="str">
        <f>VLOOKUP($A1023, 'Medical Examinations'!A:D, 4, FALSE)</f>
        <v>Normal</v>
      </c>
      <c r="E1023" t="str">
        <f>VLOOKUP($A1023, 'Medical Examinations'!A:F, 6, FALSE)</f>
        <v>No</v>
      </c>
      <c r="F1023" t="str">
        <f>VLOOKUP($A1023, 'Medical Examinations'!A:G, 7, FALSE)</f>
        <v>No</v>
      </c>
      <c r="G1023" t="str">
        <f>VLOOKUP($A1023, 'Medical Examinations'!A:H, 8, FALSE)</f>
        <v>No</v>
      </c>
      <c r="H1023" t="str">
        <f>VLOOKUP($A1023, 'Medical Examinations'!A:J, 10, FALSE)</f>
        <v>No major surgery</v>
      </c>
      <c r="I1023" t="str">
        <f>VLOOKUP($A1023, 'Medical Examinations'!A:K, 11, FALSE)</f>
        <v>No</v>
      </c>
      <c r="J1023" t="str">
        <f>VLOOKUP($A1023, 'Medical Examinations'!A:B, 2, FALSE)</f>
        <v>Obesity</v>
      </c>
      <c r="K1023" t="str">
        <f>VLOOKUP($A1023, 'Medical Examinations'!A:D, 4, FALSE)</f>
        <v>Normal</v>
      </c>
    </row>
    <row r="1024" spans="1:11" ht="15.5" x14ac:dyDescent="0.35">
      <c r="A1024" s="1" t="s">
        <v>1348</v>
      </c>
      <c r="B1024" t="str">
        <f>VLOOKUP($A1024, 'Customer Names'!A:D, 3, FALSE)</f>
        <v>Escartin</v>
      </c>
      <c r="C1024">
        <f>VLOOKUP($A1024,'Medical Examinations'!A:C, 3, FALSE)</f>
        <v>27.93</v>
      </c>
      <c r="D1024" t="str">
        <f>VLOOKUP($A1024, 'Medical Examinations'!A:D, 4, FALSE)</f>
        <v>Diabetes</v>
      </c>
      <c r="E1024" t="str">
        <f>VLOOKUP($A1024, 'Medical Examinations'!A:F, 6, FALSE)</f>
        <v>No</v>
      </c>
      <c r="F1024" t="str">
        <f>VLOOKUP($A1024, 'Medical Examinations'!A:G, 7, FALSE)</f>
        <v>No</v>
      </c>
      <c r="G1024" t="str">
        <f>VLOOKUP($A1024, 'Medical Examinations'!A:H, 8, FALSE)</f>
        <v>No</v>
      </c>
      <c r="H1024" t="str">
        <f>VLOOKUP($A1024, 'Medical Examinations'!A:J, 10, FALSE)</f>
        <v>No major surgery</v>
      </c>
      <c r="I1024" t="str">
        <f>VLOOKUP($A1024, 'Medical Examinations'!A:K, 11, FALSE)</f>
        <v>No</v>
      </c>
      <c r="J1024" t="str">
        <f>VLOOKUP($A1024, 'Medical Examinations'!A:B, 2, FALSE)</f>
        <v>Overweight</v>
      </c>
      <c r="K1024" t="str">
        <f>VLOOKUP($A1024, 'Medical Examinations'!A:D, 4, FALSE)</f>
        <v>Diabetes</v>
      </c>
    </row>
    <row r="1025" spans="1:11" ht="15.5" x14ac:dyDescent="0.35">
      <c r="A1025" s="1" t="s">
        <v>1347</v>
      </c>
      <c r="B1025" t="str">
        <f>VLOOKUP($A1025, 'Customer Names'!A:D, 3, FALSE)</f>
        <v>Chorey</v>
      </c>
      <c r="C1025">
        <f>VLOOKUP($A1025,'Medical Examinations'!A:C, 3, FALSE)</f>
        <v>21.01</v>
      </c>
      <c r="D1025" t="str">
        <f>VLOOKUP($A1025, 'Medical Examinations'!A:D, 4, FALSE)</f>
        <v>Diabetes</v>
      </c>
      <c r="E1025" t="str">
        <f>VLOOKUP($A1025, 'Medical Examinations'!A:F, 6, FALSE)</f>
        <v>No</v>
      </c>
      <c r="F1025" t="str">
        <f>VLOOKUP($A1025, 'Medical Examinations'!A:G, 7, FALSE)</f>
        <v>No</v>
      </c>
      <c r="G1025" t="str">
        <f>VLOOKUP($A1025, 'Medical Examinations'!A:H, 8, FALSE)</f>
        <v>No</v>
      </c>
      <c r="H1025" t="str">
        <f>VLOOKUP($A1025, 'Medical Examinations'!A:J, 10, FALSE)</f>
        <v>No major surgery</v>
      </c>
      <c r="I1025" t="str">
        <f>VLOOKUP($A1025, 'Medical Examinations'!A:K, 11, FALSE)</f>
        <v>No</v>
      </c>
      <c r="J1025" t="str">
        <f>VLOOKUP($A1025, 'Medical Examinations'!A:B, 2, FALSE)</f>
        <v>Normal Weight</v>
      </c>
      <c r="K1025" t="str">
        <f>VLOOKUP($A1025, 'Medical Examinations'!A:D, 4, FALSE)</f>
        <v>Diabetes</v>
      </c>
    </row>
    <row r="1026" spans="1:11" ht="15.5" x14ac:dyDescent="0.35">
      <c r="A1026" s="1" t="s">
        <v>1346</v>
      </c>
      <c r="B1026" t="str">
        <f>VLOOKUP($A1026, 'Customer Names'!A:D, 3, FALSE)</f>
        <v>McVay</v>
      </c>
      <c r="C1026">
        <f>VLOOKUP($A1026,'Medical Examinations'!A:C, 3, FALSE)</f>
        <v>52.37</v>
      </c>
      <c r="D1026" t="str">
        <f>VLOOKUP($A1026, 'Medical Examinations'!A:D, 4, FALSE)</f>
        <v>Normal</v>
      </c>
      <c r="E1026" t="str">
        <f>VLOOKUP($A1026, 'Medical Examinations'!A:F, 6, FALSE)</f>
        <v>yes</v>
      </c>
      <c r="F1026" t="str">
        <f>VLOOKUP($A1026, 'Medical Examinations'!A:G, 7, FALSE)</f>
        <v>yes</v>
      </c>
      <c r="G1026" t="str">
        <f>VLOOKUP($A1026, 'Medical Examinations'!A:H, 8, FALSE)</f>
        <v>No</v>
      </c>
      <c r="H1026">
        <f>VLOOKUP($A1026, 'Medical Examinations'!A:J, 10, FALSE)</f>
        <v>2</v>
      </c>
      <c r="I1026" t="str">
        <f>VLOOKUP($A1026, 'Medical Examinations'!A:K, 11, FALSE)</f>
        <v>No</v>
      </c>
      <c r="J1026" t="str">
        <f>VLOOKUP($A1026, 'Medical Examinations'!A:B, 2, FALSE)</f>
        <v>Obesity</v>
      </c>
      <c r="K1026" t="str">
        <f>VLOOKUP($A1026, 'Medical Examinations'!A:D, 4, FALSE)</f>
        <v>Normal</v>
      </c>
    </row>
    <row r="1027" spans="1:11" ht="15.5" x14ac:dyDescent="0.35">
      <c r="A1027" s="1" t="s">
        <v>1345</v>
      </c>
      <c r="B1027" t="str">
        <f>VLOOKUP($A1027, 'Customer Names'!A:D, 3, FALSE)</f>
        <v>Vinson</v>
      </c>
      <c r="C1027">
        <f>VLOOKUP($A1027,'Medical Examinations'!A:C, 3, FALSE)</f>
        <v>40.369999999999997</v>
      </c>
      <c r="D1027" t="str">
        <f>VLOOKUP($A1027, 'Medical Examinations'!A:D, 4, FALSE)</f>
        <v>Diabetes</v>
      </c>
      <c r="E1027" t="str">
        <f>VLOOKUP($A1027, 'Medical Examinations'!A:F, 6, FALSE)</f>
        <v>No</v>
      </c>
      <c r="F1027" t="str">
        <f>VLOOKUP($A1027, 'Medical Examinations'!A:G, 7, FALSE)</f>
        <v>No</v>
      </c>
      <c r="G1027" t="str">
        <f>VLOOKUP($A1027, 'Medical Examinations'!A:H, 8, FALSE)</f>
        <v>No</v>
      </c>
      <c r="H1027" t="str">
        <f>VLOOKUP($A1027, 'Medical Examinations'!A:J, 10, FALSE)</f>
        <v>No major surgery</v>
      </c>
      <c r="I1027" t="str">
        <f>VLOOKUP($A1027, 'Medical Examinations'!A:K, 11, FALSE)</f>
        <v>No</v>
      </c>
      <c r="J1027" t="str">
        <f>VLOOKUP($A1027, 'Medical Examinations'!A:B, 2, FALSE)</f>
        <v>Obesity</v>
      </c>
      <c r="K1027" t="str">
        <f>VLOOKUP($A1027, 'Medical Examinations'!A:D, 4, FALSE)</f>
        <v>Diabetes</v>
      </c>
    </row>
    <row r="1028" spans="1:11" ht="15.5" x14ac:dyDescent="0.35">
      <c r="A1028" s="1" t="s">
        <v>1344</v>
      </c>
      <c r="B1028" t="str">
        <f>VLOOKUP($A1028, 'Customer Names'!A:D, 3, FALSE)</f>
        <v>Astrike-Davis</v>
      </c>
      <c r="C1028">
        <f>VLOOKUP($A1028,'Medical Examinations'!A:C, 3, FALSE)</f>
        <v>41.47</v>
      </c>
      <c r="D1028" t="str">
        <f>VLOOKUP($A1028, 'Medical Examinations'!A:D, 4, FALSE)</f>
        <v>Diabetes</v>
      </c>
      <c r="E1028" t="str">
        <f>VLOOKUP($A1028, 'Medical Examinations'!A:F, 6, FALSE)</f>
        <v>No</v>
      </c>
      <c r="F1028" t="str">
        <f>VLOOKUP($A1028, 'Medical Examinations'!A:G, 7, FALSE)</f>
        <v>No</v>
      </c>
      <c r="G1028" t="str">
        <f>VLOOKUP($A1028, 'Medical Examinations'!A:H, 8, FALSE)</f>
        <v>No</v>
      </c>
      <c r="H1028">
        <f>VLOOKUP($A1028, 'Medical Examinations'!A:J, 10, FALSE)</f>
        <v>2</v>
      </c>
      <c r="I1028" t="str">
        <f>VLOOKUP($A1028, 'Medical Examinations'!A:K, 11, FALSE)</f>
        <v>No</v>
      </c>
      <c r="J1028" t="str">
        <f>VLOOKUP($A1028, 'Medical Examinations'!A:B, 2, FALSE)</f>
        <v>Obesity</v>
      </c>
      <c r="K1028" t="str">
        <f>VLOOKUP($A1028, 'Medical Examinations'!A:D, 4, FALSE)</f>
        <v>Diabetes</v>
      </c>
    </row>
    <row r="1029" spans="1:11" ht="15.5" x14ac:dyDescent="0.35">
      <c r="A1029" s="1" t="s">
        <v>1343</v>
      </c>
      <c r="B1029" t="str">
        <f>VLOOKUP($A1029, 'Customer Names'!A:D, 3, FALSE)</f>
        <v>Harder</v>
      </c>
      <c r="C1029">
        <f>VLOOKUP($A1029,'Medical Examinations'!A:C, 3, FALSE)</f>
        <v>33.725000000000001</v>
      </c>
      <c r="D1029" t="str">
        <f>VLOOKUP($A1029, 'Medical Examinations'!A:D, 4, FALSE)</f>
        <v>Normal</v>
      </c>
      <c r="E1029" t="str">
        <f>VLOOKUP($A1029, 'Medical Examinations'!A:F, 6, FALSE)</f>
        <v>yes</v>
      </c>
      <c r="F1029" t="str">
        <f>VLOOKUP($A1029, 'Medical Examinations'!A:G, 7, FALSE)</f>
        <v>No</v>
      </c>
      <c r="G1029" t="str">
        <f>VLOOKUP($A1029, 'Medical Examinations'!A:H, 8, FALSE)</f>
        <v>No</v>
      </c>
      <c r="H1029">
        <f>VLOOKUP($A1029, 'Medical Examinations'!A:J, 10, FALSE)</f>
        <v>2</v>
      </c>
      <c r="I1029" t="str">
        <f>VLOOKUP($A1029, 'Medical Examinations'!A:K, 11, FALSE)</f>
        <v>No</v>
      </c>
      <c r="J1029" t="str">
        <f>VLOOKUP($A1029, 'Medical Examinations'!A:B, 2, FALSE)</f>
        <v>Obesity</v>
      </c>
      <c r="K1029" t="str">
        <f>VLOOKUP($A1029, 'Medical Examinations'!A:D, 4, FALSE)</f>
        <v>Normal</v>
      </c>
    </row>
    <row r="1030" spans="1:11" ht="15.5" x14ac:dyDescent="0.35">
      <c r="A1030" s="1" t="s">
        <v>1342</v>
      </c>
      <c r="B1030" t="str">
        <f>VLOOKUP($A1030, 'Customer Names'!A:D, 3, FALSE)</f>
        <v>Bell</v>
      </c>
      <c r="C1030">
        <f>VLOOKUP($A1030,'Medical Examinations'!A:C, 3, FALSE)</f>
        <v>28.1</v>
      </c>
      <c r="D1030" t="str">
        <f>VLOOKUP($A1030, 'Medical Examinations'!A:D, 4, FALSE)</f>
        <v>Diabetes</v>
      </c>
      <c r="E1030" t="str">
        <f>VLOOKUP($A1030, 'Medical Examinations'!A:F, 6, FALSE)</f>
        <v>No</v>
      </c>
      <c r="F1030" t="str">
        <f>VLOOKUP($A1030, 'Medical Examinations'!A:G, 7, FALSE)</f>
        <v>No</v>
      </c>
      <c r="G1030" t="str">
        <f>VLOOKUP($A1030, 'Medical Examinations'!A:H, 8, FALSE)</f>
        <v>No</v>
      </c>
      <c r="H1030" t="str">
        <f>VLOOKUP($A1030, 'Medical Examinations'!A:J, 10, FALSE)</f>
        <v>No major surgery</v>
      </c>
      <c r="I1030" t="str">
        <f>VLOOKUP($A1030, 'Medical Examinations'!A:K, 11, FALSE)</f>
        <v>No</v>
      </c>
      <c r="J1030" t="str">
        <f>VLOOKUP($A1030, 'Medical Examinations'!A:B, 2, FALSE)</f>
        <v>Overweight</v>
      </c>
      <c r="K1030" t="str">
        <f>VLOOKUP($A1030, 'Medical Examinations'!A:D, 4, FALSE)</f>
        <v>Diabetes</v>
      </c>
    </row>
    <row r="1031" spans="1:11" ht="15.5" x14ac:dyDescent="0.35">
      <c r="A1031" s="1" t="s">
        <v>1341</v>
      </c>
      <c r="B1031" t="str">
        <f>VLOOKUP($A1031, 'Customer Names'!A:D, 3, FALSE)</f>
        <v>Dawes</v>
      </c>
      <c r="C1031">
        <f>VLOOKUP($A1031,'Medical Examinations'!A:C, 3, FALSE)</f>
        <v>37.43</v>
      </c>
      <c r="D1031" t="str">
        <f>VLOOKUP($A1031, 'Medical Examinations'!A:D, 4, FALSE)</f>
        <v>Normal</v>
      </c>
      <c r="E1031" t="str">
        <f>VLOOKUP($A1031, 'Medical Examinations'!A:F, 6, FALSE)</f>
        <v>yes</v>
      </c>
      <c r="F1031" t="str">
        <f>VLOOKUP($A1031, 'Medical Examinations'!A:G, 7, FALSE)</f>
        <v>No</v>
      </c>
      <c r="G1031" t="str">
        <f>VLOOKUP($A1031, 'Medical Examinations'!A:H, 8, FALSE)</f>
        <v>Yes</v>
      </c>
      <c r="H1031">
        <f>VLOOKUP($A1031, 'Medical Examinations'!A:J, 10, FALSE)</f>
        <v>1</v>
      </c>
      <c r="I1031" t="str">
        <f>VLOOKUP($A1031, 'Medical Examinations'!A:K, 11, FALSE)</f>
        <v>No</v>
      </c>
      <c r="J1031" t="str">
        <f>VLOOKUP($A1031, 'Medical Examinations'!A:B, 2, FALSE)</f>
        <v>Obesity</v>
      </c>
      <c r="K1031" t="str">
        <f>VLOOKUP($A1031, 'Medical Examinations'!A:D, 4, FALSE)</f>
        <v>Normal</v>
      </c>
    </row>
    <row r="1032" spans="1:11" ht="15.5" x14ac:dyDescent="0.35">
      <c r="A1032" s="1" t="s">
        <v>1340</v>
      </c>
      <c r="B1032" t="str">
        <f>VLOOKUP($A1032, 'Customer Names'!A:D, 3, FALSE)</f>
        <v>Larios</v>
      </c>
      <c r="C1032">
        <f>VLOOKUP($A1032,'Medical Examinations'!A:C, 3, FALSE)</f>
        <v>23.7</v>
      </c>
      <c r="D1032" t="str">
        <f>VLOOKUP($A1032, 'Medical Examinations'!A:D, 4, FALSE)</f>
        <v>Diabetes</v>
      </c>
      <c r="E1032" t="str">
        <f>VLOOKUP($A1032, 'Medical Examinations'!A:F, 6, FALSE)</f>
        <v>No</v>
      </c>
      <c r="F1032" t="str">
        <f>VLOOKUP($A1032, 'Medical Examinations'!A:G, 7, FALSE)</f>
        <v>No</v>
      </c>
      <c r="G1032" t="str">
        <f>VLOOKUP($A1032, 'Medical Examinations'!A:H, 8, FALSE)</f>
        <v>No</v>
      </c>
      <c r="H1032" t="str">
        <f>VLOOKUP($A1032, 'Medical Examinations'!A:J, 10, FALSE)</f>
        <v>No major surgery</v>
      </c>
      <c r="I1032" t="str">
        <f>VLOOKUP($A1032, 'Medical Examinations'!A:K, 11, FALSE)</f>
        <v>No</v>
      </c>
      <c r="J1032" t="str">
        <f>VLOOKUP($A1032, 'Medical Examinations'!A:B, 2, FALSE)</f>
        <v>Normal Weight</v>
      </c>
      <c r="K1032" t="str">
        <f>VLOOKUP($A1032, 'Medical Examinations'!A:D, 4, FALSE)</f>
        <v>Diabetes</v>
      </c>
    </row>
    <row r="1033" spans="1:11" ht="15.5" x14ac:dyDescent="0.35">
      <c r="A1033" s="1" t="s">
        <v>1339</v>
      </c>
      <c r="B1033" t="str">
        <f>VLOOKUP($A1033, 'Customer Names'!A:D, 3, FALSE)</f>
        <v>Yaremczuk</v>
      </c>
      <c r="C1033">
        <f>VLOOKUP($A1033,'Medical Examinations'!A:C, 3, FALSE)</f>
        <v>24.795000000000002</v>
      </c>
      <c r="D1033" t="str">
        <f>VLOOKUP($A1033, 'Medical Examinations'!A:D, 4, FALSE)</f>
        <v>Normal</v>
      </c>
      <c r="E1033" t="str">
        <f>VLOOKUP($A1033, 'Medical Examinations'!A:F, 6, FALSE)</f>
        <v>yes</v>
      </c>
      <c r="F1033" t="str">
        <f>VLOOKUP($A1033, 'Medical Examinations'!A:G, 7, FALSE)</f>
        <v>No</v>
      </c>
      <c r="G1033" t="str">
        <f>VLOOKUP($A1033, 'Medical Examinations'!A:H, 8, FALSE)</f>
        <v>Yes</v>
      </c>
      <c r="H1033">
        <f>VLOOKUP($A1033, 'Medical Examinations'!A:J, 10, FALSE)</f>
        <v>1</v>
      </c>
      <c r="I1033" t="str">
        <f>VLOOKUP($A1033, 'Medical Examinations'!A:K, 11, FALSE)</f>
        <v>No</v>
      </c>
      <c r="J1033" t="str">
        <f>VLOOKUP($A1033, 'Medical Examinations'!A:B, 2, FALSE)</f>
        <v>Normal Weight</v>
      </c>
      <c r="K1033" t="str">
        <f>VLOOKUP($A1033, 'Medical Examinations'!A:D, 4, FALSE)</f>
        <v>Normal</v>
      </c>
    </row>
    <row r="1034" spans="1:11" ht="15.5" x14ac:dyDescent="0.35">
      <c r="A1034" s="1" t="s">
        <v>1338</v>
      </c>
      <c r="B1034" t="str">
        <f>VLOOKUP($A1034, 'Customer Names'!A:D, 3, FALSE)</f>
        <v>Knight</v>
      </c>
      <c r="C1034">
        <f>VLOOKUP($A1034,'Medical Examinations'!A:C, 3, FALSE)</f>
        <v>31.9</v>
      </c>
      <c r="D1034" t="str">
        <f>VLOOKUP($A1034, 'Medical Examinations'!A:D, 4, FALSE)</f>
        <v>Diabetes</v>
      </c>
      <c r="E1034" t="str">
        <f>VLOOKUP($A1034, 'Medical Examinations'!A:F, 6, FALSE)</f>
        <v>No</v>
      </c>
      <c r="F1034" t="str">
        <f>VLOOKUP($A1034, 'Medical Examinations'!A:G, 7, FALSE)</f>
        <v>No</v>
      </c>
      <c r="G1034" t="str">
        <f>VLOOKUP($A1034, 'Medical Examinations'!A:H, 8, FALSE)</f>
        <v>No</v>
      </c>
      <c r="H1034" t="str">
        <f>VLOOKUP($A1034, 'Medical Examinations'!A:J, 10, FALSE)</f>
        <v>No major surgery</v>
      </c>
      <c r="I1034" t="str">
        <f>VLOOKUP($A1034, 'Medical Examinations'!A:K, 11, FALSE)</f>
        <v>No</v>
      </c>
      <c r="J1034" t="str">
        <f>VLOOKUP($A1034, 'Medical Examinations'!A:B, 2, FALSE)</f>
        <v>Obesity</v>
      </c>
      <c r="K1034" t="str">
        <f>VLOOKUP($A1034, 'Medical Examinations'!A:D, 4, FALSE)</f>
        <v>Diabetes</v>
      </c>
    </row>
    <row r="1035" spans="1:11" ht="15.5" x14ac:dyDescent="0.35">
      <c r="A1035" s="1" t="s">
        <v>1337</v>
      </c>
      <c r="B1035" t="str">
        <f>VLOOKUP($A1035, 'Customer Names'!A:D, 3, FALSE)</f>
        <v>Eversman</v>
      </c>
      <c r="C1035">
        <f>VLOOKUP($A1035,'Medical Examinations'!A:C, 3, FALSE)</f>
        <v>32.68</v>
      </c>
      <c r="D1035" t="str">
        <f>VLOOKUP($A1035, 'Medical Examinations'!A:D, 4, FALSE)</f>
        <v>Diabetes</v>
      </c>
      <c r="E1035" t="str">
        <f>VLOOKUP($A1035, 'Medical Examinations'!A:F, 6, FALSE)</f>
        <v>No</v>
      </c>
      <c r="F1035" t="str">
        <f>VLOOKUP($A1035, 'Medical Examinations'!A:G, 7, FALSE)</f>
        <v>No</v>
      </c>
      <c r="G1035" t="str">
        <f>VLOOKUP($A1035, 'Medical Examinations'!A:H, 8, FALSE)</f>
        <v>No</v>
      </c>
      <c r="H1035" t="str">
        <f>VLOOKUP($A1035, 'Medical Examinations'!A:J, 10, FALSE)</f>
        <v>No major surgery</v>
      </c>
      <c r="I1035" t="str">
        <f>VLOOKUP($A1035, 'Medical Examinations'!A:K, 11, FALSE)</f>
        <v>No</v>
      </c>
      <c r="J1035" t="str">
        <f>VLOOKUP($A1035, 'Medical Examinations'!A:B, 2, FALSE)</f>
        <v>Obesity</v>
      </c>
      <c r="K1035" t="str">
        <f>VLOOKUP($A1035, 'Medical Examinations'!A:D, 4, FALSE)</f>
        <v>Diabetes</v>
      </c>
    </row>
    <row r="1036" spans="1:11" ht="15.5" x14ac:dyDescent="0.35">
      <c r="A1036" s="1" t="s">
        <v>1336</v>
      </c>
      <c r="B1036" t="str">
        <f>VLOOKUP($A1036, 'Customer Names'!A:D, 3, FALSE)</f>
        <v>Hickory</v>
      </c>
      <c r="C1036">
        <f>VLOOKUP($A1036,'Medical Examinations'!A:C, 3, FALSE)</f>
        <v>47.13</v>
      </c>
      <c r="D1036" t="str">
        <f>VLOOKUP($A1036, 'Medical Examinations'!A:D, 4, FALSE)</f>
        <v>Normal</v>
      </c>
      <c r="E1036" t="str">
        <f>VLOOKUP($A1036, 'Medical Examinations'!A:F, 6, FALSE)</f>
        <v>No</v>
      </c>
      <c r="F1036" t="str">
        <f>VLOOKUP($A1036, 'Medical Examinations'!A:G, 7, FALSE)</f>
        <v>No</v>
      </c>
      <c r="G1036" t="str">
        <f>VLOOKUP($A1036, 'Medical Examinations'!A:H, 8, FALSE)</f>
        <v>No</v>
      </c>
      <c r="H1036" t="str">
        <f>VLOOKUP($A1036, 'Medical Examinations'!A:J, 10, FALSE)</f>
        <v>No major surgery</v>
      </c>
      <c r="I1036" t="str">
        <f>VLOOKUP($A1036, 'Medical Examinations'!A:K, 11, FALSE)</f>
        <v>No</v>
      </c>
      <c r="J1036" t="str">
        <f>VLOOKUP($A1036, 'Medical Examinations'!A:B, 2, FALSE)</f>
        <v>Obesity</v>
      </c>
      <c r="K1036" t="str">
        <f>VLOOKUP($A1036, 'Medical Examinations'!A:D, 4, FALSE)</f>
        <v>Normal</v>
      </c>
    </row>
    <row r="1037" spans="1:11" ht="15.5" x14ac:dyDescent="0.35">
      <c r="A1037" s="1" t="s">
        <v>1335</v>
      </c>
      <c r="B1037" t="str">
        <f>VLOOKUP($A1037, 'Customer Names'!A:D, 3, FALSE)</f>
        <v>Mooney</v>
      </c>
      <c r="C1037">
        <f>VLOOKUP($A1037,'Medical Examinations'!A:C, 3, FALSE)</f>
        <v>36.67</v>
      </c>
      <c r="D1037" t="str">
        <f>VLOOKUP($A1037, 'Medical Examinations'!A:D, 4, FALSE)</f>
        <v>Diabetes</v>
      </c>
      <c r="E1037" t="str">
        <f>VLOOKUP($A1037, 'Medical Examinations'!A:F, 6, FALSE)</f>
        <v>No</v>
      </c>
      <c r="F1037" t="str">
        <f>VLOOKUP($A1037, 'Medical Examinations'!A:G, 7, FALSE)</f>
        <v>No</v>
      </c>
      <c r="G1037" t="str">
        <f>VLOOKUP($A1037, 'Medical Examinations'!A:H, 8, FALSE)</f>
        <v>No</v>
      </c>
      <c r="H1037" t="str">
        <f>VLOOKUP($A1037, 'Medical Examinations'!A:J, 10, FALSE)</f>
        <v>No major surgery</v>
      </c>
      <c r="I1037" t="str">
        <f>VLOOKUP($A1037, 'Medical Examinations'!A:K, 11, FALSE)</f>
        <v>No</v>
      </c>
      <c r="J1037" t="str">
        <f>VLOOKUP($A1037, 'Medical Examinations'!A:B, 2, FALSE)</f>
        <v>Obesity</v>
      </c>
      <c r="K1037" t="str">
        <f>VLOOKUP($A1037, 'Medical Examinations'!A:D, 4, FALSE)</f>
        <v>Diabetes</v>
      </c>
    </row>
    <row r="1038" spans="1:11" ht="15.5" x14ac:dyDescent="0.35">
      <c r="A1038" s="1" t="s">
        <v>1334</v>
      </c>
      <c r="B1038" t="str">
        <f>VLOOKUP($A1038, 'Customer Names'!A:D, 3, FALSE)</f>
        <v>Craighead</v>
      </c>
      <c r="C1038">
        <f>VLOOKUP($A1038,'Medical Examinations'!A:C, 3, FALSE)</f>
        <v>33.630000000000003</v>
      </c>
      <c r="D1038" t="str">
        <f>VLOOKUP($A1038, 'Medical Examinations'!A:D, 4, FALSE)</f>
        <v>Diabetes</v>
      </c>
      <c r="E1038" t="str">
        <f>VLOOKUP($A1038, 'Medical Examinations'!A:F, 6, FALSE)</f>
        <v>No</v>
      </c>
      <c r="F1038" t="str">
        <f>VLOOKUP($A1038, 'Medical Examinations'!A:G, 7, FALSE)</f>
        <v>No</v>
      </c>
      <c r="G1038" t="str">
        <f>VLOOKUP($A1038, 'Medical Examinations'!A:H, 8, FALSE)</f>
        <v>No</v>
      </c>
      <c r="H1038" t="str">
        <f>VLOOKUP($A1038, 'Medical Examinations'!A:J, 10, FALSE)</f>
        <v>No major surgery</v>
      </c>
      <c r="I1038" t="str">
        <f>VLOOKUP($A1038, 'Medical Examinations'!A:K, 11, FALSE)</f>
        <v>No</v>
      </c>
      <c r="J1038" t="str">
        <f>VLOOKUP($A1038, 'Medical Examinations'!A:B, 2, FALSE)</f>
        <v>Obesity</v>
      </c>
      <c r="K1038" t="str">
        <f>VLOOKUP($A1038, 'Medical Examinations'!A:D, 4, FALSE)</f>
        <v>Diabetes</v>
      </c>
    </row>
    <row r="1039" spans="1:11" ht="15.5" x14ac:dyDescent="0.35">
      <c r="A1039" s="1" t="s">
        <v>1333</v>
      </c>
      <c r="B1039" t="str">
        <f>VLOOKUP($A1039, 'Customer Names'!A:D, 3, FALSE)</f>
        <v>Gardner</v>
      </c>
      <c r="C1039">
        <f>VLOOKUP($A1039,'Medical Examinations'!A:C, 3, FALSE)</f>
        <v>32.67</v>
      </c>
      <c r="D1039" t="str">
        <f>VLOOKUP($A1039, 'Medical Examinations'!A:D, 4, FALSE)</f>
        <v>Diabetes</v>
      </c>
      <c r="E1039" t="str">
        <f>VLOOKUP($A1039, 'Medical Examinations'!A:F, 6, FALSE)</f>
        <v>yes</v>
      </c>
      <c r="F1039" t="str">
        <f>VLOOKUP($A1039, 'Medical Examinations'!A:G, 7, FALSE)</f>
        <v>No</v>
      </c>
      <c r="G1039" t="str">
        <f>VLOOKUP($A1039, 'Medical Examinations'!A:H, 8, FALSE)</f>
        <v>No</v>
      </c>
      <c r="H1039" t="str">
        <f>VLOOKUP($A1039, 'Medical Examinations'!A:J, 10, FALSE)</f>
        <v>No major surgery</v>
      </c>
      <c r="I1039" t="str">
        <f>VLOOKUP($A1039, 'Medical Examinations'!A:K, 11, FALSE)</f>
        <v>No</v>
      </c>
      <c r="J1039" t="str">
        <f>VLOOKUP($A1039, 'Medical Examinations'!A:B, 2, FALSE)</f>
        <v>Obesity</v>
      </c>
      <c r="K1039" t="str">
        <f>VLOOKUP($A1039, 'Medical Examinations'!A:D, 4, FALSE)</f>
        <v>Diabetes</v>
      </c>
    </row>
    <row r="1040" spans="1:11" ht="15.5" x14ac:dyDescent="0.35">
      <c r="A1040" s="1" t="s">
        <v>1332</v>
      </c>
      <c r="B1040" t="str">
        <f>VLOOKUP($A1040, 'Customer Names'!A:D, 3, FALSE)</f>
        <v>Lohrenz</v>
      </c>
      <c r="C1040">
        <f>VLOOKUP($A1040,'Medical Examinations'!A:C, 3, FALSE)</f>
        <v>33.299999999999997</v>
      </c>
      <c r="D1040" t="str">
        <f>VLOOKUP($A1040, 'Medical Examinations'!A:D, 4, FALSE)</f>
        <v>Diabetes</v>
      </c>
      <c r="E1040" t="str">
        <f>VLOOKUP($A1040, 'Medical Examinations'!A:F, 6, FALSE)</f>
        <v>yes</v>
      </c>
      <c r="F1040" t="str">
        <f>VLOOKUP($A1040, 'Medical Examinations'!A:G, 7, FALSE)</f>
        <v>No</v>
      </c>
      <c r="G1040" t="str">
        <f>VLOOKUP($A1040, 'Medical Examinations'!A:H, 8, FALSE)</f>
        <v>No</v>
      </c>
      <c r="H1040">
        <f>VLOOKUP($A1040, 'Medical Examinations'!A:J, 10, FALSE)</f>
        <v>2</v>
      </c>
      <c r="I1040" t="str">
        <f>VLOOKUP($A1040, 'Medical Examinations'!A:K, 11, FALSE)</f>
        <v>No</v>
      </c>
      <c r="J1040" t="str">
        <f>VLOOKUP($A1040, 'Medical Examinations'!A:B, 2, FALSE)</f>
        <v>Obesity</v>
      </c>
      <c r="K1040" t="str">
        <f>VLOOKUP($A1040, 'Medical Examinations'!A:D, 4, FALSE)</f>
        <v>Diabetes</v>
      </c>
    </row>
    <row r="1041" spans="1:11" ht="15.5" x14ac:dyDescent="0.35">
      <c r="A1041" s="1" t="s">
        <v>1331</v>
      </c>
      <c r="B1041" t="str">
        <f>VLOOKUP($A1041, 'Customer Names'!A:D, 3, FALSE)</f>
        <v>Demise</v>
      </c>
      <c r="C1041">
        <f>VLOOKUP($A1041,'Medical Examinations'!A:C, 3, FALSE)</f>
        <v>30.78</v>
      </c>
      <c r="D1041" t="str">
        <f>VLOOKUP($A1041, 'Medical Examinations'!A:D, 4, FALSE)</f>
        <v>Diabetes</v>
      </c>
      <c r="E1041" t="str">
        <f>VLOOKUP($A1041, 'Medical Examinations'!A:F, 6, FALSE)</f>
        <v>yes</v>
      </c>
      <c r="F1041" t="str">
        <f>VLOOKUP($A1041, 'Medical Examinations'!A:G, 7, FALSE)</f>
        <v>No</v>
      </c>
      <c r="G1041" t="str">
        <f>VLOOKUP($A1041, 'Medical Examinations'!A:H, 8, FALSE)</f>
        <v>No</v>
      </c>
      <c r="H1041">
        <f>VLOOKUP($A1041, 'Medical Examinations'!A:J, 10, FALSE)</f>
        <v>2</v>
      </c>
      <c r="I1041" t="str">
        <f>VLOOKUP($A1041, 'Medical Examinations'!A:K, 11, FALSE)</f>
        <v>No</v>
      </c>
      <c r="J1041" t="str">
        <f>VLOOKUP($A1041, 'Medical Examinations'!A:B, 2, FALSE)</f>
        <v>Obesity</v>
      </c>
      <c r="K1041" t="str">
        <f>VLOOKUP($A1041, 'Medical Examinations'!A:D, 4, FALSE)</f>
        <v>Diabetes</v>
      </c>
    </row>
    <row r="1042" spans="1:11" ht="15.5" x14ac:dyDescent="0.35">
      <c r="A1042" s="1" t="s">
        <v>1330</v>
      </c>
      <c r="B1042" t="str">
        <f>VLOOKUP($A1042, 'Customer Names'!A:D, 3, FALSE)</f>
        <v>Nelson</v>
      </c>
      <c r="C1042">
        <f>VLOOKUP($A1042,'Medical Examinations'!A:C, 3, FALSE)</f>
        <v>28.975000000000001</v>
      </c>
      <c r="D1042" t="str">
        <f>VLOOKUP($A1042, 'Medical Examinations'!A:D, 4, FALSE)</f>
        <v>Diabetes</v>
      </c>
      <c r="E1042" t="str">
        <f>VLOOKUP($A1042, 'Medical Examinations'!A:F, 6, FALSE)</f>
        <v>yes</v>
      </c>
      <c r="F1042" t="str">
        <f>VLOOKUP($A1042, 'Medical Examinations'!A:G, 7, FALSE)</f>
        <v>No</v>
      </c>
      <c r="G1042" t="str">
        <f>VLOOKUP($A1042, 'Medical Examinations'!A:H, 8, FALSE)</f>
        <v>No</v>
      </c>
      <c r="H1042" t="str">
        <f>VLOOKUP($A1042, 'Medical Examinations'!A:J, 10, FALSE)</f>
        <v>No major surgery</v>
      </c>
      <c r="I1042" t="str">
        <f>VLOOKUP($A1042, 'Medical Examinations'!A:K, 11, FALSE)</f>
        <v>No</v>
      </c>
      <c r="J1042" t="str">
        <f>VLOOKUP($A1042, 'Medical Examinations'!A:B, 2, FALSE)</f>
        <v>Overweight</v>
      </c>
      <c r="K1042" t="str">
        <f>VLOOKUP($A1042, 'Medical Examinations'!A:D, 4, FALSE)</f>
        <v>Diabetes</v>
      </c>
    </row>
    <row r="1043" spans="1:11" ht="15.5" x14ac:dyDescent="0.35">
      <c r="A1043" s="1" t="s">
        <v>1329</v>
      </c>
      <c r="B1043" t="str">
        <f>VLOOKUP($A1043, 'Customer Names'!A:D, 3, FALSE)</f>
        <v>Guitard</v>
      </c>
      <c r="C1043">
        <f>VLOOKUP($A1043,'Medical Examinations'!A:C, 3, FALSE)</f>
        <v>33.4</v>
      </c>
      <c r="D1043" t="str">
        <f>VLOOKUP($A1043, 'Medical Examinations'!A:D, 4, FALSE)</f>
        <v>Normal</v>
      </c>
      <c r="E1043" t="str">
        <f>VLOOKUP($A1043, 'Medical Examinations'!A:F, 6, FALSE)</f>
        <v>No</v>
      </c>
      <c r="F1043" t="str">
        <f>VLOOKUP($A1043, 'Medical Examinations'!A:G, 7, FALSE)</f>
        <v>No</v>
      </c>
      <c r="G1043" t="str">
        <f>VLOOKUP($A1043, 'Medical Examinations'!A:H, 8, FALSE)</f>
        <v>No</v>
      </c>
      <c r="H1043" t="str">
        <f>VLOOKUP($A1043, 'Medical Examinations'!A:J, 10, FALSE)</f>
        <v>No major surgery</v>
      </c>
      <c r="I1043" t="str">
        <f>VLOOKUP($A1043, 'Medical Examinations'!A:K, 11, FALSE)</f>
        <v>No</v>
      </c>
      <c r="J1043" t="str">
        <f>VLOOKUP($A1043, 'Medical Examinations'!A:B, 2, FALSE)</f>
        <v>Obesity</v>
      </c>
      <c r="K1043" t="str">
        <f>VLOOKUP($A1043, 'Medical Examinations'!A:D, 4, FALSE)</f>
        <v>Normal</v>
      </c>
    </row>
    <row r="1044" spans="1:11" ht="15.5" x14ac:dyDescent="0.35">
      <c r="A1044" s="1" t="s">
        <v>1328</v>
      </c>
      <c r="B1044" t="str">
        <f>VLOOKUP($A1044, 'Customer Names'!A:D, 3, FALSE)</f>
        <v>Navas</v>
      </c>
      <c r="C1044">
        <f>VLOOKUP($A1044,'Medical Examinations'!A:C, 3, FALSE)</f>
        <v>21.5</v>
      </c>
      <c r="D1044" t="str">
        <f>VLOOKUP($A1044, 'Medical Examinations'!A:D, 4, FALSE)</f>
        <v>Diabetes</v>
      </c>
      <c r="E1044" t="str">
        <f>VLOOKUP($A1044, 'Medical Examinations'!A:F, 6, FALSE)</f>
        <v>yes</v>
      </c>
      <c r="F1044" t="str">
        <f>VLOOKUP($A1044, 'Medical Examinations'!A:G, 7, FALSE)</f>
        <v>No</v>
      </c>
      <c r="G1044" t="str">
        <f>VLOOKUP($A1044, 'Medical Examinations'!A:H, 8, FALSE)</f>
        <v>No</v>
      </c>
      <c r="H1044" t="str">
        <f>VLOOKUP($A1044, 'Medical Examinations'!A:J, 10, FALSE)</f>
        <v>No major surgery</v>
      </c>
      <c r="I1044" t="str">
        <f>VLOOKUP($A1044, 'Medical Examinations'!A:K, 11, FALSE)</f>
        <v>No</v>
      </c>
      <c r="J1044" t="str">
        <f>VLOOKUP($A1044, 'Medical Examinations'!A:B, 2, FALSE)</f>
        <v>Normal Weight</v>
      </c>
      <c r="K1044" t="str">
        <f>VLOOKUP($A1044, 'Medical Examinations'!A:D, 4, FALSE)</f>
        <v>Diabetes</v>
      </c>
    </row>
    <row r="1045" spans="1:11" ht="15.5" x14ac:dyDescent="0.35">
      <c r="A1045" s="1" t="s">
        <v>1327</v>
      </c>
      <c r="B1045" t="str">
        <f>VLOOKUP($A1045, 'Customer Names'!A:D, 3, FALSE)</f>
        <v>Ptucha</v>
      </c>
      <c r="C1045">
        <f>VLOOKUP($A1045,'Medical Examinations'!A:C, 3, FALSE)</f>
        <v>38.14</v>
      </c>
      <c r="D1045" t="str">
        <f>VLOOKUP($A1045, 'Medical Examinations'!A:D, 4, FALSE)</f>
        <v>Prediabetes</v>
      </c>
      <c r="E1045" t="str">
        <f>VLOOKUP($A1045, 'Medical Examinations'!A:F, 6, FALSE)</f>
        <v>No</v>
      </c>
      <c r="F1045" t="str">
        <f>VLOOKUP($A1045, 'Medical Examinations'!A:G, 7, FALSE)</f>
        <v>No</v>
      </c>
      <c r="G1045" t="str">
        <f>VLOOKUP($A1045, 'Medical Examinations'!A:H, 8, FALSE)</f>
        <v>No</v>
      </c>
      <c r="H1045" t="str">
        <f>VLOOKUP($A1045, 'Medical Examinations'!A:J, 10, FALSE)</f>
        <v>No major surgery</v>
      </c>
      <c r="I1045" t="str">
        <f>VLOOKUP($A1045, 'Medical Examinations'!A:K, 11, FALSE)</f>
        <v>No</v>
      </c>
      <c r="J1045" t="str">
        <f>VLOOKUP($A1045, 'Medical Examinations'!A:B, 2, FALSE)</f>
        <v>Obesity</v>
      </c>
      <c r="K1045" t="str">
        <f>VLOOKUP($A1045, 'Medical Examinations'!A:D, 4, FALSE)</f>
        <v>Prediabetes</v>
      </c>
    </row>
    <row r="1046" spans="1:11" ht="15.5" x14ac:dyDescent="0.35">
      <c r="A1046" s="1" t="s">
        <v>1326</v>
      </c>
      <c r="B1046" t="str">
        <f>VLOOKUP($A1046, 'Customer Names'!A:D, 3, FALSE)</f>
        <v>Kirouac</v>
      </c>
      <c r="C1046">
        <f>VLOOKUP($A1046,'Medical Examinations'!A:C, 3, FALSE)</f>
        <v>35.42</v>
      </c>
      <c r="D1046" t="str">
        <f>VLOOKUP($A1046, 'Medical Examinations'!A:D, 4, FALSE)</f>
        <v>Diabetes</v>
      </c>
      <c r="E1046" t="str">
        <f>VLOOKUP($A1046, 'Medical Examinations'!A:F, 6, FALSE)</f>
        <v>yes</v>
      </c>
      <c r="F1046" t="str">
        <f>VLOOKUP($A1046, 'Medical Examinations'!A:G, 7, FALSE)</f>
        <v>No</v>
      </c>
      <c r="G1046" t="str">
        <f>VLOOKUP($A1046, 'Medical Examinations'!A:H, 8, FALSE)</f>
        <v>No</v>
      </c>
      <c r="H1046">
        <f>VLOOKUP($A1046, 'Medical Examinations'!A:J, 10, FALSE)</f>
        <v>1</v>
      </c>
      <c r="I1046" t="str">
        <f>VLOOKUP($A1046, 'Medical Examinations'!A:K, 11, FALSE)</f>
        <v>No</v>
      </c>
      <c r="J1046" t="str">
        <f>VLOOKUP($A1046, 'Medical Examinations'!A:B, 2, FALSE)</f>
        <v>Obesity</v>
      </c>
      <c r="K1046" t="str">
        <f>VLOOKUP($A1046, 'Medical Examinations'!A:D, 4, FALSE)</f>
        <v>Diabetes</v>
      </c>
    </row>
    <row r="1047" spans="1:11" ht="15.5" x14ac:dyDescent="0.35">
      <c r="A1047" s="1" t="s">
        <v>1325</v>
      </c>
      <c r="B1047" t="str">
        <f>VLOOKUP($A1047, 'Customer Names'!A:D, 3, FALSE)</f>
        <v>Toews</v>
      </c>
      <c r="C1047">
        <f>VLOOKUP($A1047,'Medical Examinations'!A:C, 3, FALSE)</f>
        <v>35.625</v>
      </c>
      <c r="D1047" t="str">
        <f>VLOOKUP($A1047, 'Medical Examinations'!A:D, 4, FALSE)</f>
        <v>Diabetes</v>
      </c>
      <c r="E1047" t="str">
        <f>VLOOKUP($A1047, 'Medical Examinations'!A:F, 6, FALSE)</f>
        <v>No</v>
      </c>
      <c r="F1047" t="str">
        <f>VLOOKUP($A1047, 'Medical Examinations'!A:G, 7, FALSE)</f>
        <v>No</v>
      </c>
      <c r="G1047" t="str">
        <f>VLOOKUP($A1047, 'Medical Examinations'!A:H, 8, FALSE)</f>
        <v>No</v>
      </c>
      <c r="H1047" t="str">
        <f>VLOOKUP($A1047, 'Medical Examinations'!A:J, 10, FALSE)</f>
        <v>No major surgery</v>
      </c>
      <c r="I1047" t="str">
        <f>VLOOKUP($A1047, 'Medical Examinations'!A:K, 11, FALSE)</f>
        <v>No</v>
      </c>
      <c r="J1047" t="str">
        <f>VLOOKUP($A1047, 'Medical Examinations'!A:B, 2, FALSE)</f>
        <v>Obesity</v>
      </c>
      <c r="K1047" t="str">
        <f>VLOOKUP($A1047, 'Medical Examinations'!A:D, 4, FALSE)</f>
        <v>Diabetes</v>
      </c>
    </row>
    <row r="1048" spans="1:11" ht="15.5" x14ac:dyDescent="0.35">
      <c r="A1048" s="1" t="s">
        <v>1324</v>
      </c>
      <c r="B1048" t="str">
        <f>VLOOKUP($A1048, 'Customer Names'!A:D, 3, FALSE)</f>
        <v>Perry</v>
      </c>
      <c r="C1048">
        <f>VLOOKUP($A1048,'Medical Examinations'!A:C, 3, FALSE)</f>
        <v>45.51</v>
      </c>
      <c r="D1048" t="str">
        <f>VLOOKUP($A1048, 'Medical Examinations'!A:D, 4, FALSE)</f>
        <v>Normal</v>
      </c>
      <c r="E1048" t="str">
        <f>VLOOKUP($A1048, 'Medical Examinations'!A:F, 6, FALSE)</f>
        <v>No</v>
      </c>
      <c r="F1048" t="str">
        <f>VLOOKUP($A1048, 'Medical Examinations'!A:G, 7, FALSE)</f>
        <v>No</v>
      </c>
      <c r="G1048" t="str">
        <f>VLOOKUP($A1048, 'Medical Examinations'!A:H, 8, FALSE)</f>
        <v>No</v>
      </c>
      <c r="H1048">
        <f>VLOOKUP($A1048, 'Medical Examinations'!A:J, 10, FALSE)</f>
        <v>1</v>
      </c>
      <c r="I1048" t="str">
        <f>VLOOKUP($A1048, 'Medical Examinations'!A:K, 11, FALSE)</f>
        <v>No</v>
      </c>
      <c r="J1048" t="str">
        <f>VLOOKUP($A1048, 'Medical Examinations'!A:B, 2, FALSE)</f>
        <v>Obesity</v>
      </c>
      <c r="K1048" t="str">
        <f>VLOOKUP($A1048, 'Medical Examinations'!A:D, 4, FALSE)</f>
        <v>Normal</v>
      </c>
    </row>
    <row r="1049" spans="1:11" ht="15.5" x14ac:dyDescent="0.35">
      <c r="A1049" s="1" t="s">
        <v>1323</v>
      </c>
      <c r="B1049" t="str">
        <f>VLOOKUP($A1049, 'Customer Names'!A:D, 3, FALSE)</f>
        <v>Kretz</v>
      </c>
      <c r="C1049">
        <f>VLOOKUP($A1049,'Medical Examinations'!A:C, 3, FALSE)</f>
        <v>37.1</v>
      </c>
      <c r="D1049" t="str">
        <f>VLOOKUP($A1049, 'Medical Examinations'!A:D, 4, FALSE)</f>
        <v>Diabetes</v>
      </c>
      <c r="E1049" t="str">
        <f>VLOOKUP($A1049, 'Medical Examinations'!A:F, 6, FALSE)</f>
        <v>yes</v>
      </c>
      <c r="F1049" t="str">
        <f>VLOOKUP($A1049, 'Medical Examinations'!A:G, 7, FALSE)</f>
        <v>No</v>
      </c>
      <c r="G1049" t="str">
        <f>VLOOKUP($A1049, 'Medical Examinations'!A:H, 8, FALSE)</f>
        <v>No</v>
      </c>
      <c r="H1049" t="str">
        <f>VLOOKUP($A1049, 'Medical Examinations'!A:J, 10, FALSE)</f>
        <v>No major surgery</v>
      </c>
      <c r="I1049" t="str">
        <f>VLOOKUP($A1049, 'Medical Examinations'!A:K, 11, FALSE)</f>
        <v>No</v>
      </c>
      <c r="J1049" t="str">
        <f>VLOOKUP($A1049, 'Medical Examinations'!A:B, 2, FALSE)</f>
        <v>Obesity</v>
      </c>
      <c r="K1049" t="str">
        <f>VLOOKUP($A1049, 'Medical Examinations'!A:D, 4, FALSE)</f>
        <v>Diabetes</v>
      </c>
    </row>
    <row r="1050" spans="1:11" ht="15.5" x14ac:dyDescent="0.35">
      <c r="A1050" s="1" t="s">
        <v>1322</v>
      </c>
      <c r="B1050" t="str">
        <f>VLOOKUP($A1050, 'Customer Names'!A:D, 3, FALSE)</f>
        <v>Hempel</v>
      </c>
      <c r="C1050">
        <f>VLOOKUP($A1050,'Medical Examinations'!A:C, 3, FALSE)</f>
        <v>30.5</v>
      </c>
      <c r="D1050" t="str">
        <f>VLOOKUP($A1050, 'Medical Examinations'!A:D, 4, FALSE)</f>
        <v>Diabetes</v>
      </c>
      <c r="E1050" t="str">
        <f>VLOOKUP($A1050, 'Medical Examinations'!A:F, 6, FALSE)</f>
        <v>yes</v>
      </c>
      <c r="F1050" t="str">
        <f>VLOOKUP($A1050, 'Medical Examinations'!A:G, 7, FALSE)</f>
        <v>No</v>
      </c>
      <c r="G1050" t="str">
        <f>VLOOKUP($A1050, 'Medical Examinations'!A:H, 8, FALSE)</f>
        <v>No</v>
      </c>
      <c r="H1050" t="str">
        <f>VLOOKUP($A1050, 'Medical Examinations'!A:J, 10, FALSE)</f>
        <v>No major surgery</v>
      </c>
      <c r="I1050" t="str">
        <f>VLOOKUP($A1050, 'Medical Examinations'!A:K, 11, FALSE)</f>
        <v>No</v>
      </c>
      <c r="J1050" t="str">
        <f>VLOOKUP($A1050, 'Medical Examinations'!A:B, 2, FALSE)</f>
        <v>Obesity</v>
      </c>
      <c r="K1050" t="str">
        <f>VLOOKUP($A1050, 'Medical Examinations'!A:D, 4, FALSE)</f>
        <v>Diabetes</v>
      </c>
    </row>
    <row r="1051" spans="1:11" ht="15.5" x14ac:dyDescent="0.35">
      <c r="A1051" s="1" t="s">
        <v>1321</v>
      </c>
      <c r="B1051" t="str">
        <f>VLOOKUP($A1051, 'Customer Names'!A:D, 3, FALSE)</f>
        <v>McBroom</v>
      </c>
      <c r="C1051">
        <f>VLOOKUP($A1051,'Medical Examinations'!A:C, 3, FALSE)</f>
        <v>28.16</v>
      </c>
      <c r="D1051" t="str">
        <f>VLOOKUP($A1051, 'Medical Examinations'!A:D, 4, FALSE)</f>
        <v>Normal</v>
      </c>
      <c r="E1051" t="str">
        <f>VLOOKUP($A1051, 'Medical Examinations'!A:F, 6, FALSE)</f>
        <v>No</v>
      </c>
      <c r="F1051" t="str">
        <f>VLOOKUP($A1051, 'Medical Examinations'!A:G, 7, FALSE)</f>
        <v>No</v>
      </c>
      <c r="G1051" t="str">
        <f>VLOOKUP($A1051, 'Medical Examinations'!A:H, 8, FALSE)</f>
        <v>No</v>
      </c>
      <c r="H1051">
        <f>VLOOKUP($A1051, 'Medical Examinations'!A:J, 10, FALSE)</f>
        <v>2</v>
      </c>
      <c r="I1051" t="str">
        <f>VLOOKUP($A1051, 'Medical Examinations'!A:K, 11, FALSE)</f>
        <v>No</v>
      </c>
      <c r="J1051" t="str">
        <f>VLOOKUP($A1051, 'Medical Examinations'!A:B, 2, FALSE)</f>
        <v>Overweight</v>
      </c>
      <c r="K1051" t="str">
        <f>VLOOKUP($A1051, 'Medical Examinations'!A:D, 4, FALSE)</f>
        <v>Normal</v>
      </c>
    </row>
    <row r="1052" spans="1:11" ht="15.5" x14ac:dyDescent="0.35">
      <c r="A1052" s="1" t="s">
        <v>1320</v>
      </c>
      <c r="B1052" t="str">
        <f>VLOOKUP($A1052, 'Customer Names'!A:D, 3, FALSE)</f>
        <v>Yoo</v>
      </c>
      <c r="C1052">
        <f>VLOOKUP($A1052,'Medical Examinations'!A:C, 3, FALSE)</f>
        <v>29.1</v>
      </c>
      <c r="D1052" t="str">
        <f>VLOOKUP($A1052, 'Medical Examinations'!A:D, 4, FALSE)</f>
        <v>Normal</v>
      </c>
      <c r="E1052" t="str">
        <f>VLOOKUP($A1052, 'Medical Examinations'!A:F, 6, FALSE)</f>
        <v>yes</v>
      </c>
      <c r="F1052" t="str">
        <f>VLOOKUP($A1052, 'Medical Examinations'!A:G, 7, FALSE)</f>
        <v>No</v>
      </c>
      <c r="G1052" t="str">
        <f>VLOOKUP($A1052, 'Medical Examinations'!A:H, 8, FALSE)</f>
        <v>No</v>
      </c>
      <c r="H1052" t="str">
        <f>VLOOKUP($A1052, 'Medical Examinations'!A:J, 10, FALSE)</f>
        <v>No major surgery</v>
      </c>
      <c r="I1052" t="str">
        <f>VLOOKUP($A1052, 'Medical Examinations'!A:K, 11, FALSE)</f>
        <v>No</v>
      </c>
      <c r="J1052" t="str">
        <f>VLOOKUP($A1052, 'Medical Examinations'!A:B, 2, FALSE)</f>
        <v>Overweight</v>
      </c>
      <c r="K1052" t="str">
        <f>VLOOKUP($A1052, 'Medical Examinations'!A:D, 4, FALSE)</f>
        <v>Normal</v>
      </c>
    </row>
    <row r="1053" spans="1:11" ht="15.5" x14ac:dyDescent="0.35">
      <c r="A1053" s="1" t="s">
        <v>1319</v>
      </c>
      <c r="B1053" t="str">
        <f>VLOOKUP($A1053, 'Customer Names'!A:D, 3, FALSE)</f>
        <v>Rand</v>
      </c>
      <c r="C1053">
        <f>VLOOKUP($A1053,'Medical Examinations'!A:C, 3, FALSE)</f>
        <v>30.22</v>
      </c>
      <c r="D1053" t="str">
        <f>VLOOKUP($A1053, 'Medical Examinations'!A:D, 4, FALSE)</f>
        <v>Normal</v>
      </c>
      <c r="E1053" t="str">
        <f>VLOOKUP($A1053, 'Medical Examinations'!A:F, 6, FALSE)</f>
        <v>No</v>
      </c>
      <c r="F1053" t="str">
        <f>VLOOKUP($A1053, 'Medical Examinations'!A:G, 7, FALSE)</f>
        <v>No</v>
      </c>
      <c r="G1053" t="str">
        <f>VLOOKUP($A1053, 'Medical Examinations'!A:H, 8, FALSE)</f>
        <v>No</v>
      </c>
      <c r="H1053" t="str">
        <f>VLOOKUP($A1053, 'Medical Examinations'!A:J, 10, FALSE)</f>
        <v>No major surgery</v>
      </c>
      <c r="I1053" t="str">
        <f>VLOOKUP($A1053, 'Medical Examinations'!A:K, 11, FALSE)</f>
        <v>No</v>
      </c>
      <c r="J1053" t="str">
        <f>VLOOKUP($A1053, 'Medical Examinations'!A:B, 2, FALSE)</f>
        <v>Obesity</v>
      </c>
      <c r="K1053" t="str">
        <f>VLOOKUP($A1053, 'Medical Examinations'!A:D, 4, FALSE)</f>
        <v>Normal</v>
      </c>
    </row>
    <row r="1054" spans="1:11" ht="15.5" x14ac:dyDescent="0.35">
      <c r="A1054" s="1" t="s">
        <v>1318</v>
      </c>
      <c r="B1054" t="str">
        <f>VLOOKUP($A1054, 'Customer Names'!A:D, 3, FALSE)</f>
        <v>Wolfe</v>
      </c>
      <c r="C1054">
        <f>VLOOKUP($A1054,'Medical Examinations'!A:C, 3, FALSE)</f>
        <v>24.29</v>
      </c>
      <c r="D1054" t="str">
        <f>VLOOKUP($A1054, 'Medical Examinations'!A:D, 4, FALSE)</f>
        <v>Diabetes</v>
      </c>
      <c r="E1054" t="str">
        <f>VLOOKUP($A1054, 'Medical Examinations'!A:F, 6, FALSE)</f>
        <v>No</v>
      </c>
      <c r="F1054" t="str">
        <f>VLOOKUP($A1054, 'Medical Examinations'!A:G, 7, FALSE)</f>
        <v>No</v>
      </c>
      <c r="G1054" t="str">
        <f>VLOOKUP($A1054, 'Medical Examinations'!A:H, 8, FALSE)</f>
        <v>No</v>
      </c>
      <c r="H1054" t="str">
        <f>VLOOKUP($A1054, 'Medical Examinations'!A:J, 10, FALSE)</f>
        <v>No major surgery</v>
      </c>
      <c r="I1054" t="str">
        <f>VLOOKUP($A1054, 'Medical Examinations'!A:K, 11, FALSE)</f>
        <v>No</v>
      </c>
      <c r="J1054" t="str">
        <f>VLOOKUP($A1054, 'Medical Examinations'!A:B, 2, FALSE)</f>
        <v>Normal Weight</v>
      </c>
      <c r="K1054" t="str">
        <f>VLOOKUP($A1054, 'Medical Examinations'!A:D, 4, FALSE)</f>
        <v>Diabetes</v>
      </c>
    </row>
    <row r="1055" spans="1:11" ht="15.5" x14ac:dyDescent="0.35">
      <c r="A1055" s="1" t="s">
        <v>1317</v>
      </c>
      <c r="B1055" t="str">
        <f>VLOOKUP($A1055, 'Customer Names'!A:D, 3, FALSE)</f>
        <v>Vance</v>
      </c>
      <c r="C1055">
        <f>VLOOKUP($A1055,'Medical Examinations'!A:C, 3, FALSE)</f>
        <v>29.39</v>
      </c>
      <c r="D1055" t="str">
        <f>VLOOKUP($A1055, 'Medical Examinations'!A:D, 4, FALSE)</f>
        <v>Normal</v>
      </c>
      <c r="E1055" t="str">
        <f>VLOOKUP($A1055, 'Medical Examinations'!A:F, 6, FALSE)</f>
        <v>yes</v>
      </c>
      <c r="F1055" t="str">
        <f>VLOOKUP($A1055, 'Medical Examinations'!A:G, 7, FALSE)</f>
        <v>No</v>
      </c>
      <c r="G1055" t="str">
        <f>VLOOKUP($A1055, 'Medical Examinations'!A:H, 8, FALSE)</f>
        <v>No</v>
      </c>
      <c r="H1055" t="str">
        <f>VLOOKUP($A1055, 'Medical Examinations'!A:J, 10, FALSE)</f>
        <v>No major surgery</v>
      </c>
      <c r="I1055" t="str">
        <f>VLOOKUP($A1055, 'Medical Examinations'!A:K, 11, FALSE)</f>
        <v>No</v>
      </c>
      <c r="J1055" t="str">
        <f>VLOOKUP($A1055, 'Medical Examinations'!A:B, 2, FALSE)</f>
        <v>Overweight</v>
      </c>
      <c r="K1055" t="str">
        <f>VLOOKUP($A1055, 'Medical Examinations'!A:D, 4, FALSE)</f>
        <v>Normal</v>
      </c>
    </row>
    <row r="1056" spans="1:11" ht="15.5" x14ac:dyDescent="0.35">
      <c r="A1056" s="1" t="s">
        <v>1316</v>
      </c>
      <c r="B1056" t="str">
        <f>VLOOKUP($A1056, 'Customer Names'!A:D, 3, FALSE)</f>
        <v>Burnett</v>
      </c>
      <c r="C1056">
        <f>VLOOKUP($A1056,'Medical Examinations'!A:C, 3, FALSE)</f>
        <v>25.66</v>
      </c>
      <c r="D1056" t="str">
        <f>VLOOKUP($A1056, 'Medical Examinations'!A:D, 4, FALSE)</f>
        <v>Normal</v>
      </c>
      <c r="E1056" t="str">
        <f>VLOOKUP($A1056, 'Medical Examinations'!A:F, 6, FALSE)</f>
        <v>yes</v>
      </c>
      <c r="F1056" t="str">
        <f>VLOOKUP($A1056, 'Medical Examinations'!A:G, 7, FALSE)</f>
        <v>No</v>
      </c>
      <c r="G1056" t="str">
        <f>VLOOKUP($A1056, 'Medical Examinations'!A:H, 8, FALSE)</f>
        <v>No</v>
      </c>
      <c r="H1056">
        <f>VLOOKUP($A1056, 'Medical Examinations'!A:J, 10, FALSE)</f>
        <v>1</v>
      </c>
      <c r="I1056" t="str">
        <f>VLOOKUP($A1056, 'Medical Examinations'!A:K, 11, FALSE)</f>
        <v>No</v>
      </c>
      <c r="J1056" t="str">
        <f>VLOOKUP($A1056, 'Medical Examinations'!A:B, 2, FALSE)</f>
        <v>Overweight</v>
      </c>
      <c r="K1056" t="str">
        <f>VLOOKUP($A1056, 'Medical Examinations'!A:D, 4, FALSE)</f>
        <v>Normal</v>
      </c>
    </row>
    <row r="1057" spans="1:11" ht="15.5" x14ac:dyDescent="0.35">
      <c r="A1057" s="1" t="s">
        <v>1315</v>
      </c>
      <c r="B1057" t="str">
        <f>VLOOKUP($A1057, 'Customer Names'!A:D, 3, FALSE)</f>
        <v>Clason</v>
      </c>
      <c r="C1057">
        <f>VLOOKUP($A1057,'Medical Examinations'!A:C, 3, FALSE)</f>
        <v>39.11</v>
      </c>
      <c r="D1057" t="str">
        <f>VLOOKUP($A1057, 'Medical Examinations'!A:D, 4, FALSE)</f>
        <v>Prediabetes</v>
      </c>
      <c r="E1057" t="str">
        <f>VLOOKUP($A1057, 'Medical Examinations'!A:F, 6, FALSE)</f>
        <v>No</v>
      </c>
      <c r="F1057" t="str">
        <f>VLOOKUP($A1057, 'Medical Examinations'!A:G, 7, FALSE)</f>
        <v>No</v>
      </c>
      <c r="G1057" t="str">
        <f>VLOOKUP($A1057, 'Medical Examinations'!A:H, 8, FALSE)</f>
        <v>No</v>
      </c>
      <c r="H1057" t="str">
        <f>VLOOKUP($A1057, 'Medical Examinations'!A:J, 10, FALSE)</f>
        <v>No major surgery</v>
      </c>
      <c r="I1057" t="str">
        <f>VLOOKUP($A1057, 'Medical Examinations'!A:K, 11, FALSE)</f>
        <v>No</v>
      </c>
      <c r="J1057" t="str">
        <f>VLOOKUP($A1057, 'Medical Examinations'!A:B, 2, FALSE)</f>
        <v>Obesity</v>
      </c>
      <c r="K1057" t="str">
        <f>VLOOKUP($A1057, 'Medical Examinations'!A:D, 4, FALSE)</f>
        <v>Prediabetes</v>
      </c>
    </row>
    <row r="1058" spans="1:11" ht="15.5" x14ac:dyDescent="0.35">
      <c r="A1058" s="1" t="s">
        <v>1314</v>
      </c>
      <c r="B1058" t="str">
        <f>VLOOKUP($A1058, 'Customer Names'!A:D, 3, FALSE)</f>
        <v>Donnelly</v>
      </c>
      <c r="C1058">
        <f>VLOOKUP($A1058,'Medical Examinations'!A:C, 3, FALSE)</f>
        <v>43.78</v>
      </c>
      <c r="D1058" t="str">
        <f>VLOOKUP($A1058, 'Medical Examinations'!A:D, 4, FALSE)</f>
        <v>Prediabetes</v>
      </c>
      <c r="E1058" t="str">
        <f>VLOOKUP($A1058, 'Medical Examinations'!A:F, 6, FALSE)</f>
        <v>No</v>
      </c>
      <c r="F1058" t="str">
        <f>VLOOKUP($A1058, 'Medical Examinations'!A:G, 7, FALSE)</f>
        <v>No</v>
      </c>
      <c r="G1058" t="str">
        <f>VLOOKUP($A1058, 'Medical Examinations'!A:H, 8, FALSE)</f>
        <v>No</v>
      </c>
      <c r="H1058">
        <f>VLOOKUP($A1058, 'Medical Examinations'!A:J, 10, FALSE)</f>
        <v>1</v>
      </c>
      <c r="I1058" t="str">
        <f>VLOOKUP($A1058, 'Medical Examinations'!A:K, 11, FALSE)</f>
        <v>No</v>
      </c>
      <c r="J1058" t="str">
        <f>VLOOKUP($A1058, 'Medical Examinations'!A:B, 2, FALSE)</f>
        <v>Obesity</v>
      </c>
      <c r="K1058" t="str">
        <f>VLOOKUP($A1058, 'Medical Examinations'!A:D, 4, FALSE)</f>
        <v>Prediabetes</v>
      </c>
    </row>
    <row r="1059" spans="1:11" ht="15.5" x14ac:dyDescent="0.35">
      <c r="A1059" s="1" t="s">
        <v>1313</v>
      </c>
      <c r="B1059" t="str">
        <f>VLOOKUP($A1059, 'Customer Names'!A:D, 3, FALSE)</f>
        <v>Pietz</v>
      </c>
      <c r="C1059">
        <f>VLOOKUP($A1059,'Medical Examinations'!A:C, 3, FALSE)</f>
        <v>24.35</v>
      </c>
      <c r="D1059" t="str">
        <f>VLOOKUP($A1059, 'Medical Examinations'!A:D, 4, FALSE)</f>
        <v>Diabetes</v>
      </c>
      <c r="E1059" t="str">
        <f>VLOOKUP($A1059, 'Medical Examinations'!A:F, 6, FALSE)</f>
        <v>No</v>
      </c>
      <c r="F1059" t="str">
        <f>VLOOKUP($A1059, 'Medical Examinations'!A:G, 7, FALSE)</f>
        <v>No</v>
      </c>
      <c r="G1059" t="str">
        <f>VLOOKUP($A1059, 'Medical Examinations'!A:H, 8, FALSE)</f>
        <v>No</v>
      </c>
      <c r="H1059" t="str">
        <f>VLOOKUP($A1059, 'Medical Examinations'!A:J, 10, FALSE)</f>
        <v>No major surgery</v>
      </c>
      <c r="I1059" t="str">
        <f>VLOOKUP($A1059, 'Medical Examinations'!A:K, 11, FALSE)</f>
        <v>No</v>
      </c>
      <c r="J1059" t="str">
        <f>VLOOKUP($A1059, 'Medical Examinations'!A:B, 2, FALSE)</f>
        <v>Normal Weight</v>
      </c>
      <c r="K1059" t="str">
        <f>VLOOKUP($A1059, 'Medical Examinations'!A:D, 4, FALSE)</f>
        <v>Diabetes</v>
      </c>
    </row>
    <row r="1060" spans="1:11" ht="15.5" x14ac:dyDescent="0.35">
      <c r="A1060" s="1" t="s">
        <v>1312</v>
      </c>
      <c r="B1060" t="str">
        <f>VLOOKUP($A1060, 'Customer Names'!A:D, 3, FALSE)</f>
        <v>Tegenkamp</v>
      </c>
      <c r="C1060">
        <f>VLOOKUP($A1060,'Medical Examinations'!A:C, 3, FALSE)</f>
        <v>40.299999999999997</v>
      </c>
      <c r="D1060" t="str">
        <f>VLOOKUP($A1060, 'Medical Examinations'!A:D, 4, FALSE)</f>
        <v>Normal</v>
      </c>
      <c r="E1060" t="str">
        <f>VLOOKUP($A1060, 'Medical Examinations'!A:F, 6, FALSE)</f>
        <v>yes</v>
      </c>
      <c r="F1060" t="str">
        <f>VLOOKUP($A1060, 'Medical Examinations'!A:G, 7, FALSE)</f>
        <v>No</v>
      </c>
      <c r="G1060" t="str">
        <f>VLOOKUP($A1060, 'Medical Examinations'!A:H, 8, FALSE)</f>
        <v>No</v>
      </c>
      <c r="H1060">
        <f>VLOOKUP($A1060, 'Medical Examinations'!A:J, 10, FALSE)</f>
        <v>2</v>
      </c>
      <c r="I1060" t="str">
        <f>VLOOKUP($A1060, 'Medical Examinations'!A:K, 11, FALSE)</f>
        <v>No</v>
      </c>
      <c r="J1060" t="str">
        <f>VLOOKUP($A1060, 'Medical Examinations'!A:B, 2, FALSE)</f>
        <v>Obesity</v>
      </c>
      <c r="K1060" t="str">
        <f>VLOOKUP($A1060, 'Medical Examinations'!A:D, 4, FALSE)</f>
        <v>Normal</v>
      </c>
    </row>
    <row r="1061" spans="1:11" ht="15.5" x14ac:dyDescent="0.35">
      <c r="A1061" s="1" t="s">
        <v>1311</v>
      </c>
      <c r="B1061" t="str">
        <f>VLOOKUP($A1061, 'Customer Names'!A:D, 3, FALSE)</f>
        <v>Dover</v>
      </c>
      <c r="C1061">
        <f>VLOOKUP($A1061,'Medical Examinations'!A:C, 3, FALSE)</f>
        <v>32.774999999999999</v>
      </c>
      <c r="D1061" t="str">
        <f>VLOOKUP($A1061, 'Medical Examinations'!A:D, 4, FALSE)</f>
        <v>Diabetes</v>
      </c>
      <c r="E1061" t="str">
        <f>VLOOKUP($A1061, 'Medical Examinations'!A:F, 6, FALSE)</f>
        <v>yes</v>
      </c>
      <c r="F1061" t="str">
        <f>VLOOKUP($A1061, 'Medical Examinations'!A:G, 7, FALSE)</f>
        <v>No</v>
      </c>
      <c r="G1061" t="str">
        <f>VLOOKUP($A1061, 'Medical Examinations'!A:H, 8, FALSE)</f>
        <v>No</v>
      </c>
      <c r="H1061" t="str">
        <f>VLOOKUP($A1061, 'Medical Examinations'!A:J, 10, FALSE)</f>
        <v>No major surgery</v>
      </c>
      <c r="I1061" t="str">
        <f>VLOOKUP($A1061, 'Medical Examinations'!A:K, 11, FALSE)</f>
        <v>No</v>
      </c>
      <c r="J1061" t="str">
        <f>VLOOKUP($A1061, 'Medical Examinations'!A:B, 2, FALSE)</f>
        <v>Obesity</v>
      </c>
      <c r="K1061" t="str">
        <f>VLOOKUP($A1061, 'Medical Examinations'!A:D, 4, FALSE)</f>
        <v>Diabetes</v>
      </c>
    </row>
    <row r="1062" spans="1:11" ht="15.5" x14ac:dyDescent="0.35">
      <c r="A1062" s="1" t="s">
        <v>1310</v>
      </c>
      <c r="B1062" t="str">
        <f>VLOOKUP($A1062, 'Customer Names'!A:D, 3, FALSE)</f>
        <v>Dockemeyer</v>
      </c>
      <c r="C1062">
        <f>VLOOKUP($A1062,'Medical Examinations'!A:C, 3, FALSE)</f>
        <v>39.6</v>
      </c>
      <c r="D1062" t="str">
        <f>VLOOKUP($A1062, 'Medical Examinations'!A:D, 4, FALSE)</f>
        <v>Normal</v>
      </c>
      <c r="E1062" t="str">
        <f>VLOOKUP($A1062, 'Medical Examinations'!A:F, 6, FALSE)</f>
        <v>yes</v>
      </c>
      <c r="F1062" t="str">
        <f>VLOOKUP($A1062, 'Medical Examinations'!A:G, 7, FALSE)</f>
        <v>No</v>
      </c>
      <c r="G1062" t="str">
        <f>VLOOKUP($A1062, 'Medical Examinations'!A:H, 8, FALSE)</f>
        <v>No</v>
      </c>
      <c r="H1062">
        <f>VLOOKUP($A1062, 'Medical Examinations'!A:J, 10, FALSE)</f>
        <v>2</v>
      </c>
      <c r="I1062" t="str">
        <f>VLOOKUP($A1062, 'Medical Examinations'!A:K, 11, FALSE)</f>
        <v>No</v>
      </c>
      <c r="J1062" t="str">
        <f>VLOOKUP($A1062, 'Medical Examinations'!A:B, 2, FALSE)</f>
        <v>Obesity</v>
      </c>
      <c r="K1062" t="str">
        <f>VLOOKUP($A1062, 'Medical Examinations'!A:D, 4, FALSE)</f>
        <v>Normal</v>
      </c>
    </row>
    <row r="1063" spans="1:11" ht="15.5" x14ac:dyDescent="0.35">
      <c r="A1063" s="1" t="s">
        <v>1309</v>
      </c>
      <c r="B1063" t="str">
        <f>VLOOKUP($A1063, 'Customer Names'!A:D, 3, FALSE)</f>
        <v>Steele</v>
      </c>
      <c r="C1063">
        <f>VLOOKUP($A1063,'Medical Examinations'!A:C, 3, FALSE)</f>
        <v>30.97</v>
      </c>
      <c r="D1063" t="str">
        <f>VLOOKUP($A1063, 'Medical Examinations'!A:D, 4, FALSE)</f>
        <v>Normal</v>
      </c>
      <c r="E1063" t="str">
        <f>VLOOKUP($A1063, 'Medical Examinations'!A:F, 6, FALSE)</f>
        <v>No</v>
      </c>
      <c r="F1063" t="str">
        <f>VLOOKUP($A1063, 'Medical Examinations'!A:G, 7, FALSE)</f>
        <v>No</v>
      </c>
      <c r="G1063" t="str">
        <f>VLOOKUP($A1063, 'Medical Examinations'!A:H, 8, FALSE)</f>
        <v>No</v>
      </c>
      <c r="H1063">
        <f>VLOOKUP($A1063, 'Medical Examinations'!A:J, 10, FALSE)</f>
        <v>2</v>
      </c>
      <c r="I1063" t="str">
        <f>VLOOKUP($A1063, 'Medical Examinations'!A:K, 11, FALSE)</f>
        <v>No</v>
      </c>
      <c r="J1063" t="str">
        <f>VLOOKUP($A1063, 'Medical Examinations'!A:B, 2, FALSE)</f>
        <v>Obesity</v>
      </c>
      <c r="K1063" t="str">
        <f>VLOOKUP($A1063, 'Medical Examinations'!A:D, 4, FALSE)</f>
        <v>Normal</v>
      </c>
    </row>
    <row r="1064" spans="1:11" ht="15.5" x14ac:dyDescent="0.35">
      <c r="A1064" s="1" t="s">
        <v>1308</v>
      </c>
      <c r="B1064" t="str">
        <f>VLOOKUP($A1064, 'Customer Names'!A:D, 3, FALSE)</f>
        <v>Harel</v>
      </c>
      <c r="C1064">
        <f>VLOOKUP($A1064,'Medical Examinations'!A:C, 3, FALSE)</f>
        <v>27.645</v>
      </c>
      <c r="D1064" t="str">
        <f>VLOOKUP($A1064, 'Medical Examinations'!A:D, 4, FALSE)</f>
        <v>Diabetes</v>
      </c>
      <c r="E1064" t="str">
        <f>VLOOKUP($A1064, 'Medical Examinations'!A:F, 6, FALSE)</f>
        <v>yes</v>
      </c>
      <c r="F1064" t="str">
        <f>VLOOKUP($A1064, 'Medical Examinations'!A:G, 7, FALSE)</f>
        <v>No</v>
      </c>
      <c r="G1064" t="str">
        <f>VLOOKUP($A1064, 'Medical Examinations'!A:H, 8, FALSE)</f>
        <v>No</v>
      </c>
      <c r="H1064" t="str">
        <f>VLOOKUP($A1064, 'Medical Examinations'!A:J, 10, FALSE)</f>
        <v>No major surgery</v>
      </c>
      <c r="I1064" t="str">
        <f>VLOOKUP($A1064, 'Medical Examinations'!A:K, 11, FALSE)</f>
        <v>No</v>
      </c>
      <c r="J1064" t="str">
        <f>VLOOKUP($A1064, 'Medical Examinations'!A:B, 2, FALSE)</f>
        <v>Overweight</v>
      </c>
      <c r="K1064" t="str">
        <f>VLOOKUP($A1064, 'Medical Examinations'!A:D, 4, FALSE)</f>
        <v>Diabetes</v>
      </c>
    </row>
    <row r="1065" spans="1:11" ht="15.5" x14ac:dyDescent="0.35">
      <c r="A1065" s="1" t="s">
        <v>1307</v>
      </c>
      <c r="B1065" t="str">
        <f>VLOOKUP($A1065, 'Customer Names'!A:D, 3, FALSE)</f>
        <v>Aguila</v>
      </c>
      <c r="C1065">
        <f>VLOOKUP($A1065,'Medical Examinations'!A:C, 3, FALSE)</f>
        <v>34.43</v>
      </c>
      <c r="D1065" t="str">
        <f>VLOOKUP($A1065, 'Medical Examinations'!A:D, 4, FALSE)</f>
        <v>Prediabetes</v>
      </c>
      <c r="E1065" t="str">
        <f>VLOOKUP($A1065, 'Medical Examinations'!A:F, 6, FALSE)</f>
        <v>yes</v>
      </c>
      <c r="F1065" t="str">
        <f>VLOOKUP($A1065, 'Medical Examinations'!A:G, 7, FALSE)</f>
        <v>No</v>
      </c>
      <c r="G1065" t="str">
        <f>VLOOKUP($A1065, 'Medical Examinations'!A:H, 8, FALSE)</f>
        <v>No</v>
      </c>
      <c r="H1065">
        <f>VLOOKUP($A1065, 'Medical Examinations'!A:J, 10, FALSE)</f>
        <v>2</v>
      </c>
      <c r="I1065" t="str">
        <f>VLOOKUP($A1065, 'Medical Examinations'!A:K, 11, FALSE)</f>
        <v>No</v>
      </c>
      <c r="J1065" t="str">
        <f>VLOOKUP($A1065, 'Medical Examinations'!A:B, 2, FALSE)</f>
        <v>Obesity</v>
      </c>
      <c r="K1065" t="str">
        <f>VLOOKUP($A1065, 'Medical Examinations'!A:D, 4, FALSE)</f>
        <v>Prediabetes</v>
      </c>
    </row>
    <row r="1066" spans="1:11" ht="15.5" x14ac:dyDescent="0.35">
      <c r="A1066" s="1" t="s">
        <v>1306</v>
      </c>
      <c r="B1066" t="str">
        <f>VLOOKUP($A1066, 'Customer Names'!A:D, 3, FALSE)</f>
        <v>Vallejo Sarmiento</v>
      </c>
      <c r="C1066">
        <f>VLOOKUP($A1066,'Medical Examinations'!A:C, 3, FALSE)</f>
        <v>39.6</v>
      </c>
      <c r="D1066" t="str">
        <f>VLOOKUP($A1066, 'Medical Examinations'!A:D, 4, FALSE)</f>
        <v>Normal</v>
      </c>
      <c r="E1066" t="str">
        <f>VLOOKUP($A1066, 'Medical Examinations'!A:F, 6, FALSE)</f>
        <v>yes</v>
      </c>
      <c r="F1066" t="str">
        <f>VLOOKUP($A1066, 'Medical Examinations'!A:G, 7, FALSE)</f>
        <v>No</v>
      </c>
      <c r="G1066" t="str">
        <f>VLOOKUP($A1066, 'Medical Examinations'!A:H, 8, FALSE)</f>
        <v>Yes</v>
      </c>
      <c r="H1066">
        <f>VLOOKUP($A1066, 'Medical Examinations'!A:J, 10, FALSE)</f>
        <v>1</v>
      </c>
      <c r="I1066" t="str">
        <f>VLOOKUP($A1066, 'Medical Examinations'!A:K, 11, FALSE)</f>
        <v>No</v>
      </c>
      <c r="J1066" t="str">
        <f>VLOOKUP($A1066, 'Medical Examinations'!A:B, 2, FALSE)</f>
        <v>Obesity</v>
      </c>
      <c r="K1066" t="str">
        <f>VLOOKUP($A1066, 'Medical Examinations'!A:D, 4, FALSE)</f>
        <v>Normal</v>
      </c>
    </row>
    <row r="1067" spans="1:11" ht="15.5" x14ac:dyDescent="0.35">
      <c r="A1067" s="1" t="s">
        <v>1305</v>
      </c>
      <c r="B1067" t="str">
        <f>VLOOKUP($A1067, 'Customer Names'!A:D, 3, FALSE)</f>
        <v>Beisheim</v>
      </c>
      <c r="C1067">
        <f>VLOOKUP($A1067,'Medical Examinations'!A:C, 3, FALSE)</f>
        <v>22.1</v>
      </c>
      <c r="D1067" t="str">
        <f>VLOOKUP($A1067, 'Medical Examinations'!A:D, 4, FALSE)</f>
        <v>Normal</v>
      </c>
      <c r="E1067" t="str">
        <f>VLOOKUP($A1067, 'Medical Examinations'!A:F, 6, FALSE)</f>
        <v>yes</v>
      </c>
      <c r="F1067" t="str">
        <f>VLOOKUP($A1067, 'Medical Examinations'!A:G, 7, FALSE)</f>
        <v>No</v>
      </c>
      <c r="G1067" t="str">
        <f>VLOOKUP($A1067, 'Medical Examinations'!A:H, 8, FALSE)</f>
        <v>No</v>
      </c>
      <c r="H1067">
        <f>VLOOKUP($A1067, 'Medical Examinations'!A:J, 10, FALSE)</f>
        <v>2</v>
      </c>
      <c r="I1067" t="str">
        <f>VLOOKUP($A1067, 'Medical Examinations'!A:K, 11, FALSE)</f>
        <v>No</v>
      </c>
      <c r="J1067" t="str">
        <f>VLOOKUP($A1067, 'Medical Examinations'!A:B, 2, FALSE)</f>
        <v>Normal Weight</v>
      </c>
      <c r="K1067" t="str">
        <f>VLOOKUP($A1067, 'Medical Examinations'!A:D, 4, FALSE)</f>
        <v>Normal</v>
      </c>
    </row>
    <row r="1068" spans="1:11" ht="15.5" x14ac:dyDescent="0.35">
      <c r="A1068" s="1" t="s">
        <v>1304</v>
      </c>
      <c r="B1068" t="str">
        <f>VLOOKUP($A1068, 'Customer Names'!A:D, 3, FALSE)</f>
        <v>Lenhoff</v>
      </c>
      <c r="C1068">
        <f>VLOOKUP($A1068,'Medical Examinations'!A:C, 3, FALSE)</f>
        <v>33.25</v>
      </c>
      <c r="D1068" t="str">
        <f>VLOOKUP($A1068, 'Medical Examinations'!A:D, 4, FALSE)</f>
        <v>Normal</v>
      </c>
      <c r="E1068" t="str">
        <f>VLOOKUP($A1068, 'Medical Examinations'!A:F, 6, FALSE)</f>
        <v>yes</v>
      </c>
      <c r="F1068" t="str">
        <f>VLOOKUP($A1068, 'Medical Examinations'!A:G, 7, FALSE)</f>
        <v>No</v>
      </c>
      <c r="G1068" t="str">
        <f>VLOOKUP($A1068, 'Medical Examinations'!A:H, 8, FALSE)</f>
        <v>Yes</v>
      </c>
      <c r="H1068">
        <f>VLOOKUP($A1068, 'Medical Examinations'!A:J, 10, FALSE)</f>
        <v>1</v>
      </c>
      <c r="I1068" t="str">
        <f>VLOOKUP($A1068, 'Medical Examinations'!A:K, 11, FALSE)</f>
        <v>No</v>
      </c>
      <c r="J1068" t="str">
        <f>VLOOKUP($A1068, 'Medical Examinations'!A:B, 2, FALSE)</f>
        <v>Obesity</v>
      </c>
      <c r="K1068" t="str">
        <f>VLOOKUP($A1068, 'Medical Examinations'!A:D, 4, FALSE)</f>
        <v>Normal</v>
      </c>
    </row>
    <row r="1069" spans="1:11" ht="15.5" x14ac:dyDescent="0.35">
      <c r="A1069" s="1" t="s">
        <v>1303</v>
      </c>
      <c r="B1069" t="str">
        <f>VLOOKUP($A1069, 'Customer Names'!A:D, 3, FALSE)</f>
        <v>Wehrwein</v>
      </c>
      <c r="C1069">
        <f>VLOOKUP($A1069,'Medical Examinations'!A:C, 3, FALSE)</f>
        <v>33.33</v>
      </c>
      <c r="D1069" t="str">
        <f>VLOOKUP($A1069, 'Medical Examinations'!A:D, 4, FALSE)</f>
        <v>Diabetes</v>
      </c>
      <c r="E1069" t="str">
        <f>VLOOKUP($A1069, 'Medical Examinations'!A:F, 6, FALSE)</f>
        <v>No</v>
      </c>
      <c r="F1069" t="str">
        <f>VLOOKUP($A1069, 'Medical Examinations'!A:G, 7, FALSE)</f>
        <v>No</v>
      </c>
      <c r="G1069" t="str">
        <f>VLOOKUP($A1069, 'Medical Examinations'!A:H, 8, FALSE)</f>
        <v>No</v>
      </c>
      <c r="H1069" t="str">
        <f>VLOOKUP($A1069, 'Medical Examinations'!A:J, 10, FALSE)</f>
        <v>No major surgery</v>
      </c>
      <c r="I1069" t="str">
        <f>VLOOKUP($A1069, 'Medical Examinations'!A:K, 11, FALSE)</f>
        <v>No</v>
      </c>
      <c r="J1069" t="str">
        <f>VLOOKUP($A1069, 'Medical Examinations'!A:B, 2, FALSE)</f>
        <v>Obesity</v>
      </c>
      <c r="K1069" t="str">
        <f>VLOOKUP($A1069, 'Medical Examinations'!A:D, 4, FALSE)</f>
        <v>Diabetes</v>
      </c>
    </row>
    <row r="1070" spans="1:11" ht="15.5" x14ac:dyDescent="0.35">
      <c r="A1070" s="1" t="s">
        <v>1302</v>
      </c>
      <c r="B1070" t="str">
        <f>VLOOKUP($A1070, 'Customer Names'!A:D, 3, FALSE)</f>
        <v>Wallace</v>
      </c>
      <c r="C1070">
        <f>VLOOKUP($A1070,'Medical Examinations'!A:C, 3, FALSE)</f>
        <v>30.5</v>
      </c>
      <c r="D1070" t="str">
        <f>VLOOKUP($A1070, 'Medical Examinations'!A:D, 4, FALSE)</f>
        <v>Diabetes</v>
      </c>
      <c r="E1070" t="str">
        <f>VLOOKUP($A1070, 'Medical Examinations'!A:F, 6, FALSE)</f>
        <v>No</v>
      </c>
      <c r="F1070" t="str">
        <f>VLOOKUP($A1070, 'Medical Examinations'!A:G, 7, FALSE)</f>
        <v>No</v>
      </c>
      <c r="G1070" t="str">
        <f>VLOOKUP($A1070, 'Medical Examinations'!A:H, 8, FALSE)</f>
        <v>No</v>
      </c>
      <c r="H1070" t="str">
        <f>VLOOKUP($A1070, 'Medical Examinations'!A:J, 10, FALSE)</f>
        <v>No major surgery</v>
      </c>
      <c r="I1070" t="str">
        <f>VLOOKUP($A1070, 'Medical Examinations'!A:K, 11, FALSE)</f>
        <v>No</v>
      </c>
      <c r="J1070" t="str">
        <f>VLOOKUP($A1070, 'Medical Examinations'!A:B, 2, FALSE)</f>
        <v>Obesity</v>
      </c>
      <c r="K1070" t="str">
        <f>VLOOKUP($A1070, 'Medical Examinations'!A:D, 4, FALSE)</f>
        <v>Diabetes</v>
      </c>
    </row>
    <row r="1071" spans="1:11" ht="15.5" x14ac:dyDescent="0.35">
      <c r="A1071" s="1" t="s">
        <v>1301</v>
      </c>
      <c r="B1071" t="str">
        <f>VLOOKUP($A1071, 'Customer Names'!A:D, 3, FALSE)</f>
        <v>Markowitz</v>
      </c>
      <c r="C1071">
        <f>VLOOKUP($A1071,'Medical Examinations'!A:C, 3, FALSE)</f>
        <v>30.3</v>
      </c>
      <c r="D1071" t="str">
        <f>VLOOKUP($A1071, 'Medical Examinations'!A:D, 4, FALSE)</f>
        <v>Normal</v>
      </c>
      <c r="E1071" t="str">
        <f>VLOOKUP($A1071, 'Medical Examinations'!A:F, 6, FALSE)</f>
        <v>No</v>
      </c>
      <c r="F1071" t="str">
        <f>VLOOKUP($A1071, 'Medical Examinations'!A:G, 7, FALSE)</f>
        <v>No</v>
      </c>
      <c r="G1071" t="str">
        <f>VLOOKUP($A1071, 'Medical Examinations'!A:H, 8, FALSE)</f>
        <v>No</v>
      </c>
      <c r="H1071" t="str">
        <f>VLOOKUP($A1071, 'Medical Examinations'!A:J, 10, FALSE)</f>
        <v>No major surgery</v>
      </c>
      <c r="I1071" t="str">
        <f>VLOOKUP($A1071, 'Medical Examinations'!A:K, 11, FALSE)</f>
        <v>No</v>
      </c>
      <c r="J1071" t="str">
        <f>VLOOKUP($A1071, 'Medical Examinations'!A:B, 2, FALSE)</f>
        <v>Obesity</v>
      </c>
      <c r="K1071" t="str">
        <f>VLOOKUP($A1071, 'Medical Examinations'!A:D, 4, FALSE)</f>
        <v>Normal</v>
      </c>
    </row>
    <row r="1072" spans="1:11" ht="15.5" x14ac:dyDescent="0.35">
      <c r="A1072" s="1" t="s">
        <v>1300</v>
      </c>
      <c r="B1072" t="str">
        <f>VLOOKUP($A1072, 'Customer Names'!A:D, 3, FALSE)</f>
        <v>Vos</v>
      </c>
      <c r="C1072">
        <f>VLOOKUP($A1072,'Medical Examinations'!A:C, 3, FALSE)</f>
        <v>26.22</v>
      </c>
      <c r="D1072" t="str">
        <f>VLOOKUP($A1072, 'Medical Examinations'!A:D, 4, FALSE)</f>
        <v>Prediabetes</v>
      </c>
      <c r="E1072" t="str">
        <f>VLOOKUP($A1072, 'Medical Examinations'!A:F, 6, FALSE)</f>
        <v>No</v>
      </c>
      <c r="F1072" t="str">
        <f>VLOOKUP($A1072, 'Medical Examinations'!A:G, 7, FALSE)</f>
        <v>No</v>
      </c>
      <c r="G1072" t="str">
        <f>VLOOKUP($A1072, 'Medical Examinations'!A:H, 8, FALSE)</f>
        <v>No</v>
      </c>
      <c r="H1072">
        <f>VLOOKUP($A1072, 'Medical Examinations'!A:J, 10, FALSE)</f>
        <v>2</v>
      </c>
      <c r="I1072" t="str">
        <f>VLOOKUP($A1072, 'Medical Examinations'!A:K, 11, FALSE)</f>
        <v>No</v>
      </c>
      <c r="J1072" t="str">
        <f>VLOOKUP($A1072, 'Medical Examinations'!A:B, 2, FALSE)</f>
        <v>Overweight</v>
      </c>
      <c r="K1072" t="str">
        <f>VLOOKUP($A1072, 'Medical Examinations'!A:D, 4, FALSE)</f>
        <v>Prediabetes</v>
      </c>
    </row>
    <row r="1073" spans="1:11" ht="15.5" x14ac:dyDescent="0.35">
      <c r="A1073" s="1" t="s">
        <v>1299</v>
      </c>
      <c r="B1073" t="str">
        <f>VLOOKUP($A1073, 'Customer Names'!A:D, 3, FALSE)</f>
        <v>McLeod</v>
      </c>
      <c r="C1073">
        <f>VLOOKUP($A1073,'Medical Examinations'!A:C, 3, FALSE)</f>
        <v>29.99</v>
      </c>
      <c r="D1073" t="str">
        <f>VLOOKUP($A1073, 'Medical Examinations'!A:D, 4, FALSE)</f>
        <v>Diabetes</v>
      </c>
      <c r="E1073" t="str">
        <f>VLOOKUP($A1073, 'Medical Examinations'!A:F, 6, FALSE)</f>
        <v>No</v>
      </c>
      <c r="F1073" t="str">
        <f>VLOOKUP($A1073, 'Medical Examinations'!A:G, 7, FALSE)</f>
        <v>No</v>
      </c>
      <c r="G1073" t="str">
        <f>VLOOKUP($A1073, 'Medical Examinations'!A:H, 8, FALSE)</f>
        <v>No</v>
      </c>
      <c r="H1073" t="str">
        <f>VLOOKUP($A1073, 'Medical Examinations'!A:J, 10, FALSE)</f>
        <v>No major surgery</v>
      </c>
      <c r="I1073" t="str">
        <f>VLOOKUP($A1073, 'Medical Examinations'!A:K, 11, FALSE)</f>
        <v>No</v>
      </c>
      <c r="J1073" t="e">
        <f>VLOOKUP($A1073, 'Medical Examinations'!A:B, 2, FALSE)</f>
        <v>#N/A</v>
      </c>
      <c r="K1073" t="str">
        <f>VLOOKUP($A1073, 'Medical Examinations'!A:D, 4, FALSE)</f>
        <v>Diabetes</v>
      </c>
    </row>
    <row r="1074" spans="1:11" ht="15.5" x14ac:dyDescent="0.35">
      <c r="A1074" s="1" t="s">
        <v>1298</v>
      </c>
      <c r="B1074" t="str">
        <f>VLOOKUP($A1074, 'Customer Names'!A:D, 3, FALSE)</f>
        <v>Balcom</v>
      </c>
      <c r="C1074">
        <f>VLOOKUP($A1074,'Medical Examinations'!A:C, 3, FALSE)</f>
        <v>36.380000000000003</v>
      </c>
      <c r="D1074" t="str">
        <f>VLOOKUP($A1074, 'Medical Examinations'!A:D, 4, FALSE)</f>
        <v>Prediabetes</v>
      </c>
      <c r="E1074" t="str">
        <f>VLOOKUP($A1074, 'Medical Examinations'!A:F, 6, FALSE)</f>
        <v>No</v>
      </c>
      <c r="F1074" t="str">
        <f>VLOOKUP($A1074, 'Medical Examinations'!A:G, 7, FALSE)</f>
        <v>No</v>
      </c>
      <c r="G1074" t="str">
        <f>VLOOKUP($A1074, 'Medical Examinations'!A:H, 8, FALSE)</f>
        <v>No</v>
      </c>
      <c r="H1074">
        <f>VLOOKUP($A1074, 'Medical Examinations'!A:J, 10, FALSE)</f>
        <v>1</v>
      </c>
      <c r="I1074" t="str">
        <f>VLOOKUP($A1074, 'Medical Examinations'!A:K, 11, FALSE)</f>
        <v>No</v>
      </c>
      <c r="J1074" t="str">
        <f>VLOOKUP($A1074, 'Medical Examinations'!A:B, 2, FALSE)</f>
        <v>Obesity</v>
      </c>
      <c r="K1074" t="str">
        <f>VLOOKUP($A1074, 'Medical Examinations'!A:D, 4, FALSE)</f>
        <v>Prediabetes</v>
      </c>
    </row>
    <row r="1075" spans="1:11" ht="15.5" x14ac:dyDescent="0.35">
      <c r="A1075" s="1" t="s">
        <v>1297</v>
      </c>
      <c r="B1075" t="str">
        <f>VLOOKUP($A1075, 'Customer Names'!A:D, 3, FALSE)</f>
        <v>Dirth</v>
      </c>
      <c r="C1075">
        <f>VLOOKUP($A1075,'Medical Examinations'!A:C, 3, FALSE)</f>
        <v>31.16</v>
      </c>
      <c r="D1075" t="str">
        <f>VLOOKUP($A1075, 'Medical Examinations'!A:D, 4, FALSE)</f>
        <v>Normal</v>
      </c>
      <c r="E1075" t="str">
        <f>VLOOKUP($A1075, 'Medical Examinations'!A:F, 6, FALSE)</f>
        <v>yes</v>
      </c>
      <c r="F1075" t="str">
        <f>VLOOKUP($A1075, 'Medical Examinations'!A:G, 7, FALSE)</f>
        <v>No</v>
      </c>
      <c r="G1075" t="str">
        <f>VLOOKUP($A1075, 'Medical Examinations'!A:H, 8, FALSE)</f>
        <v>Yes</v>
      </c>
      <c r="H1075">
        <f>VLOOKUP($A1075, 'Medical Examinations'!A:J, 10, FALSE)</f>
        <v>1</v>
      </c>
      <c r="I1075" t="str">
        <f>VLOOKUP($A1075, 'Medical Examinations'!A:K, 11, FALSE)</f>
        <v>No</v>
      </c>
      <c r="J1075" t="str">
        <f>VLOOKUP($A1075, 'Medical Examinations'!A:B, 2, FALSE)</f>
        <v>Obesity</v>
      </c>
      <c r="K1075" t="str">
        <f>VLOOKUP($A1075, 'Medical Examinations'!A:D, 4, FALSE)</f>
        <v>Normal</v>
      </c>
    </row>
    <row r="1076" spans="1:11" ht="15.5" x14ac:dyDescent="0.35">
      <c r="A1076" s="1" t="s">
        <v>1296</v>
      </c>
      <c r="B1076" t="str">
        <f>VLOOKUP($A1076, 'Customer Names'!A:D, 3, FALSE)</f>
        <v>Inglish</v>
      </c>
      <c r="C1076">
        <f>VLOOKUP($A1076,'Medical Examinations'!A:C, 3, FALSE)</f>
        <v>25.55</v>
      </c>
      <c r="D1076" t="str">
        <f>VLOOKUP($A1076, 'Medical Examinations'!A:D, 4, FALSE)</f>
        <v>Normal</v>
      </c>
      <c r="E1076" t="str">
        <f>VLOOKUP($A1076, 'Medical Examinations'!A:F, 6, FALSE)</f>
        <v>yes</v>
      </c>
      <c r="F1076" t="str">
        <f>VLOOKUP($A1076, 'Medical Examinations'!A:G, 7, FALSE)</f>
        <v>No</v>
      </c>
      <c r="G1076" t="str">
        <f>VLOOKUP($A1076, 'Medical Examinations'!A:H, 8, FALSE)</f>
        <v>No</v>
      </c>
      <c r="H1076">
        <f>VLOOKUP($A1076, 'Medical Examinations'!A:J, 10, FALSE)</f>
        <v>1</v>
      </c>
      <c r="I1076" t="str">
        <f>VLOOKUP($A1076, 'Medical Examinations'!A:K, 11, FALSE)</f>
        <v>No</v>
      </c>
      <c r="J1076" t="str">
        <f>VLOOKUP($A1076, 'Medical Examinations'!A:B, 2, FALSE)</f>
        <v>Overweight</v>
      </c>
      <c r="K1076" t="str">
        <f>VLOOKUP($A1076, 'Medical Examinations'!A:D, 4, FALSE)</f>
        <v>Normal</v>
      </c>
    </row>
    <row r="1077" spans="1:11" ht="15.5" x14ac:dyDescent="0.35">
      <c r="A1077" s="1" t="s">
        <v>1295</v>
      </c>
      <c r="B1077" t="str">
        <f>VLOOKUP($A1077, 'Customer Names'!A:D, 3, FALSE)</f>
        <v>Matthews</v>
      </c>
      <c r="C1077">
        <f>VLOOKUP($A1077,'Medical Examinations'!A:C, 3, FALSE)</f>
        <v>28.77</v>
      </c>
      <c r="D1077" t="str">
        <f>VLOOKUP($A1077, 'Medical Examinations'!A:D, 4, FALSE)</f>
        <v>Normal</v>
      </c>
      <c r="E1077" t="str">
        <f>VLOOKUP($A1077, 'Medical Examinations'!A:F, 6, FALSE)</f>
        <v>yes</v>
      </c>
      <c r="F1077" t="str">
        <f>VLOOKUP($A1077, 'Medical Examinations'!A:G, 7, FALSE)</f>
        <v>No</v>
      </c>
      <c r="G1077" t="str">
        <f>VLOOKUP($A1077, 'Medical Examinations'!A:H, 8, FALSE)</f>
        <v>No</v>
      </c>
      <c r="H1077" t="str">
        <f>VLOOKUP($A1077, 'Medical Examinations'!A:J, 10, FALSE)</f>
        <v>No major surgery</v>
      </c>
      <c r="I1077" t="str">
        <f>VLOOKUP($A1077, 'Medical Examinations'!A:K, 11, FALSE)</f>
        <v>No</v>
      </c>
      <c r="J1077" t="str">
        <f>VLOOKUP($A1077, 'Medical Examinations'!A:B, 2, FALSE)</f>
        <v>Overweight</v>
      </c>
      <c r="K1077" t="str">
        <f>VLOOKUP($A1077, 'Medical Examinations'!A:D, 4, FALSE)</f>
        <v>Normal</v>
      </c>
    </row>
    <row r="1078" spans="1:11" ht="15.5" x14ac:dyDescent="0.35">
      <c r="A1078" s="1" t="s">
        <v>1294</v>
      </c>
      <c r="B1078" t="str">
        <f>VLOOKUP($A1078, 'Customer Names'!A:D, 3, FALSE)</f>
        <v>Massa-Musiak</v>
      </c>
      <c r="C1078">
        <f>VLOOKUP($A1078,'Medical Examinations'!A:C, 3, FALSE)</f>
        <v>23.14</v>
      </c>
      <c r="D1078" t="str">
        <f>VLOOKUP($A1078, 'Medical Examinations'!A:D, 4, FALSE)</f>
        <v>Normal</v>
      </c>
      <c r="E1078" t="str">
        <f>VLOOKUP($A1078, 'Medical Examinations'!A:F, 6, FALSE)</f>
        <v>yes</v>
      </c>
      <c r="F1078" t="str">
        <f>VLOOKUP($A1078, 'Medical Examinations'!A:G, 7, FALSE)</f>
        <v>No</v>
      </c>
      <c r="G1078" t="str">
        <f>VLOOKUP($A1078, 'Medical Examinations'!A:H, 8, FALSE)</f>
        <v>No</v>
      </c>
      <c r="H1078">
        <f>VLOOKUP($A1078, 'Medical Examinations'!A:J, 10, FALSE)</f>
        <v>1</v>
      </c>
      <c r="I1078" t="str">
        <f>VLOOKUP($A1078, 'Medical Examinations'!A:K, 11, FALSE)</f>
        <v>No</v>
      </c>
      <c r="J1078" t="str">
        <f>VLOOKUP($A1078, 'Medical Examinations'!A:B, 2, FALSE)</f>
        <v>Normal Weight</v>
      </c>
      <c r="K1078" t="str">
        <f>VLOOKUP($A1078, 'Medical Examinations'!A:D, 4, FALSE)</f>
        <v>Normal</v>
      </c>
    </row>
    <row r="1079" spans="1:11" ht="15.5" x14ac:dyDescent="0.35">
      <c r="A1079" s="1" t="s">
        <v>1293</v>
      </c>
      <c r="B1079" t="str">
        <f>VLOOKUP($A1079, 'Customer Names'!A:D, 3, FALSE)</f>
        <v>Bailey</v>
      </c>
      <c r="C1079">
        <f>VLOOKUP($A1079,'Medical Examinations'!A:C, 3, FALSE)</f>
        <v>39.6</v>
      </c>
      <c r="D1079" t="str">
        <f>VLOOKUP($A1079, 'Medical Examinations'!A:D, 4, FALSE)</f>
        <v>Diabetes</v>
      </c>
      <c r="E1079" t="str">
        <f>VLOOKUP($A1079, 'Medical Examinations'!A:F, 6, FALSE)</f>
        <v>No</v>
      </c>
      <c r="F1079" t="str">
        <f>VLOOKUP($A1079, 'Medical Examinations'!A:G, 7, FALSE)</f>
        <v>No</v>
      </c>
      <c r="G1079" t="str">
        <f>VLOOKUP($A1079, 'Medical Examinations'!A:H, 8, FALSE)</f>
        <v>No</v>
      </c>
      <c r="H1079" t="str">
        <f>VLOOKUP($A1079, 'Medical Examinations'!A:J, 10, FALSE)</f>
        <v>No major surgery</v>
      </c>
      <c r="I1079" t="str">
        <f>VLOOKUP($A1079, 'Medical Examinations'!A:K, 11, FALSE)</f>
        <v>No</v>
      </c>
      <c r="J1079" t="str">
        <f>VLOOKUP($A1079, 'Medical Examinations'!A:B, 2, FALSE)</f>
        <v>Obesity</v>
      </c>
      <c r="K1079" t="str">
        <f>VLOOKUP($A1079, 'Medical Examinations'!A:D, 4, FALSE)</f>
        <v>Diabetes</v>
      </c>
    </row>
    <row r="1080" spans="1:11" ht="15.5" x14ac:dyDescent="0.35">
      <c r="A1080" s="1" t="s">
        <v>1292</v>
      </c>
      <c r="B1080" t="str">
        <f>VLOOKUP($A1080, 'Customer Names'!A:D, 3, FALSE)</f>
        <v>Jacoby</v>
      </c>
      <c r="C1080">
        <f>VLOOKUP($A1080,'Medical Examinations'!A:C, 3, FALSE)</f>
        <v>29.2</v>
      </c>
      <c r="D1080" t="str">
        <f>VLOOKUP($A1080, 'Medical Examinations'!A:D, 4, FALSE)</f>
        <v>Diabetes</v>
      </c>
      <c r="E1080" t="str">
        <f>VLOOKUP($A1080, 'Medical Examinations'!A:F, 6, FALSE)</f>
        <v>No</v>
      </c>
      <c r="F1080" t="str">
        <f>VLOOKUP($A1080, 'Medical Examinations'!A:G, 7, FALSE)</f>
        <v>No</v>
      </c>
      <c r="G1080" t="str">
        <f>VLOOKUP($A1080, 'Medical Examinations'!A:H, 8, FALSE)</f>
        <v>No</v>
      </c>
      <c r="H1080" t="str">
        <f>VLOOKUP($A1080, 'Medical Examinations'!A:J, 10, FALSE)</f>
        <v>No major surgery</v>
      </c>
      <c r="I1080" t="str">
        <f>VLOOKUP($A1080, 'Medical Examinations'!A:K, 11, FALSE)</f>
        <v>No</v>
      </c>
      <c r="J1080" t="str">
        <f>VLOOKUP($A1080, 'Medical Examinations'!A:B, 2, FALSE)</f>
        <v>Overweight</v>
      </c>
      <c r="K1080" t="str">
        <f>VLOOKUP($A1080, 'Medical Examinations'!A:D, 4, FALSE)</f>
        <v>Diabetes</v>
      </c>
    </row>
    <row r="1081" spans="1:11" ht="15.5" x14ac:dyDescent="0.35">
      <c r="A1081" s="1" t="s">
        <v>1291</v>
      </c>
      <c r="B1081" t="str">
        <f>VLOOKUP($A1081, 'Customer Names'!A:D, 3, FALSE)</f>
        <v>Crimmings</v>
      </c>
      <c r="C1081">
        <f>VLOOKUP($A1081,'Medical Examinations'!A:C, 3, FALSE)</f>
        <v>32.774999999999999</v>
      </c>
      <c r="D1081" t="str">
        <f>VLOOKUP($A1081, 'Medical Examinations'!A:D, 4, FALSE)</f>
        <v>Diabetes</v>
      </c>
      <c r="E1081" t="str">
        <f>VLOOKUP($A1081, 'Medical Examinations'!A:F, 6, FALSE)</f>
        <v>No</v>
      </c>
      <c r="F1081" t="str">
        <f>VLOOKUP($A1081, 'Medical Examinations'!A:G, 7, FALSE)</f>
        <v>No</v>
      </c>
      <c r="G1081" t="str">
        <f>VLOOKUP($A1081, 'Medical Examinations'!A:H, 8, FALSE)</f>
        <v>No</v>
      </c>
      <c r="H1081" t="str">
        <f>VLOOKUP($A1081, 'Medical Examinations'!A:J, 10, FALSE)</f>
        <v>No major surgery</v>
      </c>
      <c r="I1081" t="str">
        <f>VLOOKUP($A1081, 'Medical Examinations'!A:K, 11, FALSE)</f>
        <v>No</v>
      </c>
      <c r="J1081" t="str">
        <f>VLOOKUP($A1081, 'Medical Examinations'!A:B, 2, FALSE)</f>
        <v>Obesity</v>
      </c>
      <c r="K1081" t="str">
        <f>VLOOKUP($A1081, 'Medical Examinations'!A:D, 4, FALSE)</f>
        <v>Diabetes</v>
      </c>
    </row>
    <row r="1082" spans="1:11" ht="15.5" x14ac:dyDescent="0.35">
      <c r="A1082" s="1" t="s">
        <v>1290</v>
      </c>
      <c r="B1082" t="str">
        <f>VLOOKUP($A1082, 'Customer Names'!A:D, 3, FALSE)</f>
        <v>Crane</v>
      </c>
      <c r="C1082">
        <f>VLOOKUP($A1082,'Medical Examinations'!A:C, 3, FALSE)</f>
        <v>24.035</v>
      </c>
      <c r="D1082" t="str">
        <f>VLOOKUP($A1082, 'Medical Examinations'!A:D, 4, FALSE)</f>
        <v>Diabetes</v>
      </c>
      <c r="E1082" t="str">
        <f>VLOOKUP($A1082, 'Medical Examinations'!A:F, 6, FALSE)</f>
        <v>No</v>
      </c>
      <c r="F1082" t="str">
        <f>VLOOKUP($A1082, 'Medical Examinations'!A:G, 7, FALSE)</f>
        <v>No</v>
      </c>
      <c r="G1082" t="str">
        <f>VLOOKUP($A1082, 'Medical Examinations'!A:H, 8, FALSE)</f>
        <v>No</v>
      </c>
      <c r="H1082" t="str">
        <f>VLOOKUP($A1082, 'Medical Examinations'!A:J, 10, FALSE)</f>
        <v>No major surgery</v>
      </c>
      <c r="I1082" t="str">
        <f>VLOOKUP($A1082, 'Medical Examinations'!A:K, 11, FALSE)</f>
        <v>No</v>
      </c>
      <c r="J1082" t="str">
        <f>VLOOKUP($A1082, 'Medical Examinations'!A:B, 2, FALSE)</f>
        <v>Normal Weight</v>
      </c>
      <c r="K1082" t="str">
        <f>VLOOKUP($A1082, 'Medical Examinations'!A:D, 4, FALSE)</f>
        <v>Diabetes</v>
      </c>
    </row>
    <row r="1083" spans="1:11" ht="15.5" x14ac:dyDescent="0.35">
      <c r="A1083" s="1" t="s">
        <v>1289</v>
      </c>
      <c r="B1083" t="str">
        <f>VLOOKUP($A1083, 'Customer Names'!A:D, 3, FALSE)</f>
        <v>Swartzfager</v>
      </c>
      <c r="C1083">
        <f>VLOOKUP($A1083,'Medical Examinations'!A:C, 3, FALSE)</f>
        <v>30.55</v>
      </c>
      <c r="D1083" t="str">
        <f>VLOOKUP($A1083, 'Medical Examinations'!A:D, 4, FALSE)</f>
        <v>Prediabetes</v>
      </c>
      <c r="E1083" t="str">
        <f>VLOOKUP($A1083, 'Medical Examinations'!A:F, 6, FALSE)</f>
        <v>No</v>
      </c>
      <c r="F1083" t="str">
        <f>VLOOKUP($A1083, 'Medical Examinations'!A:G, 7, FALSE)</f>
        <v>No</v>
      </c>
      <c r="G1083" t="str">
        <f>VLOOKUP($A1083, 'Medical Examinations'!A:H, 8, FALSE)</f>
        <v>Yes</v>
      </c>
      <c r="H1083">
        <f>VLOOKUP($A1083, 'Medical Examinations'!A:J, 10, FALSE)</f>
        <v>1</v>
      </c>
      <c r="I1083" t="str">
        <f>VLOOKUP($A1083, 'Medical Examinations'!A:K, 11, FALSE)</f>
        <v>No</v>
      </c>
      <c r="J1083" t="str">
        <f>VLOOKUP($A1083, 'Medical Examinations'!A:B, 2, FALSE)</f>
        <v>Obesity</v>
      </c>
      <c r="K1083" t="str">
        <f>VLOOKUP($A1083, 'Medical Examinations'!A:D, 4, FALSE)</f>
        <v>Prediabetes</v>
      </c>
    </row>
    <row r="1084" spans="1:11" ht="15.5" x14ac:dyDescent="0.35">
      <c r="A1084" s="1" t="s">
        <v>1288</v>
      </c>
      <c r="B1084" t="str">
        <f>VLOOKUP($A1084, 'Customer Names'!A:D, 3, FALSE)</f>
        <v>Clevenger</v>
      </c>
      <c r="C1084">
        <f>VLOOKUP($A1084,'Medical Examinations'!A:C, 3, FALSE)</f>
        <v>28.81</v>
      </c>
      <c r="D1084" t="str">
        <f>VLOOKUP($A1084, 'Medical Examinations'!A:D, 4, FALSE)</f>
        <v>Diabetes</v>
      </c>
      <c r="E1084" t="str">
        <f>VLOOKUP($A1084, 'Medical Examinations'!A:F, 6, FALSE)</f>
        <v>No</v>
      </c>
      <c r="F1084" t="str">
        <f>VLOOKUP($A1084, 'Medical Examinations'!A:G, 7, FALSE)</f>
        <v>No</v>
      </c>
      <c r="G1084" t="str">
        <f>VLOOKUP($A1084, 'Medical Examinations'!A:H, 8, FALSE)</f>
        <v>No</v>
      </c>
      <c r="H1084">
        <f>VLOOKUP($A1084, 'Medical Examinations'!A:J, 10, FALSE)</f>
        <v>2</v>
      </c>
      <c r="I1084" t="str">
        <f>VLOOKUP($A1084, 'Medical Examinations'!A:K, 11, FALSE)</f>
        <v>No</v>
      </c>
      <c r="J1084" t="str">
        <f>VLOOKUP($A1084, 'Medical Examinations'!A:B, 2, FALSE)</f>
        <v>Overweight</v>
      </c>
      <c r="K1084" t="str">
        <f>VLOOKUP($A1084, 'Medical Examinations'!A:D, 4, FALSE)</f>
        <v>Diabetes</v>
      </c>
    </row>
    <row r="1085" spans="1:11" ht="15.5" x14ac:dyDescent="0.35">
      <c r="A1085" s="1" t="s">
        <v>1287</v>
      </c>
      <c r="B1085" t="str">
        <f>VLOOKUP($A1085, 'Customer Names'!A:D, 3, FALSE)</f>
        <v>Reichardt</v>
      </c>
      <c r="C1085">
        <f>VLOOKUP($A1085,'Medical Examinations'!A:C, 3, FALSE)</f>
        <v>31.66</v>
      </c>
      <c r="D1085" t="str">
        <f>VLOOKUP($A1085, 'Medical Examinations'!A:D, 4, FALSE)</f>
        <v>Normal</v>
      </c>
      <c r="E1085" t="str">
        <f>VLOOKUP($A1085, 'Medical Examinations'!A:F, 6, FALSE)</f>
        <v>No</v>
      </c>
      <c r="F1085" t="str">
        <f>VLOOKUP($A1085, 'Medical Examinations'!A:G, 7, FALSE)</f>
        <v>No</v>
      </c>
      <c r="G1085" t="str">
        <f>VLOOKUP($A1085, 'Medical Examinations'!A:H, 8, FALSE)</f>
        <v>No</v>
      </c>
      <c r="H1085" t="str">
        <f>VLOOKUP($A1085, 'Medical Examinations'!A:J, 10, FALSE)</f>
        <v>No major surgery</v>
      </c>
      <c r="I1085" t="str">
        <f>VLOOKUP($A1085, 'Medical Examinations'!A:K, 11, FALSE)</f>
        <v>No</v>
      </c>
      <c r="J1085" t="str">
        <f>VLOOKUP($A1085, 'Medical Examinations'!A:B, 2, FALSE)</f>
        <v>Obesity</v>
      </c>
      <c r="K1085" t="str">
        <f>VLOOKUP($A1085, 'Medical Examinations'!A:D, 4, FALSE)</f>
        <v>Normal</v>
      </c>
    </row>
    <row r="1086" spans="1:11" ht="15.5" x14ac:dyDescent="0.35">
      <c r="A1086" s="1" t="s">
        <v>1286</v>
      </c>
      <c r="B1086" t="str">
        <f>VLOOKUP($A1086, 'Customer Names'!A:D, 3, FALSE)</f>
        <v>Morton</v>
      </c>
      <c r="C1086">
        <f>VLOOKUP($A1086,'Medical Examinations'!A:C, 3, FALSE)</f>
        <v>28.215</v>
      </c>
      <c r="D1086" t="str">
        <f>VLOOKUP($A1086, 'Medical Examinations'!A:D, 4, FALSE)</f>
        <v>Diabetes</v>
      </c>
      <c r="E1086" t="str">
        <f>VLOOKUP($A1086, 'Medical Examinations'!A:F, 6, FALSE)</f>
        <v>yes</v>
      </c>
      <c r="F1086" t="str">
        <f>VLOOKUP($A1086, 'Medical Examinations'!A:G, 7, FALSE)</f>
        <v>No</v>
      </c>
      <c r="G1086" t="str">
        <f>VLOOKUP($A1086, 'Medical Examinations'!A:H, 8, FALSE)</f>
        <v>No</v>
      </c>
      <c r="H1086">
        <f>VLOOKUP($A1086, 'Medical Examinations'!A:J, 10, FALSE)</f>
        <v>1</v>
      </c>
      <c r="I1086" t="str">
        <f>VLOOKUP($A1086, 'Medical Examinations'!A:K, 11, FALSE)</f>
        <v>No</v>
      </c>
      <c r="J1086" t="str">
        <f>VLOOKUP($A1086, 'Medical Examinations'!A:B, 2, FALSE)</f>
        <v>Overweight</v>
      </c>
      <c r="K1086" t="str">
        <f>VLOOKUP($A1086, 'Medical Examinations'!A:D, 4, FALSE)</f>
        <v>Diabetes</v>
      </c>
    </row>
    <row r="1087" spans="1:11" ht="15.5" x14ac:dyDescent="0.35">
      <c r="A1087" s="1" t="s">
        <v>1285</v>
      </c>
      <c r="B1087" t="str">
        <f>VLOOKUP($A1087, 'Customer Names'!A:D, 3, FALSE)</f>
        <v>Sunstrum</v>
      </c>
      <c r="C1087">
        <f>VLOOKUP($A1087,'Medical Examinations'!A:C, 3, FALSE)</f>
        <v>26.12</v>
      </c>
      <c r="D1087" t="str">
        <f>VLOOKUP($A1087, 'Medical Examinations'!A:D, 4, FALSE)</f>
        <v>Normal</v>
      </c>
      <c r="E1087" t="str">
        <f>VLOOKUP($A1087, 'Medical Examinations'!A:F, 6, FALSE)</f>
        <v>yes</v>
      </c>
      <c r="F1087" t="str">
        <f>VLOOKUP($A1087, 'Medical Examinations'!A:G, 7, FALSE)</f>
        <v>No</v>
      </c>
      <c r="G1087" t="str">
        <f>VLOOKUP($A1087, 'Medical Examinations'!A:H, 8, FALSE)</f>
        <v>Yes</v>
      </c>
      <c r="H1087">
        <f>VLOOKUP($A1087, 'Medical Examinations'!A:J, 10, FALSE)</f>
        <v>1</v>
      </c>
      <c r="I1087" t="str">
        <f>VLOOKUP($A1087, 'Medical Examinations'!A:K, 11, FALSE)</f>
        <v>No</v>
      </c>
      <c r="J1087" t="str">
        <f>VLOOKUP($A1087, 'Medical Examinations'!A:B, 2, FALSE)</f>
        <v>Overweight</v>
      </c>
      <c r="K1087" t="str">
        <f>VLOOKUP($A1087, 'Medical Examinations'!A:D, 4, FALSE)</f>
        <v>Normal</v>
      </c>
    </row>
    <row r="1088" spans="1:11" ht="15.5" x14ac:dyDescent="0.35">
      <c r="A1088" s="1" t="s">
        <v>1284</v>
      </c>
      <c r="B1088" t="str">
        <f>VLOOKUP($A1088, 'Customer Names'!A:D, 3, FALSE)</f>
        <v>Frownfelter</v>
      </c>
      <c r="C1088">
        <f>VLOOKUP($A1088,'Medical Examinations'!A:C, 3, FALSE)</f>
        <v>36.630000000000003</v>
      </c>
      <c r="D1088" t="str">
        <f>VLOOKUP($A1088, 'Medical Examinations'!A:D, 4, FALSE)</f>
        <v>Diabetes</v>
      </c>
      <c r="E1088" t="str">
        <f>VLOOKUP($A1088, 'Medical Examinations'!A:F, 6, FALSE)</f>
        <v>No</v>
      </c>
      <c r="F1088" t="str">
        <f>VLOOKUP($A1088, 'Medical Examinations'!A:G, 7, FALSE)</f>
        <v>No</v>
      </c>
      <c r="G1088" t="str">
        <f>VLOOKUP($A1088, 'Medical Examinations'!A:H, 8, FALSE)</f>
        <v>No</v>
      </c>
      <c r="H1088">
        <f>VLOOKUP($A1088, 'Medical Examinations'!A:J, 10, FALSE)</f>
        <v>2</v>
      </c>
      <c r="I1088" t="str">
        <f>VLOOKUP($A1088, 'Medical Examinations'!A:K, 11, FALSE)</f>
        <v>No</v>
      </c>
      <c r="J1088" t="str">
        <f>VLOOKUP($A1088, 'Medical Examinations'!A:B, 2, FALSE)</f>
        <v>Obesity</v>
      </c>
      <c r="K1088" t="str">
        <f>VLOOKUP($A1088, 'Medical Examinations'!A:D, 4, FALSE)</f>
        <v>Diabetes</v>
      </c>
    </row>
    <row r="1089" spans="1:11" ht="15.5" x14ac:dyDescent="0.35">
      <c r="A1089" s="1" t="s">
        <v>1283</v>
      </c>
      <c r="B1089" t="str">
        <f>VLOOKUP($A1089, 'Customer Names'!A:D, 3, FALSE)</f>
        <v>Richter</v>
      </c>
      <c r="C1089">
        <f>VLOOKUP($A1089,'Medical Examinations'!A:C, 3, FALSE)</f>
        <v>33.344999999999999</v>
      </c>
      <c r="D1089" t="str">
        <f>VLOOKUP($A1089, 'Medical Examinations'!A:D, 4, FALSE)</f>
        <v>Diabetes</v>
      </c>
      <c r="E1089" t="str">
        <f>VLOOKUP($A1089, 'Medical Examinations'!A:F, 6, FALSE)</f>
        <v>No</v>
      </c>
      <c r="F1089" t="str">
        <f>VLOOKUP($A1089, 'Medical Examinations'!A:G, 7, FALSE)</f>
        <v>No</v>
      </c>
      <c r="G1089" t="str">
        <f>VLOOKUP($A1089, 'Medical Examinations'!A:H, 8, FALSE)</f>
        <v>No</v>
      </c>
      <c r="H1089">
        <f>VLOOKUP($A1089, 'Medical Examinations'!A:J, 10, FALSE)</f>
        <v>2</v>
      </c>
      <c r="I1089" t="str">
        <f>VLOOKUP($A1089, 'Medical Examinations'!A:K, 11, FALSE)</f>
        <v>No</v>
      </c>
      <c r="J1089" t="str">
        <f>VLOOKUP($A1089, 'Medical Examinations'!A:B, 2, FALSE)</f>
        <v>Obesity</v>
      </c>
      <c r="K1089" t="str">
        <f>VLOOKUP($A1089, 'Medical Examinations'!A:D, 4, FALSE)</f>
        <v>Diabetes</v>
      </c>
    </row>
    <row r="1090" spans="1:11" ht="15.5" x14ac:dyDescent="0.35">
      <c r="A1090" s="1" t="s">
        <v>1282</v>
      </c>
      <c r="B1090" t="str">
        <f>VLOOKUP($A1090, 'Customer Names'!A:D, 3, FALSE)</f>
        <v>England</v>
      </c>
      <c r="C1090">
        <f>VLOOKUP($A1090,'Medical Examinations'!A:C, 3, FALSE)</f>
        <v>27.11</v>
      </c>
      <c r="D1090" t="str">
        <f>VLOOKUP($A1090, 'Medical Examinations'!A:D, 4, FALSE)</f>
        <v>Diabetes</v>
      </c>
      <c r="E1090" t="str">
        <f>VLOOKUP($A1090, 'Medical Examinations'!A:F, 6, FALSE)</f>
        <v>No</v>
      </c>
      <c r="F1090" t="str">
        <f>VLOOKUP($A1090, 'Medical Examinations'!A:G, 7, FALSE)</f>
        <v>No</v>
      </c>
      <c r="G1090" t="str">
        <f>VLOOKUP($A1090, 'Medical Examinations'!A:H, 8, FALSE)</f>
        <v>No</v>
      </c>
      <c r="H1090" t="str">
        <f>VLOOKUP($A1090, 'Medical Examinations'!A:J, 10, FALSE)</f>
        <v>No major surgery</v>
      </c>
      <c r="I1090" t="str">
        <f>VLOOKUP($A1090, 'Medical Examinations'!A:K, 11, FALSE)</f>
        <v>No</v>
      </c>
      <c r="J1090" t="str">
        <f>VLOOKUP($A1090, 'Medical Examinations'!A:B, 2, FALSE)</f>
        <v>Overweight</v>
      </c>
      <c r="K1090" t="str">
        <f>VLOOKUP($A1090, 'Medical Examinations'!A:D, 4, FALSE)</f>
        <v>Diabetes</v>
      </c>
    </row>
    <row r="1091" spans="1:11" ht="15.5" x14ac:dyDescent="0.35">
      <c r="A1091" s="1" t="s">
        <v>1281</v>
      </c>
      <c r="B1091" t="str">
        <f>VLOOKUP($A1091, 'Customer Names'!A:D, 3, FALSE)</f>
        <v>McLean</v>
      </c>
      <c r="C1091">
        <f>VLOOKUP($A1091,'Medical Examinations'!A:C, 3, FALSE)</f>
        <v>26.6</v>
      </c>
      <c r="D1091" t="str">
        <f>VLOOKUP($A1091, 'Medical Examinations'!A:D, 4, FALSE)</f>
        <v>Normal</v>
      </c>
      <c r="E1091" t="str">
        <f>VLOOKUP($A1091, 'Medical Examinations'!A:F, 6, FALSE)</f>
        <v>yes</v>
      </c>
      <c r="F1091" t="str">
        <f>VLOOKUP($A1091, 'Medical Examinations'!A:G, 7, FALSE)</f>
        <v>No</v>
      </c>
      <c r="G1091" t="str">
        <f>VLOOKUP($A1091, 'Medical Examinations'!A:H, 8, FALSE)</f>
        <v>Yes</v>
      </c>
      <c r="H1091">
        <f>VLOOKUP($A1091, 'Medical Examinations'!A:J, 10, FALSE)</f>
        <v>1</v>
      </c>
      <c r="I1091" t="str">
        <f>VLOOKUP($A1091, 'Medical Examinations'!A:K, 11, FALSE)</f>
        <v>No</v>
      </c>
      <c r="J1091" t="str">
        <f>VLOOKUP($A1091, 'Medical Examinations'!A:B, 2, FALSE)</f>
        <v>Overweight</v>
      </c>
      <c r="K1091" t="str">
        <f>VLOOKUP($A1091, 'Medical Examinations'!A:D, 4, FALSE)</f>
        <v>Normal</v>
      </c>
    </row>
    <row r="1092" spans="1:11" ht="15.5" x14ac:dyDescent="0.35">
      <c r="A1092" s="1" t="s">
        <v>1280</v>
      </c>
      <c r="B1092" t="str">
        <f>VLOOKUP($A1092, 'Customer Names'!A:D, 3, FALSE)</f>
        <v>Gardner</v>
      </c>
      <c r="C1092">
        <f>VLOOKUP($A1092,'Medical Examinations'!A:C, 3, FALSE)</f>
        <v>30.41</v>
      </c>
      <c r="D1092" t="str">
        <f>VLOOKUP($A1092, 'Medical Examinations'!A:D, 4, FALSE)</f>
        <v>Diabetes</v>
      </c>
      <c r="E1092" t="str">
        <f>VLOOKUP($A1092, 'Medical Examinations'!A:F, 6, FALSE)</f>
        <v>No</v>
      </c>
      <c r="F1092" t="str">
        <f>VLOOKUP($A1092, 'Medical Examinations'!A:G, 7, FALSE)</f>
        <v>No</v>
      </c>
      <c r="G1092" t="str">
        <f>VLOOKUP($A1092, 'Medical Examinations'!A:H, 8, FALSE)</f>
        <v>No</v>
      </c>
      <c r="H1092" t="str">
        <f>VLOOKUP($A1092, 'Medical Examinations'!A:J, 10, FALSE)</f>
        <v>No major surgery</v>
      </c>
      <c r="I1092" t="str">
        <f>VLOOKUP($A1092, 'Medical Examinations'!A:K, 11, FALSE)</f>
        <v>No</v>
      </c>
      <c r="J1092" t="str">
        <f>VLOOKUP($A1092, 'Medical Examinations'!A:B, 2, FALSE)</f>
        <v>Obesity</v>
      </c>
      <c r="K1092" t="str">
        <f>VLOOKUP($A1092, 'Medical Examinations'!A:D, 4, FALSE)</f>
        <v>Diabetes</v>
      </c>
    </row>
    <row r="1093" spans="1:11" ht="15.5" x14ac:dyDescent="0.35">
      <c r="A1093" s="1" t="s">
        <v>1279</v>
      </c>
      <c r="B1093" t="str">
        <f>VLOOKUP($A1093, 'Customer Names'!A:D, 3, FALSE)</f>
        <v>Lane</v>
      </c>
      <c r="C1093">
        <f>VLOOKUP($A1093,'Medical Examinations'!A:C, 3, FALSE)</f>
        <v>28.98</v>
      </c>
      <c r="D1093" t="str">
        <f>VLOOKUP($A1093, 'Medical Examinations'!A:D, 4, FALSE)</f>
        <v>Diabetes</v>
      </c>
      <c r="E1093" t="str">
        <f>VLOOKUP($A1093, 'Medical Examinations'!A:F, 6, FALSE)</f>
        <v>No</v>
      </c>
      <c r="F1093" t="str">
        <f>VLOOKUP($A1093, 'Medical Examinations'!A:G, 7, FALSE)</f>
        <v>No</v>
      </c>
      <c r="G1093" t="str">
        <f>VLOOKUP($A1093, 'Medical Examinations'!A:H, 8, FALSE)</f>
        <v>No</v>
      </c>
      <c r="H1093">
        <f>VLOOKUP($A1093, 'Medical Examinations'!A:J, 10, FALSE)</f>
        <v>2</v>
      </c>
      <c r="I1093" t="str">
        <f>VLOOKUP($A1093, 'Medical Examinations'!A:K, 11, FALSE)</f>
        <v>No</v>
      </c>
      <c r="J1093" t="str">
        <f>VLOOKUP($A1093, 'Medical Examinations'!A:B, 2, FALSE)</f>
        <v>Overweight</v>
      </c>
      <c r="K1093" t="str">
        <f>VLOOKUP($A1093, 'Medical Examinations'!A:D, 4, FALSE)</f>
        <v>Diabetes</v>
      </c>
    </row>
    <row r="1094" spans="1:11" ht="15.5" x14ac:dyDescent="0.35">
      <c r="A1094" s="1" t="s">
        <v>1278</v>
      </c>
      <c r="B1094" t="str">
        <f>VLOOKUP($A1094, 'Customer Names'!A:D, 3, FALSE)</f>
        <v>Vonachen</v>
      </c>
      <c r="C1094">
        <f>VLOOKUP($A1094,'Medical Examinations'!A:C, 3, FALSE)</f>
        <v>31.24</v>
      </c>
      <c r="D1094" t="str">
        <f>VLOOKUP($A1094, 'Medical Examinations'!A:D, 4, FALSE)</f>
        <v>Diabetes</v>
      </c>
      <c r="E1094" t="str">
        <f>VLOOKUP($A1094, 'Medical Examinations'!A:F, 6, FALSE)</f>
        <v>No</v>
      </c>
      <c r="F1094" t="str">
        <f>VLOOKUP($A1094, 'Medical Examinations'!A:G, 7, FALSE)</f>
        <v>No</v>
      </c>
      <c r="G1094" t="str">
        <f>VLOOKUP($A1094, 'Medical Examinations'!A:H, 8, FALSE)</f>
        <v>No</v>
      </c>
      <c r="H1094" t="str">
        <f>VLOOKUP($A1094, 'Medical Examinations'!A:J, 10, FALSE)</f>
        <v>No major surgery</v>
      </c>
      <c r="I1094" t="str">
        <f>VLOOKUP($A1094, 'Medical Examinations'!A:K, 11, FALSE)</f>
        <v>No</v>
      </c>
      <c r="J1094" t="str">
        <f>VLOOKUP($A1094, 'Medical Examinations'!A:B, 2, FALSE)</f>
        <v>Obesity</v>
      </c>
      <c r="K1094" t="str">
        <f>VLOOKUP($A1094, 'Medical Examinations'!A:D, 4, FALSE)</f>
        <v>Diabetes</v>
      </c>
    </row>
    <row r="1095" spans="1:11" ht="15.5" x14ac:dyDescent="0.35">
      <c r="A1095" s="1" t="s">
        <v>1277</v>
      </c>
      <c r="B1095" t="str">
        <f>VLOOKUP($A1095, 'Customer Names'!A:D, 3, FALSE)</f>
        <v>Smith</v>
      </c>
      <c r="C1095">
        <f>VLOOKUP($A1095,'Medical Examinations'!A:C, 3, FALSE)</f>
        <v>31.54</v>
      </c>
      <c r="D1095" t="str">
        <f>VLOOKUP($A1095, 'Medical Examinations'!A:D, 4, FALSE)</f>
        <v>Normal</v>
      </c>
      <c r="E1095" t="str">
        <f>VLOOKUP($A1095, 'Medical Examinations'!A:F, 6, FALSE)</f>
        <v>No</v>
      </c>
      <c r="F1095" t="str">
        <f>VLOOKUP($A1095, 'Medical Examinations'!A:G, 7, FALSE)</f>
        <v>No</v>
      </c>
      <c r="G1095" t="str">
        <f>VLOOKUP($A1095, 'Medical Examinations'!A:H, 8, FALSE)</f>
        <v>No</v>
      </c>
      <c r="H1095" t="str">
        <f>VLOOKUP($A1095, 'Medical Examinations'!A:J, 10, FALSE)</f>
        <v>No major surgery</v>
      </c>
      <c r="I1095" t="str">
        <f>VLOOKUP($A1095, 'Medical Examinations'!A:K, 11, FALSE)</f>
        <v>No</v>
      </c>
      <c r="J1095" t="str">
        <f>VLOOKUP($A1095, 'Medical Examinations'!A:B, 2, FALSE)</f>
        <v>Obesity</v>
      </c>
      <c r="K1095" t="str">
        <f>VLOOKUP($A1095, 'Medical Examinations'!A:D, 4, FALSE)</f>
        <v>Normal</v>
      </c>
    </row>
    <row r="1096" spans="1:11" ht="15.5" x14ac:dyDescent="0.35">
      <c r="A1096" s="1" t="s">
        <v>1276</v>
      </c>
      <c r="B1096" t="str">
        <f>VLOOKUP($A1096, 'Customer Names'!A:D, 3, FALSE)</f>
        <v>Kidwell</v>
      </c>
      <c r="C1096">
        <f>VLOOKUP($A1096,'Medical Examinations'!A:C, 3, FALSE)</f>
        <v>38.6</v>
      </c>
      <c r="D1096" t="str">
        <f>VLOOKUP($A1096, 'Medical Examinations'!A:D, 4, FALSE)</f>
        <v>Diabetes</v>
      </c>
      <c r="E1096" t="str">
        <f>VLOOKUP($A1096, 'Medical Examinations'!A:F, 6, FALSE)</f>
        <v>yes</v>
      </c>
      <c r="F1096" t="str">
        <f>VLOOKUP($A1096, 'Medical Examinations'!A:G, 7, FALSE)</f>
        <v>No</v>
      </c>
      <c r="G1096" t="str">
        <f>VLOOKUP($A1096, 'Medical Examinations'!A:H, 8, FALSE)</f>
        <v>No</v>
      </c>
      <c r="H1096">
        <f>VLOOKUP($A1096, 'Medical Examinations'!A:J, 10, FALSE)</f>
        <v>2</v>
      </c>
      <c r="I1096" t="str">
        <f>VLOOKUP($A1096, 'Medical Examinations'!A:K, 11, FALSE)</f>
        <v>No</v>
      </c>
      <c r="J1096" t="str">
        <f>VLOOKUP($A1096, 'Medical Examinations'!A:B, 2, FALSE)</f>
        <v>Obesity</v>
      </c>
      <c r="K1096" t="str">
        <f>VLOOKUP($A1096, 'Medical Examinations'!A:D, 4, FALSE)</f>
        <v>Diabetes</v>
      </c>
    </row>
    <row r="1097" spans="1:11" ht="15.5" x14ac:dyDescent="0.35">
      <c r="A1097" s="1" t="s">
        <v>1275</v>
      </c>
      <c r="B1097" t="str">
        <f>VLOOKUP($A1097, 'Customer Names'!A:D, 3, FALSE)</f>
        <v>Betancourth</v>
      </c>
      <c r="C1097">
        <f>VLOOKUP($A1097,'Medical Examinations'!A:C, 3, FALSE)</f>
        <v>37.950000000000003</v>
      </c>
      <c r="D1097" t="str">
        <f>VLOOKUP($A1097, 'Medical Examinations'!A:D, 4, FALSE)</f>
        <v>Prediabetes</v>
      </c>
      <c r="E1097" t="str">
        <f>VLOOKUP($A1097, 'Medical Examinations'!A:F, 6, FALSE)</f>
        <v>No</v>
      </c>
      <c r="F1097" t="str">
        <f>VLOOKUP($A1097, 'Medical Examinations'!A:G, 7, FALSE)</f>
        <v>No</v>
      </c>
      <c r="G1097" t="str">
        <f>VLOOKUP($A1097, 'Medical Examinations'!A:H, 8, FALSE)</f>
        <v>No</v>
      </c>
      <c r="H1097" t="str">
        <f>VLOOKUP($A1097, 'Medical Examinations'!A:J, 10, FALSE)</f>
        <v>No major surgery</v>
      </c>
      <c r="I1097" t="str">
        <f>VLOOKUP($A1097, 'Medical Examinations'!A:K, 11, FALSE)</f>
        <v>No</v>
      </c>
      <c r="J1097" t="str">
        <f>VLOOKUP($A1097, 'Medical Examinations'!A:B, 2, FALSE)</f>
        <v>Obesity</v>
      </c>
      <c r="K1097" t="str">
        <f>VLOOKUP($A1097, 'Medical Examinations'!A:D, 4, FALSE)</f>
        <v>Prediabetes</v>
      </c>
    </row>
    <row r="1098" spans="1:11" ht="15.5" x14ac:dyDescent="0.35">
      <c r="A1098" s="1" t="s">
        <v>1274</v>
      </c>
      <c r="B1098" t="str">
        <f>VLOOKUP($A1098, 'Customer Names'!A:D, 3, FALSE)</f>
        <v>Henstrom</v>
      </c>
      <c r="C1098">
        <f>VLOOKUP($A1098,'Medical Examinations'!A:C, 3, FALSE)</f>
        <v>38.97</v>
      </c>
      <c r="D1098" t="str">
        <f>VLOOKUP($A1098, 'Medical Examinations'!A:D, 4, FALSE)</f>
        <v>Normal</v>
      </c>
      <c r="E1098" t="str">
        <f>VLOOKUP($A1098, 'Medical Examinations'!A:F, 6, FALSE)</f>
        <v>No</v>
      </c>
      <c r="F1098" t="str">
        <f>VLOOKUP($A1098, 'Medical Examinations'!A:G, 7, FALSE)</f>
        <v>No</v>
      </c>
      <c r="G1098" t="str">
        <f>VLOOKUP($A1098, 'Medical Examinations'!A:H, 8, FALSE)</f>
        <v>No</v>
      </c>
      <c r="H1098" t="str">
        <f>VLOOKUP($A1098, 'Medical Examinations'!A:J, 10, FALSE)</f>
        <v>No major surgery</v>
      </c>
      <c r="I1098" t="str">
        <f>VLOOKUP($A1098, 'Medical Examinations'!A:K, 11, FALSE)</f>
        <v>No</v>
      </c>
      <c r="J1098" t="str">
        <f>VLOOKUP($A1098, 'Medical Examinations'!A:B, 2, FALSE)</f>
        <v>Obesity</v>
      </c>
      <c r="K1098" t="str">
        <f>VLOOKUP($A1098, 'Medical Examinations'!A:D, 4, FALSE)</f>
        <v>Normal</v>
      </c>
    </row>
    <row r="1099" spans="1:11" ht="15.5" x14ac:dyDescent="0.35">
      <c r="A1099" s="1" t="s">
        <v>1273</v>
      </c>
      <c r="B1099" t="str">
        <f>VLOOKUP($A1099, 'Customer Names'!A:D, 3, FALSE)</f>
        <v>Pereira</v>
      </c>
      <c r="C1099">
        <f>VLOOKUP($A1099,'Medical Examinations'!A:C, 3, FALSE)</f>
        <v>21.2</v>
      </c>
      <c r="D1099" t="str">
        <f>VLOOKUP($A1099, 'Medical Examinations'!A:D, 4, FALSE)</f>
        <v>Diabetes</v>
      </c>
      <c r="E1099" t="str">
        <f>VLOOKUP($A1099, 'Medical Examinations'!A:F, 6, FALSE)</f>
        <v>No</v>
      </c>
      <c r="F1099" t="str">
        <f>VLOOKUP($A1099, 'Medical Examinations'!A:G, 7, FALSE)</f>
        <v>No</v>
      </c>
      <c r="G1099" t="str">
        <f>VLOOKUP($A1099, 'Medical Examinations'!A:H, 8, FALSE)</f>
        <v>No</v>
      </c>
      <c r="H1099" t="str">
        <f>VLOOKUP($A1099, 'Medical Examinations'!A:J, 10, FALSE)</f>
        <v>No major surgery</v>
      </c>
      <c r="I1099" t="str">
        <f>VLOOKUP($A1099, 'Medical Examinations'!A:K, 11, FALSE)</f>
        <v>No</v>
      </c>
      <c r="J1099" t="str">
        <f>VLOOKUP($A1099, 'Medical Examinations'!A:B, 2, FALSE)</f>
        <v>Normal Weight</v>
      </c>
      <c r="K1099" t="str">
        <f>VLOOKUP($A1099, 'Medical Examinations'!A:D, 4, FALSE)</f>
        <v>Diabetes</v>
      </c>
    </row>
    <row r="1100" spans="1:11" ht="15.5" x14ac:dyDescent="0.35">
      <c r="A1100" s="1" t="s">
        <v>1272</v>
      </c>
      <c r="B1100" t="str">
        <f>VLOOKUP($A1100, 'Customer Names'!A:D, 3, FALSE)</f>
        <v>Black</v>
      </c>
      <c r="C1100">
        <f>VLOOKUP($A1100,'Medical Examinations'!A:C, 3, FALSE)</f>
        <v>23.96</v>
      </c>
      <c r="D1100" t="str">
        <f>VLOOKUP($A1100, 'Medical Examinations'!A:D, 4, FALSE)</f>
        <v>Diabetes</v>
      </c>
      <c r="E1100" t="str">
        <f>VLOOKUP($A1100, 'Medical Examinations'!A:F, 6, FALSE)</f>
        <v>yes</v>
      </c>
      <c r="F1100" t="str">
        <f>VLOOKUP($A1100, 'Medical Examinations'!A:G, 7, FALSE)</f>
        <v>No</v>
      </c>
      <c r="G1100" t="str">
        <f>VLOOKUP($A1100, 'Medical Examinations'!A:H, 8, FALSE)</f>
        <v>Yes</v>
      </c>
      <c r="H1100">
        <f>VLOOKUP($A1100, 'Medical Examinations'!A:J, 10, FALSE)</f>
        <v>1</v>
      </c>
      <c r="I1100" t="str">
        <f>VLOOKUP($A1100, 'Medical Examinations'!A:K, 11, FALSE)</f>
        <v>No</v>
      </c>
      <c r="J1100" t="str">
        <f>VLOOKUP($A1100, 'Medical Examinations'!A:B, 2, FALSE)</f>
        <v>Normal Weight</v>
      </c>
      <c r="K1100" t="str">
        <f>VLOOKUP($A1100, 'Medical Examinations'!A:D, 4, FALSE)</f>
        <v>Diabetes</v>
      </c>
    </row>
    <row r="1101" spans="1:11" ht="15.5" x14ac:dyDescent="0.35">
      <c r="A1101" s="1" t="s">
        <v>1271</v>
      </c>
      <c r="B1101" t="str">
        <f>VLOOKUP($A1101, 'Customer Names'!A:D, 3, FALSE)</f>
        <v>Brown</v>
      </c>
      <c r="C1101">
        <f>VLOOKUP($A1101,'Medical Examinations'!A:C, 3, FALSE)</f>
        <v>35.93</v>
      </c>
      <c r="D1101" t="str">
        <f>VLOOKUP($A1101, 'Medical Examinations'!A:D, 4, FALSE)</f>
        <v>Prediabetes</v>
      </c>
      <c r="E1101" t="str">
        <f>VLOOKUP($A1101, 'Medical Examinations'!A:F, 6, FALSE)</f>
        <v>yes</v>
      </c>
      <c r="F1101" t="str">
        <f>VLOOKUP($A1101, 'Medical Examinations'!A:G, 7, FALSE)</f>
        <v>No</v>
      </c>
      <c r="G1101" t="str">
        <f>VLOOKUP($A1101, 'Medical Examinations'!A:H, 8, FALSE)</f>
        <v>No</v>
      </c>
      <c r="H1101">
        <f>VLOOKUP($A1101, 'Medical Examinations'!A:J, 10, FALSE)</f>
        <v>1</v>
      </c>
      <c r="I1101" t="str">
        <f>VLOOKUP($A1101, 'Medical Examinations'!A:K, 11, FALSE)</f>
        <v>No</v>
      </c>
      <c r="J1101" t="str">
        <f>VLOOKUP($A1101, 'Medical Examinations'!A:B, 2, FALSE)</f>
        <v>Obesity</v>
      </c>
      <c r="K1101" t="str">
        <f>VLOOKUP($A1101, 'Medical Examinations'!A:D, 4, FALSE)</f>
        <v>Prediabetes</v>
      </c>
    </row>
    <row r="1102" spans="1:11" ht="15.5" x14ac:dyDescent="0.35">
      <c r="A1102" s="1" t="s">
        <v>1270</v>
      </c>
      <c r="B1102" t="str">
        <f>VLOOKUP($A1102, 'Customer Names'!A:D, 3, FALSE)</f>
        <v>Reasoner</v>
      </c>
      <c r="C1102">
        <f>VLOOKUP($A1102,'Medical Examinations'!A:C, 3, FALSE)</f>
        <v>26.11</v>
      </c>
      <c r="D1102" t="str">
        <f>VLOOKUP($A1102, 'Medical Examinations'!A:D, 4, FALSE)</f>
        <v>Diabetes</v>
      </c>
      <c r="E1102" t="str">
        <f>VLOOKUP($A1102, 'Medical Examinations'!A:F, 6, FALSE)</f>
        <v>yes</v>
      </c>
      <c r="F1102" t="str">
        <f>VLOOKUP($A1102, 'Medical Examinations'!A:G, 7, FALSE)</f>
        <v>No</v>
      </c>
      <c r="G1102" t="str">
        <f>VLOOKUP($A1102, 'Medical Examinations'!A:H, 8, FALSE)</f>
        <v>No</v>
      </c>
      <c r="H1102">
        <f>VLOOKUP($A1102, 'Medical Examinations'!A:J, 10, FALSE)</f>
        <v>2</v>
      </c>
      <c r="I1102" t="str">
        <f>VLOOKUP($A1102, 'Medical Examinations'!A:K, 11, FALSE)</f>
        <v>No</v>
      </c>
      <c r="J1102" t="str">
        <f>VLOOKUP($A1102, 'Medical Examinations'!A:B, 2, FALSE)</f>
        <v>Overweight</v>
      </c>
      <c r="K1102" t="str">
        <f>VLOOKUP($A1102, 'Medical Examinations'!A:D, 4, FALSE)</f>
        <v>Diabetes</v>
      </c>
    </row>
    <row r="1103" spans="1:11" ht="15.5" x14ac:dyDescent="0.35">
      <c r="A1103" s="1" t="s">
        <v>1269</v>
      </c>
      <c r="B1103" t="str">
        <f>VLOOKUP($A1103, 'Customer Names'!A:D, 3, FALSE)</f>
        <v>Wandzilak</v>
      </c>
      <c r="C1103">
        <f>VLOOKUP($A1103,'Medical Examinations'!A:C, 3, FALSE)</f>
        <v>32.299999999999997</v>
      </c>
      <c r="D1103" t="str">
        <f>VLOOKUP($A1103, 'Medical Examinations'!A:D, 4, FALSE)</f>
        <v>Diabetes</v>
      </c>
      <c r="E1103" t="str">
        <f>VLOOKUP($A1103, 'Medical Examinations'!A:F, 6, FALSE)</f>
        <v>No</v>
      </c>
      <c r="F1103" t="str">
        <f>VLOOKUP($A1103, 'Medical Examinations'!A:G, 7, FALSE)</f>
        <v>No</v>
      </c>
      <c r="G1103" t="str">
        <f>VLOOKUP($A1103, 'Medical Examinations'!A:H, 8, FALSE)</f>
        <v>No</v>
      </c>
      <c r="H1103">
        <f>VLOOKUP($A1103, 'Medical Examinations'!A:J, 10, FALSE)</f>
        <v>2</v>
      </c>
      <c r="I1103" t="str">
        <f>VLOOKUP($A1103, 'Medical Examinations'!A:K, 11, FALSE)</f>
        <v>No</v>
      </c>
      <c r="J1103" t="str">
        <f>VLOOKUP($A1103, 'Medical Examinations'!A:B, 2, FALSE)</f>
        <v>Obesity</v>
      </c>
      <c r="K1103" t="str">
        <f>VLOOKUP($A1103, 'Medical Examinations'!A:D, 4, FALSE)</f>
        <v>Diabetes</v>
      </c>
    </row>
    <row r="1104" spans="1:11" ht="15.5" x14ac:dyDescent="0.35">
      <c r="A1104" s="1" t="s">
        <v>1268</v>
      </c>
      <c r="B1104" t="str">
        <f>VLOOKUP($A1104, 'Customer Names'!A:D, 3, FALSE)</f>
        <v>Carver</v>
      </c>
      <c r="C1104">
        <f>VLOOKUP($A1104,'Medical Examinations'!A:C, 3, FALSE)</f>
        <v>28.69</v>
      </c>
      <c r="D1104" t="str">
        <f>VLOOKUP($A1104, 'Medical Examinations'!A:D, 4, FALSE)</f>
        <v>Diabetes</v>
      </c>
      <c r="E1104" t="str">
        <f>VLOOKUP($A1104, 'Medical Examinations'!A:F, 6, FALSE)</f>
        <v>No</v>
      </c>
      <c r="F1104" t="str">
        <f>VLOOKUP($A1104, 'Medical Examinations'!A:G, 7, FALSE)</f>
        <v>No</v>
      </c>
      <c r="G1104" t="str">
        <f>VLOOKUP($A1104, 'Medical Examinations'!A:H, 8, FALSE)</f>
        <v>No</v>
      </c>
      <c r="H1104">
        <f>VLOOKUP($A1104, 'Medical Examinations'!A:J, 10, FALSE)</f>
        <v>2</v>
      </c>
      <c r="I1104" t="str">
        <f>VLOOKUP($A1104, 'Medical Examinations'!A:K, 11, FALSE)</f>
        <v>No</v>
      </c>
      <c r="J1104" t="str">
        <f>VLOOKUP($A1104, 'Medical Examinations'!A:B, 2, FALSE)</f>
        <v>Overweight</v>
      </c>
      <c r="K1104" t="str">
        <f>VLOOKUP($A1104, 'Medical Examinations'!A:D, 4, FALSE)</f>
        <v>Diabetes</v>
      </c>
    </row>
    <row r="1105" spans="1:11" ht="15.5" x14ac:dyDescent="0.35">
      <c r="A1105" s="1" t="s">
        <v>1267</v>
      </c>
      <c r="B1105" t="str">
        <f>VLOOKUP($A1105, 'Customer Names'!A:D, 3, FALSE)</f>
        <v>Borror</v>
      </c>
      <c r="C1105">
        <f>VLOOKUP($A1105,'Medical Examinations'!A:C, 3, FALSE)</f>
        <v>31.28</v>
      </c>
      <c r="D1105" t="str">
        <f>VLOOKUP($A1105, 'Medical Examinations'!A:D, 4, FALSE)</f>
        <v>Diabetes</v>
      </c>
      <c r="E1105" t="str">
        <f>VLOOKUP($A1105, 'Medical Examinations'!A:F, 6, FALSE)</f>
        <v>yes</v>
      </c>
      <c r="F1105" t="str">
        <f>VLOOKUP($A1105, 'Medical Examinations'!A:G, 7, FALSE)</f>
        <v>No</v>
      </c>
      <c r="G1105" t="str">
        <f>VLOOKUP($A1105, 'Medical Examinations'!A:H, 8, FALSE)</f>
        <v>No</v>
      </c>
      <c r="H1105">
        <f>VLOOKUP($A1105, 'Medical Examinations'!A:J, 10, FALSE)</f>
        <v>1</v>
      </c>
      <c r="I1105" t="str">
        <f>VLOOKUP($A1105, 'Medical Examinations'!A:K, 11, FALSE)</f>
        <v>No</v>
      </c>
      <c r="J1105" t="str">
        <f>VLOOKUP($A1105, 'Medical Examinations'!A:B, 2, FALSE)</f>
        <v>Obesity</v>
      </c>
      <c r="K1105" t="str">
        <f>VLOOKUP($A1105, 'Medical Examinations'!A:D, 4, FALSE)</f>
        <v>Diabetes</v>
      </c>
    </row>
    <row r="1106" spans="1:11" ht="15.5" x14ac:dyDescent="0.35">
      <c r="A1106" s="1" t="s">
        <v>1266</v>
      </c>
      <c r="B1106" t="str">
        <f>VLOOKUP($A1106, 'Customer Names'!A:D, 3, FALSE)</f>
        <v>Saad</v>
      </c>
      <c r="C1106">
        <f>VLOOKUP($A1106,'Medical Examinations'!A:C, 3, FALSE)</f>
        <v>30.21</v>
      </c>
      <c r="D1106" t="str">
        <f>VLOOKUP($A1106, 'Medical Examinations'!A:D, 4, FALSE)</f>
        <v>Diabetes</v>
      </c>
      <c r="E1106" t="str">
        <f>VLOOKUP($A1106, 'Medical Examinations'!A:F, 6, FALSE)</f>
        <v>No</v>
      </c>
      <c r="F1106" t="str">
        <f>VLOOKUP($A1106, 'Medical Examinations'!A:G, 7, FALSE)</f>
        <v>No</v>
      </c>
      <c r="G1106" t="str">
        <f>VLOOKUP($A1106, 'Medical Examinations'!A:H, 8, FALSE)</f>
        <v>No</v>
      </c>
      <c r="H1106" t="str">
        <f>VLOOKUP($A1106, 'Medical Examinations'!A:J, 10, FALSE)</f>
        <v>No major surgery</v>
      </c>
      <c r="I1106" t="str">
        <f>VLOOKUP($A1106, 'Medical Examinations'!A:K, 11, FALSE)</f>
        <v>No</v>
      </c>
      <c r="J1106" t="str">
        <f>VLOOKUP($A1106, 'Medical Examinations'!A:B, 2, FALSE)</f>
        <v>Obesity</v>
      </c>
      <c r="K1106" t="str">
        <f>VLOOKUP($A1106, 'Medical Examinations'!A:D, 4, FALSE)</f>
        <v>Diabetes</v>
      </c>
    </row>
    <row r="1107" spans="1:11" ht="15.5" x14ac:dyDescent="0.35">
      <c r="A1107" s="1" t="s">
        <v>1265</v>
      </c>
      <c r="B1107" t="str">
        <f>VLOOKUP($A1107, 'Customer Names'!A:D, 3, FALSE)</f>
        <v>Paul</v>
      </c>
      <c r="C1107">
        <f>VLOOKUP($A1107,'Medical Examinations'!A:C, 3, FALSE)</f>
        <v>38.28</v>
      </c>
      <c r="D1107" t="str">
        <f>VLOOKUP($A1107, 'Medical Examinations'!A:D, 4, FALSE)</f>
        <v>Diabetes</v>
      </c>
      <c r="E1107" t="str">
        <f>VLOOKUP($A1107, 'Medical Examinations'!A:F, 6, FALSE)</f>
        <v>yes</v>
      </c>
      <c r="F1107" t="str">
        <f>VLOOKUP($A1107, 'Medical Examinations'!A:G, 7, FALSE)</f>
        <v>No</v>
      </c>
      <c r="G1107" t="str">
        <f>VLOOKUP($A1107, 'Medical Examinations'!A:H, 8, FALSE)</f>
        <v>No</v>
      </c>
      <c r="H1107" t="str">
        <f>VLOOKUP($A1107, 'Medical Examinations'!A:J, 10, FALSE)</f>
        <v>No major surgery</v>
      </c>
      <c r="I1107" t="str">
        <f>VLOOKUP($A1107, 'Medical Examinations'!A:K, 11, FALSE)</f>
        <v>No</v>
      </c>
      <c r="J1107" t="str">
        <f>VLOOKUP($A1107, 'Medical Examinations'!A:B, 2, FALSE)</f>
        <v>Obesity</v>
      </c>
      <c r="K1107" t="str">
        <f>VLOOKUP($A1107, 'Medical Examinations'!A:D, 4, FALSE)</f>
        <v>Diabetes</v>
      </c>
    </row>
    <row r="1108" spans="1:11" ht="15.5" x14ac:dyDescent="0.35">
      <c r="A1108" s="1" t="s">
        <v>1264</v>
      </c>
      <c r="B1108" t="str">
        <f>VLOOKUP($A1108, 'Customer Names'!A:D, 3, FALSE)</f>
        <v>Trail</v>
      </c>
      <c r="C1108">
        <f>VLOOKUP($A1108,'Medical Examinations'!A:C, 3, FALSE)</f>
        <v>29.9</v>
      </c>
      <c r="D1108" t="str">
        <f>VLOOKUP($A1108, 'Medical Examinations'!A:D, 4, FALSE)</f>
        <v>Diabetes</v>
      </c>
      <c r="E1108" t="str">
        <f>VLOOKUP($A1108, 'Medical Examinations'!A:F, 6, FALSE)</f>
        <v>yes</v>
      </c>
      <c r="F1108" t="str">
        <f>VLOOKUP($A1108, 'Medical Examinations'!A:G, 7, FALSE)</f>
        <v>No</v>
      </c>
      <c r="G1108" t="str">
        <f>VLOOKUP($A1108, 'Medical Examinations'!A:H, 8, FALSE)</f>
        <v>No</v>
      </c>
      <c r="H1108" t="str">
        <f>VLOOKUP($A1108, 'Medical Examinations'!A:J, 10, FALSE)</f>
        <v>No major surgery</v>
      </c>
      <c r="I1108" t="str">
        <f>VLOOKUP($A1108, 'Medical Examinations'!A:K, 11, FALSE)</f>
        <v>No</v>
      </c>
      <c r="J1108" t="str">
        <f>VLOOKUP($A1108, 'Medical Examinations'!A:B, 2, FALSE)</f>
        <v>Overweight</v>
      </c>
      <c r="K1108" t="str">
        <f>VLOOKUP($A1108, 'Medical Examinations'!A:D, 4, FALSE)</f>
        <v>Diabetes</v>
      </c>
    </row>
    <row r="1109" spans="1:11" ht="15.5" x14ac:dyDescent="0.35">
      <c r="A1109" s="1" t="s">
        <v>1263</v>
      </c>
      <c r="B1109" t="str">
        <f>VLOOKUP($A1109, 'Customer Names'!A:D, 3, FALSE)</f>
        <v>Benton</v>
      </c>
      <c r="C1109">
        <f>VLOOKUP($A1109,'Medical Examinations'!A:C, 3, FALSE)</f>
        <v>23.18</v>
      </c>
      <c r="D1109" t="str">
        <f>VLOOKUP($A1109, 'Medical Examinations'!A:D, 4, FALSE)</f>
        <v>Diabetes</v>
      </c>
      <c r="E1109" t="str">
        <f>VLOOKUP($A1109, 'Medical Examinations'!A:F, 6, FALSE)</f>
        <v>yes</v>
      </c>
      <c r="F1109" t="str">
        <f>VLOOKUP($A1109, 'Medical Examinations'!A:G, 7, FALSE)</f>
        <v>No</v>
      </c>
      <c r="G1109" t="str">
        <f>VLOOKUP($A1109, 'Medical Examinations'!A:H, 8, FALSE)</f>
        <v>No</v>
      </c>
      <c r="H1109">
        <f>VLOOKUP($A1109, 'Medical Examinations'!A:J, 10, FALSE)</f>
        <v>2</v>
      </c>
      <c r="I1109" t="str">
        <f>VLOOKUP($A1109, 'Medical Examinations'!A:K, 11, FALSE)</f>
        <v>No</v>
      </c>
      <c r="J1109" t="str">
        <f>VLOOKUP($A1109, 'Medical Examinations'!A:B, 2, FALSE)</f>
        <v>Normal Weight</v>
      </c>
      <c r="K1109" t="str">
        <f>VLOOKUP($A1109, 'Medical Examinations'!A:D, 4, FALSE)</f>
        <v>Diabetes</v>
      </c>
    </row>
    <row r="1110" spans="1:11" ht="15.5" x14ac:dyDescent="0.35">
      <c r="A1110" s="1" t="s">
        <v>1262</v>
      </c>
      <c r="B1110" t="str">
        <f>VLOOKUP($A1110, 'Customer Names'!A:D, 3, FALSE)</f>
        <v>Bauman</v>
      </c>
      <c r="C1110">
        <f>VLOOKUP($A1110,'Medical Examinations'!A:C, 3, FALSE)</f>
        <v>33.020000000000003</v>
      </c>
      <c r="D1110" t="str">
        <f>VLOOKUP($A1110, 'Medical Examinations'!A:D, 4, FALSE)</f>
        <v>Normal</v>
      </c>
      <c r="E1110" t="str">
        <f>VLOOKUP($A1110, 'Medical Examinations'!A:F, 6, FALSE)</f>
        <v>yes</v>
      </c>
      <c r="F1110" t="str">
        <f>VLOOKUP($A1110, 'Medical Examinations'!A:G, 7, FALSE)</f>
        <v>No</v>
      </c>
      <c r="G1110" t="str">
        <f>VLOOKUP($A1110, 'Medical Examinations'!A:H, 8, FALSE)</f>
        <v>No</v>
      </c>
      <c r="H1110" t="str">
        <f>VLOOKUP($A1110, 'Medical Examinations'!A:J, 10, FALSE)</f>
        <v>No major surgery</v>
      </c>
      <c r="I1110" t="str">
        <f>VLOOKUP($A1110, 'Medical Examinations'!A:K, 11, FALSE)</f>
        <v>No</v>
      </c>
      <c r="J1110" t="str">
        <f>VLOOKUP($A1110, 'Medical Examinations'!A:B, 2, FALSE)</f>
        <v>Obesity</v>
      </c>
      <c r="K1110" t="str">
        <f>VLOOKUP($A1110, 'Medical Examinations'!A:D, 4, FALSE)</f>
        <v>Normal</v>
      </c>
    </row>
    <row r="1111" spans="1:11" ht="15.5" x14ac:dyDescent="0.35">
      <c r="A1111" s="1" t="s">
        <v>1261</v>
      </c>
      <c r="B1111" t="str">
        <f>VLOOKUP($A1111, 'Customer Names'!A:D, 3, FALSE)</f>
        <v>Bakula</v>
      </c>
      <c r="C1111">
        <f>VLOOKUP($A1111,'Medical Examinations'!A:C, 3, FALSE)</f>
        <v>27.29</v>
      </c>
      <c r="D1111" t="str">
        <f>VLOOKUP($A1111, 'Medical Examinations'!A:D, 4, FALSE)</f>
        <v>Prediabetes</v>
      </c>
      <c r="E1111" t="str">
        <f>VLOOKUP($A1111, 'Medical Examinations'!A:F, 6, FALSE)</f>
        <v>No</v>
      </c>
      <c r="F1111" t="str">
        <f>VLOOKUP($A1111, 'Medical Examinations'!A:G, 7, FALSE)</f>
        <v>No</v>
      </c>
      <c r="G1111" t="str">
        <f>VLOOKUP($A1111, 'Medical Examinations'!A:H, 8, FALSE)</f>
        <v>No</v>
      </c>
      <c r="H1111">
        <f>VLOOKUP($A1111, 'Medical Examinations'!A:J, 10, FALSE)</f>
        <v>2</v>
      </c>
      <c r="I1111" t="str">
        <f>VLOOKUP($A1111, 'Medical Examinations'!A:K, 11, FALSE)</f>
        <v>No</v>
      </c>
      <c r="J1111" t="str">
        <f>VLOOKUP($A1111, 'Medical Examinations'!A:B, 2, FALSE)</f>
        <v>Overweight</v>
      </c>
      <c r="K1111" t="str">
        <f>VLOOKUP($A1111, 'Medical Examinations'!A:D, 4, FALSE)</f>
        <v>Prediabetes</v>
      </c>
    </row>
    <row r="1112" spans="1:11" ht="15.5" x14ac:dyDescent="0.35">
      <c r="A1112" s="1" t="s">
        <v>1260</v>
      </c>
      <c r="B1112" t="str">
        <f>VLOOKUP($A1112, 'Customer Names'!A:D, 3, FALSE)</f>
        <v>Edwards</v>
      </c>
      <c r="C1112">
        <f>VLOOKUP($A1112,'Medical Examinations'!A:C, 3, FALSE)</f>
        <v>23.18</v>
      </c>
      <c r="D1112" t="str">
        <f>VLOOKUP($A1112, 'Medical Examinations'!A:D, 4, FALSE)</f>
        <v>Diabetes</v>
      </c>
      <c r="E1112" t="str">
        <f>VLOOKUP($A1112, 'Medical Examinations'!A:F, 6, FALSE)</f>
        <v>No</v>
      </c>
      <c r="F1112" t="str">
        <f>VLOOKUP($A1112, 'Medical Examinations'!A:G, 7, FALSE)</f>
        <v>No</v>
      </c>
      <c r="G1112" t="str">
        <f>VLOOKUP($A1112, 'Medical Examinations'!A:H, 8, FALSE)</f>
        <v>No</v>
      </c>
      <c r="H1112">
        <f>VLOOKUP($A1112, 'Medical Examinations'!A:J, 10, FALSE)</f>
        <v>2</v>
      </c>
      <c r="I1112" t="str">
        <f>VLOOKUP($A1112, 'Medical Examinations'!A:K, 11, FALSE)</f>
        <v>No</v>
      </c>
      <c r="J1112" t="str">
        <f>VLOOKUP($A1112, 'Medical Examinations'!A:B, 2, FALSE)</f>
        <v>Normal Weight</v>
      </c>
      <c r="K1112" t="str">
        <f>VLOOKUP($A1112, 'Medical Examinations'!A:D, 4, FALSE)</f>
        <v>Diabetes</v>
      </c>
    </row>
    <row r="1113" spans="1:11" ht="15.5" x14ac:dyDescent="0.35">
      <c r="A1113" s="1" t="s">
        <v>1259</v>
      </c>
      <c r="B1113" t="str">
        <f>VLOOKUP($A1113, 'Customer Names'!A:D, 3, FALSE)</f>
        <v>Davis</v>
      </c>
      <c r="C1113">
        <f>VLOOKUP($A1113,'Medical Examinations'!A:C, 3, FALSE)</f>
        <v>32.659999999999997</v>
      </c>
      <c r="D1113" t="str">
        <f>VLOOKUP($A1113, 'Medical Examinations'!A:D, 4, FALSE)</f>
        <v>Diabetes</v>
      </c>
      <c r="E1113" t="str">
        <f>VLOOKUP($A1113, 'Medical Examinations'!A:F, 6, FALSE)</f>
        <v>yes</v>
      </c>
      <c r="F1113" t="str">
        <f>VLOOKUP($A1113, 'Medical Examinations'!A:G, 7, FALSE)</f>
        <v>No</v>
      </c>
      <c r="G1113" t="str">
        <f>VLOOKUP($A1113, 'Medical Examinations'!A:H, 8, FALSE)</f>
        <v>No</v>
      </c>
      <c r="H1113" t="str">
        <f>VLOOKUP($A1113, 'Medical Examinations'!A:J, 10, FALSE)</f>
        <v>No major surgery</v>
      </c>
      <c r="I1113" t="str">
        <f>VLOOKUP($A1113, 'Medical Examinations'!A:K, 11, FALSE)</f>
        <v>No</v>
      </c>
      <c r="J1113" t="str">
        <f>VLOOKUP($A1113, 'Medical Examinations'!A:B, 2, FALSE)</f>
        <v>Obesity</v>
      </c>
      <c r="K1113" t="str">
        <f>VLOOKUP($A1113, 'Medical Examinations'!A:D, 4, FALSE)</f>
        <v>Diabetes</v>
      </c>
    </row>
    <row r="1114" spans="1:11" ht="15.5" x14ac:dyDescent="0.35">
      <c r="A1114" s="1" t="s">
        <v>1258</v>
      </c>
      <c r="B1114" t="str">
        <f>VLOOKUP($A1114, 'Customer Names'!A:D, 3, FALSE)</f>
        <v>Weiler</v>
      </c>
      <c r="C1114">
        <f>VLOOKUP($A1114,'Medical Examinations'!A:C, 3, FALSE)</f>
        <v>30.78</v>
      </c>
      <c r="D1114" t="str">
        <f>VLOOKUP($A1114, 'Medical Examinations'!A:D, 4, FALSE)</f>
        <v>Diabetes</v>
      </c>
      <c r="E1114" t="str">
        <f>VLOOKUP($A1114, 'Medical Examinations'!A:F, 6, FALSE)</f>
        <v>No</v>
      </c>
      <c r="F1114" t="str">
        <f>VLOOKUP($A1114, 'Medical Examinations'!A:G, 7, FALSE)</f>
        <v>No</v>
      </c>
      <c r="G1114" t="str">
        <f>VLOOKUP($A1114, 'Medical Examinations'!A:H, 8, FALSE)</f>
        <v>No</v>
      </c>
      <c r="H1114" t="str">
        <f>VLOOKUP($A1114, 'Medical Examinations'!A:J, 10, FALSE)</f>
        <v>No major surgery</v>
      </c>
      <c r="I1114" t="str">
        <f>VLOOKUP($A1114, 'Medical Examinations'!A:K, 11, FALSE)</f>
        <v>No</v>
      </c>
      <c r="J1114" t="str">
        <f>VLOOKUP($A1114, 'Medical Examinations'!A:B, 2, FALSE)</f>
        <v>Obesity</v>
      </c>
      <c r="K1114" t="str">
        <f>VLOOKUP($A1114, 'Medical Examinations'!A:D, 4, FALSE)</f>
        <v>Diabetes</v>
      </c>
    </row>
    <row r="1115" spans="1:11" ht="15.5" x14ac:dyDescent="0.35">
      <c r="A1115" s="1" t="s">
        <v>1257</v>
      </c>
      <c r="B1115" t="str">
        <f>VLOOKUP($A1115, 'Customer Names'!A:D, 3, FALSE)</f>
        <v>Schaaf</v>
      </c>
      <c r="C1115">
        <f>VLOOKUP($A1115,'Medical Examinations'!A:C, 3, FALSE)</f>
        <v>47.2</v>
      </c>
      <c r="D1115" t="str">
        <f>VLOOKUP($A1115, 'Medical Examinations'!A:D, 4, FALSE)</f>
        <v>Prediabetes</v>
      </c>
      <c r="E1115" t="str">
        <f>VLOOKUP($A1115, 'Medical Examinations'!A:F, 6, FALSE)</f>
        <v>yes</v>
      </c>
      <c r="F1115" t="str">
        <f>VLOOKUP($A1115, 'Medical Examinations'!A:G, 7, FALSE)</f>
        <v>No</v>
      </c>
      <c r="G1115" t="str">
        <f>VLOOKUP($A1115, 'Medical Examinations'!A:H, 8, FALSE)</f>
        <v>Yes</v>
      </c>
      <c r="H1115">
        <f>VLOOKUP($A1115, 'Medical Examinations'!A:J, 10, FALSE)</f>
        <v>1</v>
      </c>
      <c r="I1115" t="str">
        <f>VLOOKUP($A1115, 'Medical Examinations'!A:K, 11, FALSE)</f>
        <v>No</v>
      </c>
      <c r="J1115" t="str">
        <f>VLOOKUP($A1115, 'Medical Examinations'!A:B, 2, FALSE)</f>
        <v>Obesity</v>
      </c>
      <c r="K1115" t="str">
        <f>VLOOKUP($A1115, 'Medical Examinations'!A:D, 4, FALSE)</f>
        <v>Prediabetes</v>
      </c>
    </row>
    <row r="1116" spans="1:11" ht="15.5" x14ac:dyDescent="0.35">
      <c r="A1116" s="1" t="s">
        <v>1256</v>
      </c>
      <c r="B1116" t="str">
        <f>VLOOKUP($A1116, 'Customer Names'!A:D, 3, FALSE)</f>
        <v>Sack</v>
      </c>
      <c r="C1116">
        <f>VLOOKUP($A1116,'Medical Examinations'!A:C, 3, FALSE)</f>
        <v>31.6</v>
      </c>
      <c r="D1116" t="str">
        <f>VLOOKUP($A1116, 'Medical Examinations'!A:D, 4, FALSE)</f>
        <v>Prediabetes</v>
      </c>
      <c r="E1116" t="str">
        <f>VLOOKUP($A1116, 'Medical Examinations'!A:F, 6, FALSE)</f>
        <v>No</v>
      </c>
      <c r="F1116" t="str">
        <f>VLOOKUP($A1116, 'Medical Examinations'!A:G, 7, FALSE)</f>
        <v>No</v>
      </c>
      <c r="G1116" t="str">
        <f>VLOOKUP($A1116, 'Medical Examinations'!A:H, 8, FALSE)</f>
        <v>No</v>
      </c>
      <c r="H1116">
        <f>VLOOKUP($A1116, 'Medical Examinations'!A:J, 10, FALSE)</f>
        <v>2</v>
      </c>
      <c r="I1116" t="str">
        <f>VLOOKUP($A1116, 'Medical Examinations'!A:K, 11, FALSE)</f>
        <v>No</v>
      </c>
      <c r="J1116" t="str">
        <f>VLOOKUP($A1116, 'Medical Examinations'!A:B, 2, FALSE)</f>
        <v>Obesity</v>
      </c>
      <c r="K1116" t="str">
        <f>VLOOKUP($A1116, 'Medical Examinations'!A:D, 4, FALSE)</f>
        <v>Prediabetes</v>
      </c>
    </row>
    <row r="1117" spans="1:11" ht="15.5" x14ac:dyDescent="0.35">
      <c r="A1117" s="1" t="s">
        <v>1255</v>
      </c>
      <c r="B1117" t="str">
        <f>VLOOKUP($A1117, 'Customer Names'!A:D, 3, FALSE)</f>
        <v>Chenard</v>
      </c>
      <c r="C1117">
        <f>VLOOKUP($A1117,'Medical Examinations'!A:C, 3, FALSE)</f>
        <v>33.914999999999999</v>
      </c>
      <c r="D1117" t="str">
        <f>VLOOKUP($A1117, 'Medical Examinations'!A:D, 4, FALSE)</f>
        <v>Diabetes</v>
      </c>
      <c r="E1117" t="str">
        <f>VLOOKUP($A1117, 'Medical Examinations'!A:F, 6, FALSE)</f>
        <v>yes</v>
      </c>
      <c r="F1117" t="str">
        <f>VLOOKUP($A1117, 'Medical Examinations'!A:G, 7, FALSE)</f>
        <v>No</v>
      </c>
      <c r="G1117" t="str">
        <f>VLOOKUP($A1117, 'Medical Examinations'!A:H, 8, FALSE)</f>
        <v>No</v>
      </c>
      <c r="H1117">
        <f>VLOOKUP($A1117, 'Medical Examinations'!A:J, 10, FALSE)</f>
        <v>1</v>
      </c>
      <c r="I1117" t="str">
        <f>VLOOKUP($A1117, 'Medical Examinations'!A:K, 11, FALSE)</f>
        <v>No</v>
      </c>
      <c r="J1117" t="str">
        <f>VLOOKUP($A1117, 'Medical Examinations'!A:B, 2, FALSE)</f>
        <v>Obesity</v>
      </c>
      <c r="K1117" t="str">
        <f>VLOOKUP($A1117, 'Medical Examinations'!A:D, 4, FALSE)</f>
        <v>Diabetes</v>
      </c>
    </row>
    <row r="1118" spans="1:11" ht="15.5" x14ac:dyDescent="0.35">
      <c r="A1118" s="1" t="s">
        <v>1254</v>
      </c>
      <c r="B1118" t="str">
        <f>VLOOKUP($A1118, 'Customer Names'!A:D, 3, FALSE)</f>
        <v>Williamson</v>
      </c>
      <c r="C1118">
        <f>VLOOKUP($A1118,'Medical Examinations'!A:C, 3, FALSE)</f>
        <v>23.54</v>
      </c>
      <c r="D1118" t="str">
        <f>VLOOKUP($A1118, 'Medical Examinations'!A:D, 4, FALSE)</f>
        <v>Normal</v>
      </c>
      <c r="E1118" t="str">
        <f>VLOOKUP($A1118, 'Medical Examinations'!A:F, 6, FALSE)</f>
        <v>No</v>
      </c>
      <c r="F1118" t="str">
        <f>VLOOKUP($A1118, 'Medical Examinations'!A:G, 7, FALSE)</f>
        <v>No</v>
      </c>
      <c r="G1118" t="str">
        <f>VLOOKUP($A1118, 'Medical Examinations'!A:H, 8, FALSE)</f>
        <v>No</v>
      </c>
      <c r="H1118">
        <f>VLOOKUP($A1118, 'Medical Examinations'!A:J, 10, FALSE)</f>
        <v>2</v>
      </c>
      <c r="I1118" t="str">
        <f>VLOOKUP($A1118, 'Medical Examinations'!A:K, 11, FALSE)</f>
        <v>No</v>
      </c>
      <c r="J1118" t="str">
        <f>VLOOKUP($A1118, 'Medical Examinations'!A:B, 2, FALSE)</f>
        <v>Normal Weight</v>
      </c>
      <c r="K1118" t="str">
        <f>VLOOKUP($A1118, 'Medical Examinations'!A:D, 4, FALSE)</f>
        <v>Normal</v>
      </c>
    </row>
    <row r="1119" spans="1:11" ht="15.5" x14ac:dyDescent="0.35">
      <c r="A1119" s="1" t="s">
        <v>1253</v>
      </c>
      <c r="B1119" t="str">
        <f>VLOOKUP($A1119, 'Customer Names'!A:D, 3, FALSE)</f>
        <v>Dollas</v>
      </c>
      <c r="C1119">
        <f>VLOOKUP($A1119,'Medical Examinations'!A:C, 3, FALSE)</f>
        <v>27.074999999999999</v>
      </c>
      <c r="D1119" t="str">
        <f>VLOOKUP($A1119, 'Medical Examinations'!A:D, 4, FALSE)</f>
        <v>Normal</v>
      </c>
      <c r="E1119" t="str">
        <f>VLOOKUP($A1119, 'Medical Examinations'!A:F, 6, FALSE)</f>
        <v>No</v>
      </c>
      <c r="F1119" t="str">
        <f>VLOOKUP($A1119, 'Medical Examinations'!A:G, 7, FALSE)</f>
        <v>No</v>
      </c>
      <c r="G1119" t="str">
        <f>VLOOKUP($A1119, 'Medical Examinations'!A:H, 8, FALSE)</f>
        <v>No</v>
      </c>
      <c r="H1119">
        <f>VLOOKUP($A1119, 'Medical Examinations'!A:J, 10, FALSE)</f>
        <v>2</v>
      </c>
      <c r="I1119" t="str">
        <f>VLOOKUP($A1119, 'Medical Examinations'!A:K, 11, FALSE)</f>
        <v>No</v>
      </c>
      <c r="J1119" t="str">
        <f>VLOOKUP($A1119, 'Medical Examinations'!A:B, 2, FALSE)</f>
        <v>Overweight</v>
      </c>
      <c r="K1119" t="str">
        <f>VLOOKUP($A1119, 'Medical Examinations'!A:D, 4, FALSE)</f>
        <v>Normal</v>
      </c>
    </row>
    <row r="1120" spans="1:11" ht="15.5" x14ac:dyDescent="0.35">
      <c r="A1120" s="1" t="s">
        <v>1252</v>
      </c>
      <c r="B1120" t="str">
        <f>VLOOKUP($A1120, 'Customer Names'!A:D, 3, FALSE)</f>
        <v>Sprague</v>
      </c>
      <c r="C1120">
        <f>VLOOKUP($A1120,'Medical Examinations'!A:C, 3, FALSE)</f>
        <v>25.8</v>
      </c>
      <c r="D1120" t="str">
        <f>VLOOKUP($A1120, 'Medical Examinations'!A:D, 4, FALSE)</f>
        <v>Normal</v>
      </c>
      <c r="E1120" t="str">
        <f>VLOOKUP($A1120, 'Medical Examinations'!A:F, 6, FALSE)</f>
        <v>yes</v>
      </c>
      <c r="F1120" t="str">
        <f>VLOOKUP($A1120, 'Medical Examinations'!A:G, 7, FALSE)</f>
        <v>No</v>
      </c>
      <c r="G1120" t="str">
        <f>VLOOKUP($A1120, 'Medical Examinations'!A:H, 8, FALSE)</f>
        <v>No</v>
      </c>
      <c r="H1120" t="str">
        <f>VLOOKUP($A1120, 'Medical Examinations'!A:J, 10, FALSE)</f>
        <v>No major surgery</v>
      </c>
      <c r="I1120" t="str">
        <f>VLOOKUP($A1120, 'Medical Examinations'!A:K, 11, FALSE)</f>
        <v>No</v>
      </c>
      <c r="J1120" t="str">
        <f>VLOOKUP($A1120, 'Medical Examinations'!A:B, 2, FALSE)</f>
        <v>Overweight</v>
      </c>
      <c r="K1120" t="str">
        <f>VLOOKUP($A1120, 'Medical Examinations'!A:D, 4, FALSE)</f>
        <v>Normal</v>
      </c>
    </row>
    <row r="1121" spans="1:11" ht="15.5" x14ac:dyDescent="0.35">
      <c r="A1121" s="1" t="s">
        <v>1251</v>
      </c>
      <c r="B1121" t="str">
        <f>VLOOKUP($A1121, 'Customer Names'!A:D, 3, FALSE)</f>
        <v>Michell</v>
      </c>
      <c r="C1121">
        <f>VLOOKUP($A1121,'Medical Examinations'!A:C, 3, FALSE)</f>
        <v>36.1</v>
      </c>
      <c r="D1121" t="str">
        <f>VLOOKUP($A1121, 'Medical Examinations'!A:D, 4, FALSE)</f>
        <v>Normal</v>
      </c>
      <c r="E1121" t="str">
        <f>VLOOKUP($A1121, 'Medical Examinations'!A:F, 6, FALSE)</f>
        <v>yes</v>
      </c>
      <c r="F1121" t="str">
        <f>VLOOKUP($A1121, 'Medical Examinations'!A:G, 7, FALSE)</f>
        <v>No</v>
      </c>
      <c r="G1121" t="str">
        <f>VLOOKUP($A1121, 'Medical Examinations'!A:H, 8, FALSE)</f>
        <v>Yes</v>
      </c>
      <c r="H1121">
        <f>VLOOKUP($A1121, 'Medical Examinations'!A:J, 10, FALSE)</f>
        <v>1</v>
      </c>
      <c r="I1121" t="str">
        <f>VLOOKUP($A1121, 'Medical Examinations'!A:K, 11, FALSE)</f>
        <v>No</v>
      </c>
      <c r="J1121" t="str">
        <f>VLOOKUP($A1121, 'Medical Examinations'!A:B, 2, FALSE)</f>
        <v>Obesity</v>
      </c>
      <c r="K1121" t="str">
        <f>VLOOKUP($A1121, 'Medical Examinations'!A:D, 4, FALSE)</f>
        <v>Normal</v>
      </c>
    </row>
    <row r="1122" spans="1:11" ht="15.5" x14ac:dyDescent="0.35">
      <c r="A1122" s="1" t="s">
        <v>1250</v>
      </c>
      <c r="B1122" t="str">
        <f>VLOOKUP($A1122, 'Customer Names'!A:D, 3, FALSE)</f>
        <v>Datwyler</v>
      </c>
      <c r="C1122">
        <f>VLOOKUP($A1122,'Medical Examinations'!A:C, 3, FALSE)</f>
        <v>30.495000000000001</v>
      </c>
      <c r="D1122" t="str">
        <f>VLOOKUP($A1122, 'Medical Examinations'!A:D, 4, FALSE)</f>
        <v>Prediabetes</v>
      </c>
      <c r="E1122" t="str">
        <f>VLOOKUP($A1122, 'Medical Examinations'!A:F, 6, FALSE)</f>
        <v>yes</v>
      </c>
      <c r="F1122" t="str">
        <f>VLOOKUP($A1122, 'Medical Examinations'!A:G, 7, FALSE)</f>
        <v>No</v>
      </c>
      <c r="G1122" t="str">
        <f>VLOOKUP($A1122, 'Medical Examinations'!A:H, 8, FALSE)</f>
        <v>Yes</v>
      </c>
      <c r="H1122">
        <f>VLOOKUP($A1122, 'Medical Examinations'!A:J, 10, FALSE)</f>
        <v>1</v>
      </c>
      <c r="I1122" t="str">
        <f>VLOOKUP($A1122, 'Medical Examinations'!A:K, 11, FALSE)</f>
        <v>No</v>
      </c>
      <c r="J1122" t="str">
        <f>VLOOKUP($A1122, 'Medical Examinations'!A:B, 2, FALSE)</f>
        <v>Obesity</v>
      </c>
      <c r="K1122" t="str">
        <f>VLOOKUP($A1122, 'Medical Examinations'!A:D, 4, FALSE)</f>
        <v>Prediabetes</v>
      </c>
    </row>
    <row r="1123" spans="1:11" ht="15.5" x14ac:dyDescent="0.35">
      <c r="A1123" s="1" t="s">
        <v>1249</v>
      </c>
      <c r="B1123" t="str">
        <f>VLOOKUP($A1123, 'Customer Names'!A:D, 3, FALSE)</f>
        <v>Mead</v>
      </c>
      <c r="C1123">
        <f>VLOOKUP($A1123,'Medical Examinations'!A:C, 3, FALSE)</f>
        <v>21.4</v>
      </c>
      <c r="D1123" t="str">
        <f>VLOOKUP($A1123, 'Medical Examinations'!A:D, 4, FALSE)</f>
        <v>Prediabetes</v>
      </c>
      <c r="E1123" t="str">
        <f>VLOOKUP($A1123, 'Medical Examinations'!A:F, 6, FALSE)</f>
        <v>yes</v>
      </c>
      <c r="F1123" t="str">
        <f>VLOOKUP($A1123, 'Medical Examinations'!A:G, 7, FALSE)</f>
        <v>No</v>
      </c>
      <c r="G1123" t="str">
        <f>VLOOKUP($A1123, 'Medical Examinations'!A:H, 8, FALSE)</f>
        <v>Yes</v>
      </c>
      <c r="H1123">
        <f>VLOOKUP($A1123, 'Medical Examinations'!A:J, 10, FALSE)</f>
        <v>1</v>
      </c>
      <c r="I1123" t="str">
        <f>VLOOKUP($A1123, 'Medical Examinations'!A:K, 11, FALSE)</f>
        <v>No</v>
      </c>
      <c r="J1123" t="str">
        <f>VLOOKUP($A1123, 'Medical Examinations'!A:B, 2, FALSE)</f>
        <v>Normal Weight</v>
      </c>
      <c r="K1123" t="str">
        <f>VLOOKUP($A1123, 'Medical Examinations'!A:D, 4, FALSE)</f>
        <v>Prediabetes</v>
      </c>
    </row>
    <row r="1124" spans="1:11" ht="15.5" x14ac:dyDescent="0.35">
      <c r="A1124" s="1" t="s">
        <v>1248</v>
      </c>
      <c r="B1124" t="str">
        <f>VLOOKUP($A1124, 'Customer Names'!A:D, 3, FALSE)</f>
        <v>Kennedy</v>
      </c>
      <c r="C1124">
        <f>VLOOKUP($A1124,'Medical Examinations'!A:C, 3, FALSE)</f>
        <v>32.299999999999997</v>
      </c>
      <c r="D1124" t="str">
        <f>VLOOKUP($A1124, 'Medical Examinations'!A:D, 4, FALSE)</f>
        <v>Diabetes</v>
      </c>
      <c r="E1124" t="str">
        <f>VLOOKUP($A1124, 'Medical Examinations'!A:F, 6, FALSE)</f>
        <v>No</v>
      </c>
      <c r="F1124" t="str">
        <f>VLOOKUP($A1124, 'Medical Examinations'!A:G, 7, FALSE)</f>
        <v>No</v>
      </c>
      <c r="G1124" t="str">
        <f>VLOOKUP($A1124, 'Medical Examinations'!A:H, 8, FALSE)</f>
        <v>No</v>
      </c>
      <c r="H1124" t="str">
        <f>VLOOKUP($A1124, 'Medical Examinations'!A:J, 10, FALSE)</f>
        <v>No major surgery</v>
      </c>
      <c r="I1124" t="str">
        <f>VLOOKUP($A1124, 'Medical Examinations'!A:K, 11, FALSE)</f>
        <v>No</v>
      </c>
      <c r="J1124" t="str">
        <f>VLOOKUP($A1124, 'Medical Examinations'!A:B, 2, FALSE)</f>
        <v>Obesity</v>
      </c>
      <c r="K1124" t="str">
        <f>VLOOKUP($A1124, 'Medical Examinations'!A:D, 4, FALSE)</f>
        <v>Diabetes</v>
      </c>
    </row>
    <row r="1125" spans="1:11" ht="15.5" x14ac:dyDescent="0.35">
      <c r="A1125" s="1" t="s">
        <v>1247</v>
      </c>
      <c r="B1125" t="str">
        <f>VLOOKUP($A1125, 'Customer Names'!A:D, 3, FALSE)</f>
        <v>Czech</v>
      </c>
      <c r="C1125">
        <f>VLOOKUP($A1125,'Medical Examinations'!A:C, 3, FALSE)</f>
        <v>29.78</v>
      </c>
      <c r="D1125" t="str">
        <f>VLOOKUP($A1125, 'Medical Examinations'!A:D, 4, FALSE)</f>
        <v>Prediabetes</v>
      </c>
      <c r="E1125" t="str">
        <f>VLOOKUP($A1125, 'Medical Examinations'!A:F, 6, FALSE)</f>
        <v>No</v>
      </c>
      <c r="F1125" t="str">
        <f>VLOOKUP($A1125, 'Medical Examinations'!A:G, 7, FALSE)</f>
        <v>No</v>
      </c>
      <c r="G1125" t="str">
        <f>VLOOKUP($A1125, 'Medical Examinations'!A:H, 8, FALSE)</f>
        <v>Yes</v>
      </c>
      <c r="H1125">
        <f>VLOOKUP($A1125, 'Medical Examinations'!A:J, 10, FALSE)</f>
        <v>1</v>
      </c>
      <c r="I1125" t="str">
        <f>VLOOKUP($A1125, 'Medical Examinations'!A:K, 11, FALSE)</f>
        <v>No</v>
      </c>
      <c r="J1125" t="str">
        <f>VLOOKUP($A1125, 'Medical Examinations'!A:B, 2, FALSE)</f>
        <v>Overweight</v>
      </c>
      <c r="K1125" t="str">
        <f>VLOOKUP($A1125, 'Medical Examinations'!A:D, 4, FALSE)</f>
        <v>Prediabetes</v>
      </c>
    </row>
    <row r="1126" spans="1:11" ht="15.5" x14ac:dyDescent="0.35">
      <c r="A1126" s="1" t="s">
        <v>1246</v>
      </c>
      <c r="B1126" t="str">
        <f>VLOOKUP($A1126, 'Customer Names'!A:D, 3, FALSE)</f>
        <v>O'Brien</v>
      </c>
      <c r="C1126">
        <f>VLOOKUP($A1126,'Medical Examinations'!A:C, 3, FALSE)</f>
        <v>34.76</v>
      </c>
      <c r="D1126" t="str">
        <f>VLOOKUP($A1126, 'Medical Examinations'!A:D, 4, FALSE)</f>
        <v>Prediabetes</v>
      </c>
      <c r="E1126" t="str">
        <f>VLOOKUP($A1126, 'Medical Examinations'!A:F, 6, FALSE)</f>
        <v>yes</v>
      </c>
      <c r="F1126" t="str">
        <f>VLOOKUP($A1126, 'Medical Examinations'!A:G, 7, FALSE)</f>
        <v>No</v>
      </c>
      <c r="G1126" t="str">
        <f>VLOOKUP($A1126, 'Medical Examinations'!A:H, 8, FALSE)</f>
        <v>No</v>
      </c>
      <c r="H1126">
        <f>VLOOKUP($A1126, 'Medical Examinations'!A:J, 10, FALSE)</f>
        <v>1</v>
      </c>
      <c r="I1126" t="str">
        <f>VLOOKUP($A1126, 'Medical Examinations'!A:K, 11, FALSE)</f>
        <v>No</v>
      </c>
      <c r="J1126" t="str">
        <f>VLOOKUP($A1126, 'Medical Examinations'!A:B, 2, FALSE)</f>
        <v>Obesity</v>
      </c>
      <c r="K1126" t="str">
        <f>VLOOKUP($A1126, 'Medical Examinations'!A:D, 4, FALSE)</f>
        <v>Prediabetes</v>
      </c>
    </row>
    <row r="1127" spans="1:11" ht="15.5" x14ac:dyDescent="0.35">
      <c r="A1127" s="1" t="s">
        <v>1245</v>
      </c>
      <c r="B1127" t="str">
        <f>VLOOKUP($A1127, 'Customer Names'!A:D, 3, FALSE)</f>
        <v>Bachman</v>
      </c>
      <c r="C1127">
        <f>VLOOKUP($A1127,'Medical Examinations'!A:C, 3, FALSE)</f>
        <v>18.335000000000001</v>
      </c>
      <c r="D1127" t="str">
        <f>VLOOKUP($A1127, 'Medical Examinations'!A:D, 4, FALSE)</f>
        <v>Diabetes</v>
      </c>
      <c r="E1127" t="str">
        <f>VLOOKUP($A1127, 'Medical Examinations'!A:F, 6, FALSE)</f>
        <v>yes</v>
      </c>
      <c r="F1127" t="str">
        <f>VLOOKUP($A1127, 'Medical Examinations'!A:G, 7, FALSE)</f>
        <v>No</v>
      </c>
      <c r="G1127" t="str">
        <f>VLOOKUP($A1127, 'Medical Examinations'!A:H, 8, FALSE)</f>
        <v>No</v>
      </c>
      <c r="H1127">
        <f>VLOOKUP($A1127, 'Medical Examinations'!A:J, 10, FALSE)</f>
        <v>2</v>
      </c>
      <c r="I1127" t="str">
        <f>VLOOKUP($A1127, 'Medical Examinations'!A:K, 11, FALSE)</f>
        <v>No</v>
      </c>
      <c r="J1127" t="str">
        <f>VLOOKUP($A1127, 'Medical Examinations'!A:B, 2, FALSE)</f>
        <v>Underweight</v>
      </c>
      <c r="K1127" t="str">
        <f>VLOOKUP($A1127, 'Medical Examinations'!A:D, 4, FALSE)</f>
        <v>Diabetes</v>
      </c>
    </row>
    <row r="1128" spans="1:11" ht="15.5" x14ac:dyDescent="0.35">
      <c r="A1128" s="1" t="s">
        <v>1244</v>
      </c>
      <c r="B1128" t="str">
        <f>VLOOKUP($A1128, 'Customer Names'!A:D, 3, FALSE)</f>
        <v>Bednar</v>
      </c>
      <c r="C1128">
        <f>VLOOKUP($A1128,'Medical Examinations'!A:C, 3, FALSE)</f>
        <v>32.299999999999997</v>
      </c>
      <c r="D1128" t="str">
        <f>VLOOKUP($A1128, 'Medical Examinations'!A:D, 4, FALSE)</f>
        <v>Diabetes</v>
      </c>
      <c r="E1128" t="str">
        <f>VLOOKUP($A1128, 'Medical Examinations'!A:F, 6, FALSE)</f>
        <v>No</v>
      </c>
      <c r="F1128" t="str">
        <f>VLOOKUP($A1128, 'Medical Examinations'!A:G, 7, FALSE)</f>
        <v>No</v>
      </c>
      <c r="G1128" t="str">
        <f>VLOOKUP($A1128, 'Medical Examinations'!A:H, 8, FALSE)</f>
        <v>No</v>
      </c>
      <c r="H1128" t="str">
        <f>VLOOKUP($A1128, 'Medical Examinations'!A:J, 10, FALSE)</f>
        <v>No major surgery</v>
      </c>
      <c r="I1128" t="str">
        <f>VLOOKUP($A1128, 'Medical Examinations'!A:K, 11, FALSE)</f>
        <v>No</v>
      </c>
      <c r="J1128" t="str">
        <f>VLOOKUP($A1128, 'Medical Examinations'!A:B, 2, FALSE)</f>
        <v>Obesity</v>
      </c>
      <c r="K1128" t="str">
        <f>VLOOKUP($A1128, 'Medical Examinations'!A:D, 4, FALSE)</f>
        <v>Diabetes</v>
      </c>
    </row>
    <row r="1129" spans="1:11" ht="15.5" x14ac:dyDescent="0.35">
      <c r="A1129" s="1" t="s">
        <v>1243</v>
      </c>
      <c r="B1129" t="str">
        <f>VLOOKUP($A1129, 'Customer Names'!A:D, 3, FALSE)</f>
        <v>Daye</v>
      </c>
      <c r="C1129">
        <f>VLOOKUP($A1129,'Medical Examinations'!A:C, 3, FALSE)</f>
        <v>27.74</v>
      </c>
      <c r="D1129" t="str">
        <f>VLOOKUP($A1129, 'Medical Examinations'!A:D, 4, FALSE)</f>
        <v>Diabetes</v>
      </c>
      <c r="E1129" t="str">
        <f>VLOOKUP($A1129, 'Medical Examinations'!A:F, 6, FALSE)</f>
        <v>No</v>
      </c>
      <c r="F1129" t="str">
        <f>VLOOKUP($A1129, 'Medical Examinations'!A:G, 7, FALSE)</f>
        <v>No</v>
      </c>
      <c r="G1129" t="str">
        <f>VLOOKUP($A1129, 'Medical Examinations'!A:H, 8, FALSE)</f>
        <v>No</v>
      </c>
      <c r="H1129" t="str">
        <f>VLOOKUP($A1129, 'Medical Examinations'!A:J, 10, FALSE)</f>
        <v>No major surgery</v>
      </c>
      <c r="I1129" t="str">
        <f>VLOOKUP($A1129, 'Medical Examinations'!A:K, 11, FALSE)</f>
        <v>No</v>
      </c>
      <c r="J1129" t="str">
        <f>VLOOKUP($A1129, 'Medical Examinations'!A:B, 2, FALSE)</f>
        <v>Overweight</v>
      </c>
      <c r="K1129" t="str">
        <f>VLOOKUP($A1129, 'Medical Examinations'!A:D, 4, FALSE)</f>
        <v>Diabetes</v>
      </c>
    </row>
    <row r="1130" spans="1:11" ht="15.5" x14ac:dyDescent="0.35">
      <c r="A1130" s="1" t="s">
        <v>1242</v>
      </c>
      <c r="B1130" t="str">
        <f>VLOOKUP($A1130, 'Customer Names'!A:D, 3, FALSE)</f>
        <v>Clarke</v>
      </c>
      <c r="C1130">
        <f>VLOOKUP($A1130,'Medical Examinations'!A:C, 3, FALSE)</f>
        <v>24</v>
      </c>
      <c r="D1130" t="str">
        <f>VLOOKUP($A1130, 'Medical Examinations'!A:D, 4, FALSE)</f>
        <v>Normal</v>
      </c>
      <c r="E1130" t="str">
        <f>VLOOKUP($A1130, 'Medical Examinations'!A:F, 6, FALSE)</f>
        <v>yes</v>
      </c>
      <c r="F1130" t="str">
        <f>VLOOKUP($A1130, 'Medical Examinations'!A:G, 7, FALSE)</f>
        <v>No</v>
      </c>
      <c r="G1130" t="str">
        <f>VLOOKUP($A1130, 'Medical Examinations'!A:H, 8, FALSE)</f>
        <v>No</v>
      </c>
      <c r="H1130">
        <f>VLOOKUP($A1130, 'Medical Examinations'!A:J, 10, FALSE)</f>
        <v>1</v>
      </c>
      <c r="I1130" t="str">
        <f>VLOOKUP($A1130, 'Medical Examinations'!A:K, 11, FALSE)</f>
        <v>No</v>
      </c>
      <c r="J1130" t="str">
        <f>VLOOKUP($A1130, 'Medical Examinations'!A:B, 2, FALSE)</f>
        <v>Normal Weight</v>
      </c>
      <c r="K1130" t="str">
        <f>VLOOKUP($A1130, 'Medical Examinations'!A:D, 4, FALSE)</f>
        <v>Normal</v>
      </c>
    </row>
    <row r="1131" spans="1:11" ht="15.5" x14ac:dyDescent="0.35">
      <c r="A1131" s="1" t="s">
        <v>1241</v>
      </c>
      <c r="B1131" t="str">
        <f>VLOOKUP($A1131, 'Customer Names'!A:D, 3, FALSE)</f>
        <v>Koren</v>
      </c>
      <c r="C1131">
        <f>VLOOKUP($A1131,'Medical Examinations'!A:C, 3, FALSE)</f>
        <v>31.78</v>
      </c>
      <c r="D1131" t="str">
        <f>VLOOKUP($A1131, 'Medical Examinations'!A:D, 4, FALSE)</f>
        <v>Normal</v>
      </c>
      <c r="E1131" t="str">
        <f>VLOOKUP($A1131, 'Medical Examinations'!A:F, 6, FALSE)</f>
        <v>yes</v>
      </c>
      <c r="F1131" t="str">
        <f>VLOOKUP($A1131, 'Medical Examinations'!A:G, 7, FALSE)</f>
        <v>No</v>
      </c>
      <c r="G1131" t="str">
        <f>VLOOKUP($A1131, 'Medical Examinations'!A:H, 8, FALSE)</f>
        <v>Yes</v>
      </c>
      <c r="H1131">
        <f>VLOOKUP($A1131, 'Medical Examinations'!A:J, 10, FALSE)</f>
        <v>1</v>
      </c>
      <c r="I1131" t="str">
        <f>VLOOKUP($A1131, 'Medical Examinations'!A:K, 11, FALSE)</f>
        <v>No</v>
      </c>
      <c r="J1131" t="str">
        <f>VLOOKUP($A1131, 'Medical Examinations'!A:B, 2, FALSE)</f>
        <v>Obesity</v>
      </c>
      <c r="K1131" t="str">
        <f>VLOOKUP($A1131, 'Medical Examinations'!A:D, 4, FALSE)</f>
        <v>Normal</v>
      </c>
    </row>
    <row r="1132" spans="1:11" ht="15.5" x14ac:dyDescent="0.35">
      <c r="A1132" s="1" t="s">
        <v>1240</v>
      </c>
      <c r="B1132" t="str">
        <f>VLOOKUP($A1132, 'Customer Names'!A:D, 3, FALSE)</f>
        <v>Kuramoto</v>
      </c>
      <c r="C1132">
        <f>VLOOKUP($A1132,'Medical Examinations'!A:C, 3, FALSE)</f>
        <v>32.25</v>
      </c>
      <c r="D1132" t="str">
        <f>VLOOKUP($A1132, 'Medical Examinations'!A:D, 4, FALSE)</f>
        <v>Normal</v>
      </c>
      <c r="E1132" t="str">
        <f>VLOOKUP($A1132, 'Medical Examinations'!A:F, 6, FALSE)</f>
        <v>yes</v>
      </c>
      <c r="F1132" t="str">
        <f>VLOOKUP($A1132, 'Medical Examinations'!A:G, 7, FALSE)</f>
        <v>No</v>
      </c>
      <c r="G1132" t="str">
        <f>VLOOKUP($A1132, 'Medical Examinations'!A:H, 8, FALSE)</f>
        <v>No</v>
      </c>
      <c r="H1132" t="str">
        <f>VLOOKUP($A1132, 'Medical Examinations'!A:J, 10, FALSE)</f>
        <v>No major surgery</v>
      </c>
      <c r="I1132" t="str">
        <f>VLOOKUP($A1132, 'Medical Examinations'!A:K, 11, FALSE)</f>
        <v>No</v>
      </c>
      <c r="J1132" t="str">
        <f>VLOOKUP($A1132, 'Medical Examinations'!A:B, 2, FALSE)</f>
        <v>Obesity</v>
      </c>
      <c r="K1132" t="str">
        <f>VLOOKUP($A1132, 'Medical Examinations'!A:D, 4, FALSE)</f>
        <v>Normal</v>
      </c>
    </row>
    <row r="1133" spans="1:11" ht="15.5" x14ac:dyDescent="0.35">
      <c r="A1133" s="1" t="s">
        <v>1239</v>
      </c>
      <c r="B1133" t="str">
        <f>VLOOKUP($A1133, 'Customer Names'!A:D, 3, FALSE)</f>
        <v>Lynn</v>
      </c>
      <c r="C1133">
        <f>VLOOKUP($A1133,'Medical Examinations'!A:C, 3, FALSE)</f>
        <v>30.114999999999998</v>
      </c>
      <c r="D1133" t="str">
        <f>VLOOKUP($A1133, 'Medical Examinations'!A:D, 4, FALSE)</f>
        <v>Normal</v>
      </c>
      <c r="E1133" t="str">
        <f>VLOOKUP($A1133, 'Medical Examinations'!A:F, 6, FALSE)</f>
        <v>No</v>
      </c>
      <c r="F1133" t="str">
        <f>VLOOKUP($A1133, 'Medical Examinations'!A:G, 7, FALSE)</f>
        <v>No</v>
      </c>
      <c r="G1133" t="str">
        <f>VLOOKUP($A1133, 'Medical Examinations'!A:H, 8, FALSE)</f>
        <v>No</v>
      </c>
      <c r="H1133">
        <f>VLOOKUP($A1133, 'Medical Examinations'!A:J, 10, FALSE)</f>
        <v>2</v>
      </c>
      <c r="I1133" t="str">
        <f>VLOOKUP($A1133, 'Medical Examinations'!A:K, 11, FALSE)</f>
        <v>No</v>
      </c>
      <c r="J1133" t="str">
        <f>VLOOKUP($A1133, 'Medical Examinations'!A:B, 2, FALSE)</f>
        <v>Obesity</v>
      </c>
      <c r="K1133" t="str">
        <f>VLOOKUP($A1133, 'Medical Examinations'!A:D, 4, FALSE)</f>
        <v>Normal</v>
      </c>
    </row>
    <row r="1134" spans="1:11" ht="15.5" x14ac:dyDescent="0.35">
      <c r="A1134" s="1" t="s">
        <v>1238</v>
      </c>
      <c r="B1134" t="str">
        <f>VLOOKUP($A1134, 'Customer Names'!A:D, 3, FALSE)</f>
        <v>Dierksen</v>
      </c>
      <c r="C1134">
        <f>VLOOKUP($A1134,'Medical Examinations'!A:C, 3, FALSE)</f>
        <v>22.41</v>
      </c>
      <c r="D1134" t="str">
        <f>VLOOKUP($A1134, 'Medical Examinations'!A:D, 4, FALSE)</f>
        <v>Diabetes</v>
      </c>
      <c r="E1134" t="str">
        <f>VLOOKUP($A1134, 'Medical Examinations'!A:F, 6, FALSE)</f>
        <v>No</v>
      </c>
      <c r="F1134" t="str">
        <f>VLOOKUP($A1134, 'Medical Examinations'!A:G, 7, FALSE)</f>
        <v>No</v>
      </c>
      <c r="G1134" t="str">
        <f>VLOOKUP($A1134, 'Medical Examinations'!A:H, 8, FALSE)</f>
        <v>No</v>
      </c>
      <c r="H1134" t="str">
        <f>VLOOKUP($A1134, 'Medical Examinations'!A:J, 10, FALSE)</f>
        <v>No major surgery</v>
      </c>
      <c r="I1134" t="str">
        <f>VLOOKUP($A1134, 'Medical Examinations'!A:K, 11, FALSE)</f>
        <v>No</v>
      </c>
      <c r="J1134" t="str">
        <f>VLOOKUP($A1134, 'Medical Examinations'!A:B, 2, FALSE)</f>
        <v>Normal Weight</v>
      </c>
      <c r="K1134" t="str">
        <f>VLOOKUP($A1134, 'Medical Examinations'!A:D, 4, FALSE)</f>
        <v>Diabetes</v>
      </c>
    </row>
    <row r="1135" spans="1:11" ht="15.5" x14ac:dyDescent="0.35">
      <c r="A1135" s="1" t="s">
        <v>1237</v>
      </c>
      <c r="B1135" t="str">
        <f>VLOOKUP($A1135, 'Customer Names'!A:D, 3, FALSE)</f>
        <v>Zoeller</v>
      </c>
      <c r="C1135">
        <f>VLOOKUP($A1135,'Medical Examinations'!A:C, 3, FALSE)</f>
        <v>45.72</v>
      </c>
      <c r="D1135" t="str">
        <f>VLOOKUP($A1135, 'Medical Examinations'!A:D, 4, FALSE)</f>
        <v>Normal</v>
      </c>
      <c r="E1135" t="str">
        <f>VLOOKUP($A1135, 'Medical Examinations'!A:F, 6, FALSE)</f>
        <v>yes</v>
      </c>
      <c r="F1135" t="str">
        <f>VLOOKUP($A1135, 'Medical Examinations'!A:G, 7, FALSE)</f>
        <v>No</v>
      </c>
      <c r="G1135" t="str">
        <f>VLOOKUP($A1135, 'Medical Examinations'!A:H, 8, FALSE)</f>
        <v>No</v>
      </c>
      <c r="H1135" t="str">
        <f>VLOOKUP($A1135, 'Medical Examinations'!A:J, 10, FALSE)</f>
        <v>No major surgery</v>
      </c>
      <c r="I1135" t="str">
        <f>VLOOKUP($A1135, 'Medical Examinations'!A:K, 11, FALSE)</f>
        <v>No</v>
      </c>
      <c r="J1135" t="str">
        <f>VLOOKUP($A1135, 'Medical Examinations'!A:B, 2, FALSE)</f>
        <v>Obesity</v>
      </c>
      <c r="K1135" t="str">
        <f>VLOOKUP($A1135, 'Medical Examinations'!A:D, 4, FALSE)</f>
        <v>Normal</v>
      </c>
    </row>
    <row r="1136" spans="1:11" ht="15.5" x14ac:dyDescent="0.35">
      <c r="A1136" s="1" t="s">
        <v>1236</v>
      </c>
      <c r="B1136" t="str">
        <f>VLOOKUP($A1136, 'Customer Names'!A:D, 3, FALSE)</f>
        <v>Flesch</v>
      </c>
      <c r="C1136">
        <f>VLOOKUP($A1136,'Medical Examinations'!A:C, 3, FALSE)</f>
        <v>25</v>
      </c>
      <c r="D1136" t="str">
        <f>VLOOKUP($A1136, 'Medical Examinations'!A:D, 4, FALSE)</f>
        <v>Normal</v>
      </c>
      <c r="E1136" t="str">
        <f>VLOOKUP($A1136, 'Medical Examinations'!A:F, 6, FALSE)</f>
        <v>yes</v>
      </c>
      <c r="F1136" t="str">
        <f>VLOOKUP($A1136, 'Medical Examinations'!A:G, 7, FALSE)</f>
        <v>No</v>
      </c>
      <c r="G1136" t="str">
        <f>VLOOKUP($A1136, 'Medical Examinations'!A:H, 8, FALSE)</f>
        <v>No</v>
      </c>
      <c r="H1136">
        <f>VLOOKUP($A1136, 'Medical Examinations'!A:J, 10, FALSE)</f>
        <v>2</v>
      </c>
      <c r="I1136" t="str">
        <f>VLOOKUP($A1136, 'Medical Examinations'!A:K, 11, FALSE)</f>
        <v>No</v>
      </c>
      <c r="J1136" t="str">
        <f>VLOOKUP($A1136, 'Medical Examinations'!A:B, 2, FALSE)</f>
        <v>Overweight</v>
      </c>
      <c r="K1136" t="str">
        <f>VLOOKUP($A1136, 'Medical Examinations'!A:D, 4, FALSE)</f>
        <v>Normal</v>
      </c>
    </row>
    <row r="1137" spans="1:11" ht="15.5" x14ac:dyDescent="0.35">
      <c r="A1137" s="1" t="s">
        <v>1235</v>
      </c>
      <c r="B1137" t="str">
        <f>VLOOKUP($A1137, 'Customer Names'!A:D, 3, FALSE)</f>
        <v>Maltby</v>
      </c>
      <c r="C1137">
        <f>VLOOKUP($A1137,'Medical Examinations'!A:C, 3, FALSE)</f>
        <v>39.5</v>
      </c>
      <c r="D1137" t="str">
        <f>VLOOKUP($A1137, 'Medical Examinations'!A:D, 4, FALSE)</f>
        <v>Diabetes</v>
      </c>
      <c r="E1137" t="str">
        <f>VLOOKUP($A1137, 'Medical Examinations'!A:F, 6, FALSE)</f>
        <v>No</v>
      </c>
      <c r="F1137" t="str">
        <f>VLOOKUP($A1137, 'Medical Examinations'!A:G, 7, FALSE)</f>
        <v>No</v>
      </c>
      <c r="G1137" t="str">
        <f>VLOOKUP($A1137, 'Medical Examinations'!A:H, 8, FALSE)</f>
        <v>No</v>
      </c>
      <c r="H1137" t="str">
        <f>VLOOKUP($A1137, 'Medical Examinations'!A:J, 10, FALSE)</f>
        <v>No major surgery</v>
      </c>
      <c r="I1137" t="str">
        <f>VLOOKUP($A1137, 'Medical Examinations'!A:K, 11, FALSE)</f>
        <v>No</v>
      </c>
      <c r="J1137" t="str">
        <f>VLOOKUP($A1137, 'Medical Examinations'!A:B, 2, FALSE)</f>
        <v>Obesity</v>
      </c>
      <c r="K1137" t="str">
        <f>VLOOKUP($A1137, 'Medical Examinations'!A:D, 4, FALSE)</f>
        <v>Diabetes</v>
      </c>
    </row>
    <row r="1138" spans="1:11" ht="15.5" x14ac:dyDescent="0.35">
      <c r="A1138" s="1" t="s">
        <v>1234</v>
      </c>
      <c r="B1138" t="str">
        <f>VLOOKUP($A1138, 'Customer Names'!A:D, 3, FALSE)</f>
        <v>Custance</v>
      </c>
      <c r="C1138">
        <f>VLOOKUP($A1138,'Medical Examinations'!A:C, 3, FALSE)</f>
        <v>37.729999999999997</v>
      </c>
      <c r="D1138" t="str">
        <f>VLOOKUP($A1138, 'Medical Examinations'!A:D, 4, FALSE)</f>
        <v>Diabetes</v>
      </c>
      <c r="E1138" t="str">
        <f>VLOOKUP($A1138, 'Medical Examinations'!A:F, 6, FALSE)</f>
        <v>No</v>
      </c>
      <c r="F1138" t="str">
        <f>VLOOKUP($A1138, 'Medical Examinations'!A:G, 7, FALSE)</f>
        <v>No</v>
      </c>
      <c r="G1138" t="str">
        <f>VLOOKUP($A1138, 'Medical Examinations'!A:H, 8, FALSE)</f>
        <v>No</v>
      </c>
      <c r="H1138" t="str">
        <f>VLOOKUP($A1138, 'Medical Examinations'!A:J, 10, FALSE)</f>
        <v>No major surgery</v>
      </c>
      <c r="I1138" t="str">
        <f>VLOOKUP($A1138, 'Medical Examinations'!A:K, 11, FALSE)</f>
        <v>No</v>
      </c>
      <c r="J1138" t="str">
        <f>VLOOKUP($A1138, 'Medical Examinations'!A:B, 2, FALSE)</f>
        <v>Obesity</v>
      </c>
      <c r="K1138" t="str">
        <f>VLOOKUP($A1138, 'Medical Examinations'!A:D, 4, FALSE)</f>
        <v>Diabetes</v>
      </c>
    </row>
    <row r="1139" spans="1:11" ht="15.5" x14ac:dyDescent="0.35">
      <c r="A1139" s="1" t="s">
        <v>1233</v>
      </c>
      <c r="B1139" t="str">
        <f>VLOOKUP($A1139, 'Customer Names'!A:D, 3, FALSE)</f>
        <v>Choi</v>
      </c>
      <c r="C1139">
        <f>VLOOKUP($A1139,'Medical Examinations'!A:C, 3, FALSE)</f>
        <v>40.659999999999997</v>
      </c>
      <c r="D1139" t="str">
        <f>VLOOKUP($A1139, 'Medical Examinations'!A:D, 4, FALSE)</f>
        <v>Diabetes</v>
      </c>
      <c r="E1139" t="str">
        <f>VLOOKUP($A1139, 'Medical Examinations'!A:F, 6, FALSE)</f>
        <v>No</v>
      </c>
      <c r="F1139" t="str">
        <f>VLOOKUP($A1139, 'Medical Examinations'!A:G, 7, FALSE)</f>
        <v>No</v>
      </c>
      <c r="G1139" t="str">
        <f>VLOOKUP($A1139, 'Medical Examinations'!A:H, 8, FALSE)</f>
        <v>No</v>
      </c>
      <c r="H1139" t="str">
        <f>VLOOKUP($A1139, 'Medical Examinations'!A:J, 10, FALSE)</f>
        <v>No major surgery</v>
      </c>
      <c r="I1139" t="str">
        <f>VLOOKUP($A1139, 'Medical Examinations'!A:K, 11, FALSE)</f>
        <v>No</v>
      </c>
      <c r="J1139" t="str">
        <f>VLOOKUP($A1139, 'Medical Examinations'!A:B, 2, FALSE)</f>
        <v>Obesity</v>
      </c>
      <c r="K1139" t="str">
        <f>VLOOKUP($A1139, 'Medical Examinations'!A:D, 4, FALSE)</f>
        <v>Diabetes</v>
      </c>
    </row>
    <row r="1140" spans="1:11" ht="15.5" x14ac:dyDescent="0.35">
      <c r="A1140" s="1" t="s">
        <v>1232</v>
      </c>
      <c r="B1140" t="str">
        <f>VLOOKUP($A1140, 'Customer Names'!A:D, 3, FALSE)</f>
        <v>Barnett</v>
      </c>
      <c r="C1140">
        <f>VLOOKUP($A1140,'Medical Examinations'!A:C, 3, FALSE)</f>
        <v>34.200000000000003</v>
      </c>
      <c r="D1140" t="str">
        <f>VLOOKUP($A1140, 'Medical Examinations'!A:D, 4, FALSE)</f>
        <v>Diabetes</v>
      </c>
      <c r="E1140" t="str">
        <f>VLOOKUP($A1140, 'Medical Examinations'!A:F, 6, FALSE)</f>
        <v>No</v>
      </c>
      <c r="F1140" t="str">
        <f>VLOOKUP($A1140, 'Medical Examinations'!A:G, 7, FALSE)</f>
        <v>No</v>
      </c>
      <c r="G1140" t="str">
        <f>VLOOKUP($A1140, 'Medical Examinations'!A:H, 8, FALSE)</f>
        <v>No</v>
      </c>
      <c r="H1140" t="str">
        <f>VLOOKUP($A1140, 'Medical Examinations'!A:J, 10, FALSE)</f>
        <v>No major surgery</v>
      </c>
      <c r="I1140" t="str">
        <f>VLOOKUP($A1140, 'Medical Examinations'!A:K, 11, FALSE)</f>
        <v>No</v>
      </c>
      <c r="J1140" t="str">
        <f>VLOOKUP($A1140, 'Medical Examinations'!A:B, 2, FALSE)</f>
        <v>Obesity</v>
      </c>
      <c r="K1140" t="str">
        <f>VLOOKUP($A1140, 'Medical Examinations'!A:D, 4, FALSE)</f>
        <v>Diabetes</v>
      </c>
    </row>
    <row r="1141" spans="1:11" ht="15.5" x14ac:dyDescent="0.35">
      <c r="A1141" s="1" t="s">
        <v>1231</v>
      </c>
      <c r="B1141" t="str">
        <f>VLOOKUP($A1141, 'Customer Names'!A:D, 3, FALSE)</f>
        <v>Proulx</v>
      </c>
      <c r="C1141">
        <f>VLOOKUP($A1141,'Medical Examinations'!A:C, 3, FALSE)</f>
        <v>46.51</v>
      </c>
      <c r="D1141" t="str">
        <f>VLOOKUP($A1141, 'Medical Examinations'!A:D, 4, FALSE)</f>
        <v>Prediabetes</v>
      </c>
      <c r="E1141" t="str">
        <f>VLOOKUP($A1141, 'Medical Examinations'!A:F, 6, FALSE)</f>
        <v>No</v>
      </c>
      <c r="F1141" t="str">
        <f>VLOOKUP($A1141, 'Medical Examinations'!A:G, 7, FALSE)</f>
        <v>No</v>
      </c>
      <c r="G1141" t="str">
        <f>VLOOKUP($A1141, 'Medical Examinations'!A:H, 8, FALSE)</f>
        <v>No</v>
      </c>
      <c r="H1141">
        <f>VLOOKUP($A1141, 'Medical Examinations'!A:J, 10, FALSE)</f>
        <v>1</v>
      </c>
      <c r="I1141" t="str">
        <f>VLOOKUP($A1141, 'Medical Examinations'!A:K, 11, FALSE)</f>
        <v>No</v>
      </c>
      <c r="J1141" t="str">
        <f>VLOOKUP($A1141, 'Medical Examinations'!A:B, 2, FALSE)</f>
        <v>Obesity</v>
      </c>
      <c r="K1141" t="str">
        <f>VLOOKUP($A1141, 'Medical Examinations'!A:D, 4, FALSE)</f>
        <v>Prediabetes</v>
      </c>
    </row>
    <row r="1142" spans="1:11" ht="15.5" x14ac:dyDescent="0.35">
      <c r="A1142" s="1" t="s">
        <v>1230</v>
      </c>
      <c r="B1142" t="str">
        <f>VLOOKUP($A1142, 'Customer Names'!A:D, 3, FALSE)</f>
        <v>Hamilton</v>
      </c>
      <c r="C1142">
        <f>VLOOKUP($A1142,'Medical Examinations'!A:C, 3, FALSE)</f>
        <v>28.88</v>
      </c>
      <c r="D1142" t="str">
        <f>VLOOKUP($A1142, 'Medical Examinations'!A:D, 4, FALSE)</f>
        <v>Normal</v>
      </c>
      <c r="E1142" t="str">
        <f>VLOOKUP($A1142, 'Medical Examinations'!A:F, 6, FALSE)</f>
        <v>yes</v>
      </c>
      <c r="F1142" t="str">
        <f>VLOOKUP($A1142, 'Medical Examinations'!A:G, 7, FALSE)</f>
        <v>No</v>
      </c>
      <c r="G1142" t="str">
        <f>VLOOKUP($A1142, 'Medical Examinations'!A:H, 8, FALSE)</f>
        <v>Yes</v>
      </c>
      <c r="H1142">
        <f>VLOOKUP($A1142, 'Medical Examinations'!A:J, 10, FALSE)</f>
        <v>1</v>
      </c>
      <c r="I1142" t="str">
        <f>VLOOKUP($A1142, 'Medical Examinations'!A:K, 11, FALSE)</f>
        <v>No</v>
      </c>
      <c r="J1142" t="str">
        <f>VLOOKUP($A1142, 'Medical Examinations'!A:B, 2, FALSE)</f>
        <v>Overweight</v>
      </c>
      <c r="K1142" t="str">
        <f>VLOOKUP($A1142, 'Medical Examinations'!A:D, 4, FALSE)</f>
        <v>Normal</v>
      </c>
    </row>
    <row r="1143" spans="1:11" ht="15.5" x14ac:dyDescent="0.35">
      <c r="A1143" s="1" t="s">
        <v>1229</v>
      </c>
      <c r="B1143" t="str">
        <f>VLOOKUP($A1143, 'Customer Names'!A:D, 3, FALSE)</f>
        <v>Lundine</v>
      </c>
      <c r="C1143">
        <f>VLOOKUP($A1143,'Medical Examinations'!A:C, 3, FALSE)</f>
        <v>33.914999999999999</v>
      </c>
      <c r="D1143" t="str">
        <f>VLOOKUP($A1143, 'Medical Examinations'!A:D, 4, FALSE)</f>
        <v>Diabetes</v>
      </c>
      <c r="E1143" t="str">
        <f>VLOOKUP($A1143, 'Medical Examinations'!A:F, 6, FALSE)</f>
        <v>No</v>
      </c>
      <c r="F1143" t="str">
        <f>VLOOKUP($A1143, 'Medical Examinations'!A:G, 7, FALSE)</f>
        <v>No</v>
      </c>
      <c r="G1143" t="str">
        <f>VLOOKUP($A1143, 'Medical Examinations'!A:H, 8, FALSE)</f>
        <v>No</v>
      </c>
      <c r="H1143" t="str">
        <f>VLOOKUP($A1143, 'Medical Examinations'!A:J, 10, FALSE)</f>
        <v>No major surgery</v>
      </c>
      <c r="I1143" t="str">
        <f>VLOOKUP($A1143, 'Medical Examinations'!A:K, 11, FALSE)</f>
        <v>No</v>
      </c>
      <c r="J1143" t="str">
        <f>VLOOKUP($A1143, 'Medical Examinations'!A:B, 2, FALSE)</f>
        <v>Obesity</v>
      </c>
      <c r="K1143" t="str">
        <f>VLOOKUP($A1143, 'Medical Examinations'!A:D, 4, FALSE)</f>
        <v>Diabetes</v>
      </c>
    </row>
    <row r="1144" spans="1:11" ht="15.5" x14ac:dyDescent="0.35">
      <c r="A1144" s="1" t="s">
        <v>1228</v>
      </c>
      <c r="B1144" t="str">
        <f>VLOOKUP($A1144, 'Customer Names'!A:D, 3, FALSE)</f>
        <v>Paullin</v>
      </c>
      <c r="C1144">
        <f>VLOOKUP($A1144,'Medical Examinations'!A:C, 3, FALSE)</f>
        <v>24.32</v>
      </c>
      <c r="D1144" t="str">
        <f>VLOOKUP($A1144, 'Medical Examinations'!A:D, 4, FALSE)</f>
        <v>Prediabetes</v>
      </c>
      <c r="E1144" t="str">
        <f>VLOOKUP($A1144, 'Medical Examinations'!A:F, 6, FALSE)</f>
        <v>yes</v>
      </c>
      <c r="F1144" t="str">
        <f>VLOOKUP($A1144, 'Medical Examinations'!A:G, 7, FALSE)</f>
        <v>No</v>
      </c>
      <c r="G1144" t="str">
        <f>VLOOKUP($A1144, 'Medical Examinations'!A:H, 8, FALSE)</f>
        <v>Yes</v>
      </c>
      <c r="H1144">
        <f>VLOOKUP($A1144, 'Medical Examinations'!A:J, 10, FALSE)</f>
        <v>1</v>
      </c>
      <c r="I1144" t="str">
        <f>VLOOKUP($A1144, 'Medical Examinations'!A:K, 11, FALSE)</f>
        <v>No</v>
      </c>
      <c r="J1144" t="str">
        <f>VLOOKUP($A1144, 'Medical Examinations'!A:B, 2, FALSE)</f>
        <v>Normal Weight</v>
      </c>
      <c r="K1144" t="str">
        <f>VLOOKUP($A1144, 'Medical Examinations'!A:D, 4, FALSE)</f>
        <v>Prediabetes</v>
      </c>
    </row>
    <row r="1145" spans="1:11" ht="15.5" x14ac:dyDescent="0.35">
      <c r="A1145" s="1" t="s">
        <v>1227</v>
      </c>
      <c r="B1145" t="str">
        <f>VLOOKUP($A1145, 'Customer Names'!A:D, 3, FALSE)</f>
        <v>Delucia</v>
      </c>
      <c r="C1145">
        <f>VLOOKUP($A1145,'Medical Examinations'!A:C, 3, FALSE)</f>
        <v>25.8</v>
      </c>
      <c r="D1145" t="str">
        <f>VLOOKUP($A1145, 'Medical Examinations'!A:D, 4, FALSE)</f>
        <v>Diabetes</v>
      </c>
      <c r="E1145" t="str">
        <f>VLOOKUP($A1145, 'Medical Examinations'!A:F, 6, FALSE)</f>
        <v>No</v>
      </c>
      <c r="F1145" t="str">
        <f>VLOOKUP($A1145, 'Medical Examinations'!A:G, 7, FALSE)</f>
        <v>No</v>
      </c>
      <c r="G1145" t="str">
        <f>VLOOKUP($A1145, 'Medical Examinations'!A:H, 8, FALSE)</f>
        <v>No</v>
      </c>
      <c r="H1145" t="str">
        <f>VLOOKUP($A1145, 'Medical Examinations'!A:J, 10, FALSE)</f>
        <v>No major surgery</v>
      </c>
      <c r="I1145" t="str">
        <f>VLOOKUP($A1145, 'Medical Examinations'!A:K, 11, FALSE)</f>
        <v>No</v>
      </c>
      <c r="J1145" t="str">
        <f>VLOOKUP($A1145, 'Medical Examinations'!A:B, 2, FALSE)</f>
        <v>Overweight</v>
      </c>
      <c r="K1145" t="str">
        <f>VLOOKUP($A1145, 'Medical Examinations'!A:D, 4, FALSE)</f>
        <v>Diabetes</v>
      </c>
    </row>
    <row r="1146" spans="1:11" ht="15.5" x14ac:dyDescent="0.35">
      <c r="A1146" s="1" t="s">
        <v>1226</v>
      </c>
      <c r="B1146" t="str">
        <f>VLOOKUP($A1146, 'Customer Names'!A:D, 3, FALSE)</f>
        <v>Valentine</v>
      </c>
      <c r="C1146">
        <f>VLOOKUP($A1146,'Medical Examinations'!A:C, 3, FALSE)</f>
        <v>21.56</v>
      </c>
      <c r="D1146" t="str">
        <f>VLOOKUP($A1146, 'Medical Examinations'!A:D, 4, FALSE)</f>
        <v>Diabetes</v>
      </c>
      <c r="E1146" t="str">
        <f>VLOOKUP($A1146, 'Medical Examinations'!A:F, 6, FALSE)</f>
        <v>No</v>
      </c>
      <c r="F1146" t="str">
        <f>VLOOKUP($A1146, 'Medical Examinations'!A:G, 7, FALSE)</f>
        <v>No</v>
      </c>
      <c r="G1146" t="str">
        <f>VLOOKUP($A1146, 'Medical Examinations'!A:H, 8, FALSE)</f>
        <v>No</v>
      </c>
      <c r="H1146" t="str">
        <f>VLOOKUP($A1146, 'Medical Examinations'!A:J, 10, FALSE)</f>
        <v>No major surgery</v>
      </c>
      <c r="I1146" t="str">
        <f>VLOOKUP($A1146, 'Medical Examinations'!A:K, 11, FALSE)</f>
        <v>No</v>
      </c>
      <c r="J1146" t="str">
        <f>VLOOKUP($A1146, 'Medical Examinations'!A:B, 2, FALSE)</f>
        <v>Normal Weight</v>
      </c>
      <c r="K1146" t="str">
        <f>VLOOKUP($A1146, 'Medical Examinations'!A:D, 4, FALSE)</f>
        <v>Diabetes</v>
      </c>
    </row>
    <row r="1147" spans="1:11" ht="15.5" x14ac:dyDescent="0.35">
      <c r="A1147" s="1" t="s">
        <v>1225</v>
      </c>
      <c r="B1147" t="str">
        <f>VLOOKUP($A1147, 'Customer Names'!A:D, 3, FALSE)</f>
        <v>Mohara</v>
      </c>
      <c r="C1147">
        <f>VLOOKUP($A1147,'Medical Examinations'!A:C, 3, FALSE)</f>
        <v>31.6</v>
      </c>
      <c r="D1147" t="str">
        <f>VLOOKUP($A1147, 'Medical Examinations'!A:D, 4, FALSE)</f>
        <v>Diabetes</v>
      </c>
      <c r="E1147" t="str">
        <f>VLOOKUP($A1147, 'Medical Examinations'!A:F, 6, FALSE)</f>
        <v>No</v>
      </c>
      <c r="F1147" t="str">
        <f>VLOOKUP($A1147, 'Medical Examinations'!A:G, 7, FALSE)</f>
        <v>No</v>
      </c>
      <c r="G1147" t="str">
        <f>VLOOKUP($A1147, 'Medical Examinations'!A:H, 8, FALSE)</f>
        <v>No</v>
      </c>
      <c r="H1147" t="str">
        <f>VLOOKUP($A1147, 'Medical Examinations'!A:J, 10, FALSE)</f>
        <v>No major surgery</v>
      </c>
      <c r="I1147" t="str">
        <f>VLOOKUP($A1147, 'Medical Examinations'!A:K, 11, FALSE)</f>
        <v>No</v>
      </c>
      <c r="J1147" t="str">
        <f>VLOOKUP($A1147, 'Medical Examinations'!A:B, 2, FALSE)</f>
        <v>Obesity</v>
      </c>
      <c r="K1147" t="str">
        <f>VLOOKUP($A1147, 'Medical Examinations'!A:D, 4, FALSE)</f>
        <v>Diabetes</v>
      </c>
    </row>
    <row r="1148" spans="1:11" ht="15.5" x14ac:dyDescent="0.35">
      <c r="A1148" s="1" t="s">
        <v>1224</v>
      </c>
      <c r="B1148" t="str">
        <f>VLOOKUP($A1148, 'Customer Names'!A:D, 3, FALSE)</f>
        <v>Fairbrother</v>
      </c>
      <c r="C1148">
        <f>VLOOKUP($A1148,'Medical Examinations'!A:C, 3, FALSE)</f>
        <v>42.93</v>
      </c>
      <c r="D1148" t="str">
        <f>VLOOKUP($A1148, 'Medical Examinations'!A:D, 4, FALSE)</f>
        <v>Normal</v>
      </c>
      <c r="E1148" t="str">
        <f>VLOOKUP($A1148, 'Medical Examinations'!A:F, 6, FALSE)</f>
        <v>No</v>
      </c>
      <c r="F1148" t="str">
        <f>VLOOKUP($A1148, 'Medical Examinations'!A:G, 7, FALSE)</f>
        <v>No</v>
      </c>
      <c r="G1148" t="str">
        <f>VLOOKUP($A1148, 'Medical Examinations'!A:H, 8, FALSE)</f>
        <v>No</v>
      </c>
      <c r="H1148">
        <f>VLOOKUP($A1148, 'Medical Examinations'!A:J, 10, FALSE)</f>
        <v>1</v>
      </c>
      <c r="I1148" t="str">
        <f>VLOOKUP($A1148, 'Medical Examinations'!A:K, 11, FALSE)</f>
        <v>No</v>
      </c>
      <c r="J1148" t="str">
        <f>VLOOKUP($A1148, 'Medical Examinations'!A:B, 2, FALSE)</f>
        <v>Obesity</v>
      </c>
      <c r="K1148" t="str">
        <f>VLOOKUP($A1148, 'Medical Examinations'!A:D, 4, FALSE)</f>
        <v>Normal</v>
      </c>
    </row>
    <row r="1149" spans="1:11" ht="15.5" x14ac:dyDescent="0.35">
      <c r="A1149" s="1" t="s">
        <v>1223</v>
      </c>
      <c r="B1149" t="str">
        <f>VLOOKUP($A1149, 'Customer Names'!A:D, 3, FALSE)</f>
        <v>Fagan</v>
      </c>
      <c r="C1149">
        <f>VLOOKUP($A1149,'Medical Examinations'!A:C, 3, FALSE)</f>
        <v>26.72</v>
      </c>
      <c r="D1149" t="str">
        <f>VLOOKUP($A1149, 'Medical Examinations'!A:D, 4, FALSE)</f>
        <v>Prediabetes</v>
      </c>
      <c r="E1149" t="str">
        <f>VLOOKUP($A1149, 'Medical Examinations'!A:F, 6, FALSE)</f>
        <v>No</v>
      </c>
      <c r="F1149" t="str">
        <f>VLOOKUP($A1149, 'Medical Examinations'!A:G, 7, FALSE)</f>
        <v>No</v>
      </c>
      <c r="G1149" t="str">
        <f>VLOOKUP($A1149, 'Medical Examinations'!A:H, 8, FALSE)</f>
        <v>No</v>
      </c>
      <c r="H1149">
        <f>VLOOKUP($A1149, 'Medical Examinations'!A:J, 10, FALSE)</f>
        <v>2</v>
      </c>
      <c r="I1149" t="str">
        <f>VLOOKUP($A1149, 'Medical Examinations'!A:K, 11, FALSE)</f>
        <v>No</v>
      </c>
      <c r="J1149" t="str">
        <f>VLOOKUP($A1149, 'Medical Examinations'!A:B, 2, FALSE)</f>
        <v>Overweight</v>
      </c>
      <c r="K1149" t="str">
        <f>VLOOKUP($A1149, 'Medical Examinations'!A:D, 4, FALSE)</f>
        <v>Prediabetes</v>
      </c>
    </row>
    <row r="1150" spans="1:11" ht="15.5" x14ac:dyDescent="0.35">
      <c r="A1150" s="1" t="s">
        <v>1222</v>
      </c>
      <c r="B1150" t="str">
        <f>VLOOKUP($A1150, 'Customer Names'!A:D, 3, FALSE)</f>
        <v>Toth</v>
      </c>
      <c r="C1150">
        <f>VLOOKUP($A1150,'Medical Examinations'!A:C, 3, FALSE)</f>
        <v>26.67</v>
      </c>
      <c r="D1150" t="str">
        <f>VLOOKUP($A1150, 'Medical Examinations'!A:D, 4, FALSE)</f>
        <v>Prediabetes</v>
      </c>
      <c r="E1150" t="str">
        <f>VLOOKUP($A1150, 'Medical Examinations'!A:F, 6, FALSE)</f>
        <v>No</v>
      </c>
      <c r="F1150" t="str">
        <f>VLOOKUP($A1150, 'Medical Examinations'!A:G, 7, FALSE)</f>
        <v>No</v>
      </c>
      <c r="G1150" t="str">
        <f>VLOOKUP($A1150, 'Medical Examinations'!A:H, 8, FALSE)</f>
        <v>No</v>
      </c>
      <c r="H1150">
        <f>VLOOKUP($A1150, 'Medical Examinations'!A:J, 10, FALSE)</f>
        <v>2</v>
      </c>
      <c r="I1150" t="str">
        <f>VLOOKUP($A1150, 'Medical Examinations'!A:K, 11, FALSE)</f>
        <v>No</v>
      </c>
      <c r="J1150" t="str">
        <f>VLOOKUP($A1150, 'Medical Examinations'!A:B, 2, FALSE)</f>
        <v>Overweight</v>
      </c>
      <c r="K1150" t="str">
        <f>VLOOKUP($A1150, 'Medical Examinations'!A:D, 4, FALSE)</f>
        <v>Prediabetes</v>
      </c>
    </row>
    <row r="1151" spans="1:11" ht="15.5" x14ac:dyDescent="0.35">
      <c r="A1151" s="1" t="s">
        <v>1221</v>
      </c>
      <c r="B1151" t="str">
        <f>VLOOKUP($A1151, 'Customer Names'!A:D, 3, FALSE)</f>
        <v>Guinn</v>
      </c>
      <c r="C1151">
        <f>VLOOKUP($A1151,'Medical Examinations'!A:C, 3, FALSE)</f>
        <v>42.68</v>
      </c>
      <c r="D1151" t="str">
        <f>VLOOKUP($A1151, 'Medical Examinations'!A:D, 4, FALSE)</f>
        <v>Diabetes</v>
      </c>
      <c r="E1151" t="str">
        <f>VLOOKUP($A1151, 'Medical Examinations'!A:F, 6, FALSE)</f>
        <v>No</v>
      </c>
      <c r="F1151" t="str">
        <f>VLOOKUP($A1151, 'Medical Examinations'!A:G, 7, FALSE)</f>
        <v>No</v>
      </c>
      <c r="G1151" t="str">
        <f>VLOOKUP($A1151, 'Medical Examinations'!A:H, 8, FALSE)</f>
        <v>No</v>
      </c>
      <c r="H1151">
        <f>VLOOKUP($A1151, 'Medical Examinations'!A:J, 10, FALSE)</f>
        <v>2</v>
      </c>
      <c r="I1151" t="str">
        <f>VLOOKUP($A1151, 'Medical Examinations'!A:K, 11, FALSE)</f>
        <v>No</v>
      </c>
      <c r="J1151" t="str">
        <f>VLOOKUP($A1151, 'Medical Examinations'!A:B, 2, FALSE)</f>
        <v>Obesity</v>
      </c>
      <c r="K1151" t="str">
        <f>VLOOKUP($A1151, 'Medical Examinations'!A:D, 4, FALSE)</f>
        <v>Diabetes</v>
      </c>
    </row>
    <row r="1152" spans="1:11" ht="15.5" x14ac:dyDescent="0.35">
      <c r="A1152" s="1" t="s">
        <v>1220</v>
      </c>
      <c r="B1152" t="str">
        <f>VLOOKUP($A1152, 'Customer Names'!A:D, 3, FALSE)</f>
        <v>Rogers</v>
      </c>
      <c r="C1152">
        <f>VLOOKUP($A1152,'Medical Examinations'!A:C, 3, FALSE)</f>
        <v>24.31</v>
      </c>
      <c r="D1152" t="str">
        <f>VLOOKUP($A1152, 'Medical Examinations'!A:D, 4, FALSE)</f>
        <v>Prediabetes</v>
      </c>
      <c r="E1152" t="str">
        <f>VLOOKUP($A1152, 'Medical Examinations'!A:F, 6, FALSE)</f>
        <v>No</v>
      </c>
      <c r="F1152" t="str">
        <f>VLOOKUP($A1152, 'Medical Examinations'!A:G, 7, FALSE)</f>
        <v>No</v>
      </c>
      <c r="G1152" t="str">
        <f>VLOOKUP($A1152, 'Medical Examinations'!A:H, 8, FALSE)</f>
        <v>No</v>
      </c>
      <c r="H1152" t="str">
        <f>VLOOKUP($A1152, 'Medical Examinations'!A:J, 10, FALSE)</f>
        <v>No major surgery</v>
      </c>
      <c r="I1152" t="str">
        <f>VLOOKUP($A1152, 'Medical Examinations'!A:K, 11, FALSE)</f>
        <v>No</v>
      </c>
      <c r="J1152" t="str">
        <f>VLOOKUP($A1152, 'Medical Examinations'!A:B, 2, FALSE)</f>
        <v>Normal Weight</v>
      </c>
      <c r="K1152" t="str">
        <f>VLOOKUP($A1152, 'Medical Examinations'!A:D, 4, FALSE)</f>
        <v>Prediabetes</v>
      </c>
    </row>
    <row r="1153" spans="1:11" ht="15.5" x14ac:dyDescent="0.35">
      <c r="A1153" s="1" t="s">
        <v>1219</v>
      </c>
      <c r="B1153" t="str">
        <f>VLOOKUP($A1153, 'Customer Names'!A:D, 3, FALSE)</f>
        <v>Diviney</v>
      </c>
      <c r="C1153">
        <f>VLOOKUP($A1153,'Medical Examinations'!A:C, 3, FALSE)</f>
        <v>44.75</v>
      </c>
      <c r="D1153" t="str">
        <f>VLOOKUP($A1153, 'Medical Examinations'!A:D, 4, FALSE)</f>
        <v>Normal</v>
      </c>
      <c r="E1153" t="str">
        <f>VLOOKUP($A1153, 'Medical Examinations'!A:F, 6, FALSE)</f>
        <v>yes</v>
      </c>
      <c r="F1153" t="str">
        <f>VLOOKUP($A1153, 'Medical Examinations'!A:G, 7, FALSE)</f>
        <v>No</v>
      </c>
      <c r="G1153" t="str">
        <f>VLOOKUP($A1153, 'Medical Examinations'!A:H, 8, FALSE)</f>
        <v>No</v>
      </c>
      <c r="H1153" t="str">
        <f>VLOOKUP($A1153, 'Medical Examinations'!A:J, 10, FALSE)</f>
        <v>No major surgery</v>
      </c>
      <c r="I1153" t="str">
        <f>VLOOKUP($A1153, 'Medical Examinations'!A:K, 11, FALSE)</f>
        <v>No</v>
      </c>
      <c r="J1153" t="str">
        <f>VLOOKUP($A1153, 'Medical Examinations'!A:B, 2, FALSE)</f>
        <v>Obesity</v>
      </c>
      <c r="K1153" t="str">
        <f>VLOOKUP($A1153, 'Medical Examinations'!A:D, 4, FALSE)</f>
        <v>Normal</v>
      </c>
    </row>
    <row r="1154" spans="1:11" ht="15.5" x14ac:dyDescent="0.35">
      <c r="A1154" s="1" t="s">
        <v>1218</v>
      </c>
      <c r="B1154" t="str">
        <f>VLOOKUP($A1154, 'Customer Names'!A:D, 3, FALSE)</f>
        <v>Marlatt</v>
      </c>
      <c r="C1154">
        <f>VLOOKUP($A1154,'Medical Examinations'!A:C, 3, FALSE)</f>
        <v>30.78</v>
      </c>
      <c r="D1154" t="str">
        <f>VLOOKUP($A1154, 'Medical Examinations'!A:D, 4, FALSE)</f>
        <v>Diabetes</v>
      </c>
      <c r="E1154" t="str">
        <f>VLOOKUP($A1154, 'Medical Examinations'!A:F, 6, FALSE)</f>
        <v>No</v>
      </c>
      <c r="F1154" t="str">
        <f>VLOOKUP($A1154, 'Medical Examinations'!A:G, 7, FALSE)</f>
        <v>No</v>
      </c>
      <c r="G1154" t="str">
        <f>VLOOKUP($A1154, 'Medical Examinations'!A:H, 8, FALSE)</f>
        <v>No</v>
      </c>
      <c r="H1154">
        <f>VLOOKUP($A1154, 'Medical Examinations'!A:J, 10, FALSE)</f>
        <v>2</v>
      </c>
      <c r="I1154" t="str">
        <f>VLOOKUP($A1154, 'Medical Examinations'!A:K, 11, FALSE)</f>
        <v>No</v>
      </c>
      <c r="J1154" t="str">
        <f>VLOOKUP($A1154, 'Medical Examinations'!A:B, 2, FALSE)</f>
        <v>Obesity</v>
      </c>
      <c r="K1154" t="str">
        <f>VLOOKUP($A1154, 'Medical Examinations'!A:D, 4, FALSE)</f>
        <v>Diabetes</v>
      </c>
    </row>
    <row r="1155" spans="1:11" ht="15.5" x14ac:dyDescent="0.35">
      <c r="A1155" s="1" t="s">
        <v>1217</v>
      </c>
      <c r="B1155" t="str">
        <f>VLOOKUP($A1155, 'Customer Names'!A:D, 3, FALSE)</f>
        <v>Ohler</v>
      </c>
      <c r="C1155">
        <f>VLOOKUP($A1155,'Medical Examinations'!A:C, 3, FALSE)</f>
        <v>21.86</v>
      </c>
      <c r="D1155" t="str">
        <f>VLOOKUP($A1155, 'Medical Examinations'!A:D, 4, FALSE)</f>
        <v>Diabetes</v>
      </c>
      <c r="E1155" t="str">
        <f>VLOOKUP($A1155, 'Medical Examinations'!A:F, 6, FALSE)</f>
        <v>No</v>
      </c>
      <c r="F1155" t="str">
        <f>VLOOKUP($A1155, 'Medical Examinations'!A:G, 7, FALSE)</f>
        <v>No</v>
      </c>
      <c r="G1155" t="str">
        <f>VLOOKUP($A1155, 'Medical Examinations'!A:H, 8, FALSE)</f>
        <v>No</v>
      </c>
      <c r="H1155" t="str">
        <f>VLOOKUP($A1155, 'Medical Examinations'!A:J, 10, FALSE)</f>
        <v>No major surgery</v>
      </c>
      <c r="I1155" t="str">
        <f>VLOOKUP($A1155, 'Medical Examinations'!A:K, 11, FALSE)</f>
        <v>No</v>
      </c>
      <c r="J1155" t="str">
        <f>VLOOKUP($A1155, 'Medical Examinations'!A:B, 2, FALSE)</f>
        <v>Normal Weight</v>
      </c>
      <c r="K1155" t="str">
        <f>VLOOKUP($A1155, 'Medical Examinations'!A:D, 4, FALSE)</f>
        <v>Diabetes</v>
      </c>
    </row>
    <row r="1156" spans="1:11" ht="15.5" x14ac:dyDescent="0.35">
      <c r="A1156" s="1" t="s">
        <v>1216</v>
      </c>
      <c r="B1156" t="str">
        <f>VLOOKUP($A1156, 'Customer Names'!A:D, 3, FALSE)</f>
        <v>Mossler</v>
      </c>
      <c r="C1156">
        <f>VLOOKUP($A1156,'Medical Examinations'!A:C, 3, FALSE)</f>
        <v>49.09</v>
      </c>
      <c r="D1156" t="str">
        <f>VLOOKUP($A1156, 'Medical Examinations'!A:D, 4, FALSE)</f>
        <v>Prediabetes</v>
      </c>
      <c r="E1156" t="str">
        <f>VLOOKUP($A1156, 'Medical Examinations'!A:F, 6, FALSE)</f>
        <v>yes</v>
      </c>
      <c r="F1156" t="str">
        <f>VLOOKUP($A1156, 'Medical Examinations'!A:G, 7, FALSE)</f>
        <v>No</v>
      </c>
      <c r="G1156" t="str">
        <f>VLOOKUP($A1156, 'Medical Examinations'!A:H, 8, FALSE)</f>
        <v>No</v>
      </c>
      <c r="H1156" t="str">
        <f>VLOOKUP($A1156, 'Medical Examinations'!A:J, 10, FALSE)</f>
        <v>No major surgery</v>
      </c>
      <c r="I1156" t="str">
        <f>VLOOKUP($A1156, 'Medical Examinations'!A:K, 11, FALSE)</f>
        <v>No</v>
      </c>
      <c r="J1156" t="str">
        <f>VLOOKUP($A1156, 'Medical Examinations'!A:B, 2, FALSE)</f>
        <v>Obesity</v>
      </c>
      <c r="K1156" t="str">
        <f>VLOOKUP($A1156, 'Medical Examinations'!A:D, 4, FALSE)</f>
        <v>Prediabetes</v>
      </c>
    </row>
    <row r="1157" spans="1:11" ht="15.5" x14ac:dyDescent="0.35">
      <c r="A1157" s="1" t="s">
        <v>1215</v>
      </c>
      <c r="B1157" t="str">
        <f>VLOOKUP($A1157, 'Customer Names'!A:D, 3, FALSE)</f>
        <v>Segall</v>
      </c>
      <c r="C1157">
        <f>VLOOKUP($A1157,'Medical Examinations'!A:C, 3, FALSE)</f>
        <v>47.74</v>
      </c>
      <c r="D1157" t="str">
        <f>VLOOKUP($A1157, 'Medical Examinations'!A:D, 4, FALSE)</f>
        <v>Diabetes</v>
      </c>
      <c r="E1157" t="str">
        <f>VLOOKUP($A1157, 'Medical Examinations'!A:F, 6, FALSE)</f>
        <v>yes</v>
      </c>
      <c r="F1157" t="str">
        <f>VLOOKUP($A1157, 'Medical Examinations'!A:G, 7, FALSE)</f>
        <v>No</v>
      </c>
      <c r="G1157" t="str">
        <f>VLOOKUP($A1157, 'Medical Examinations'!A:H, 8, FALSE)</f>
        <v>No</v>
      </c>
      <c r="H1157">
        <f>VLOOKUP($A1157, 'Medical Examinations'!A:J, 10, FALSE)</f>
        <v>2</v>
      </c>
      <c r="I1157" t="str">
        <f>VLOOKUP($A1157, 'Medical Examinations'!A:K, 11, FALSE)</f>
        <v>No</v>
      </c>
      <c r="J1157" t="str">
        <f>VLOOKUP($A1157, 'Medical Examinations'!A:B, 2, FALSE)</f>
        <v>Obesity</v>
      </c>
      <c r="K1157" t="str">
        <f>VLOOKUP($A1157, 'Medical Examinations'!A:D, 4, FALSE)</f>
        <v>Diabetes</v>
      </c>
    </row>
    <row r="1158" spans="1:11" ht="15.5" x14ac:dyDescent="0.35">
      <c r="A1158" s="1" t="s">
        <v>1214</v>
      </c>
      <c r="B1158" t="str">
        <f>VLOOKUP($A1158, 'Customer Names'!A:D, 3, FALSE)</f>
        <v>Sprieser</v>
      </c>
      <c r="C1158">
        <f>VLOOKUP($A1158,'Medical Examinations'!A:C, 3, FALSE)</f>
        <v>30.2</v>
      </c>
      <c r="D1158" t="str">
        <f>VLOOKUP($A1158, 'Medical Examinations'!A:D, 4, FALSE)</f>
        <v>Diabetes</v>
      </c>
      <c r="E1158" t="str">
        <f>VLOOKUP($A1158, 'Medical Examinations'!A:F, 6, FALSE)</f>
        <v>yes</v>
      </c>
      <c r="F1158" t="str">
        <f>VLOOKUP($A1158, 'Medical Examinations'!A:G, 7, FALSE)</f>
        <v>No</v>
      </c>
      <c r="G1158" t="str">
        <f>VLOOKUP($A1158, 'Medical Examinations'!A:H, 8, FALSE)</f>
        <v>No</v>
      </c>
      <c r="H1158">
        <f>VLOOKUP($A1158, 'Medical Examinations'!A:J, 10, FALSE)</f>
        <v>2</v>
      </c>
      <c r="I1158" t="str">
        <f>VLOOKUP($A1158, 'Medical Examinations'!A:K, 11, FALSE)</f>
        <v>No</v>
      </c>
      <c r="J1158" t="str">
        <f>VLOOKUP($A1158, 'Medical Examinations'!A:B, 2, FALSE)</f>
        <v>Obesity</v>
      </c>
      <c r="K1158" t="str">
        <f>VLOOKUP($A1158, 'Medical Examinations'!A:D, 4, FALSE)</f>
        <v>Diabetes</v>
      </c>
    </row>
    <row r="1159" spans="1:11" ht="15.5" x14ac:dyDescent="0.35">
      <c r="A1159" s="1" t="s">
        <v>1213</v>
      </c>
      <c r="B1159" t="str">
        <f>VLOOKUP($A1159, 'Customer Names'!A:D, 3, FALSE)</f>
        <v>Blanco</v>
      </c>
      <c r="C1159">
        <f>VLOOKUP($A1159,'Medical Examinations'!A:C, 3, FALSE)</f>
        <v>33.25</v>
      </c>
      <c r="D1159" t="str">
        <f>VLOOKUP($A1159, 'Medical Examinations'!A:D, 4, FALSE)</f>
        <v>Diabetes</v>
      </c>
      <c r="E1159" t="str">
        <f>VLOOKUP($A1159, 'Medical Examinations'!A:F, 6, FALSE)</f>
        <v>yes</v>
      </c>
      <c r="F1159" t="str">
        <f>VLOOKUP($A1159, 'Medical Examinations'!A:G, 7, FALSE)</f>
        <v>No</v>
      </c>
      <c r="G1159" t="str">
        <f>VLOOKUP($A1159, 'Medical Examinations'!A:H, 8, FALSE)</f>
        <v>No</v>
      </c>
      <c r="H1159">
        <f>VLOOKUP($A1159, 'Medical Examinations'!A:J, 10, FALSE)</f>
        <v>2</v>
      </c>
      <c r="I1159" t="str">
        <f>VLOOKUP($A1159, 'Medical Examinations'!A:K, 11, FALSE)</f>
        <v>No</v>
      </c>
      <c r="J1159" t="str">
        <f>VLOOKUP($A1159, 'Medical Examinations'!A:B, 2, FALSE)</f>
        <v>Obesity</v>
      </c>
      <c r="K1159" t="str">
        <f>VLOOKUP($A1159, 'Medical Examinations'!A:D, 4, FALSE)</f>
        <v>Diabetes</v>
      </c>
    </row>
    <row r="1160" spans="1:11" ht="15.5" x14ac:dyDescent="0.35">
      <c r="A1160" s="1" t="s">
        <v>1212</v>
      </c>
      <c r="B1160" t="str">
        <f>VLOOKUP($A1160, 'Customer Names'!A:D, 3, FALSE)</f>
        <v>Sheptock</v>
      </c>
      <c r="C1160">
        <f>VLOOKUP($A1160,'Medical Examinations'!A:C, 3, FALSE)</f>
        <v>26.6</v>
      </c>
      <c r="D1160" t="str">
        <f>VLOOKUP($A1160, 'Medical Examinations'!A:D, 4, FALSE)</f>
        <v>Diabetes</v>
      </c>
      <c r="E1160" t="str">
        <f>VLOOKUP($A1160, 'Medical Examinations'!A:F, 6, FALSE)</f>
        <v>yes</v>
      </c>
      <c r="F1160" t="str">
        <f>VLOOKUP($A1160, 'Medical Examinations'!A:G, 7, FALSE)</f>
        <v>No</v>
      </c>
      <c r="G1160" t="str">
        <f>VLOOKUP($A1160, 'Medical Examinations'!A:H, 8, FALSE)</f>
        <v>No</v>
      </c>
      <c r="H1160">
        <f>VLOOKUP($A1160, 'Medical Examinations'!A:J, 10, FALSE)</f>
        <v>1</v>
      </c>
      <c r="I1160" t="str">
        <f>VLOOKUP($A1160, 'Medical Examinations'!A:K, 11, FALSE)</f>
        <v>No</v>
      </c>
      <c r="J1160" t="str">
        <f>VLOOKUP($A1160, 'Medical Examinations'!A:B, 2, FALSE)</f>
        <v>Overweight</v>
      </c>
      <c r="K1160" t="str">
        <f>VLOOKUP($A1160, 'Medical Examinations'!A:D, 4, FALSE)</f>
        <v>Diabetes</v>
      </c>
    </row>
    <row r="1161" spans="1:11" ht="15.5" x14ac:dyDescent="0.35">
      <c r="A1161" s="1" t="s">
        <v>1211</v>
      </c>
      <c r="B1161" t="str">
        <f>VLOOKUP($A1161, 'Customer Names'!A:D, 3, FALSE)</f>
        <v>Chruniak</v>
      </c>
      <c r="C1161">
        <f>VLOOKUP($A1161,'Medical Examinations'!A:C, 3, FALSE)</f>
        <v>26.35</v>
      </c>
      <c r="D1161" t="str">
        <f>VLOOKUP($A1161, 'Medical Examinations'!A:D, 4, FALSE)</f>
        <v>Prediabetes</v>
      </c>
      <c r="E1161" t="str">
        <f>VLOOKUP($A1161, 'Medical Examinations'!A:F, 6, FALSE)</f>
        <v>No</v>
      </c>
      <c r="F1161" t="str">
        <f>VLOOKUP($A1161, 'Medical Examinations'!A:G, 7, FALSE)</f>
        <v>No</v>
      </c>
      <c r="G1161" t="str">
        <f>VLOOKUP($A1161, 'Medical Examinations'!A:H, 8, FALSE)</f>
        <v>No</v>
      </c>
      <c r="H1161">
        <f>VLOOKUP($A1161, 'Medical Examinations'!A:J, 10, FALSE)</f>
        <v>2</v>
      </c>
      <c r="I1161" t="str">
        <f>VLOOKUP($A1161, 'Medical Examinations'!A:K, 11, FALSE)</f>
        <v>No</v>
      </c>
      <c r="J1161" t="str">
        <f>VLOOKUP($A1161, 'Medical Examinations'!A:B, 2, FALSE)</f>
        <v>Overweight</v>
      </c>
      <c r="K1161" t="str">
        <f>VLOOKUP($A1161, 'Medical Examinations'!A:D, 4, FALSE)</f>
        <v>Prediabetes</v>
      </c>
    </row>
    <row r="1162" spans="1:11" ht="15.5" x14ac:dyDescent="0.35">
      <c r="A1162" s="1" t="s">
        <v>1210</v>
      </c>
      <c r="B1162" t="str">
        <f>VLOOKUP($A1162, 'Customer Names'!A:D, 3, FALSE)</f>
        <v>Miller</v>
      </c>
      <c r="C1162">
        <f>VLOOKUP($A1162,'Medical Examinations'!A:C, 3, FALSE)</f>
        <v>39.994999999999997</v>
      </c>
      <c r="D1162" t="str">
        <f>VLOOKUP($A1162, 'Medical Examinations'!A:D, 4, FALSE)</f>
        <v>Normal</v>
      </c>
      <c r="E1162" t="str">
        <f>VLOOKUP($A1162, 'Medical Examinations'!A:F, 6, FALSE)</f>
        <v>No</v>
      </c>
      <c r="F1162" t="str">
        <f>VLOOKUP($A1162, 'Medical Examinations'!A:G, 7, FALSE)</f>
        <v>No</v>
      </c>
      <c r="G1162" t="str">
        <f>VLOOKUP($A1162, 'Medical Examinations'!A:H, 8, FALSE)</f>
        <v>No</v>
      </c>
      <c r="H1162" t="str">
        <f>VLOOKUP($A1162, 'Medical Examinations'!A:J, 10, FALSE)</f>
        <v>No major surgery</v>
      </c>
      <c r="I1162" t="str">
        <f>VLOOKUP($A1162, 'Medical Examinations'!A:K, 11, FALSE)</f>
        <v>No</v>
      </c>
      <c r="J1162" t="str">
        <f>VLOOKUP($A1162, 'Medical Examinations'!A:B, 2, FALSE)</f>
        <v>Obesity</v>
      </c>
      <c r="K1162" t="str">
        <f>VLOOKUP($A1162, 'Medical Examinations'!A:D, 4, FALSE)</f>
        <v>Normal</v>
      </c>
    </row>
    <row r="1163" spans="1:11" ht="15.5" x14ac:dyDescent="0.35">
      <c r="A1163" s="1" t="s">
        <v>1209</v>
      </c>
      <c r="B1163" t="str">
        <f>VLOOKUP($A1163, 'Customer Names'!A:D, 3, FALSE)</f>
        <v>Theis</v>
      </c>
      <c r="C1163">
        <f>VLOOKUP($A1163,'Medical Examinations'!A:C, 3, FALSE)</f>
        <v>22.92</v>
      </c>
      <c r="D1163" t="str">
        <f>VLOOKUP($A1163, 'Medical Examinations'!A:D, 4, FALSE)</f>
        <v>Prediabetes</v>
      </c>
      <c r="E1163" t="str">
        <f>VLOOKUP($A1163, 'Medical Examinations'!A:F, 6, FALSE)</f>
        <v>yes</v>
      </c>
      <c r="F1163" t="str">
        <f>VLOOKUP($A1163, 'Medical Examinations'!A:G, 7, FALSE)</f>
        <v>No</v>
      </c>
      <c r="G1163" t="str">
        <f>VLOOKUP($A1163, 'Medical Examinations'!A:H, 8, FALSE)</f>
        <v>No</v>
      </c>
      <c r="H1163">
        <f>VLOOKUP($A1163, 'Medical Examinations'!A:J, 10, FALSE)</f>
        <v>1</v>
      </c>
      <c r="I1163" t="str">
        <f>VLOOKUP($A1163, 'Medical Examinations'!A:K, 11, FALSE)</f>
        <v>No</v>
      </c>
      <c r="J1163" t="str">
        <f>VLOOKUP($A1163, 'Medical Examinations'!A:B, 2, FALSE)</f>
        <v>Normal Weight</v>
      </c>
      <c r="K1163" t="str">
        <f>VLOOKUP($A1163, 'Medical Examinations'!A:D, 4, FALSE)</f>
        <v>Prediabetes</v>
      </c>
    </row>
    <row r="1164" spans="1:11" ht="15.5" x14ac:dyDescent="0.35">
      <c r="A1164" s="1" t="s">
        <v>1208</v>
      </c>
      <c r="B1164" t="str">
        <f>VLOOKUP($A1164, 'Customer Names'!A:D, 3, FALSE)</f>
        <v>Sadler</v>
      </c>
      <c r="C1164">
        <f>VLOOKUP($A1164,'Medical Examinations'!A:C, 3, FALSE)</f>
        <v>24.78</v>
      </c>
      <c r="D1164" t="str">
        <f>VLOOKUP($A1164, 'Medical Examinations'!A:D, 4, FALSE)</f>
        <v>Normal</v>
      </c>
      <c r="E1164" t="str">
        <f>VLOOKUP($A1164, 'Medical Examinations'!A:F, 6, FALSE)</f>
        <v>yes</v>
      </c>
      <c r="F1164" t="str">
        <f>VLOOKUP($A1164, 'Medical Examinations'!A:G, 7, FALSE)</f>
        <v>No</v>
      </c>
      <c r="G1164" t="str">
        <f>VLOOKUP($A1164, 'Medical Examinations'!A:H, 8, FALSE)</f>
        <v>No</v>
      </c>
      <c r="H1164">
        <f>VLOOKUP($A1164, 'Medical Examinations'!A:J, 10, FALSE)</f>
        <v>2</v>
      </c>
      <c r="I1164" t="str">
        <f>VLOOKUP($A1164, 'Medical Examinations'!A:K, 11, FALSE)</f>
        <v>No</v>
      </c>
      <c r="J1164" t="str">
        <f>VLOOKUP($A1164, 'Medical Examinations'!A:B, 2, FALSE)</f>
        <v>Normal Weight</v>
      </c>
      <c r="K1164" t="str">
        <f>VLOOKUP($A1164, 'Medical Examinations'!A:D, 4, FALSE)</f>
        <v>Normal</v>
      </c>
    </row>
    <row r="1165" spans="1:11" ht="15.5" x14ac:dyDescent="0.35">
      <c r="A1165" s="1" t="s">
        <v>1207</v>
      </c>
      <c r="B1165" t="str">
        <f>VLOOKUP($A1165, 'Customer Names'!A:D, 3, FALSE)</f>
        <v>Auger</v>
      </c>
      <c r="C1165">
        <f>VLOOKUP($A1165,'Medical Examinations'!A:C, 3, FALSE)</f>
        <v>34.07</v>
      </c>
      <c r="D1165" t="str">
        <f>VLOOKUP($A1165, 'Medical Examinations'!A:D, 4, FALSE)</f>
        <v>Diabetes</v>
      </c>
      <c r="E1165" t="str">
        <f>VLOOKUP($A1165, 'Medical Examinations'!A:F, 6, FALSE)</f>
        <v>yes</v>
      </c>
      <c r="F1165" t="str">
        <f>VLOOKUP($A1165, 'Medical Examinations'!A:G, 7, FALSE)</f>
        <v>No</v>
      </c>
      <c r="G1165" t="str">
        <f>VLOOKUP($A1165, 'Medical Examinations'!A:H, 8, FALSE)</f>
        <v>No</v>
      </c>
      <c r="H1165" t="str">
        <f>VLOOKUP($A1165, 'Medical Examinations'!A:J, 10, FALSE)</f>
        <v>No major surgery</v>
      </c>
      <c r="I1165" t="str">
        <f>VLOOKUP($A1165, 'Medical Examinations'!A:K, 11, FALSE)</f>
        <v>No</v>
      </c>
      <c r="J1165" t="str">
        <f>VLOOKUP($A1165, 'Medical Examinations'!A:B, 2, FALSE)</f>
        <v>Obesity</v>
      </c>
      <c r="K1165" t="str">
        <f>VLOOKUP($A1165, 'Medical Examinations'!A:D, 4, FALSE)</f>
        <v>Diabetes</v>
      </c>
    </row>
    <row r="1166" spans="1:11" ht="15.5" x14ac:dyDescent="0.35">
      <c r="A1166" s="1" t="s">
        <v>1206</v>
      </c>
      <c r="B1166" t="str">
        <f>VLOOKUP($A1166, 'Customer Names'!A:D, 3, FALSE)</f>
        <v>Steadman</v>
      </c>
      <c r="C1166">
        <f>VLOOKUP($A1166,'Medical Examinations'!A:C, 3, FALSE)</f>
        <v>30.14</v>
      </c>
      <c r="D1166" t="str">
        <f>VLOOKUP($A1166, 'Medical Examinations'!A:D, 4, FALSE)</f>
        <v>Diabetes</v>
      </c>
      <c r="E1166" t="str">
        <f>VLOOKUP($A1166, 'Medical Examinations'!A:F, 6, FALSE)</f>
        <v>No</v>
      </c>
      <c r="F1166" t="str">
        <f>VLOOKUP($A1166, 'Medical Examinations'!A:G, 7, FALSE)</f>
        <v>No</v>
      </c>
      <c r="G1166" t="str">
        <f>VLOOKUP($A1166, 'Medical Examinations'!A:H, 8, FALSE)</f>
        <v>No</v>
      </c>
      <c r="H1166" t="str">
        <f>VLOOKUP($A1166, 'Medical Examinations'!A:J, 10, FALSE)</f>
        <v>No major surgery</v>
      </c>
      <c r="I1166" t="str">
        <f>VLOOKUP($A1166, 'Medical Examinations'!A:K, 11, FALSE)</f>
        <v>No</v>
      </c>
      <c r="J1166" t="str">
        <f>VLOOKUP($A1166, 'Medical Examinations'!A:B, 2, FALSE)</f>
        <v>Obesity</v>
      </c>
      <c r="K1166" t="str">
        <f>VLOOKUP($A1166, 'Medical Examinations'!A:D, 4, FALSE)</f>
        <v>Diabetes</v>
      </c>
    </row>
    <row r="1167" spans="1:11" ht="15.5" x14ac:dyDescent="0.35">
      <c r="A1167" s="1" t="s">
        <v>1205</v>
      </c>
      <c r="B1167" t="str">
        <f>VLOOKUP($A1167, 'Customer Names'!A:D, 3, FALSE)</f>
        <v>McCarron</v>
      </c>
      <c r="C1167">
        <f>VLOOKUP($A1167,'Medical Examinations'!A:C, 3, FALSE)</f>
        <v>18.05</v>
      </c>
      <c r="D1167" t="str">
        <f>VLOOKUP($A1167, 'Medical Examinations'!A:D, 4, FALSE)</f>
        <v>Diabetes</v>
      </c>
      <c r="E1167" t="str">
        <f>VLOOKUP($A1167, 'Medical Examinations'!A:F, 6, FALSE)</f>
        <v>No</v>
      </c>
      <c r="F1167" t="str">
        <f>VLOOKUP($A1167, 'Medical Examinations'!A:G, 7, FALSE)</f>
        <v>No</v>
      </c>
      <c r="G1167" t="str">
        <f>VLOOKUP($A1167, 'Medical Examinations'!A:H, 8, FALSE)</f>
        <v>No</v>
      </c>
      <c r="H1167" t="str">
        <f>VLOOKUP($A1167, 'Medical Examinations'!A:J, 10, FALSE)</f>
        <v>No major surgery</v>
      </c>
      <c r="I1167" t="str">
        <f>VLOOKUP($A1167, 'Medical Examinations'!A:K, 11, FALSE)</f>
        <v>No</v>
      </c>
      <c r="J1167" t="str">
        <f>VLOOKUP($A1167, 'Medical Examinations'!A:B, 2, FALSE)</f>
        <v>Underweight</v>
      </c>
      <c r="K1167" t="str">
        <f>VLOOKUP($A1167, 'Medical Examinations'!A:D, 4, FALSE)</f>
        <v>Diabetes</v>
      </c>
    </row>
    <row r="1168" spans="1:11" ht="15.5" x14ac:dyDescent="0.35">
      <c r="A1168" s="1" t="s">
        <v>1204</v>
      </c>
      <c r="B1168" t="str">
        <f>VLOOKUP($A1168, 'Customer Names'!A:D, 3, FALSE)</f>
        <v>Roecker</v>
      </c>
      <c r="C1168">
        <f>VLOOKUP($A1168,'Medical Examinations'!A:C, 3, FALSE)</f>
        <v>37.4</v>
      </c>
      <c r="D1168" t="str">
        <f>VLOOKUP($A1168, 'Medical Examinations'!A:D, 4, FALSE)</f>
        <v>Diabetes</v>
      </c>
      <c r="E1168" t="str">
        <f>VLOOKUP($A1168, 'Medical Examinations'!A:F, 6, FALSE)</f>
        <v>yes</v>
      </c>
      <c r="F1168" t="str">
        <f>VLOOKUP($A1168, 'Medical Examinations'!A:G, 7, FALSE)</f>
        <v>No</v>
      </c>
      <c r="G1168" t="str">
        <f>VLOOKUP($A1168, 'Medical Examinations'!A:H, 8, FALSE)</f>
        <v>No</v>
      </c>
      <c r="H1168">
        <f>VLOOKUP($A1168, 'Medical Examinations'!A:J, 10, FALSE)</f>
        <v>2</v>
      </c>
      <c r="I1168" t="str">
        <f>VLOOKUP($A1168, 'Medical Examinations'!A:K, 11, FALSE)</f>
        <v>No</v>
      </c>
      <c r="J1168" t="str">
        <f>VLOOKUP($A1168, 'Medical Examinations'!A:B, 2, FALSE)</f>
        <v>Obesity</v>
      </c>
      <c r="K1168" t="str">
        <f>VLOOKUP($A1168, 'Medical Examinations'!A:D, 4, FALSE)</f>
        <v>Diabetes</v>
      </c>
    </row>
    <row r="1169" spans="1:11" ht="15.5" x14ac:dyDescent="0.35">
      <c r="A1169" s="1" t="s">
        <v>1203</v>
      </c>
      <c r="B1169" t="str">
        <f>VLOOKUP($A1169, 'Customer Names'!A:D, 3, FALSE)</f>
        <v>Giumarra</v>
      </c>
      <c r="C1169">
        <f>VLOOKUP($A1169,'Medical Examinations'!A:C, 3, FALSE)</f>
        <v>25.75</v>
      </c>
      <c r="D1169" t="str">
        <f>VLOOKUP($A1169, 'Medical Examinations'!A:D, 4, FALSE)</f>
        <v>Diabetes</v>
      </c>
      <c r="E1169" t="str">
        <f>VLOOKUP($A1169, 'Medical Examinations'!A:F, 6, FALSE)</f>
        <v>No</v>
      </c>
      <c r="F1169" t="str">
        <f>VLOOKUP($A1169, 'Medical Examinations'!A:G, 7, FALSE)</f>
        <v>No</v>
      </c>
      <c r="G1169" t="str">
        <f>VLOOKUP($A1169, 'Medical Examinations'!A:H, 8, FALSE)</f>
        <v>No</v>
      </c>
      <c r="H1169" t="str">
        <f>VLOOKUP($A1169, 'Medical Examinations'!A:J, 10, FALSE)</f>
        <v>No major surgery</v>
      </c>
      <c r="I1169" t="str">
        <f>VLOOKUP($A1169, 'Medical Examinations'!A:K, 11, FALSE)</f>
        <v>No</v>
      </c>
      <c r="J1169" t="str">
        <f>VLOOKUP($A1169, 'Medical Examinations'!A:B, 2, FALSE)</f>
        <v>Overweight</v>
      </c>
      <c r="K1169" t="str">
        <f>VLOOKUP($A1169, 'Medical Examinations'!A:D, 4, FALSE)</f>
        <v>Diabetes</v>
      </c>
    </row>
    <row r="1170" spans="1:11" ht="15.5" x14ac:dyDescent="0.35">
      <c r="A1170" s="1" t="s">
        <v>1202</v>
      </c>
      <c r="B1170" t="str">
        <f>VLOOKUP($A1170, 'Customer Names'!A:D, 3, FALSE)</f>
        <v>Peters</v>
      </c>
      <c r="C1170">
        <f>VLOOKUP($A1170,'Medical Examinations'!A:C, 3, FALSE)</f>
        <v>32.299999999999997</v>
      </c>
      <c r="D1170" t="str">
        <f>VLOOKUP($A1170, 'Medical Examinations'!A:D, 4, FALSE)</f>
        <v>Normal</v>
      </c>
      <c r="E1170" t="str">
        <f>VLOOKUP($A1170, 'Medical Examinations'!A:F, 6, FALSE)</f>
        <v>No</v>
      </c>
      <c r="F1170" t="str">
        <f>VLOOKUP($A1170, 'Medical Examinations'!A:G, 7, FALSE)</f>
        <v>No</v>
      </c>
      <c r="G1170" t="str">
        <f>VLOOKUP($A1170, 'Medical Examinations'!A:H, 8, FALSE)</f>
        <v>No</v>
      </c>
      <c r="H1170">
        <f>VLOOKUP($A1170, 'Medical Examinations'!A:J, 10, FALSE)</f>
        <v>2</v>
      </c>
      <c r="I1170" t="str">
        <f>VLOOKUP($A1170, 'Medical Examinations'!A:K, 11, FALSE)</f>
        <v>No</v>
      </c>
      <c r="J1170" t="str">
        <f>VLOOKUP($A1170, 'Medical Examinations'!A:B, 2, FALSE)</f>
        <v>Obesity</v>
      </c>
      <c r="K1170" t="str">
        <f>VLOOKUP($A1170, 'Medical Examinations'!A:D, 4, FALSE)</f>
        <v>Normal</v>
      </c>
    </row>
    <row r="1171" spans="1:11" ht="15.5" x14ac:dyDescent="0.35">
      <c r="A1171" s="1" t="s">
        <v>1201</v>
      </c>
      <c r="B1171" t="str">
        <f>VLOOKUP($A1171, 'Customer Names'!A:D, 3, FALSE)</f>
        <v>Bower</v>
      </c>
      <c r="C1171">
        <f>VLOOKUP($A1171,'Medical Examinations'!A:C, 3, FALSE)</f>
        <v>28.61</v>
      </c>
      <c r="D1171" t="str">
        <f>VLOOKUP($A1171, 'Medical Examinations'!A:D, 4, FALSE)</f>
        <v>Prediabetes</v>
      </c>
      <c r="E1171" t="str">
        <f>VLOOKUP($A1171, 'Medical Examinations'!A:F, 6, FALSE)</f>
        <v>No</v>
      </c>
      <c r="F1171" t="str">
        <f>VLOOKUP($A1171, 'Medical Examinations'!A:G, 7, FALSE)</f>
        <v>No</v>
      </c>
      <c r="G1171" t="str">
        <f>VLOOKUP($A1171, 'Medical Examinations'!A:H, 8, FALSE)</f>
        <v>Yes</v>
      </c>
      <c r="H1171">
        <f>VLOOKUP($A1171, 'Medical Examinations'!A:J, 10, FALSE)</f>
        <v>1</v>
      </c>
      <c r="I1171" t="str">
        <f>VLOOKUP($A1171, 'Medical Examinations'!A:K, 11, FALSE)</f>
        <v>No</v>
      </c>
      <c r="J1171" t="str">
        <f>VLOOKUP($A1171, 'Medical Examinations'!A:B, 2, FALSE)</f>
        <v>Overweight</v>
      </c>
      <c r="K1171" t="str">
        <f>VLOOKUP($A1171, 'Medical Examinations'!A:D, 4, FALSE)</f>
        <v>Prediabetes</v>
      </c>
    </row>
    <row r="1172" spans="1:11" ht="15.5" x14ac:dyDescent="0.35">
      <c r="A1172" s="1" t="s">
        <v>1200</v>
      </c>
      <c r="B1172" t="str">
        <f>VLOOKUP($A1172, 'Customer Names'!A:D, 3, FALSE)</f>
        <v>Chen</v>
      </c>
      <c r="C1172">
        <f>VLOOKUP($A1172,'Medical Examinations'!A:C, 3, FALSE)</f>
        <v>45.41</v>
      </c>
      <c r="D1172" t="str">
        <f>VLOOKUP($A1172, 'Medical Examinations'!A:D, 4, FALSE)</f>
        <v>Normal</v>
      </c>
      <c r="E1172" t="str">
        <f>VLOOKUP($A1172, 'Medical Examinations'!A:F, 6, FALSE)</f>
        <v>No</v>
      </c>
      <c r="F1172" t="str">
        <f>VLOOKUP($A1172, 'Medical Examinations'!A:G, 7, FALSE)</f>
        <v>No</v>
      </c>
      <c r="G1172" t="str">
        <f>VLOOKUP($A1172, 'Medical Examinations'!A:H, 8, FALSE)</f>
        <v>No</v>
      </c>
      <c r="H1172">
        <f>VLOOKUP($A1172, 'Medical Examinations'!A:J, 10, FALSE)</f>
        <v>1</v>
      </c>
      <c r="I1172" t="str">
        <f>VLOOKUP($A1172, 'Medical Examinations'!A:K, 11, FALSE)</f>
        <v>No</v>
      </c>
      <c r="J1172" t="str">
        <f>VLOOKUP($A1172, 'Medical Examinations'!A:B, 2, FALSE)</f>
        <v>Obesity</v>
      </c>
      <c r="K1172" t="str">
        <f>VLOOKUP($A1172, 'Medical Examinations'!A:D, 4, FALSE)</f>
        <v>Normal</v>
      </c>
    </row>
    <row r="1173" spans="1:11" ht="15.5" x14ac:dyDescent="0.35">
      <c r="A1173" s="1" t="s">
        <v>1199</v>
      </c>
      <c r="B1173" t="str">
        <f>VLOOKUP($A1173, 'Customer Names'!A:D, 3, FALSE)</f>
        <v>Capriccioso</v>
      </c>
      <c r="C1173">
        <f>VLOOKUP($A1173,'Medical Examinations'!A:C, 3, FALSE)</f>
        <v>31.2</v>
      </c>
      <c r="D1173" t="str">
        <f>VLOOKUP($A1173, 'Medical Examinations'!A:D, 4, FALSE)</f>
        <v>Diabetes</v>
      </c>
      <c r="E1173" t="str">
        <f>VLOOKUP($A1173, 'Medical Examinations'!A:F, 6, FALSE)</f>
        <v>yes</v>
      </c>
      <c r="F1173" t="str">
        <f>VLOOKUP($A1173, 'Medical Examinations'!A:G, 7, FALSE)</f>
        <v>No</v>
      </c>
      <c r="G1173" t="str">
        <f>VLOOKUP($A1173, 'Medical Examinations'!A:H, 8, FALSE)</f>
        <v>No</v>
      </c>
      <c r="H1173">
        <f>VLOOKUP($A1173, 'Medical Examinations'!A:J, 10, FALSE)</f>
        <v>2</v>
      </c>
      <c r="I1173" t="str">
        <f>VLOOKUP($A1173, 'Medical Examinations'!A:K, 11, FALSE)</f>
        <v>No</v>
      </c>
      <c r="J1173" t="str">
        <f>VLOOKUP($A1173, 'Medical Examinations'!A:B, 2, FALSE)</f>
        <v>Obesity</v>
      </c>
      <c r="K1173" t="str">
        <f>VLOOKUP($A1173, 'Medical Examinations'!A:D, 4, FALSE)</f>
        <v>Diabetes</v>
      </c>
    </row>
    <row r="1174" spans="1:11" ht="15.5" x14ac:dyDescent="0.35">
      <c r="A1174" s="1" t="s">
        <v>1198</v>
      </c>
      <c r="B1174" t="str">
        <f>VLOOKUP($A1174, 'Customer Names'!A:D, 3, FALSE)</f>
        <v>Starbuck</v>
      </c>
      <c r="C1174">
        <f>VLOOKUP($A1174,'Medical Examinations'!A:C, 3, FALSE)</f>
        <v>29.83</v>
      </c>
      <c r="D1174" t="str">
        <f>VLOOKUP($A1174, 'Medical Examinations'!A:D, 4, FALSE)</f>
        <v>Diabetes</v>
      </c>
      <c r="E1174" t="str">
        <f>VLOOKUP($A1174, 'Medical Examinations'!A:F, 6, FALSE)</f>
        <v>yes</v>
      </c>
      <c r="F1174" t="str">
        <f>VLOOKUP($A1174, 'Medical Examinations'!A:G, 7, FALSE)</f>
        <v>No</v>
      </c>
      <c r="G1174" t="str">
        <f>VLOOKUP($A1174, 'Medical Examinations'!A:H, 8, FALSE)</f>
        <v>No</v>
      </c>
      <c r="H1174">
        <f>VLOOKUP($A1174, 'Medical Examinations'!A:J, 10, FALSE)</f>
        <v>1</v>
      </c>
      <c r="I1174" t="str">
        <f>VLOOKUP($A1174, 'Medical Examinations'!A:K, 11, FALSE)</f>
        <v>No</v>
      </c>
      <c r="J1174" t="str">
        <f>VLOOKUP($A1174, 'Medical Examinations'!A:B, 2, FALSE)</f>
        <v>Overweight</v>
      </c>
      <c r="K1174" t="str">
        <f>VLOOKUP($A1174, 'Medical Examinations'!A:D, 4, FALSE)</f>
        <v>Diabetes</v>
      </c>
    </row>
    <row r="1175" spans="1:11" ht="15.5" x14ac:dyDescent="0.35">
      <c r="A1175" s="1" t="s">
        <v>1197</v>
      </c>
      <c r="B1175" t="str">
        <f>VLOOKUP($A1175, 'Customer Names'!A:D, 3, FALSE)</f>
        <v>McMahon</v>
      </c>
      <c r="C1175">
        <f>VLOOKUP($A1175,'Medical Examinations'!A:C, 3, FALSE)</f>
        <v>29.06</v>
      </c>
      <c r="D1175" t="str">
        <f>VLOOKUP($A1175, 'Medical Examinations'!A:D, 4, FALSE)</f>
        <v>Normal</v>
      </c>
      <c r="E1175" t="str">
        <f>VLOOKUP($A1175, 'Medical Examinations'!A:F, 6, FALSE)</f>
        <v>No</v>
      </c>
      <c r="F1175" t="str">
        <f>VLOOKUP($A1175, 'Medical Examinations'!A:G, 7, FALSE)</f>
        <v>No</v>
      </c>
      <c r="G1175" t="str">
        <f>VLOOKUP($A1175, 'Medical Examinations'!A:H, 8, FALSE)</f>
        <v>No</v>
      </c>
      <c r="H1175" t="str">
        <f>VLOOKUP($A1175, 'Medical Examinations'!A:J, 10, FALSE)</f>
        <v>No major surgery</v>
      </c>
      <c r="I1175" t="str">
        <f>VLOOKUP($A1175, 'Medical Examinations'!A:K, 11, FALSE)</f>
        <v>No</v>
      </c>
      <c r="J1175" t="str">
        <f>VLOOKUP($A1175, 'Medical Examinations'!A:B, 2, FALSE)</f>
        <v>Overweight</v>
      </c>
      <c r="K1175" t="str">
        <f>VLOOKUP($A1175, 'Medical Examinations'!A:D, 4, FALSE)</f>
        <v>Normal</v>
      </c>
    </row>
    <row r="1176" spans="1:11" ht="15.5" x14ac:dyDescent="0.35">
      <c r="A1176" s="1" t="s">
        <v>1196</v>
      </c>
      <c r="B1176" t="str">
        <f>VLOOKUP($A1176, 'Customer Names'!A:D, 3, FALSE)</f>
        <v>Rissell</v>
      </c>
      <c r="C1176">
        <f>VLOOKUP($A1176,'Medical Examinations'!A:C, 3, FALSE)</f>
        <v>27.454999999999998</v>
      </c>
      <c r="D1176" t="str">
        <f>VLOOKUP($A1176, 'Medical Examinations'!A:D, 4, FALSE)</f>
        <v>Prediabetes</v>
      </c>
      <c r="E1176" t="str">
        <f>VLOOKUP($A1176, 'Medical Examinations'!A:F, 6, FALSE)</f>
        <v>No</v>
      </c>
      <c r="F1176" t="str">
        <f>VLOOKUP($A1176, 'Medical Examinations'!A:G, 7, FALSE)</f>
        <v>No</v>
      </c>
      <c r="G1176" t="str">
        <f>VLOOKUP($A1176, 'Medical Examinations'!A:H, 8, FALSE)</f>
        <v>No</v>
      </c>
      <c r="H1176">
        <f>VLOOKUP($A1176, 'Medical Examinations'!A:J, 10, FALSE)</f>
        <v>2</v>
      </c>
      <c r="I1176" t="str">
        <f>VLOOKUP($A1176, 'Medical Examinations'!A:K, 11, FALSE)</f>
        <v>No</v>
      </c>
      <c r="J1176" t="str">
        <f>VLOOKUP($A1176, 'Medical Examinations'!A:B, 2, FALSE)</f>
        <v>Overweight</v>
      </c>
      <c r="K1176" t="str">
        <f>VLOOKUP($A1176, 'Medical Examinations'!A:D, 4, FALSE)</f>
        <v>Prediabetes</v>
      </c>
    </row>
    <row r="1177" spans="1:11" ht="15.5" x14ac:dyDescent="0.35">
      <c r="A1177" s="1" t="s">
        <v>1195</v>
      </c>
      <c r="B1177" t="str">
        <f>VLOOKUP($A1177, 'Customer Names'!A:D, 3, FALSE)</f>
        <v>Kromroy</v>
      </c>
      <c r="C1177">
        <f>VLOOKUP($A1177,'Medical Examinations'!A:C, 3, FALSE)</f>
        <v>23.01</v>
      </c>
      <c r="D1177" t="str">
        <f>VLOOKUP($A1177, 'Medical Examinations'!A:D, 4, FALSE)</f>
        <v>Prediabetes</v>
      </c>
      <c r="E1177" t="str">
        <f>VLOOKUP($A1177, 'Medical Examinations'!A:F, 6, FALSE)</f>
        <v>yes</v>
      </c>
      <c r="F1177" t="str">
        <f>VLOOKUP($A1177, 'Medical Examinations'!A:G, 7, FALSE)</f>
        <v>No</v>
      </c>
      <c r="G1177" t="str">
        <f>VLOOKUP($A1177, 'Medical Examinations'!A:H, 8, FALSE)</f>
        <v>No</v>
      </c>
      <c r="H1177">
        <f>VLOOKUP($A1177, 'Medical Examinations'!A:J, 10, FALSE)</f>
        <v>1</v>
      </c>
      <c r="I1177" t="str">
        <f>VLOOKUP($A1177, 'Medical Examinations'!A:K, 11, FALSE)</f>
        <v>No</v>
      </c>
      <c r="J1177" t="str">
        <f>VLOOKUP($A1177, 'Medical Examinations'!A:B, 2, FALSE)</f>
        <v>Normal Weight</v>
      </c>
      <c r="K1177" t="str">
        <f>VLOOKUP($A1177, 'Medical Examinations'!A:D, 4, FALSE)</f>
        <v>Prediabetes</v>
      </c>
    </row>
    <row r="1178" spans="1:11" ht="15.5" x14ac:dyDescent="0.35">
      <c r="A1178" s="1" t="s">
        <v>1194</v>
      </c>
      <c r="B1178" t="str">
        <f>VLOOKUP($A1178, 'Customer Names'!A:D, 3, FALSE)</f>
        <v>Manfredi</v>
      </c>
      <c r="C1178">
        <f>VLOOKUP($A1178,'Medical Examinations'!A:C, 3, FALSE)</f>
        <v>31.39</v>
      </c>
      <c r="D1178" t="str">
        <f>VLOOKUP($A1178, 'Medical Examinations'!A:D, 4, FALSE)</f>
        <v>Diabetes</v>
      </c>
      <c r="E1178" t="str">
        <f>VLOOKUP($A1178, 'Medical Examinations'!A:F, 6, FALSE)</f>
        <v>yes</v>
      </c>
      <c r="F1178" t="str">
        <f>VLOOKUP($A1178, 'Medical Examinations'!A:G, 7, FALSE)</f>
        <v>No</v>
      </c>
      <c r="G1178" t="str">
        <f>VLOOKUP($A1178, 'Medical Examinations'!A:H, 8, FALSE)</f>
        <v>No</v>
      </c>
      <c r="H1178" t="str">
        <f>VLOOKUP($A1178, 'Medical Examinations'!A:J, 10, FALSE)</f>
        <v>No major surgery</v>
      </c>
      <c r="I1178" t="str">
        <f>VLOOKUP($A1178, 'Medical Examinations'!A:K, 11, FALSE)</f>
        <v>No</v>
      </c>
      <c r="J1178" t="str">
        <f>VLOOKUP($A1178, 'Medical Examinations'!A:B, 2, FALSE)</f>
        <v>Obesity</v>
      </c>
      <c r="K1178" t="str">
        <f>VLOOKUP($A1178, 'Medical Examinations'!A:D, 4, FALSE)</f>
        <v>Diabetes</v>
      </c>
    </row>
    <row r="1179" spans="1:11" ht="15.5" x14ac:dyDescent="0.35">
      <c r="A1179" s="1" t="s">
        <v>1193</v>
      </c>
      <c r="B1179" t="str">
        <f>VLOOKUP($A1179, 'Customer Names'!A:D, 3, FALSE)</f>
        <v>Manwaring</v>
      </c>
      <c r="C1179">
        <f>VLOOKUP($A1179,'Medical Examinations'!A:C, 3, FALSE)</f>
        <v>34.770000000000003</v>
      </c>
      <c r="D1179" t="str">
        <f>VLOOKUP($A1179, 'Medical Examinations'!A:D, 4, FALSE)</f>
        <v>Diabetes</v>
      </c>
      <c r="E1179" t="str">
        <f>VLOOKUP($A1179, 'Medical Examinations'!A:F, 6, FALSE)</f>
        <v>No</v>
      </c>
      <c r="F1179" t="str">
        <f>VLOOKUP($A1179, 'Medical Examinations'!A:G, 7, FALSE)</f>
        <v>No</v>
      </c>
      <c r="G1179" t="str">
        <f>VLOOKUP($A1179, 'Medical Examinations'!A:H, 8, FALSE)</f>
        <v>No</v>
      </c>
      <c r="H1179">
        <f>VLOOKUP($A1179, 'Medical Examinations'!A:J, 10, FALSE)</f>
        <v>2</v>
      </c>
      <c r="I1179" t="str">
        <f>VLOOKUP($A1179, 'Medical Examinations'!A:K, 11, FALSE)</f>
        <v>No</v>
      </c>
      <c r="J1179" t="str">
        <f>VLOOKUP($A1179, 'Medical Examinations'!A:B, 2, FALSE)</f>
        <v>Obesity</v>
      </c>
      <c r="K1179" t="str">
        <f>VLOOKUP($A1179, 'Medical Examinations'!A:D, 4, FALSE)</f>
        <v>Diabetes</v>
      </c>
    </row>
    <row r="1180" spans="1:11" ht="15.5" x14ac:dyDescent="0.35">
      <c r="A1180" s="1" t="s">
        <v>1192</v>
      </c>
      <c r="B1180" t="str">
        <f>VLOOKUP($A1180, 'Customer Names'!A:D, 3, FALSE)</f>
        <v>Tomaszewski</v>
      </c>
      <c r="C1180">
        <f>VLOOKUP($A1180,'Medical Examinations'!A:C, 3, FALSE)</f>
        <v>24.48</v>
      </c>
      <c r="D1180" t="str">
        <f>VLOOKUP($A1180, 'Medical Examinations'!A:D, 4, FALSE)</f>
        <v>Normal</v>
      </c>
      <c r="E1180" t="str">
        <f>VLOOKUP($A1180, 'Medical Examinations'!A:F, 6, FALSE)</f>
        <v>yes</v>
      </c>
      <c r="F1180" t="str">
        <f>VLOOKUP($A1180, 'Medical Examinations'!A:G, 7, FALSE)</f>
        <v>No</v>
      </c>
      <c r="G1180" t="str">
        <f>VLOOKUP($A1180, 'Medical Examinations'!A:H, 8, FALSE)</f>
        <v>No</v>
      </c>
      <c r="H1180">
        <f>VLOOKUP($A1180, 'Medical Examinations'!A:J, 10, FALSE)</f>
        <v>2</v>
      </c>
      <c r="I1180" t="str">
        <f>VLOOKUP($A1180, 'Medical Examinations'!A:K, 11, FALSE)</f>
        <v>No</v>
      </c>
      <c r="J1180" t="str">
        <f>VLOOKUP($A1180, 'Medical Examinations'!A:B, 2, FALSE)</f>
        <v>Normal Weight</v>
      </c>
      <c r="K1180" t="str">
        <f>VLOOKUP($A1180, 'Medical Examinations'!A:D, 4, FALSE)</f>
        <v>Normal</v>
      </c>
    </row>
    <row r="1181" spans="1:11" ht="15.5" x14ac:dyDescent="0.35">
      <c r="A1181" s="1" t="s">
        <v>1191</v>
      </c>
      <c r="B1181" t="str">
        <f>VLOOKUP($A1181, 'Customer Names'!A:D, 3, FALSE)</f>
        <v>Gannon</v>
      </c>
      <c r="C1181">
        <f>VLOOKUP($A1181,'Medical Examinations'!A:C, 3, FALSE)</f>
        <v>22.61</v>
      </c>
      <c r="D1181" t="str">
        <f>VLOOKUP($A1181, 'Medical Examinations'!A:D, 4, FALSE)</f>
        <v>Diabetes</v>
      </c>
      <c r="E1181" t="str">
        <f>VLOOKUP($A1181, 'Medical Examinations'!A:F, 6, FALSE)</f>
        <v>No</v>
      </c>
      <c r="F1181" t="str">
        <f>VLOOKUP($A1181, 'Medical Examinations'!A:G, 7, FALSE)</f>
        <v>No</v>
      </c>
      <c r="G1181" t="str">
        <f>VLOOKUP($A1181, 'Medical Examinations'!A:H, 8, FALSE)</f>
        <v>No</v>
      </c>
      <c r="H1181">
        <f>VLOOKUP($A1181, 'Medical Examinations'!A:J, 10, FALSE)</f>
        <v>2</v>
      </c>
      <c r="I1181" t="str">
        <f>VLOOKUP($A1181, 'Medical Examinations'!A:K, 11, FALSE)</f>
        <v>No</v>
      </c>
      <c r="J1181" t="str">
        <f>VLOOKUP($A1181, 'Medical Examinations'!A:B, 2, FALSE)</f>
        <v>Normal Weight</v>
      </c>
      <c r="K1181" t="str">
        <f>VLOOKUP($A1181, 'Medical Examinations'!A:D, 4, FALSE)</f>
        <v>Diabetes</v>
      </c>
    </row>
    <row r="1182" spans="1:11" ht="15.5" x14ac:dyDescent="0.35">
      <c r="A1182" s="1" t="s">
        <v>1190</v>
      </c>
      <c r="B1182" t="str">
        <f>VLOOKUP($A1182, 'Customer Names'!A:D, 3, FALSE)</f>
        <v>Frye</v>
      </c>
      <c r="C1182">
        <f>VLOOKUP($A1182,'Medical Examinations'!A:C, 3, FALSE)</f>
        <v>34.299999999999997</v>
      </c>
      <c r="D1182" t="str">
        <f>VLOOKUP($A1182, 'Medical Examinations'!A:D, 4, FALSE)</f>
        <v>Diabetes</v>
      </c>
      <c r="E1182" t="str">
        <f>VLOOKUP($A1182, 'Medical Examinations'!A:F, 6, FALSE)</f>
        <v>No</v>
      </c>
      <c r="F1182" t="str">
        <f>VLOOKUP($A1182, 'Medical Examinations'!A:G, 7, FALSE)</f>
        <v>No</v>
      </c>
      <c r="G1182" t="str">
        <f>VLOOKUP($A1182, 'Medical Examinations'!A:H, 8, FALSE)</f>
        <v>No</v>
      </c>
      <c r="H1182" t="str">
        <f>VLOOKUP($A1182, 'Medical Examinations'!A:J, 10, FALSE)</f>
        <v>No major surgery</v>
      </c>
      <c r="I1182" t="str">
        <f>VLOOKUP($A1182, 'Medical Examinations'!A:K, 11, FALSE)</f>
        <v>No</v>
      </c>
      <c r="J1182" t="str">
        <f>VLOOKUP($A1182, 'Medical Examinations'!A:B, 2, FALSE)</f>
        <v>Obesity</v>
      </c>
      <c r="K1182" t="str">
        <f>VLOOKUP($A1182, 'Medical Examinations'!A:D, 4, FALSE)</f>
        <v>Diabetes</v>
      </c>
    </row>
    <row r="1183" spans="1:11" ht="15.5" x14ac:dyDescent="0.35">
      <c r="A1183" s="1" t="s">
        <v>1189</v>
      </c>
      <c r="B1183" t="str">
        <f>VLOOKUP($A1183, 'Customer Names'!A:D, 3, FALSE)</f>
        <v>Jenkins</v>
      </c>
      <c r="C1183">
        <f>VLOOKUP($A1183,'Medical Examinations'!A:C, 3, FALSE)</f>
        <v>46.09</v>
      </c>
      <c r="D1183" t="str">
        <f>VLOOKUP($A1183, 'Medical Examinations'!A:D, 4, FALSE)</f>
        <v>Normal</v>
      </c>
      <c r="E1183" t="str">
        <f>VLOOKUP($A1183, 'Medical Examinations'!A:F, 6, FALSE)</f>
        <v>No</v>
      </c>
      <c r="F1183" t="str">
        <f>VLOOKUP($A1183, 'Medical Examinations'!A:G, 7, FALSE)</f>
        <v>No</v>
      </c>
      <c r="G1183" t="str">
        <f>VLOOKUP($A1183, 'Medical Examinations'!A:H, 8, FALSE)</f>
        <v>No</v>
      </c>
      <c r="H1183">
        <f>VLOOKUP($A1183, 'Medical Examinations'!A:J, 10, FALSE)</f>
        <v>2</v>
      </c>
      <c r="I1183" t="str">
        <f>VLOOKUP($A1183, 'Medical Examinations'!A:K, 11, FALSE)</f>
        <v>No</v>
      </c>
      <c r="J1183" t="str">
        <f>VLOOKUP($A1183, 'Medical Examinations'!A:B, 2, FALSE)</f>
        <v>Obesity</v>
      </c>
      <c r="K1183" t="str">
        <f>VLOOKUP($A1183, 'Medical Examinations'!A:D, 4, FALSE)</f>
        <v>Normal</v>
      </c>
    </row>
    <row r="1184" spans="1:11" ht="15.5" x14ac:dyDescent="0.35">
      <c r="A1184" s="1" t="s">
        <v>1188</v>
      </c>
      <c r="B1184" t="str">
        <f>VLOOKUP($A1184, 'Customer Names'!A:D, 3, FALSE)</f>
        <v>Currier</v>
      </c>
      <c r="C1184">
        <f>VLOOKUP($A1184,'Medical Examinations'!A:C, 3, FALSE)</f>
        <v>44.744999999999997</v>
      </c>
      <c r="D1184" t="str">
        <f>VLOOKUP($A1184, 'Medical Examinations'!A:D, 4, FALSE)</f>
        <v>Normal</v>
      </c>
      <c r="E1184" t="str">
        <f>VLOOKUP($A1184, 'Medical Examinations'!A:F, 6, FALSE)</f>
        <v>No</v>
      </c>
      <c r="F1184" t="str">
        <f>VLOOKUP($A1184, 'Medical Examinations'!A:G, 7, FALSE)</f>
        <v>No</v>
      </c>
      <c r="G1184" t="str">
        <f>VLOOKUP($A1184, 'Medical Examinations'!A:H, 8, FALSE)</f>
        <v>No</v>
      </c>
      <c r="H1184">
        <f>VLOOKUP($A1184, 'Medical Examinations'!A:J, 10, FALSE)</f>
        <v>2</v>
      </c>
      <c r="I1184" t="str">
        <f>VLOOKUP($A1184, 'Medical Examinations'!A:K, 11, FALSE)</f>
        <v>No</v>
      </c>
      <c r="J1184" t="str">
        <f>VLOOKUP($A1184, 'Medical Examinations'!A:B, 2, FALSE)</f>
        <v>Obesity</v>
      </c>
      <c r="K1184" t="str">
        <f>VLOOKUP($A1184, 'Medical Examinations'!A:D, 4, FALSE)</f>
        <v>Normal</v>
      </c>
    </row>
    <row r="1185" spans="1:11" ht="15.5" x14ac:dyDescent="0.35">
      <c r="A1185" s="1" t="s">
        <v>1187</v>
      </c>
      <c r="B1185" t="str">
        <f>VLOOKUP($A1185, 'Customer Names'!A:D, 3, FALSE)</f>
        <v>Whittendale</v>
      </c>
      <c r="C1185">
        <f>VLOOKUP($A1185,'Medical Examinations'!A:C, 3, FALSE)</f>
        <v>26.33</v>
      </c>
      <c r="D1185" t="str">
        <f>VLOOKUP($A1185, 'Medical Examinations'!A:D, 4, FALSE)</f>
        <v>Diabetes</v>
      </c>
      <c r="E1185" t="str">
        <f>VLOOKUP($A1185, 'Medical Examinations'!A:F, 6, FALSE)</f>
        <v>yes</v>
      </c>
      <c r="F1185" t="str">
        <f>VLOOKUP($A1185, 'Medical Examinations'!A:G, 7, FALSE)</f>
        <v>No</v>
      </c>
      <c r="G1185" t="str">
        <f>VLOOKUP($A1185, 'Medical Examinations'!A:H, 8, FALSE)</f>
        <v>No</v>
      </c>
      <c r="H1185">
        <f>VLOOKUP($A1185, 'Medical Examinations'!A:J, 10, FALSE)</f>
        <v>1</v>
      </c>
      <c r="I1185" t="str">
        <f>VLOOKUP($A1185, 'Medical Examinations'!A:K, 11, FALSE)</f>
        <v>No</v>
      </c>
      <c r="J1185" t="str">
        <f>VLOOKUP($A1185, 'Medical Examinations'!A:B, 2, FALSE)</f>
        <v>Overweight</v>
      </c>
      <c r="K1185" t="str">
        <f>VLOOKUP($A1185, 'Medical Examinations'!A:D, 4, FALSE)</f>
        <v>Diabetes</v>
      </c>
    </row>
    <row r="1186" spans="1:11" ht="15.5" x14ac:dyDescent="0.35">
      <c r="A1186" s="1" t="s">
        <v>1186</v>
      </c>
      <c r="B1186" t="str">
        <f>VLOOKUP($A1186, 'Customer Names'!A:D, 3, FALSE)</f>
        <v>Rixe</v>
      </c>
      <c r="C1186">
        <f>VLOOKUP($A1186,'Medical Examinations'!A:C, 3, FALSE)</f>
        <v>26.6</v>
      </c>
      <c r="D1186" t="str">
        <f>VLOOKUP($A1186, 'Medical Examinations'!A:D, 4, FALSE)</f>
        <v>Diabetes</v>
      </c>
      <c r="E1186" t="str">
        <f>VLOOKUP($A1186, 'Medical Examinations'!A:F, 6, FALSE)</f>
        <v>No</v>
      </c>
      <c r="F1186" t="str">
        <f>VLOOKUP($A1186, 'Medical Examinations'!A:G, 7, FALSE)</f>
        <v>No</v>
      </c>
      <c r="G1186" t="str">
        <f>VLOOKUP($A1186, 'Medical Examinations'!A:H, 8, FALSE)</f>
        <v>No</v>
      </c>
      <c r="H1186">
        <f>VLOOKUP($A1186, 'Medical Examinations'!A:J, 10, FALSE)</f>
        <v>2</v>
      </c>
      <c r="I1186" t="str">
        <f>VLOOKUP($A1186, 'Medical Examinations'!A:K, 11, FALSE)</f>
        <v>No</v>
      </c>
      <c r="J1186" t="str">
        <f>VLOOKUP($A1186, 'Medical Examinations'!A:B, 2, FALSE)</f>
        <v>Overweight</v>
      </c>
      <c r="K1186" t="str">
        <f>VLOOKUP($A1186, 'Medical Examinations'!A:D, 4, FALSE)</f>
        <v>Diabetes</v>
      </c>
    </row>
    <row r="1187" spans="1:11" ht="15.5" x14ac:dyDescent="0.35">
      <c r="A1187" s="1" t="s">
        <v>1185</v>
      </c>
      <c r="B1187" t="str">
        <f>VLOOKUP($A1187, 'Customer Names'!A:D, 3, FALSE)</f>
        <v>Ballon-Landa</v>
      </c>
      <c r="C1187">
        <f>VLOOKUP($A1187,'Medical Examinations'!A:C, 3, FALSE)</f>
        <v>27.5</v>
      </c>
      <c r="D1187" t="str">
        <f>VLOOKUP($A1187, 'Medical Examinations'!A:D, 4, FALSE)</f>
        <v>Diabetes</v>
      </c>
      <c r="E1187" t="str">
        <f>VLOOKUP($A1187, 'Medical Examinations'!A:F, 6, FALSE)</f>
        <v>No</v>
      </c>
      <c r="F1187" t="str">
        <f>VLOOKUP($A1187, 'Medical Examinations'!A:G, 7, FALSE)</f>
        <v>No</v>
      </c>
      <c r="G1187" t="str">
        <f>VLOOKUP($A1187, 'Medical Examinations'!A:H, 8, FALSE)</f>
        <v>No</v>
      </c>
      <c r="H1187" t="str">
        <f>VLOOKUP($A1187, 'Medical Examinations'!A:J, 10, FALSE)</f>
        <v>No major surgery</v>
      </c>
      <c r="I1187" t="str">
        <f>VLOOKUP($A1187, 'Medical Examinations'!A:K, 11, FALSE)</f>
        <v>No</v>
      </c>
      <c r="J1187" t="str">
        <f>VLOOKUP($A1187, 'Medical Examinations'!A:B, 2, FALSE)</f>
        <v>Overweight</v>
      </c>
      <c r="K1187" t="str">
        <f>VLOOKUP($A1187, 'Medical Examinations'!A:D, 4, FALSE)</f>
        <v>Diabetes</v>
      </c>
    </row>
    <row r="1188" spans="1:11" ht="15.5" x14ac:dyDescent="0.35">
      <c r="A1188" s="1" t="s">
        <v>1184</v>
      </c>
      <c r="B1188" t="str">
        <f>VLOOKUP($A1188, 'Customer Names'!A:D, 3, FALSE)</f>
        <v>Zaferos</v>
      </c>
      <c r="C1188">
        <f>VLOOKUP($A1188,'Medical Examinations'!A:C, 3, FALSE)</f>
        <v>41.55</v>
      </c>
      <c r="D1188" t="str">
        <f>VLOOKUP($A1188, 'Medical Examinations'!A:D, 4, FALSE)</f>
        <v>Normal</v>
      </c>
      <c r="E1188" t="str">
        <f>VLOOKUP($A1188, 'Medical Examinations'!A:F, 6, FALSE)</f>
        <v>No</v>
      </c>
      <c r="F1188" t="str">
        <f>VLOOKUP($A1188, 'Medical Examinations'!A:G, 7, FALSE)</f>
        <v>No</v>
      </c>
      <c r="G1188" t="str">
        <f>VLOOKUP($A1188, 'Medical Examinations'!A:H, 8, FALSE)</f>
        <v>No</v>
      </c>
      <c r="H1188">
        <f>VLOOKUP($A1188, 'Medical Examinations'!A:J, 10, FALSE)</f>
        <v>1</v>
      </c>
      <c r="I1188" t="str">
        <f>VLOOKUP($A1188, 'Medical Examinations'!A:K, 11, FALSE)</f>
        <v>No</v>
      </c>
      <c r="J1188" t="str">
        <f>VLOOKUP($A1188, 'Medical Examinations'!A:B, 2, FALSE)</f>
        <v>Obesity</v>
      </c>
      <c r="K1188" t="str">
        <f>VLOOKUP($A1188, 'Medical Examinations'!A:D, 4, FALSE)</f>
        <v>Normal</v>
      </c>
    </row>
    <row r="1189" spans="1:11" ht="15.5" x14ac:dyDescent="0.35">
      <c r="A1189" s="1" t="s">
        <v>1183</v>
      </c>
      <c r="B1189" t="str">
        <f>VLOOKUP($A1189, 'Customer Names'!A:D, 3, FALSE)</f>
        <v>Jackson</v>
      </c>
      <c r="C1189">
        <f>VLOOKUP($A1189,'Medical Examinations'!A:C, 3, FALSE)</f>
        <v>41.47</v>
      </c>
      <c r="D1189" t="str">
        <f>VLOOKUP($A1189, 'Medical Examinations'!A:D, 4, FALSE)</f>
        <v>Normal</v>
      </c>
      <c r="E1189" t="str">
        <f>VLOOKUP($A1189, 'Medical Examinations'!A:F, 6, FALSE)</f>
        <v>yes</v>
      </c>
      <c r="F1189" t="str">
        <f>VLOOKUP($A1189, 'Medical Examinations'!A:G, 7, FALSE)</f>
        <v>No</v>
      </c>
      <c r="G1189" t="str">
        <f>VLOOKUP($A1189, 'Medical Examinations'!A:H, 8, FALSE)</f>
        <v>Yes</v>
      </c>
      <c r="H1189">
        <f>VLOOKUP($A1189, 'Medical Examinations'!A:J, 10, FALSE)</f>
        <v>1</v>
      </c>
      <c r="I1189" t="str">
        <f>VLOOKUP($A1189, 'Medical Examinations'!A:K, 11, FALSE)</f>
        <v>No</v>
      </c>
      <c r="J1189" t="str">
        <f>VLOOKUP($A1189, 'Medical Examinations'!A:B, 2, FALSE)</f>
        <v>Obesity</v>
      </c>
      <c r="K1189" t="str">
        <f>VLOOKUP($A1189, 'Medical Examinations'!A:D, 4, FALSE)</f>
        <v>Normal</v>
      </c>
    </row>
    <row r="1190" spans="1:11" ht="15.5" x14ac:dyDescent="0.35">
      <c r="A1190" s="1" t="s">
        <v>1182</v>
      </c>
      <c r="B1190" t="str">
        <f>VLOOKUP($A1190, 'Customer Names'!A:D, 3, FALSE)</f>
        <v>Evans Marke</v>
      </c>
      <c r="C1190">
        <f>VLOOKUP($A1190,'Medical Examinations'!A:C, 3, FALSE)</f>
        <v>24.795000000000002</v>
      </c>
      <c r="D1190" t="str">
        <f>VLOOKUP($A1190, 'Medical Examinations'!A:D, 4, FALSE)</f>
        <v>Prediabetes</v>
      </c>
      <c r="E1190" t="str">
        <f>VLOOKUP($A1190, 'Medical Examinations'!A:F, 6, FALSE)</f>
        <v>yes</v>
      </c>
      <c r="F1190" t="str">
        <f>VLOOKUP($A1190, 'Medical Examinations'!A:G, 7, FALSE)</f>
        <v>No</v>
      </c>
      <c r="G1190" t="str">
        <f>VLOOKUP($A1190, 'Medical Examinations'!A:H, 8, FALSE)</f>
        <v>No</v>
      </c>
      <c r="H1190" t="str">
        <f>VLOOKUP($A1190, 'Medical Examinations'!A:J, 10, FALSE)</f>
        <v>No major surgery</v>
      </c>
      <c r="I1190" t="str">
        <f>VLOOKUP($A1190, 'Medical Examinations'!A:K, 11, FALSE)</f>
        <v>No</v>
      </c>
      <c r="J1190" t="str">
        <f>VLOOKUP($A1190, 'Medical Examinations'!A:B, 2, FALSE)</f>
        <v>Normal Weight</v>
      </c>
      <c r="K1190" t="str">
        <f>VLOOKUP($A1190, 'Medical Examinations'!A:D, 4, FALSE)</f>
        <v>Prediabetes</v>
      </c>
    </row>
    <row r="1191" spans="1:11" ht="15.5" x14ac:dyDescent="0.35">
      <c r="A1191" s="1" t="s">
        <v>1181</v>
      </c>
      <c r="B1191" t="str">
        <f>VLOOKUP($A1191, 'Customer Names'!A:D, 3, FALSE)</f>
        <v>Samland</v>
      </c>
      <c r="C1191">
        <f>VLOOKUP($A1191,'Medical Examinations'!A:C, 3, FALSE)</f>
        <v>29.48</v>
      </c>
      <c r="D1191" t="str">
        <f>VLOOKUP($A1191, 'Medical Examinations'!A:D, 4, FALSE)</f>
        <v>Normal</v>
      </c>
      <c r="E1191" t="str">
        <f>VLOOKUP($A1191, 'Medical Examinations'!A:F, 6, FALSE)</f>
        <v>yes</v>
      </c>
      <c r="F1191" t="str">
        <f>VLOOKUP($A1191, 'Medical Examinations'!A:G, 7, FALSE)</f>
        <v>No</v>
      </c>
      <c r="G1191" t="str">
        <f>VLOOKUP($A1191, 'Medical Examinations'!A:H, 8, FALSE)</f>
        <v>Yes</v>
      </c>
      <c r="H1191">
        <f>VLOOKUP($A1191, 'Medical Examinations'!A:J, 10, FALSE)</f>
        <v>1</v>
      </c>
      <c r="I1191" t="str">
        <f>VLOOKUP($A1191, 'Medical Examinations'!A:K, 11, FALSE)</f>
        <v>No</v>
      </c>
      <c r="J1191" t="str">
        <f>VLOOKUP($A1191, 'Medical Examinations'!A:B, 2, FALSE)</f>
        <v>Overweight</v>
      </c>
      <c r="K1191" t="str">
        <f>VLOOKUP($A1191, 'Medical Examinations'!A:D, 4, FALSE)</f>
        <v>Normal</v>
      </c>
    </row>
    <row r="1192" spans="1:11" ht="15.5" x14ac:dyDescent="0.35">
      <c r="A1192" s="1" t="s">
        <v>1180</v>
      </c>
      <c r="B1192" t="str">
        <f>VLOOKUP($A1192, 'Customer Names'!A:D, 3, FALSE)</f>
        <v>Shapiro</v>
      </c>
      <c r="C1192">
        <f>VLOOKUP($A1192,'Medical Examinations'!A:C, 3, FALSE)</f>
        <v>28.09</v>
      </c>
      <c r="D1192" t="str">
        <f>VLOOKUP($A1192, 'Medical Examinations'!A:D, 4, FALSE)</f>
        <v>Prediabetes</v>
      </c>
      <c r="E1192" t="str">
        <f>VLOOKUP($A1192, 'Medical Examinations'!A:F, 6, FALSE)</f>
        <v>No</v>
      </c>
      <c r="F1192" t="str">
        <f>VLOOKUP($A1192, 'Medical Examinations'!A:G, 7, FALSE)</f>
        <v>No</v>
      </c>
      <c r="G1192" t="str">
        <f>VLOOKUP($A1192, 'Medical Examinations'!A:H, 8, FALSE)</f>
        <v>Yes</v>
      </c>
      <c r="H1192">
        <f>VLOOKUP($A1192, 'Medical Examinations'!A:J, 10, FALSE)</f>
        <v>1</v>
      </c>
      <c r="I1192" t="str">
        <f>VLOOKUP($A1192, 'Medical Examinations'!A:K, 11, FALSE)</f>
        <v>No</v>
      </c>
      <c r="J1192" t="str">
        <f>VLOOKUP($A1192, 'Medical Examinations'!A:B, 2, FALSE)</f>
        <v>Overweight</v>
      </c>
      <c r="K1192" t="str">
        <f>VLOOKUP($A1192, 'Medical Examinations'!A:D, 4, FALSE)</f>
        <v>Prediabetes</v>
      </c>
    </row>
    <row r="1193" spans="1:11" ht="15.5" x14ac:dyDescent="0.35">
      <c r="A1193" s="1" t="s">
        <v>1179</v>
      </c>
      <c r="B1193" t="str">
        <f>VLOOKUP($A1193, 'Customer Names'!A:D, 3, FALSE)</f>
        <v>Snitzer</v>
      </c>
      <c r="C1193">
        <f>VLOOKUP($A1193,'Medical Examinations'!A:C, 3, FALSE)</f>
        <v>32.729999999999997</v>
      </c>
      <c r="D1193" t="str">
        <f>VLOOKUP($A1193, 'Medical Examinations'!A:D, 4, FALSE)</f>
        <v>Normal</v>
      </c>
      <c r="E1193" t="str">
        <f>VLOOKUP($A1193, 'Medical Examinations'!A:F, 6, FALSE)</f>
        <v>No</v>
      </c>
      <c r="F1193" t="str">
        <f>VLOOKUP($A1193, 'Medical Examinations'!A:G, 7, FALSE)</f>
        <v>No</v>
      </c>
      <c r="G1193" t="str">
        <f>VLOOKUP($A1193, 'Medical Examinations'!A:H, 8, FALSE)</f>
        <v>No</v>
      </c>
      <c r="H1193">
        <f>VLOOKUP($A1193, 'Medical Examinations'!A:J, 10, FALSE)</f>
        <v>1</v>
      </c>
      <c r="I1193" t="str">
        <f>VLOOKUP($A1193, 'Medical Examinations'!A:K, 11, FALSE)</f>
        <v>No</v>
      </c>
      <c r="J1193" t="str">
        <f>VLOOKUP($A1193, 'Medical Examinations'!A:B, 2, FALSE)</f>
        <v>Obesity</v>
      </c>
      <c r="K1193" t="str">
        <f>VLOOKUP($A1193, 'Medical Examinations'!A:D, 4, FALSE)</f>
        <v>Normal</v>
      </c>
    </row>
    <row r="1194" spans="1:11" ht="15.5" x14ac:dyDescent="0.35">
      <c r="A1194" s="1" t="s">
        <v>1178</v>
      </c>
      <c r="B1194" t="str">
        <f>VLOOKUP($A1194, 'Customer Names'!A:D, 3, FALSE)</f>
        <v>Herra Arroyo</v>
      </c>
      <c r="C1194">
        <f>VLOOKUP($A1194,'Medical Examinations'!A:C, 3, FALSE)</f>
        <v>27.36</v>
      </c>
      <c r="D1194" t="str">
        <f>VLOOKUP($A1194, 'Medical Examinations'!A:D, 4, FALSE)</f>
        <v>Diabetes</v>
      </c>
      <c r="E1194" t="str">
        <f>VLOOKUP($A1194, 'Medical Examinations'!A:F, 6, FALSE)</f>
        <v>No</v>
      </c>
      <c r="F1194" t="str">
        <f>VLOOKUP($A1194, 'Medical Examinations'!A:G, 7, FALSE)</f>
        <v>No</v>
      </c>
      <c r="G1194" t="str">
        <f>VLOOKUP($A1194, 'Medical Examinations'!A:H, 8, FALSE)</f>
        <v>No</v>
      </c>
      <c r="H1194" t="str">
        <f>VLOOKUP($A1194, 'Medical Examinations'!A:J, 10, FALSE)</f>
        <v>No major surgery</v>
      </c>
      <c r="I1194" t="str">
        <f>VLOOKUP($A1194, 'Medical Examinations'!A:K, 11, FALSE)</f>
        <v>No</v>
      </c>
      <c r="J1194" t="str">
        <f>VLOOKUP($A1194, 'Medical Examinations'!A:B, 2, FALSE)</f>
        <v>Overweight</v>
      </c>
      <c r="K1194" t="str">
        <f>VLOOKUP($A1194, 'Medical Examinations'!A:D, 4, FALSE)</f>
        <v>Diabetes</v>
      </c>
    </row>
    <row r="1195" spans="1:11" ht="15.5" x14ac:dyDescent="0.35">
      <c r="A1195" s="1" t="s">
        <v>1177</v>
      </c>
      <c r="B1195" t="str">
        <f>VLOOKUP($A1195, 'Customer Names'!A:D, 3, FALSE)</f>
        <v>Watters</v>
      </c>
      <c r="C1195">
        <f>VLOOKUP($A1195,'Medical Examinations'!A:C, 3, FALSE)</f>
        <v>27.265000000000001</v>
      </c>
      <c r="D1195" t="str">
        <f>VLOOKUP($A1195, 'Medical Examinations'!A:D, 4, FALSE)</f>
        <v>Diabetes</v>
      </c>
      <c r="E1195" t="str">
        <f>VLOOKUP($A1195, 'Medical Examinations'!A:F, 6, FALSE)</f>
        <v>No</v>
      </c>
      <c r="F1195" t="str">
        <f>VLOOKUP($A1195, 'Medical Examinations'!A:G, 7, FALSE)</f>
        <v>No</v>
      </c>
      <c r="G1195" t="str">
        <f>VLOOKUP($A1195, 'Medical Examinations'!A:H, 8, FALSE)</f>
        <v>No</v>
      </c>
      <c r="H1195" t="str">
        <f>VLOOKUP($A1195, 'Medical Examinations'!A:J, 10, FALSE)</f>
        <v>No major surgery</v>
      </c>
      <c r="I1195" t="str">
        <f>VLOOKUP($A1195, 'Medical Examinations'!A:K, 11, FALSE)</f>
        <v>No</v>
      </c>
      <c r="J1195" t="str">
        <f>VLOOKUP($A1195, 'Medical Examinations'!A:B, 2, FALSE)</f>
        <v>Overweight</v>
      </c>
      <c r="K1195" t="str">
        <f>VLOOKUP($A1195, 'Medical Examinations'!A:D, 4, FALSE)</f>
        <v>Diabetes</v>
      </c>
    </row>
    <row r="1196" spans="1:11" ht="15.5" x14ac:dyDescent="0.35">
      <c r="A1196" s="1" t="s">
        <v>1176</v>
      </c>
      <c r="B1196" t="str">
        <f>VLOOKUP($A1196, 'Customer Names'!A:D, 3, FALSE)</f>
        <v>Steele-Belkin</v>
      </c>
      <c r="C1196">
        <f>VLOOKUP($A1196,'Medical Examinations'!A:C, 3, FALSE)</f>
        <v>48.07</v>
      </c>
      <c r="D1196" t="str">
        <f>VLOOKUP($A1196, 'Medical Examinations'!A:D, 4, FALSE)</f>
        <v>Normal</v>
      </c>
      <c r="E1196" t="str">
        <f>VLOOKUP($A1196, 'Medical Examinations'!A:F, 6, FALSE)</f>
        <v>yes</v>
      </c>
      <c r="F1196" t="str">
        <f>VLOOKUP($A1196, 'Medical Examinations'!A:G, 7, FALSE)</f>
        <v>No</v>
      </c>
      <c r="G1196" t="str">
        <f>VLOOKUP($A1196, 'Medical Examinations'!A:H, 8, FALSE)</f>
        <v>No</v>
      </c>
      <c r="H1196" t="str">
        <f>VLOOKUP($A1196, 'Medical Examinations'!A:J, 10, FALSE)</f>
        <v>No major surgery</v>
      </c>
      <c r="I1196" t="str">
        <f>VLOOKUP($A1196, 'Medical Examinations'!A:K, 11, FALSE)</f>
        <v>No</v>
      </c>
      <c r="J1196" t="str">
        <f>VLOOKUP($A1196, 'Medical Examinations'!A:B, 2, FALSE)</f>
        <v>Obesity</v>
      </c>
      <c r="K1196" t="str">
        <f>VLOOKUP($A1196, 'Medical Examinations'!A:D, 4, FALSE)</f>
        <v>Normal</v>
      </c>
    </row>
    <row r="1197" spans="1:11" ht="15.5" x14ac:dyDescent="0.35">
      <c r="A1197" s="1" t="s">
        <v>1175</v>
      </c>
      <c r="B1197" t="str">
        <f>VLOOKUP($A1197, 'Customer Names'!A:D, 3, FALSE)</f>
        <v>Christensen</v>
      </c>
      <c r="C1197">
        <f>VLOOKUP($A1197,'Medical Examinations'!A:C, 3, FALSE)</f>
        <v>30.8</v>
      </c>
      <c r="D1197" t="str">
        <f>VLOOKUP($A1197, 'Medical Examinations'!A:D, 4, FALSE)</f>
        <v>Normal</v>
      </c>
      <c r="E1197" t="str">
        <f>VLOOKUP($A1197, 'Medical Examinations'!A:F, 6, FALSE)</f>
        <v>yes</v>
      </c>
      <c r="F1197" t="str">
        <f>VLOOKUP($A1197, 'Medical Examinations'!A:G, 7, FALSE)</f>
        <v>No</v>
      </c>
      <c r="G1197" t="str">
        <f>VLOOKUP($A1197, 'Medical Examinations'!A:H, 8, FALSE)</f>
        <v>No</v>
      </c>
      <c r="H1197" t="str">
        <f>VLOOKUP($A1197, 'Medical Examinations'!A:J, 10, FALSE)</f>
        <v>No major surgery</v>
      </c>
      <c r="I1197" t="str">
        <f>VLOOKUP($A1197, 'Medical Examinations'!A:K, 11, FALSE)</f>
        <v>No</v>
      </c>
      <c r="J1197" t="str">
        <f>VLOOKUP($A1197, 'Medical Examinations'!A:B, 2, FALSE)</f>
        <v>Obesity</v>
      </c>
      <c r="K1197" t="str">
        <f>VLOOKUP($A1197, 'Medical Examinations'!A:D, 4, FALSE)</f>
        <v>Normal</v>
      </c>
    </row>
    <row r="1198" spans="1:11" ht="15.5" x14ac:dyDescent="0.35">
      <c r="A1198" s="1" t="s">
        <v>1174</v>
      </c>
      <c r="B1198" t="str">
        <f>VLOOKUP($A1198, 'Customer Names'!A:D, 3, FALSE)</f>
        <v>Hodge</v>
      </c>
      <c r="C1198">
        <f>VLOOKUP($A1198,'Medical Examinations'!A:C, 3, FALSE)</f>
        <v>32.299999999999997</v>
      </c>
      <c r="D1198" t="str">
        <f>VLOOKUP($A1198, 'Medical Examinations'!A:D, 4, FALSE)</f>
        <v>Normal</v>
      </c>
      <c r="E1198" t="str">
        <f>VLOOKUP($A1198, 'Medical Examinations'!A:F, 6, FALSE)</f>
        <v>yes</v>
      </c>
      <c r="F1198" t="str">
        <f>VLOOKUP($A1198, 'Medical Examinations'!A:G, 7, FALSE)</f>
        <v>No</v>
      </c>
      <c r="G1198" t="str">
        <f>VLOOKUP($A1198, 'Medical Examinations'!A:H, 8, FALSE)</f>
        <v>No</v>
      </c>
      <c r="H1198" t="str">
        <f>VLOOKUP($A1198, 'Medical Examinations'!A:J, 10, FALSE)</f>
        <v>No major surgery</v>
      </c>
      <c r="I1198" t="str">
        <f>VLOOKUP($A1198, 'Medical Examinations'!A:K, 11, FALSE)</f>
        <v>No</v>
      </c>
      <c r="J1198" t="str">
        <f>VLOOKUP($A1198, 'Medical Examinations'!A:B, 2, FALSE)</f>
        <v>Obesity</v>
      </c>
      <c r="K1198" t="str">
        <f>VLOOKUP($A1198, 'Medical Examinations'!A:D, 4, FALSE)</f>
        <v>Normal</v>
      </c>
    </row>
    <row r="1199" spans="1:11" ht="15.5" x14ac:dyDescent="0.35">
      <c r="A1199" s="1" t="s">
        <v>1173</v>
      </c>
      <c r="B1199" t="str">
        <f>VLOOKUP($A1199, 'Customer Names'!A:D, 3, FALSE)</f>
        <v>Rusterholz</v>
      </c>
      <c r="C1199">
        <f>VLOOKUP($A1199,'Medical Examinations'!A:C, 3, FALSE)</f>
        <v>39.700000000000003</v>
      </c>
      <c r="D1199" t="str">
        <f>VLOOKUP($A1199, 'Medical Examinations'!A:D, 4, FALSE)</f>
        <v>Diabetes</v>
      </c>
      <c r="E1199" t="str">
        <f>VLOOKUP($A1199, 'Medical Examinations'!A:F, 6, FALSE)</f>
        <v>No</v>
      </c>
      <c r="F1199" t="str">
        <f>VLOOKUP($A1199, 'Medical Examinations'!A:G, 7, FALSE)</f>
        <v>No</v>
      </c>
      <c r="G1199" t="str">
        <f>VLOOKUP($A1199, 'Medical Examinations'!A:H, 8, FALSE)</f>
        <v>No</v>
      </c>
      <c r="H1199" t="str">
        <f>VLOOKUP($A1199, 'Medical Examinations'!A:J, 10, FALSE)</f>
        <v>No major surgery</v>
      </c>
      <c r="I1199" t="str">
        <f>VLOOKUP($A1199, 'Medical Examinations'!A:K, 11, FALSE)</f>
        <v>No</v>
      </c>
      <c r="J1199" t="str">
        <f>VLOOKUP($A1199, 'Medical Examinations'!A:B, 2, FALSE)</f>
        <v>Obesity</v>
      </c>
      <c r="K1199" t="str">
        <f>VLOOKUP($A1199, 'Medical Examinations'!A:D, 4, FALSE)</f>
        <v>Diabetes</v>
      </c>
    </row>
    <row r="1200" spans="1:11" ht="15.5" x14ac:dyDescent="0.35">
      <c r="A1200" s="1" t="s">
        <v>1172</v>
      </c>
      <c r="B1200" t="str">
        <f>VLOOKUP($A1200, 'Customer Names'!A:D, 3, FALSE)</f>
        <v>Lafrance</v>
      </c>
      <c r="C1200">
        <f>VLOOKUP($A1200,'Medical Examinations'!A:C, 3, FALSE)</f>
        <v>35.97</v>
      </c>
      <c r="D1200" t="str">
        <f>VLOOKUP($A1200, 'Medical Examinations'!A:D, 4, FALSE)</f>
        <v>Diabetes</v>
      </c>
      <c r="E1200" t="str">
        <f>VLOOKUP($A1200, 'Medical Examinations'!A:F, 6, FALSE)</f>
        <v>No</v>
      </c>
      <c r="F1200" t="str">
        <f>VLOOKUP($A1200, 'Medical Examinations'!A:G, 7, FALSE)</f>
        <v>No</v>
      </c>
      <c r="G1200" t="str">
        <f>VLOOKUP($A1200, 'Medical Examinations'!A:H, 8, FALSE)</f>
        <v>No</v>
      </c>
      <c r="H1200" t="str">
        <f>VLOOKUP($A1200, 'Medical Examinations'!A:J, 10, FALSE)</f>
        <v>No major surgery</v>
      </c>
      <c r="I1200" t="str">
        <f>VLOOKUP($A1200, 'Medical Examinations'!A:K, 11, FALSE)</f>
        <v>No</v>
      </c>
      <c r="J1200" t="str">
        <f>VLOOKUP($A1200, 'Medical Examinations'!A:B, 2, FALSE)</f>
        <v>Obesity</v>
      </c>
      <c r="K1200" t="str">
        <f>VLOOKUP($A1200, 'Medical Examinations'!A:D, 4, FALSE)</f>
        <v>Diabetes</v>
      </c>
    </row>
    <row r="1201" spans="1:11" ht="15.5" x14ac:dyDescent="0.35">
      <c r="A1201" s="1" t="s">
        <v>1171</v>
      </c>
      <c r="B1201" t="str">
        <f>VLOOKUP($A1201, 'Customer Names'!A:D, 3, FALSE)</f>
        <v>Hallis</v>
      </c>
      <c r="C1201">
        <f>VLOOKUP($A1201,'Medical Examinations'!A:C, 3, FALSE)</f>
        <v>25.86</v>
      </c>
      <c r="D1201" t="str">
        <f>VLOOKUP($A1201, 'Medical Examinations'!A:D, 4, FALSE)</f>
        <v>Diabetes</v>
      </c>
      <c r="E1201" t="str">
        <f>VLOOKUP($A1201, 'Medical Examinations'!A:F, 6, FALSE)</f>
        <v>yes</v>
      </c>
      <c r="F1201" t="str">
        <f>VLOOKUP($A1201, 'Medical Examinations'!A:G, 7, FALSE)</f>
        <v>No</v>
      </c>
      <c r="G1201" t="str">
        <f>VLOOKUP($A1201, 'Medical Examinations'!A:H, 8, FALSE)</f>
        <v>No</v>
      </c>
      <c r="H1201">
        <f>VLOOKUP($A1201, 'Medical Examinations'!A:J, 10, FALSE)</f>
        <v>1</v>
      </c>
      <c r="I1201" t="str">
        <f>VLOOKUP($A1201, 'Medical Examinations'!A:K, 11, FALSE)</f>
        <v>No</v>
      </c>
      <c r="J1201" t="str">
        <f>VLOOKUP($A1201, 'Medical Examinations'!A:B, 2, FALSE)</f>
        <v>Overweight</v>
      </c>
      <c r="K1201" t="str">
        <f>VLOOKUP($A1201, 'Medical Examinations'!A:D, 4, FALSE)</f>
        <v>Diabetes</v>
      </c>
    </row>
    <row r="1202" spans="1:11" ht="15.5" x14ac:dyDescent="0.35">
      <c r="A1202" s="1" t="s">
        <v>1170</v>
      </c>
      <c r="B1202" t="str">
        <f>VLOOKUP($A1202, 'Customer Names'!A:D, 3, FALSE)</f>
        <v>Marshall</v>
      </c>
      <c r="C1202">
        <f>VLOOKUP($A1202,'Medical Examinations'!A:C, 3, FALSE)</f>
        <v>30.03</v>
      </c>
      <c r="D1202" t="str">
        <f>VLOOKUP($A1202, 'Medical Examinations'!A:D, 4, FALSE)</f>
        <v>Diabetes</v>
      </c>
      <c r="E1202" t="str">
        <f>VLOOKUP($A1202, 'Medical Examinations'!A:F, 6, FALSE)</f>
        <v>No</v>
      </c>
      <c r="F1202" t="str">
        <f>VLOOKUP($A1202, 'Medical Examinations'!A:G, 7, FALSE)</f>
        <v>No</v>
      </c>
      <c r="G1202" t="str">
        <f>VLOOKUP($A1202, 'Medical Examinations'!A:H, 8, FALSE)</f>
        <v>No</v>
      </c>
      <c r="H1202" t="str">
        <f>VLOOKUP($A1202, 'Medical Examinations'!A:J, 10, FALSE)</f>
        <v>No major surgery</v>
      </c>
      <c r="I1202" t="str">
        <f>VLOOKUP($A1202, 'Medical Examinations'!A:K, 11, FALSE)</f>
        <v>No</v>
      </c>
      <c r="J1202" t="str">
        <f>VLOOKUP($A1202, 'Medical Examinations'!A:B, 2, FALSE)</f>
        <v>Obesity</v>
      </c>
      <c r="K1202" t="str">
        <f>VLOOKUP($A1202, 'Medical Examinations'!A:D, 4, FALSE)</f>
        <v>Diabetes</v>
      </c>
    </row>
    <row r="1203" spans="1:11" ht="15.5" x14ac:dyDescent="0.35">
      <c r="A1203" s="1" t="s">
        <v>1169</v>
      </c>
      <c r="B1203" t="str">
        <f>VLOOKUP($A1203, 'Customer Names'!A:D, 3, FALSE)</f>
        <v>Salowitz</v>
      </c>
      <c r="C1203">
        <f>VLOOKUP($A1203,'Medical Examinations'!A:C, 3, FALSE)</f>
        <v>25.76</v>
      </c>
      <c r="D1203" t="str">
        <f>VLOOKUP($A1203, 'Medical Examinations'!A:D, 4, FALSE)</f>
        <v>Prediabetes</v>
      </c>
      <c r="E1203" t="str">
        <f>VLOOKUP($A1203, 'Medical Examinations'!A:F, 6, FALSE)</f>
        <v>yes</v>
      </c>
      <c r="F1203" t="str">
        <f>VLOOKUP($A1203, 'Medical Examinations'!A:G, 7, FALSE)</f>
        <v>No</v>
      </c>
      <c r="G1203" t="str">
        <f>VLOOKUP($A1203, 'Medical Examinations'!A:H, 8, FALSE)</f>
        <v>Yes</v>
      </c>
      <c r="H1203">
        <f>VLOOKUP($A1203, 'Medical Examinations'!A:J, 10, FALSE)</f>
        <v>1</v>
      </c>
      <c r="I1203" t="str">
        <f>VLOOKUP($A1203, 'Medical Examinations'!A:K, 11, FALSE)</f>
        <v>No</v>
      </c>
      <c r="J1203" t="str">
        <f>VLOOKUP($A1203, 'Medical Examinations'!A:B, 2, FALSE)</f>
        <v>Overweight</v>
      </c>
      <c r="K1203" t="str">
        <f>VLOOKUP($A1203, 'Medical Examinations'!A:D, 4, FALSE)</f>
        <v>Prediabetes</v>
      </c>
    </row>
    <row r="1204" spans="1:11" ht="15.5" x14ac:dyDescent="0.35">
      <c r="A1204" s="1" t="s">
        <v>1168</v>
      </c>
      <c r="B1204" t="str">
        <f>VLOOKUP($A1204, 'Customer Names'!A:D, 3, FALSE)</f>
        <v>Blake</v>
      </c>
      <c r="C1204">
        <f>VLOOKUP($A1204,'Medical Examinations'!A:C, 3, FALSE)</f>
        <v>22.42</v>
      </c>
      <c r="D1204" t="str">
        <f>VLOOKUP($A1204, 'Medical Examinations'!A:D, 4, FALSE)</f>
        <v>Diabetes</v>
      </c>
      <c r="E1204" t="str">
        <f>VLOOKUP($A1204, 'Medical Examinations'!A:F, 6, FALSE)</f>
        <v>No</v>
      </c>
      <c r="F1204" t="str">
        <f>VLOOKUP($A1204, 'Medical Examinations'!A:G, 7, FALSE)</f>
        <v>No</v>
      </c>
      <c r="G1204" t="str">
        <f>VLOOKUP($A1204, 'Medical Examinations'!A:H, 8, FALSE)</f>
        <v>No</v>
      </c>
      <c r="H1204" t="str">
        <f>VLOOKUP($A1204, 'Medical Examinations'!A:J, 10, FALSE)</f>
        <v>No major surgery</v>
      </c>
      <c r="I1204" t="str">
        <f>VLOOKUP($A1204, 'Medical Examinations'!A:K, 11, FALSE)</f>
        <v>No</v>
      </c>
      <c r="J1204" t="str">
        <f>VLOOKUP($A1204, 'Medical Examinations'!A:B, 2, FALSE)</f>
        <v>Normal Weight</v>
      </c>
      <c r="K1204" t="str">
        <f>VLOOKUP($A1204, 'Medical Examinations'!A:D, 4, FALSE)</f>
        <v>Diabetes</v>
      </c>
    </row>
    <row r="1205" spans="1:11" ht="15.5" x14ac:dyDescent="0.35">
      <c r="A1205" s="1" t="s">
        <v>1167</v>
      </c>
      <c r="B1205" t="str">
        <f>VLOOKUP($A1205, 'Customer Names'!A:D, 3, FALSE)</f>
        <v>Langerak</v>
      </c>
      <c r="C1205">
        <f>VLOOKUP($A1205,'Medical Examinations'!A:C, 3, FALSE)</f>
        <v>33.18</v>
      </c>
      <c r="D1205" t="str">
        <f>VLOOKUP($A1205, 'Medical Examinations'!A:D, 4, FALSE)</f>
        <v>Prediabetes</v>
      </c>
      <c r="E1205" t="str">
        <f>VLOOKUP($A1205, 'Medical Examinations'!A:F, 6, FALSE)</f>
        <v>yes</v>
      </c>
      <c r="F1205" t="str">
        <f>VLOOKUP($A1205, 'Medical Examinations'!A:G, 7, FALSE)</f>
        <v>No</v>
      </c>
      <c r="G1205" t="str">
        <f>VLOOKUP($A1205, 'Medical Examinations'!A:H, 8, FALSE)</f>
        <v>No</v>
      </c>
      <c r="H1205">
        <f>VLOOKUP($A1205, 'Medical Examinations'!A:J, 10, FALSE)</f>
        <v>1</v>
      </c>
      <c r="I1205" t="str">
        <f>VLOOKUP($A1205, 'Medical Examinations'!A:K, 11, FALSE)</f>
        <v>No</v>
      </c>
      <c r="J1205" t="str">
        <f>VLOOKUP($A1205, 'Medical Examinations'!A:B, 2, FALSE)</f>
        <v>Obesity</v>
      </c>
      <c r="K1205" t="str">
        <f>VLOOKUP($A1205, 'Medical Examinations'!A:D, 4, FALSE)</f>
        <v>Prediabetes</v>
      </c>
    </row>
    <row r="1206" spans="1:11" ht="15.5" x14ac:dyDescent="0.35">
      <c r="A1206" s="1" t="s">
        <v>1166</v>
      </c>
      <c r="B1206" t="str">
        <f>VLOOKUP($A1206, 'Customer Names'!A:D, 3, FALSE)</f>
        <v>Bonilla</v>
      </c>
      <c r="C1206">
        <f>VLOOKUP($A1206,'Medical Examinations'!A:C, 3, FALSE)</f>
        <v>43.04</v>
      </c>
      <c r="D1206" t="str">
        <f>VLOOKUP($A1206, 'Medical Examinations'!A:D, 4, FALSE)</f>
        <v>Prediabetes</v>
      </c>
      <c r="E1206" t="str">
        <f>VLOOKUP($A1206, 'Medical Examinations'!A:F, 6, FALSE)</f>
        <v>yes</v>
      </c>
      <c r="F1206" t="str">
        <f>VLOOKUP($A1206, 'Medical Examinations'!A:G, 7, FALSE)</f>
        <v>No</v>
      </c>
      <c r="G1206" t="str">
        <f>VLOOKUP($A1206, 'Medical Examinations'!A:H, 8, FALSE)</f>
        <v>No</v>
      </c>
      <c r="H1206" t="str">
        <f>VLOOKUP($A1206, 'Medical Examinations'!A:J, 10, FALSE)</f>
        <v>No major surgery</v>
      </c>
      <c r="I1206" t="str">
        <f>VLOOKUP($A1206, 'Medical Examinations'!A:K, 11, FALSE)</f>
        <v>No</v>
      </c>
      <c r="J1206" t="str">
        <f>VLOOKUP($A1206, 'Medical Examinations'!A:B, 2, FALSE)</f>
        <v>Obesity</v>
      </c>
      <c r="K1206" t="str">
        <f>VLOOKUP($A1206, 'Medical Examinations'!A:D, 4, FALSE)</f>
        <v>Prediabetes</v>
      </c>
    </row>
    <row r="1207" spans="1:11" ht="15.5" x14ac:dyDescent="0.35">
      <c r="A1207" s="1" t="s">
        <v>1165</v>
      </c>
      <c r="B1207" t="str">
        <f>VLOOKUP($A1207, 'Customer Names'!A:D, 3, FALSE)</f>
        <v>Ciabattoni</v>
      </c>
      <c r="C1207">
        <f>VLOOKUP($A1207,'Medical Examinations'!A:C, 3, FALSE)</f>
        <v>34.15</v>
      </c>
      <c r="D1207" t="str">
        <f>VLOOKUP($A1207, 'Medical Examinations'!A:D, 4, FALSE)</f>
        <v>Normal</v>
      </c>
      <c r="E1207" t="str">
        <f>VLOOKUP($A1207, 'Medical Examinations'!A:F, 6, FALSE)</f>
        <v>yes</v>
      </c>
      <c r="F1207" t="str">
        <f>VLOOKUP($A1207, 'Medical Examinations'!A:G, 7, FALSE)</f>
        <v>No</v>
      </c>
      <c r="G1207" t="str">
        <f>VLOOKUP($A1207, 'Medical Examinations'!A:H, 8, FALSE)</f>
        <v>No</v>
      </c>
      <c r="H1207">
        <f>VLOOKUP($A1207, 'Medical Examinations'!A:J, 10, FALSE)</f>
        <v>1</v>
      </c>
      <c r="I1207" t="str">
        <f>VLOOKUP($A1207, 'Medical Examinations'!A:K, 11, FALSE)</f>
        <v>No</v>
      </c>
      <c r="J1207" t="str">
        <f>VLOOKUP($A1207, 'Medical Examinations'!A:B, 2, FALSE)</f>
        <v>Obesity</v>
      </c>
      <c r="K1207" t="str">
        <f>VLOOKUP($A1207, 'Medical Examinations'!A:D, 4, FALSE)</f>
        <v>Normal</v>
      </c>
    </row>
    <row r="1208" spans="1:11" ht="15.5" x14ac:dyDescent="0.35">
      <c r="A1208" s="1" t="s">
        <v>1164</v>
      </c>
      <c r="B1208" t="str">
        <f>VLOOKUP($A1208, 'Customer Names'!A:D, 3, FALSE)</f>
        <v>Escanero Palmer</v>
      </c>
      <c r="C1208">
        <f>VLOOKUP($A1208,'Medical Examinations'!A:C, 3, FALSE)</f>
        <v>25.78</v>
      </c>
      <c r="D1208" t="str">
        <f>VLOOKUP($A1208, 'Medical Examinations'!A:D, 4, FALSE)</f>
        <v>Prediabetes</v>
      </c>
      <c r="E1208" t="str">
        <f>VLOOKUP($A1208, 'Medical Examinations'!A:F, 6, FALSE)</f>
        <v>No</v>
      </c>
      <c r="F1208" t="str">
        <f>VLOOKUP($A1208, 'Medical Examinations'!A:G, 7, FALSE)</f>
        <v>No</v>
      </c>
      <c r="G1208" t="str">
        <f>VLOOKUP($A1208, 'Medical Examinations'!A:H, 8, FALSE)</f>
        <v>No</v>
      </c>
      <c r="H1208" t="str">
        <f>VLOOKUP($A1208, 'Medical Examinations'!A:J, 10, FALSE)</f>
        <v>No major surgery</v>
      </c>
      <c r="I1208" t="str">
        <f>VLOOKUP($A1208, 'Medical Examinations'!A:K, 11, FALSE)</f>
        <v>No</v>
      </c>
      <c r="J1208" t="str">
        <f>VLOOKUP($A1208, 'Medical Examinations'!A:B, 2, FALSE)</f>
        <v>Overweight</v>
      </c>
      <c r="K1208" t="str">
        <f>VLOOKUP($A1208, 'Medical Examinations'!A:D, 4, FALSE)</f>
        <v>Prediabetes</v>
      </c>
    </row>
    <row r="1209" spans="1:11" ht="15.5" x14ac:dyDescent="0.35">
      <c r="A1209" s="1" t="s">
        <v>1163</v>
      </c>
      <c r="B1209" t="str">
        <f>VLOOKUP($A1209, 'Customer Names'!A:D, 3, FALSE)</f>
        <v>Lowe</v>
      </c>
      <c r="C1209">
        <f>VLOOKUP($A1209,'Medical Examinations'!A:C, 3, FALSE)</f>
        <v>21.02</v>
      </c>
      <c r="D1209" t="str">
        <f>VLOOKUP($A1209, 'Medical Examinations'!A:D, 4, FALSE)</f>
        <v>Diabetes</v>
      </c>
      <c r="E1209" t="str">
        <f>VLOOKUP($A1209, 'Medical Examinations'!A:F, 6, FALSE)</f>
        <v>yes</v>
      </c>
      <c r="F1209" t="str">
        <f>VLOOKUP($A1209, 'Medical Examinations'!A:G, 7, FALSE)</f>
        <v>No</v>
      </c>
      <c r="G1209" t="str">
        <f>VLOOKUP($A1209, 'Medical Examinations'!A:H, 8, FALSE)</f>
        <v>Yes</v>
      </c>
      <c r="H1209">
        <f>VLOOKUP($A1209, 'Medical Examinations'!A:J, 10, FALSE)</f>
        <v>1</v>
      </c>
      <c r="I1209" t="str">
        <f>VLOOKUP($A1209, 'Medical Examinations'!A:K, 11, FALSE)</f>
        <v>No</v>
      </c>
      <c r="J1209" t="str">
        <f>VLOOKUP($A1209, 'Medical Examinations'!A:B, 2, FALSE)</f>
        <v>Normal Weight</v>
      </c>
      <c r="K1209" t="str">
        <f>VLOOKUP($A1209, 'Medical Examinations'!A:D, 4, FALSE)</f>
        <v>Diabetes</v>
      </c>
    </row>
    <row r="1210" spans="1:11" ht="15.5" x14ac:dyDescent="0.35">
      <c r="A1210" s="1" t="s">
        <v>1162</v>
      </c>
      <c r="B1210" t="str">
        <f>VLOOKUP($A1210, 'Customer Names'!A:D, 3, FALSE)</f>
        <v>Osmark</v>
      </c>
      <c r="C1210">
        <f>VLOOKUP($A1210,'Medical Examinations'!A:C, 3, FALSE)</f>
        <v>37.51</v>
      </c>
      <c r="D1210" t="str">
        <f>VLOOKUP($A1210, 'Medical Examinations'!A:D, 4, FALSE)</f>
        <v>Diabetes</v>
      </c>
      <c r="E1210" t="str">
        <f>VLOOKUP($A1210, 'Medical Examinations'!A:F, 6, FALSE)</f>
        <v>No</v>
      </c>
      <c r="F1210" t="str">
        <f>VLOOKUP($A1210, 'Medical Examinations'!A:G, 7, FALSE)</f>
        <v>No</v>
      </c>
      <c r="G1210" t="str">
        <f>VLOOKUP($A1210, 'Medical Examinations'!A:H, 8, FALSE)</f>
        <v>No</v>
      </c>
      <c r="H1210">
        <f>VLOOKUP($A1210, 'Medical Examinations'!A:J, 10, FALSE)</f>
        <v>2</v>
      </c>
      <c r="I1210" t="str">
        <f>VLOOKUP($A1210, 'Medical Examinations'!A:K, 11, FALSE)</f>
        <v>No</v>
      </c>
      <c r="J1210" t="str">
        <f>VLOOKUP($A1210, 'Medical Examinations'!A:B, 2, FALSE)</f>
        <v>Obesity</v>
      </c>
      <c r="K1210" t="str">
        <f>VLOOKUP($A1210, 'Medical Examinations'!A:D, 4, FALSE)</f>
        <v>Diabetes</v>
      </c>
    </row>
    <row r="1211" spans="1:11" ht="15.5" x14ac:dyDescent="0.35">
      <c r="A1211" s="1" t="s">
        <v>1161</v>
      </c>
      <c r="B1211" t="str">
        <f>VLOOKUP($A1211, 'Customer Names'!A:D, 3, FALSE)</f>
        <v>Lawson</v>
      </c>
      <c r="C1211">
        <f>VLOOKUP($A1211,'Medical Examinations'!A:C, 3, FALSE)</f>
        <v>25.745000000000001</v>
      </c>
      <c r="D1211" t="str">
        <f>VLOOKUP($A1211, 'Medical Examinations'!A:D, 4, FALSE)</f>
        <v>Prediabetes</v>
      </c>
      <c r="E1211" t="str">
        <f>VLOOKUP($A1211, 'Medical Examinations'!A:F, 6, FALSE)</f>
        <v>yes</v>
      </c>
      <c r="F1211" t="str">
        <f>VLOOKUP($A1211, 'Medical Examinations'!A:G, 7, FALSE)</f>
        <v>No</v>
      </c>
      <c r="G1211" t="str">
        <f>VLOOKUP($A1211, 'Medical Examinations'!A:H, 8, FALSE)</f>
        <v>No</v>
      </c>
      <c r="H1211" t="str">
        <f>VLOOKUP($A1211, 'Medical Examinations'!A:J, 10, FALSE)</f>
        <v>No major surgery</v>
      </c>
      <c r="I1211" t="str">
        <f>VLOOKUP($A1211, 'Medical Examinations'!A:K, 11, FALSE)</f>
        <v>No</v>
      </c>
      <c r="J1211" t="str">
        <f>VLOOKUP($A1211, 'Medical Examinations'!A:B, 2, FALSE)</f>
        <v>Overweight</v>
      </c>
      <c r="K1211" t="str">
        <f>VLOOKUP($A1211, 'Medical Examinations'!A:D, 4, FALSE)</f>
        <v>Prediabetes</v>
      </c>
    </row>
    <row r="1212" spans="1:11" ht="15.5" x14ac:dyDescent="0.35">
      <c r="A1212" s="1" t="s">
        <v>1160</v>
      </c>
      <c r="B1212" t="str">
        <f>VLOOKUP($A1212, 'Customer Names'!A:D, 3, FALSE)</f>
        <v>Warwick</v>
      </c>
      <c r="C1212">
        <f>VLOOKUP($A1212,'Medical Examinations'!A:C, 3, FALSE)</f>
        <v>31.35</v>
      </c>
      <c r="D1212" t="str">
        <f>VLOOKUP($A1212, 'Medical Examinations'!A:D, 4, FALSE)</f>
        <v>Diabetes</v>
      </c>
      <c r="E1212" t="str">
        <f>VLOOKUP($A1212, 'Medical Examinations'!A:F, 6, FALSE)</f>
        <v>No</v>
      </c>
      <c r="F1212" t="str">
        <f>VLOOKUP($A1212, 'Medical Examinations'!A:G, 7, FALSE)</f>
        <v>No</v>
      </c>
      <c r="G1212" t="str">
        <f>VLOOKUP($A1212, 'Medical Examinations'!A:H, 8, FALSE)</f>
        <v>No</v>
      </c>
      <c r="H1212">
        <f>VLOOKUP($A1212, 'Medical Examinations'!A:J, 10, FALSE)</f>
        <v>2</v>
      </c>
      <c r="I1212" t="str">
        <f>VLOOKUP($A1212, 'Medical Examinations'!A:K, 11, FALSE)</f>
        <v>No</v>
      </c>
      <c r="J1212" t="str">
        <f>VLOOKUP($A1212, 'Medical Examinations'!A:B, 2, FALSE)</f>
        <v>Obesity</v>
      </c>
      <c r="K1212" t="str">
        <f>VLOOKUP($A1212, 'Medical Examinations'!A:D, 4, FALSE)</f>
        <v>Diabetes</v>
      </c>
    </row>
    <row r="1213" spans="1:11" ht="15.5" x14ac:dyDescent="0.35">
      <c r="A1213" s="1" t="s">
        <v>1159</v>
      </c>
      <c r="B1213" t="str">
        <f>VLOOKUP($A1213, 'Customer Names'!A:D, 3, FALSE)</f>
        <v>Magnuson</v>
      </c>
      <c r="C1213">
        <f>VLOOKUP($A1213,'Medical Examinations'!A:C, 3, FALSE)</f>
        <v>29.83</v>
      </c>
      <c r="D1213" t="str">
        <f>VLOOKUP($A1213, 'Medical Examinations'!A:D, 4, FALSE)</f>
        <v>Diabetes</v>
      </c>
      <c r="E1213" t="str">
        <f>VLOOKUP($A1213, 'Medical Examinations'!A:F, 6, FALSE)</f>
        <v>No</v>
      </c>
      <c r="F1213" t="str">
        <f>VLOOKUP($A1213, 'Medical Examinations'!A:G, 7, FALSE)</f>
        <v>No</v>
      </c>
      <c r="G1213" t="str">
        <f>VLOOKUP($A1213, 'Medical Examinations'!A:H, 8, FALSE)</f>
        <v>No</v>
      </c>
      <c r="H1213">
        <f>VLOOKUP($A1213, 'Medical Examinations'!A:J, 10, FALSE)</f>
        <v>2</v>
      </c>
      <c r="I1213" t="str">
        <f>VLOOKUP($A1213, 'Medical Examinations'!A:K, 11, FALSE)</f>
        <v>No</v>
      </c>
      <c r="J1213" t="str">
        <f>VLOOKUP($A1213, 'Medical Examinations'!A:B, 2, FALSE)</f>
        <v>Overweight</v>
      </c>
      <c r="K1213" t="str">
        <f>VLOOKUP($A1213, 'Medical Examinations'!A:D, 4, FALSE)</f>
        <v>Diabetes</v>
      </c>
    </row>
    <row r="1214" spans="1:11" ht="15.5" x14ac:dyDescent="0.35">
      <c r="A1214" s="1" t="s">
        <v>1158</v>
      </c>
      <c r="B1214" t="str">
        <f>VLOOKUP($A1214, 'Customer Names'!A:D, 3, FALSE)</f>
        <v>Marsh</v>
      </c>
      <c r="C1214">
        <f>VLOOKUP($A1214,'Medical Examinations'!A:C, 3, FALSE)</f>
        <v>25.49</v>
      </c>
      <c r="D1214" t="str">
        <f>VLOOKUP($A1214, 'Medical Examinations'!A:D, 4, FALSE)</f>
        <v>Normal</v>
      </c>
      <c r="E1214" t="str">
        <f>VLOOKUP($A1214, 'Medical Examinations'!A:F, 6, FALSE)</f>
        <v>yes</v>
      </c>
      <c r="F1214" t="str">
        <f>VLOOKUP($A1214, 'Medical Examinations'!A:G, 7, FALSE)</f>
        <v>No</v>
      </c>
      <c r="G1214" t="str">
        <f>VLOOKUP($A1214, 'Medical Examinations'!A:H, 8, FALSE)</f>
        <v>Yes</v>
      </c>
      <c r="H1214">
        <f>VLOOKUP($A1214, 'Medical Examinations'!A:J, 10, FALSE)</f>
        <v>1</v>
      </c>
      <c r="I1214" t="str">
        <f>VLOOKUP($A1214, 'Medical Examinations'!A:K, 11, FALSE)</f>
        <v>No</v>
      </c>
      <c r="J1214" t="str">
        <f>VLOOKUP($A1214, 'Medical Examinations'!A:B, 2, FALSE)</f>
        <v>Overweight</v>
      </c>
      <c r="K1214" t="str">
        <f>VLOOKUP($A1214, 'Medical Examinations'!A:D, 4, FALSE)</f>
        <v>Normal</v>
      </c>
    </row>
    <row r="1215" spans="1:11" ht="15.5" x14ac:dyDescent="0.35">
      <c r="A1215" s="1" t="s">
        <v>1157</v>
      </c>
      <c r="B1215" t="str">
        <f>VLOOKUP($A1215, 'Customer Names'!A:D, 3, FALSE)</f>
        <v>Kari</v>
      </c>
      <c r="C1215">
        <f>VLOOKUP($A1215,'Medical Examinations'!A:C, 3, FALSE)</f>
        <v>34.1</v>
      </c>
      <c r="D1215" t="str">
        <f>VLOOKUP($A1215, 'Medical Examinations'!A:D, 4, FALSE)</f>
        <v>Diabetes</v>
      </c>
      <c r="E1215" t="str">
        <f>VLOOKUP($A1215, 'Medical Examinations'!A:F, 6, FALSE)</f>
        <v>No</v>
      </c>
      <c r="F1215" t="str">
        <f>VLOOKUP($A1215, 'Medical Examinations'!A:G, 7, FALSE)</f>
        <v>No</v>
      </c>
      <c r="G1215" t="str">
        <f>VLOOKUP($A1215, 'Medical Examinations'!A:H, 8, FALSE)</f>
        <v>No</v>
      </c>
      <c r="H1215" t="str">
        <f>VLOOKUP($A1215, 'Medical Examinations'!A:J, 10, FALSE)</f>
        <v>No major surgery</v>
      </c>
      <c r="I1215" t="str">
        <f>VLOOKUP($A1215, 'Medical Examinations'!A:K, 11, FALSE)</f>
        <v>No</v>
      </c>
      <c r="J1215" t="str">
        <f>VLOOKUP($A1215, 'Medical Examinations'!A:B, 2, FALSE)</f>
        <v>Obesity</v>
      </c>
      <c r="K1215" t="str">
        <f>VLOOKUP($A1215, 'Medical Examinations'!A:D, 4, FALSE)</f>
        <v>Diabetes</v>
      </c>
    </row>
    <row r="1216" spans="1:11" ht="15.5" x14ac:dyDescent="0.35">
      <c r="A1216" s="1" t="s">
        <v>1156</v>
      </c>
      <c r="B1216" t="str">
        <f>VLOOKUP($A1216, 'Customer Names'!A:D, 3, FALSE)</f>
        <v>Standiford</v>
      </c>
      <c r="C1216">
        <f>VLOOKUP($A1216,'Medical Examinations'!A:C, 3, FALSE)</f>
        <v>25.84</v>
      </c>
      <c r="D1216" t="str">
        <f>VLOOKUP($A1216, 'Medical Examinations'!A:D, 4, FALSE)</f>
        <v>Diabetes</v>
      </c>
      <c r="E1216" t="str">
        <f>VLOOKUP($A1216, 'Medical Examinations'!A:F, 6, FALSE)</f>
        <v>No</v>
      </c>
      <c r="F1216" t="str">
        <f>VLOOKUP($A1216, 'Medical Examinations'!A:G, 7, FALSE)</f>
        <v>No</v>
      </c>
      <c r="G1216" t="str">
        <f>VLOOKUP($A1216, 'Medical Examinations'!A:H, 8, FALSE)</f>
        <v>No</v>
      </c>
      <c r="H1216">
        <f>VLOOKUP($A1216, 'Medical Examinations'!A:J, 10, FALSE)</f>
        <v>2</v>
      </c>
      <c r="I1216" t="str">
        <f>VLOOKUP($A1216, 'Medical Examinations'!A:K, 11, FALSE)</f>
        <v>No</v>
      </c>
      <c r="J1216" t="str">
        <f>VLOOKUP($A1216, 'Medical Examinations'!A:B, 2, FALSE)</f>
        <v>Overweight</v>
      </c>
      <c r="K1216" t="str">
        <f>VLOOKUP($A1216, 'Medical Examinations'!A:D, 4, FALSE)</f>
        <v>Diabetes</v>
      </c>
    </row>
    <row r="1217" spans="1:11" ht="15.5" x14ac:dyDescent="0.35">
      <c r="A1217" s="1" t="s">
        <v>1155</v>
      </c>
      <c r="B1217" t="str">
        <f>VLOOKUP($A1217, 'Customer Names'!A:D, 3, FALSE)</f>
        <v>Sherwin</v>
      </c>
      <c r="C1217">
        <f>VLOOKUP($A1217,'Medical Examinations'!A:C, 3, FALSE)</f>
        <v>20.6</v>
      </c>
      <c r="D1217" t="str">
        <f>VLOOKUP($A1217, 'Medical Examinations'!A:D, 4, FALSE)</f>
        <v>Diabetes</v>
      </c>
      <c r="E1217" t="str">
        <f>VLOOKUP($A1217, 'Medical Examinations'!A:F, 6, FALSE)</f>
        <v>No</v>
      </c>
      <c r="F1217" t="str">
        <f>VLOOKUP($A1217, 'Medical Examinations'!A:G, 7, FALSE)</f>
        <v>No</v>
      </c>
      <c r="G1217" t="str">
        <f>VLOOKUP($A1217, 'Medical Examinations'!A:H, 8, FALSE)</f>
        <v>No</v>
      </c>
      <c r="H1217" t="str">
        <f>VLOOKUP($A1217, 'Medical Examinations'!A:J, 10, FALSE)</f>
        <v>No major surgery</v>
      </c>
      <c r="I1217" t="str">
        <f>VLOOKUP($A1217, 'Medical Examinations'!A:K, 11, FALSE)</f>
        <v>No</v>
      </c>
      <c r="J1217" t="str">
        <f>VLOOKUP($A1217, 'Medical Examinations'!A:B, 2, FALSE)</f>
        <v>Normal Weight</v>
      </c>
      <c r="K1217" t="str">
        <f>VLOOKUP($A1217, 'Medical Examinations'!A:D, 4, FALSE)</f>
        <v>Diabetes</v>
      </c>
    </row>
    <row r="1218" spans="1:11" ht="15.5" x14ac:dyDescent="0.35">
      <c r="A1218" s="1" t="s">
        <v>1154</v>
      </c>
      <c r="B1218" t="str">
        <f>VLOOKUP($A1218, 'Customer Names'!A:D, 3, FALSE)</f>
        <v>Parker</v>
      </c>
      <c r="C1218">
        <f>VLOOKUP($A1218,'Medical Examinations'!A:C, 3, FALSE)</f>
        <v>28.88</v>
      </c>
      <c r="D1218" t="str">
        <f>VLOOKUP($A1218, 'Medical Examinations'!A:D, 4, FALSE)</f>
        <v>Diabetes</v>
      </c>
      <c r="E1218" t="str">
        <f>VLOOKUP($A1218, 'Medical Examinations'!A:F, 6, FALSE)</f>
        <v>No</v>
      </c>
      <c r="F1218" t="str">
        <f>VLOOKUP($A1218, 'Medical Examinations'!A:G, 7, FALSE)</f>
        <v>No</v>
      </c>
      <c r="G1218" t="str">
        <f>VLOOKUP($A1218, 'Medical Examinations'!A:H, 8, FALSE)</f>
        <v>No</v>
      </c>
      <c r="H1218" t="str">
        <f>VLOOKUP($A1218, 'Medical Examinations'!A:J, 10, FALSE)</f>
        <v>No major surgery</v>
      </c>
      <c r="I1218" t="str">
        <f>VLOOKUP($A1218, 'Medical Examinations'!A:K, 11, FALSE)</f>
        <v>No</v>
      </c>
      <c r="J1218" t="str">
        <f>VLOOKUP($A1218, 'Medical Examinations'!A:B, 2, FALSE)</f>
        <v>Overweight</v>
      </c>
      <c r="K1218" t="str">
        <f>VLOOKUP($A1218, 'Medical Examinations'!A:D, 4, FALSE)</f>
        <v>Diabetes</v>
      </c>
    </row>
    <row r="1219" spans="1:11" ht="15.5" x14ac:dyDescent="0.35">
      <c r="A1219" s="1" t="s">
        <v>1153</v>
      </c>
      <c r="B1219" t="str">
        <f>VLOOKUP($A1219, 'Customer Names'!A:D, 3, FALSE)</f>
        <v>Blekeli</v>
      </c>
      <c r="C1219">
        <f>VLOOKUP($A1219,'Medical Examinations'!A:C, 3, FALSE)</f>
        <v>28.24</v>
      </c>
      <c r="D1219" t="str">
        <f>VLOOKUP($A1219, 'Medical Examinations'!A:D, 4, FALSE)</f>
        <v>Normal</v>
      </c>
      <c r="E1219" t="str">
        <f>VLOOKUP($A1219, 'Medical Examinations'!A:F, 6, FALSE)</f>
        <v>No</v>
      </c>
      <c r="F1219" t="str">
        <f>VLOOKUP($A1219, 'Medical Examinations'!A:G, 7, FALSE)</f>
        <v>No</v>
      </c>
      <c r="G1219" t="str">
        <f>VLOOKUP($A1219, 'Medical Examinations'!A:H, 8, FALSE)</f>
        <v>No</v>
      </c>
      <c r="H1219" t="str">
        <f>VLOOKUP($A1219, 'Medical Examinations'!A:J, 10, FALSE)</f>
        <v>No major surgery</v>
      </c>
      <c r="I1219" t="str">
        <f>VLOOKUP($A1219, 'Medical Examinations'!A:K, 11, FALSE)</f>
        <v>No</v>
      </c>
      <c r="J1219" t="str">
        <f>VLOOKUP($A1219, 'Medical Examinations'!A:B, 2, FALSE)</f>
        <v>Overweight</v>
      </c>
      <c r="K1219" t="str">
        <f>VLOOKUP($A1219, 'Medical Examinations'!A:D, 4, FALSE)</f>
        <v>Normal</v>
      </c>
    </row>
    <row r="1220" spans="1:11" ht="15.5" x14ac:dyDescent="0.35">
      <c r="A1220" s="1" t="s">
        <v>1152</v>
      </c>
      <c r="B1220" t="str">
        <f>VLOOKUP($A1220, 'Customer Names'!A:D, 3, FALSE)</f>
        <v>Vangampleare</v>
      </c>
      <c r="C1220">
        <f>VLOOKUP($A1220,'Medical Examinations'!A:C, 3, FALSE)</f>
        <v>25.46</v>
      </c>
      <c r="D1220" t="str">
        <f>VLOOKUP($A1220, 'Medical Examinations'!A:D, 4, FALSE)</f>
        <v>Diabetes</v>
      </c>
      <c r="E1220" t="str">
        <f>VLOOKUP($A1220, 'Medical Examinations'!A:F, 6, FALSE)</f>
        <v>yes</v>
      </c>
      <c r="F1220" t="str">
        <f>VLOOKUP($A1220, 'Medical Examinations'!A:G, 7, FALSE)</f>
        <v>No</v>
      </c>
      <c r="G1220" t="str">
        <f>VLOOKUP($A1220, 'Medical Examinations'!A:H, 8, FALSE)</f>
        <v>No</v>
      </c>
      <c r="H1220">
        <f>VLOOKUP($A1220, 'Medical Examinations'!A:J, 10, FALSE)</f>
        <v>1</v>
      </c>
      <c r="I1220" t="str">
        <f>VLOOKUP($A1220, 'Medical Examinations'!A:K, 11, FALSE)</f>
        <v>No</v>
      </c>
      <c r="J1220" t="str">
        <f>VLOOKUP($A1220, 'Medical Examinations'!A:B, 2, FALSE)</f>
        <v>Overweight</v>
      </c>
      <c r="K1220" t="str">
        <f>VLOOKUP($A1220, 'Medical Examinations'!A:D, 4, FALSE)</f>
        <v>Diabetes</v>
      </c>
    </row>
    <row r="1221" spans="1:11" ht="15.5" x14ac:dyDescent="0.35">
      <c r="A1221" s="1" t="s">
        <v>1151</v>
      </c>
      <c r="B1221" t="str">
        <f>VLOOKUP($A1221, 'Customer Names'!A:D, 3, FALSE)</f>
        <v>Hiatt</v>
      </c>
      <c r="C1221">
        <f>VLOOKUP($A1221,'Medical Examinations'!A:C, 3, FALSE)</f>
        <v>29.64</v>
      </c>
      <c r="D1221" t="str">
        <f>VLOOKUP($A1221, 'Medical Examinations'!A:D, 4, FALSE)</f>
        <v>Diabetes</v>
      </c>
      <c r="E1221" t="str">
        <f>VLOOKUP($A1221, 'Medical Examinations'!A:F, 6, FALSE)</f>
        <v>yes</v>
      </c>
      <c r="F1221" t="str">
        <f>VLOOKUP($A1221, 'Medical Examinations'!A:G, 7, FALSE)</f>
        <v>No</v>
      </c>
      <c r="G1221" t="str">
        <f>VLOOKUP($A1221, 'Medical Examinations'!A:H, 8, FALSE)</f>
        <v>No</v>
      </c>
      <c r="H1221" t="str">
        <f>VLOOKUP($A1221, 'Medical Examinations'!A:J, 10, FALSE)</f>
        <v>No major surgery</v>
      </c>
      <c r="I1221" t="str">
        <f>VLOOKUP($A1221, 'Medical Examinations'!A:K, 11, FALSE)</f>
        <v>No</v>
      </c>
      <c r="J1221" t="str">
        <f>VLOOKUP($A1221, 'Medical Examinations'!A:B, 2, FALSE)</f>
        <v>Overweight</v>
      </c>
      <c r="K1221" t="str">
        <f>VLOOKUP($A1221, 'Medical Examinations'!A:D, 4, FALSE)</f>
        <v>Diabetes</v>
      </c>
    </row>
    <row r="1222" spans="1:11" ht="15.5" x14ac:dyDescent="0.35">
      <c r="A1222" s="1" t="s">
        <v>1150</v>
      </c>
      <c r="B1222" t="str">
        <f>VLOOKUP($A1222, 'Customer Names'!A:D, 3, FALSE)</f>
        <v>Tadesse</v>
      </c>
      <c r="C1222">
        <f>VLOOKUP($A1222,'Medical Examinations'!A:C, 3, FALSE)</f>
        <v>31.27</v>
      </c>
      <c r="D1222" t="str">
        <f>VLOOKUP($A1222, 'Medical Examinations'!A:D, 4, FALSE)</f>
        <v>Diabetes</v>
      </c>
      <c r="E1222" t="str">
        <f>VLOOKUP($A1222, 'Medical Examinations'!A:F, 6, FALSE)</f>
        <v>yes</v>
      </c>
      <c r="F1222" t="str">
        <f>VLOOKUP($A1222, 'Medical Examinations'!A:G, 7, FALSE)</f>
        <v>No</v>
      </c>
      <c r="G1222" t="str">
        <f>VLOOKUP($A1222, 'Medical Examinations'!A:H, 8, FALSE)</f>
        <v>No</v>
      </c>
      <c r="H1222">
        <f>VLOOKUP($A1222, 'Medical Examinations'!A:J, 10, FALSE)</f>
        <v>1</v>
      </c>
      <c r="I1222" t="str">
        <f>VLOOKUP($A1222, 'Medical Examinations'!A:K, 11, FALSE)</f>
        <v>No</v>
      </c>
      <c r="J1222" t="str">
        <f>VLOOKUP($A1222, 'Medical Examinations'!A:B, 2, FALSE)</f>
        <v>Obesity</v>
      </c>
      <c r="K1222" t="str">
        <f>VLOOKUP($A1222, 'Medical Examinations'!A:D, 4, FALSE)</f>
        <v>Diabetes</v>
      </c>
    </row>
    <row r="1223" spans="1:11" ht="15.5" x14ac:dyDescent="0.35">
      <c r="A1223" s="1" t="s">
        <v>1149</v>
      </c>
      <c r="B1223" t="str">
        <f>VLOOKUP($A1223, 'Customer Names'!A:D, 3, FALSE)</f>
        <v>Jaswell</v>
      </c>
      <c r="C1223">
        <f>VLOOKUP($A1223,'Medical Examinations'!A:C, 3, FALSE)</f>
        <v>19.95</v>
      </c>
      <c r="D1223" t="str">
        <f>VLOOKUP($A1223, 'Medical Examinations'!A:D, 4, FALSE)</f>
        <v>Prediabetes</v>
      </c>
      <c r="E1223" t="str">
        <f>VLOOKUP($A1223, 'Medical Examinations'!A:F, 6, FALSE)</f>
        <v>yes</v>
      </c>
      <c r="F1223" t="str">
        <f>VLOOKUP($A1223, 'Medical Examinations'!A:G, 7, FALSE)</f>
        <v>No</v>
      </c>
      <c r="G1223" t="str">
        <f>VLOOKUP($A1223, 'Medical Examinations'!A:H, 8, FALSE)</f>
        <v>No</v>
      </c>
      <c r="H1223" t="str">
        <f>VLOOKUP($A1223, 'Medical Examinations'!A:J, 10, FALSE)</f>
        <v>No major surgery</v>
      </c>
      <c r="I1223" t="str">
        <f>VLOOKUP($A1223, 'Medical Examinations'!A:K, 11, FALSE)</f>
        <v>No</v>
      </c>
      <c r="J1223" t="str">
        <f>VLOOKUP($A1223, 'Medical Examinations'!A:B, 2, FALSE)</f>
        <v>Normal Weight</v>
      </c>
      <c r="K1223" t="str">
        <f>VLOOKUP($A1223, 'Medical Examinations'!A:D, 4, FALSE)</f>
        <v>Prediabetes</v>
      </c>
    </row>
    <row r="1224" spans="1:11" ht="15.5" x14ac:dyDescent="0.35">
      <c r="A1224" s="1" t="s">
        <v>1148</v>
      </c>
      <c r="B1224" t="str">
        <f>VLOOKUP($A1224, 'Customer Names'!A:D, 3, FALSE)</f>
        <v>Phillips-Cook</v>
      </c>
      <c r="C1224">
        <f>VLOOKUP($A1224,'Medical Examinations'!A:C, 3, FALSE)</f>
        <v>21.3</v>
      </c>
      <c r="D1224" t="str">
        <f>VLOOKUP($A1224, 'Medical Examinations'!A:D, 4, FALSE)</f>
        <v>Diabetes</v>
      </c>
      <c r="E1224" t="str">
        <f>VLOOKUP($A1224, 'Medical Examinations'!A:F, 6, FALSE)</f>
        <v>No</v>
      </c>
      <c r="F1224" t="str">
        <f>VLOOKUP($A1224, 'Medical Examinations'!A:G, 7, FALSE)</f>
        <v>No</v>
      </c>
      <c r="G1224" t="str">
        <f>VLOOKUP($A1224, 'Medical Examinations'!A:H, 8, FALSE)</f>
        <v>No</v>
      </c>
      <c r="H1224">
        <f>VLOOKUP($A1224, 'Medical Examinations'!A:J, 10, FALSE)</f>
        <v>2</v>
      </c>
      <c r="I1224" t="str">
        <f>VLOOKUP($A1224, 'Medical Examinations'!A:K, 11, FALSE)</f>
        <v>No</v>
      </c>
      <c r="J1224" t="str">
        <f>VLOOKUP($A1224, 'Medical Examinations'!A:B, 2, FALSE)</f>
        <v>Normal Weight</v>
      </c>
      <c r="K1224" t="str">
        <f>VLOOKUP($A1224, 'Medical Examinations'!A:D, 4, FALSE)</f>
        <v>Diabetes</v>
      </c>
    </row>
    <row r="1225" spans="1:11" ht="15.5" x14ac:dyDescent="0.35">
      <c r="A1225" s="1" t="s">
        <v>1147</v>
      </c>
      <c r="B1225" t="str">
        <f>VLOOKUP($A1225, 'Customer Names'!A:D, 3, FALSE)</f>
        <v>Clark</v>
      </c>
      <c r="C1225">
        <f>VLOOKUP($A1225,'Medical Examinations'!A:C, 3, FALSE)</f>
        <v>31.635000000000002</v>
      </c>
      <c r="D1225" t="str">
        <f>VLOOKUP($A1225, 'Medical Examinations'!A:D, 4, FALSE)</f>
        <v>Diabetes</v>
      </c>
      <c r="E1225" t="str">
        <f>VLOOKUP($A1225, 'Medical Examinations'!A:F, 6, FALSE)</f>
        <v>No</v>
      </c>
      <c r="F1225" t="str">
        <f>VLOOKUP($A1225, 'Medical Examinations'!A:G, 7, FALSE)</f>
        <v>No</v>
      </c>
      <c r="G1225" t="str">
        <f>VLOOKUP($A1225, 'Medical Examinations'!A:H, 8, FALSE)</f>
        <v>No</v>
      </c>
      <c r="H1225" t="str">
        <f>VLOOKUP($A1225, 'Medical Examinations'!A:J, 10, FALSE)</f>
        <v>No major surgery</v>
      </c>
      <c r="I1225" t="str">
        <f>VLOOKUP($A1225, 'Medical Examinations'!A:K, 11, FALSE)</f>
        <v>No</v>
      </c>
      <c r="J1225" t="str">
        <f>VLOOKUP($A1225, 'Medical Examinations'!A:B, 2, FALSE)</f>
        <v>Obesity</v>
      </c>
      <c r="K1225" t="str">
        <f>VLOOKUP($A1225, 'Medical Examinations'!A:D, 4, FALSE)</f>
        <v>Diabetes</v>
      </c>
    </row>
    <row r="1226" spans="1:11" ht="15.5" x14ac:dyDescent="0.35">
      <c r="A1226" s="1" t="s">
        <v>1146</v>
      </c>
      <c r="B1226" t="str">
        <f>VLOOKUP($A1226, 'Customer Names'!A:D, 3, FALSE)</f>
        <v>Wang</v>
      </c>
      <c r="C1226">
        <f>VLOOKUP($A1226,'Medical Examinations'!A:C, 3, FALSE)</f>
        <v>23.9</v>
      </c>
      <c r="D1226" t="str">
        <f>VLOOKUP($A1226, 'Medical Examinations'!A:D, 4, FALSE)</f>
        <v>Diabetes</v>
      </c>
      <c r="E1226" t="str">
        <f>VLOOKUP($A1226, 'Medical Examinations'!A:F, 6, FALSE)</f>
        <v>yes</v>
      </c>
      <c r="F1226" t="str">
        <f>VLOOKUP($A1226, 'Medical Examinations'!A:G, 7, FALSE)</f>
        <v>No</v>
      </c>
      <c r="G1226" t="str">
        <f>VLOOKUP($A1226, 'Medical Examinations'!A:H, 8, FALSE)</f>
        <v>No</v>
      </c>
      <c r="H1226">
        <f>VLOOKUP($A1226, 'Medical Examinations'!A:J, 10, FALSE)</f>
        <v>2</v>
      </c>
      <c r="I1226" t="str">
        <f>VLOOKUP($A1226, 'Medical Examinations'!A:K, 11, FALSE)</f>
        <v>No</v>
      </c>
      <c r="J1226" t="str">
        <f>VLOOKUP($A1226, 'Medical Examinations'!A:B, 2, FALSE)</f>
        <v>Normal Weight</v>
      </c>
      <c r="K1226" t="str">
        <f>VLOOKUP($A1226, 'Medical Examinations'!A:D, 4, FALSE)</f>
        <v>Diabetes</v>
      </c>
    </row>
    <row r="1227" spans="1:11" ht="15.5" x14ac:dyDescent="0.35">
      <c r="A1227" s="1" t="s">
        <v>1145</v>
      </c>
      <c r="B1227" t="str">
        <f>VLOOKUP($A1227, 'Customer Names'!A:D, 3, FALSE)</f>
        <v>Desruisseaux</v>
      </c>
      <c r="C1227">
        <f>VLOOKUP($A1227,'Medical Examinations'!A:C, 3, FALSE)</f>
        <v>34.15</v>
      </c>
      <c r="D1227" t="str">
        <f>VLOOKUP($A1227, 'Medical Examinations'!A:D, 4, FALSE)</f>
        <v>Prediabetes</v>
      </c>
      <c r="E1227" t="str">
        <f>VLOOKUP($A1227, 'Medical Examinations'!A:F, 6, FALSE)</f>
        <v>No</v>
      </c>
      <c r="F1227" t="str">
        <f>VLOOKUP($A1227, 'Medical Examinations'!A:G, 7, FALSE)</f>
        <v>No</v>
      </c>
      <c r="G1227" t="str">
        <f>VLOOKUP($A1227, 'Medical Examinations'!A:H, 8, FALSE)</f>
        <v>No</v>
      </c>
      <c r="H1227" t="str">
        <f>VLOOKUP($A1227, 'Medical Examinations'!A:J, 10, FALSE)</f>
        <v>No major surgery</v>
      </c>
      <c r="I1227" t="str">
        <f>VLOOKUP($A1227, 'Medical Examinations'!A:K, 11, FALSE)</f>
        <v>No</v>
      </c>
      <c r="J1227" t="str">
        <f>VLOOKUP($A1227, 'Medical Examinations'!A:B, 2, FALSE)</f>
        <v>Obesity</v>
      </c>
      <c r="K1227" t="str">
        <f>VLOOKUP($A1227, 'Medical Examinations'!A:D, 4, FALSE)</f>
        <v>Prediabetes</v>
      </c>
    </row>
    <row r="1228" spans="1:11" ht="15.5" x14ac:dyDescent="0.35">
      <c r="A1228" s="1" t="s">
        <v>1144</v>
      </c>
      <c r="B1228" t="str">
        <f>VLOOKUP($A1228, 'Customer Names'!A:D, 3, FALSE)</f>
        <v>Ripp</v>
      </c>
      <c r="C1228">
        <f>VLOOKUP($A1228,'Medical Examinations'!A:C, 3, FALSE)</f>
        <v>28.71</v>
      </c>
      <c r="D1228" t="str">
        <f>VLOOKUP($A1228, 'Medical Examinations'!A:D, 4, FALSE)</f>
        <v>Prediabetes</v>
      </c>
      <c r="E1228" t="str">
        <f>VLOOKUP($A1228, 'Medical Examinations'!A:F, 6, FALSE)</f>
        <v>No</v>
      </c>
      <c r="F1228" t="str">
        <f>VLOOKUP($A1228, 'Medical Examinations'!A:G, 7, FALSE)</f>
        <v>No</v>
      </c>
      <c r="G1228" t="str">
        <f>VLOOKUP($A1228, 'Medical Examinations'!A:H, 8, FALSE)</f>
        <v>No</v>
      </c>
      <c r="H1228" t="str">
        <f>VLOOKUP($A1228, 'Medical Examinations'!A:J, 10, FALSE)</f>
        <v>No major surgery</v>
      </c>
      <c r="I1228" t="str">
        <f>VLOOKUP($A1228, 'Medical Examinations'!A:K, 11, FALSE)</f>
        <v>No</v>
      </c>
      <c r="J1228" t="str">
        <f>VLOOKUP($A1228, 'Medical Examinations'!A:B, 2, FALSE)</f>
        <v>Overweight</v>
      </c>
      <c r="K1228" t="str">
        <f>VLOOKUP($A1228, 'Medical Examinations'!A:D, 4, FALSE)</f>
        <v>Prediabetes</v>
      </c>
    </row>
    <row r="1229" spans="1:11" ht="15.5" x14ac:dyDescent="0.35">
      <c r="A1229" s="1" t="s">
        <v>1143</v>
      </c>
      <c r="B1229" t="str">
        <f>VLOOKUP($A1229, 'Customer Names'!A:D, 3, FALSE)</f>
        <v>Harris</v>
      </c>
      <c r="C1229">
        <f>VLOOKUP($A1229,'Medical Examinations'!A:C, 3, FALSE)</f>
        <v>36.700000000000003</v>
      </c>
      <c r="D1229" t="str">
        <f>VLOOKUP($A1229, 'Medical Examinations'!A:D, 4, FALSE)</f>
        <v>Diabetes</v>
      </c>
      <c r="E1229" t="str">
        <f>VLOOKUP($A1229, 'Medical Examinations'!A:F, 6, FALSE)</f>
        <v>yes</v>
      </c>
      <c r="F1229" t="str">
        <f>VLOOKUP($A1229, 'Medical Examinations'!A:G, 7, FALSE)</f>
        <v>No</v>
      </c>
      <c r="G1229" t="str">
        <f>VLOOKUP($A1229, 'Medical Examinations'!A:H, 8, FALSE)</f>
        <v>No</v>
      </c>
      <c r="H1229">
        <f>VLOOKUP($A1229, 'Medical Examinations'!A:J, 10, FALSE)</f>
        <v>2</v>
      </c>
      <c r="I1229" t="str">
        <f>VLOOKUP($A1229, 'Medical Examinations'!A:K, 11, FALSE)</f>
        <v>No</v>
      </c>
      <c r="J1229" t="str">
        <f>VLOOKUP($A1229, 'Medical Examinations'!A:B, 2, FALSE)</f>
        <v>Obesity</v>
      </c>
      <c r="K1229" t="str">
        <f>VLOOKUP($A1229, 'Medical Examinations'!A:D, 4, FALSE)</f>
        <v>Diabetes</v>
      </c>
    </row>
    <row r="1230" spans="1:11" ht="15.5" x14ac:dyDescent="0.35">
      <c r="A1230" s="1" t="s">
        <v>1142</v>
      </c>
      <c r="B1230" t="str">
        <f>VLOOKUP($A1230, 'Customer Names'!A:D, 3, FALSE)</f>
        <v>Shafer</v>
      </c>
      <c r="C1230">
        <f>VLOOKUP($A1230,'Medical Examinations'!A:C, 3, FALSE)</f>
        <v>34.1</v>
      </c>
      <c r="D1230" t="str">
        <f>VLOOKUP($A1230, 'Medical Examinations'!A:D, 4, FALSE)</f>
        <v>Diabetes</v>
      </c>
      <c r="E1230" t="str">
        <f>VLOOKUP($A1230, 'Medical Examinations'!A:F, 6, FALSE)</f>
        <v>yes</v>
      </c>
      <c r="F1230" t="str">
        <f>VLOOKUP($A1230, 'Medical Examinations'!A:G, 7, FALSE)</f>
        <v>No</v>
      </c>
      <c r="G1230" t="str">
        <f>VLOOKUP($A1230, 'Medical Examinations'!A:H, 8, FALSE)</f>
        <v>No</v>
      </c>
      <c r="H1230">
        <f>VLOOKUP($A1230, 'Medical Examinations'!A:J, 10, FALSE)</f>
        <v>2</v>
      </c>
      <c r="I1230" t="str">
        <f>VLOOKUP($A1230, 'Medical Examinations'!A:K, 11, FALSE)</f>
        <v>No</v>
      </c>
      <c r="J1230" t="str">
        <f>VLOOKUP($A1230, 'Medical Examinations'!A:B, 2, FALSE)</f>
        <v>Obesity</v>
      </c>
      <c r="K1230" t="str">
        <f>VLOOKUP($A1230, 'Medical Examinations'!A:D, 4, FALSE)</f>
        <v>Diabetes</v>
      </c>
    </row>
    <row r="1231" spans="1:11" ht="15.5" x14ac:dyDescent="0.35">
      <c r="A1231" s="1" t="s">
        <v>1141</v>
      </c>
      <c r="B1231" t="str">
        <f>VLOOKUP($A1231, 'Customer Names'!A:D, 3, FALSE)</f>
        <v>Hemesath</v>
      </c>
      <c r="C1231">
        <f>VLOOKUP($A1231,'Medical Examinations'!A:C, 3, FALSE)</f>
        <v>25.7</v>
      </c>
      <c r="D1231" t="str">
        <f>VLOOKUP($A1231, 'Medical Examinations'!A:D, 4, FALSE)</f>
        <v>Normal</v>
      </c>
      <c r="E1231" t="str">
        <f>VLOOKUP($A1231, 'Medical Examinations'!A:F, 6, FALSE)</f>
        <v>No</v>
      </c>
      <c r="F1231" t="str">
        <f>VLOOKUP($A1231, 'Medical Examinations'!A:G, 7, FALSE)</f>
        <v>No</v>
      </c>
      <c r="G1231" t="str">
        <f>VLOOKUP($A1231, 'Medical Examinations'!A:H, 8, FALSE)</f>
        <v>No</v>
      </c>
      <c r="H1231" t="str">
        <f>VLOOKUP($A1231, 'Medical Examinations'!A:J, 10, FALSE)</f>
        <v>No major surgery</v>
      </c>
      <c r="I1231" t="str">
        <f>VLOOKUP($A1231, 'Medical Examinations'!A:K, 11, FALSE)</f>
        <v>No</v>
      </c>
      <c r="J1231" t="str">
        <f>VLOOKUP($A1231, 'Medical Examinations'!A:B, 2, FALSE)</f>
        <v>Overweight</v>
      </c>
      <c r="K1231" t="str">
        <f>VLOOKUP($A1231, 'Medical Examinations'!A:D, 4, FALSE)</f>
        <v>Normal</v>
      </c>
    </row>
    <row r="1232" spans="1:11" ht="15.5" x14ac:dyDescent="0.35">
      <c r="A1232" s="1" t="s">
        <v>1140</v>
      </c>
      <c r="B1232" t="str">
        <f>VLOOKUP($A1232, 'Customer Names'!A:D, 3, FALSE)</f>
        <v>Vinci</v>
      </c>
      <c r="C1232">
        <f>VLOOKUP($A1232,'Medical Examinations'!A:C, 3, FALSE)</f>
        <v>21.68</v>
      </c>
      <c r="D1232" t="str">
        <f>VLOOKUP($A1232, 'Medical Examinations'!A:D, 4, FALSE)</f>
        <v>Diabetes</v>
      </c>
      <c r="E1232" t="str">
        <f>VLOOKUP($A1232, 'Medical Examinations'!A:F, 6, FALSE)</f>
        <v>No</v>
      </c>
      <c r="F1232" t="str">
        <f>VLOOKUP($A1232, 'Medical Examinations'!A:G, 7, FALSE)</f>
        <v>No</v>
      </c>
      <c r="G1232" t="str">
        <f>VLOOKUP($A1232, 'Medical Examinations'!A:H, 8, FALSE)</f>
        <v>No</v>
      </c>
      <c r="H1232" t="str">
        <f>VLOOKUP($A1232, 'Medical Examinations'!A:J, 10, FALSE)</f>
        <v>No major surgery</v>
      </c>
      <c r="I1232" t="str">
        <f>VLOOKUP($A1232, 'Medical Examinations'!A:K, 11, FALSE)</f>
        <v>No</v>
      </c>
      <c r="J1232" t="str">
        <f>VLOOKUP($A1232, 'Medical Examinations'!A:B, 2, FALSE)</f>
        <v>Normal Weight</v>
      </c>
      <c r="K1232" t="str">
        <f>VLOOKUP($A1232, 'Medical Examinations'!A:D, 4, FALSE)</f>
        <v>Diabetes</v>
      </c>
    </row>
    <row r="1233" spans="1:11" ht="15.5" x14ac:dyDescent="0.35">
      <c r="A1233" s="1" t="s">
        <v>1139</v>
      </c>
      <c r="B1233" t="str">
        <f>VLOOKUP($A1233, 'Customer Names'!A:D, 3, FALSE)</f>
        <v>Diamond-Husmann</v>
      </c>
      <c r="C1233">
        <f>VLOOKUP($A1233,'Medical Examinations'!A:C, 3, FALSE)</f>
        <v>25.175000000000001</v>
      </c>
      <c r="D1233" t="str">
        <f>VLOOKUP($A1233, 'Medical Examinations'!A:D, 4, FALSE)</f>
        <v>Normal</v>
      </c>
      <c r="E1233" t="str">
        <f>VLOOKUP($A1233, 'Medical Examinations'!A:F, 6, FALSE)</f>
        <v>No</v>
      </c>
      <c r="F1233" t="str">
        <f>VLOOKUP($A1233, 'Medical Examinations'!A:G, 7, FALSE)</f>
        <v>No</v>
      </c>
      <c r="G1233" t="str">
        <f>VLOOKUP($A1233, 'Medical Examinations'!A:H, 8, FALSE)</f>
        <v>No</v>
      </c>
      <c r="H1233" t="str">
        <f>VLOOKUP($A1233, 'Medical Examinations'!A:J, 10, FALSE)</f>
        <v>No major surgery</v>
      </c>
      <c r="I1233" t="str">
        <f>VLOOKUP($A1233, 'Medical Examinations'!A:K, 11, FALSE)</f>
        <v>No</v>
      </c>
      <c r="J1233" t="str">
        <f>VLOOKUP($A1233, 'Medical Examinations'!A:B, 2, FALSE)</f>
        <v>Overweight</v>
      </c>
      <c r="K1233" t="str">
        <f>VLOOKUP($A1233, 'Medical Examinations'!A:D, 4, FALSE)</f>
        <v>Normal</v>
      </c>
    </row>
    <row r="1234" spans="1:11" ht="15.5" x14ac:dyDescent="0.35">
      <c r="A1234" s="1" t="s">
        <v>1138</v>
      </c>
      <c r="B1234" t="str">
        <f>VLOOKUP($A1234, 'Customer Names'!A:D, 3, FALSE)</f>
        <v>Soto</v>
      </c>
      <c r="C1234">
        <f>VLOOKUP($A1234,'Medical Examinations'!A:C, 3, FALSE)</f>
        <v>44.77</v>
      </c>
      <c r="D1234" t="str">
        <f>VLOOKUP($A1234, 'Medical Examinations'!A:D, 4, FALSE)</f>
        <v>Normal</v>
      </c>
      <c r="E1234" t="str">
        <f>VLOOKUP($A1234, 'Medical Examinations'!A:F, 6, FALSE)</f>
        <v>No</v>
      </c>
      <c r="F1234" t="str">
        <f>VLOOKUP($A1234, 'Medical Examinations'!A:G, 7, FALSE)</f>
        <v>No</v>
      </c>
      <c r="G1234" t="str">
        <f>VLOOKUP($A1234, 'Medical Examinations'!A:H, 8, FALSE)</f>
        <v>No</v>
      </c>
      <c r="H1234">
        <f>VLOOKUP($A1234, 'Medical Examinations'!A:J, 10, FALSE)</f>
        <v>2</v>
      </c>
      <c r="I1234" t="str">
        <f>VLOOKUP($A1234, 'Medical Examinations'!A:K, 11, FALSE)</f>
        <v>No</v>
      </c>
      <c r="J1234" t="str">
        <f>VLOOKUP($A1234, 'Medical Examinations'!A:B, 2, FALSE)</f>
        <v>Obesity</v>
      </c>
      <c r="K1234" t="str">
        <f>VLOOKUP($A1234, 'Medical Examinations'!A:D, 4, FALSE)</f>
        <v>Normal</v>
      </c>
    </row>
    <row r="1235" spans="1:11" ht="15.5" x14ac:dyDescent="0.35">
      <c r="A1235" s="1" t="s">
        <v>1137</v>
      </c>
      <c r="B1235" t="str">
        <f>VLOOKUP($A1235, 'Customer Names'!A:D, 3, FALSE)</f>
        <v>Howard</v>
      </c>
      <c r="C1235">
        <f>VLOOKUP($A1235,'Medical Examinations'!A:C, 3, FALSE)</f>
        <v>37.07</v>
      </c>
      <c r="D1235" t="str">
        <f>VLOOKUP($A1235, 'Medical Examinations'!A:D, 4, FALSE)</f>
        <v>Normal</v>
      </c>
      <c r="E1235" t="str">
        <f>VLOOKUP($A1235, 'Medical Examinations'!A:F, 6, FALSE)</f>
        <v>No</v>
      </c>
      <c r="F1235" t="str">
        <f>VLOOKUP($A1235, 'Medical Examinations'!A:G, 7, FALSE)</f>
        <v>No</v>
      </c>
      <c r="G1235" t="str">
        <f>VLOOKUP($A1235, 'Medical Examinations'!A:H, 8, FALSE)</f>
        <v>No</v>
      </c>
      <c r="H1235">
        <f>VLOOKUP($A1235, 'Medical Examinations'!A:J, 10, FALSE)</f>
        <v>2</v>
      </c>
      <c r="I1235" t="str">
        <f>VLOOKUP($A1235, 'Medical Examinations'!A:K, 11, FALSE)</f>
        <v>No</v>
      </c>
      <c r="J1235" t="str">
        <f>VLOOKUP($A1235, 'Medical Examinations'!A:B, 2, FALSE)</f>
        <v>Obesity</v>
      </c>
      <c r="K1235" t="str">
        <f>VLOOKUP($A1235, 'Medical Examinations'!A:D, 4, FALSE)</f>
        <v>Normal</v>
      </c>
    </row>
    <row r="1236" spans="1:11" ht="15.5" x14ac:dyDescent="0.35">
      <c r="A1236" s="1" t="s">
        <v>1136</v>
      </c>
      <c r="B1236" t="str">
        <f>VLOOKUP($A1236, 'Customer Names'!A:D, 3, FALSE)</f>
        <v>Patrick</v>
      </c>
      <c r="C1236">
        <f>VLOOKUP($A1236,'Medical Examinations'!A:C, 3, FALSE)</f>
        <v>39.799999999999997</v>
      </c>
      <c r="D1236" t="str">
        <f>VLOOKUP($A1236, 'Medical Examinations'!A:D, 4, FALSE)</f>
        <v>Normal</v>
      </c>
      <c r="E1236" t="str">
        <f>VLOOKUP($A1236, 'Medical Examinations'!A:F, 6, FALSE)</f>
        <v>No</v>
      </c>
      <c r="F1236" t="str">
        <f>VLOOKUP($A1236, 'Medical Examinations'!A:G, 7, FALSE)</f>
        <v>No</v>
      </c>
      <c r="G1236" t="str">
        <f>VLOOKUP($A1236, 'Medical Examinations'!A:H, 8, FALSE)</f>
        <v>Yes</v>
      </c>
      <c r="H1236">
        <f>VLOOKUP($A1236, 'Medical Examinations'!A:J, 10, FALSE)</f>
        <v>1</v>
      </c>
      <c r="I1236" t="str">
        <f>VLOOKUP($A1236, 'Medical Examinations'!A:K, 11, FALSE)</f>
        <v>No</v>
      </c>
      <c r="J1236" t="str">
        <f>VLOOKUP($A1236, 'Medical Examinations'!A:B, 2, FALSE)</f>
        <v>Obesity</v>
      </c>
      <c r="K1236" t="str">
        <f>VLOOKUP($A1236, 'Medical Examinations'!A:D, 4, FALSE)</f>
        <v>Normal</v>
      </c>
    </row>
    <row r="1237" spans="1:11" ht="15.5" x14ac:dyDescent="0.35">
      <c r="A1237" s="1" t="s">
        <v>1135</v>
      </c>
      <c r="B1237" t="str">
        <f>VLOOKUP($A1237, 'Customer Names'!A:D, 3, FALSE)</f>
        <v>Dacko</v>
      </c>
      <c r="C1237">
        <f>VLOOKUP($A1237,'Medical Examinations'!A:C, 3, FALSE)</f>
        <v>26.36</v>
      </c>
      <c r="D1237" t="str">
        <f>VLOOKUP($A1237, 'Medical Examinations'!A:D, 4, FALSE)</f>
        <v>Normal</v>
      </c>
      <c r="E1237" t="str">
        <f>VLOOKUP($A1237, 'Medical Examinations'!A:F, 6, FALSE)</f>
        <v>No</v>
      </c>
      <c r="F1237" t="str">
        <f>VLOOKUP($A1237, 'Medical Examinations'!A:G, 7, FALSE)</f>
        <v>No</v>
      </c>
      <c r="G1237" t="str">
        <f>VLOOKUP($A1237, 'Medical Examinations'!A:H, 8, FALSE)</f>
        <v>Yes</v>
      </c>
      <c r="H1237">
        <f>VLOOKUP($A1237, 'Medical Examinations'!A:J, 10, FALSE)</f>
        <v>1</v>
      </c>
      <c r="I1237" t="str">
        <f>VLOOKUP($A1237, 'Medical Examinations'!A:K, 11, FALSE)</f>
        <v>No</v>
      </c>
      <c r="J1237" t="str">
        <f>VLOOKUP($A1237, 'Medical Examinations'!A:B, 2, FALSE)</f>
        <v>Overweight</v>
      </c>
      <c r="K1237" t="str">
        <f>VLOOKUP($A1237, 'Medical Examinations'!A:D, 4, FALSE)</f>
        <v>Normal</v>
      </c>
    </row>
    <row r="1238" spans="1:11" ht="15.5" x14ac:dyDescent="0.35">
      <c r="A1238" s="1" t="s">
        <v>1134</v>
      </c>
      <c r="B1238" t="str">
        <f>VLOOKUP($A1238, 'Customer Names'!A:D, 3, FALSE)</f>
        <v>Glassey</v>
      </c>
      <c r="C1238">
        <f>VLOOKUP($A1238,'Medical Examinations'!A:C, 3, FALSE)</f>
        <v>29.925000000000001</v>
      </c>
      <c r="D1238" t="str">
        <f>VLOOKUP($A1238, 'Medical Examinations'!A:D, 4, FALSE)</f>
        <v>Diabetes</v>
      </c>
      <c r="E1238" t="str">
        <f>VLOOKUP($A1238, 'Medical Examinations'!A:F, 6, FALSE)</f>
        <v>No</v>
      </c>
      <c r="F1238" t="str">
        <f>VLOOKUP($A1238, 'Medical Examinations'!A:G, 7, FALSE)</f>
        <v>No</v>
      </c>
      <c r="G1238" t="str">
        <f>VLOOKUP($A1238, 'Medical Examinations'!A:H, 8, FALSE)</f>
        <v>No</v>
      </c>
      <c r="H1238">
        <f>VLOOKUP($A1238, 'Medical Examinations'!A:J, 10, FALSE)</f>
        <v>2</v>
      </c>
      <c r="I1238" t="str">
        <f>VLOOKUP($A1238, 'Medical Examinations'!A:K, 11, FALSE)</f>
        <v>No</v>
      </c>
      <c r="J1238" t="e">
        <f>VLOOKUP($A1238, 'Medical Examinations'!A:B, 2, FALSE)</f>
        <v>#N/A</v>
      </c>
      <c r="K1238" t="str">
        <f>VLOOKUP($A1238, 'Medical Examinations'!A:D, 4, FALSE)</f>
        <v>Diabetes</v>
      </c>
    </row>
    <row r="1239" spans="1:11" ht="15.5" x14ac:dyDescent="0.35">
      <c r="A1239" s="1" t="s">
        <v>1133</v>
      </c>
      <c r="B1239" t="str">
        <f>VLOOKUP($A1239, 'Customer Names'!A:D, 3, FALSE)</f>
        <v>Frechette</v>
      </c>
      <c r="C1239">
        <f>VLOOKUP($A1239,'Medical Examinations'!A:C, 3, FALSE)</f>
        <v>37.29</v>
      </c>
      <c r="D1239" t="str">
        <f>VLOOKUP($A1239, 'Medical Examinations'!A:D, 4, FALSE)</f>
        <v>Diabetes</v>
      </c>
      <c r="E1239" t="str">
        <f>VLOOKUP($A1239, 'Medical Examinations'!A:F, 6, FALSE)</f>
        <v>No</v>
      </c>
      <c r="F1239" t="str">
        <f>VLOOKUP($A1239, 'Medical Examinations'!A:G, 7, FALSE)</f>
        <v>No</v>
      </c>
      <c r="G1239" t="str">
        <f>VLOOKUP($A1239, 'Medical Examinations'!A:H, 8, FALSE)</f>
        <v>No</v>
      </c>
      <c r="H1239" t="str">
        <f>VLOOKUP($A1239, 'Medical Examinations'!A:J, 10, FALSE)</f>
        <v>No major surgery</v>
      </c>
      <c r="I1239" t="str">
        <f>VLOOKUP($A1239, 'Medical Examinations'!A:K, 11, FALSE)</f>
        <v>No</v>
      </c>
      <c r="J1239" t="str">
        <f>VLOOKUP($A1239, 'Medical Examinations'!A:B, 2, FALSE)</f>
        <v>Obesity</v>
      </c>
      <c r="K1239" t="str">
        <f>VLOOKUP($A1239, 'Medical Examinations'!A:D, 4, FALSE)</f>
        <v>Diabetes</v>
      </c>
    </row>
    <row r="1240" spans="1:11" ht="15.5" x14ac:dyDescent="0.35">
      <c r="A1240" s="1" t="s">
        <v>1132</v>
      </c>
      <c r="B1240" t="str">
        <f>VLOOKUP($A1240, 'Customer Names'!A:D, 3, FALSE)</f>
        <v>Benitez</v>
      </c>
      <c r="C1240">
        <f>VLOOKUP($A1240,'Medical Examinations'!A:C, 3, FALSE)</f>
        <v>30.2</v>
      </c>
      <c r="D1240" t="str">
        <f>VLOOKUP($A1240, 'Medical Examinations'!A:D, 4, FALSE)</f>
        <v>Diabetes</v>
      </c>
      <c r="E1240" t="str">
        <f>VLOOKUP($A1240, 'Medical Examinations'!A:F, 6, FALSE)</f>
        <v>No</v>
      </c>
      <c r="F1240" t="str">
        <f>VLOOKUP($A1240, 'Medical Examinations'!A:G, 7, FALSE)</f>
        <v>No</v>
      </c>
      <c r="G1240" t="str">
        <f>VLOOKUP($A1240, 'Medical Examinations'!A:H, 8, FALSE)</f>
        <v>No</v>
      </c>
      <c r="H1240" t="str">
        <f>VLOOKUP($A1240, 'Medical Examinations'!A:J, 10, FALSE)</f>
        <v>No major surgery</v>
      </c>
      <c r="I1240" t="str">
        <f>VLOOKUP($A1240, 'Medical Examinations'!A:K, 11, FALSE)</f>
        <v>No</v>
      </c>
      <c r="J1240" t="str">
        <f>VLOOKUP($A1240, 'Medical Examinations'!A:B, 2, FALSE)</f>
        <v>Obesity</v>
      </c>
      <c r="K1240" t="str">
        <f>VLOOKUP($A1240, 'Medical Examinations'!A:D, 4, FALSE)</f>
        <v>Diabetes</v>
      </c>
    </row>
    <row r="1241" spans="1:11" ht="15.5" x14ac:dyDescent="0.35">
      <c r="A1241" s="1" t="s">
        <v>1131</v>
      </c>
      <c r="B1241" t="str">
        <f>VLOOKUP($A1241, 'Customer Names'!A:D, 3, FALSE)</f>
        <v>Gauthier</v>
      </c>
      <c r="C1241">
        <f>VLOOKUP($A1241,'Medical Examinations'!A:C, 3, FALSE)</f>
        <v>24.225000000000001</v>
      </c>
      <c r="D1241" t="str">
        <f>VLOOKUP($A1241, 'Medical Examinations'!A:D, 4, FALSE)</f>
        <v>Normal</v>
      </c>
      <c r="E1241" t="str">
        <f>VLOOKUP($A1241, 'Medical Examinations'!A:F, 6, FALSE)</f>
        <v>yes</v>
      </c>
      <c r="F1241" t="str">
        <f>VLOOKUP($A1241, 'Medical Examinations'!A:G, 7, FALSE)</f>
        <v>No</v>
      </c>
      <c r="G1241" t="str">
        <f>VLOOKUP($A1241, 'Medical Examinations'!A:H, 8, FALSE)</f>
        <v>Yes</v>
      </c>
      <c r="H1241">
        <f>VLOOKUP($A1241, 'Medical Examinations'!A:J, 10, FALSE)</f>
        <v>1</v>
      </c>
      <c r="I1241" t="str">
        <f>VLOOKUP($A1241, 'Medical Examinations'!A:K, 11, FALSE)</f>
        <v>No</v>
      </c>
      <c r="J1241" t="str">
        <f>VLOOKUP($A1241, 'Medical Examinations'!A:B, 2, FALSE)</f>
        <v>Normal Weight</v>
      </c>
      <c r="K1241" t="str">
        <f>VLOOKUP($A1241, 'Medical Examinations'!A:D, 4, FALSE)</f>
        <v>Normal</v>
      </c>
    </row>
    <row r="1242" spans="1:11" ht="15.5" x14ac:dyDescent="0.35">
      <c r="A1242" s="1" t="s">
        <v>1130</v>
      </c>
      <c r="B1242" t="str">
        <f>VLOOKUP($A1242, 'Customer Names'!A:D, 3, FALSE)</f>
        <v>Fazioli</v>
      </c>
      <c r="C1242">
        <f>VLOOKUP($A1242,'Medical Examinations'!A:C, 3, FALSE)</f>
        <v>31.445</v>
      </c>
      <c r="D1242" t="str">
        <f>VLOOKUP($A1242, 'Medical Examinations'!A:D, 4, FALSE)</f>
        <v>Diabetes</v>
      </c>
      <c r="E1242" t="str">
        <f>VLOOKUP($A1242, 'Medical Examinations'!A:F, 6, FALSE)</f>
        <v>No</v>
      </c>
      <c r="F1242" t="str">
        <f>VLOOKUP($A1242, 'Medical Examinations'!A:G, 7, FALSE)</f>
        <v>No</v>
      </c>
      <c r="G1242" t="str">
        <f>VLOOKUP($A1242, 'Medical Examinations'!A:H, 8, FALSE)</f>
        <v>No</v>
      </c>
      <c r="H1242" t="str">
        <f>VLOOKUP($A1242, 'Medical Examinations'!A:J, 10, FALSE)</f>
        <v>No major surgery</v>
      </c>
      <c r="I1242" t="str">
        <f>VLOOKUP($A1242, 'Medical Examinations'!A:K, 11, FALSE)</f>
        <v>No</v>
      </c>
      <c r="J1242" t="str">
        <f>VLOOKUP($A1242, 'Medical Examinations'!A:B, 2, FALSE)</f>
        <v>Obesity</v>
      </c>
      <c r="K1242" t="str">
        <f>VLOOKUP($A1242, 'Medical Examinations'!A:D, 4, FALSE)</f>
        <v>Diabetes</v>
      </c>
    </row>
    <row r="1243" spans="1:11" ht="15.5" x14ac:dyDescent="0.35">
      <c r="A1243" s="1" t="s">
        <v>1129</v>
      </c>
      <c r="B1243" t="str">
        <f>VLOOKUP($A1243, 'Customer Names'!A:D, 3, FALSE)</f>
        <v>Chorney</v>
      </c>
      <c r="C1243">
        <f>VLOOKUP($A1243,'Medical Examinations'!A:C, 3, FALSE)</f>
        <v>38.880000000000003</v>
      </c>
      <c r="D1243" t="str">
        <f>VLOOKUP($A1243, 'Medical Examinations'!A:D, 4, FALSE)</f>
        <v>Normal</v>
      </c>
      <c r="E1243" t="str">
        <f>VLOOKUP($A1243, 'Medical Examinations'!A:F, 6, FALSE)</f>
        <v>No</v>
      </c>
      <c r="F1243" t="str">
        <f>VLOOKUP($A1243, 'Medical Examinations'!A:G, 7, FALSE)</f>
        <v>No</v>
      </c>
      <c r="G1243" t="str">
        <f>VLOOKUP($A1243, 'Medical Examinations'!A:H, 8, FALSE)</f>
        <v>No</v>
      </c>
      <c r="H1243">
        <f>VLOOKUP($A1243, 'Medical Examinations'!A:J, 10, FALSE)</f>
        <v>1</v>
      </c>
      <c r="I1243" t="str">
        <f>VLOOKUP($A1243, 'Medical Examinations'!A:K, 11, FALSE)</f>
        <v>No</v>
      </c>
      <c r="J1243" t="str">
        <f>VLOOKUP($A1243, 'Medical Examinations'!A:B, 2, FALSE)</f>
        <v>Obesity</v>
      </c>
      <c r="K1243" t="str">
        <f>VLOOKUP($A1243, 'Medical Examinations'!A:D, 4, FALSE)</f>
        <v>Normal</v>
      </c>
    </row>
    <row r="1244" spans="1:11" ht="15.5" x14ac:dyDescent="0.35">
      <c r="A1244" s="1" t="s">
        <v>1128</v>
      </c>
      <c r="B1244" t="str">
        <f>VLOOKUP($A1244, 'Customer Names'!A:D, 3, FALSE)</f>
        <v>Dannenhauer</v>
      </c>
      <c r="C1244">
        <f>VLOOKUP($A1244,'Medical Examinations'!A:C, 3, FALSE)</f>
        <v>43.89</v>
      </c>
      <c r="D1244" t="str">
        <f>VLOOKUP($A1244, 'Medical Examinations'!A:D, 4, FALSE)</f>
        <v>Prediabetes</v>
      </c>
      <c r="E1244" t="str">
        <f>VLOOKUP($A1244, 'Medical Examinations'!A:F, 6, FALSE)</f>
        <v>yes</v>
      </c>
      <c r="F1244" t="str">
        <f>VLOOKUP($A1244, 'Medical Examinations'!A:G, 7, FALSE)</f>
        <v>No</v>
      </c>
      <c r="G1244" t="str">
        <f>VLOOKUP($A1244, 'Medical Examinations'!A:H, 8, FALSE)</f>
        <v>No</v>
      </c>
      <c r="H1244" t="str">
        <f>VLOOKUP($A1244, 'Medical Examinations'!A:J, 10, FALSE)</f>
        <v>No major surgery</v>
      </c>
      <c r="I1244" t="str">
        <f>VLOOKUP($A1244, 'Medical Examinations'!A:K, 11, FALSE)</f>
        <v>No</v>
      </c>
      <c r="J1244" t="str">
        <f>VLOOKUP($A1244, 'Medical Examinations'!A:B, 2, FALSE)</f>
        <v>Obesity</v>
      </c>
      <c r="K1244" t="str">
        <f>VLOOKUP($A1244, 'Medical Examinations'!A:D, 4, FALSE)</f>
        <v>Prediabetes</v>
      </c>
    </row>
    <row r="1245" spans="1:11" ht="15.5" x14ac:dyDescent="0.35">
      <c r="A1245" s="1" t="s">
        <v>1127</v>
      </c>
      <c r="B1245" t="str">
        <f>VLOOKUP($A1245, 'Customer Names'!A:D, 3, FALSE)</f>
        <v>McComb</v>
      </c>
      <c r="C1245">
        <f>VLOOKUP($A1245,'Medical Examinations'!A:C, 3, FALSE)</f>
        <v>25.6</v>
      </c>
      <c r="D1245" t="str">
        <f>VLOOKUP($A1245, 'Medical Examinations'!A:D, 4, FALSE)</f>
        <v>Normal</v>
      </c>
      <c r="E1245" t="str">
        <f>VLOOKUP($A1245, 'Medical Examinations'!A:F, 6, FALSE)</f>
        <v>No</v>
      </c>
      <c r="F1245" t="str">
        <f>VLOOKUP($A1245, 'Medical Examinations'!A:G, 7, FALSE)</f>
        <v>No</v>
      </c>
      <c r="G1245" t="str">
        <f>VLOOKUP($A1245, 'Medical Examinations'!A:H, 8, FALSE)</f>
        <v>No</v>
      </c>
      <c r="H1245">
        <f>VLOOKUP($A1245, 'Medical Examinations'!A:J, 10, FALSE)</f>
        <v>2</v>
      </c>
      <c r="I1245" t="str">
        <f>VLOOKUP($A1245, 'Medical Examinations'!A:K, 11, FALSE)</f>
        <v>No</v>
      </c>
      <c r="J1245" t="str">
        <f>VLOOKUP($A1245, 'Medical Examinations'!A:B, 2, FALSE)</f>
        <v>Overweight</v>
      </c>
      <c r="K1245" t="str">
        <f>VLOOKUP($A1245, 'Medical Examinations'!A:D, 4, FALSE)</f>
        <v>Normal</v>
      </c>
    </row>
    <row r="1246" spans="1:11" ht="15.5" x14ac:dyDescent="0.35">
      <c r="A1246" s="1" t="s">
        <v>1126</v>
      </c>
      <c r="B1246" t="str">
        <f>VLOOKUP($A1246, 'Customer Names'!A:D, 3, FALSE)</f>
        <v>Blake</v>
      </c>
      <c r="C1246">
        <f>VLOOKUP($A1246,'Medical Examinations'!A:C, 3, FALSE)</f>
        <v>29.545000000000002</v>
      </c>
      <c r="D1246" t="str">
        <f>VLOOKUP($A1246, 'Medical Examinations'!A:D, 4, FALSE)</f>
        <v>Diabetes</v>
      </c>
      <c r="E1246" t="str">
        <f>VLOOKUP($A1246, 'Medical Examinations'!A:F, 6, FALSE)</f>
        <v>yes</v>
      </c>
      <c r="F1246" t="str">
        <f>VLOOKUP($A1246, 'Medical Examinations'!A:G, 7, FALSE)</f>
        <v>No</v>
      </c>
      <c r="G1246" t="str">
        <f>VLOOKUP($A1246, 'Medical Examinations'!A:H, 8, FALSE)</f>
        <v>No</v>
      </c>
      <c r="H1246">
        <f>VLOOKUP($A1246, 'Medical Examinations'!A:J, 10, FALSE)</f>
        <v>1</v>
      </c>
      <c r="I1246" t="str">
        <f>VLOOKUP($A1246, 'Medical Examinations'!A:K, 11, FALSE)</f>
        <v>No</v>
      </c>
      <c r="J1246" t="str">
        <f>VLOOKUP($A1246, 'Medical Examinations'!A:B, 2, FALSE)</f>
        <v>Overweight</v>
      </c>
      <c r="K1246" t="str">
        <f>VLOOKUP($A1246, 'Medical Examinations'!A:D, 4, FALSE)</f>
        <v>Diabetes</v>
      </c>
    </row>
    <row r="1247" spans="1:11" ht="15.5" x14ac:dyDescent="0.35">
      <c r="A1247" s="1" t="s">
        <v>1125</v>
      </c>
      <c r="B1247" t="str">
        <f>VLOOKUP($A1247, 'Customer Names'!A:D, 3, FALSE)</f>
        <v>Sambasivam</v>
      </c>
      <c r="C1247">
        <f>VLOOKUP($A1247,'Medical Examinations'!A:C, 3, FALSE)</f>
        <v>23.25</v>
      </c>
      <c r="D1247" t="str">
        <f>VLOOKUP($A1247, 'Medical Examinations'!A:D, 4, FALSE)</f>
        <v>Diabetes</v>
      </c>
      <c r="E1247" t="str">
        <f>VLOOKUP($A1247, 'Medical Examinations'!A:F, 6, FALSE)</f>
        <v>yes</v>
      </c>
      <c r="F1247" t="str">
        <f>VLOOKUP($A1247, 'Medical Examinations'!A:G, 7, FALSE)</f>
        <v>No</v>
      </c>
      <c r="G1247" t="str">
        <f>VLOOKUP($A1247, 'Medical Examinations'!A:H, 8, FALSE)</f>
        <v>No</v>
      </c>
      <c r="H1247" t="str">
        <f>VLOOKUP($A1247, 'Medical Examinations'!A:J, 10, FALSE)</f>
        <v>No major surgery</v>
      </c>
      <c r="I1247" t="str">
        <f>VLOOKUP($A1247, 'Medical Examinations'!A:K, 11, FALSE)</f>
        <v>No</v>
      </c>
      <c r="J1247" t="str">
        <f>VLOOKUP($A1247, 'Medical Examinations'!A:B, 2, FALSE)</f>
        <v>Normal Weight</v>
      </c>
      <c r="K1247" t="str">
        <f>VLOOKUP($A1247, 'Medical Examinations'!A:D, 4, FALSE)</f>
        <v>Diabetes</v>
      </c>
    </row>
    <row r="1248" spans="1:11" ht="15.5" x14ac:dyDescent="0.35">
      <c r="A1248" s="1" t="s">
        <v>1124</v>
      </c>
      <c r="B1248" t="str">
        <f>VLOOKUP($A1248, 'Customer Names'!A:D, 3, FALSE)</f>
        <v>Maina</v>
      </c>
      <c r="C1248">
        <f>VLOOKUP($A1248,'Medical Examinations'!A:C, 3, FALSE)</f>
        <v>43.95</v>
      </c>
      <c r="D1248" t="str">
        <f>VLOOKUP($A1248, 'Medical Examinations'!A:D, 4, FALSE)</f>
        <v>Normal</v>
      </c>
      <c r="E1248" t="str">
        <f>VLOOKUP($A1248, 'Medical Examinations'!A:F, 6, FALSE)</f>
        <v>yes</v>
      </c>
      <c r="F1248" t="str">
        <f>VLOOKUP($A1248, 'Medical Examinations'!A:G, 7, FALSE)</f>
        <v>No</v>
      </c>
      <c r="G1248" t="str">
        <f>VLOOKUP($A1248, 'Medical Examinations'!A:H, 8, FALSE)</f>
        <v>Yes</v>
      </c>
      <c r="H1248">
        <f>VLOOKUP($A1248, 'Medical Examinations'!A:J, 10, FALSE)</f>
        <v>1</v>
      </c>
      <c r="I1248" t="str">
        <f>VLOOKUP($A1248, 'Medical Examinations'!A:K, 11, FALSE)</f>
        <v>No</v>
      </c>
      <c r="J1248" t="str">
        <f>VLOOKUP($A1248, 'Medical Examinations'!A:B, 2, FALSE)</f>
        <v>Obesity</v>
      </c>
      <c r="K1248" t="str">
        <f>VLOOKUP($A1248, 'Medical Examinations'!A:D, 4, FALSE)</f>
        <v>Normal</v>
      </c>
    </row>
    <row r="1249" spans="1:11" ht="15.5" x14ac:dyDescent="0.35">
      <c r="A1249" s="1" t="s">
        <v>1123</v>
      </c>
      <c r="B1249" t="str">
        <f>VLOOKUP($A1249, 'Customer Names'!A:D, 3, FALSE)</f>
        <v>Keshian</v>
      </c>
      <c r="C1249">
        <f>VLOOKUP($A1249,'Medical Examinations'!A:C, 3, FALSE)</f>
        <v>21.85</v>
      </c>
      <c r="D1249" t="str">
        <f>VLOOKUP($A1249, 'Medical Examinations'!A:D, 4, FALSE)</f>
        <v>Diabetes</v>
      </c>
      <c r="E1249" t="str">
        <f>VLOOKUP($A1249, 'Medical Examinations'!A:F, 6, FALSE)</f>
        <v>No</v>
      </c>
      <c r="F1249" t="str">
        <f>VLOOKUP($A1249, 'Medical Examinations'!A:G, 7, FALSE)</f>
        <v>No</v>
      </c>
      <c r="G1249" t="str">
        <f>VLOOKUP($A1249, 'Medical Examinations'!A:H, 8, FALSE)</f>
        <v>No</v>
      </c>
      <c r="H1249" t="str">
        <f>VLOOKUP($A1249, 'Medical Examinations'!A:J, 10, FALSE)</f>
        <v>No major surgery</v>
      </c>
      <c r="I1249" t="str">
        <f>VLOOKUP($A1249, 'Medical Examinations'!A:K, 11, FALSE)</f>
        <v>No</v>
      </c>
      <c r="J1249" t="str">
        <f>VLOOKUP($A1249, 'Medical Examinations'!A:B, 2, FALSE)</f>
        <v>Normal Weight</v>
      </c>
      <c r="K1249" t="str">
        <f>VLOOKUP($A1249, 'Medical Examinations'!A:D, 4, FALSE)</f>
        <v>Diabetes</v>
      </c>
    </row>
    <row r="1250" spans="1:11" ht="15.5" x14ac:dyDescent="0.35">
      <c r="A1250" s="1" t="s">
        <v>1122</v>
      </c>
      <c r="B1250" t="str">
        <f>VLOOKUP($A1250, 'Customer Names'!A:D, 3, FALSE)</f>
        <v>Maas</v>
      </c>
      <c r="C1250">
        <f>VLOOKUP($A1250,'Medical Examinations'!A:C, 3, FALSE)</f>
        <v>25.73</v>
      </c>
      <c r="D1250" t="str">
        <f>VLOOKUP($A1250, 'Medical Examinations'!A:D, 4, FALSE)</f>
        <v>Diabetes</v>
      </c>
      <c r="E1250" t="str">
        <f>VLOOKUP($A1250, 'Medical Examinations'!A:F, 6, FALSE)</f>
        <v>No</v>
      </c>
      <c r="F1250" t="str">
        <f>VLOOKUP($A1250, 'Medical Examinations'!A:G, 7, FALSE)</f>
        <v>No</v>
      </c>
      <c r="G1250" t="str">
        <f>VLOOKUP($A1250, 'Medical Examinations'!A:H, 8, FALSE)</f>
        <v>No</v>
      </c>
      <c r="H1250">
        <f>VLOOKUP($A1250, 'Medical Examinations'!A:J, 10, FALSE)</f>
        <v>2</v>
      </c>
      <c r="I1250" t="str">
        <f>VLOOKUP($A1250, 'Medical Examinations'!A:K, 11, FALSE)</f>
        <v>No</v>
      </c>
      <c r="J1250" t="str">
        <f>VLOOKUP($A1250, 'Medical Examinations'!A:B, 2, FALSE)</f>
        <v>Overweight</v>
      </c>
      <c r="K1250" t="str">
        <f>VLOOKUP($A1250, 'Medical Examinations'!A:D, 4, FALSE)</f>
        <v>Diabetes</v>
      </c>
    </row>
    <row r="1251" spans="1:11" ht="15.5" x14ac:dyDescent="0.35">
      <c r="A1251" s="1" t="s">
        <v>1121</v>
      </c>
      <c r="B1251" t="str">
        <f>VLOOKUP($A1251, 'Customer Names'!A:D, 3, FALSE)</f>
        <v>Sinasac</v>
      </c>
      <c r="C1251">
        <f>VLOOKUP($A1251,'Medical Examinations'!A:C, 3, FALSE)</f>
        <v>32.229999999999997</v>
      </c>
      <c r="D1251" t="str">
        <f>VLOOKUP($A1251, 'Medical Examinations'!A:D, 4, FALSE)</f>
        <v>Diabetes</v>
      </c>
      <c r="E1251" t="str">
        <f>VLOOKUP($A1251, 'Medical Examinations'!A:F, 6, FALSE)</f>
        <v>No</v>
      </c>
      <c r="F1251" t="str">
        <f>VLOOKUP($A1251, 'Medical Examinations'!A:G, 7, FALSE)</f>
        <v>No</v>
      </c>
      <c r="G1251" t="str">
        <f>VLOOKUP($A1251, 'Medical Examinations'!A:H, 8, FALSE)</f>
        <v>No</v>
      </c>
      <c r="H1251" t="str">
        <f>VLOOKUP($A1251, 'Medical Examinations'!A:J, 10, FALSE)</f>
        <v>No major surgery</v>
      </c>
      <c r="I1251" t="str">
        <f>VLOOKUP($A1251, 'Medical Examinations'!A:K, 11, FALSE)</f>
        <v>No</v>
      </c>
      <c r="J1251" t="str">
        <f>VLOOKUP($A1251, 'Medical Examinations'!A:B, 2, FALSE)</f>
        <v>Obesity</v>
      </c>
      <c r="K1251" t="str">
        <f>VLOOKUP($A1251, 'Medical Examinations'!A:D, 4, FALSE)</f>
        <v>Diabetes</v>
      </c>
    </row>
    <row r="1252" spans="1:11" ht="15.5" x14ac:dyDescent="0.35">
      <c r="A1252" s="1" t="s">
        <v>1120</v>
      </c>
      <c r="B1252" t="str">
        <f>VLOOKUP($A1252, 'Customer Names'!A:D, 3, FALSE)</f>
        <v>Van De Kamp</v>
      </c>
      <c r="C1252">
        <f>VLOOKUP($A1252,'Medical Examinations'!A:C, 3, FALSE)</f>
        <v>32.204999999999998</v>
      </c>
      <c r="D1252" t="str">
        <f>VLOOKUP($A1252, 'Medical Examinations'!A:D, 4, FALSE)</f>
        <v>Prediabetes</v>
      </c>
      <c r="E1252" t="str">
        <f>VLOOKUP($A1252, 'Medical Examinations'!A:F, 6, FALSE)</f>
        <v>No</v>
      </c>
      <c r="F1252" t="str">
        <f>VLOOKUP($A1252, 'Medical Examinations'!A:G, 7, FALSE)</f>
        <v>No</v>
      </c>
      <c r="G1252" t="str">
        <f>VLOOKUP($A1252, 'Medical Examinations'!A:H, 8, FALSE)</f>
        <v>No</v>
      </c>
      <c r="H1252">
        <f>VLOOKUP($A1252, 'Medical Examinations'!A:J, 10, FALSE)</f>
        <v>2</v>
      </c>
      <c r="I1252" t="str">
        <f>VLOOKUP($A1252, 'Medical Examinations'!A:K, 11, FALSE)</f>
        <v>No</v>
      </c>
      <c r="J1252" t="str">
        <f>VLOOKUP($A1252, 'Medical Examinations'!A:B, 2, FALSE)</f>
        <v>Obesity</v>
      </c>
      <c r="K1252" t="str">
        <f>VLOOKUP($A1252, 'Medical Examinations'!A:D, 4, FALSE)</f>
        <v>Prediabetes</v>
      </c>
    </row>
    <row r="1253" spans="1:11" ht="15.5" x14ac:dyDescent="0.35">
      <c r="A1253" s="1" t="s">
        <v>1119</v>
      </c>
      <c r="B1253" t="str">
        <f>VLOOKUP($A1253, 'Customer Names'!A:D, 3, FALSE)</f>
        <v>Ruffo</v>
      </c>
      <c r="C1253">
        <f>VLOOKUP($A1253,'Medical Examinations'!A:C, 3, FALSE)</f>
        <v>26.41</v>
      </c>
      <c r="D1253" t="str">
        <f>VLOOKUP($A1253, 'Medical Examinations'!A:D, 4, FALSE)</f>
        <v>Normal</v>
      </c>
      <c r="E1253" t="str">
        <f>VLOOKUP($A1253, 'Medical Examinations'!A:F, 6, FALSE)</f>
        <v>No</v>
      </c>
      <c r="F1253" t="str">
        <f>VLOOKUP($A1253, 'Medical Examinations'!A:G, 7, FALSE)</f>
        <v>No</v>
      </c>
      <c r="G1253" t="str">
        <f>VLOOKUP($A1253, 'Medical Examinations'!A:H, 8, FALSE)</f>
        <v>No</v>
      </c>
      <c r="H1253">
        <f>VLOOKUP($A1253, 'Medical Examinations'!A:J, 10, FALSE)</f>
        <v>2</v>
      </c>
      <c r="I1253" t="str">
        <f>VLOOKUP($A1253, 'Medical Examinations'!A:K, 11, FALSE)</f>
        <v>No</v>
      </c>
      <c r="J1253" t="str">
        <f>VLOOKUP($A1253, 'Medical Examinations'!A:B, 2, FALSE)</f>
        <v>Overweight</v>
      </c>
      <c r="K1253" t="str">
        <f>VLOOKUP($A1253, 'Medical Examinations'!A:D, 4, FALSE)</f>
        <v>Normal</v>
      </c>
    </row>
    <row r="1254" spans="1:11" ht="15.5" x14ac:dyDescent="0.35">
      <c r="A1254" s="1" t="s">
        <v>1118</v>
      </c>
      <c r="B1254" t="str">
        <f>VLOOKUP($A1254, 'Customer Names'!A:D, 3, FALSE)</f>
        <v>Long</v>
      </c>
      <c r="C1254">
        <f>VLOOKUP($A1254,'Medical Examinations'!A:C, 3, FALSE)</f>
        <v>30.2</v>
      </c>
      <c r="D1254" t="str">
        <f>VLOOKUP($A1254, 'Medical Examinations'!A:D, 4, FALSE)</f>
        <v>Prediabetes</v>
      </c>
      <c r="E1254" t="str">
        <f>VLOOKUP($A1254, 'Medical Examinations'!A:F, 6, FALSE)</f>
        <v>yes</v>
      </c>
      <c r="F1254" t="str">
        <f>VLOOKUP($A1254, 'Medical Examinations'!A:G, 7, FALSE)</f>
        <v>No</v>
      </c>
      <c r="G1254" t="str">
        <f>VLOOKUP($A1254, 'Medical Examinations'!A:H, 8, FALSE)</f>
        <v>No</v>
      </c>
      <c r="H1254" t="str">
        <f>VLOOKUP($A1254, 'Medical Examinations'!A:J, 10, FALSE)</f>
        <v>No major surgery</v>
      </c>
      <c r="I1254" t="str">
        <f>VLOOKUP($A1254, 'Medical Examinations'!A:K, 11, FALSE)</f>
        <v>No</v>
      </c>
      <c r="J1254" t="str">
        <f>VLOOKUP($A1254, 'Medical Examinations'!A:B, 2, FALSE)</f>
        <v>Obesity</v>
      </c>
      <c r="K1254" t="str">
        <f>VLOOKUP($A1254, 'Medical Examinations'!A:D, 4, FALSE)</f>
        <v>Prediabetes</v>
      </c>
    </row>
    <row r="1255" spans="1:11" ht="15.5" x14ac:dyDescent="0.35">
      <c r="A1255" s="1" t="s">
        <v>1117</v>
      </c>
      <c r="B1255" t="str">
        <f>VLOOKUP($A1255, 'Customer Names'!A:D, 3, FALSE)</f>
        <v>Rohde</v>
      </c>
      <c r="C1255">
        <f>VLOOKUP($A1255,'Medical Examinations'!A:C, 3, FALSE)</f>
        <v>31.26</v>
      </c>
      <c r="D1255" t="str">
        <f>VLOOKUP($A1255, 'Medical Examinations'!A:D, 4, FALSE)</f>
        <v>Prediabetes</v>
      </c>
      <c r="E1255" t="str">
        <f>VLOOKUP($A1255, 'Medical Examinations'!A:F, 6, FALSE)</f>
        <v>yes</v>
      </c>
      <c r="F1255" t="str">
        <f>VLOOKUP($A1255, 'Medical Examinations'!A:G, 7, FALSE)</f>
        <v>No</v>
      </c>
      <c r="G1255" t="str">
        <f>VLOOKUP($A1255, 'Medical Examinations'!A:H, 8, FALSE)</f>
        <v>No</v>
      </c>
      <c r="H1255">
        <f>VLOOKUP($A1255, 'Medical Examinations'!A:J, 10, FALSE)</f>
        <v>1</v>
      </c>
      <c r="I1255" t="str">
        <f>VLOOKUP($A1255, 'Medical Examinations'!A:K, 11, FALSE)</f>
        <v>No</v>
      </c>
      <c r="J1255" t="str">
        <f>VLOOKUP($A1255, 'Medical Examinations'!A:B, 2, FALSE)</f>
        <v>Obesity</v>
      </c>
      <c r="K1255" t="str">
        <f>VLOOKUP($A1255, 'Medical Examinations'!A:D, 4, FALSE)</f>
        <v>Prediabetes</v>
      </c>
    </row>
    <row r="1256" spans="1:11" ht="15.5" x14ac:dyDescent="0.35">
      <c r="A1256" s="1" t="s">
        <v>1116</v>
      </c>
      <c r="B1256" t="str">
        <f>VLOOKUP($A1256, 'Customer Names'!A:D, 3, FALSE)</f>
        <v>Bonzi</v>
      </c>
      <c r="C1256">
        <f>VLOOKUP($A1256,'Medical Examinations'!A:C, 3, FALSE)</f>
        <v>33.725000000000001</v>
      </c>
      <c r="D1256" t="e">
        <f>VLOOKUP($A1256, 'Medical Examinations'!A:D, 4, FALSE)</f>
        <v>#N/A</v>
      </c>
      <c r="E1256" t="str">
        <f>VLOOKUP($A1256, 'Medical Examinations'!A:F, 6, FALSE)</f>
        <v>yes</v>
      </c>
      <c r="F1256" t="str">
        <f>VLOOKUP($A1256, 'Medical Examinations'!A:G, 7, FALSE)</f>
        <v>No</v>
      </c>
      <c r="G1256" t="str">
        <f>VLOOKUP($A1256, 'Medical Examinations'!A:H, 8, FALSE)</f>
        <v>No</v>
      </c>
      <c r="H1256" t="str">
        <f>VLOOKUP($A1256, 'Medical Examinations'!A:J, 10, FALSE)</f>
        <v>No major surgery</v>
      </c>
      <c r="I1256" t="str">
        <f>VLOOKUP($A1256, 'Medical Examinations'!A:K, 11, FALSE)</f>
        <v>No</v>
      </c>
      <c r="J1256" t="str">
        <f>VLOOKUP($A1256, 'Medical Examinations'!A:B, 2, FALSE)</f>
        <v>Obesity</v>
      </c>
      <c r="K1256" t="e">
        <f>VLOOKUP($A1256, 'Medical Examinations'!A:D, 4, FALSE)</f>
        <v>#N/A</v>
      </c>
    </row>
    <row r="1257" spans="1:11" ht="15.5" x14ac:dyDescent="0.35">
      <c r="A1257" s="1" t="s">
        <v>1115</v>
      </c>
      <c r="B1257" t="str">
        <f>VLOOKUP($A1257, 'Customer Names'!A:D, 3, FALSE)</f>
        <v>Moore</v>
      </c>
      <c r="C1257">
        <f>VLOOKUP($A1257,'Medical Examinations'!A:C, 3, FALSE)</f>
        <v>28.9</v>
      </c>
      <c r="D1257" t="str">
        <f>VLOOKUP($A1257, 'Medical Examinations'!A:D, 4, FALSE)</f>
        <v>Prediabetes</v>
      </c>
      <c r="E1257" t="str">
        <f>VLOOKUP($A1257, 'Medical Examinations'!A:F, 6, FALSE)</f>
        <v>yes</v>
      </c>
      <c r="F1257" t="str">
        <f>VLOOKUP($A1257, 'Medical Examinations'!A:G, 7, FALSE)</f>
        <v>No</v>
      </c>
      <c r="G1257" t="str">
        <f>VLOOKUP($A1257, 'Medical Examinations'!A:H, 8, FALSE)</f>
        <v>No</v>
      </c>
      <c r="H1257" t="str">
        <f>VLOOKUP($A1257, 'Medical Examinations'!A:J, 10, FALSE)</f>
        <v>No major surgery</v>
      </c>
      <c r="I1257" t="str">
        <f>VLOOKUP($A1257, 'Medical Examinations'!A:K, 11, FALSE)</f>
        <v>No</v>
      </c>
      <c r="J1257" t="str">
        <f>VLOOKUP($A1257, 'Medical Examinations'!A:B, 2, FALSE)</f>
        <v>Overweight</v>
      </c>
      <c r="K1257" t="str">
        <f>VLOOKUP($A1257, 'Medical Examinations'!A:D, 4, FALSE)</f>
        <v>Prediabetes</v>
      </c>
    </row>
    <row r="1258" spans="1:11" ht="15.5" x14ac:dyDescent="0.35">
      <c r="A1258" s="1" t="s">
        <v>1114</v>
      </c>
      <c r="B1258" t="str">
        <f>VLOOKUP($A1258, 'Customer Names'!A:D, 3, FALSE)</f>
        <v>McGrane</v>
      </c>
      <c r="C1258">
        <f>VLOOKUP($A1258,'Medical Examinations'!A:C, 3, FALSE)</f>
        <v>45.69</v>
      </c>
      <c r="D1258" t="str">
        <f>VLOOKUP($A1258, 'Medical Examinations'!A:D, 4, FALSE)</f>
        <v>Normal</v>
      </c>
      <c r="E1258" t="str">
        <f>VLOOKUP($A1258, 'Medical Examinations'!A:F, 6, FALSE)</f>
        <v>yes</v>
      </c>
      <c r="F1258" t="str">
        <f>VLOOKUP($A1258, 'Medical Examinations'!A:G, 7, FALSE)</f>
        <v>No</v>
      </c>
      <c r="G1258" t="str">
        <f>VLOOKUP($A1258, 'Medical Examinations'!A:H, 8, FALSE)</f>
        <v>No</v>
      </c>
      <c r="H1258" t="str">
        <f>VLOOKUP($A1258, 'Medical Examinations'!A:J, 10, FALSE)</f>
        <v>No major surgery</v>
      </c>
      <c r="I1258" t="str">
        <f>VLOOKUP($A1258, 'Medical Examinations'!A:K, 11, FALSE)</f>
        <v>No</v>
      </c>
      <c r="J1258" t="str">
        <f>VLOOKUP($A1258, 'Medical Examinations'!A:B, 2, FALSE)</f>
        <v>Obesity</v>
      </c>
      <c r="K1258" t="str">
        <f>VLOOKUP($A1258, 'Medical Examinations'!A:D, 4, FALSE)</f>
        <v>Normal</v>
      </c>
    </row>
    <row r="1259" spans="1:11" ht="15.5" x14ac:dyDescent="0.35">
      <c r="A1259" s="1" t="s">
        <v>1113</v>
      </c>
      <c r="B1259" t="str">
        <f>VLOOKUP($A1259, 'Customer Names'!A:D, 3, FALSE)</f>
        <v>Stepnowski</v>
      </c>
      <c r="C1259">
        <f>VLOOKUP($A1259,'Medical Examinations'!A:C, 3, FALSE)</f>
        <v>21.03</v>
      </c>
      <c r="D1259" t="str">
        <f>VLOOKUP($A1259, 'Medical Examinations'!A:D, 4, FALSE)</f>
        <v>Diabetes</v>
      </c>
      <c r="E1259" t="str">
        <f>VLOOKUP($A1259, 'Medical Examinations'!A:F, 6, FALSE)</f>
        <v>No</v>
      </c>
      <c r="F1259" t="str">
        <f>VLOOKUP($A1259, 'Medical Examinations'!A:G, 7, FALSE)</f>
        <v>No</v>
      </c>
      <c r="G1259" t="str">
        <f>VLOOKUP($A1259, 'Medical Examinations'!A:H, 8, FALSE)</f>
        <v>No</v>
      </c>
      <c r="H1259" t="str">
        <f>VLOOKUP($A1259, 'Medical Examinations'!A:J, 10, FALSE)</f>
        <v>No major surgery</v>
      </c>
      <c r="I1259" t="str">
        <f>VLOOKUP($A1259, 'Medical Examinations'!A:K, 11, FALSE)</f>
        <v>No</v>
      </c>
      <c r="J1259" t="str">
        <f>VLOOKUP($A1259, 'Medical Examinations'!A:B, 2, FALSE)</f>
        <v>Normal Weight</v>
      </c>
      <c r="K1259" t="str">
        <f>VLOOKUP($A1259, 'Medical Examinations'!A:D, 4, FALSE)</f>
        <v>Diabetes</v>
      </c>
    </row>
    <row r="1260" spans="1:11" ht="15.5" x14ac:dyDescent="0.35">
      <c r="A1260" s="1" t="s">
        <v>1112</v>
      </c>
      <c r="B1260" t="str">
        <f>VLOOKUP($A1260, 'Customer Names'!A:D, 3, FALSE)</f>
        <v>Merkle</v>
      </c>
      <c r="C1260">
        <f>VLOOKUP($A1260,'Medical Examinations'!A:C, 3, FALSE)</f>
        <v>37</v>
      </c>
      <c r="D1260" t="str">
        <f>VLOOKUP($A1260, 'Medical Examinations'!A:D, 4, FALSE)</f>
        <v>Diabetes</v>
      </c>
      <c r="E1260" t="str">
        <f>VLOOKUP($A1260, 'Medical Examinations'!A:F, 6, FALSE)</f>
        <v>No</v>
      </c>
      <c r="F1260" t="str">
        <f>VLOOKUP($A1260, 'Medical Examinations'!A:G, 7, FALSE)</f>
        <v>No</v>
      </c>
      <c r="G1260" t="str">
        <f>VLOOKUP($A1260, 'Medical Examinations'!A:H, 8, FALSE)</f>
        <v>No</v>
      </c>
      <c r="H1260" t="str">
        <f>VLOOKUP($A1260, 'Medical Examinations'!A:J, 10, FALSE)</f>
        <v>No major surgery</v>
      </c>
      <c r="I1260" t="str">
        <f>VLOOKUP($A1260, 'Medical Examinations'!A:K, 11, FALSE)</f>
        <v>No</v>
      </c>
      <c r="J1260" t="str">
        <f>VLOOKUP($A1260, 'Medical Examinations'!A:B, 2, FALSE)</f>
        <v>Obesity</v>
      </c>
      <c r="K1260" t="str">
        <f>VLOOKUP($A1260, 'Medical Examinations'!A:D, 4, FALSE)</f>
        <v>Diabetes</v>
      </c>
    </row>
    <row r="1261" spans="1:11" ht="15.5" x14ac:dyDescent="0.35">
      <c r="A1261" s="1" t="s">
        <v>1111</v>
      </c>
      <c r="B1261" t="str">
        <f>VLOOKUP($A1261, 'Customer Names'!A:D, 3, FALSE)</f>
        <v>Schaefer</v>
      </c>
      <c r="C1261">
        <f>VLOOKUP($A1261,'Medical Examinations'!A:C, 3, FALSE)</f>
        <v>25.4</v>
      </c>
      <c r="D1261" t="str">
        <f>VLOOKUP($A1261, 'Medical Examinations'!A:D, 4, FALSE)</f>
        <v>Diabetes</v>
      </c>
      <c r="E1261" t="str">
        <f>VLOOKUP($A1261, 'Medical Examinations'!A:F, 6, FALSE)</f>
        <v>No</v>
      </c>
      <c r="F1261" t="str">
        <f>VLOOKUP($A1261, 'Medical Examinations'!A:G, 7, FALSE)</f>
        <v>No</v>
      </c>
      <c r="G1261" t="str">
        <f>VLOOKUP($A1261, 'Medical Examinations'!A:H, 8, FALSE)</f>
        <v>No</v>
      </c>
      <c r="H1261" t="str">
        <f>VLOOKUP($A1261, 'Medical Examinations'!A:J, 10, FALSE)</f>
        <v>No major surgery</v>
      </c>
      <c r="I1261" t="str">
        <f>VLOOKUP($A1261, 'Medical Examinations'!A:K, 11, FALSE)</f>
        <v>No</v>
      </c>
      <c r="J1261" t="str">
        <f>VLOOKUP($A1261, 'Medical Examinations'!A:B, 2, FALSE)</f>
        <v>Overweight</v>
      </c>
      <c r="K1261" t="str">
        <f>VLOOKUP($A1261, 'Medical Examinations'!A:D, 4, FALSE)</f>
        <v>Diabetes</v>
      </c>
    </row>
    <row r="1262" spans="1:11" ht="15.5" x14ac:dyDescent="0.35">
      <c r="A1262" s="1" t="s">
        <v>1110</v>
      </c>
      <c r="B1262" t="str">
        <f>VLOOKUP($A1262, 'Customer Names'!A:D, 3, FALSE)</f>
        <v>Vigneron</v>
      </c>
      <c r="C1262">
        <f>VLOOKUP($A1262,'Medical Examinations'!A:C, 3, FALSE)</f>
        <v>32.299999999999997</v>
      </c>
      <c r="D1262" t="str">
        <f>VLOOKUP($A1262, 'Medical Examinations'!A:D, 4, FALSE)</f>
        <v>Diabetes</v>
      </c>
      <c r="E1262" t="str">
        <f>VLOOKUP($A1262, 'Medical Examinations'!A:F, 6, FALSE)</f>
        <v>No</v>
      </c>
      <c r="F1262" t="str">
        <f>VLOOKUP($A1262, 'Medical Examinations'!A:G, 7, FALSE)</f>
        <v>No</v>
      </c>
      <c r="G1262" t="str">
        <f>VLOOKUP($A1262, 'Medical Examinations'!A:H, 8, FALSE)</f>
        <v>No</v>
      </c>
      <c r="H1262" t="str">
        <f>VLOOKUP($A1262, 'Medical Examinations'!A:J, 10, FALSE)</f>
        <v>No major surgery</v>
      </c>
      <c r="I1262" t="str">
        <f>VLOOKUP($A1262, 'Medical Examinations'!A:K, 11, FALSE)</f>
        <v>No</v>
      </c>
      <c r="J1262" t="str">
        <f>VLOOKUP($A1262, 'Medical Examinations'!A:B, 2, FALSE)</f>
        <v>Obesity</v>
      </c>
      <c r="K1262" t="str">
        <f>VLOOKUP($A1262, 'Medical Examinations'!A:D, 4, FALSE)</f>
        <v>Diabetes</v>
      </c>
    </row>
    <row r="1263" spans="1:11" ht="15.5" x14ac:dyDescent="0.35">
      <c r="A1263" s="1" t="s">
        <v>1109</v>
      </c>
      <c r="B1263" t="str">
        <f>VLOOKUP($A1263, 'Customer Names'!A:D, 3, FALSE)</f>
        <v>Mucci</v>
      </c>
      <c r="C1263">
        <f>VLOOKUP($A1263,'Medical Examinations'!A:C, 3, FALSE)</f>
        <v>23.94</v>
      </c>
      <c r="D1263" t="str">
        <f>VLOOKUP($A1263, 'Medical Examinations'!A:D, 4, FALSE)</f>
        <v>Normal</v>
      </c>
      <c r="E1263" t="str">
        <f>VLOOKUP($A1263, 'Medical Examinations'!A:F, 6, FALSE)</f>
        <v>yes</v>
      </c>
      <c r="F1263" t="str">
        <f>VLOOKUP($A1263, 'Medical Examinations'!A:G, 7, FALSE)</f>
        <v>No</v>
      </c>
      <c r="G1263" t="str">
        <f>VLOOKUP($A1263, 'Medical Examinations'!A:H, 8, FALSE)</f>
        <v>Yes</v>
      </c>
      <c r="H1263">
        <f>VLOOKUP($A1263, 'Medical Examinations'!A:J, 10, FALSE)</f>
        <v>1</v>
      </c>
      <c r="I1263" t="str">
        <f>VLOOKUP($A1263, 'Medical Examinations'!A:K, 11, FALSE)</f>
        <v>No</v>
      </c>
      <c r="J1263" t="str">
        <f>VLOOKUP($A1263, 'Medical Examinations'!A:B, 2, FALSE)</f>
        <v>Normal Weight</v>
      </c>
      <c r="K1263" t="str">
        <f>VLOOKUP($A1263, 'Medical Examinations'!A:D, 4, FALSE)</f>
        <v>Normal</v>
      </c>
    </row>
    <row r="1264" spans="1:11" ht="15.5" x14ac:dyDescent="0.35">
      <c r="A1264" s="1" t="s">
        <v>1108</v>
      </c>
      <c r="B1264" t="str">
        <f>VLOOKUP($A1264, 'Customer Names'!A:D, 3, FALSE)</f>
        <v>MacDonald</v>
      </c>
      <c r="C1264">
        <f>VLOOKUP($A1264,'Medical Examinations'!A:C, 3, FALSE)</f>
        <v>46.4</v>
      </c>
      <c r="D1264" t="str">
        <f>VLOOKUP($A1264, 'Medical Examinations'!A:D, 4, FALSE)</f>
        <v>Prediabetes</v>
      </c>
      <c r="E1264" t="str">
        <f>VLOOKUP($A1264, 'Medical Examinations'!A:F, 6, FALSE)</f>
        <v>No</v>
      </c>
      <c r="F1264" t="str">
        <f>VLOOKUP($A1264, 'Medical Examinations'!A:G, 7, FALSE)</f>
        <v>No</v>
      </c>
      <c r="G1264" t="str">
        <f>VLOOKUP($A1264, 'Medical Examinations'!A:H, 8, FALSE)</f>
        <v>No</v>
      </c>
      <c r="H1264" t="str">
        <f>VLOOKUP($A1264, 'Medical Examinations'!A:J, 10, FALSE)</f>
        <v>No major surgery</v>
      </c>
      <c r="I1264" t="str">
        <f>VLOOKUP($A1264, 'Medical Examinations'!A:K, 11, FALSE)</f>
        <v>No</v>
      </c>
      <c r="J1264" t="str">
        <f>VLOOKUP($A1264, 'Medical Examinations'!A:B, 2, FALSE)</f>
        <v>Obesity</v>
      </c>
      <c r="K1264" t="str">
        <f>VLOOKUP($A1264, 'Medical Examinations'!A:D, 4, FALSE)</f>
        <v>Prediabetes</v>
      </c>
    </row>
    <row r="1265" spans="1:11" ht="15.5" x14ac:dyDescent="0.35">
      <c r="A1265" s="1" t="s">
        <v>1107</v>
      </c>
      <c r="B1265" t="str">
        <f>VLOOKUP($A1265, 'Customer Names'!A:D, 3, FALSE)</f>
        <v>Deng</v>
      </c>
      <c r="C1265">
        <f>VLOOKUP($A1265,'Medical Examinations'!A:C, 3, FALSE)</f>
        <v>40.375</v>
      </c>
      <c r="D1265" t="str">
        <f>VLOOKUP($A1265, 'Medical Examinations'!A:D, 4, FALSE)</f>
        <v>Prediabetes</v>
      </c>
      <c r="E1265" t="str">
        <f>VLOOKUP($A1265, 'Medical Examinations'!A:F, 6, FALSE)</f>
        <v>yes</v>
      </c>
      <c r="F1265" t="str">
        <f>VLOOKUP($A1265, 'Medical Examinations'!A:G, 7, FALSE)</f>
        <v>No</v>
      </c>
      <c r="G1265" t="str">
        <f>VLOOKUP($A1265, 'Medical Examinations'!A:H, 8, FALSE)</f>
        <v>No</v>
      </c>
      <c r="H1265" t="str">
        <f>VLOOKUP($A1265, 'Medical Examinations'!A:J, 10, FALSE)</f>
        <v>No major surgery</v>
      </c>
      <c r="I1265" t="str">
        <f>VLOOKUP($A1265, 'Medical Examinations'!A:K, 11, FALSE)</f>
        <v>No</v>
      </c>
      <c r="J1265" t="str">
        <f>VLOOKUP($A1265, 'Medical Examinations'!A:B, 2, FALSE)</f>
        <v>Obesity</v>
      </c>
      <c r="K1265" t="str">
        <f>VLOOKUP($A1265, 'Medical Examinations'!A:D, 4, FALSE)</f>
        <v>Prediabetes</v>
      </c>
    </row>
    <row r="1266" spans="1:11" ht="15.5" x14ac:dyDescent="0.35">
      <c r="A1266" s="1" t="s">
        <v>1106</v>
      </c>
      <c r="B1266" t="str">
        <f>VLOOKUP($A1266, 'Customer Names'!A:D, 3, FALSE)</f>
        <v>De Mata</v>
      </c>
      <c r="C1266">
        <f>VLOOKUP($A1266,'Medical Examinations'!A:C, 3, FALSE)</f>
        <v>28.7</v>
      </c>
      <c r="D1266" t="str">
        <f>VLOOKUP($A1266, 'Medical Examinations'!A:D, 4, FALSE)</f>
        <v>Diabetes</v>
      </c>
      <c r="E1266" t="str">
        <f>VLOOKUP($A1266, 'Medical Examinations'!A:F, 6, FALSE)</f>
        <v>No</v>
      </c>
      <c r="F1266" t="str">
        <f>VLOOKUP($A1266, 'Medical Examinations'!A:G, 7, FALSE)</f>
        <v>No</v>
      </c>
      <c r="G1266" t="str">
        <f>VLOOKUP($A1266, 'Medical Examinations'!A:H, 8, FALSE)</f>
        <v>No</v>
      </c>
      <c r="H1266">
        <f>VLOOKUP($A1266, 'Medical Examinations'!A:J, 10, FALSE)</f>
        <v>2</v>
      </c>
      <c r="I1266" t="str">
        <f>VLOOKUP($A1266, 'Medical Examinations'!A:K, 11, FALSE)</f>
        <v>No</v>
      </c>
      <c r="J1266" t="str">
        <f>VLOOKUP($A1266, 'Medical Examinations'!A:B, 2, FALSE)</f>
        <v>Overweight</v>
      </c>
      <c r="K1266" t="str">
        <f>VLOOKUP($A1266, 'Medical Examinations'!A:D, 4, FALSE)</f>
        <v>Diabetes</v>
      </c>
    </row>
    <row r="1267" spans="1:11" ht="15.5" x14ac:dyDescent="0.35">
      <c r="A1267" s="1" t="s">
        <v>1105</v>
      </c>
      <c r="B1267" t="str">
        <f>VLOOKUP($A1267, 'Customer Names'!A:D, 3, FALSE)</f>
        <v>Strickland</v>
      </c>
      <c r="C1267">
        <f>VLOOKUP($A1267,'Medical Examinations'!A:C, 3, FALSE)</f>
        <v>26.63</v>
      </c>
      <c r="D1267" t="str">
        <f>VLOOKUP($A1267, 'Medical Examinations'!A:D, 4, FALSE)</f>
        <v>Prediabetes</v>
      </c>
      <c r="E1267" t="str">
        <f>VLOOKUP($A1267, 'Medical Examinations'!A:F, 6, FALSE)</f>
        <v>No</v>
      </c>
      <c r="F1267" t="str">
        <f>VLOOKUP($A1267, 'Medical Examinations'!A:G, 7, FALSE)</f>
        <v>No</v>
      </c>
      <c r="G1267" t="str">
        <f>VLOOKUP($A1267, 'Medical Examinations'!A:H, 8, FALSE)</f>
        <v>No</v>
      </c>
      <c r="H1267" t="str">
        <f>VLOOKUP($A1267, 'Medical Examinations'!A:J, 10, FALSE)</f>
        <v>No major surgery</v>
      </c>
      <c r="I1267" t="str">
        <f>VLOOKUP($A1267, 'Medical Examinations'!A:K, 11, FALSE)</f>
        <v>No</v>
      </c>
      <c r="J1267" t="str">
        <f>VLOOKUP($A1267, 'Medical Examinations'!A:B, 2, FALSE)</f>
        <v>Overweight</v>
      </c>
      <c r="K1267" t="str">
        <f>VLOOKUP($A1267, 'Medical Examinations'!A:D, 4, FALSE)</f>
        <v>Prediabetes</v>
      </c>
    </row>
    <row r="1268" spans="1:11" ht="15.5" x14ac:dyDescent="0.35">
      <c r="A1268" s="1" t="s">
        <v>1104</v>
      </c>
      <c r="B1268" t="str">
        <f>VLOOKUP($A1268, 'Customer Names'!A:D, 3, FALSE)</f>
        <v>Cheney</v>
      </c>
      <c r="C1268">
        <f>VLOOKUP($A1268,'Medical Examinations'!A:C, 3, FALSE)</f>
        <v>22.515000000000001</v>
      </c>
      <c r="D1268" t="str">
        <f>VLOOKUP($A1268, 'Medical Examinations'!A:D, 4, FALSE)</f>
        <v>Diabetes</v>
      </c>
      <c r="E1268" t="str">
        <f>VLOOKUP($A1268, 'Medical Examinations'!A:F, 6, FALSE)</f>
        <v>No</v>
      </c>
      <c r="F1268" t="str">
        <f>VLOOKUP($A1268, 'Medical Examinations'!A:G, 7, FALSE)</f>
        <v>No</v>
      </c>
      <c r="G1268" t="str">
        <f>VLOOKUP($A1268, 'Medical Examinations'!A:H, 8, FALSE)</f>
        <v>No</v>
      </c>
      <c r="H1268">
        <f>VLOOKUP($A1268, 'Medical Examinations'!A:J, 10, FALSE)</f>
        <v>2</v>
      </c>
      <c r="I1268" t="str">
        <f>VLOOKUP($A1268, 'Medical Examinations'!A:K, 11, FALSE)</f>
        <v>No</v>
      </c>
      <c r="J1268" t="str">
        <f>VLOOKUP($A1268, 'Medical Examinations'!A:B, 2, FALSE)</f>
        <v>Normal Weight</v>
      </c>
      <c r="K1268" t="str">
        <f>VLOOKUP($A1268, 'Medical Examinations'!A:D, 4, FALSE)</f>
        <v>Diabetes</v>
      </c>
    </row>
    <row r="1269" spans="1:11" ht="15.5" x14ac:dyDescent="0.35">
      <c r="A1269" s="1" t="s">
        <v>1103</v>
      </c>
      <c r="B1269" t="str">
        <f>VLOOKUP($A1269, 'Customer Names'!A:D, 3, FALSE)</f>
        <v>Godoy</v>
      </c>
      <c r="C1269">
        <f>VLOOKUP($A1269,'Medical Examinations'!A:C, 3, FALSE)</f>
        <v>36.575000000000003</v>
      </c>
      <c r="D1269" t="str">
        <f>VLOOKUP($A1269, 'Medical Examinations'!A:D, 4, FALSE)</f>
        <v>Diabetes</v>
      </c>
      <c r="E1269" t="str">
        <f>VLOOKUP($A1269, 'Medical Examinations'!A:F, 6, FALSE)</f>
        <v>No</v>
      </c>
      <c r="F1269" t="str">
        <f>VLOOKUP($A1269, 'Medical Examinations'!A:G, 7, FALSE)</f>
        <v>No</v>
      </c>
      <c r="G1269" t="str">
        <f>VLOOKUP($A1269, 'Medical Examinations'!A:H, 8, FALSE)</f>
        <v>No</v>
      </c>
      <c r="H1269" t="str">
        <f>VLOOKUP($A1269, 'Medical Examinations'!A:J, 10, FALSE)</f>
        <v>No major surgery</v>
      </c>
      <c r="I1269" t="str">
        <f>VLOOKUP($A1269, 'Medical Examinations'!A:K, 11, FALSE)</f>
        <v>No</v>
      </c>
      <c r="J1269" t="str">
        <f>VLOOKUP($A1269, 'Medical Examinations'!A:B, 2, FALSE)</f>
        <v>Obesity</v>
      </c>
      <c r="K1269" t="str">
        <f>VLOOKUP($A1269, 'Medical Examinations'!A:D, 4, FALSE)</f>
        <v>Diabetes</v>
      </c>
    </row>
    <row r="1270" spans="1:11" ht="15.5" x14ac:dyDescent="0.35">
      <c r="A1270" s="1" t="s">
        <v>1102</v>
      </c>
      <c r="B1270" t="str">
        <f>VLOOKUP($A1270, 'Customer Names'!A:D, 3, FALSE)</f>
        <v>Rider</v>
      </c>
      <c r="C1270">
        <f>VLOOKUP($A1270,'Medical Examinations'!A:C, 3, FALSE)</f>
        <v>23.66</v>
      </c>
      <c r="D1270" t="str">
        <f>VLOOKUP($A1270, 'Medical Examinations'!A:D, 4, FALSE)</f>
        <v>Normal</v>
      </c>
      <c r="E1270" t="str">
        <f>VLOOKUP($A1270, 'Medical Examinations'!A:F, 6, FALSE)</f>
        <v>yes</v>
      </c>
      <c r="F1270" t="str">
        <f>VLOOKUP($A1270, 'Medical Examinations'!A:G, 7, FALSE)</f>
        <v>No</v>
      </c>
      <c r="G1270" t="str">
        <f>VLOOKUP($A1270, 'Medical Examinations'!A:H, 8, FALSE)</f>
        <v>Yes</v>
      </c>
      <c r="H1270">
        <f>VLOOKUP($A1270, 'Medical Examinations'!A:J, 10, FALSE)</f>
        <v>1</v>
      </c>
      <c r="I1270" t="str">
        <f>VLOOKUP($A1270, 'Medical Examinations'!A:K, 11, FALSE)</f>
        <v>No</v>
      </c>
      <c r="J1270" t="str">
        <f>VLOOKUP($A1270, 'Medical Examinations'!A:B, 2, FALSE)</f>
        <v>Normal Weight</v>
      </c>
      <c r="K1270" t="str">
        <f>VLOOKUP($A1270, 'Medical Examinations'!A:D, 4, FALSE)</f>
        <v>Normal</v>
      </c>
    </row>
    <row r="1271" spans="1:11" ht="15.5" x14ac:dyDescent="0.35">
      <c r="A1271" s="1" t="s">
        <v>1101</v>
      </c>
      <c r="B1271" t="str">
        <f>VLOOKUP($A1271, 'Customer Names'!A:D, 3, FALSE)</f>
        <v>Evans</v>
      </c>
      <c r="C1271">
        <f>VLOOKUP($A1271,'Medical Examinations'!A:C, 3, FALSE)</f>
        <v>18.62</v>
      </c>
      <c r="D1271" t="str">
        <f>VLOOKUP($A1271, 'Medical Examinations'!A:D, 4, FALSE)</f>
        <v>Diabetes</v>
      </c>
      <c r="E1271" t="str">
        <f>VLOOKUP($A1271, 'Medical Examinations'!A:F, 6, FALSE)</f>
        <v>No</v>
      </c>
      <c r="F1271" t="str">
        <f>VLOOKUP($A1271, 'Medical Examinations'!A:G, 7, FALSE)</f>
        <v>No</v>
      </c>
      <c r="G1271" t="str">
        <f>VLOOKUP($A1271, 'Medical Examinations'!A:H, 8, FALSE)</f>
        <v>No</v>
      </c>
      <c r="H1271" t="str">
        <f>VLOOKUP($A1271, 'Medical Examinations'!A:J, 10, FALSE)</f>
        <v>No major surgery</v>
      </c>
      <c r="I1271" t="str">
        <f>VLOOKUP($A1271, 'Medical Examinations'!A:K, 11, FALSE)</f>
        <v>No</v>
      </c>
      <c r="J1271" t="str">
        <f>VLOOKUP($A1271, 'Medical Examinations'!A:B, 2, FALSE)</f>
        <v>Normal Weight</v>
      </c>
      <c r="K1271" t="str">
        <f>VLOOKUP($A1271, 'Medical Examinations'!A:D, 4, FALSE)</f>
        <v>Diabetes</v>
      </c>
    </row>
    <row r="1272" spans="1:11" ht="15.5" x14ac:dyDescent="0.35">
      <c r="A1272" s="1" t="s">
        <v>1100</v>
      </c>
      <c r="B1272" t="str">
        <f>VLOOKUP($A1272, 'Customer Names'!A:D, 3, FALSE)</f>
        <v>Anderson</v>
      </c>
      <c r="C1272">
        <f>VLOOKUP($A1272,'Medical Examinations'!A:C, 3, FALSE)</f>
        <v>19.190000000000001</v>
      </c>
      <c r="D1272" t="str">
        <f>VLOOKUP($A1272, 'Medical Examinations'!A:D, 4, FALSE)</f>
        <v>Diabetes</v>
      </c>
      <c r="E1272" t="str">
        <f>VLOOKUP($A1272, 'Medical Examinations'!A:F, 6, FALSE)</f>
        <v>yes</v>
      </c>
      <c r="F1272" t="str">
        <f>VLOOKUP($A1272, 'Medical Examinations'!A:G, 7, FALSE)</f>
        <v>No</v>
      </c>
      <c r="G1272" t="str">
        <f>VLOOKUP($A1272, 'Medical Examinations'!A:H, 8, FALSE)</f>
        <v>No</v>
      </c>
      <c r="H1272">
        <f>VLOOKUP($A1272, 'Medical Examinations'!A:J, 10, FALSE)</f>
        <v>1</v>
      </c>
      <c r="I1272" t="str">
        <f>VLOOKUP($A1272, 'Medical Examinations'!A:K, 11, FALSE)</f>
        <v>No</v>
      </c>
      <c r="J1272" t="str">
        <f>VLOOKUP($A1272, 'Medical Examinations'!A:B, 2, FALSE)</f>
        <v>Normal Weight</v>
      </c>
      <c r="K1272" t="str">
        <f>VLOOKUP($A1272, 'Medical Examinations'!A:D, 4, FALSE)</f>
        <v>Diabetes</v>
      </c>
    </row>
    <row r="1273" spans="1:11" ht="15.5" x14ac:dyDescent="0.35">
      <c r="A1273" s="1" t="s">
        <v>1099</v>
      </c>
      <c r="B1273" t="str">
        <f>VLOOKUP($A1273, 'Customer Names'!A:D, 3, FALSE)</f>
        <v>Walters</v>
      </c>
      <c r="C1273">
        <f>VLOOKUP($A1273,'Medical Examinations'!A:C, 3, FALSE)</f>
        <v>27.5</v>
      </c>
      <c r="D1273" t="str">
        <f>VLOOKUP($A1273, 'Medical Examinations'!A:D, 4, FALSE)</f>
        <v>Prediabetes</v>
      </c>
      <c r="E1273" t="str">
        <f>VLOOKUP($A1273, 'Medical Examinations'!A:F, 6, FALSE)</f>
        <v>No</v>
      </c>
      <c r="F1273" t="str">
        <f>VLOOKUP($A1273, 'Medical Examinations'!A:G, 7, FALSE)</f>
        <v>No</v>
      </c>
      <c r="G1273" t="str">
        <f>VLOOKUP($A1273, 'Medical Examinations'!A:H, 8, FALSE)</f>
        <v>No</v>
      </c>
      <c r="H1273" t="str">
        <f>VLOOKUP($A1273, 'Medical Examinations'!A:J, 10, FALSE)</f>
        <v>No major surgery</v>
      </c>
      <c r="I1273" t="str">
        <f>VLOOKUP($A1273, 'Medical Examinations'!A:K, 11, FALSE)</f>
        <v>No</v>
      </c>
      <c r="J1273" t="str">
        <f>VLOOKUP($A1273, 'Medical Examinations'!A:B, 2, FALSE)</f>
        <v>Overweight</v>
      </c>
      <c r="K1273" t="str">
        <f>VLOOKUP($A1273, 'Medical Examinations'!A:D, 4, FALSE)</f>
        <v>Prediabetes</v>
      </c>
    </row>
    <row r="1274" spans="1:11" ht="15.5" x14ac:dyDescent="0.35">
      <c r="A1274" s="1" t="s">
        <v>1098</v>
      </c>
      <c r="B1274" t="str">
        <f>VLOOKUP($A1274, 'Customer Names'!A:D, 3, FALSE)</f>
        <v>Leboeuf</v>
      </c>
      <c r="C1274">
        <f>VLOOKUP($A1274,'Medical Examinations'!A:C, 3, FALSE)</f>
        <v>27.36</v>
      </c>
      <c r="D1274" t="str">
        <f>VLOOKUP($A1274, 'Medical Examinations'!A:D, 4, FALSE)</f>
        <v>Prediabetes</v>
      </c>
      <c r="E1274" t="str">
        <f>VLOOKUP($A1274, 'Medical Examinations'!A:F, 6, FALSE)</f>
        <v>No</v>
      </c>
      <c r="F1274" t="str">
        <f>VLOOKUP($A1274, 'Medical Examinations'!A:G, 7, FALSE)</f>
        <v>No</v>
      </c>
      <c r="G1274" t="str">
        <f>VLOOKUP($A1274, 'Medical Examinations'!A:H, 8, FALSE)</f>
        <v>Yes</v>
      </c>
      <c r="H1274">
        <f>VLOOKUP($A1274, 'Medical Examinations'!A:J, 10, FALSE)</f>
        <v>1</v>
      </c>
      <c r="I1274" t="str">
        <f>VLOOKUP($A1274, 'Medical Examinations'!A:K, 11, FALSE)</f>
        <v>No</v>
      </c>
      <c r="J1274" t="str">
        <f>VLOOKUP($A1274, 'Medical Examinations'!A:B, 2, FALSE)</f>
        <v>Overweight</v>
      </c>
      <c r="K1274" t="str">
        <f>VLOOKUP($A1274, 'Medical Examinations'!A:D, 4, FALSE)</f>
        <v>Prediabetes</v>
      </c>
    </row>
    <row r="1275" spans="1:11" ht="15.5" x14ac:dyDescent="0.35">
      <c r="A1275" s="1" t="s">
        <v>1097</v>
      </c>
      <c r="B1275" t="str">
        <f>VLOOKUP($A1275, 'Customer Names'!A:D, 3, FALSE)</f>
        <v>Scheibel</v>
      </c>
      <c r="C1275">
        <f>VLOOKUP($A1275,'Medical Examinations'!A:C, 3, FALSE)</f>
        <v>20.350000000000001</v>
      </c>
      <c r="D1275" t="str">
        <f>VLOOKUP($A1275, 'Medical Examinations'!A:D, 4, FALSE)</f>
        <v>Normal</v>
      </c>
      <c r="E1275" t="str">
        <f>VLOOKUP($A1275, 'Medical Examinations'!A:F, 6, FALSE)</f>
        <v>No</v>
      </c>
      <c r="F1275" t="str">
        <f>VLOOKUP($A1275, 'Medical Examinations'!A:G, 7, FALSE)</f>
        <v>No</v>
      </c>
      <c r="G1275" t="str">
        <f>VLOOKUP($A1275, 'Medical Examinations'!A:H, 8, FALSE)</f>
        <v>No</v>
      </c>
      <c r="H1275" t="str">
        <f>VLOOKUP($A1275, 'Medical Examinations'!A:J, 10, FALSE)</f>
        <v>No major surgery</v>
      </c>
      <c r="I1275" t="str">
        <f>VLOOKUP($A1275, 'Medical Examinations'!A:K, 11, FALSE)</f>
        <v>No</v>
      </c>
      <c r="J1275" t="str">
        <f>VLOOKUP($A1275, 'Medical Examinations'!A:B, 2, FALSE)</f>
        <v>Normal Weight</v>
      </c>
      <c r="K1275" t="str">
        <f>VLOOKUP($A1275, 'Medical Examinations'!A:D, 4, FALSE)</f>
        <v>Normal</v>
      </c>
    </row>
    <row r="1276" spans="1:11" ht="15.5" x14ac:dyDescent="0.35">
      <c r="A1276" s="1" t="s">
        <v>1096</v>
      </c>
      <c r="B1276" t="str">
        <f>VLOOKUP($A1276, 'Customer Names'!A:D, 3, FALSE)</f>
        <v>Ritter</v>
      </c>
      <c r="C1276">
        <f>VLOOKUP($A1276,'Medical Examinations'!A:C, 3, FALSE)</f>
        <v>24.035</v>
      </c>
      <c r="D1276" t="str">
        <f>VLOOKUP($A1276, 'Medical Examinations'!A:D, 4, FALSE)</f>
        <v>Prediabetes</v>
      </c>
      <c r="E1276" t="str">
        <f>VLOOKUP($A1276, 'Medical Examinations'!A:F, 6, FALSE)</f>
        <v>No</v>
      </c>
      <c r="F1276" t="str">
        <f>VLOOKUP($A1276, 'Medical Examinations'!A:G, 7, FALSE)</f>
        <v>No</v>
      </c>
      <c r="G1276" t="str">
        <f>VLOOKUP($A1276, 'Medical Examinations'!A:H, 8, FALSE)</f>
        <v>No</v>
      </c>
      <c r="H1276" t="str">
        <f>VLOOKUP($A1276, 'Medical Examinations'!A:J, 10, FALSE)</f>
        <v>No major surgery</v>
      </c>
      <c r="I1276" t="str">
        <f>VLOOKUP($A1276, 'Medical Examinations'!A:K, 11, FALSE)</f>
        <v>No</v>
      </c>
      <c r="J1276" t="str">
        <f>VLOOKUP($A1276, 'Medical Examinations'!A:B, 2, FALSE)</f>
        <v>Normal Weight</v>
      </c>
      <c r="K1276" t="str">
        <f>VLOOKUP($A1276, 'Medical Examinations'!A:D, 4, FALSE)</f>
        <v>Prediabetes</v>
      </c>
    </row>
    <row r="1277" spans="1:11" ht="15.5" x14ac:dyDescent="0.35">
      <c r="A1277" s="1" t="s">
        <v>1095</v>
      </c>
      <c r="B1277" t="str">
        <f>VLOOKUP($A1277, 'Customer Names'!A:D, 3, FALSE)</f>
        <v>Deeg</v>
      </c>
      <c r="C1277">
        <f>VLOOKUP($A1277,'Medical Examinations'!A:C, 3, FALSE)</f>
        <v>23.56</v>
      </c>
      <c r="D1277" t="str">
        <f>VLOOKUP($A1277, 'Medical Examinations'!A:D, 4, FALSE)</f>
        <v>Prediabetes</v>
      </c>
      <c r="E1277" t="str">
        <f>VLOOKUP($A1277, 'Medical Examinations'!A:F, 6, FALSE)</f>
        <v>No</v>
      </c>
      <c r="F1277" t="str">
        <f>VLOOKUP($A1277, 'Medical Examinations'!A:G, 7, FALSE)</f>
        <v>No</v>
      </c>
      <c r="G1277" t="str">
        <f>VLOOKUP($A1277, 'Medical Examinations'!A:H, 8, FALSE)</f>
        <v>No</v>
      </c>
      <c r="H1277" t="str">
        <f>VLOOKUP($A1277, 'Medical Examinations'!A:J, 10, FALSE)</f>
        <v>No major surgery</v>
      </c>
      <c r="I1277" t="str">
        <f>VLOOKUP($A1277, 'Medical Examinations'!A:K, 11, FALSE)</f>
        <v>No</v>
      </c>
      <c r="J1277" t="str">
        <f>VLOOKUP($A1277, 'Medical Examinations'!A:B, 2, FALSE)</f>
        <v>Normal Weight</v>
      </c>
      <c r="K1277" t="str">
        <f>VLOOKUP($A1277, 'Medical Examinations'!A:D, 4, FALSE)</f>
        <v>Prediabetes</v>
      </c>
    </row>
    <row r="1278" spans="1:11" ht="15.5" x14ac:dyDescent="0.35">
      <c r="A1278" s="1" t="s">
        <v>1094</v>
      </c>
      <c r="B1278" t="str">
        <f>VLOOKUP($A1278, 'Customer Names'!A:D, 3, FALSE)</f>
        <v>Pretot</v>
      </c>
      <c r="C1278">
        <f>VLOOKUP($A1278,'Medical Examinations'!A:C, 3, FALSE)</f>
        <v>27.17</v>
      </c>
      <c r="D1278" t="str">
        <f>VLOOKUP($A1278, 'Medical Examinations'!A:D, 4, FALSE)</f>
        <v>Diabetes</v>
      </c>
      <c r="E1278" t="str">
        <f>VLOOKUP($A1278, 'Medical Examinations'!A:F, 6, FALSE)</f>
        <v>No</v>
      </c>
      <c r="F1278" t="str">
        <f>VLOOKUP($A1278, 'Medical Examinations'!A:G, 7, FALSE)</f>
        <v>No</v>
      </c>
      <c r="G1278" t="str">
        <f>VLOOKUP($A1278, 'Medical Examinations'!A:H, 8, FALSE)</f>
        <v>No</v>
      </c>
      <c r="H1278">
        <f>VLOOKUP($A1278, 'Medical Examinations'!A:J, 10, FALSE)</f>
        <v>2</v>
      </c>
      <c r="I1278" t="str">
        <f>VLOOKUP($A1278, 'Medical Examinations'!A:K, 11, FALSE)</f>
        <v>No</v>
      </c>
      <c r="J1278" t="str">
        <f>VLOOKUP($A1278, 'Medical Examinations'!A:B, 2, FALSE)</f>
        <v>Overweight</v>
      </c>
      <c r="K1278" t="str">
        <f>VLOOKUP($A1278, 'Medical Examinations'!A:D, 4, FALSE)</f>
        <v>Diabetes</v>
      </c>
    </row>
    <row r="1279" spans="1:11" ht="15.5" x14ac:dyDescent="0.35">
      <c r="A1279" s="1" t="s">
        <v>1093</v>
      </c>
      <c r="B1279" t="str">
        <f>VLOOKUP($A1279, 'Customer Names'!A:D, 3, FALSE)</f>
        <v>Willsey</v>
      </c>
      <c r="C1279">
        <f>VLOOKUP($A1279,'Medical Examinations'!A:C, 3, FALSE)</f>
        <v>34.32</v>
      </c>
      <c r="D1279" t="str">
        <f>VLOOKUP($A1279, 'Medical Examinations'!A:D, 4, FALSE)</f>
        <v>Prediabetes</v>
      </c>
      <c r="E1279" t="str">
        <f>VLOOKUP($A1279, 'Medical Examinations'!A:F, 6, FALSE)</f>
        <v>yes</v>
      </c>
      <c r="F1279" t="str">
        <f>VLOOKUP($A1279, 'Medical Examinations'!A:G, 7, FALSE)</f>
        <v>No</v>
      </c>
      <c r="G1279" t="str">
        <f>VLOOKUP($A1279, 'Medical Examinations'!A:H, 8, FALSE)</f>
        <v>Yes</v>
      </c>
      <c r="H1279">
        <f>VLOOKUP($A1279, 'Medical Examinations'!A:J, 10, FALSE)</f>
        <v>1</v>
      </c>
      <c r="I1279" t="str">
        <f>VLOOKUP($A1279, 'Medical Examinations'!A:K, 11, FALSE)</f>
        <v>No</v>
      </c>
      <c r="J1279" t="str">
        <f>VLOOKUP($A1279, 'Medical Examinations'!A:B, 2, FALSE)</f>
        <v>Obesity</v>
      </c>
      <c r="K1279" t="str">
        <f>VLOOKUP($A1279, 'Medical Examinations'!A:D, 4, FALSE)</f>
        <v>Prediabetes</v>
      </c>
    </row>
    <row r="1280" spans="1:11" ht="15.5" x14ac:dyDescent="0.35">
      <c r="A1280" s="1" t="s">
        <v>1092</v>
      </c>
      <c r="B1280" t="str">
        <f>VLOOKUP($A1280, 'Customer Names'!A:D, 3, FALSE)</f>
        <v>Roach</v>
      </c>
      <c r="C1280">
        <f>VLOOKUP($A1280,'Medical Examinations'!A:C, 3, FALSE)</f>
        <v>23.87</v>
      </c>
      <c r="D1280" t="str">
        <f>VLOOKUP($A1280, 'Medical Examinations'!A:D, 4, FALSE)</f>
        <v>Normal</v>
      </c>
      <c r="E1280" t="str">
        <f>VLOOKUP($A1280, 'Medical Examinations'!A:F, 6, FALSE)</f>
        <v>yes</v>
      </c>
      <c r="F1280" t="str">
        <f>VLOOKUP($A1280, 'Medical Examinations'!A:G, 7, FALSE)</f>
        <v>No</v>
      </c>
      <c r="G1280" t="str">
        <f>VLOOKUP($A1280, 'Medical Examinations'!A:H, 8, FALSE)</f>
        <v>Yes</v>
      </c>
      <c r="H1280">
        <f>VLOOKUP($A1280, 'Medical Examinations'!A:J, 10, FALSE)</f>
        <v>1</v>
      </c>
      <c r="I1280" t="str">
        <f>VLOOKUP($A1280, 'Medical Examinations'!A:K, 11, FALSE)</f>
        <v>No</v>
      </c>
      <c r="J1280" t="str">
        <f>VLOOKUP($A1280, 'Medical Examinations'!A:B, 2, FALSE)</f>
        <v>Normal Weight</v>
      </c>
      <c r="K1280" t="str">
        <f>VLOOKUP($A1280, 'Medical Examinations'!A:D, 4, FALSE)</f>
        <v>Normal</v>
      </c>
    </row>
    <row r="1281" spans="1:11" ht="15.5" x14ac:dyDescent="0.35">
      <c r="A1281" s="1" t="s">
        <v>1091</v>
      </c>
      <c r="B1281" t="str">
        <f>VLOOKUP($A1281, 'Customer Names'!A:D, 3, FALSE)</f>
        <v>Jacobsen</v>
      </c>
      <c r="C1281">
        <f>VLOOKUP($A1281,'Medical Examinations'!A:C, 3, FALSE)</f>
        <v>30.15</v>
      </c>
      <c r="D1281" t="str">
        <f>VLOOKUP($A1281, 'Medical Examinations'!A:D, 4, FALSE)</f>
        <v>Normal</v>
      </c>
      <c r="E1281" t="str">
        <f>VLOOKUP($A1281, 'Medical Examinations'!A:F, 6, FALSE)</f>
        <v>No</v>
      </c>
      <c r="F1281" t="str">
        <f>VLOOKUP($A1281, 'Medical Examinations'!A:G, 7, FALSE)</f>
        <v>No</v>
      </c>
      <c r="G1281" t="str">
        <f>VLOOKUP($A1281, 'Medical Examinations'!A:H, 8, FALSE)</f>
        <v>No</v>
      </c>
      <c r="H1281">
        <f>VLOOKUP($A1281, 'Medical Examinations'!A:J, 10, FALSE)</f>
        <v>1</v>
      </c>
      <c r="I1281" t="str">
        <f>VLOOKUP($A1281, 'Medical Examinations'!A:K, 11, FALSE)</f>
        <v>No</v>
      </c>
      <c r="J1281" t="str">
        <f>VLOOKUP($A1281, 'Medical Examinations'!A:B, 2, FALSE)</f>
        <v>Obesity</v>
      </c>
      <c r="K1281" t="str">
        <f>VLOOKUP($A1281, 'Medical Examinations'!A:D, 4, FALSE)</f>
        <v>Normal</v>
      </c>
    </row>
    <row r="1282" spans="1:11" ht="15.5" x14ac:dyDescent="0.35">
      <c r="A1282" s="1" t="s">
        <v>1090</v>
      </c>
      <c r="B1282" t="str">
        <f>VLOOKUP($A1282, 'Customer Names'!A:D, 3, FALSE)</f>
        <v>O'Hora</v>
      </c>
      <c r="C1282">
        <f>VLOOKUP($A1282,'Medical Examinations'!A:C, 3, FALSE)</f>
        <v>26.36</v>
      </c>
      <c r="D1282" t="str">
        <f>VLOOKUP($A1282, 'Medical Examinations'!A:D, 4, FALSE)</f>
        <v>Normal</v>
      </c>
      <c r="E1282" t="str">
        <f>VLOOKUP($A1282, 'Medical Examinations'!A:F, 6, FALSE)</f>
        <v>No</v>
      </c>
      <c r="F1282" t="str">
        <f>VLOOKUP($A1282, 'Medical Examinations'!A:G, 7, FALSE)</f>
        <v>No</v>
      </c>
      <c r="G1282" t="str">
        <f>VLOOKUP($A1282, 'Medical Examinations'!A:H, 8, FALSE)</f>
        <v>No</v>
      </c>
      <c r="H1282" t="str">
        <f>VLOOKUP($A1282, 'Medical Examinations'!A:J, 10, FALSE)</f>
        <v>No major surgery</v>
      </c>
      <c r="I1282" t="str">
        <f>VLOOKUP($A1282, 'Medical Examinations'!A:K, 11, FALSE)</f>
        <v>No</v>
      </c>
      <c r="J1282" t="str">
        <f>VLOOKUP($A1282, 'Medical Examinations'!A:B, 2, FALSE)</f>
        <v>Overweight</v>
      </c>
      <c r="K1282" t="str">
        <f>VLOOKUP($A1282, 'Medical Examinations'!A:D, 4, FALSE)</f>
        <v>Normal</v>
      </c>
    </row>
    <row r="1283" spans="1:11" ht="15.5" x14ac:dyDescent="0.35">
      <c r="A1283" s="1" t="s">
        <v>1089</v>
      </c>
      <c r="B1283" t="str">
        <f>VLOOKUP($A1283, 'Customer Names'!A:D, 3, FALSE)</f>
        <v>Amato</v>
      </c>
      <c r="C1283">
        <f>VLOOKUP($A1283,'Medical Examinations'!A:C, 3, FALSE)</f>
        <v>45.32</v>
      </c>
      <c r="D1283" t="str">
        <f>VLOOKUP($A1283, 'Medical Examinations'!A:D, 4, FALSE)</f>
        <v>Diabetes</v>
      </c>
      <c r="E1283" t="str">
        <f>VLOOKUP($A1283, 'Medical Examinations'!A:F, 6, FALSE)</f>
        <v>yes</v>
      </c>
      <c r="F1283" t="str">
        <f>VLOOKUP($A1283, 'Medical Examinations'!A:G, 7, FALSE)</f>
        <v>No</v>
      </c>
      <c r="G1283" t="str">
        <f>VLOOKUP($A1283, 'Medical Examinations'!A:H, 8, FALSE)</f>
        <v>No</v>
      </c>
      <c r="H1283">
        <f>VLOOKUP($A1283, 'Medical Examinations'!A:J, 10, FALSE)</f>
        <v>1</v>
      </c>
      <c r="I1283" t="str">
        <f>VLOOKUP($A1283, 'Medical Examinations'!A:K, 11, FALSE)</f>
        <v>No</v>
      </c>
      <c r="J1283" t="str">
        <f>VLOOKUP($A1283, 'Medical Examinations'!A:B, 2, FALSE)</f>
        <v>Obesity</v>
      </c>
      <c r="K1283" t="str">
        <f>VLOOKUP($A1283, 'Medical Examinations'!A:D, 4, FALSE)</f>
        <v>Diabetes</v>
      </c>
    </row>
    <row r="1284" spans="1:11" ht="15.5" x14ac:dyDescent="0.35">
      <c r="A1284" s="1" t="s">
        <v>1088</v>
      </c>
      <c r="B1284" t="str">
        <f>VLOOKUP($A1284, 'Customer Names'!A:D, 3, FALSE)</f>
        <v>Reed</v>
      </c>
      <c r="C1284">
        <f>VLOOKUP($A1284,'Medical Examinations'!A:C, 3, FALSE)</f>
        <v>31.93</v>
      </c>
      <c r="D1284" t="str">
        <f>VLOOKUP($A1284, 'Medical Examinations'!A:D, 4, FALSE)</f>
        <v>Normal</v>
      </c>
      <c r="E1284" t="str">
        <f>VLOOKUP($A1284, 'Medical Examinations'!A:F, 6, FALSE)</f>
        <v>yes</v>
      </c>
      <c r="F1284" t="str">
        <f>VLOOKUP($A1284, 'Medical Examinations'!A:G, 7, FALSE)</f>
        <v>No</v>
      </c>
      <c r="G1284" t="str">
        <f>VLOOKUP($A1284, 'Medical Examinations'!A:H, 8, FALSE)</f>
        <v>No</v>
      </c>
      <c r="H1284">
        <f>VLOOKUP($A1284, 'Medical Examinations'!A:J, 10, FALSE)</f>
        <v>1</v>
      </c>
      <c r="I1284" t="str">
        <f>VLOOKUP($A1284, 'Medical Examinations'!A:K, 11, FALSE)</f>
        <v>No</v>
      </c>
      <c r="J1284" t="str">
        <f>VLOOKUP($A1284, 'Medical Examinations'!A:B, 2, FALSE)</f>
        <v>Obesity</v>
      </c>
      <c r="K1284" t="str">
        <f>VLOOKUP($A1284, 'Medical Examinations'!A:D, 4, FALSE)</f>
        <v>Normal</v>
      </c>
    </row>
    <row r="1285" spans="1:11" ht="15.5" x14ac:dyDescent="0.35">
      <c r="A1285" s="1" t="s">
        <v>1087</v>
      </c>
      <c r="B1285" t="str">
        <f>VLOOKUP($A1285, 'Customer Names'!A:D, 3, FALSE)</f>
        <v>Wegner</v>
      </c>
      <c r="C1285">
        <f>VLOOKUP($A1285,'Medical Examinations'!A:C, 3, FALSE)</f>
        <v>36</v>
      </c>
      <c r="D1285" t="str">
        <f>VLOOKUP($A1285, 'Medical Examinations'!A:D, 4, FALSE)</f>
        <v>Diabetes</v>
      </c>
      <c r="E1285" t="str">
        <f>VLOOKUP($A1285, 'Medical Examinations'!A:F, 6, FALSE)</f>
        <v>yes</v>
      </c>
      <c r="F1285" t="str">
        <f>VLOOKUP($A1285, 'Medical Examinations'!A:G, 7, FALSE)</f>
        <v>No</v>
      </c>
      <c r="G1285" t="str">
        <f>VLOOKUP($A1285, 'Medical Examinations'!A:H, 8, FALSE)</f>
        <v>No</v>
      </c>
      <c r="H1285">
        <f>VLOOKUP($A1285, 'Medical Examinations'!A:J, 10, FALSE)</f>
        <v>1</v>
      </c>
      <c r="I1285" t="str">
        <f>VLOOKUP($A1285, 'Medical Examinations'!A:K, 11, FALSE)</f>
        <v>No</v>
      </c>
      <c r="J1285" t="str">
        <f>VLOOKUP($A1285, 'Medical Examinations'!A:B, 2, FALSE)</f>
        <v>Obesity</v>
      </c>
      <c r="K1285" t="str">
        <f>VLOOKUP($A1285, 'Medical Examinations'!A:D, 4, FALSE)</f>
        <v>Diabetes</v>
      </c>
    </row>
    <row r="1286" spans="1:11" ht="15.5" x14ac:dyDescent="0.35">
      <c r="A1286" s="1" t="s">
        <v>1086</v>
      </c>
      <c r="B1286" t="str">
        <f>VLOOKUP($A1286, 'Customer Names'!A:D, 3, FALSE)</f>
        <v>Bokun</v>
      </c>
      <c r="C1286">
        <f>VLOOKUP($A1286,'Medical Examinations'!A:C, 3, FALSE)</f>
        <v>32</v>
      </c>
      <c r="D1286" t="str">
        <f>VLOOKUP($A1286, 'Medical Examinations'!A:D, 4, FALSE)</f>
        <v>Diabetes</v>
      </c>
      <c r="E1286" t="str">
        <f>VLOOKUP($A1286, 'Medical Examinations'!A:F, 6, FALSE)</f>
        <v>yes</v>
      </c>
      <c r="F1286" t="str">
        <f>VLOOKUP($A1286, 'Medical Examinations'!A:G, 7, FALSE)</f>
        <v>No</v>
      </c>
      <c r="G1286" t="str">
        <f>VLOOKUP($A1286, 'Medical Examinations'!A:H, 8, FALSE)</f>
        <v>No</v>
      </c>
      <c r="H1286">
        <f>VLOOKUP($A1286, 'Medical Examinations'!A:J, 10, FALSE)</f>
        <v>1</v>
      </c>
      <c r="I1286" t="str">
        <f>VLOOKUP($A1286, 'Medical Examinations'!A:K, 11, FALSE)</f>
        <v>No</v>
      </c>
      <c r="J1286" t="str">
        <f>VLOOKUP($A1286, 'Medical Examinations'!A:B, 2, FALSE)</f>
        <v>Obesity</v>
      </c>
      <c r="K1286" t="str">
        <f>VLOOKUP($A1286, 'Medical Examinations'!A:D, 4, FALSE)</f>
        <v>Diabetes</v>
      </c>
    </row>
    <row r="1287" spans="1:11" ht="15.5" x14ac:dyDescent="0.35">
      <c r="A1287" s="1" t="s">
        <v>1085</v>
      </c>
      <c r="B1287" t="str">
        <f>VLOOKUP($A1287, 'Customer Names'!A:D, 3, FALSE)</f>
        <v>Ainsley</v>
      </c>
      <c r="C1287">
        <f>VLOOKUP($A1287,'Medical Examinations'!A:C, 3, FALSE)</f>
        <v>29.37</v>
      </c>
      <c r="D1287" t="str">
        <f>VLOOKUP($A1287, 'Medical Examinations'!A:D, 4, FALSE)</f>
        <v>Diabetes</v>
      </c>
      <c r="E1287" t="str">
        <f>VLOOKUP($A1287, 'Medical Examinations'!A:F, 6, FALSE)</f>
        <v>yes</v>
      </c>
      <c r="F1287" t="str">
        <f>VLOOKUP($A1287, 'Medical Examinations'!A:G, 7, FALSE)</f>
        <v>No</v>
      </c>
      <c r="G1287" t="str">
        <f>VLOOKUP($A1287, 'Medical Examinations'!A:H, 8, FALSE)</f>
        <v>No</v>
      </c>
      <c r="H1287">
        <f>VLOOKUP($A1287, 'Medical Examinations'!A:J, 10, FALSE)</f>
        <v>1</v>
      </c>
      <c r="I1287" t="str">
        <f>VLOOKUP($A1287, 'Medical Examinations'!A:K, 11, FALSE)</f>
        <v>No</v>
      </c>
      <c r="J1287" t="str">
        <f>VLOOKUP($A1287, 'Medical Examinations'!A:B, 2, FALSE)</f>
        <v>Overweight</v>
      </c>
      <c r="K1287" t="str">
        <f>VLOOKUP($A1287, 'Medical Examinations'!A:D, 4, FALSE)</f>
        <v>Diabetes</v>
      </c>
    </row>
    <row r="1288" spans="1:11" ht="15.5" x14ac:dyDescent="0.35">
      <c r="A1288" s="1" t="s">
        <v>1084</v>
      </c>
      <c r="B1288" t="str">
        <f>VLOOKUP($A1288, 'Customer Names'!A:D, 3, FALSE)</f>
        <v>Foster</v>
      </c>
      <c r="C1288">
        <f>VLOOKUP($A1288,'Medical Examinations'!A:C, 3, FALSE)</f>
        <v>23.6</v>
      </c>
      <c r="D1288" t="str">
        <f>VLOOKUP($A1288, 'Medical Examinations'!A:D, 4, FALSE)</f>
        <v>Diabetes</v>
      </c>
      <c r="E1288" t="str">
        <f>VLOOKUP($A1288, 'Medical Examinations'!A:F, 6, FALSE)</f>
        <v>yes</v>
      </c>
      <c r="F1288" t="str">
        <f>VLOOKUP($A1288, 'Medical Examinations'!A:G, 7, FALSE)</f>
        <v>No</v>
      </c>
      <c r="G1288" t="str">
        <f>VLOOKUP($A1288, 'Medical Examinations'!A:H, 8, FALSE)</f>
        <v>No</v>
      </c>
      <c r="H1288">
        <f>VLOOKUP($A1288, 'Medical Examinations'!A:J, 10, FALSE)</f>
        <v>1</v>
      </c>
      <c r="I1288" t="str">
        <f>VLOOKUP($A1288, 'Medical Examinations'!A:K, 11, FALSE)</f>
        <v>No</v>
      </c>
      <c r="J1288" t="str">
        <f>VLOOKUP($A1288, 'Medical Examinations'!A:B, 2, FALSE)</f>
        <v>Normal Weight</v>
      </c>
      <c r="K1288" t="str">
        <f>VLOOKUP($A1288, 'Medical Examinations'!A:D, 4, FALSE)</f>
        <v>Diabetes</v>
      </c>
    </row>
    <row r="1289" spans="1:11" ht="15.5" x14ac:dyDescent="0.35">
      <c r="A1289" s="1" t="s">
        <v>1083</v>
      </c>
      <c r="B1289" t="str">
        <f>VLOOKUP($A1289, 'Customer Names'!A:D, 3, FALSE)</f>
        <v>Overpeck</v>
      </c>
      <c r="C1289">
        <f>VLOOKUP($A1289,'Medical Examinations'!A:C, 3, FALSE)</f>
        <v>33.155000000000001</v>
      </c>
      <c r="D1289" t="str">
        <f>VLOOKUP($A1289, 'Medical Examinations'!A:D, 4, FALSE)</f>
        <v>Diabetes</v>
      </c>
      <c r="E1289" t="str">
        <f>VLOOKUP($A1289, 'Medical Examinations'!A:F, 6, FALSE)</f>
        <v>yes</v>
      </c>
      <c r="F1289" t="str">
        <f>VLOOKUP($A1289, 'Medical Examinations'!A:G, 7, FALSE)</f>
        <v>No</v>
      </c>
      <c r="G1289" t="str">
        <f>VLOOKUP($A1289, 'Medical Examinations'!A:H, 8, FALSE)</f>
        <v>No</v>
      </c>
      <c r="H1289" t="str">
        <f>VLOOKUP($A1289, 'Medical Examinations'!A:J, 10, FALSE)</f>
        <v>No major surgery</v>
      </c>
      <c r="I1289" t="str">
        <f>VLOOKUP($A1289, 'Medical Examinations'!A:K, 11, FALSE)</f>
        <v>No</v>
      </c>
      <c r="J1289" t="str">
        <f>VLOOKUP($A1289, 'Medical Examinations'!A:B, 2, FALSE)</f>
        <v>Obesity</v>
      </c>
      <c r="K1289" t="str">
        <f>VLOOKUP($A1289, 'Medical Examinations'!A:D, 4, FALSE)</f>
        <v>Diabetes</v>
      </c>
    </row>
    <row r="1290" spans="1:11" ht="15.5" x14ac:dyDescent="0.35">
      <c r="A1290" s="1" t="s">
        <v>1082</v>
      </c>
      <c r="B1290" t="str">
        <f>VLOOKUP($A1290, 'Customer Names'!A:D, 3, FALSE)</f>
        <v>Levine</v>
      </c>
      <c r="C1290">
        <f>VLOOKUP($A1290,'Medical Examinations'!A:C, 3, FALSE)</f>
        <v>24.32</v>
      </c>
      <c r="D1290" t="str">
        <f>VLOOKUP($A1290, 'Medical Examinations'!A:D, 4, FALSE)</f>
        <v>Diabetes</v>
      </c>
      <c r="E1290" t="str">
        <f>VLOOKUP($A1290, 'Medical Examinations'!A:F, 6, FALSE)</f>
        <v>yes</v>
      </c>
      <c r="F1290" t="str">
        <f>VLOOKUP($A1290, 'Medical Examinations'!A:G, 7, FALSE)</f>
        <v>No</v>
      </c>
      <c r="G1290" t="str">
        <f>VLOOKUP($A1290, 'Medical Examinations'!A:H, 8, FALSE)</f>
        <v>No</v>
      </c>
      <c r="H1290">
        <f>VLOOKUP($A1290, 'Medical Examinations'!A:J, 10, FALSE)</f>
        <v>1</v>
      </c>
      <c r="I1290" t="str">
        <f>VLOOKUP($A1290, 'Medical Examinations'!A:K, 11, FALSE)</f>
        <v>No</v>
      </c>
      <c r="J1290" t="str">
        <f>VLOOKUP($A1290, 'Medical Examinations'!A:B, 2, FALSE)</f>
        <v>Normal Weight</v>
      </c>
      <c r="K1290" t="str">
        <f>VLOOKUP($A1290, 'Medical Examinations'!A:D, 4, FALSE)</f>
        <v>Diabetes</v>
      </c>
    </row>
    <row r="1291" spans="1:11" ht="15.5" x14ac:dyDescent="0.35">
      <c r="A1291" s="1" t="s">
        <v>1081</v>
      </c>
      <c r="B1291" t="str">
        <f>VLOOKUP($A1291, 'Customer Names'!A:D, 3, FALSE)</f>
        <v>Jean</v>
      </c>
      <c r="C1291">
        <f>VLOOKUP($A1291,'Medical Examinations'!A:C, 3, FALSE)</f>
        <v>36.299999999999997</v>
      </c>
      <c r="D1291" t="str">
        <f>VLOOKUP($A1291, 'Medical Examinations'!A:D, 4, FALSE)</f>
        <v>Normal</v>
      </c>
      <c r="E1291" t="str">
        <f>VLOOKUP($A1291, 'Medical Examinations'!A:F, 6, FALSE)</f>
        <v>No</v>
      </c>
      <c r="F1291" t="str">
        <f>VLOOKUP($A1291, 'Medical Examinations'!A:G, 7, FALSE)</f>
        <v>No</v>
      </c>
      <c r="G1291" t="str">
        <f>VLOOKUP($A1291, 'Medical Examinations'!A:H, 8, FALSE)</f>
        <v>No</v>
      </c>
      <c r="H1291" t="str">
        <f>VLOOKUP($A1291, 'Medical Examinations'!A:J, 10, FALSE)</f>
        <v>No major surgery</v>
      </c>
      <c r="I1291" t="str">
        <f>VLOOKUP($A1291, 'Medical Examinations'!A:K, 11, FALSE)</f>
        <v>No</v>
      </c>
      <c r="J1291" t="str">
        <f>VLOOKUP($A1291, 'Medical Examinations'!A:B, 2, FALSE)</f>
        <v>Obesity</v>
      </c>
      <c r="K1291" t="str">
        <f>VLOOKUP($A1291, 'Medical Examinations'!A:D, 4, FALSE)</f>
        <v>Normal</v>
      </c>
    </row>
    <row r="1292" spans="1:11" ht="15.5" x14ac:dyDescent="0.35">
      <c r="A1292" s="1" t="s">
        <v>1080</v>
      </c>
      <c r="B1292" t="str">
        <f>VLOOKUP($A1292, 'Customer Names'!A:D, 3, FALSE)</f>
        <v>Wild</v>
      </c>
      <c r="C1292">
        <f>VLOOKUP($A1292,'Medical Examinations'!A:C, 3, FALSE)</f>
        <v>34.4</v>
      </c>
      <c r="D1292" t="str">
        <f>VLOOKUP($A1292, 'Medical Examinations'!A:D, 4, FALSE)</f>
        <v>Normal</v>
      </c>
      <c r="E1292" t="str">
        <f>VLOOKUP($A1292, 'Medical Examinations'!A:F, 6, FALSE)</f>
        <v>No</v>
      </c>
      <c r="F1292" t="str">
        <f>VLOOKUP($A1292, 'Medical Examinations'!A:G, 7, FALSE)</f>
        <v>No</v>
      </c>
      <c r="G1292" t="str">
        <f>VLOOKUP($A1292, 'Medical Examinations'!A:H, 8, FALSE)</f>
        <v>Yes</v>
      </c>
      <c r="H1292">
        <f>VLOOKUP($A1292, 'Medical Examinations'!A:J, 10, FALSE)</f>
        <v>1</v>
      </c>
      <c r="I1292" t="str">
        <f>VLOOKUP($A1292, 'Medical Examinations'!A:K, 11, FALSE)</f>
        <v>No</v>
      </c>
      <c r="J1292" t="str">
        <f>VLOOKUP($A1292, 'Medical Examinations'!A:B, 2, FALSE)</f>
        <v>Obesity</v>
      </c>
      <c r="K1292" t="str">
        <f>VLOOKUP($A1292, 'Medical Examinations'!A:D, 4, FALSE)</f>
        <v>Normal</v>
      </c>
    </row>
    <row r="1293" spans="1:11" ht="15.5" x14ac:dyDescent="0.35">
      <c r="A1293" s="1" t="s">
        <v>1079</v>
      </c>
      <c r="B1293" t="str">
        <f>VLOOKUP($A1293, 'Customer Names'!A:D, 3, FALSE)</f>
        <v>Tabor</v>
      </c>
      <c r="C1293">
        <f>VLOOKUP($A1293,'Medical Examinations'!A:C, 3, FALSE)</f>
        <v>30.9</v>
      </c>
      <c r="D1293" t="str">
        <f>VLOOKUP($A1293, 'Medical Examinations'!A:D, 4, FALSE)</f>
        <v>Normal</v>
      </c>
      <c r="E1293" t="str">
        <f>VLOOKUP($A1293, 'Medical Examinations'!A:F, 6, FALSE)</f>
        <v>No</v>
      </c>
      <c r="F1293" t="str">
        <f>VLOOKUP($A1293, 'Medical Examinations'!A:G, 7, FALSE)</f>
        <v>No</v>
      </c>
      <c r="G1293" t="str">
        <f>VLOOKUP($A1293, 'Medical Examinations'!A:H, 8, FALSE)</f>
        <v>No</v>
      </c>
      <c r="H1293" t="str">
        <f>VLOOKUP($A1293, 'Medical Examinations'!A:J, 10, FALSE)</f>
        <v>No major surgery</v>
      </c>
      <c r="I1293" t="str">
        <f>VLOOKUP($A1293, 'Medical Examinations'!A:K, 11, FALSE)</f>
        <v>No</v>
      </c>
      <c r="J1293" t="str">
        <f>VLOOKUP($A1293, 'Medical Examinations'!A:B, 2, FALSE)</f>
        <v>Obesity</v>
      </c>
      <c r="K1293" t="str">
        <f>VLOOKUP($A1293, 'Medical Examinations'!A:D, 4, FALSE)</f>
        <v>Normal</v>
      </c>
    </row>
    <row r="1294" spans="1:11" ht="15.5" x14ac:dyDescent="0.35">
      <c r="A1294" s="1" t="s">
        <v>1078</v>
      </c>
      <c r="B1294" t="str">
        <f>VLOOKUP($A1294, 'Customer Names'!A:D, 3, FALSE)</f>
        <v>Steffen</v>
      </c>
      <c r="C1294">
        <f>VLOOKUP($A1294,'Medical Examinations'!A:C, 3, FALSE)</f>
        <v>28.6</v>
      </c>
      <c r="D1294" t="str">
        <f>VLOOKUP($A1294, 'Medical Examinations'!A:D, 4, FALSE)</f>
        <v>Normal</v>
      </c>
      <c r="E1294" t="str">
        <f>VLOOKUP($A1294, 'Medical Examinations'!A:F, 6, FALSE)</f>
        <v>No</v>
      </c>
      <c r="F1294" t="str">
        <f>VLOOKUP($A1294, 'Medical Examinations'!A:G, 7, FALSE)</f>
        <v>No</v>
      </c>
      <c r="G1294" t="str">
        <f>VLOOKUP($A1294, 'Medical Examinations'!A:H, 8, FALSE)</f>
        <v>No</v>
      </c>
      <c r="H1294" t="str">
        <f>VLOOKUP($A1294, 'Medical Examinations'!A:J, 10, FALSE)</f>
        <v>No major surgery</v>
      </c>
      <c r="I1294" t="str">
        <f>VLOOKUP($A1294, 'Medical Examinations'!A:K, 11, FALSE)</f>
        <v>No</v>
      </c>
      <c r="J1294" t="str">
        <f>VLOOKUP($A1294, 'Medical Examinations'!A:B, 2, FALSE)</f>
        <v>Overweight</v>
      </c>
      <c r="K1294" t="str">
        <f>VLOOKUP($A1294, 'Medical Examinations'!A:D, 4, FALSE)</f>
        <v>Normal</v>
      </c>
    </row>
    <row r="1295" spans="1:11" ht="15.5" x14ac:dyDescent="0.35">
      <c r="A1295" s="1" t="s">
        <v>1077</v>
      </c>
      <c r="B1295" t="str">
        <f>VLOOKUP($A1295, 'Customer Names'!A:D, 3, FALSE)</f>
        <v>Tadich</v>
      </c>
      <c r="C1295">
        <f>VLOOKUP($A1295,'Medical Examinations'!A:C, 3, FALSE)</f>
        <v>27.83</v>
      </c>
      <c r="D1295" t="str">
        <f>VLOOKUP($A1295, 'Medical Examinations'!A:D, 4, FALSE)</f>
        <v>Normal</v>
      </c>
      <c r="E1295" t="str">
        <f>VLOOKUP($A1295, 'Medical Examinations'!A:F, 6, FALSE)</f>
        <v>No</v>
      </c>
      <c r="F1295" t="str">
        <f>VLOOKUP($A1295, 'Medical Examinations'!A:G, 7, FALSE)</f>
        <v>No</v>
      </c>
      <c r="G1295" t="str">
        <f>VLOOKUP($A1295, 'Medical Examinations'!A:H, 8, FALSE)</f>
        <v>No</v>
      </c>
      <c r="H1295" t="str">
        <f>VLOOKUP($A1295, 'Medical Examinations'!A:J, 10, FALSE)</f>
        <v>No major surgery</v>
      </c>
      <c r="I1295" t="str">
        <f>VLOOKUP($A1295, 'Medical Examinations'!A:K, 11, FALSE)</f>
        <v>No</v>
      </c>
      <c r="J1295" t="str">
        <f>VLOOKUP($A1295, 'Medical Examinations'!A:B, 2, FALSE)</f>
        <v>Overweight</v>
      </c>
      <c r="K1295" t="str">
        <f>VLOOKUP($A1295, 'Medical Examinations'!A:D, 4, FALSE)</f>
        <v>Normal</v>
      </c>
    </row>
    <row r="1296" spans="1:11" ht="15.5" x14ac:dyDescent="0.35">
      <c r="A1296" s="1" t="s">
        <v>1076</v>
      </c>
      <c r="B1296" t="str">
        <f>VLOOKUP($A1296, 'Customer Names'!A:D, 3, FALSE)</f>
        <v>Christenson</v>
      </c>
      <c r="C1296">
        <f>VLOOKUP($A1296,'Medical Examinations'!A:C, 3, FALSE)</f>
        <v>39.64</v>
      </c>
      <c r="D1296" t="str">
        <f>VLOOKUP($A1296, 'Medical Examinations'!A:D, 4, FALSE)</f>
        <v>Prediabetes</v>
      </c>
      <c r="E1296" t="str">
        <f>VLOOKUP($A1296, 'Medical Examinations'!A:F, 6, FALSE)</f>
        <v>No</v>
      </c>
      <c r="F1296" t="str">
        <f>VLOOKUP($A1296, 'Medical Examinations'!A:G, 7, FALSE)</f>
        <v>No</v>
      </c>
      <c r="G1296" t="str">
        <f>VLOOKUP($A1296, 'Medical Examinations'!A:H, 8, FALSE)</f>
        <v>Yes</v>
      </c>
      <c r="H1296">
        <f>VLOOKUP($A1296, 'Medical Examinations'!A:J, 10, FALSE)</f>
        <v>1</v>
      </c>
      <c r="I1296" t="str">
        <f>VLOOKUP($A1296, 'Medical Examinations'!A:K, 11, FALSE)</f>
        <v>No</v>
      </c>
      <c r="J1296" t="str">
        <f>VLOOKUP($A1296, 'Medical Examinations'!A:B, 2, FALSE)</f>
        <v>Obesity</v>
      </c>
      <c r="K1296" t="str">
        <f>VLOOKUP($A1296, 'Medical Examinations'!A:D, 4, FALSE)</f>
        <v>Prediabetes</v>
      </c>
    </row>
    <row r="1297" spans="1:11" ht="15.5" x14ac:dyDescent="0.35">
      <c r="A1297" s="1" t="s">
        <v>1075</v>
      </c>
      <c r="B1297" t="str">
        <f>VLOOKUP($A1297, 'Customer Names'!A:D, 3, FALSE)</f>
        <v>Shell</v>
      </c>
      <c r="C1297">
        <f>VLOOKUP($A1297,'Medical Examinations'!A:C, 3, FALSE)</f>
        <v>38.479999999999997</v>
      </c>
      <c r="D1297" t="str">
        <f>VLOOKUP($A1297, 'Medical Examinations'!A:D, 4, FALSE)</f>
        <v>Prediabetes</v>
      </c>
      <c r="E1297" t="str">
        <f>VLOOKUP($A1297, 'Medical Examinations'!A:F, 6, FALSE)</f>
        <v>No</v>
      </c>
      <c r="F1297" t="str">
        <f>VLOOKUP($A1297, 'Medical Examinations'!A:G, 7, FALSE)</f>
        <v>No</v>
      </c>
      <c r="G1297" t="str">
        <f>VLOOKUP($A1297, 'Medical Examinations'!A:H, 8, FALSE)</f>
        <v>No</v>
      </c>
      <c r="H1297">
        <f>VLOOKUP($A1297, 'Medical Examinations'!A:J, 10, FALSE)</f>
        <v>1</v>
      </c>
      <c r="I1297" t="str">
        <f>VLOOKUP($A1297, 'Medical Examinations'!A:K, 11, FALSE)</f>
        <v>No</v>
      </c>
      <c r="J1297" t="str">
        <f>VLOOKUP($A1297, 'Medical Examinations'!A:B, 2, FALSE)</f>
        <v>Obesity</v>
      </c>
      <c r="K1297" t="str">
        <f>VLOOKUP($A1297, 'Medical Examinations'!A:D, 4, FALSE)</f>
        <v>Prediabetes</v>
      </c>
    </row>
    <row r="1298" spans="1:11" ht="15.5" x14ac:dyDescent="0.35">
      <c r="A1298" s="1" t="s">
        <v>1074</v>
      </c>
      <c r="B1298" t="str">
        <f>VLOOKUP($A1298, 'Customer Names'!A:D, 3, FALSE)</f>
        <v>Rao</v>
      </c>
      <c r="C1298">
        <f>VLOOKUP($A1298,'Medical Examinations'!A:C, 3, FALSE)</f>
        <v>36.200000000000003</v>
      </c>
      <c r="D1298" t="str">
        <f>VLOOKUP($A1298, 'Medical Examinations'!A:D, 4, FALSE)</f>
        <v>Normal</v>
      </c>
      <c r="E1298" t="str">
        <f>VLOOKUP($A1298, 'Medical Examinations'!A:F, 6, FALSE)</f>
        <v>No</v>
      </c>
      <c r="F1298" t="str">
        <f>VLOOKUP($A1298, 'Medical Examinations'!A:G, 7, FALSE)</f>
        <v>No</v>
      </c>
      <c r="G1298" t="str">
        <f>VLOOKUP($A1298, 'Medical Examinations'!A:H, 8, FALSE)</f>
        <v>No</v>
      </c>
      <c r="H1298">
        <f>VLOOKUP($A1298, 'Medical Examinations'!A:J, 10, FALSE)</f>
        <v>2</v>
      </c>
      <c r="I1298" t="str">
        <f>VLOOKUP($A1298, 'Medical Examinations'!A:K, 11, FALSE)</f>
        <v>No</v>
      </c>
      <c r="J1298" t="str">
        <f>VLOOKUP($A1298, 'Medical Examinations'!A:B, 2, FALSE)</f>
        <v>Obesity</v>
      </c>
      <c r="K1298" t="str">
        <f>VLOOKUP($A1298, 'Medical Examinations'!A:D, 4, FALSE)</f>
        <v>Normal</v>
      </c>
    </row>
    <row r="1299" spans="1:11" ht="15.5" x14ac:dyDescent="0.35">
      <c r="A1299" s="1" t="s">
        <v>1073</v>
      </c>
      <c r="B1299" t="str">
        <f>VLOOKUP($A1299, 'Customer Names'!A:D, 3, FALSE)</f>
        <v>Myers</v>
      </c>
      <c r="C1299">
        <f>VLOOKUP($A1299,'Medical Examinations'!A:C, 3, FALSE)</f>
        <v>27.13</v>
      </c>
      <c r="D1299" t="str">
        <f>VLOOKUP($A1299, 'Medical Examinations'!A:D, 4, FALSE)</f>
        <v>Normal</v>
      </c>
      <c r="E1299" t="str">
        <f>VLOOKUP($A1299, 'Medical Examinations'!A:F, 6, FALSE)</f>
        <v>No</v>
      </c>
      <c r="F1299" t="str">
        <f>VLOOKUP($A1299, 'Medical Examinations'!A:G, 7, FALSE)</f>
        <v>No</v>
      </c>
      <c r="G1299" t="str">
        <f>VLOOKUP($A1299, 'Medical Examinations'!A:H, 8, FALSE)</f>
        <v>No</v>
      </c>
      <c r="H1299">
        <f>VLOOKUP($A1299, 'Medical Examinations'!A:J, 10, FALSE)</f>
        <v>1</v>
      </c>
      <c r="I1299" t="str">
        <f>VLOOKUP($A1299, 'Medical Examinations'!A:K, 11, FALSE)</f>
        <v>No</v>
      </c>
      <c r="J1299" t="str">
        <f>VLOOKUP($A1299, 'Medical Examinations'!A:B, 2, FALSE)</f>
        <v>Overweight</v>
      </c>
      <c r="K1299" t="str">
        <f>VLOOKUP($A1299, 'Medical Examinations'!A:D, 4, FALSE)</f>
        <v>Normal</v>
      </c>
    </row>
    <row r="1300" spans="1:11" ht="15.5" x14ac:dyDescent="0.35">
      <c r="A1300" s="1" t="s">
        <v>1072</v>
      </c>
      <c r="B1300" t="str">
        <f>VLOOKUP($A1300, 'Customer Names'!A:D, 3, FALSE)</f>
        <v>McLean</v>
      </c>
      <c r="C1300">
        <f>VLOOKUP($A1300,'Medical Examinations'!A:C, 3, FALSE)</f>
        <v>20.75</v>
      </c>
      <c r="D1300" t="str">
        <f>VLOOKUP($A1300, 'Medical Examinations'!A:D, 4, FALSE)</f>
        <v>Normal</v>
      </c>
      <c r="E1300" t="str">
        <f>VLOOKUP($A1300, 'Medical Examinations'!A:F, 6, FALSE)</f>
        <v>yes</v>
      </c>
      <c r="F1300" t="str">
        <f>VLOOKUP($A1300, 'Medical Examinations'!A:G, 7, FALSE)</f>
        <v>No</v>
      </c>
      <c r="G1300" t="str">
        <f>VLOOKUP($A1300, 'Medical Examinations'!A:H, 8, FALSE)</f>
        <v>No</v>
      </c>
      <c r="H1300">
        <f>VLOOKUP($A1300, 'Medical Examinations'!A:J, 10, FALSE)</f>
        <v>2</v>
      </c>
      <c r="I1300" t="str">
        <f>VLOOKUP($A1300, 'Medical Examinations'!A:K, 11, FALSE)</f>
        <v>No</v>
      </c>
      <c r="J1300" t="str">
        <f>VLOOKUP($A1300, 'Medical Examinations'!A:B, 2, FALSE)</f>
        <v>Normal Weight</v>
      </c>
      <c r="K1300" t="str">
        <f>VLOOKUP($A1300, 'Medical Examinations'!A:D, 4, FALSE)</f>
        <v>Normal</v>
      </c>
    </row>
    <row r="1301" spans="1:11" ht="15.5" x14ac:dyDescent="0.35">
      <c r="A1301" s="1" t="s">
        <v>1071</v>
      </c>
      <c r="B1301" t="str">
        <f>VLOOKUP($A1301, 'Customer Names'!A:D, 3, FALSE)</f>
        <v>Gomez</v>
      </c>
      <c r="C1301">
        <f>VLOOKUP($A1301,'Medical Examinations'!A:C, 3, FALSE)</f>
        <v>26.6</v>
      </c>
      <c r="D1301" t="str">
        <f>VLOOKUP($A1301, 'Medical Examinations'!A:D, 4, FALSE)</f>
        <v>Prediabetes</v>
      </c>
      <c r="E1301" t="str">
        <f>VLOOKUP($A1301, 'Medical Examinations'!A:F, 6, FALSE)</f>
        <v>No</v>
      </c>
      <c r="F1301" t="str">
        <f>VLOOKUP($A1301, 'Medical Examinations'!A:G, 7, FALSE)</f>
        <v>No</v>
      </c>
      <c r="G1301" t="str">
        <f>VLOOKUP($A1301, 'Medical Examinations'!A:H, 8, FALSE)</f>
        <v>No</v>
      </c>
      <c r="H1301">
        <f>VLOOKUP($A1301, 'Medical Examinations'!A:J, 10, FALSE)</f>
        <v>2</v>
      </c>
      <c r="I1301" t="str">
        <f>VLOOKUP($A1301, 'Medical Examinations'!A:K, 11, FALSE)</f>
        <v>No</v>
      </c>
      <c r="J1301" t="str">
        <f>VLOOKUP($A1301, 'Medical Examinations'!A:B, 2, FALSE)</f>
        <v>Overweight</v>
      </c>
      <c r="K1301" t="str">
        <f>VLOOKUP($A1301, 'Medical Examinations'!A:D, 4, FALSE)</f>
        <v>Prediabetes</v>
      </c>
    </row>
    <row r="1302" spans="1:11" ht="15.5" x14ac:dyDescent="0.35">
      <c r="A1302" s="1" t="s">
        <v>1070</v>
      </c>
      <c r="B1302" t="str">
        <f>VLOOKUP($A1302, 'Customer Names'!A:D, 3, FALSE)</f>
        <v>Hemingway</v>
      </c>
      <c r="C1302">
        <f>VLOOKUP($A1302,'Medical Examinations'!A:C, 3, FALSE)</f>
        <v>25.3</v>
      </c>
      <c r="D1302" t="str">
        <f>VLOOKUP($A1302, 'Medical Examinations'!A:D, 4, FALSE)</f>
        <v>Normal</v>
      </c>
      <c r="E1302" t="str">
        <f>VLOOKUP($A1302, 'Medical Examinations'!A:F, 6, FALSE)</f>
        <v>No</v>
      </c>
      <c r="F1302" t="str">
        <f>VLOOKUP($A1302, 'Medical Examinations'!A:G, 7, FALSE)</f>
        <v>No</v>
      </c>
      <c r="G1302" t="str">
        <f>VLOOKUP($A1302, 'Medical Examinations'!A:H, 8, FALSE)</f>
        <v>No</v>
      </c>
      <c r="H1302">
        <f>VLOOKUP($A1302, 'Medical Examinations'!A:J, 10, FALSE)</f>
        <v>2</v>
      </c>
      <c r="I1302" t="str">
        <f>VLOOKUP($A1302, 'Medical Examinations'!A:K, 11, FALSE)</f>
        <v>No</v>
      </c>
      <c r="J1302" t="str">
        <f>VLOOKUP($A1302, 'Medical Examinations'!A:B, 2, FALSE)</f>
        <v>Overweight</v>
      </c>
      <c r="K1302" t="str">
        <f>VLOOKUP($A1302, 'Medical Examinations'!A:D, 4, FALSE)</f>
        <v>Normal</v>
      </c>
    </row>
    <row r="1303" spans="1:11" ht="15.5" x14ac:dyDescent="0.35">
      <c r="A1303" s="1" t="s">
        <v>1069</v>
      </c>
      <c r="B1303" t="str">
        <f>VLOOKUP($A1303, 'Customer Names'!A:D, 3, FALSE)</f>
        <v>Pett</v>
      </c>
      <c r="C1303">
        <f>VLOOKUP($A1303,'Medical Examinations'!A:C, 3, FALSE)</f>
        <v>18.84</v>
      </c>
      <c r="D1303" t="str">
        <f>VLOOKUP($A1303, 'Medical Examinations'!A:D, 4, FALSE)</f>
        <v>Diabetes</v>
      </c>
      <c r="E1303" t="str">
        <f>VLOOKUP($A1303, 'Medical Examinations'!A:F, 6, FALSE)</f>
        <v>yes</v>
      </c>
      <c r="F1303" t="str">
        <f>VLOOKUP($A1303, 'Medical Examinations'!A:G, 7, FALSE)</f>
        <v>No</v>
      </c>
      <c r="G1303" t="str">
        <f>VLOOKUP($A1303, 'Medical Examinations'!A:H, 8, FALSE)</f>
        <v>Yes</v>
      </c>
      <c r="H1303">
        <f>VLOOKUP($A1303, 'Medical Examinations'!A:J, 10, FALSE)</f>
        <v>1</v>
      </c>
      <c r="I1303" t="str">
        <f>VLOOKUP($A1303, 'Medical Examinations'!A:K, 11, FALSE)</f>
        <v>No</v>
      </c>
      <c r="J1303" t="str">
        <f>VLOOKUP($A1303, 'Medical Examinations'!A:B, 2, FALSE)</f>
        <v>Normal Weight</v>
      </c>
      <c r="K1303" t="str">
        <f>VLOOKUP($A1303, 'Medical Examinations'!A:D, 4, FALSE)</f>
        <v>Diabetes</v>
      </c>
    </row>
    <row r="1304" spans="1:11" ht="15.5" x14ac:dyDescent="0.35">
      <c r="A1304" s="1" t="s">
        <v>1068</v>
      </c>
      <c r="B1304" t="str">
        <f>VLOOKUP($A1304, 'Customer Names'!A:D, 3, FALSE)</f>
        <v>Meingast</v>
      </c>
      <c r="C1304">
        <f>VLOOKUP($A1304,'Medical Examinations'!A:C, 3, FALSE)</f>
        <v>19.57</v>
      </c>
      <c r="D1304" t="str">
        <f>VLOOKUP($A1304, 'Medical Examinations'!A:D, 4, FALSE)</f>
        <v>Diabetes</v>
      </c>
      <c r="E1304" t="str">
        <f>VLOOKUP($A1304, 'Medical Examinations'!A:F, 6, FALSE)</f>
        <v>yes</v>
      </c>
      <c r="F1304" t="str">
        <f>VLOOKUP($A1304, 'Medical Examinations'!A:G, 7, FALSE)</f>
        <v>No</v>
      </c>
      <c r="G1304" t="str">
        <f>VLOOKUP($A1304, 'Medical Examinations'!A:H, 8, FALSE)</f>
        <v>No</v>
      </c>
      <c r="H1304">
        <f>VLOOKUP($A1304, 'Medical Examinations'!A:J, 10, FALSE)</f>
        <v>1</v>
      </c>
      <c r="I1304" t="str">
        <f>VLOOKUP($A1304, 'Medical Examinations'!A:K, 11, FALSE)</f>
        <v>No</v>
      </c>
      <c r="J1304" t="str">
        <f>VLOOKUP($A1304, 'Medical Examinations'!A:B, 2, FALSE)</f>
        <v>Normal Weight</v>
      </c>
      <c r="K1304" t="str">
        <f>VLOOKUP($A1304, 'Medical Examinations'!A:D, 4, FALSE)</f>
        <v>Diabetes</v>
      </c>
    </row>
    <row r="1305" spans="1:11" ht="15.5" x14ac:dyDescent="0.35">
      <c r="A1305" s="1" t="s">
        <v>1067</v>
      </c>
      <c r="B1305" t="str">
        <f>VLOOKUP($A1305, 'Customer Names'!A:D, 3, FALSE)</f>
        <v>McCarthy</v>
      </c>
      <c r="C1305">
        <f>VLOOKUP($A1305,'Medical Examinations'!A:C, 3, FALSE)</f>
        <v>30.495000000000001</v>
      </c>
      <c r="D1305" t="str">
        <f>VLOOKUP($A1305, 'Medical Examinations'!A:D, 4, FALSE)</f>
        <v>Prediabetes</v>
      </c>
      <c r="E1305" t="str">
        <f>VLOOKUP($A1305, 'Medical Examinations'!A:F, 6, FALSE)</f>
        <v>No</v>
      </c>
      <c r="F1305" t="str">
        <f>VLOOKUP($A1305, 'Medical Examinations'!A:G, 7, FALSE)</f>
        <v>No</v>
      </c>
      <c r="G1305" t="str">
        <f>VLOOKUP($A1305, 'Medical Examinations'!A:H, 8, FALSE)</f>
        <v>No</v>
      </c>
      <c r="H1305" t="str">
        <f>VLOOKUP($A1305, 'Medical Examinations'!A:J, 10, FALSE)</f>
        <v>No major surgery</v>
      </c>
      <c r="I1305" t="str">
        <f>VLOOKUP($A1305, 'Medical Examinations'!A:K, 11, FALSE)</f>
        <v>No</v>
      </c>
      <c r="J1305" t="str">
        <f>VLOOKUP($A1305, 'Medical Examinations'!A:B, 2, FALSE)</f>
        <v>Obesity</v>
      </c>
      <c r="K1305" t="str">
        <f>VLOOKUP($A1305, 'Medical Examinations'!A:D, 4, FALSE)</f>
        <v>Prediabetes</v>
      </c>
    </row>
    <row r="1306" spans="1:11" ht="15.5" x14ac:dyDescent="0.35">
      <c r="A1306" s="1" t="s">
        <v>1066</v>
      </c>
      <c r="B1306" t="str">
        <f>VLOOKUP($A1306, 'Customer Names'!A:D, 3, FALSE)</f>
        <v>Boyle</v>
      </c>
      <c r="C1306">
        <f>VLOOKUP($A1306,'Medical Examinations'!A:C, 3, FALSE)</f>
        <v>30.114999999999998</v>
      </c>
      <c r="D1306" t="str">
        <f>VLOOKUP($A1306, 'Medical Examinations'!A:D, 4, FALSE)</f>
        <v>Prediabetes</v>
      </c>
      <c r="E1306" t="str">
        <f>VLOOKUP($A1306, 'Medical Examinations'!A:F, 6, FALSE)</f>
        <v>No</v>
      </c>
      <c r="F1306" t="str">
        <f>VLOOKUP($A1306, 'Medical Examinations'!A:G, 7, FALSE)</f>
        <v>No</v>
      </c>
      <c r="G1306" t="str">
        <f>VLOOKUP($A1306, 'Medical Examinations'!A:H, 8, FALSE)</f>
        <v>Yes</v>
      </c>
      <c r="H1306">
        <f>VLOOKUP($A1306, 'Medical Examinations'!A:J, 10, FALSE)</f>
        <v>1</v>
      </c>
      <c r="I1306" t="str">
        <f>VLOOKUP($A1306, 'Medical Examinations'!A:K, 11, FALSE)</f>
        <v>No</v>
      </c>
      <c r="J1306" t="str">
        <f>VLOOKUP($A1306, 'Medical Examinations'!A:B, 2, FALSE)</f>
        <v>Obesity</v>
      </c>
      <c r="K1306" t="str">
        <f>VLOOKUP($A1306, 'Medical Examinations'!A:D, 4, FALSE)</f>
        <v>Prediabetes</v>
      </c>
    </row>
    <row r="1307" spans="1:11" ht="15.5" x14ac:dyDescent="0.35">
      <c r="A1307" s="1" t="s">
        <v>1065</v>
      </c>
      <c r="B1307" t="str">
        <f>VLOOKUP($A1307, 'Customer Names'!A:D, 3, FALSE)</f>
        <v>Gundersen</v>
      </c>
      <c r="C1307">
        <f>VLOOKUP($A1307,'Medical Examinations'!A:C, 3, FALSE)</f>
        <v>24.78</v>
      </c>
      <c r="D1307" t="str">
        <f>VLOOKUP($A1307, 'Medical Examinations'!A:D, 4, FALSE)</f>
        <v>Diabetes</v>
      </c>
      <c r="E1307" t="str">
        <f>VLOOKUP($A1307, 'Medical Examinations'!A:F, 6, FALSE)</f>
        <v>No</v>
      </c>
      <c r="F1307" t="str">
        <f>VLOOKUP($A1307, 'Medical Examinations'!A:G, 7, FALSE)</f>
        <v>No</v>
      </c>
      <c r="G1307" t="str">
        <f>VLOOKUP($A1307, 'Medical Examinations'!A:H, 8, FALSE)</f>
        <v>No</v>
      </c>
      <c r="H1307" t="str">
        <f>VLOOKUP($A1307, 'Medical Examinations'!A:J, 10, FALSE)</f>
        <v>No major surgery</v>
      </c>
      <c r="I1307" t="str">
        <f>VLOOKUP($A1307, 'Medical Examinations'!A:K, 11, FALSE)</f>
        <v>No</v>
      </c>
      <c r="J1307" t="str">
        <f>VLOOKUP($A1307, 'Medical Examinations'!A:B, 2, FALSE)</f>
        <v>Normal Weight</v>
      </c>
      <c r="K1307" t="str">
        <f>VLOOKUP($A1307, 'Medical Examinations'!A:D, 4, FALSE)</f>
        <v>Diabetes</v>
      </c>
    </row>
    <row r="1308" spans="1:11" ht="15.5" x14ac:dyDescent="0.35">
      <c r="A1308" s="1" t="s">
        <v>1064</v>
      </c>
      <c r="B1308" t="str">
        <f>VLOOKUP($A1308, 'Customer Names'!A:D, 3, FALSE)</f>
        <v>Wolswinkel</v>
      </c>
      <c r="C1308">
        <f>VLOOKUP($A1308,'Medical Examinations'!A:C, 3, FALSE)</f>
        <v>24.77</v>
      </c>
      <c r="D1308" t="str">
        <f>VLOOKUP($A1308, 'Medical Examinations'!A:D, 4, FALSE)</f>
        <v>Diabetes</v>
      </c>
      <c r="E1308" t="str">
        <f>VLOOKUP($A1308, 'Medical Examinations'!A:F, 6, FALSE)</f>
        <v>No</v>
      </c>
      <c r="F1308" t="str">
        <f>VLOOKUP($A1308, 'Medical Examinations'!A:G, 7, FALSE)</f>
        <v>No</v>
      </c>
      <c r="G1308" t="str">
        <f>VLOOKUP($A1308, 'Medical Examinations'!A:H, 8, FALSE)</f>
        <v>No</v>
      </c>
      <c r="H1308" t="str">
        <f>VLOOKUP($A1308, 'Medical Examinations'!A:J, 10, FALSE)</f>
        <v>No major surgery</v>
      </c>
      <c r="I1308" t="str">
        <f>VLOOKUP($A1308, 'Medical Examinations'!A:K, 11, FALSE)</f>
        <v>No</v>
      </c>
      <c r="J1308" t="str">
        <f>VLOOKUP($A1308, 'Medical Examinations'!A:B, 2, FALSE)</f>
        <v>Normal Weight</v>
      </c>
      <c r="K1308" t="str">
        <f>VLOOKUP($A1308, 'Medical Examinations'!A:D, 4, FALSE)</f>
        <v>Diabetes</v>
      </c>
    </row>
    <row r="1309" spans="1:11" ht="15.5" x14ac:dyDescent="0.35">
      <c r="A1309" s="1" t="s">
        <v>1063</v>
      </c>
      <c r="B1309" t="str">
        <f>VLOOKUP($A1309, 'Customer Names'!A:D, 3, FALSE)</f>
        <v>Bomberger</v>
      </c>
      <c r="C1309">
        <f>VLOOKUP($A1309,'Medical Examinations'!A:C, 3, FALSE)</f>
        <v>16.579999999999998</v>
      </c>
      <c r="D1309" t="str">
        <f>VLOOKUP($A1309, 'Medical Examinations'!A:D, 4, FALSE)</f>
        <v>Diabetes</v>
      </c>
      <c r="E1309" t="str">
        <f>VLOOKUP($A1309, 'Medical Examinations'!A:F, 6, FALSE)</f>
        <v>yes</v>
      </c>
      <c r="F1309" t="str">
        <f>VLOOKUP($A1309, 'Medical Examinations'!A:G, 7, FALSE)</f>
        <v>No</v>
      </c>
      <c r="G1309" t="str">
        <f>VLOOKUP($A1309, 'Medical Examinations'!A:H, 8, FALSE)</f>
        <v>Yes</v>
      </c>
      <c r="H1309">
        <f>VLOOKUP($A1309, 'Medical Examinations'!A:J, 10, FALSE)</f>
        <v>1</v>
      </c>
      <c r="I1309" t="str">
        <f>VLOOKUP($A1309, 'Medical Examinations'!A:K, 11, FALSE)</f>
        <v>No</v>
      </c>
      <c r="J1309" t="str">
        <f>VLOOKUP($A1309, 'Medical Examinations'!A:B, 2, FALSE)</f>
        <v>Underweight</v>
      </c>
      <c r="K1309" t="str">
        <f>VLOOKUP($A1309, 'Medical Examinations'!A:D, 4, FALSE)</f>
        <v>Diabetes</v>
      </c>
    </row>
    <row r="1310" spans="1:11" ht="15.5" x14ac:dyDescent="0.35">
      <c r="A1310" s="1" t="s">
        <v>1062</v>
      </c>
      <c r="B1310" t="str">
        <f>VLOOKUP($A1310, 'Customer Names'!A:D, 3, FALSE)</f>
        <v>Roy</v>
      </c>
      <c r="C1310">
        <f>VLOOKUP($A1310,'Medical Examinations'!A:C, 3, FALSE)</f>
        <v>38.17</v>
      </c>
      <c r="D1310" t="str">
        <f>VLOOKUP($A1310, 'Medical Examinations'!A:D, 4, FALSE)</f>
        <v>Normal</v>
      </c>
      <c r="E1310" t="str">
        <f>VLOOKUP($A1310, 'Medical Examinations'!A:F, 6, FALSE)</f>
        <v>yes</v>
      </c>
      <c r="F1310" t="str">
        <f>VLOOKUP($A1310, 'Medical Examinations'!A:G, 7, FALSE)</f>
        <v>No</v>
      </c>
      <c r="G1310" t="str">
        <f>VLOOKUP($A1310, 'Medical Examinations'!A:H, 8, FALSE)</f>
        <v>No</v>
      </c>
      <c r="H1310" t="str">
        <f>VLOOKUP($A1310, 'Medical Examinations'!A:J, 10, FALSE)</f>
        <v>No major surgery</v>
      </c>
      <c r="I1310" t="str">
        <f>VLOOKUP($A1310, 'Medical Examinations'!A:K, 11, FALSE)</f>
        <v>No</v>
      </c>
      <c r="J1310" t="str">
        <f>VLOOKUP($A1310, 'Medical Examinations'!A:B, 2, FALSE)</f>
        <v>Obesity</v>
      </c>
      <c r="K1310" t="str">
        <f>VLOOKUP($A1310, 'Medical Examinations'!A:D, 4, FALSE)</f>
        <v>Normal</v>
      </c>
    </row>
    <row r="1311" spans="1:11" ht="15.5" x14ac:dyDescent="0.35">
      <c r="A1311" s="1" t="s">
        <v>1061</v>
      </c>
      <c r="B1311" t="str">
        <f>VLOOKUP($A1311, 'Customer Names'!A:D, 3, FALSE)</f>
        <v>Lapierre</v>
      </c>
      <c r="C1311">
        <f>VLOOKUP($A1311,'Medical Examinations'!A:C, 3, FALSE)</f>
        <v>39.424999999999997</v>
      </c>
      <c r="D1311" t="str">
        <f>VLOOKUP($A1311, 'Medical Examinations'!A:D, 4, FALSE)</f>
        <v>Normal</v>
      </c>
      <c r="E1311" t="str">
        <f>VLOOKUP($A1311, 'Medical Examinations'!A:F, 6, FALSE)</f>
        <v>yes</v>
      </c>
      <c r="F1311" t="str">
        <f>VLOOKUP($A1311, 'Medical Examinations'!A:G, 7, FALSE)</f>
        <v>No</v>
      </c>
      <c r="G1311" t="str">
        <f>VLOOKUP($A1311, 'Medical Examinations'!A:H, 8, FALSE)</f>
        <v>No</v>
      </c>
      <c r="H1311" t="str">
        <f>VLOOKUP($A1311, 'Medical Examinations'!A:J, 10, FALSE)</f>
        <v>No major surgery</v>
      </c>
      <c r="I1311" t="str">
        <f>VLOOKUP($A1311, 'Medical Examinations'!A:K, 11, FALSE)</f>
        <v>No</v>
      </c>
      <c r="J1311" t="str">
        <f>VLOOKUP($A1311, 'Medical Examinations'!A:B, 2, FALSE)</f>
        <v>Obesity</v>
      </c>
      <c r="K1311" t="str">
        <f>VLOOKUP($A1311, 'Medical Examinations'!A:D, 4, FALSE)</f>
        <v>Normal</v>
      </c>
    </row>
    <row r="1312" spans="1:11" ht="15.5" x14ac:dyDescent="0.35">
      <c r="A1312" s="1" t="s">
        <v>1060</v>
      </c>
      <c r="B1312" t="str">
        <f>VLOOKUP($A1312, 'Customer Names'!A:D, 3, FALSE)</f>
        <v>Beaty</v>
      </c>
      <c r="C1312">
        <f>VLOOKUP($A1312,'Medical Examinations'!A:C, 3, FALSE)</f>
        <v>33.44</v>
      </c>
      <c r="D1312" t="str">
        <f>VLOOKUP($A1312, 'Medical Examinations'!A:D, 4, FALSE)</f>
        <v>Prediabetes</v>
      </c>
      <c r="E1312" t="str">
        <f>VLOOKUP($A1312, 'Medical Examinations'!A:F, 6, FALSE)</f>
        <v>yes</v>
      </c>
      <c r="F1312" t="str">
        <f>VLOOKUP($A1312, 'Medical Examinations'!A:G, 7, FALSE)</f>
        <v>No</v>
      </c>
      <c r="G1312" t="str">
        <f>VLOOKUP($A1312, 'Medical Examinations'!A:H, 8, FALSE)</f>
        <v>No</v>
      </c>
      <c r="H1312" t="str">
        <f>VLOOKUP($A1312, 'Medical Examinations'!A:J, 10, FALSE)</f>
        <v>No major surgery</v>
      </c>
      <c r="I1312" t="str">
        <f>VLOOKUP($A1312, 'Medical Examinations'!A:K, 11, FALSE)</f>
        <v>No</v>
      </c>
      <c r="J1312" t="str">
        <f>VLOOKUP($A1312, 'Medical Examinations'!A:B, 2, FALSE)</f>
        <v>Obesity</v>
      </c>
      <c r="K1312" t="str">
        <f>VLOOKUP($A1312, 'Medical Examinations'!A:D, 4, FALSE)</f>
        <v>Prediabetes</v>
      </c>
    </row>
    <row r="1313" spans="1:11" ht="15.5" x14ac:dyDescent="0.35">
      <c r="A1313" s="1" t="s">
        <v>1059</v>
      </c>
      <c r="B1313" t="str">
        <f>VLOOKUP($A1313, 'Customer Names'!A:D, 3, FALSE)</f>
        <v>Hammer</v>
      </c>
      <c r="C1313">
        <f>VLOOKUP($A1313,'Medical Examinations'!A:C, 3, FALSE)</f>
        <v>33.344999999999999</v>
      </c>
      <c r="D1313" t="str">
        <f>VLOOKUP($A1313, 'Medical Examinations'!A:D, 4, FALSE)</f>
        <v>Normal</v>
      </c>
      <c r="E1313" t="str">
        <f>VLOOKUP($A1313, 'Medical Examinations'!A:F, 6, FALSE)</f>
        <v>yes</v>
      </c>
      <c r="F1313" t="str">
        <f>VLOOKUP($A1313, 'Medical Examinations'!A:G, 7, FALSE)</f>
        <v>No</v>
      </c>
      <c r="G1313" t="str">
        <f>VLOOKUP($A1313, 'Medical Examinations'!A:H, 8, FALSE)</f>
        <v>No</v>
      </c>
      <c r="H1313" t="str">
        <f>VLOOKUP($A1313, 'Medical Examinations'!A:J, 10, FALSE)</f>
        <v>No major surgery</v>
      </c>
      <c r="I1313" t="str">
        <f>VLOOKUP($A1313, 'Medical Examinations'!A:K, 11, FALSE)</f>
        <v>No</v>
      </c>
      <c r="J1313" t="str">
        <f>VLOOKUP($A1313, 'Medical Examinations'!A:B, 2, FALSE)</f>
        <v>Obesity</v>
      </c>
      <c r="K1313" t="str">
        <f>VLOOKUP($A1313, 'Medical Examinations'!A:D, 4, FALSE)</f>
        <v>Normal</v>
      </c>
    </row>
    <row r="1314" spans="1:11" ht="15.5" x14ac:dyDescent="0.35">
      <c r="A1314" s="1" t="s">
        <v>1058</v>
      </c>
      <c r="B1314" t="str">
        <f>VLOOKUP($A1314, 'Customer Names'!A:D, 3, FALSE)</f>
        <v>Randolph</v>
      </c>
      <c r="C1314">
        <f>VLOOKUP($A1314,'Medical Examinations'!A:C, 3, FALSE)</f>
        <v>38.79</v>
      </c>
      <c r="D1314" t="str">
        <f>VLOOKUP($A1314, 'Medical Examinations'!A:D, 4, FALSE)</f>
        <v>Normal</v>
      </c>
      <c r="E1314" t="str">
        <f>VLOOKUP($A1314, 'Medical Examinations'!A:F, 6, FALSE)</f>
        <v>No</v>
      </c>
      <c r="F1314" t="str">
        <f>VLOOKUP($A1314, 'Medical Examinations'!A:G, 7, FALSE)</f>
        <v>No</v>
      </c>
      <c r="G1314" t="str">
        <f>VLOOKUP($A1314, 'Medical Examinations'!A:H, 8, FALSE)</f>
        <v>Yes</v>
      </c>
      <c r="H1314">
        <f>VLOOKUP($A1314, 'Medical Examinations'!A:J, 10, FALSE)</f>
        <v>1</v>
      </c>
      <c r="I1314" t="str">
        <f>VLOOKUP($A1314, 'Medical Examinations'!A:K, 11, FALSE)</f>
        <v>No</v>
      </c>
      <c r="J1314" t="str">
        <f>VLOOKUP($A1314, 'Medical Examinations'!A:B, 2, FALSE)</f>
        <v>Obesity</v>
      </c>
      <c r="K1314" t="str">
        <f>VLOOKUP($A1314, 'Medical Examinations'!A:D, 4, FALSE)</f>
        <v>Normal</v>
      </c>
    </row>
    <row r="1315" spans="1:11" ht="15.5" x14ac:dyDescent="0.35">
      <c r="A1315" s="1" t="s">
        <v>1057</v>
      </c>
      <c r="B1315" t="str">
        <f>VLOOKUP($A1315, 'Customer Names'!A:D, 3, FALSE)</f>
        <v>Masterson</v>
      </c>
      <c r="C1315">
        <f>VLOOKUP($A1315,'Medical Examinations'!A:C, 3, FALSE)</f>
        <v>30.684999999999999</v>
      </c>
      <c r="D1315" t="str">
        <f>VLOOKUP($A1315, 'Medical Examinations'!A:D, 4, FALSE)</f>
        <v>Normal</v>
      </c>
      <c r="E1315" t="str">
        <f>VLOOKUP($A1315, 'Medical Examinations'!A:F, 6, FALSE)</f>
        <v>No</v>
      </c>
      <c r="F1315" t="str">
        <f>VLOOKUP($A1315, 'Medical Examinations'!A:G, 7, FALSE)</f>
        <v>No</v>
      </c>
      <c r="G1315" t="str">
        <f>VLOOKUP($A1315, 'Medical Examinations'!A:H, 8, FALSE)</f>
        <v>Yes</v>
      </c>
      <c r="H1315">
        <f>VLOOKUP($A1315, 'Medical Examinations'!A:J, 10, FALSE)</f>
        <v>1</v>
      </c>
      <c r="I1315" t="str">
        <f>VLOOKUP($A1315, 'Medical Examinations'!A:K, 11, FALSE)</f>
        <v>No</v>
      </c>
      <c r="J1315" t="str">
        <f>VLOOKUP($A1315, 'Medical Examinations'!A:B, 2, FALSE)</f>
        <v>Obesity</v>
      </c>
      <c r="K1315" t="str">
        <f>VLOOKUP($A1315, 'Medical Examinations'!A:D, 4, FALSE)</f>
        <v>Normal</v>
      </c>
    </row>
    <row r="1316" spans="1:11" ht="15.5" x14ac:dyDescent="0.35">
      <c r="A1316" s="1" t="s">
        <v>1056</v>
      </c>
      <c r="B1316" t="str">
        <f>VLOOKUP($A1316, 'Customer Names'!A:D, 3, FALSE)</f>
        <v>Friess</v>
      </c>
      <c r="C1316">
        <f>VLOOKUP($A1316,'Medical Examinations'!A:C, 3, FALSE)</f>
        <v>22.135000000000002</v>
      </c>
      <c r="D1316" t="str">
        <f>VLOOKUP($A1316, 'Medical Examinations'!A:D, 4, FALSE)</f>
        <v>Diabetes</v>
      </c>
      <c r="E1316" t="str">
        <f>VLOOKUP($A1316, 'Medical Examinations'!A:F, 6, FALSE)</f>
        <v>No</v>
      </c>
      <c r="F1316" t="str">
        <f>VLOOKUP($A1316, 'Medical Examinations'!A:G, 7, FALSE)</f>
        <v>No</v>
      </c>
      <c r="G1316" t="str">
        <f>VLOOKUP($A1316, 'Medical Examinations'!A:H, 8, FALSE)</f>
        <v>No</v>
      </c>
      <c r="H1316" t="str">
        <f>VLOOKUP($A1316, 'Medical Examinations'!A:J, 10, FALSE)</f>
        <v>No major surgery</v>
      </c>
      <c r="I1316" t="str">
        <f>VLOOKUP($A1316, 'Medical Examinations'!A:K, 11, FALSE)</f>
        <v>No</v>
      </c>
      <c r="J1316" t="str">
        <f>VLOOKUP($A1316, 'Medical Examinations'!A:B, 2, FALSE)</f>
        <v>Normal Weight</v>
      </c>
      <c r="K1316" t="str">
        <f>VLOOKUP($A1316, 'Medical Examinations'!A:D, 4, FALSE)</f>
        <v>Diabetes</v>
      </c>
    </row>
    <row r="1317" spans="1:11" ht="15.5" x14ac:dyDescent="0.35">
      <c r="A1317" s="1" t="s">
        <v>1055</v>
      </c>
      <c r="B1317" t="str">
        <f>VLOOKUP($A1317, 'Customer Names'!A:D, 3, FALSE)</f>
        <v>Mantoni</v>
      </c>
      <c r="C1317">
        <f>VLOOKUP($A1317,'Medical Examinations'!A:C, 3, FALSE)</f>
        <v>33.33</v>
      </c>
      <c r="D1317" t="str">
        <f>VLOOKUP($A1317, 'Medical Examinations'!A:D, 4, FALSE)</f>
        <v>Diabetes</v>
      </c>
      <c r="E1317" t="str">
        <f>VLOOKUP($A1317, 'Medical Examinations'!A:F, 6, FALSE)</f>
        <v>No</v>
      </c>
      <c r="F1317" t="str">
        <f>VLOOKUP($A1317, 'Medical Examinations'!A:G, 7, FALSE)</f>
        <v>No</v>
      </c>
      <c r="G1317" t="str">
        <f>VLOOKUP($A1317, 'Medical Examinations'!A:H, 8, FALSE)</f>
        <v>No</v>
      </c>
      <c r="H1317" t="str">
        <f>VLOOKUP($A1317, 'Medical Examinations'!A:J, 10, FALSE)</f>
        <v>No major surgery</v>
      </c>
      <c r="I1317" t="str">
        <f>VLOOKUP($A1317, 'Medical Examinations'!A:K, 11, FALSE)</f>
        <v>No</v>
      </c>
      <c r="J1317" t="str">
        <f>VLOOKUP($A1317, 'Medical Examinations'!A:B, 2, FALSE)</f>
        <v>Obesity</v>
      </c>
      <c r="K1317" t="str">
        <f>VLOOKUP($A1317, 'Medical Examinations'!A:D, 4, FALSE)</f>
        <v>Diabetes</v>
      </c>
    </row>
    <row r="1318" spans="1:11" ht="15.5" x14ac:dyDescent="0.35">
      <c r="A1318" s="1" t="s">
        <v>1054</v>
      </c>
      <c r="B1318" t="str">
        <f>VLOOKUP($A1318, 'Customer Names'!A:D, 3, FALSE)</f>
        <v>Bodeen</v>
      </c>
      <c r="C1318">
        <f>VLOOKUP($A1318,'Medical Examinations'!A:C, 3, FALSE)</f>
        <v>31.13</v>
      </c>
      <c r="D1318" t="str">
        <f>VLOOKUP($A1318, 'Medical Examinations'!A:D, 4, FALSE)</f>
        <v>Diabetes</v>
      </c>
      <c r="E1318" t="str">
        <f>VLOOKUP($A1318, 'Medical Examinations'!A:F, 6, FALSE)</f>
        <v>No</v>
      </c>
      <c r="F1318" t="str">
        <f>VLOOKUP($A1318, 'Medical Examinations'!A:G, 7, FALSE)</f>
        <v>No</v>
      </c>
      <c r="G1318" t="str">
        <f>VLOOKUP($A1318, 'Medical Examinations'!A:H, 8, FALSE)</f>
        <v>No</v>
      </c>
      <c r="H1318" t="str">
        <f>VLOOKUP($A1318, 'Medical Examinations'!A:J, 10, FALSE)</f>
        <v>No major surgery</v>
      </c>
      <c r="I1318" t="str">
        <f>VLOOKUP($A1318, 'Medical Examinations'!A:K, 11, FALSE)</f>
        <v>No</v>
      </c>
      <c r="J1318" t="str">
        <f>VLOOKUP($A1318, 'Medical Examinations'!A:B, 2, FALSE)</f>
        <v>Obesity</v>
      </c>
      <c r="K1318" t="str">
        <f>VLOOKUP($A1318, 'Medical Examinations'!A:D, 4, FALSE)</f>
        <v>Diabetes</v>
      </c>
    </row>
    <row r="1319" spans="1:11" ht="15.5" x14ac:dyDescent="0.35">
      <c r="A1319" s="1" t="s">
        <v>1053</v>
      </c>
      <c r="B1319" t="str">
        <f>VLOOKUP($A1319, 'Customer Names'!A:D, 3, FALSE)</f>
        <v>McPherson</v>
      </c>
      <c r="C1319">
        <f>VLOOKUP($A1319,'Medical Examinations'!A:C, 3, FALSE)</f>
        <v>28.9</v>
      </c>
      <c r="D1319" t="str">
        <f>VLOOKUP($A1319, 'Medical Examinations'!A:D, 4, FALSE)</f>
        <v>Diabetes</v>
      </c>
      <c r="E1319" t="str">
        <f>VLOOKUP($A1319, 'Medical Examinations'!A:F, 6, FALSE)</f>
        <v>No</v>
      </c>
      <c r="F1319" t="str">
        <f>VLOOKUP($A1319, 'Medical Examinations'!A:G, 7, FALSE)</f>
        <v>No</v>
      </c>
      <c r="G1319" t="str">
        <f>VLOOKUP($A1319, 'Medical Examinations'!A:H, 8, FALSE)</f>
        <v>No</v>
      </c>
      <c r="H1319" t="str">
        <f>VLOOKUP($A1319, 'Medical Examinations'!A:J, 10, FALSE)</f>
        <v>No major surgery</v>
      </c>
      <c r="I1319" t="str">
        <f>VLOOKUP($A1319, 'Medical Examinations'!A:K, 11, FALSE)</f>
        <v>No</v>
      </c>
      <c r="J1319" t="str">
        <f>VLOOKUP($A1319, 'Medical Examinations'!A:B, 2, FALSE)</f>
        <v>Overweight</v>
      </c>
      <c r="K1319" t="str">
        <f>VLOOKUP($A1319, 'Medical Examinations'!A:D, 4, FALSE)</f>
        <v>Diabetes</v>
      </c>
    </row>
    <row r="1320" spans="1:11" ht="15.5" x14ac:dyDescent="0.35">
      <c r="A1320" s="1" t="s">
        <v>1052</v>
      </c>
      <c r="B1320" t="str">
        <f>VLOOKUP($A1320, 'Customer Names'!A:D, 3, FALSE)</f>
        <v>Palko</v>
      </c>
      <c r="C1320">
        <f>VLOOKUP($A1320,'Medical Examinations'!A:C, 3, FALSE)</f>
        <v>43.31</v>
      </c>
      <c r="D1320" t="str">
        <f>VLOOKUP($A1320, 'Medical Examinations'!A:D, 4, FALSE)</f>
        <v>Prediabetes</v>
      </c>
      <c r="E1320" t="str">
        <f>VLOOKUP($A1320, 'Medical Examinations'!A:F, 6, FALSE)</f>
        <v>yes</v>
      </c>
      <c r="F1320" t="str">
        <f>VLOOKUP($A1320, 'Medical Examinations'!A:G, 7, FALSE)</f>
        <v>yes</v>
      </c>
      <c r="G1320" t="str">
        <f>VLOOKUP($A1320, 'Medical Examinations'!A:H, 8, FALSE)</f>
        <v>No</v>
      </c>
      <c r="H1320">
        <f>VLOOKUP($A1320, 'Medical Examinations'!A:J, 10, FALSE)</f>
        <v>1</v>
      </c>
      <c r="I1320" t="str">
        <f>VLOOKUP($A1320, 'Medical Examinations'!A:K, 11, FALSE)</f>
        <v>No</v>
      </c>
      <c r="J1320" t="str">
        <f>VLOOKUP($A1320, 'Medical Examinations'!A:B, 2, FALSE)</f>
        <v>Obesity</v>
      </c>
      <c r="K1320" t="str">
        <f>VLOOKUP($A1320, 'Medical Examinations'!A:D, 4, FALSE)</f>
        <v>Prediabetes</v>
      </c>
    </row>
    <row r="1321" spans="1:11" ht="15.5" x14ac:dyDescent="0.35">
      <c r="A1321" s="1" t="s">
        <v>1051</v>
      </c>
      <c r="B1321" t="str">
        <f>VLOOKUP($A1321, 'Customer Names'!A:D, 3, FALSE)</f>
        <v>Breathitt</v>
      </c>
      <c r="C1321">
        <f>VLOOKUP($A1321,'Medical Examinations'!A:C, 3, FALSE)</f>
        <v>22.8</v>
      </c>
      <c r="D1321" t="str">
        <f>VLOOKUP($A1321, 'Medical Examinations'!A:D, 4, FALSE)</f>
        <v>Diabetes</v>
      </c>
      <c r="E1321" t="str">
        <f>VLOOKUP($A1321, 'Medical Examinations'!A:F, 6, FALSE)</f>
        <v>No</v>
      </c>
      <c r="F1321" t="str">
        <f>VLOOKUP($A1321, 'Medical Examinations'!A:G, 7, FALSE)</f>
        <v>No</v>
      </c>
      <c r="G1321" t="str">
        <f>VLOOKUP($A1321, 'Medical Examinations'!A:H, 8, FALSE)</f>
        <v>No</v>
      </c>
      <c r="H1321" t="str">
        <f>VLOOKUP($A1321, 'Medical Examinations'!A:J, 10, FALSE)</f>
        <v>No major surgery</v>
      </c>
      <c r="I1321" t="str">
        <f>VLOOKUP($A1321, 'Medical Examinations'!A:K, 11, FALSE)</f>
        <v>No</v>
      </c>
      <c r="J1321" t="str">
        <f>VLOOKUP($A1321, 'Medical Examinations'!A:B, 2, FALSE)</f>
        <v>Normal Weight</v>
      </c>
      <c r="K1321" t="str">
        <f>VLOOKUP($A1321, 'Medical Examinations'!A:D, 4, FALSE)</f>
        <v>Diabetes</v>
      </c>
    </row>
    <row r="1322" spans="1:11" ht="15.5" x14ac:dyDescent="0.35">
      <c r="A1322" s="1" t="s">
        <v>1050</v>
      </c>
      <c r="B1322" t="str">
        <f>VLOOKUP($A1322, 'Customer Names'!A:D, 3, FALSE)</f>
        <v>Evora</v>
      </c>
      <c r="C1322">
        <f>VLOOKUP($A1322,'Medical Examinations'!A:C, 3, FALSE)</f>
        <v>19.09</v>
      </c>
      <c r="D1322" t="str">
        <f>VLOOKUP($A1322, 'Medical Examinations'!A:D, 4, FALSE)</f>
        <v>Normal</v>
      </c>
      <c r="E1322" t="str">
        <f>VLOOKUP($A1322, 'Medical Examinations'!A:F, 6, FALSE)</f>
        <v>yes</v>
      </c>
      <c r="F1322" t="str">
        <f>VLOOKUP($A1322, 'Medical Examinations'!A:G, 7, FALSE)</f>
        <v>No</v>
      </c>
      <c r="G1322" t="str">
        <f>VLOOKUP($A1322, 'Medical Examinations'!A:H, 8, FALSE)</f>
        <v>No</v>
      </c>
      <c r="H1322">
        <f>VLOOKUP($A1322, 'Medical Examinations'!A:J, 10, FALSE)</f>
        <v>1</v>
      </c>
      <c r="I1322" t="str">
        <f>VLOOKUP($A1322, 'Medical Examinations'!A:K, 11, FALSE)</f>
        <v>No</v>
      </c>
      <c r="J1322" t="str">
        <f>VLOOKUP($A1322, 'Medical Examinations'!A:B, 2, FALSE)</f>
        <v>Normal Weight</v>
      </c>
      <c r="K1322" t="str">
        <f>VLOOKUP($A1322, 'Medical Examinations'!A:D, 4, FALSE)</f>
        <v>Normal</v>
      </c>
    </row>
    <row r="1323" spans="1:11" ht="15.5" x14ac:dyDescent="0.35">
      <c r="A1323" s="1" t="s">
        <v>1049</v>
      </c>
      <c r="B1323" t="str">
        <f>VLOOKUP($A1323, 'Customer Names'!A:D, 3, FALSE)</f>
        <v>Fischer</v>
      </c>
      <c r="C1323">
        <f>VLOOKUP($A1323,'Medical Examinations'!A:C, 3, FALSE)</f>
        <v>23.37</v>
      </c>
      <c r="D1323" t="str">
        <f>VLOOKUP($A1323, 'Medical Examinations'!A:D, 4, FALSE)</f>
        <v>Normal</v>
      </c>
      <c r="E1323" t="str">
        <f>VLOOKUP($A1323, 'Medical Examinations'!A:F, 6, FALSE)</f>
        <v>No</v>
      </c>
      <c r="F1323" t="str">
        <f>VLOOKUP($A1323, 'Medical Examinations'!A:G, 7, FALSE)</f>
        <v>No</v>
      </c>
      <c r="G1323" t="str">
        <f>VLOOKUP($A1323, 'Medical Examinations'!A:H, 8, FALSE)</f>
        <v>No</v>
      </c>
      <c r="H1323" t="str">
        <f>VLOOKUP($A1323, 'Medical Examinations'!A:J, 10, FALSE)</f>
        <v>No major surgery</v>
      </c>
      <c r="I1323" t="str">
        <f>VLOOKUP($A1323, 'Medical Examinations'!A:K, 11, FALSE)</f>
        <v>No</v>
      </c>
      <c r="J1323" t="str">
        <f>VLOOKUP($A1323, 'Medical Examinations'!A:B, 2, FALSE)</f>
        <v>Normal Weight</v>
      </c>
      <c r="K1323" t="str">
        <f>VLOOKUP($A1323, 'Medical Examinations'!A:D, 4, FALSE)</f>
        <v>Normal</v>
      </c>
    </row>
    <row r="1324" spans="1:11" ht="15.5" x14ac:dyDescent="0.35">
      <c r="A1324" s="1" t="s">
        <v>1048</v>
      </c>
      <c r="B1324" t="str">
        <f>VLOOKUP($A1324, 'Customer Names'!A:D, 3, FALSE)</f>
        <v>Deba</v>
      </c>
      <c r="C1324">
        <f>VLOOKUP($A1324,'Medical Examinations'!A:C, 3, FALSE)</f>
        <v>33.44</v>
      </c>
      <c r="D1324" t="str">
        <f>VLOOKUP($A1324, 'Medical Examinations'!A:D, 4, FALSE)</f>
        <v>Normal</v>
      </c>
      <c r="E1324" t="str">
        <f>VLOOKUP($A1324, 'Medical Examinations'!A:F, 6, FALSE)</f>
        <v>yes</v>
      </c>
      <c r="F1324" t="str">
        <f>VLOOKUP($A1324, 'Medical Examinations'!A:G, 7, FALSE)</f>
        <v>No</v>
      </c>
      <c r="G1324" t="str">
        <f>VLOOKUP($A1324, 'Medical Examinations'!A:H, 8, FALSE)</f>
        <v>No</v>
      </c>
      <c r="H1324" t="str">
        <f>VLOOKUP($A1324, 'Medical Examinations'!A:J, 10, FALSE)</f>
        <v>No major surgery</v>
      </c>
      <c r="I1324" t="str">
        <f>VLOOKUP($A1324, 'Medical Examinations'!A:K, 11, FALSE)</f>
        <v>No</v>
      </c>
      <c r="J1324" t="str">
        <f>VLOOKUP($A1324, 'Medical Examinations'!A:B, 2, FALSE)</f>
        <v>Obesity</v>
      </c>
      <c r="K1324" t="str">
        <f>VLOOKUP($A1324, 'Medical Examinations'!A:D, 4, FALSE)</f>
        <v>Normal</v>
      </c>
    </row>
    <row r="1325" spans="1:11" ht="15.5" x14ac:dyDescent="0.35">
      <c r="A1325" s="1" t="s">
        <v>1047</v>
      </c>
      <c r="B1325" t="str">
        <f>VLOOKUP($A1325, 'Customer Names'!A:D, 3, FALSE)</f>
        <v>Leloup</v>
      </c>
      <c r="C1325">
        <f>VLOOKUP($A1325,'Medical Examinations'!A:C, 3, FALSE)</f>
        <v>28.05</v>
      </c>
      <c r="D1325" t="str">
        <f>VLOOKUP($A1325, 'Medical Examinations'!A:D, 4, FALSE)</f>
        <v>Normal</v>
      </c>
      <c r="E1325" t="str">
        <f>VLOOKUP($A1325, 'Medical Examinations'!A:F, 6, FALSE)</f>
        <v>yes</v>
      </c>
      <c r="F1325" t="str">
        <f>VLOOKUP($A1325, 'Medical Examinations'!A:G, 7, FALSE)</f>
        <v>No</v>
      </c>
      <c r="G1325" t="str">
        <f>VLOOKUP($A1325, 'Medical Examinations'!A:H, 8, FALSE)</f>
        <v>No</v>
      </c>
      <c r="H1325" t="str">
        <f>VLOOKUP($A1325, 'Medical Examinations'!A:J, 10, FALSE)</f>
        <v>No major surgery</v>
      </c>
      <c r="I1325" t="str">
        <f>VLOOKUP($A1325, 'Medical Examinations'!A:K, 11, FALSE)</f>
        <v>No</v>
      </c>
      <c r="J1325" t="str">
        <f>VLOOKUP($A1325, 'Medical Examinations'!A:B, 2, FALSE)</f>
        <v>Overweight</v>
      </c>
      <c r="K1325" t="str">
        <f>VLOOKUP($A1325, 'Medical Examinations'!A:D, 4, FALSE)</f>
        <v>Normal</v>
      </c>
    </row>
    <row r="1326" spans="1:11" ht="15.5" x14ac:dyDescent="0.35">
      <c r="A1326" s="1" t="s">
        <v>1046</v>
      </c>
      <c r="B1326" t="str">
        <f>VLOOKUP($A1326, 'Customer Names'!A:D, 3, FALSE)</f>
        <v>Labare</v>
      </c>
      <c r="C1326">
        <f>VLOOKUP($A1326,'Medical Examinations'!A:C, 3, FALSE)</f>
        <v>27.72</v>
      </c>
      <c r="D1326" t="str">
        <f>VLOOKUP($A1326, 'Medical Examinations'!A:D, 4, FALSE)</f>
        <v>Prediabetes</v>
      </c>
      <c r="E1326" t="str">
        <f>VLOOKUP($A1326, 'Medical Examinations'!A:F, 6, FALSE)</f>
        <v>yes</v>
      </c>
      <c r="F1326" t="str">
        <f>VLOOKUP($A1326, 'Medical Examinations'!A:G, 7, FALSE)</f>
        <v>No</v>
      </c>
      <c r="G1326" t="str">
        <f>VLOOKUP($A1326, 'Medical Examinations'!A:H, 8, FALSE)</f>
        <v>No</v>
      </c>
      <c r="H1326" t="str">
        <f>VLOOKUP($A1326, 'Medical Examinations'!A:J, 10, FALSE)</f>
        <v>No major surgery</v>
      </c>
      <c r="I1326" t="str">
        <f>VLOOKUP($A1326, 'Medical Examinations'!A:K, 11, FALSE)</f>
        <v>No</v>
      </c>
      <c r="J1326" t="str">
        <f>VLOOKUP($A1326, 'Medical Examinations'!A:B, 2, FALSE)</f>
        <v>Overweight</v>
      </c>
      <c r="K1326" t="str">
        <f>VLOOKUP($A1326, 'Medical Examinations'!A:D, 4, FALSE)</f>
        <v>Prediabetes</v>
      </c>
    </row>
    <row r="1327" spans="1:11" ht="15.5" x14ac:dyDescent="0.35">
      <c r="A1327" s="1" t="s">
        <v>1045</v>
      </c>
      <c r="B1327" t="str">
        <f>VLOOKUP($A1327, 'Customer Names'!A:D, 3, FALSE)</f>
        <v>Arouca</v>
      </c>
      <c r="C1327">
        <f>VLOOKUP($A1327,'Medical Examinations'!A:C, 3, FALSE)</f>
        <v>29.81</v>
      </c>
      <c r="D1327" t="str">
        <f>VLOOKUP($A1327, 'Medical Examinations'!A:D, 4, FALSE)</f>
        <v>Diabetes</v>
      </c>
      <c r="E1327" t="str">
        <f>VLOOKUP($A1327, 'Medical Examinations'!A:F, 6, FALSE)</f>
        <v>No</v>
      </c>
      <c r="F1327" t="str">
        <f>VLOOKUP($A1327, 'Medical Examinations'!A:G, 7, FALSE)</f>
        <v>No</v>
      </c>
      <c r="G1327" t="str">
        <f>VLOOKUP($A1327, 'Medical Examinations'!A:H, 8, FALSE)</f>
        <v>No</v>
      </c>
      <c r="H1327" t="str">
        <f>VLOOKUP($A1327, 'Medical Examinations'!A:J, 10, FALSE)</f>
        <v>No major surgery</v>
      </c>
      <c r="I1327" t="str">
        <f>VLOOKUP($A1327, 'Medical Examinations'!A:K, 11, FALSE)</f>
        <v>No</v>
      </c>
      <c r="J1327" t="str">
        <f>VLOOKUP($A1327, 'Medical Examinations'!A:B, 2, FALSE)</f>
        <v>Overweight</v>
      </c>
      <c r="K1327" t="str">
        <f>VLOOKUP($A1327, 'Medical Examinations'!A:D, 4, FALSE)</f>
        <v>Diabetes</v>
      </c>
    </row>
    <row r="1328" spans="1:11" ht="15.5" x14ac:dyDescent="0.35">
      <c r="A1328" s="1" t="s">
        <v>1044</v>
      </c>
      <c r="B1328" t="str">
        <f>VLOOKUP($A1328, 'Customer Names'!A:D, 3, FALSE)</f>
        <v>Reese</v>
      </c>
      <c r="C1328">
        <f>VLOOKUP($A1328,'Medical Examinations'!A:C, 3, FALSE)</f>
        <v>23.98</v>
      </c>
      <c r="D1328" t="str">
        <f>VLOOKUP($A1328, 'Medical Examinations'!A:D, 4, FALSE)</f>
        <v>Diabetes</v>
      </c>
      <c r="E1328" t="str">
        <f>VLOOKUP($A1328, 'Medical Examinations'!A:F, 6, FALSE)</f>
        <v>No</v>
      </c>
      <c r="F1328" t="str">
        <f>VLOOKUP($A1328, 'Medical Examinations'!A:G, 7, FALSE)</f>
        <v>No</v>
      </c>
      <c r="G1328" t="str">
        <f>VLOOKUP($A1328, 'Medical Examinations'!A:H, 8, FALSE)</f>
        <v>No</v>
      </c>
      <c r="H1328" t="str">
        <f>VLOOKUP($A1328, 'Medical Examinations'!A:J, 10, FALSE)</f>
        <v>No major surgery</v>
      </c>
      <c r="I1328" t="str">
        <f>VLOOKUP($A1328, 'Medical Examinations'!A:K, 11, FALSE)</f>
        <v>No</v>
      </c>
      <c r="J1328" t="str">
        <f>VLOOKUP($A1328, 'Medical Examinations'!A:B, 2, FALSE)</f>
        <v>Normal Weight</v>
      </c>
      <c r="K1328" t="str">
        <f>VLOOKUP($A1328, 'Medical Examinations'!A:D, 4, FALSE)</f>
        <v>Diabetes</v>
      </c>
    </row>
    <row r="1329" spans="1:11" ht="15.5" x14ac:dyDescent="0.35">
      <c r="A1329" s="1" t="s">
        <v>1043</v>
      </c>
      <c r="B1329" t="str">
        <f>VLOOKUP($A1329, 'Customer Names'!A:D, 3, FALSE)</f>
        <v>McCloskey</v>
      </c>
      <c r="C1329">
        <f>VLOOKUP($A1329,'Medical Examinations'!A:C, 3, FALSE)</f>
        <v>17.34</v>
      </c>
      <c r="D1329" t="str">
        <f>VLOOKUP($A1329, 'Medical Examinations'!A:D, 4, FALSE)</f>
        <v>Diabetes</v>
      </c>
      <c r="E1329" t="str">
        <f>VLOOKUP($A1329, 'Medical Examinations'!A:F, 6, FALSE)</f>
        <v>No</v>
      </c>
      <c r="F1329" t="str">
        <f>VLOOKUP($A1329, 'Medical Examinations'!A:G, 7, FALSE)</f>
        <v>No</v>
      </c>
      <c r="G1329" t="str">
        <f>VLOOKUP($A1329, 'Medical Examinations'!A:H, 8, FALSE)</f>
        <v>No</v>
      </c>
      <c r="H1329" t="str">
        <f>VLOOKUP($A1329, 'Medical Examinations'!A:J, 10, FALSE)</f>
        <v>No major surgery</v>
      </c>
      <c r="I1329" t="str">
        <f>VLOOKUP($A1329, 'Medical Examinations'!A:K, 11, FALSE)</f>
        <v>No</v>
      </c>
      <c r="J1329" t="str">
        <f>VLOOKUP($A1329, 'Medical Examinations'!A:B, 2, FALSE)</f>
        <v>Underweight</v>
      </c>
      <c r="K1329" t="str">
        <f>VLOOKUP($A1329, 'Medical Examinations'!A:D, 4, FALSE)</f>
        <v>Diabetes</v>
      </c>
    </row>
    <row r="1330" spans="1:11" ht="15.5" x14ac:dyDescent="0.35">
      <c r="A1330" s="1" t="s">
        <v>1042</v>
      </c>
      <c r="B1330" t="str">
        <f>VLOOKUP($A1330, 'Customer Names'!A:D, 3, FALSE)</f>
        <v>Tedsen</v>
      </c>
      <c r="C1330">
        <f>VLOOKUP($A1330,'Medical Examinations'!A:C, 3, FALSE)</f>
        <v>40.39</v>
      </c>
      <c r="D1330" t="str">
        <f>VLOOKUP($A1330, 'Medical Examinations'!A:D, 4, FALSE)</f>
        <v>Normal</v>
      </c>
      <c r="E1330" t="str">
        <f>VLOOKUP($A1330, 'Medical Examinations'!A:F, 6, FALSE)</f>
        <v>yes</v>
      </c>
      <c r="F1330" t="str">
        <f>VLOOKUP($A1330, 'Medical Examinations'!A:G, 7, FALSE)</f>
        <v>No</v>
      </c>
      <c r="G1330" t="str">
        <f>VLOOKUP($A1330, 'Medical Examinations'!A:H, 8, FALSE)</f>
        <v>Yes</v>
      </c>
      <c r="H1330">
        <f>VLOOKUP($A1330, 'Medical Examinations'!A:J, 10, FALSE)</f>
        <v>1</v>
      </c>
      <c r="I1330" t="str">
        <f>VLOOKUP($A1330, 'Medical Examinations'!A:K, 11, FALSE)</f>
        <v>No</v>
      </c>
      <c r="J1330" t="str">
        <f>VLOOKUP($A1330, 'Medical Examinations'!A:B, 2, FALSE)</f>
        <v>Obesity</v>
      </c>
      <c r="K1330" t="str">
        <f>VLOOKUP($A1330, 'Medical Examinations'!A:D, 4, FALSE)</f>
        <v>Normal</v>
      </c>
    </row>
    <row r="1331" spans="1:11" ht="15.5" x14ac:dyDescent="0.35">
      <c r="A1331" s="1" t="s">
        <v>1041</v>
      </c>
      <c r="B1331" t="str">
        <f>VLOOKUP($A1331, 'Customer Names'!A:D, 3, FALSE)</f>
        <v>Koehlinger</v>
      </c>
      <c r="C1331">
        <f>VLOOKUP($A1331,'Medical Examinations'!A:C, 3, FALSE)</f>
        <v>25.96</v>
      </c>
      <c r="D1331" t="str">
        <f>VLOOKUP($A1331, 'Medical Examinations'!A:D, 4, FALSE)</f>
        <v>Normal</v>
      </c>
      <c r="E1331" t="str">
        <f>VLOOKUP($A1331, 'Medical Examinations'!A:F, 6, FALSE)</f>
        <v>yes</v>
      </c>
      <c r="F1331" t="str">
        <f>VLOOKUP($A1331, 'Medical Examinations'!A:G, 7, FALSE)</f>
        <v>No</v>
      </c>
      <c r="G1331" t="str">
        <f>VLOOKUP($A1331, 'Medical Examinations'!A:H, 8, FALSE)</f>
        <v>Yes</v>
      </c>
      <c r="H1331">
        <f>VLOOKUP($A1331, 'Medical Examinations'!A:J, 10, FALSE)</f>
        <v>1</v>
      </c>
      <c r="I1331" t="str">
        <f>VLOOKUP($A1331, 'Medical Examinations'!A:K, 11, FALSE)</f>
        <v>No</v>
      </c>
      <c r="J1331" t="str">
        <f>VLOOKUP($A1331, 'Medical Examinations'!A:B, 2, FALSE)</f>
        <v>Overweight</v>
      </c>
      <c r="K1331" t="str">
        <f>VLOOKUP($A1331, 'Medical Examinations'!A:D, 4, FALSE)</f>
        <v>Normal</v>
      </c>
    </row>
    <row r="1332" spans="1:11" ht="15.5" x14ac:dyDescent="0.35">
      <c r="A1332" s="1" t="s">
        <v>1040</v>
      </c>
      <c r="B1332" t="str">
        <f>VLOOKUP($A1332, 'Customer Names'!A:D, 3, FALSE)</f>
        <v>Pielechaty</v>
      </c>
      <c r="C1332">
        <f>VLOOKUP($A1332,'Medical Examinations'!A:C, 3, FALSE)</f>
        <v>17.68</v>
      </c>
      <c r="D1332" t="str">
        <f>VLOOKUP($A1332, 'Medical Examinations'!A:D, 4, FALSE)</f>
        <v>Diabetes</v>
      </c>
      <c r="E1332" t="str">
        <f>VLOOKUP($A1332, 'Medical Examinations'!A:F, 6, FALSE)</f>
        <v>yes</v>
      </c>
      <c r="F1332" t="str">
        <f>VLOOKUP($A1332, 'Medical Examinations'!A:G, 7, FALSE)</f>
        <v>No</v>
      </c>
      <c r="G1332" t="str">
        <f>VLOOKUP($A1332, 'Medical Examinations'!A:H, 8, FALSE)</f>
        <v>Yes</v>
      </c>
      <c r="H1332">
        <f>VLOOKUP($A1332, 'Medical Examinations'!A:J, 10, FALSE)</f>
        <v>1</v>
      </c>
      <c r="I1332" t="str">
        <f>VLOOKUP($A1332, 'Medical Examinations'!A:K, 11, FALSE)</f>
        <v>No</v>
      </c>
      <c r="J1332" t="str">
        <f>VLOOKUP($A1332, 'Medical Examinations'!A:B, 2, FALSE)</f>
        <v>Underweight</v>
      </c>
      <c r="K1332" t="str">
        <f>VLOOKUP($A1332, 'Medical Examinations'!A:D, 4, FALSE)</f>
        <v>Diabetes</v>
      </c>
    </row>
    <row r="1333" spans="1:11" ht="15.5" x14ac:dyDescent="0.35">
      <c r="A1333" s="1" t="s">
        <v>1039</v>
      </c>
      <c r="B1333" t="str">
        <f>VLOOKUP($A1333, 'Customer Names'!A:D, 3, FALSE)</f>
        <v>Korhonen</v>
      </c>
      <c r="C1333">
        <f>VLOOKUP($A1333,'Medical Examinations'!A:C, 3, FALSE)</f>
        <v>30.875</v>
      </c>
      <c r="D1333" t="str">
        <f>VLOOKUP($A1333, 'Medical Examinations'!A:D, 4, FALSE)</f>
        <v>Normal</v>
      </c>
      <c r="E1333" t="str">
        <f>VLOOKUP($A1333, 'Medical Examinations'!A:F, 6, FALSE)</f>
        <v>No</v>
      </c>
      <c r="F1333" t="str">
        <f>VLOOKUP($A1333, 'Medical Examinations'!A:G, 7, FALSE)</f>
        <v>No</v>
      </c>
      <c r="G1333" t="str">
        <f>VLOOKUP($A1333, 'Medical Examinations'!A:H, 8, FALSE)</f>
        <v>No</v>
      </c>
      <c r="H1333" t="str">
        <f>VLOOKUP($A1333, 'Medical Examinations'!A:J, 10, FALSE)</f>
        <v>No major surgery</v>
      </c>
      <c r="I1333" t="str">
        <f>VLOOKUP($A1333, 'Medical Examinations'!A:K, 11, FALSE)</f>
        <v>No</v>
      </c>
      <c r="J1333" t="str">
        <f>VLOOKUP($A1333, 'Medical Examinations'!A:B, 2, FALSE)</f>
        <v>Obesity</v>
      </c>
      <c r="K1333" t="str">
        <f>VLOOKUP($A1333, 'Medical Examinations'!A:D, 4, FALSE)</f>
        <v>Normal</v>
      </c>
    </row>
    <row r="1334" spans="1:11" ht="15.5" x14ac:dyDescent="0.35">
      <c r="A1334" s="1" t="s">
        <v>1038</v>
      </c>
      <c r="B1334" t="str">
        <f>VLOOKUP($A1334, 'Customer Names'!A:D, 3, FALSE)</f>
        <v>Kehr</v>
      </c>
      <c r="C1334">
        <f>VLOOKUP($A1334,'Medical Examinations'!A:C, 3, FALSE)</f>
        <v>30.81</v>
      </c>
      <c r="D1334" t="str">
        <f>VLOOKUP($A1334, 'Medical Examinations'!A:D, 4, FALSE)</f>
        <v>Normal</v>
      </c>
      <c r="E1334" t="str">
        <f>VLOOKUP($A1334, 'Medical Examinations'!A:F, 6, FALSE)</f>
        <v>No</v>
      </c>
      <c r="F1334" t="str">
        <f>VLOOKUP($A1334, 'Medical Examinations'!A:G, 7, FALSE)</f>
        <v>No</v>
      </c>
      <c r="G1334" t="str">
        <f>VLOOKUP($A1334, 'Medical Examinations'!A:H, 8, FALSE)</f>
        <v>No</v>
      </c>
      <c r="H1334" t="str">
        <f>VLOOKUP($A1334, 'Medical Examinations'!A:J, 10, FALSE)</f>
        <v>No major surgery</v>
      </c>
      <c r="I1334" t="str">
        <f>VLOOKUP($A1334, 'Medical Examinations'!A:K, 11, FALSE)</f>
        <v>No</v>
      </c>
      <c r="J1334" t="str">
        <f>VLOOKUP($A1334, 'Medical Examinations'!A:B, 2, FALSE)</f>
        <v>Obesity</v>
      </c>
      <c r="K1334" t="str">
        <f>VLOOKUP($A1334, 'Medical Examinations'!A:D, 4, FALSE)</f>
        <v>Normal</v>
      </c>
    </row>
    <row r="1335" spans="1:11" ht="15.5" x14ac:dyDescent="0.35">
      <c r="A1335" s="1" t="s">
        <v>1037</v>
      </c>
      <c r="B1335" t="str">
        <f>VLOOKUP($A1335, 'Customer Names'!A:D, 3, FALSE)</f>
        <v>Montagna</v>
      </c>
      <c r="C1335">
        <f>VLOOKUP($A1335,'Medical Examinations'!A:C, 3, FALSE)</f>
        <v>36.85</v>
      </c>
      <c r="D1335" t="str">
        <f>VLOOKUP($A1335, 'Medical Examinations'!A:D, 4, FALSE)</f>
        <v>Diabetes</v>
      </c>
      <c r="E1335" t="str">
        <f>VLOOKUP($A1335, 'Medical Examinations'!A:F, 6, FALSE)</f>
        <v>No</v>
      </c>
      <c r="F1335" t="str">
        <f>VLOOKUP($A1335, 'Medical Examinations'!A:G, 7, FALSE)</f>
        <v>No</v>
      </c>
      <c r="G1335" t="str">
        <f>VLOOKUP($A1335, 'Medical Examinations'!A:H, 8, FALSE)</f>
        <v>No</v>
      </c>
      <c r="H1335">
        <f>VLOOKUP($A1335, 'Medical Examinations'!A:J, 10, FALSE)</f>
        <v>2</v>
      </c>
      <c r="I1335" t="str">
        <f>VLOOKUP($A1335, 'Medical Examinations'!A:K, 11, FALSE)</f>
        <v>No</v>
      </c>
      <c r="J1335" t="str">
        <f>VLOOKUP($A1335, 'Medical Examinations'!A:B, 2, FALSE)</f>
        <v>Obesity</v>
      </c>
      <c r="K1335" t="str">
        <f>VLOOKUP($A1335, 'Medical Examinations'!A:D, 4, FALSE)</f>
        <v>Diabetes</v>
      </c>
    </row>
    <row r="1336" spans="1:11" ht="15.5" x14ac:dyDescent="0.35">
      <c r="A1336" s="1" t="s">
        <v>1036</v>
      </c>
      <c r="B1336" t="str">
        <f>VLOOKUP($A1336, 'Customer Names'!A:D, 3, FALSE)</f>
        <v>M√ºller</v>
      </c>
      <c r="C1336">
        <f>VLOOKUP($A1336,'Medical Examinations'!A:C, 3, FALSE)</f>
        <v>35.86</v>
      </c>
      <c r="D1336" t="str">
        <f>VLOOKUP($A1336, 'Medical Examinations'!A:D, 4, FALSE)</f>
        <v>Diabetes</v>
      </c>
      <c r="E1336" t="str">
        <f>VLOOKUP($A1336, 'Medical Examinations'!A:F, 6, FALSE)</f>
        <v>No</v>
      </c>
      <c r="F1336" t="str">
        <f>VLOOKUP($A1336, 'Medical Examinations'!A:G, 7, FALSE)</f>
        <v>No</v>
      </c>
      <c r="G1336" t="str">
        <f>VLOOKUP($A1336, 'Medical Examinations'!A:H, 8, FALSE)</f>
        <v>No</v>
      </c>
      <c r="H1336">
        <f>VLOOKUP($A1336, 'Medical Examinations'!A:J, 10, FALSE)</f>
        <v>2</v>
      </c>
      <c r="I1336" t="str">
        <f>VLOOKUP($A1336, 'Medical Examinations'!A:K, 11, FALSE)</f>
        <v>No</v>
      </c>
      <c r="J1336" t="str">
        <f>VLOOKUP($A1336, 'Medical Examinations'!A:B, 2, FALSE)</f>
        <v>Obesity</v>
      </c>
      <c r="K1336" t="str">
        <f>VLOOKUP($A1336, 'Medical Examinations'!A:D, 4, FALSE)</f>
        <v>Diabetes</v>
      </c>
    </row>
    <row r="1337" spans="1:11" ht="15.5" x14ac:dyDescent="0.35">
      <c r="A1337" s="1" t="s">
        <v>1035</v>
      </c>
      <c r="B1337" t="str">
        <f>VLOOKUP($A1337, 'Customer Names'!A:D, 3, FALSE)</f>
        <v>Baker</v>
      </c>
      <c r="C1337">
        <f>VLOOKUP($A1337,'Medical Examinations'!A:C, 3, FALSE)</f>
        <v>30.3</v>
      </c>
      <c r="D1337" t="str">
        <f>VLOOKUP($A1337, 'Medical Examinations'!A:D, 4, FALSE)</f>
        <v>Diabetes</v>
      </c>
      <c r="E1337" t="str">
        <f>VLOOKUP($A1337, 'Medical Examinations'!A:F, 6, FALSE)</f>
        <v>No</v>
      </c>
      <c r="F1337" t="str">
        <f>VLOOKUP($A1337, 'Medical Examinations'!A:G, 7, FALSE)</f>
        <v>No</v>
      </c>
      <c r="G1337" t="str">
        <f>VLOOKUP($A1337, 'Medical Examinations'!A:H, 8, FALSE)</f>
        <v>No</v>
      </c>
      <c r="H1337">
        <f>VLOOKUP($A1337, 'Medical Examinations'!A:J, 10, FALSE)</f>
        <v>2</v>
      </c>
      <c r="I1337" t="str">
        <f>VLOOKUP($A1337, 'Medical Examinations'!A:K, 11, FALSE)</f>
        <v>No</v>
      </c>
      <c r="J1337" t="str">
        <f>VLOOKUP($A1337, 'Medical Examinations'!A:B, 2, FALSE)</f>
        <v>Obesity</v>
      </c>
      <c r="K1337" t="str">
        <f>VLOOKUP($A1337, 'Medical Examinations'!A:D, 4, FALSE)</f>
        <v>Diabetes</v>
      </c>
    </row>
    <row r="1338" spans="1:11" ht="15.5" x14ac:dyDescent="0.35">
      <c r="A1338" s="1" t="s">
        <v>1034</v>
      </c>
      <c r="B1338" t="str">
        <f>VLOOKUP($A1338, 'Customer Names'!A:D, 3, FALSE)</f>
        <v>Sidebottom</v>
      </c>
      <c r="C1338">
        <f>VLOOKUP($A1338,'Medical Examinations'!A:C, 3, FALSE)</f>
        <v>32.015000000000001</v>
      </c>
      <c r="D1338" t="str">
        <f>VLOOKUP($A1338, 'Medical Examinations'!A:D, 4, FALSE)</f>
        <v>Diabetes</v>
      </c>
      <c r="E1338" t="str">
        <f>VLOOKUP($A1338, 'Medical Examinations'!A:F, 6, FALSE)</f>
        <v>No</v>
      </c>
      <c r="F1338" t="str">
        <f>VLOOKUP($A1338, 'Medical Examinations'!A:G, 7, FALSE)</f>
        <v>No</v>
      </c>
      <c r="G1338" t="str">
        <f>VLOOKUP($A1338, 'Medical Examinations'!A:H, 8, FALSE)</f>
        <v>No</v>
      </c>
      <c r="H1338" t="str">
        <f>VLOOKUP($A1338, 'Medical Examinations'!A:J, 10, FALSE)</f>
        <v>No major surgery</v>
      </c>
      <c r="I1338" t="str">
        <f>VLOOKUP($A1338, 'Medical Examinations'!A:K, 11, FALSE)</f>
        <v>No</v>
      </c>
      <c r="J1338" t="str">
        <f>VLOOKUP($A1338, 'Medical Examinations'!A:B, 2, FALSE)</f>
        <v>Obesity</v>
      </c>
      <c r="K1338" t="str">
        <f>VLOOKUP($A1338, 'Medical Examinations'!A:D, 4, FALSE)</f>
        <v>Diabetes</v>
      </c>
    </row>
    <row r="1339" spans="1:11" ht="15.5" x14ac:dyDescent="0.35">
      <c r="A1339" s="1" t="s">
        <v>1033</v>
      </c>
      <c r="B1339" t="str">
        <f>VLOOKUP($A1339, 'Customer Names'!A:D, 3, FALSE)</f>
        <v>Johnson</v>
      </c>
      <c r="C1339">
        <f>VLOOKUP($A1339,'Medical Examinations'!A:C, 3, FALSE)</f>
        <v>25.06</v>
      </c>
      <c r="D1339" t="str">
        <f>VLOOKUP($A1339, 'Medical Examinations'!A:D, 4, FALSE)</f>
        <v>Diabetes</v>
      </c>
      <c r="E1339" t="str">
        <f>VLOOKUP($A1339, 'Medical Examinations'!A:F, 6, FALSE)</f>
        <v>No</v>
      </c>
      <c r="F1339" t="str">
        <f>VLOOKUP($A1339, 'Medical Examinations'!A:G, 7, FALSE)</f>
        <v>No</v>
      </c>
      <c r="G1339" t="str">
        <f>VLOOKUP($A1339, 'Medical Examinations'!A:H, 8, FALSE)</f>
        <v>No</v>
      </c>
      <c r="H1339">
        <f>VLOOKUP($A1339, 'Medical Examinations'!A:J, 10, FALSE)</f>
        <v>2</v>
      </c>
      <c r="I1339" t="str">
        <f>VLOOKUP($A1339, 'Medical Examinations'!A:K, 11, FALSE)</f>
        <v>No</v>
      </c>
      <c r="J1339" t="str">
        <f>VLOOKUP($A1339, 'Medical Examinations'!A:B, 2, FALSE)</f>
        <v>Overweight</v>
      </c>
      <c r="K1339" t="str">
        <f>VLOOKUP($A1339, 'Medical Examinations'!A:D, 4, FALSE)</f>
        <v>Diabetes</v>
      </c>
    </row>
    <row r="1340" spans="1:11" ht="15.5" x14ac:dyDescent="0.35">
      <c r="A1340" s="1" t="s">
        <v>1032</v>
      </c>
      <c r="B1340" t="str">
        <f>VLOOKUP($A1340, 'Customer Names'!A:D, 3, FALSE)</f>
        <v>Morris</v>
      </c>
      <c r="C1340">
        <f>VLOOKUP($A1340,'Medical Examinations'!A:C, 3, FALSE)</f>
        <v>18.829999999999998</v>
      </c>
      <c r="D1340" t="str">
        <f>VLOOKUP($A1340, 'Medical Examinations'!A:D, 4, FALSE)</f>
        <v>Diabetes</v>
      </c>
      <c r="E1340" t="str">
        <f>VLOOKUP($A1340, 'Medical Examinations'!A:F, 6, FALSE)</f>
        <v>yes</v>
      </c>
      <c r="F1340" t="str">
        <f>VLOOKUP($A1340, 'Medical Examinations'!A:G, 7, FALSE)</f>
        <v>No</v>
      </c>
      <c r="G1340" t="str">
        <f>VLOOKUP($A1340, 'Medical Examinations'!A:H, 8, FALSE)</f>
        <v>No</v>
      </c>
      <c r="H1340" t="str">
        <f>VLOOKUP($A1340, 'Medical Examinations'!A:J, 10, FALSE)</f>
        <v>No major surgery</v>
      </c>
      <c r="I1340" t="str">
        <f>VLOOKUP($A1340, 'Medical Examinations'!A:K, 11, FALSE)</f>
        <v>No</v>
      </c>
      <c r="J1340" t="str">
        <f>VLOOKUP($A1340, 'Medical Examinations'!A:B, 2, FALSE)</f>
        <v>Normal Weight</v>
      </c>
      <c r="K1340" t="str">
        <f>VLOOKUP($A1340, 'Medical Examinations'!A:D, 4, FALSE)</f>
        <v>Diabetes</v>
      </c>
    </row>
    <row r="1341" spans="1:11" ht="15.5" x14ac:dyDescent="0.35">
      <c r="A1341" s="1" t="s">
        <v>1031</v>
      </c>
      <c r="B1341" t="str">
        <f>VLOOKUP($A1341, 'Customer Names'!A:D, 3, FALSE)</f>
        <v>Chaisson</v>
      </c>
      <c r="C1341">
        <f>VLOOKUP($A1341,'Medical Examinations'!A:C, 3, FALSE)</f>
        <v>47.52</v>
      </c>
      <c r="D1341" t="str">
        <f>VLOOKUP($A1341, 'Medical Examinations'!A:D, 4, FALSE)</f>
        <v>Diabetes</v>
      </c>
      <c r="E1341" t="str">
        <f>VLOOKUP($A1341, 'Medical Examinations'!A:F, 6, FALSE)</f>
        <v>yes</v>
      </c>
      <c r="F1341" t="str">
        <f>VLOOKUP($A1341, 'Medical Examinations'!A:G, 7, FALSE)</f>
        <v>No</v>
      </c>
      <c r="G1341" t="str">
        <f>VLOOKUP($A1341, 'Medical Examinations'!A:H, 8, FALSE)</f>
        <v>No</v>
      </c>
      <c r="H1341">
        <f>VLOOKUP($A1341, 'Medical Examinations'!A:J, 10, FALSE)</f>
        <v>1</v>
      </c>
      <c r="I1341" t="str">
        <f>VLOOKUP($A1341, 'Medical Examinations'!A:K, 11, FALSE)</f>
        <v>No</v>
      </c>
      <c r="J1341" t="str">
        <f>VLOOKUP($A1341, 'Medical Examinations'!A:B, 2, FALSE)</f>
        <v>Obesity</v>
      </c>
      <c r="K1341" t="str">
        <f>VLOOKUP($A1341, 'Medical Examinations'!A:D, 4, FALSE)</f>
        <v>Diabetes</v>
      </c>
    </row>
    <row r="1342" spans="1:11" ht="15.5" x14ac:dyDescent="0.35">
      <c r="A1342" s="1" t="s">
        <v>1030</v>
      </c>
      <c r="B1342" t="str">
        <f>VLOOKUP($A1342, 'Customer Names'!A:D, 3, FALSE)</f>
        <v>Pigott</v>
      </c>
      <c r="C1342">
        <f>VLOOKUP($A1342,'Medical Examinations'!A:C, 3, FALSE)</f>
        <v>37.82</v>
      </c>
      <c r="D1342" t="str">
        <f>VLOOKUP($A1342, 'Medical Examinations'!A:D, 4, FALSE)</f>
        <v>Prediabetes</v>
      </c>
      <c r="E1342" t="str">
        <f>VLOOKUP($A1342, 'Medical Examinations'!A:F, 6, FALSE)</f>
        <v>No</v>
      </c>
      <c r="F1342" t="str">
        <f>VLOOKUP($A1342, 'Medical Examinations'!A:G, 7, FALSE)</f>
        <v>No</v>
      </c>
      <c r="G1342" t="str">
        <f>VLOOKUP($A1342, 'Medical Examinations'!A:H, 8, FALSE)</f>
        <v>No</v>
      </c>
      <c r="H1342" t="str">
        <f>VLOOKUP($A1342, 'Medical Examinations'!A:J, 10, FALSE)</f>
        <v>No major surgery</v>
      </c>
      <c r="I1342" t="str">
        <f>VLOOKUP($A1342, 'Medical Examinations'!A:K, 11, FALSE)</f>
        <v>No</v>
      </c>
      <c r="J1342" t="str">
        <f>VLOOKUP($A1342, 'Medical Examinations'!A:B, 2, FALSE)</f>
        <v>Obesity</v>
      </c>
      <c r="K1342" t="str">
        <f>VLOOKUP($A1342, 'Medical Examinations'!A:D, 4, FALSE)</f>
        <v>Prediabetes</v>
      </c>
    </row>
    <row r="1343" spans="1:11" ht="15.5" x14ac:dyDescent="0.35">
      <c r="A1343" s="1" t="s">
        <v>1029</v>
      </c>
      <c r="B1343" t="str">
        <f>VLOOKUP($A1343, 'Customer Names'!A:D, 3, FALSE)</f>
        <v>Cochrane</v>
      </c>
      <c r="C1343">
        <f>VLOOKUP($A1343,'Medical Examinations'!A:C, 3, FALSE)</f>
        <v>44.16</v>
      </c>
      <c r="D1343" t="str">
        <f>VLOOKUP($A1343, 'Medical Examinations'!A:D, 4, FALSE)</f>
        <v>Normal</v>
      </c>
      <c r="E1343" t="str">
        <f>VLOOKUP($A1343, 'Medical Examinations'!A:F, 6, FALSE)</f>
        <v>yes</v>
      </c>
      <c r="F1343" t="str">
        <f>VLOOKUP($A1343, 'Medical Examinations'!A:G, 7, FALSE)</f>
        <v>No</v>
      </c>
      <c r="G1343" t="str">
        <f>VLOOKUP($A1343, 'Medical Examinations'!A:H, 8, FALSE)</f>
        <v>No</v>
      </c>
      <c r="H1343" t="str">
        <f>VLOOKUP($A1343, 'Medical Examinations'!A:J, 10, FALSE)</f>
        <v>No major surgery</v>
      </c>
      <c r="I1343" t="str">
        <f>VLOOKUP($A1343, 'Medical Examinations'!A:K, 11, FALSE)</f>
        <v>No</v>
      </c>
      <c r="J1343" t="str">
        <f>VLOOKUP($A1343, 'Medical Examinations'!A:B, 2, FALSE)</f>
        <v>Obesity</v>
      </c>
      <c r="K1343" t="str">
        <f>VLOOKUP($A1343, 'Medical Examinations'!A:D, 4, FALSE)</f>
        <v>Normal</v>
      </c>
    </row>
    <row r="1344" spans="1:11" ht="15.5" x14ac:dyDescent="0.35">
      <c r="A1344" s="1" t="s">
        <v>1028</v>
      </c>
      <c r="B1344" t="str">
        <f>VLOOKUP($A1344, 'Customer Names'!A:D, 3, FALSE)</f>
        <v>Armitage</v>
      </c>
      <c r="C1344">
        <f>VLOOKUP($A1344,'Medical Examinations'!A:C, 3, FALSE)</f>
        <v>37.049999999999997</v>
      </c>
      <c r="D1344" t="str">
        <f>VLOOKUP($A1344, 'Medical Examinations'!A:D, 4, FALSE)</f>
        <v>Normal</v>
      </c>
      <c r="E1344" t="str">
        <f>VLOOKUP($A1344, 'Medical Examinations'!A:F, 6, FALSE)</f>
        <v>No</v>
      </c>
      <c r="F1344" t="str">
        <f>VLOOKUP($A1344, 'Medical Examinations'!A:G, 7, FALSE)</f>
        <v>No</v>
      </c>
      <c r="G1344" t="str">
        <f>VLOOKUP($A1344, 'Medical Examinations'!A:H, 8, FALSE)</f>
        <v>Yes</v>
      </c>
      <c r="H1344">
        <f>VLOOKUP($A1344, 'Medical Examinations'!A:J, 10, FALSE)</f>
        <v>1</v>
      </c>
      <c r="I1344" t="str">
        <f>VLOOKUP($A1344, 'Medical Examinations'!A:K, 11, FALSE)</f>
        <v>No</v>
      </c>
      <c r="J1344" t="str">
        <f>VLOOKUP($A1344, 'Medical Examinations'!A:B, 2, FALSE)</f>
        <v>Obesity</v>
      </c>
      <c r="K1344" t="str">
        <f>VLOOKUP($A1344, 'Medical Examinations'!A:D, 4, FALSE)</f>
        <v>Normal</v>
      </c>
    </row>
    <row r="1345" spans="1:11" ht="15.5" x14ac:dyDescent="0.35">
      <c r="A1345" s="1" t="s">
        <v>1027</v>
      </c>
      <c r="B1345" t="str">
        <f>VLOOKUP($A1345, 'Customer Names'!A:D, 3, FALSE)</f>
        <v>Shen</v>
      </c>
      <c r="C1345">
        <f>VLOOKUP($A1345,'Medical Examinations'!A:C, 3, FALSE)</f>
        <v>18.66</v>
      </c>
      <c r="D1345" t="str">
        <f>VLOOKUP($A1345, 'Medical Examinations'!A:D, 4, FALSE)</f>
        <v>Diabetes</v>
      </c>
      <c r="E1345" t="str">
        <f>VLOOKUP($A1345, 'Medical Examinations'!A:F, 6, FALSE)</f>
        <v>No</v>
      </c>
      <c r="F1345" t="str">
        <f>VLOOKUP($A1345, 'Medical Examinations'!A:G, 7, FALSE)</f>
        <v>No</v>
      </c>
      <c r="G1345" t="str">
        <f>VLOOKUP($A1345, 'Medical Examinations'!A:H, 8, FALSE)</f>
        <v>No</v>
      </c>
      <c r="H1345" t="str">
        <f>VLOOKUP($A1345, 'Medical Examinations'!A:J, 10, FALSE)</f>
        <v>No major surgery</v>
      </c>
      <c r="I1345" t="str">
        <f>VLOOKUP($A1345, 'Medical Examinations'!A:K, 11, FALSE)</f>
        <v>No</v>
      </c>
      <c r="J1345" t="str">
        <f>VLOOKUP($A1345, 'Medical Examinations'!A:B, 2, FALSE)</f>
        <v>Normal Weight</v>
      </c>
      <c r="K1345" t="str">
        <f>VLOOKUP($A1345, 'Medical Examinations'!A:D, 4, FALSE)</f>
        <v>Diabetes</v>
      </c>
    </row>
    <row r="1346" spans="1:11" ht="15.5" x14ac:dyDescent="0.35">
      <c r="A1346" s="1" t="s">
        <v>1026</v>
      </c>
      <c r="B1346" t="str">
        <f>VLOOKUP($A1346, 'Customer Names'!A:D, 3, FALSE)</f>
        <v>O'Kelly</v>
      </c>
      <c r="C1346">
        <f>VLOOKUP($A1346,'Medical Examinations'!A:C, 3, FALSE)</f>
        <v>36.200000000000003</v>
      </c>
      <c r="D1346" t="str">
        <f>VLOOKUP($A1346, 'Medical Examinations'!A:D, 4, FALSE)</f>
        <v>Diabetes</v>
      </c>
      <c r="E1346" t="str">
        <f>VLOOKUP($A1346, 'Medical Examinations'!A:F, 6, FALSE)</f>
        <v>yes</v>
      </c>
      <c r="F1346" t="str">
        <f>VLOOKUP($A1346, 'Medical Examinations'!A:G, 7, FALSE)</f>
        <v>No</v>
      </c>
      <c r="G1346" t="str">
        <f>VLOOKUP($A1346, 'Medical Examinations'!A:H, 8, FALSE)</f>
        <v>No</v>
      </c>
      <c r="H1346">
        <f>VLOOKUP($A1346, 'Medical Examinations'!A:J, 10, FALSE)</f>
        <v>1</v>
      </c>
      <c r="I1346" t="str">
        <f>VLOOKUP($A1346, 'Medical Examinations'!A:K, 11, FALSE)</f>
        <v>No</v>
      </c>
      <c r="J1346" t="str">
        <f>VLOOKUP($A1346, 'Medical Examinations'!A:B, 2, FALSE)</f>
        <v>Obesity</v>
      </c>
      <c r="K1346" t="str">
        <f>VLOOKUP($A1346, 'Medical Examinations'!A:D, 4, FALSE)</f>
        <v>Diabetes</v>
      </c>
    </row>
    <row r="1347" spans="1:11" ht="15.5" x14ac:dyDescent="0.35">
      <c r="A1347" s="1" t="s">
        <v>1025</v>
      </c>
      <c r="B1347" t="str">
        <f>VLOOKUP($A1347, 'Customer Names'!A:D, 3, FALSE)</f>
        <v>Huff</v>
      </c>
      <c r="C1347">
        <f>VLOOKUP($A1347,'Medical Examinations'!A:C, 3, FALSE)</f>
        <v>18.87</v>
      </c>
      <c r="D1347" t="str">
        <f>VLOOKUP($A1347, 'Medical Examinations'!A:D, 4, FALSE)</f>
        <v>Diabetes</v>
      </c>
      <c r="E1347" t="str">
        <f>VLOOKUP($A1347, 'Medical Examinations'!A:F, 6, FALSE)</f>
        <v>No</v>
      </c>
      <c r="F1347" t="str">
        <f>VLOOKUP($A1347, 'Medical Examinations'!A:G, 7, FALSE)</f>
        <v>No</v>
      </c>
      <c r="G1347" t="str">
        <f>VLOOKUP($A1347, 'Medical Examinations'!A:H, 8, FALSE)</f>
        <v>No</v>
      </c>
      <c r="H1347" t="str">
        <f>VLOOKUP($A1347, 'Medical Examinations'!A:J, 10, FALSE)</f>
        <v>No major surgery</v>
      </c>
      <c r="I1347" t="str">
        <f>VLOOKUP($A1347, 'Medical Examinations'!A:K, 11, FALSE)</f>
        <v>No</v>
      </c>
      <c r="J1347" t="str">
        <f>VLOOKUP($A1347, 'Medical Examinations'!A:B, 2, FALSE)</f>
        <v>Normal Weight</v>
      </c>
      <c r="K1347" t="str">
        <f>VLOOKUP($A1347, 'Medical Examinations'!A:D, 4, FALSE)</f>
        <v>Diabetes</v>
      </c>
    </row>
    <row r="1348" spans="1:11" ht="15.5" x14ac:dyDescent="0.35">
      <c r="A1348" s="1" t="s">
        <v>1024</v>
      </c>
      <c r="B1348" t="str">
        <f>VLOOKUP($A1348, 'Customer Names'!A:D, 3, FALSE)</f>
        <v>Dye</v>
      </c>
      <c r="C1348">
        <f>VLOOKUP($A1348,'Medical Examinations'!A:C, 3, FALSE)</f>
        <v>32.299999999999997</v>
      </c>
      <c r="D1348" t="str">
        <f>VLOOKUP($A1348, 'Medical Examinations'!A:D, 4, FALSE)</f>
        <v>Diabetes</v>
      </c>
      <c r="E1348" t="str">
        <f>VLOOKUP($A1348, 'Medical Examinations'!A:F, 6, FALSE)</f>
        <v>yes</v>
      </c>
      <c r="F1348" t="str">
        <f>VLOOKUP($A1348, 'Medical Examinations'!A:G, 7, FALSE)</f>
        <v>No</v>
      </c>
      <c r="G1348" t="str">
        <f>VLOOKUP($A1348, 'Medical Examinations'!A:H, 8, FALSE)</f>
        <v>No</v>
      </c>
      <c r="H1348">
        <f>VLOOKUP($A1348, 'Medical Examinations'!A:J, 10, FALSE)</f>
        <v>1</v>
      </c>
      <c r="I1348" t="str">
        <f>VLOOKUP($A1348, 'Medical Examinations'!A:K, 11, FALSE)</f>
        <v>No</v>
      </c>
      <c r="J1348" t="str">
        <f>VLOOKUP($A1348, 'Medical Examinations'!A:B, 2, FALSE)</f>
        <v>Obesity</v>
      </c>
      <c r="K1348" t="str">
        <f>VLOOKUP($A1348, 'Medical Examinations'!A:D, 4, FALSE)</f>
        <v>Diabetes</v>
      </c>
    </row>
    <row r="1349" spans="1:11" ht="15.5" x14ac:dyDescent="0.35">
      <c r="A1349" s="1" t="s">
        <v>1023</v>
      </c>
      <c r="B1349" t="str">
        <f>VLOOKUP($A1349, 'Customer Names'!A:D, 3, FALSE)</f>
        <v>Willard</v>
      </c>
      <c r="C1349">
        <f>VLOOKUP($A1349,'Medical Examinations'!A:C, 3, FALSE)</f>
        <v>22.64</v>
      </c>
      <c r="D1349" t="str">
        <f>VLOOKUP($A1349, 'Medical Examinations'!A:D, 4, FALSE)</f>
        <v>Diabetes</v>
      </c>
      <c r="E1349" t="str">
        <f>VLOOKUP($A1349, 'Medical Examinations'!A:F, 6, FALSE)</f>
        <v>yes</v>
      </c>
      <c r="F1349" t="str">
        <f>VLOOKUP($A1349, 'Medical Examinations'!A:G, 7, FALSE)</f>
        <v>No</v>
      </c>
      <c r="G1349" t="str">
        <f>VLOOKUP($A1349, 'Medical Examinations'!A:H, 8, FALSE)</f>
        <v>No</v>
      </c>
      <c r="H1349">
        <f>VLOOKUP($A1349, 'Medical Examinations'!A:J, 10, FALSE)</f>
        <v>2</v>
      </c>
      <c r="I1349" t="str">
        <f>VLOOKUP($A1349, 'Medical Examinations'!A:K, 11, FALSE)</f>
        <v>No</v>
      </c>
      <c r="J1349" t="str">
        <f>VLOOKUP($A1349, 'Medical Examinations'!A:B, 2, FALSE)</f>
        <v>Normal Weight</v>
      </c>
      <c r="K1349" t="str">
        <f>VLOOKUP($A1349, 'Medical Examinations'!A:D, 4, FALSE)</f>
        <v>Diabetes</v>
      </c>
    </row>
    <row r="1350" spans="1:11" ht="15.5" x14ac:dyDescent="0.35">
      <c r="A1350" s="1" t="s">
        <v>1022</v>
      </c>
      <c r="B1350" t="str">
        <f>VLOOKUP($A1350, 'Customer Names'!A:D, 3, FALSE)</f>
        <v>D'Addario</v>
      </c>
      <c r="C1350">
        <f>VLOOKUP($A1350,'Medical Examinations'!A:C, 3, FALSE)</f>
        <v>28.69</v>
      </c>
      <c r="D1350" t="str">
        <f>VLOOKUP($A1350, 'Medical Examinations'!A:D, 4, FALSE)</f>
        <v>Normal</v>
      </c>
      <c r="E1350" t="str">
        <f>VLOOKUP($A1350, 'Medical Examinations'!A:F, 6, FALSE)</f>
        <v>No</v>
      </c>
      <c r="F1350" t="str">
        <f>VLOOKUP($A1350, 'Medical Examinations'!A:G, 7, FALSE)</f>
        <v>No</v>
      </c>
      <c r="G1350" t="str">
        <f>VLOOKUP($A1350, 'Medical Examinations'!A:H, 8, FALSE)</f>
        <v>No</v>
      </c>
      <c r="H1350" t="str">
        <f>VLOOKUP($A1350, 'Medical Examinations'!A:J, 10, FALSE)</f>
        <v>No major surgery</v>
      </c>
      <c r="I1350" t="str">
        <f>VLOOKUP($A1350, 'Medical Examinations'!A:K, 11, FALSE)</f>
        <v>No</v>
      </c>
      <c r="J1350" t="str">
        <f>VLOOKUP($A1350, 'Medical Examinations'!A:B, 2, FALSE)</f>
        <v>Overweight</v>
      </c>
      <c r="K1350" t="str">
        <f>VLOOKUP($A1350, 'Medical Examinations'!A:D, 4, FALSE)</f>
        <v>Normal</v>
      </c>
    </row>
    <row r="1351" spans="1:11" ht="15.5" x14ac:dyDescent="0.35">
      <c r="A1351" s="1" t="s">
        <v>1021</v>
      </c>
      <c r="B1351" t="str">
        <f>VLOOKUP($A1351, 'Customer Names'!A:D, 3, FALSE)</f>
        <v>Buchanan</v>
      </c>
      <c r="C1351">
        <f>VLOOKUP($A1351,'Medical Examinations'!A:C, 3, FALSE)</f>
        <v>28.16</v>
      </c>
      <c r="D1351" t="str">
        <f>VLOOKUP($A1351, 'Medical Examinations'!A:D, 4, FALSE)</f>
        <v>Normal</v>
      </c>
      <c r="E1351" t="str">
        <f>VLOOKUP($A1351, 'Medical Examinations'!A:F, 6, FALSE)</f>
        <v>yes</v>
      </c>
      <c r="F1351" t="str">
        <f>VLOOKUP($A1351, 'Medical Examinations'!A:G, 7, FALSE)</f>
        <v>No</v>
      </c>
      <c r="G1351" t="str">
        <f>VLOOKUP($A1351, 'Medical Examinations'!A:H, 8, FALSE)</f>
        <v>No</v>
      </c>
      <c r="H1351" t="str">
        <f>VLOOKUP($A1351, 'Medical Examinations'!A:J, 10, FALSE)</f>
        <v>No major surgery</v>
      </c>
      <c r="I1351" t="str">
        <f>VLOOKUP($A1351, 'Medical Examinations'!A:K, 11, FALSE)</f>
        <v>No</v>
      </c>
      <c r="J1351" t="str">
        <f>VLOOKUP($A1351, 'Medical Examinations'!A:B, 2, FALSE)</f>
        <v>Overweight</v>
      </c>
      <c r="K1351" t="str">
        <f>VLOOKUP($A1351, 'Medical Examinations'!A:D, 4, FALSE)</f>
        <v>Normal</v>
      </c>
    </row>
    <row r="1352" spans="1:11" ht="15.5" x14ac:dyDescent="0.35">
      <c r="A1352" s="1" t="s">
        <v>1020</v>
      </c>
      <c r="B1352" t="str">
        <f>VLOOKUP($A1352, 'Customer Names'!A:D, 3, FALSE)</f>
        <v>Clark</v>
      </c>
      <c r="C1352">
        <f>VLOOKUP($A1352,'Medical Examinations'!A:C, 3, FALSE)</f>
        <v>45.54</v>
      </c>
      <c r="D1352" t="str">
        <f>VLOOKUP($A1352, 'Medical Examinations'!A:D, 4, FALSE)</f>
        <v>Prediabetes</v>
      </c>
      <c r="E1352" t="str">
        <f>VLOOKUP($A1352, 'Medical Examinations'!A:F, 6, FALSE)</f>
        <v>No</v>
      </c>
      <c r="F1352" t="str">
        <f>VLOOKUP($A1352, 'Medical Examinations'!A:G, 7, FALSE)</f>
        <v>No</v>
      </c>
      <c r="G1352" t="str">
        <f>VLOOKUP($A1352, 'Medical Examinations'!A:H, 8, FALSE)</f>
        <v>Yes</v>
      </c>
      <c r="H1352">
        <f>VLOOKUP($A1352, 'Medical Examinations'!A:J, 10, FALSE)</f>
        <v>1</v>
      </c>
      <c r="I1352" t="str">
        <f>VLOOKUP($A1352, 'Medical Examinations'!A:K, 11, FALSE)</f>
        <v>No</v>
      </c>
      <c r="J1352" t="str">
        <f>VLOOKUP($A1352, 'Medical Examinations'!A:B, 2, FALSE)</f>
        <v>Obesity</v>
      </c>
      <c r="K1352" t="str">
        <f>VLOOKUP($A1352, 'Medical Examinations'!A:D, 4, FALSE)</f>
        <v>Prediabetes</v>
      </c>
    </row>
    <row r="1353" spans="1:11" ht="15.5" x14ac:dyDescent="0.35">
      <c r="A1353" s="1" t="s">
        <v>1019</v>
      </c>
      <c r="B1353" t="str">
        <f>VLOOKUP($A1353, 'Customer Names'!A:D, 3, FALSE)</f>
        <v>Waterson</v>
      </c>
      <c r="C1353">
        <f>VLOOKUP($A1353,'Medical Examinations'!A:C, 3, FALSE)</f>
        <v>28.7</v>
      </c>
      <c r="D1353" t="str">
        <f>VLOOKUP($A1353, 'Medical Examinations'!A:D, 4, FALSE)</f>
        <v>Normal</v>
      </c>
      <c r="E1353" t="str">
        <f>VLOOKUP($A1353, 'Medical Examinations'!A:F, 6, FALSE)</f>
        <v>No</v>
      </c>
      <c r="F1353" t="str">
        <f>VLOOKUP($A1353, 'Medical Examinations'!A:G, 7, FALSE)</f>
        <v>No</v>
      </c>
      <c r="G1353" t="str">
        <f>VLOOKUP($A1353, 'Medical Examinations'!A:H, 8, FALSE)</f>
        <v>No</v>
      </c>
      <c r="H1353" t="str">
        <f>VLOOKUP($A1353, 'Medical Examinations'!A:J, 10, FALSE)</f>
        <v>No major surgery</v>
      </c>
      <c r="I1353" t="str">
        <f>VLOOKUP($A1353, 'Medical Examinations'!A:K, 11, FALSE)</f>
        <v>No</v>
      </c>
      <c r="J1353" t="str">
        <f>VLOOKUP($A1353, 'Medical Examinations'!A:B, 2, FALSE)</f>
        <v>Overweight</v>
      </c>
      <c r="K1353" t="str">
        <f>VLOOKUP($A1353, 'Medical Examinations'!A:D, 4, FALSE)</f>
        <v>Normal</v>
      </c>
    </row>
    <row r="1354" spans="1:11" ht="15.5" x14ac:dyDescent="0.35">
      <c r="A1354" s="1" t="s">
        <v>1018</v>
      </c>
      <c r="B1354" t="str">
        <f>VLOOKUP($A1354, 'Customer Names'!A:D, 3, FALSE)</f>
        <v>Piras</v>
      </c>
      <c r="C1354">
        <f>VLOOKUP($A1354,'Medical Examinations'!A:C, 3, FALSE)</f>
        <v>27.74</v>
      </c>
      <c r="D1354" t="str">
        <f>VLOOKUP($A1354, 'Medical Examinations'!A:D, 4, FALSE)</f>
        <v>Prediabetes</v>
      </c>
      <c r="E1354" t="str">
        <f>VLOOKUP($A1354, 'Medical Examinations'!A:F, 6, FALSE)</f>
        <v>yes</v>
      </c>
      <c r="F1354" t="str">
        <f>VLOOKUP($A1354, 'Medical Examinations'!A:G, 7, FALSE)</f>
        <v>No</v>
      </c>
      <c r="G1354" t="str">
        <f>VLOOKUP($A1354, 'Medical Examinations'!A:H, 8, FALSE)</f>
        <v>No</v>
      </c>
      <c r="H1354" t="str">
        <f>VLOOKUP($A1354, 'Medical Examinations'!A:J, 10, FALSE)</f>
        <v>No major surgery</v>
      </c>
      <c r="I1354" t="str">
        <f>VLOOKUP($A1354, 'Medical Examinations'!A:K, 11, FALSE)</f>
        <v>No</v>
      </c>
      <c r="J1354" t="str">
        <f>VLOOKUP($A1354, 'Medical Examinations'!A:B, 2, FALSE)</f>
        <v>Overweight</v>
      </c>
      <c r="K1354" t="str">
        <f>VLOOKUP($A1354, 'Medical Examinations'!A:D, 4, FALSE)</f>
        <v>Prediabetes</v>
      </c>
    </row>
    <row r="1355" spans="1:11" ht="15.5" x14ac:dyDescent="0.35">
      <c r="A1355" s="1" t="s">
        <v>1017</v>
      </c>
      <c r="B1355" t="str">
        <f>VLOOKUP($A1355, 'Customer Names'!A:D, 3, FALSE)</f>
        <v>Olson</v>
      </c>
      <c r="C1355">
        <f>VLOOKUP($A1355,'Medical Examinations'!A:C, 3, FALSE)</f>
        <v>36.954999999999998</v>
      </c>
      <c r="D1355" t="str">
        <f>VLOOKUP($A1355, 'Medical Examinations'!A:D, 4, FALSE)</f>
        <v>Diabetes</v>
      </c>
      <c r="E1355" t="str">
        <f>VLOOKUP($A1355, 'Medical Examinations'!A:F, 6, FALSE)</f>
        <v>No</v>
      </c>
      <c r="F1355" t="str">
        <f>VLOOKUP($A1355, 'Medical Examinations'!A:G, 7, FALSE)</f>
        <v>No</v>
      </c>
      <c r="G1355" t="str">
        <f>VLOOKUP($A1355, 'Medical Examinations'!A:H, 8, FALSE)</f>
        <v>No</v>
      </c>
      <c r="H1355" t="str">
        <f>VLOOKUP($A1355, 'Medical Examinations'!A:J, 10, FALSE)</f>
        <v>No major surgery</v>
      </c>
      <c r="I1355" t="str">
        <f>VLOOKUP($A1355, 'Medical Examinations'!A:K, 11, FALSE)</f>
        <v>No</v>
      </c>
      <c r="J1355" t="str">
        <f>VLOOKUP($A1355, 'Medical Examinations'!A:B, 2, FALSE)</f>
        <v>Obesity</v>
      </c>
      <c r="K1355" t="str">
        <f>VLOOKUP($A1355, 'Medical Examinations'!A:D, 4, FALSE)</f>
        <v>Diabetes</v>
      </c>
    </row>
    <row r="1356" spans="1:11" ht="15.5" x14ac:dyDescent="0.35">
      <c r="A1356" s="1" t="s">
        <v>1016</v>
      </c>
      <c r="B1356" t="str">
        <f>VLOOKUP($A1356, 'Customer Names'!A:D, 3, FALSE)</f>
        <v>Manfredi</v>
      </c>
      <c r="C1356">
        <f>VLOOKUP($A1356,'Medical Examinations'!A:C, 3, FALSE)</f>
        <v>30.69</v>
      </c>
      <c r="D1356" t="str">
        <f>VLOOKUP($A1356, 'Medical Examinations'!A:D, 4, FALSE)</f>
        <v>Prediabetes</v>
      </c>
      <c r="E1356" t="str">
        <f>VLOOKUP($A1356, 'Medical Examinations'!A:F, 6, FALSE)</f>
        <v>No</v>
      </c>
      <c r="F1356" t="str">
        <f>VLOOKUP($A1356, 'Medical Examinations'!A:G, 7, FALSE)</f>
        <v>No</v>
      </c>
      <c r="G1356" t="str">
        <f>VLOOKUP($A1356, 'Medical Examinations'!A:H, 8, FALSE)</f>
        <v>No</v>
      </c>
      <c r="H1356" t="str">
        <f>VLOOKUP($A1356, 'Medical Examinations'!A:J, 10, FALSE)</f>
        <v>No major surgery</v>
      </c>
      <c r="I1356" t="str">
        <f>VLOOKUP($A1356, 'Medical Examinations'!A:K, 11, FALSE)</f>
        <v>No</v>
      </c>
      <c r="J1356" t="str">
        <f>VLOOKUP($A1356, 'Medical Examinations'!A:B, 2, FALSE)</f>
        <v>Obesity</v>
      </c>
      <c r="K1356" t="str">
        <f>VLOOKUP($A1356, 'Medical Examinations'!A:D, 4, FALSE)</f>
        <v>Prediabetes</v>
      </c>
    </row>
    <row r="1357" spans="1:11" ht="15.5" x14ac:dyDescent="0.35">
      <c r="A1357" s="1" t="s">
        <v>1015</v>
      </c>
      <c r="B1357" t="str">
        <f>VLOOKUP($A1357, 'Customer Names'!A:D, 3, FALSE)</f>
        <v>Landberg</v>
      </c>
      <c r="C1357">
        <f>VLOOKUP($A1357,'Medical Examinations'!A:C, 3, FALSE)</f>
        <v>24.984999999999999</v>
      </c>
      <c r="D1357" t="str">
        <f>VLOOKUP($A1357, 'Medical Examinations'!A:D, 4, FALSE)</f>
        <v>Normal</v>
      </c>
      <c r="E1357" t="str">
        <f>VLOOKUP($A1357, 'Medical Examinations'!A:F, 6, FALSE)</f>
        <v>No</v>
      </c>
      <c r="F1357" t="str">
        <f>VLOOKUP($A1357, 'Medical Examinations'!A:G, 7, FALSE)</f>
        <v>No</v>
      </c>
      <c r="G1357" t="str">
        <f>VLOOKUP($A1357, 'Medical Examinations'!A:H, 8, FALSE)</f>
        <v>No</v>
      </c>
      <c r="H1357" t="str">
        <f>VLOOKUP($A1357, 'Medical Examinations'!A:J, 10, FALSE)</f>
        <v>No major surgery</v>
      </c>
      <c r="I1357" t="str">
        <f>VLOOKUP($A1357, 'Medical Examinations'!A:K, 11, FALSE)</f>
        <v>No</v>
      </c>
      <c r="J1357" t="str">
        <f>VLOOKUP($A1357, 'Medical Examinations'!A:B, 2, FALSE)</f>
        <v>Overweight</v>
      </c>
      <c r="K1357" t="str">
        <f>VLOOKUP($A1357, 'Medical Examinations'!A:D, 4, FALSE)</f>
        <v>Normal</v>
      </c>
    </row>
    <row r="1358" spans="1:11" ht="15.5" x14ac:dyDescent="0.35">
      <c r="A1358" s="1" t="s">
        <v>1014</v>
      </c>
      <c r="B1358" t="str">
        <f>VLOOKUP($A1358, 'Customer Names'!A:D, 3, FALSE)</f>
        <v>Flynn</v>
      </c>
      <c r="C1358">
        <f>VLOOKUP($A1358,'Medical Examinations'!A:C, 3, FALSE)</f>
        <v>39.42</v>
      </c>
      <c r="D1358" t="str">
        <f>VLOOKUP($A1358, 'Medical Examinations'!A:D, 4, FALSE)</f>
        <v>Normal</v>
      </c>
      <c r="E1358" t="str">
        <f>VLOOKUP($A1358, 'Medical Examinations'!A:F, 6, FALSE)</f>
        <v>yes</v>
      </c>
      <c r="F1358" t="str">
        <f>VLOOKUP($A1358, 'Medical Examinations'!A:G, 7, FALSE)</f>
        <v>No</v>
      </c>
      <c r="G1358" t="str">
        <f>VLOOKUP($A1358, 'Medical Examinations'!A:H, 8, FALSE)</f>
        <v>No</v>
      </c>
      <c r="H1358">
        <f>VLOOKUP($A1358, 'Medical Examinations'!A:J, 10, FALSE)</f>
        <v>1</v>
      </c>
      <c r="I1358" t="str">
        <f>VLOOKUP($A1358, 'Medical Examinations'!A:K, 11, FALSE)</f>
        <v>No</v>
      </c>
      <c r="J1358" t="str">
        <f>VLOOKUP($A1358, 'Medical Examinations'!A:B, 2, FALSE)</f>
        <v>Obesity</v>
      </c>
      <c r="K1358" t="str">
        <f>VLOOKUP($A1358, 'Medical Examinations'!A:D, 4, FALSE)</f>
        <v>Normal</v>
      </c>
    </row>
    <row r="1359" spans="1:11" ht="15.5" x14ac:dyDescent="0.35">
      <c r="A1359" s="1" t="s">
        <v>1013</v>
      </c>
      <c r="B1359" t="str">
        <f>VLOOKUP($A1359, 'Customer Names'!A:D, 3, FALSE)</f>
        <v>Bishop</v>
      </c>
      <c r="C1359">
        <f>VLOOKUP($A1359,'Medical Examinations'!A:C, 3, FALSE)</f>
        <v>16.8</v>
      </c>
      <c r="D1359" t="str">
        <f>VLOOKUP($A1359, 'Medical Examinations'!A:D, 4, FALSE)</f>
        <v>Diabetes</v>
      </c>
      <c r="E1359" t="str">
        <f>VLOOKUP($A1359, 'Medical Examinations'!A:F, 6, FALSE)</f>
        <v>No</v>
      </c>
      <c r="F1359" t="str">
        <f>VLOOKUP($A1359, 'Medical Examinations'!A:G, 7, FALSE)</f>
        <v>No</v>
      </c>
      <c r="G1359" t="str">
        <f>VLOOKUP($A1359, 'Medical Examinations'!A:H, 8, FALSE)</f>
        <v>No</v>
      </c>
      <c r="H1359" t="str">
        <f>VLOOKUP($A1359, 'Medical Examinations'!A:J, 10, FALSE)</f>
        <v>No major surgery</v>
      </c>
      <c r="I1359" t="str">
        <f>VLOOKUP($A1359, 'Medical Examinations'!A:K, 11, FALSE)</f>
        <v>No</v>
      </c>
      <c r="J1359" t="str">
        <f>VLOOKUP($A1359, 'Medical Examinations'!A:B, 2, FALSE)</f>
        <v>Underweight</v>
      </c>
      <c r="K1359" t="str">
        <f>VLOOKUP($A1359, 'Medical Examinations'!A:D, 4, FALSE)</f>
        <v>Diabetes</v>
      </c>
    </row>
    <row r="1360" spans="1:11" ht="15.5" x14ac:dyDescent="0.35">
      <c r="A1360" s="1" t="s">
        <v>1012</v>
      </c>
      <c r="B1360" t="str">
        <f>VLOOKUP($A1360, 'Customer Names'!A:D, 3, FALSE)</f>
        <v>Devitt</v>
      </c>
      <c r="C1360">
        <f>VLOOKUP($A1360,'Medical Examinations'!A:C, 3, FALSE)</f>
        <v>23.274999999999999</v>
      </c>
      <c r="D1360" t="str">
        <f>VLOOKUP($A1360, 'Medical Examinations'!A:D, 4, FALSE)</f>
        <v>Prediabetes</v>
      </c>
      <c r="E1360" t="str">
        <f>VLOOKUP($A1360, 'Medical Examinations'!A:F, 6, FALSE)</f>
        <v>yes</v>
      </c>
      <c r="F1360" t="str">
        <f>VLOOKUP($A1360, 'Medical Examinations'!A:G, 7, FALSE)</f>
        <v>No</v>
      </c>
      <c r="G1360" t="str">
        <f>VLOOKUP($A1360, 'Medical Examinations'!A:H, 8, FALSE)</f>
        <v>Yes</v>
      </c>
      <c r="H1360">
        <f>VLOOKUP($A1360, 'Medical Examinations'!A:J, 10, FALSE)</f>
        <v>1</v>
      </c>
      <c r="I1360" t="str">
        <f>VLOOKUP($A1360, 'Medical Examinations'!A:K, 11, FALSE)</f>
        <v>No</v>
      </c>
      <c r="J1360" t="str">
        <f>VLOOKUP($A1360, 'Medical Examinations'!A:B, 2, FALSE)</f>
        <v>Normal Weight</v>
      </c>
      <c r="K1360" t="str">
        <f>VLOOKUP($A1360, 'Medical Examinations'!A:D, 4, FALSE)</f>
        <v>Prediabetes</v>
      </c>
    </row>
    <row r="1361" spans="1:11" ht="15.5" x14ac:dyDescent="0.35">
      <c r="A1361" s="1" t="s">
        <v>1011</v>
      </c>
      <c r="B1361" t="str">
        <f>VLOOKUP($A1361, 'Customer Names'!A:D, 3, FALSE)</f>
        <v>Lynch</v>
      </c>
      <c r="C1361">
        <f>VLOOKUP($A1361,'Medical Examinations'!A:C, 3, FALSE)</f>
        <v>22.8</v>
      </c>
      <c r="D1361" t="str">
        <f>VLOOKUP($A1361, 'Medical Examinations'!A:D, 4, FALSE)</f>
        <v>Normal</v>
      </c>
      <c r="E1361" t="str">
        <f>VLOOKUP($A1361, 'Medical Examinations'!A:F, 6, FALSE)</f>
        <v>yes</v>
      </c>
      <c r="F1361" t="str">
        <f>VLOOKUP($A1361, 'Medical Examinations'!A:G, 7, FALSE)</f>
        <v>No</v>
      </c>
      <c r="G1361" t="str">
        <f>VLOOKUP($A1361, 'Medical Examinations'!A:H, 8, FALSE)</f>
        <v>Yes</v>
      </c>
      <c r="H1361">
        <f>VLOOKUP($A1361, 'Medical Examinations'!A:J, 10, FALSE)</f>
        <v>1</v>
      </c>
      <c r="I1361" t="str">
        <f>VLOOKUP($A1361, 'Medical Examinations'!A:K, 11, FALSE)</f>
        <v>No</v>
      </c>
      <c r="J1361" t="str">
        <f>VLOOKUP($A1361, 'Medical Examinations'!A:B, 2, FALSE)</f>
        <v>Normal Weight</v>
      </c>
      <c r="K1361" t="str">
        <f>VLOOKUP($A1361, 'Medical Examinations'!A:D, 4, FALSE)</f>
        <v>Normal</v>
      </c>
    </row>
    <row r="1362" spans="1:11" ht="15.5" x14ac:dyDescent="0.35">
      <c r="A1362" s="1" t="s">
        <v>1010</v>
      </c>
      <c r="B1362" t="str">
        <f>VLOOKUP($A1362, 'Customer Names'!A:D, 3, FALSE)</f>
        <v>Tramontano</v>
      </c>
      <c r="C1362">
        <f>VLOOKUP($A1362,'Medical Examinations'!A:C, 3, FALSE)</f>
        <v>24.3</v>
      </c>
      <c r="D1362" t="str">
        <f>VLOOKUP($A1362, 'Medical Examinations'!A:D, 4, FALSE)</f>
        <v>Normal</v>
      </c>
      <c r="E1362" t="str">
        <f>VLOOKUP($A1362, 'Medical Examinations'!A:F, 6, FALSE)</f>
        <v>No</v>
      </c>
      <c r="F1362" t="str">
        <f>VLOOKUP($A1362, 'Medical Examinations'!A:G, 7, FALSE)</f>
        <v>No</v>
      </c>
      <c r="G1362" t="str">
        <f>VLOOKUP($A1362, 'Medical Examinations'!A:H, 8, FALSE)</f>
        <v>No</v>
      </c>
      <c r="H1362">
        <f>VLOOKUP($A1362, 'Medical Examinations'!A:J, 10, FALSE)</f>
        <v>2</v>
      </c>
      <c r="I1362" t="str">
        <f>VLOOKUP($A1362, 'Medical Examinations'!A:K, 11, FALSE)</f>
        <v>No</v>
      </c>
      <c r="J1362" t="str">
        <f>VLOOKUP($A1362, 'Medical Examinations'!A:B, 2, FALSE)</f>
        <v>Normal Weight</v>
      </c>
      <c r="K1362" t="str">
        <f>VLOOKUP($A1362, 'Medical Examinations'!A:D, 4, FALSE)</f>
        <v>Normal</v>
      </c>
    </row>
    <row r="1363" spans="1:11" ht="15.5" x14ac:dyDescent="0.35">
      <c r="A1363" s="1" t="s">
        <v>1009</v>
      </c>
      <c r="B1363" t="str">
        <f>VLOOKUP($A1363, 'Customer Names'!A:D, 3, FALSE)</f>
        <v>Davidson</v>
      </c>
      <c r="C1363">
        <f>VLOOKUP($A1363,'Medical Examinations'!A:C, 3, FALSE)</f>
        <v>25.13</v>
      </c>
      <c r="D1363" t="str">
        <f>VLOOKUP($A1363, 'Medical Examinations'!A:D, 4, FALSE)</f>
        <v>Diabetes</v>
      </c>
      <c r="E1363" t="str">
        <f>VLOOKUP($A1363, 'Medical Examinations'!A:F, 6, FALSE)</f>
        <v>yes</v>
      </c>
      <c r="F1363" t="str">
        <f>VLOOKUP($A1363, 'Medical Examinations'!A:G, 7, FALSE)</f>
        <v>No</v>
      </c>
      <c r="G1363" t="str">
        <f>VLOOKUP($A1363, 'Medical Examinations'!A:H, 8, FALSE)</f>
        <v>No</v>
      </c>
      <c r="H1363">
        <f>VLOOKUP($A1363, 'Medical Examinations'!A:J, 10, FALSE)</f>
        <v>1</v>
      </c>
      <c r="I1363" t="str">
        <f>VLOOKUP($A1363, 'Medical Examinations'!A:K, 11, FALSE)</f>
        <v>No</v>
      </c>
      <c r="J1363" t="str">
        <f>VLOOKUP($A1363, 'Medical Examinations'!A:B, 2, FALSE)</f>
        <v>Overweight</v>
      </c>
      <c r="K1363" t="str">
        <f>VLOOKUP($A1363, 'Medical Examinations'!A:D, 4, FALSE)</f>
        <v>Diabetes</v>
      </c>
    </row>
    <row r="1364" spans="1:11" ht="15.5" x14ac:dyDescent="0.35">
      <c r="A1364" s="1" t="s">
        <v>1008</v>
      </c>
      <c r="B1364" t="str">
        <f>VLOOKUP($A1364, 'Customer Names'!A:D, 3, FALSE)</f>
        <v>Burke</v>
      </c>
      <c r="C1364">
        <f>VLOOKUP($A1364,'Medical Examinations'!A:C, 3, FALSE)</f>
        <v>22.72</v>
      </c>
      <c r="D1364" t="str">
        <f>VLOOKUP($A1364, 'Medical Examinations'!A:D, 4, FALSE)</f>
        <v>Diabetes</v>
      </c>
      <c r="E1364" t="str">
        <f>VLOOKUP($A1364, 'Medical Examinations'!A:F, 6, FALSE)</f>
        <v>yes</v>
      </c>
      <c r="F1364" t="str">
        <f>VLOOKUP($A1364, 'Medical Examinations'!A:G, 7, FALSE)</f>
        <v>No</v>
      </c>
      <c r="G1364" t="str">
        <f>VLOOKUP($A1364, 'Medical Examinations'!A:H, 8, FALSE)</f>
        <v>No</v>
      </c>
      <c r="H1364">
        <f>VLOOKUP($A1364, 'Medical Examinations'!A:J, 10, FALSE)</f>
        <v>2</v>
      </c>
      <c r="I1364" t="str">
        <f>VLOOKUP($A1364, 'Medical Examinations'!A:K, 11, FALSE)</f>
        <v>No</v>
      </c>
      <c r="J1364" t="str">
        <f>VLOOKUP($A1364, 'Medical Examinations'!A:B, 2, FALSE)</f>
        <v>Normal Weight</v>
      </c>
      <c r="K1364" t="str">
        <f>VLOOKUP($A1364, 'Medical Examinations'!A:D, 4, FALSE)</f>
        <v>Diabetes</v>
      </c>
    </row>
    <row r="1365" spans="1:11" ht="15.5" x14ac:dyDescent="0.35">
      <c r="A1365" s="1" t="s">
        <v>1007</v>
      </c>
      <c r="B1365" t="str">
        <f>VLOOKUP($A1365, 'Customer Names'!A:D, 3, FALSE)</f>
        <v>McGraw</v>
      </c>
      <c r="C1365">
        <f>VLOOKUP($A1365,'Medical Examinations'!A:C, 3, FALSE)</f>
        <v>32.6</v>
      </c>
      <c r="D1365" t="str">
        <f>VLOOKUP($A1365, 'Medical Examinations'!A:D, 4, FALSE)</f>
        <v>Diabetes</v>
      </c>
      <c r="E1365" t="str">
        <f>VLOOKUP($A1365, 'Medical Examinations'!A:F, 6, FALSE)</f>
        <v>yes</v>
      </c>
      <c r="F1365" t="str">
        <f>VLOOKUP($A1365, 'Medical Examinations'!A:G, 7, FALSE)</f>
        <v>No</v>
      </c>
      <c r="G1365" t="str">
        <f>VLOOKUP($A1365, 'Medical Examinations'!A:H, 8, FALSE)</f>
        <v>No</v>
      </c>
      <c r="H1365" t="str">
        <f>VLOOKUP($A1365, 'Medical Examinations'!A:J, 10, FALSE)</f>
        <v>No major surgery</v>
      </c>
      <c r="I1365" t="str">
        <f>VLOOKUP($A1365, 'Medical Examinations'!A:K, 11, FALSE)</f>
        <v>No</v>
      </c>
      <c r="J1365" t="str">
        <f>VLOOKUP($A1365, 'Medical Examinations'!A:B, 2, FALSE)</f>
        <v>Obesity</v>
      </c>
      <c r="K1365" t="str">
        <f>VLOOKUP($A1365, 'Medical Examinations'!A:D, 4, FALSE)</f>
        <v>Diabetes</v>
      </c>
    </row>
    <row r="1366" spans="1:11" ht="15.5" x14ac:dyDescent="0.35">
      <c r="A1366" s="1" t="s">
        <v>1006</v>
      </c>
      <c r="B1366" t="str">
        <f>VLOOKUP($A1366, 'Customer Names'!A:D, 3, FALSE)</f>
        <v>Fellure</v>
      </c>
      <c r="C1366">
        <f>VLOOKUP($A1366,'Medical Examinations'!A:C, 3, FALSE)</f>
        <v>17.28</v>
      </c>
      <c r="D1366" t="str">
        <f>VLOOKUP($A1366, 'Medical Examinations'!A:D, 4, FALSE)</f>
        <v>Prediabetes</v>
      </c>
      <c r="E1366" t="str">
        <f>VLOOKUP($A1366, 'Medical Examinations'!A:F, 6, FALSE)</f>
        <v>yes</v>
      </c>
      <c r="F1366" t="str">
        <f>VLOOKUP($A1366, 'Medical Examinations'!A:G, 7, FALSE)</f>
        <v>No</v>
      </c>
      <c r="G1366" t="str">
        <f>VLOOKUP($A1366, 'Medical Examinations'!A:H, 8, FALSE)</f>
        <v>No</v>
      </c>
      <c r="H1366">
        <f>VLOOKUP($A1366, 'Medical Examinations'!A:J, 10, FALSE)</f>
        <v>2</v>
      </c>
      <c r="I1366" t="str">
        <f>VLOOKUP($A1366, 'Medical Examinations'!A:K, 11, FALSE)</f>
        <v>No</v>
      </c>
      <c r="J1366" t="str">
        <f>VLOOKUP($A1366, 'Medical Examinations'!A:B, 2, FALSE)</f>
        <v>Underweight</v>
      </c>
      <c r="K1366" t="str">
        <f>VLOOKUP($A1366, 'Medical Examinations'!A:D, 4, FALSE)</f>
        <v>Prediabetes</v>
      </c>
    </row>
    <row r="1367" spans="1:11" ht="15.5" x14ac:dyDescent="0.35">
      <c r="A1367" s="1" t="s">
        <v>1005</v>
      </c>
      <c r="B1367" t="str">
        <f>VLOOKUP($A1367, 'Customer Names'!A:D, 3, FALSE)</f>
        <v>Sanford</v>
      </c>
      <c r="C1367">
        <f>VLOOKUP($A1367,'Medical Examinations'!A:C, 3, FALSE)</f>
        <v>27.92</v>
      </c>
      <c r="D1367" t="str">
        <f>VLOOKUP($A1367, 'Medical Examinations'!A:D, 4, FALSE)</f>
        <v>Prediabetes</v>
      </c>
      <c r="E1367" t="str">
        <f>VLOOKUP($A1367, 'Medical Examinations'!A:F, 6, FALSE)</f>
        <v>No</v>
      </c>
      <c r="F1367" t="str">
        <f>VLOOKUP($A1367, 'Medical Examinations'!A:G, 7, FALSE)</f>
        <v>No</v>
      </c>
      <c r="G1367" t="str">
        <f>VLOOKUP($A1367, 'Medical Examinations'!A:H, 8, FALSE)</f>
        <v>No</v>
      </c>
      <c r="H1367">
        <f>VLOOKUP($A1367, 'Medical Examinations'!A:J, 10, FALSE)</f>
        <v>1</v>
      </c>
      <c r="I1367" t="str">
        <f>VLOOKUP($A1367, 'Medical Examinations'!A:K, 11, FALSE)</f>
        <v>No</v>
      </c>
      <c r="J1367" t="str">
        <f>VLOOKUP($A1367, 'Medical Examinations'!A:B, 2, FALSE)</f>
        <v>Overweight</v>
      </c>
      <c r="K1367" t="str">
        <f>VLOOKUP($A1367, 'Medical Examinations'!A:D, 4, FALSE)</f>
        <v>Prediabetes</v>
      </c>
    </row>
    <row r="1368" spans="1:11" ht="15.5" x14ac:dyDescent="0.35">
      <c r="A1368" s="1" t="s">
        <v>1004</v>
      </c>
      <c r="B1368" t="str">
        <f>VLOOKUP($A1368, 'Customer Names'!A:D, 3, FALSE)</f>
        <v>Wrenn</v>
      </c>
      <c r="C1368">
        <f>VLOOKUP($A1368,'Medical Examinations'!A:C, 3, FALSE)</f>
        <v>38.284999999999997</v>
      </c>
      <c r="D1368" t="str">
        <f>VLOOKUP($A1368, 'Medical Examinations'!A:D, 4, FALSE)</f>
        <v>Normal</v>
      </c>
      <c r="E1368" t="str">
        <f>VLOOKUP($A1368, 'Medical Examinations'!A:F, 6, FALSE)</f>
        <v>No</v>
      </c>
      <c r="F1368" t="str">
        <f>VLOOKUP($A1368, 'Medical Examinations'!A:G, 7, FALSE)</f>
        <v>No</v>
      </c>
      <c r="G1368" t="str">
        <f>VLOOKUP($A1368, 'Medical Examinations'!A:H, 8, FALSE)</f>
        <v>No</v>
      </c>
      <c r="H1368" t="str">
        <f>VLOOKUP($A1368, 'Medical Examinations'!A:J, 10, FALSE)</f>
        <v>No major surgery</v>
      </c>
      <c r="I1368" t="str">
        <f>VLOOKUP($A1368, 'Medical Examinations'!A:K, 11, FALSE)</f>
        <v>No</v>
      </c>
      <c r="J1368" t="str">
        <f>VLOOKUP($A1368, 'Medical Examinations'!A:B, 2, FALSE)</f>
        <v>Obesity</v>
      </c>
      <c r="K1368" t="str">
        <f>VLOOKUP($A1368, 'Medical Examinations'!A:D, 4, FALSE)</f>
        <v>Normal</v>
      </c>
    </row>
    <row r="1369" spans="1:11" ht="15.5" x14ac:dyDescent="0.35">
      <c r="A1369" s="1" t="s">
        <v>1003</v>
      </c>
      <c r="B1369" t="str">
        <f>VLOOKUP($A1369, 'Customer Names'!A:D, 3, FALSE)</f>
        <v>Lindsey</v>
      </c>
      <c r="C1369">
        <f>VLOOKUP($A1369,'Medical Examinations'!A:C, 3, FALSE)</f>
        <v>16.48</v>
      </c>
      <c r="D1369" t="str">
        <f>VLOOKUP($A1369, 'Medical Examinations'!A:D, 4, FALSE)</f>
        <v>Diabetes</v>
      </c>
      <c r="E1369" t="str">
        <f>VLOOKUP($A1369, 'Medical Examinations'!A:F, 6, FALSE)</f>
        <v>No</v>
      </c>
      <c r="F1369" t="str">
        <f>VLOOKUP($A1369, 'Medical Examinations'!A:G, 7, FALSE)</f>
        <v>No</v>
      </c>
      <c r="G1369" t="str">
        <f>VLOOKUP($A1369, 'Medical Examinations'!A:H, 8, FALSE)</f>
        <v>No</v>
      </c>
      <c r="H1369" t="str">
        <f>VLOOKUP($A1369, 'Medical Examinations'!A:J, 10, FALSE)</f>
        <v>No major surgery</v>
      </c>
      <c r="I1369" t="str">
        <f>VLOOKUP($A1369, 'Medical Examinations'!A:K, 11, FALSE)</f>
        <v>No</v>
      </c>
      <c r="J1369" t="str">
        <f>VLOOKUP($A1369, 'Medical Examinations'!A:B, 2, FALSE)</f>
        <v>Underweight</v>
      </c>
      <c r="K1369" t="str">
        <f>VLOOKUP($A1369, 'Medical Examinations'!A:D, 4, FALSE)</f>
        <v>Diabetes</v>
      </c>
    </row>
    <row r="1370" spans="1:11" ht="15.5" x14ac:dyDescent="0.35">
      <c r="A1370" s="1" t="s">
        <v>1002</v>
      </c>
      <c r="B1370" t="str">
        <f>VLOOKUP($A1370, 'Customer Names'!A:D, 3, FALSE)</f>
        <v>Krueger</v>
      </c>
      <c r="C1370">
        <f>VLOOKUP($A1370,'Medical Examinations'!A:C, 3, FALSE)</f>
        <v>38.57</v>
      </c>
      <c r="D1370" t="str">
        <f>VLOOKUP($A1370, 'Medical Examinations'!A:D, 4, FALSE)</f>
        <v>Prediabetes</v>
      </c>
      <c r="E1370" t="str">
        <f>VLOOKUP($A1370, 'Medical Examinations'!A:F, 6, FALSE)</f>
        <v>No</v>
      </c>
      <c r="F1370" t="str">
        <f>VLOOKUP($A1370, 'Medical Examinations'!A:G, 7, FALSE)</f>
        <v>No</v>
      </c>
      <c r="G1370" t="str">
        <f>VLOOKUP($A1370, 'Medical Examinations'!A:H, 8, FALSE)</f>
        <v>No</v>
      </c>
      <c r="H1370" t="str">
        <f>VLOOKUP($A1370, 'Medical Examinations'!A:J, 10, FALSE)</f>
        <v>No major surgery</v>
      </c>
      <c r="I1370" t="str">
        <f>VLOOKUP($A1370, 'Medical Examinations'!A:K, 11, FALSE)</f>
        <v>No</v>
      </c>
      <c r="J1370" t="str">
        <f>VLOOKUP($A1370, 'Medical Examinations'!A:B, 2, FALSE)</f>
        <v>Obesity</v>
      </c>
      <c r="K1370" t="str">
        <f>VLOOKUP($A1370, 'Medical Examinations'!A:D, 4, FALSE)</f>
        <v>Prediabetes</v>
      </c>
    </row>
    <row r="1371" spans="1:11" ht="15.5" x14ac:dyDescent="0.35">
      <c r="A1371" s="1" t="s">
        <v>1001</v>
      </c>
      <c r="B1371" t="str">
        <f>VLOOKUP($A1371, 'Customer Names'!A:D, 3, FALSE)</f>
        <v>Babler</v>
      </c>
      <c r="C1371">
        <f>VLOOKUP($A1371,'Medical Examinations'!A:C, 3, FALSE)</f>
        <v>43.85</v>
      </c>
      <c r="D1371" t="str">
        <f>VLOOKUP($A1371, 'Medical Examinations'!A:D, 4, FALSE)</f>
        <v>Normal</v>
      </c>
      <c r="E1371" t="str">
        <f>VLOOKUP($A1371, 'Medical Examinations'!A:F, 6, FALSE)</f>
        <v>yes</v>
      </c>
      <c r="F1371" t="str">
        <f>VLOOKUP($A1371, 'Medical Examinations'!A:G, 7, FALSE)</f>
        <v>No</v>
      </c>
      <c r="G1371" t="str">
        <f>VLOOKUP($A1371, 'Medical Examinations'!A:H, 8, FALSE)</f>
        <v>No</v>
      </c>
      <c r="H1371" t="str">
        <f>VLOOKUP($A1371, 'Medical Examinations'!A:J, 10, FALSE)</f>
        <v>No major surgery</v>
      </c>
      <c r="I1371" t="str">
        <f>VLOOKUP($A1371, 'Medical Examinations'!A:K, 11, FALSE)</f>
        <v>No</v>
      </c>
      <c r="J1371" t="str">
        <f>VLOOKUP($A1371, 'Medical Examinations'!A:B, 2, FALSE)</f>
        <v>Obesity</v>
      </c>
      <c r="K1371" t="str">
        <f>VLOOKUP($A1371, 'Medical Examinations'!A:D, 4, FALSE)</f>
        <v>Normal</v>
      </c>
    </row>
    <row r="1372" spans="1:11" ht="15.5" x14ac:dyDescent="0.35">
      <c r="A1372" s="1" t="s">
        <v>1000</v>
      </c>
      <c r="B1372" t="str">
        <f>VLOOKUP($A1372, 'Customer Names'!A:D, 3, FALSE)</f>
        <v>Brezenski</v>
      </c>
      <c r="C1372">
        <f>VLOOKUP($A1372,'Medical Examinations'!A:C, 3, FALSE)</f>
        <v>30.11</v>
      </c>
      <c r="D1372" t="str">
        <f>VLOOKUP($A1372, 'Medical Examinations'!A:D, 4, FALSE)</f>
        <v>Normal</v>
      </c>
      <c r="E1372" t="str">
        <f>VLOOKUP($A1372, 'Medical Examinations'!A:F, 6, FALSE)</f>
        <v>No</v>
      </c>
      <c r="F1372" t="str">
        <f>VLOOKUP($A1372, 'Medical Examinations'!A:G, 7, FALSE)</f>
        <v>No</v>
      </c>
      <c r="G1372" t="str">
        <f>VLOOKUP($A1372, 'Medical Examinations'!A:H, 8, FALSE)</f>
        <v>No</v>
      </c>
      <c r="H1372" t="str">
        <f>VLOOKUP($A1372, 'Medical Examinations'!A:J, 10, FALSE)</f>
        <v>No major surgery</v>
      </c>
      <c r="I1372" t="str">
        <f>VLOOKUP($A1372, 'Medical Examinations'!A:K, 11, FALSE)</f>
        <v>No</v>
      </c>
      <c r="J1372" t="str">
        <f>VLOOKUP($A1372, 'Medical Examinations'!A:B, 2, FALSE)</f>
        <v>Obesity</v>
      </c>
      <c r="K1372" t="str">
        <f>VLOOKUP($A1372, 'Medical Examinations'!A:D, 4, FALSE)</f>
        <v>Normal</v>
      </c>
    </row>
    <row r="1373" spans="1:11" ht="15.5" x14ac:dyDescent="0.35">
      <c r="A1373" s="1" t="s">
        <v>999</v>
      </c>
      <c r="B1373" t="str">
        <f>VLOOKUP($A1373, 'Customer Names'!A:D, 3, FALSE)</f>
        <v>Marschner</v>
      </c>
      <c r="C1373">
        <f>VLOOKUP($A1373,'Medical Examinations'!A:C, 3, FALSE)</f>
        <v>31.59</v>
      </c>
      <c r="D1373" t="str">
        <f>VLOOKUP($A1373, 'Medical Examinations'!A:D, 4, FALSE)</f>
        <v>Prediabetes</v>
      </c>
      <c r="E1373" t="str">
        <f>VLOOKUP($A1373, 'Medical Examinations'!A:F, 6, FALSE)</f>
        <v>No</v>
      </c>
      <c r="F1373" t="str">
        <f>VLOOKUP($A1373, 'Medical Examinations'!A:G, 7, FALSE)</f>
        <v>No</v>
      </c>
      <c r="G1373" t="str">
        <f>VLOOKUP($A1373, 'Medical Examinations'!A:H, 8, FALSE)</f>
        <v>No</v>
      </c>
      <c r="H1373" t="str">
        <f>VLOOKUP($A1373, 'Medical Examinations'!A:J, 10, FALSE)</f>
        <v>No major surgery</v>
      </c>
      <c r="I1373" t="str">
        <f>VLOOKUP($A1373, 'Medical Examinations'!A:K, 11, FALSE)</f>
        <v>No</v>
      </c>
      <c r="J1373" t="str">
        <f>VLOOKUP($A1373, 'Medical Examinations'!A:B, 2, FALSE)</f>
        <v>Obesity</v>
      </c>
      <c r="K1373" t="str">
        <f>VLOOKUP($A1373, 'Medical Examinations'!A:D, 4, FALSE)</f>
        <v>Prediabetes</v>
      </c>
    </row>
    <row r="1374" spans="1:11" ht="15.5" x14ac:dyDescent="0.35">
      <c r="A1374" s="1" t="s">
        <v>998</v>
      </c>
      <c r="B1374" t="str">
        <f>VLOOKUP($A1374, 'Customer Names'!A:D, 3, FALSE)</f>
        <v>King</v>
      </c>
      <c r="C1374">
        <f>VLOOKUP($A1374,'Medical Examinations'!A:C, 3, FALSE)</f>
        <v>40.15</v>
      </c>
      <c r="D1374" t="str">
        <f>VLOOKUP($A1374, 'Medical Examinations'!A:D, 4, FALSE)</f>
        <v>Diabetes</v>
      </c>
      <c r="E1374" t="str">
        <f>VLOOKUP($A1374, 'Medical Examinations'!A:F, 6, FALSE)</f>
        <v>No</v>
      </c>
      <c r="F1374" t="str">
        <f>VLOOKUP($A1374, 'Medical Examinations'!A:G, 7, FALSE)</f>
        <v>No</v>
      </c>
      <c r="G1374" t="str">
        <f>VLOOKUP($A1374, 'Medical Examinations'!A:H, 8, FALSE)</f>
        <v>No</v>
      </c>
      <c r="H1374" t="str">
        <f>VLOOKUP($A1374, 'Medical Examinations'!A:J, 10, FALSE)</f>
        <v>No major surgery</v>
      </c>
      <c r="I1374" t="str">
        <f>VLOOKUP($A1374, 'Medical Examinations'!A:K, 11, FALSE)</f>
        <v>No</v>
      </c>
      <c r="J1374" t="str">
        <f>VLOOKUP($A1374, 'Medical Examinations'!A:B, 2, FALSE)</f>
        <v>Obesity</v>
      </c>
      <c r="K1374" t="str">
        <f>VLOOKUP($A1374, 'Medical Examinations'!A:D, 4, FALSE)</f>
        <v>Diabetes</v>
      </c>
    </row>
    <row r="1375" spans="1:11" ht="15.5" x14ac:dyDescent="0.35">
      <c r="A1375" s="1" t="s">
        <v>997</v>
      </c>
      <c r="B1375" t="str">
        <f>VLOOKUP($A1375, 'Customer Names'!A:D, 3, FALSE)</f>
        <v>Montez</v>
      </c>
      <c r="C1375">
        <f>VLOOKUP($A1375,'Medical Examinations'!A:C, 3, FALSE)</f>
        <v>40.700000000000003</v>
      </c>
      <c r="D1375" t="str">
        <f>VLOOKUP($A1375, 'Medical Examinations'!A:D, 4, FALSE)</f>
        <v>Prediabetes</v>
      </c>
      <c r="E1375" t="str">
        <f>VLOOKUP($A1375, 'Medical Examinations'!A:F, 6, FALSE)</f>
        <v>yes</v>
      </c>
      <c r="F1375" t="str">
        <f>VLOOKUP($A1375, 'Medical Examinations'!A:G, 7, FALSE)</f>
        <v>No</v>
      </c>
      <c r="G1375" t="str">
        <f>VLOOKUP($A1375, 'Medical Examinations'!A:H, 8, FALSE)</f>
        <v>Yes</v>
      </c>
      <c r="H1375">
        <f>VLOOKUP($A1375, 'Medical Examinations'!A:J, 10, FALSE)</f>
        <v>1</v>
      </c>
      <c r="I1375" t="str">
        <f>VLOOKUP($A1375, 'Medical Examinations'!A:K, 11, FALSE)</f>
        <v>No</v>
      </c>
      <c r="J1375" t="str">
        <f>VLOOKUP($A1375, 'Medical Examinations'!A:B, 2, FALSE)</f>
        <v>Obesity</v>
      </c>
      <c r="K1375" t="str">
        <f>VLOOKUP($A1375, 'Medical Examinations'!A:D, 4, FALSE)</f>
        <v>Prediabetes</v>
      </c>
    </row>
    <row r="1376" spans="1:11" ht="15.5" x14ac:dyDescent="0.35">
      <c r="A1376" s="1" t="s">
        <v>996</v>
      </c>
      <c r="B1376" t="str">
        <f>VLOOKUP($A1376, 'Customer Names'!A:D, 3, FALSE)</f>
        <v>Campbell</v>
      </c>
      <c r="C1376">
        <f>VLOOKUP($A1376,'Medical Examinations'!A:C, 3, FALSE)</f>
        <v>40.76</v>
      </c>
      <c r="D1376" t="str">
        <f>VLOOKUP($A1376, 'Medical Examinations'!A:D, 4, FALSE)</f>
        <v>Normal</v>
      </c>
      <c r="E1376" t="str">
        <f>VLOOKUP($A1376, 'Medical Examinations'!A:F, 6, FALSE)</f>
        <v>No</v>
      </c>
      <c r="F1376" t="str">
        <f>VLOOKUP($A1376, 'Medical Examinations'!A:G, 7, FALSE)</f>
        <v>No</v>
      </c>
      <c r="G1376" t="str">
        <f>VLOOKUP($A1376, 'Medical Examinations'!A:H, 8, FALSE)</f>
        <v>No</v>
      </c>
      <c r="H1376" t="str">
        <f>VLOOKUP($A1376, 'Medical Examinations'!A:J, 10, FALSE)</f>
        <v>No major surgery</v>
      </c>
      <c r="I1376" t="str">
        <f>VLOOKUP($A1376, 'Medical Examinations'!A:K, 11, FALSE)</f>
        <v>No</v>
      </c>
      <c r="J1376" t="str">
        <f>VLOOKUP($A1376, 'Medical Examinations'!A:B, 2, FALSE)</f>
        <v>Obesity</v>
      </c>
      <c r="K1376" t="str">
        <f>VLOOKUP($A1376, 'Medical Examinations'!A:D, 4, FALSE)</f>
        <v>Normal</v>
      </c>
    </row>
    <row r="1377" spans="1:11" ht="15.5" x14ac:dyDescent="0.35">
      <c r="A1377" s="1" t="s">
        <v>995</v>
      </c>
      <c r="B1377" t="str">
        <f>VLOOKUP($A1377, 'Customer Names'!A:D, 3, FALSE)</f>
        <v>Hurt</v>
      </c>
      <c r="C1377">
        <f>VLOOKUP($A1377,'Medical Examinations'!A:C, 3, FALSE)</f>
        <v>29.7</v>
      </c>
      <c r="D1377" t="str">
        <f>VLOOKUP($A1377, 'Medical Examinations'!A:D, 4, FALSE)</f>
        <v>Diabetes</v>
      </c>
      <c r="E1377" t="str">
        <f>VLOOKUP($A1377, 'Medical Examinations'!A:F, 6, FALSE)</f>
        <v>No</v>
      </c>
      <c r="F1377" t="str">
        <f>VLOOKUP($A1377, 'Medical Examinations'!A:G, 7, FALSE)</f>
        <v>No</v>
      </c>
      <c r="G1377" t="str">
        <f>VLOOKUP($A1377, 'Medical Examinations'!A:H, 8, FALSE)</f>
        <v>No</v>
      </c>
      <c r="H1377" t="str">
        <f>VLOOKUP($A1377, 'Medical Examinations'!A:J, 10, FALSE)</f>
        <v>No major surgery</v>
      </c>
      <c r="I1377" t="str">
        <f>VLOOKUP($A1377, 'Medical Examinations'!A:K, 11, FALSE)</f>
        <v>No</v>
      </c>
      <c r="J1377" t="str">
        <f>VLOOKUP($A1377, 'Medical Examinations'!A:B, 2, FALSE)</f>
        <v>Overweight</v>
      </c>
      <c r="K1377" t="str">
        <f>VLOOKUP($A1377, 'Medical Examinations'!A:D, 4, FALSE)</f>
        <v>Diabetes</v>
      </c>
    </row>
    <row r="1378" spans="1:11" ht="15.5" x14ac:dyDescent="0.35">
      <c r="A1378" s="1" t="s">
        <v>994</v>
      </c>
      <c r="B1378" t="str">
        <f>VLOOKUP($A1378, 'Customer Names'!A:D, 3, FALSE)</f>
        <v>Garey</v>
      </c>
      <c r="C1378">
        <f>VLOOKUP($A1378,'Medical Examinations'!A:C, 3, FALSE)</f>
        <v>40.58</v>
      </c>
      <c r="D1378" t="str">
        <f>VLOOKUP($A1378, 'Medical Examinations'!A:D, 4, FALSE)</f>
        <v>Normal</v>
      </c>
      <c r="E1378" t="str">
        <f>VLOOKUP($A1378, 'Medical Examinations'!A:F, 6, FALSE)</f>
        <v>yes</v>
      </c>
      <c r="F1378" t="str">
        <f>VLOOKUP($A1378, 'Medical Examinations'!A:G, 7, FALSE)</f>
        <v>No</v>
      </c>
      <c r="G1378" t="str">
        <f>VLOOKUP($A1378, 'Medical Examinations'!A:H, 8, FALSE)</f>
        <v>Yes</v>
      </c>
      <c r="H1378">
        <f>VLOOKUP($A1378, 'Medical Examinations'!A:J, 10, FALSE)</f>
        <v>1</v>
      </c>
      <c r="I1378" t="str">
        <f>VLOOKUP($A1378, 'Medical Examinations'!A:K, 11, FALSE)</f>
        <v>No</v>
      </c>
      <c r="J1378" t="str">
        <f>VLOOKUP($A1378, 'Medical Examinations'!A:B, 2, FALSE)</f>
        <v>Obesity</v>
      </c>
      <c r="K1378" t="str">
        <f>VLOOKUP($A1378, 'Medical Examinations'!A:D, 4, FALSE)</f>
        <v>Normal</v>
      </c>
    </row>
    <row r="1379" spans="1:11" ht="15.5" x14ac:dyDescent="0.35">
      <c r="A1379" s="1" t="s">
        <v>993</v>
      </c>
      <c r="B1379" t="str">
        <f>VLOOKUP($A1379, 'Customer Names'!A:D, 3, FALSE)</f>
        <v>Reddy</v>
      </c>
      <c r="C1379">
        <f>VLOOKUP($A1379,'Medical Examinations'!A:C, 3, FALSE)</f>
        <v>33.06</v>
      </c>
      <c r="D1379" t="str">
        <f>VLOOKUP($A1379, 'Medical Examinations'!A:D, 4, FALSE)</f>
        <v>Diabetes</v>
      </c>
      <c r="E1379" t="str">
        <f>VLOOKUP($A1379, 'Medical Examinations'!A:F, 6, FALSE)</f>
        <v>yes</v>
      </c>
      <c r="F1379" t="str">
        <f>VLOOKUP($A1379, 'Medical Examinations'!A:G, 7, FALSE)</f>
        <v>No</v>
      </c>
      <c r="G1379" t="str">
        <f>VLOOKUP($A1379, 'Medical Examinations'!A:H, 8, FALSE)</f>
        <v>No</v>
      </c>
      <c r="H1379" t="str">
        <f>VLOOKUP($A1379, 'Medical Examinations'!A:J, 10, FALSE)</f>
        <v>No major surgery</v>
      </c>
      <c r="I1379" t="str">
        <f>VLOOKUP($A1379, 'Medical Examinations'!A:K, 11, FALSE)</f>
        <v>No</v>
      </c>
      <c r="J1379" t="str">
        <f>VLOOKUP($A1379, 'Medical Examinations'!A:B, 2, FALSE)</f>
        <v>Obesity</v>
      </c>
      <c r="K1379" t="str">
        <f>VLOOKUP($A1379, 'Medical Examinations'!A:D, 4, FALSE)</f>
        <v>Diabetes</v>
      </c>
    </row>
    <row r="1380" spans="1:11" ht="15.5" x14ac:dyDescent="0.35">
      <c r="A1380" s="1" t="s">
        <v>992</v>
      </c>
      <c r="B1380" t="str">
        <f>VLOOKUP($A1380, 'Customer Names'!A:D, 3, FALSE)</f>
        <v>Mueller</v>
      </c>
      <c r="C1380">
        <f>VLOOKUP($A1380,'Medical Examinations'!A:C, 3, FALSE)</f>
        <v>26.62</v>
      </c>
      <c r="D1380" t="str">
        <f>VLOOKUP($A1380, 'Medical Examinations'!A:D, 4, FALSE)</f>
        <v>Prediabetes</v>
      </c>
      <c r="E1380" t="str">
        <f>VLOOKUP($A1380, 'Medical Examinations'!A:F, 6, FALSE)</f>
        <v>yes</v>
      </c>
      <c r="F1380" t="str">
        <f>VLOOKUP($A1380, 'Medical Examinations'!A:G, 7, FALSE)</f>
        <v>No</v>
      </c>
      <c r="G1380" t="str">
        <f>VLOOKUP($A1380, 'Medical Examinations'!A:H, 8, FALSE)</f>
        <v>No</v>
      </c>
      <c r="H1380" t="str">
        <f>VLOOKUP($A1380, 'Medical Examinations'!A:J, 10, FALSE)</f>
        <v>No major surgery</v>
      </c>
      <c r="I1380" t="str">
        <f>VLOOKUP($A1380, 'Medical Examinations'!A:K, 11, FALSE)</f>
        <v>No</v>
      </c>
      <c r="J1380" t="str">
        <f>VLOOKUP($A1380, 'Medical Examinations'!A:B, 2, FALSE)</f>
        <v>Overweight</v>
      </c>
      <c r="K1380" t="str">
        <f>VLOOKUP($A1380, 'Medical Examinations'!A:D, 4, FALSE)</f>
        <v>Prediabetes</v>
      </c>
    </row>
    <row r="1381" spans="1:11" ht="15.5" x14ac:dyDescent="0.35">
      <c r="A1381" s="1" t="s">
        <v>991</v>
      </c>
      <c r="B1381" t="str">
        <f>VLOOKUP($A1381, 'Customer Names'!A:D, 3, FALSE)</f>
        <v>Julia</v>
      </c>
      <c r="C1381">
        <f>VLOOKUP($A1381,'Medical Examinations'!A:C, 3, FALSE)</f>
        <v>37.1</v>
      </c>
      <c r="D1381" t="str">
        <f>VLOOKUP($A1381, 'Medical Examinations'!A:D, 4, FALSE)</f>
        <v>Diabetes</v>
      </c>
      <c r="E1381" t="str">
        <f>VLOOKUP($A1381, 'Medical Examinations'!A:F, 6, FALSE)</f>
        <v>No</v>
      </c>
      <c r="F1381" t="str">
        <f>VLOOKUP($A1381, 'Medical Examinations'!A:G, 7, FALSE)</f>
        <v>No</v>
      </c>
      <c r="G1381" t="str">
        <f>VLOOKUP($A1381, 'Medical Examinations'!A:H, 8, FALSE)</f>
        <v>No</v>
      </c>
      <c r="H1381" t="str">
        <f>VLOOKUP($A1381, 'Medical Examinations'!A:J, 10, FALSE)</f>
        <v>No major surgery</v>
      </c>
      <c r="I1381" t="str">
        <f>VLOOKUP($A1381, 'Medical Examinations'!A:K, 11, FALSE)</f>
        <v>No</v>
      </c>
      <c r="J1381" t="str">
        <f>VLOOKUP($A1381, 'Medical Examinations'!A:B, 2, FALSE)</f>
        <v>Obesity</v>
      </c>
      <c r="K1381" t="str">
        <f>VLOOKUP($A1381, 'Medical Examinations'!A:D, 4, FALSE)</f>
        <v>Diabetes</v>
      </c>
    </row>
    <row r="1382" spans="1:11" ht="15.5" x14ac:dyDescent="0.35">
      <c r="A1382" s="1" t="s">
        <v>990</v>
      </c>
      <c r="B1382" t="str">
        <f>VLOOKUP($A1382, 'Customer Names'!A:D, 3, FALSE)</f>
        <v>Uribe</v>
      </c>
      <c r="C1382">
        <f>VLOOKUP($A1382,'Medical Examinations'!A:C, 3, FALSE)</f>
        <v>18.28</v>
      </c>
      <c r="D1382" t="str">
        <f>VLOOKUP($A1382, 'Medical Examinations'!A:D, 4, FALSE)</f>
        <v>Diabetes</v>
      </c>
      <c r="E1382" t="str">
        <f>VLOOKUP($A1382, 'Medical Examinations'!A:F, 6, FALSE)</f>
        <v>No</v>
      </c>
      <c r="F1382" t="str">
        <f>VLOOKUP($A1382, 'Medical Examinations'!A:G, 7, FALSE)</f>
        <v>No</v>
      </c>
      <c r="G1382" t="str">
        <f>VLOOKUP($A1382, 'Medical Examinations'!A:H, 8, FALSE)</f>
        <v>No</v>
      </c>
      <c r="H1382" t="str">
        <f>VLOOKUP($A1382, 'Medical Examinations'!A:J, 10, FALSE)</f>
        <v>No major surgery</v>
      </c>
      <c r="I1382" t="str">
        <f>VLOOKUP($A1382, 'Medical Examinations'!A:K, 11, FALSE)</f>
        <v>No</v>
      </c>
      <c r="J1382" t="str">
        <f>VLOOKUP($A1382, 'Medical Examinations'!A:B, 2, FALSE)</f>
        <v>Underweight</v>
      </c>
      <c r="K1382" t="str">
        <f>VLOOKUP($A1382, 'Medical Examinations'!A:D, 4, FALSE)</f>
        <v>Diabetes</v>
      </c>
    </row>
    <row r="1383" spans="1:11" ht="15.5" x14ac:dyDescent="0.35">
      <c r="A1383" s="1" t="s">
        <v>989</v>
      </c>
      <c r="B1383" t="str">
        <f>VLOOKUP($A1383, 'Customer Names'!A:D, 3, FALSE)</f>
        <v>Hand</v>
      </c>
      <c r="C1383">
        <f>VLOOKUP($A1383,'Medical Examinations'!A:C, 3, FALSE)</f>
        <v>35.814999999999998</v>
      </c>
      <c r="D1383" t="str">
        <f>VLOOKUP($A1383, 'Medical Examinations'!A:D, 4, FALSE)</f>
        <v>Prediabetes</v>
      </c>
      <c r="E1383" t="str">
        <f>VLOOKUP($A1383, 'Medical Examinations'!A:F, 6, FALSE)</f>
        <v>No</v>
      </c>
      <c r="F1383" t="str">
        <f>VLOOKUP($A1383, 'Medical Examinations'!A:G, 7, FALSE)</f>
        <v>No</v>
      </c>
      <c r="G1383" t="str">
        <f>VLOOKUP($A1383, 'Medical Examinations'!A:H, 8, FALSE)</f>
        <v>No</v>
      </c>
      <c r="H1383" t="str">
        <f>VLOOKUP($A1383, 'Medical Examinations'!A:J, 10, FALSE)</f>
        <v>No major surgery</v>
      </c>
      <c r="I1383" t="str">
        <f>VLOOKUP($A1383, 'Medical Examinations'!A:K, 11, FALSE)</f>
        <v>No</v>
      </c>
      <c r="J1383" t="str">
        <f>VLOOKUP($A1383, 'Medical Examinations'!A:B, 2, FALSE)</f>
        <v>Obesity</v>
      </c>
      <c r="K1383" t="str">
        <f>VLOOKUP($A1383, 'Medical Examinations'!A:D, 4, FALSE)</f>
        <v>Prediabetes</v>
      </c>
    </row>
    <row r="1384" spans="1:11" ht="15.5" x14ac:dyDescent="0.35">
      <c r="A1384" s="1" t="s">
        <v>988</v>
      </c>
      <c r="B1384" t="str">
        <f>VLOOKUP($A1384, 'Customer Names'!A:D, 3, FALSE)</f>
        <v>Petersen</v>
      </c>
      <c r="C1384">
        <f>VLOOKUP($A1384,'Medical Examinations'!A:C, 3, FALSE)</f>
        <v>30.69</v>
      </c>
      <c r="D1384" t="str">
        <f>VLOOKUP($A1384, 'Medical Examinations'!A:D, 4, FALSE)</f>
        <v>Diabetes</v>
      </c>
      <c r="E1384" t="str">
        <f>VLOOKUP($A1384, 'Medical Examinations'!A:F, 6, FALSE)</f>
        <v>No</v>
      </c>
      <c r="F1384" t="str">
        <f>VLOOKUP($A1384, 'Medical Examinations'!A:G, 7, FALSE)</f>
        <v>No</v>
      </c>
      <c r="G1384" t="str">
        <f>VLOOKUP($A1384, 'Medical Examinations'!A:H, 8, FALSE)</f>
        <v>No</v>
      </c>
      <c r="H1384" t="str">
        <f>VLOOKUP($A1384, 'Medical Examinations'!A:J, 10, FALSE)</f>
        <v>No major surgery</v>
      </c>
      <c r="I1384" t="str">
        <f>VLOOKUP($A1384, 'Medical Examinations'!A:K, 11, FALSE)</f>
        <v>No</v>
      </c>
      <c r="J1384" t="str">
        <f>VLOOKUP($A1384, 'Medical Examinations'!A:B, 2, FALSE)</f>
        <v>Obesity</v>
      </c>
      <c r="K1384" t="str">
        <f>VLOOKUP($A1384, 'Medical Examinations'!A:D, 4, FALSE)</f>
        <v>Diabetes</v>
      </c>
    </row>
    <row r="1385" spans="1:11" ht="15.5" x14ac:dyDescent="0.35">
      <c r="A1385" s="1" t="s">
        <v>987</v>
      </c>
      <c r="B1385" t="str">
        <f>VLOOKUP($A1385, 'Customer Names'!A:D, 3, FALSE)</f>
        <v>Mac-Thiong</v>
      </c>
      <c r="C1385">
        <f>VLOOKUP($A1385,'Medical Examinations'!A:C, 3, FALSE)</f>
        <v>26.125</v>
      </c>
      <c r="D1385" t="str">
        <f>VLOOKUP($A1385, 'Medical Examinations'!A:D, 4, FALSE)</f>
        <v>Normal</v>
      </c>
      <c r="E1385" t="str">
        <f>VLOOKUP($A1385, 'Medical Examinations'!A:F, 6, FALSE)</f>
        <v>No</v>
      </c>
      <c r="F1385" t="str">
        <f>VLOOKUP($A1385, 'Medical Examinations'!A:G, 7, FALSE)</f>
        <v>No</v>
      </c>
      <c r="G1385" t="str">
        <f>VLOOKUP($A1385, 'Medical Examinations'!A:H, 8, FALSE)</f>
        <v>No</v>
      </c>
      <c r="H1385" t="str">
        <f>VLOOKUP($A1385, 'Medical Examinations'!A:J, 10, FALSE)</f>
        <v>No major surgery</v>
      </c>
      <c r="I1385" t="str">
        <f>VLOOKUP($A1385, 'Medical Examinations'!A:K, 11, FALSE)</f>
        <v>No</v>
      </c>
      <c r="J1385" t="str">
        <f>VLOOKUP($A1385, 'Medical Examinations'!A:B, 2, FALSE)</f>
        <v>Overweight</v>
      </c>
      <c r="K1385" t="str">
        <f>VLOOKUP($A1385, 'Medical Examinations'!A:D, 4, FALSE)</f>
        <v>Normal</v>
      </c>
    </row>
    <row r="1386" spans="1:11" ht="15.5" x14ac:dyDescent="0.35">
      <c r="A1386" s="1" t="s">
        <v>986</v>
      </c>
      <c r="B1386" t="str">
        <f>VLOOKUP($A1386, 'Customer Names'!A:D, 3, FALSE)</f>
        <v>Walker</v>
      </c>
      <c r="C1386">
        <f>VLOOKUP($A1386,'Medical Examinations'!A:C, 3, FALSE)</f>
        <v>34.58</v>
      </c>
      <c r="D1386" t="str">
        <f>VLOOKUP($A1386, 'Medical Examinations'!A:D, 4, FALSE)</f>
        <v>Prediabetes</v>
      </c>
      <c r="E1386" t="str">
        <f>VLOOKUP($A1386, 'Medical Examinations'!A:F, 6, FALSE)</f>
        <v>No</v>
      </c>
      <c r="F1386" t="str">
        <f>VLOOKUP($A1386, 'Medical Examinations'!A:G, 7, FALSE)</f>
        <v>No</v>
      </c>
      <c r="G1386" t="str">
        <f>VLOOKUP($A1386, 'Medical Examinations'!A:H, 8, FALSE)</f>
        <v>Yes</v>
      </c>
      <c r="H1386">
        <f>VLOOKUP($A1386, 'Medical Examinations'!A:J, 10, FALSE)</f>
        <v>1</v>
      </c>
      <c r="I1386" t="str">
        <f>VLOOKUP($A1386, 'Medical Examinations'!A:K, 11, FALSE)</f>
        <v>No</v>
      </c>
      <c r="J1386" t="str">
        <f>VLOOKUP($A1386, 'Medical Examinations'!A:B, 2, FALSE)</f>
        <v>Obesity</v>
      </c>
      <c r="K1386" t="str">
        <f>VLOOKUP($A1386, 'Medical Examinations'!A:D, 4, FALSE)</f>
        <v>Prediabetes</v>
      </c>
    </row>
    <row r="1387" spans="1:11" ht="15.5" x14ac:dyDescent="0.35">
      <c r="A1387" s="1" t="s">
        <v>985</v>
      </c>
      <c r="B1387" t="str">
        <f>VLOOKUP($A1387, 'Customer Names'!A:D, 3, FALSE)</f>
        <v>Steidl</v>
      </c>
      <c r="C1387">
        <f>VLOOKUP($A1387,'Medical Examinations'!A:C, 3, FALSE)</f>
        <v>27.4</v>
      </c>
      <c r="D1387" t="str">
        <f>VLOOKUP($A1387, 'Medical Examinations'!A:D, 4, FALSE)</f>
        <v>Diabetes</v>
      </c>
      <c r="E1387" t="str">
        <f>VLOOKUP($A1387, 'Medical Examinations'!A:F, 6, FALSE)</f>
        <v>No</v>
      </c>
      <c r="F1387" t="str">
        <f>VLOOKUP($A1387, 'Medical Examinations'!A:G, 7, FALSE)</f>
        <v>No</v>
      </c>
      <c r="G1387" t="str">
        <f>VLOOKUP($A1387, 'Medical Examinations'!A:H, 8, FALSE)</f>
        <v>No</v>
      </c>
      <c r="H1387" t="str">
        <f>VLOOKUP($A1387, 'Medical Examinations'!A:J, 10, FALSE)</f>
        <v>No major surgery</v>
      </c>
      <c r="I1387" t="str">
        <f>VLOOKUP($A1387, 'Medical Examinations'!A:K, 11, FALSE)</f>
        <v>No</v>
      </c>
      <c r="J1387" t="str">
        <f>VLOOKUP($A1387, 'Medical Examinations'!A:B, 2, FALSE)</f>
        <v>Overweight</v>
      </c>
      <c r="K1387" t="str">
        <f>VLOOKUP($A1387, 'Medical Examinations'!A:D, 4, FALSE)</f>
        <v>Diabetes</v>
      </c>
    </row>
    <row r="1388" spans="1:11" ht="15.5" x14ac:dyDescent="0.35">
      <c r="A1388" s="1" t="s">
        <v>984</v>
      </c>
      <c r="B1388" t="str">
        <f>VLOOKUP($A1388, 'Customer Names'!A:D, 3, FALSE)</f>
        <v>Rose</v>
      </c>
      <c r="C1388">
        <f>VLOOKUP($A1388,'Medical Examinations'!A:C, 3, FALSE)</f>
        <v>27.53</v>
      </c>
      <c r="D1388" t="str">
        <f>VLOOKUP($A1388, 'Medical Examinations'!A:D, 4, FALSE)</f>
        <v>Normal</v>
      </c>
      <c r="E1388" t="str">
        <f>VLOOKUP($A1388, 'Medical Examinations'!A:F, 6, FALSE)</f>
        <v>No</v>
      </c>
      <c r="F1388" t="str">
        <f>VLOOKUP($A1388, 'Medical Examinations'!A:G, 7, FALSE)</f>
        <v>No</v>
      </c>
      <c r="G1388" t="str">
        <f>VLOOKUP($A1388, 'Medical Examinations'!A:H, 8, FALSE)</f>
        <v>No</v>
      </c>
      <c r="H1388">
        <f>VLOOKUP($A1388, 'Medical Examinations'!A:J, 10, FALSE)</f>
        <v>1</v>
      </c>
      <c r="I1388" t="str">
        <f>VLOOKUP($A1388, 'Medical Examinations'!A:K, 11, FALSE)</f>
        <v>No</v>
      </c>
      <c r="J1388" t="str">
        <f>VLOOKUP($A1388, 'Medical Examinations'!A:B, 2, FALSE)</f>
        <v>Overweight</v>
      </c>
      <c r="K1388" t="str">
        <f>VLOOKUP($A1388, 'Medical Examinations'!A:D, 4, FALSE)</f>
        <v>Normal</v>
      </c>
    </row>
    <row r="1389" spans="1:11" ht="15.5" x14ac:dyDescent="0.35">
      <c r="A1389" s="1" t="s">
        <v>983</v>
      </c>
      <c r="B1389" t="str">
        <f>VLOOKUP($A1389, 'Customer Names'!A:D, 3, FALSE)</f>
        <v>Alderfer</v>
      </c>
      <c r="C1389">
        <f>VLOOKUP($A1389,'Medical Examinations'!A:C, 3, FALSE)</f>
        <v>33</v>
      </c>
      <c r="D1389" t="str">
        <f>VLOOKUP($A1389, 'Medical Examinations'!A:D, 4, FALSE)</f>
        <v>Normal</v>
      </c>
      <c r="E1389" t="str">
        <f>VLOOKUP($A1389, 'Medical Examinations'!A:F, 6, FALSE)</f>
        <v>No</v>
      </c>
      <c r="F1389" t="str">
        <f>VLOOKUP($A1389, 'Medical Examinations'!A:G, 7, FALSE)</f>
        <v>No</v>
      </c>
      <c r="G1389" t="str">
        <f>VLOOKUP($A1389, 'Medical Examinations'!A:H, 8, FALSE)</f>
        <v>No</v>
      </c>
      <c r="H1389" t="str">
        <f>VLOOKUP($A1389, 'Medical Examinations'!A:J, 10, FALSE)</f>
        <v>No major surgery</v>
      </c>
      <c r="I1389" t="str">
        <f>VLOOKUP($A1389, 'Medical Examinations'!A:K, 11, FALSE)</f>
        <v>No</v>
      </c>
      <c r="J1389" t="str">
        <f>VLOOKUP($A1389, 'Medical Examinations'!A:B, 2, FALSE)</f>
        <v>Obesity</v>
      </c>
      <c r="K1389" t="str">
        <f>VLOOKUP($A1389, 'Medical Examinations'!A:D, 4, FALSE)</f>
        <v>Normal</v>
      </c>
    </row>
    <row r="1390" spans="1:11" ht="15.5" x14ac:dyDescent="0.35">
      <c r="A1390" s="1" t="s">
        <v>982</v>
      </c>
      <c r="B1390" t="str">
        <f>VLOOKUP($A1390, 'Customer Names'!A:D, 3, FALSE)</f>
        <v>Ryland</v>
      </c>
      <c r="C1390">
        <f>VLOOKUP($A1390,'Medical Examinations'!A:C, 3, FALSE)</f>
        <v>25.78</v>
      </c>
      <c r="D1390" t="str">
        <f>VLOOKUP($A1390, 'Medical Examinations'!A:D, 4, FALSE)</f>
        <v>Diabetes</v>
      </c>
      <c r="E1390" t="str">
        <f>VLOOKUP($A1390, 'Medical Examinations'!A:F, 6, FALSE)</f>
        <v>yes</v>
      </c>
      <c r="F1390" t="str">
        <f>VLOOKUP($A1390, 'Medical Examinations'!A:G, 7, FALSE)</f>
        <v>No</v>
      </c>
      <c r="G1390" t="str">
        <f>VLOOKUP($A1390, 'Medical Examinations'!A:H, 8, FALSE)</f>
        <v>No</v>
      </c>
      <c r="H1390" t="str">
        <f>VLOOKUP($A1390, 'Medical Examinations'!A:J, 10, FALSE)</f>
        <v>No major surgery</v>
      </c>
      <c r="I1390" t="str">
        <f>VLOOKUP($A1390, 'Medical Examinations'!A:K, 11, FALSE)</f>
        <v>No</v>
      </c>
      <c r="J1390" t="str">
        <f>VLOOKUP($A1390, 'Medical Examinations'!A:B, 2, FALSE)</f>
        <v>Overweight</v>
      </c>
      <c r="K1390" t="str">
        <f>VLOOKUP($A1390, 'Medical Examinations'!A:D, 4, FALSE)</f>
        <v>Diabetes</v>
      </c>
    </row>
    <row r="1391" spans="1:11" ht="15.5" x14ac:dyDescent="0.35">
      <c r="A1391" s="1" t="s">
        <v>981</v>
      </c>
      <c r="B1391" t="str">
        <f>VLOOKUP($A1391, 'Customer Names'!A:D, 3, FALSE)</f>
        <v>Bethea</v>
      </c>
      <c r="C1391">
        <f>VLOOKUP($A1391,'Medical Examinations'!A:C, 3, FALSE)</f>
        <v>22.66</v>
      </c>
      <c r="D1391" t="str">
        <f>VLOOKUP($A1391, 'Medical Examinations'!A:D, 4, FALSE)</f>
        <v>Diabetes</v>
      </c>
      <c r="E1391" t="str">
        <f>VLOOKUP($A1391, 'Medical Examinations'!A:F, 6, FALSE)</f>
        <v>No</v>
      </c>
      <c r="F1391" t="str">
        <f>VLOOKUP($A1391, 'Medical Examinations'!A:G, 7, FALSE)</f>
        <v>No</v>
      </c>
      <c r="G1391" t="str">
        <f>VLOOKUP($A1391, 'Medical Examinations'!A:H, 8, FALSE)</f>
        <v>No</v>
      </c>
      <c r="H1391" t="str">
        <f>VLOOKUP($A1391, 'Medical Examinations'!A:J, 10, FALSE)</f>
        <v>No major surgery</v>
      </c>
      <c r="I1391" t="str">
        <f>VLOOKUP($A1391, 'Medical Examinations'!A:K, 11, FALSE)</f>
        <v>No</v>
      </c>
      <c r="J1391" t="str">
        <f>VLOOKUP($A1391, 'Medical Examinations'!A:B, 2, FALSE)</f>
        <v>Normal Weight</v>
      </c>
      <c r="K1391" t="str">
        <f>VLOOKUP($A1391, 'Medical Examinations'!A:D, 4, FALSE)</f>
        <v>Diabetes</v>
      </c>
    </row>
    <row r="1392" spans="1:11" ht="15.5" x14ac:dyDescent="0.35">
      <c r="A1392" s="1" t="s">
        <v>980</v>
      </c>
      <c r="B1392" t="str">
        <f>VLOOKUP($A1392, 'Customer Names'!A:D, 3, FALSE)</f>
        <v>Kelly</v>
      </c>
      <c r="C1392">
        <f>VLOOKUP($A1392,'Medical Examinations'!A:C, 3, FALSE)</f>
        <v>38.81</v>
      </c>
      <c r="D1392" t="str">
        <f>VLOOKUP($A1392, 'Medical Examinations'!A:D, 4, FALSE)</f>
        <v>Prediabetes</v>
      </c>
      <c r="E1392" t="str">
        <f>VLOOKUP($A1392, 'Medical Examinations'!A:F, 6, FALSE)</f>
        <v>yes</v>
      </c>
      <c r="F1392" t="str">
        <f>VLOOKUP($A1392, 'Medical Examinations'!A:G, 7, FALSE)</f>
        <v>No</v>
      </c>
      <c r="G1392" t="str">
        <f>VLOOKUP($A1392, 'Medical Examinations'!A:H, 8, FALSE)</f>
        <v>No</v>
      </c>
      <c r="H1392">
        <f>VLOOKUP($A1392, 'Medical Examinations'!A:J, 10, FALSE)</f>
        <v>1</v>
      </c>
      <c r="I1392" t="str">
        <f>VLOOKUP($A1392, 'Medical Examinations'!A:K, 11, FALSE)</f>
        <v>No</v>
      </c>
      <c r="J1392" t="str">
        <f>VLOOKUP($A1392, 'Medical Examinations'!A:B, 2, FALSE)</f>
        <v>Obesity</v>
      </c>
      <c r="K1392" t="str">
        <f>VLOOKUP($A1392, 'Medical Examinations'!A:D, 4, FALSE)</f>
        <v>Prediabetes</v>
      </c>
    </row>
    <row r="1393" spans="1:11" ht="15.5" x14ac:dyDescent="0.35">
      <c r="A1393" s="1" t="s">
        <v>979</v>
      </c>
      <c r="B1393" t="str">
        <f>VLOOKUP($A1393, 'Customer Names'!A:D, 3, FALSE)</f>
        <v>Blois</v>
      </c>
      <c r="C1393">
        <f>VLOOKUP($A1393,'Medical Examinations'!A:C, 3, FALSE)</f>
        <v>38.51</v>
      </c>
      <c r="D1393" t="str">
        <f>VLOOKUP($A1393, 'Medical Examinations'!A:D, 4, FALSE)</f>
        <v>Normal</v>
      </c>
      <c r="E1393" t="str">
        <f>VLOOKUP($A1393, 'Medical Examinations'!A:F, 6, FALSE)</f>
        <v>yes</v>
      </c>
      <c r="F1393" t="str">
        <f>VLOOKUP($A1393, 'Medical Examinations'!A:G, 7, FALSE)</f>
        <v>No</v>
      </c>
      <c r="G1393" t="str">
        <f>VLOOKUP($A1393, 'Medical Examinations'!A:H, 8, FALSE)</f>
        <v>No</v>
      </c>
      <c r="H1393" t="str">
        <f>VLOOKUP($A1393, 'Medical Examinations'!A:J, 10, FALSE)</f>
        <v>No major surgery</v>
      </c>
      <c r="I1393" t="str">
        <f>VLOOKUP($A1393, 'Medical Examinations'!A:K, 11, FALSE)</f>
        <v>No</v>
      </c>
      <c r="J1393" t="str">
        <f>VLOOKUP($A1393, 'Medical Examinations'!A:B, 2, FALSE)</f>
        <v>Obesity</v>
      </c>
      <c r="K1393" t="str">
        <f>VLOOKUP($A1393, 'Medical Examinations'!A:D, 4, FALSE)</f>
        <v>Normal</v>
      </c>
    </row>
    <row r="1394" spans="1:11" ht="15.5" x14ac:dyDescent="0.35">
      <c r="A1394" s="1" t="s">
        <v>978</v>
      </c>
      <c r="B1394" t="str">
        <f>VLOOKUP($A1394, 'Customer Names'!A:D, 3, FALSE)</f>
        <v>Dayton</v>
      </c>
      <c r="C1394">
        <f>VLOOKUP($A1394,'Medical Examinations'!A:C, 3, FALSE)</f>
        <v>22.98</v>
      </c>
      <c r="D1394" t="str">
        <f>VLOOKUP($A1394, 'Medical Examinations'!A:D, 4, FALSE)</f>
        <v>Prediabetes</v>
      </c>
      <c r="E1394" t="str">
        <f>VLOOKUP($A1394, 'Medical Examinations'!A:F, 6, FALSE)</f>
        <v>yes</v>
      </c>
      <c r="F1394" t="str">
        <f>VLOOKUP($A1394, 'Medical Examinations'!A:G, 7, FALSE)</f>
        <v>No</v>
      </c>
      <c r="G1394" t="str">
        <f>VLOOKUP($A1394, 'Medical Examinations'!A:H, 8, FALSE)</f>
        <v>No</v>
      </c>
      <c r="H1394" t="str">
        <f>VLOOKUP($A1394, 'Medical Examinations'!A:J, 10, FALSE)</f>
        <v>No major surgery</v>
      </c>
      <c r="I1394" t="str">
        <f>VLOOKUP($A1394, 'Medical Examinations'!A:K, 11, FALSE)</f>
        <v>No</v>
      </c>
      <c r="J1394" t="str">
        <f>VLOOKUP($A1394, 'Medical Examinations'!A:B, 2, FALSE)</f>
        <v>Normal Weight</v>
      </c>
      <c r="K1394" t="str">
        <f>VLOOKUP($A1394, 'Medical Examinations'!A:D, 4, FALSE)</f>
        <v>Prediabetes</v>
      </c>
    </row>
    <row r="1395" spans="1:11" ht="15.5" x14ac:dyDescent="0.35">
      <c r="A1395" s="1" t="s">
        <v>977</v>
      </c>
      <c r="B1395" t="str">
        <f>VLOOKUP($A1395, 'Customer Names'!A:D, 3, FALSE)</f>
        <v>Cloud</v>
      </c>
      <c r="C1395">
        <f>VLOOKUP($A1395,'Medical Examinations'!A:C, 3, FALSE)</f>
        <v>15.65</v>
      </c>
      <c r="D1395" t="str">
        <f>VLOOKUP($A1395, 'Medical Examinations'!A:D, 4, FALSE)</f>
        <v>Diabetes</v>
      </c>
      <c r="E1395" t="str">
        <f>VLOOKUP($A1395, 'Medical Examinations'!A:F, 6, FALSE)</f>
        <v>No</v>
      </c>
      <c r="F1395" t="str">
        <f>VLOOKUP($A1395, 'Medical Examinations'!A:G, 7, FALSE)</f>
        <v>No</v>
      </c>
      <c r="G1395" t="str">
        <f>VLOOKUP($A1395, 'Medical Examinations'!A:H, 8, FALSE)</f>
        <v>No</v>
      </c>
      <c r="H1395" t="str">
        <f>VLOOKUP($A1395, 'Medical Examinations'!A:J, 10, FALSE)</f>
        <v>No major surgery</v>
      </c>
      <c r="I1395" t="str">
        <f>VLOOKUP($A1395, 'Medical Examinations'!A:K, 11, FALSE)</f>
        <v>No</v>
      </c>
      <c r="J1395" t="str">
        <f>VLOOKUP($A1395, 'Medical Examinations'!A:B, 2, FALSE)</f>
        <v>Underweight</v>
      </c>
      <c r="K1395" t="str">
        <f>VLOOKUP($A1395, 'Medical Examinations'!A:D, 4, FALSE)</f>
        <v>Diabetes</v>
      </c>
    </row>
    <row r="1396" spans="1:11" ht="15.5" x14ac:dyDescent="0.35">
      <c r="A1396" s="1" t="s">
        <v>976</v>
      </c>
      <c r="B1396" t="str">
        <f>VLOOKUP($A1396, 'Customer Names'!A:D, 3, FALSE)</f>
        <v>Betournay</v>
      </c>
      <c r="C1396">
        <f>VLOOKUP($A1396,'Medical Examinations'!A:C, 3, FALSE)</f>
        <v>39.97</v>
      </c>
      <c r="D1396" t="str">
        <f>VLOOKUP($A1396, 'Medical Examinations'!A:D, 4, FALSE)</f>
        <v>Normal</v>
      </c>
      <c r="E1396" t="str">
        <f>VLOOKUP($A1396, 'Medical Examinations'!A:F, 6, FALSE)</f>
        <v>No</v>
      </c>
      <c r="F1396" t="str">
        <f>VLOOKUP($A1396, 'Medical Examinations'!A:G, 7, FALSE)</f>
        <v>No</v>
      </c>
      <c r="G1396" t="str">
        <f>VLOOKUP($A1396, 'Medical Examinations'!A:H, 8, FALSE)</f>
        <v>No</v>
      </c>
      <c r="H1396">
        <f>VLOOKUP($A1396, 'Medical Examinations'!A:J, 10, FALSE)</f>
        <v>1</v>
      </c>
      <c r="I1396" t="str">
        <f>VLOOKUP($A1396, 'Medical Examinations'!A:K, 11, FALSE)</f>
        <v>No</v>
      </c>
      <c r="J1396" t="str">
        <f>VLOOKUP($A1396, 'Medical Examinations'!A:B, 2, FALSE)</f>
        <v>Obesity</v>
      </c>
      <c r="K1396" t="str">
        <f>VLOOKUP($A1396, 'Medical Examinations'!A:D, 4, FALSE)</f>
        <v>Normal</v>
      </c>
    </row>
    <row r="1397" spans="1:11" ht="15.5" x14ac:dyDescent="0.35">
      <c r="A1397" s="1" t="s">
        <v>975</v>
      </c>
      <c r="B1397" t="str">
        <f>VLOOKUP($A1397, 'Customer Names'!A:D, 3, FALSE)</f>
        <v>Temple</v>
      </c>
      <c r="C1397">
        <f>VLOOKUP($A1397,'Medical Examinations'!A:C, 3, FALSE)</f>
        <v>37.22</v>
      </c>
      <c r="D1397" t="str">
        <f>VLOOKUP($A1397, 'Medical Examinations'!A:D, 4, FALSE)</f>
        <v>Normal</v>
      </c>
      <c r="E1397" t="str">
        <f>VLOOKUP($A1397, 'Medical Examinations'!A:F, 6, FALSE)</f>
        <v>No</v>
      </c>
      <c r="F1397" t="str">
        <f>VLOOKUP($A1397, 'Medical Examinations'!A:G, 7, FALSE)</f>
        <v>No</v>
      </c>
      <c r="G1397" t="str">
        <f>VLOOKUP($A1397, 'Medical Examinations'!A:H, 8, FALSE)</f>
        <v>Yes</v>
      </c>
      <c r="H1397">
        <f>VLOOKUP($A1397, 'Medical Examinations'!A:J, 10, FALSE)</f>
        <v>1</v>
      </c>
      <c r="I1397" t="str">
        <f>VLOOKUP($A1397, 'Medical Examinations'!A:K, 11, FALSE)</f>
        <v>No</v>
      </c>
      <c r="J1397" t="str">
        <f>VLOOKUP($A1397, 'Medical Examinations'!A:B, 2, FALSE)</f>
        <v>Obesity</v>
      </c>
      <c r="K1397" t="str">
        <f>VLOOKUP($A1397, 'Medical Examinations'!A:D, 4, FALSE)</f>
        <v>Normal</v>
      </c>
    </row>
    <row r="1398" spans="1:11" ht="15.5" x14ac:dyDescent="0.35">
      <c r="A1398" s="1" t="s">
        <v>974</v>
      </c>
      <c r="B1398" t="str">
        <f>VLOOKUP($A1398, 'Customer Names'!A:D, 3, FALSE)</f>
        <v>Rollie</v>
      </c>
      <c r="C1398">
        <f>VLOOKUP($A1398,'Medical Examinations'!A:C, 3, FALSE)</f>
        <v>41.325000000000003</v>
      </c>
      <c r="D1398" t="str">
        <f>VLOOKUP($A1398, 'Medical Examinations'!A:D, 4, FALSE)</f>
        <v>Prediabetes</v>
      </c>
      <c r="E1398" t="str">
        <f>VLOOKUP($A1398, 'Medical Examinations'!A:F, 6, FALSE)</f>
        <v>No</v>
      </c>
      <c r="F1398" t="str">
        <f>VLOOKUP($A1398, 'Medical Examinations'!A:G, 7, FALSE)</f>
        <v>No</v>
      </c>
      <c r="G1398" t="str">
        <f>VLOOKUP($A1398, 'Medical Examinations'!A:H, 8, FALSE)</f>
        <v>No</v>
      </c>
      <c r="H1398" t="str">
        <f>VLOOKUP($A1398, 'Medical Examinations'!A:J, 10, FALSE)</f>
        <v>No major surgery</v>
      </c>
      <c r="I1398" t="str">
        <f>VLOOKUP($A1398, 'Medical Examinations'!A:K, 11, FALSE)</f>
        <v>No</v>
      </c>
      <c r="J1398" t="str">
        <f>VLOOKUP($A1398, 'Medical Examinations'!A:B, 2, FALSE)</f>
        <v>Obesity</v>
      </c>
      <c r="K1398" t="str">
        <f>VLOOKUP($A1398, 'Medical Examinations'!A:D, 4, FALSE)</f>
        <v>Prediabetes</v>
      </c>
    </row>
    <row r="1399" spans="1:11" ht="15.5" x14ac:dyDescent="0.35">
      <c r="A1399" s="1" t="s">
        <v>973</v>
      </c>
      <c r="B1399" t="str">
        <f>VLOOKUP($A1399, 'Customer Names'!A:D, 3, FALSE)</f>
        <v>Roybal</v>
      </c>
      <c r="C1399">
        <f>VLOOKUP($A1399,'Medical Examinations'!A:C, 3, FALSE)</f>
        <v>40.31</v>
      </c>
      <c r="D1399" t="str">
        <f>VLOOKUP($A1399, 'Medical Examinations'!A:D, 4, FALSE)</f>
        <v>Prediabetes</v>
      </c>
      <c r="E1399" t="str">
        <f>VLOOKUP($A1399, 'Medical Examinations'!A:F, 6, FALSE)</f>
        <v>No</v>
      </c>
      <c r="F1399" t="str">
        <f>VLOOKUP($A1399, 'Medical Examinations'!A:G, 7, FALSE)</f>
        <v>No</v>
      </c>
      <c r="G1399" t="str">
        <f>VLOOKUP($A1399, 'Medical Examinations'!A:H, 8, FALSE)</f>
        <v>No</v>
      </c>
      <c r="H1399" t="str">
        <f>VLOOKUP($A1399, 'Medical Examinations'!A:J, 10, FALSE)</f>
        <v>No major surgery</v>
      </c>
      <c r="I1399" t="str">
        <f>VLOOKUP($A1399, 'Medical Examinations'!A:K, 11, FALSE)</f>
        <v>No</v>
      </c>
      <c r="J1399" t="str">
        <f>VLOOKUP($A1399, 'Medical Examinations'!A:B, 2, FALSE)</f>
        <v>Obesity</v>
      </c>
      <c r="K1399" t="str">
        <f>VLOOKUP($A1399, 'Medical Examinations'!A:D, 4, FALSE)</f>
        <v>Prediabetes</v>
      </c>
    </row>
    <row r="1400" spans="1:11" ht="15.5" x14ac:dyDescent="0.35">
      <c r="A1400" s="1" t="s">
        <v>972</v>
      </c>
      <c r="B1400" t="str">
        <f>VLOOKUP($A1400, 'Customer Names'!A:D, 3, FALSE)</f>
        <v>Turgeon</v>
      </c>
      <c r="C1400">
        <f>VLOOKUP($A1400,'Medical Examinations'!A:C, 3, FALSE)</f>
        <v>29.48</v>
      </c>
      <c r="D1400" t="str">
        <f>VLOOKUP($A1400, 'Medical Examinations'!A:D, 4, FALSE)</f>
        <v>Normal</v>
      </c>
      <c r="E1400" t="str">
        <f>VLOOKUP($A1400, 'Medical Examinations'!A:F, 6, FALSE)</f>
        <v>No</v>
      </c>
      <c r="F1400" t="str">
        <f>VLOOKUP($A1400, 'Medical Examinations'!A:G, 7, FALSE)</f>
        <v>No</v>
      </c>
      <c r="G1400" t="str">
        <f>VLOOKUP($A1400, 'Medical Examinations'!A:H, 8, FALSE)</f>
        <v>No</v>
      </c>
      <c r="H1400" t="str">
        <f>VLOOKUP($A1400, 'Medical Examinations'!A:J, 10, FALSE)</f>
        <v>No major surgery</v>
      </c>
      <c r="I1400" t="str">
        <f>VLOOKUP($A1400, 'Medical Examinations'!A:K, 11, FALSE)</f>
        <v>No</v>
      </c>
      <c r="J1400" t="str">
        <f>VLOOKUP($A1400, 'Medical Examinations'!A:B, 2, FALSE)</f>
        <v>Overweight</v>
      </c>
      <c r="K1400" t="str">
        <f>VLOOKUP($A1400, 'Medical Examinations'!A:D, 4, FALSE)</f>
        <v>Normal</v>
      </c>
    </row>
    <row r="1401" spans="1:11" ht="15.5" x14ac:dyDescent="0.35">
      <c r="A1401" s="1" t="s">
        <v>971</v>
      </c>
      <c r="B1401" t="str">
        <f>VLOOKUP($A1401, 'Customer Names'!A:D, 3, FALSE)</f>
        <v>Deingenis</v>
      </c>
      <c r="C1401">
        <f>VLOOKUP($A1401,'Medical Examinations'!A:C, 3, FALSE)</f>
        <v>33.155000000000001</v>
      </c>
      <c r="D1401" t="str">
        <f>VLOOKUP($A1401, 'Medical Examinations'!A:D, 4, FALSE)</f>
        <v>Normal</v>
      </c>
      <c r="E1401" t="str">
        <f>VLOOKUP($A1401, 'Medical Examinations'!A:F, 6, FALSE)</f>
        <v>No</v>
      </c>
      <c r="F1401" t="str">
        <f>VLOOKUP($A1401, 'Medical Examinations'!A:G, 7, FALSE)</f>
        <v>No</v>
      </c>
      <c r="G1401" t="str">
        <f>VLOOKUP($A1401, 'Medical Examinations'!A:H, 8, FALSE)</f>
        <v>No</v>
      </c>
      <c r="H1401" t="str">
        <f>VLOOKUP($A1401, 'Medical Examinations'!A:J, 10, FALSE)</f>
        <v>No major surgery</v>
      </c>
      <c r="I1401" t="str">
        <f>VLOOKUP($A1401, 'Medical Examinations'!A:K, 11, FALSE)</f>
        <v>No</v>
      </c>
      <c r="J1401" t="str">
        <f>VLOOKUP($A1401, 'Medical Examinations'!A:B, 2, FALSE)</f>
        <v>Obesity</v>
      </c>
      <c r="K1401" t="str">
        <f>VLOOKUP($A1401, 'Medical Examinations'!A:D, 4, FALSE)</f>
        <v>Normal</v>
      </c>
    </row>
    <row r="1402" spans="1:11" ht="15.5" x14ac:dyDescent="0.35">
      <c r="A1402" s="1" t="s">
        <v>970</v>
      </c>
      <c r="B1402" t="str">
        <f>VLOOKUP($A1402, 'Customer Names'!A:D, 3, FALSE)</f>
        <v>Hodge</v>
      </c>
      <c r="C1402">
        <f>VLOOKUP($A1402,'Medical Examinations'!A:C, 3, FALSE)</f>
        <v>42.85</v>
      </c>
      <c r="D1402" t="str">
        <f>VLOOKUP($A1402, 'Medical Examinations'!A:D, 4, FALSE)</f>
        <v>Prediabetes</v>
      </c>
      <c r="E1402" t="str">
        <f>VLOOKUP($A1402, 'Medical Examinations'!A:F, 6, FALSE)</f>
        <v>yes</v>
      </c>
      <c r="F1402" t="str">
        <f>VLOOKUP($A1402, 'Medical Examinations'!A:G, 7, FALSE)</f>
        <v>No</v>
      </c>
      <c r="G1402" t="str">
        <f>VLOOKUP($A1402, 'Medical Examinations'!A:H, 8, FALSE)</f>
        <v>No</v>
      </c>
      <c r="H1402" t="str">
        <f>VLOOKUP($A1402, 'Medical Examinations'!A:J, 10, FALSE)</f>
        <v>No major surgery</v>
      </c>
      <c r="I1402" t="str">
        <f>VLOOKUP($A1402, 'Medical Examinations'!A:K, 11, FALSE)</f>
        <v>No</v>
      </c>
      <c r="J1402" t="str">
        <f>VLOOKUP($A1402, 'Medical Examinations'!A:B, 2, FALSE)</f>
        <v>Obesity</v>
      </c>
      <c r="K1402" t="str">
        <f>VLOOKUP($A1402, 'Medical Examinations'!A:D, 4, FALSE)</f>
        <v>Prediabetes</v>
      </c>
    </row>
    <row r="1403" spans="1:11" ht="15.5" x14ac:dyDescent="0.35">
      <c r="A1403" s="1" t="s">
        <v>969</v>
      </c>
      <c r="B1403" t="str">
        <f>VLOOKUP($A1403, 'Customer Names'!A:D, 3, FALSE)</f>
        <v>Gibbs</v>
      </c>
      <c r="C1403">
        <f>VLOOKUP($A1403,'Medical Examinations'!A:C, 3, FALSE)</f>
        <v>32.340000000000003</v>
      </c>
      <c r="D1403" t="str">
        <f>VLOOKUP($A1403, 'Medical Examinations'!A:D, 4, FALSE)</f>
        <v>Diabetes</v>
      </c>
      <c r="E1403" t="str">
        <f>VLOOKUP($A1403, 'Medical Examinations'!A:F, 6, FALSE)</f>
        <v>No</v>
      </c>
      <c r="F1403" t="str">
        <f>VLOOKUP($A1403, 'Medical Examinations'!A:G, 7, FALSE)</f>
        <v>No</v>
      </c>
      <c r="G1403" t="str">
        <f>VLOOKUP($A1403, 'Medical Examinations'!A:H, 8, FALSE)</f>
        <v>No</v>
      </c>
      <c r="H1403" t="str">
        <f>VLOOKUP($A1403, 'Medical Examinations'!A:J, 10, FALSE)</f>
        <v>No major surgery</v>
      </c>
      <c r="I1403" t="str">
        <f>VLOOKUP($A1403, 'Medical Examinations'!A:K, 11, FALSE)</f>
        <v>No</v>
      </c>
      <c r="J1403" t="str">
        <f>VLOOKUP($A1403, 'Medical Examinations'!A:B, 2, FALSE)</f>
        <v>Obesity</v>
      </c>
      <c r="K1403" t="str">
        <f>VLOOKUP($A1403, 'Medical Examinations'!A:D, 4, FALSE)</f>
        <v>Diabetes</v>
      </c>
    </row>
    <row r="1404" spans="1:11" ht="15.5" x14ac:dyDescent="0.35">
      <c r="A1404" s="1" t="s">
        <v>968</v>
      </c>
      <c r="B1404" t="str">
        <f>VLOOKUP($A1404, 'Customer Names'!A:D, 3, FALSE)</f>
        <v>Trom</v>
      </c>
      <c r="C1404">
        <f>VLOOKUP($A1404,'Medical Examinations'!A:C, 3, FALSE)</f>
        <v>27.5</v>
      </c>
      <c r="D1404" t="str">
        <f>VLOOKUP($A1404, 'Medical Examinations'!A:D, 4, FALSE)</f>
        <v>Diabetes</v>
      </c>
      <c r="E1404" t="str">
        <f>VLOOKUP($A1404, 'Medical Examinations'!A:F, 6, FALSE)</f>
        <v>No</v>
      </c>
      <c r="F1404" t="str">
        <f>VLOOKUP($A1404, 'Medical Examinations'!A:G, 7, FALSE)</f>
        <v>No</v>
      </c>
      <c r="G1404" t="str">
        <f>VLOOKUP($A1404, 'Medical Examinations'!A:H, 8, FALSE)</f>
        <v>No</v>
      </c>
      <c r="H1404" t="str">
        <f>VLOOKUP($A1404, 'Medical Examinations'!A:J, 10, FALSE)</f>
        <v>No major surgery</v>
      </c>
      <c r="I1404" t="str">
        <f>VLOOKUP($A1404, 'Medical Examinations'!A:K, 11, FALSE)</f>
        <v>No</v>
      </c>
      <c r="J1404" t="str">
        <f>VLOOKUP($A1404, 'Medical Examinations'!A:B, 2, FALSE)</f>
        <v>Overweight</v>
      </c>
      <c r="K1404" t="str">
        <f>VLOOKUP($A1404, 'Medical Examinations'!A:D, 4, FALSE)</f>
        <v>Diabetes</v>
      </c>
    </row>
    <row r="1405" spans="1:11" ht="15.5" x14ac:dyDescent="0.35">
      <c r="A1405" s="1" t="s">
        <v>967</v>
      </c>
      <c r="B1405" t="str">
        <f>VLOOKUP($A1405, 'Customer Names'!A:D, 3, FALSE)</f>
        <v>Sizer</v>
      </c>
      <c r="C1405">
        <f>VLOOKUP($A1405,'Medical Examinations'!A:C, 3, FALSE)</f>
        <v>25.8</v>
      </c>
      <c r="D1405" t="str">
        <f>VLOOKUP($A1405, 'Medical Examinations'!A:D, 4, FALSE)</f>
        <v>Diabetes</v>
      </c>
      <c r="E1405" t="str">
        <f>VLOOKUP($A1405, 'Medical Examinations'!A:F, 6, FALSE)</f>
        <v>No</v>
      </c>
      <c r="F1405" t="str">
        <f>VLOOKUP($A1405, 'Medical Examinations'!A:G, 7, FALSE)</f>
        <v>No</v>
      </c>
      <c r="G1405" t="str">
        <f>VLOOKUP($A1405, 'Medical Examinations'!A:H, 8, FALSE)</f>
        <v>No</v>
      </c>
      <c r="H1405" t="str">
        <f>VLOOKUP($A1405, 'Medical Examinations'!A:J, 10, FALSE)</f>
        <v>No major surgery</v>
      </c>
      <c r="I1405" t="str">
        <f>VLOOKUP($A1405, 'Medical Examinations'!A:K, 11, FALSE)</f>
        <v>No</v>
      </c>
      <c r="J1405" t="str">
        <f>VLOOKUP($A1405, 'Medical Examinations'!A:B, 2, FALSE)</f>
        <v>Overweight</v>
      </c>
      <c r="K1405" t="str">
        <f>VLOOKUP($A1405, 'Medical Examinations'!A:D, 4, FALSE)</f>
        <v>Diabetes</v>
      </c>
    </row>
    <row r="1406" spans="1:11" ht="15.5" x14ac:dyDescent="0.35">
      <c r="A1406" s="1" t="s">
        <v>966</v>
      </c>
      <c r="B1406" t="str">
        <f>VLOOKUP($A1406, 'Customer Names'!A:D, 3, FALSE)</f>
        <v>Ellison</v>
      </c>
      <c r="C1406">
        <f>VLOOKUP($A1406,'Medical Examinations'!A:C, 3, FALSE)</f>
        <v>25</v>
      </c>
      <c r="D1406" t="str">
        <f>VLOOKUP($A1406, 'Medical Examinations'!A:D, 4, FALSE)</f>
        <v>Diabetes</v>
      </c>
      <c r="E1406" t="str">
        <f>VLOOKUP($A1406, 'Medical Examinations'!A:F, 6, FALSE)</f>
        <v>No</v>
      </c>
      <c r="F1406" t="str">
        <f>VLOOKUP($A1406, 'Medical Examinations'!A:G, 7, FALSE)</f>
        <v>No</v>
      </c>
      <c r="G1406" t="str">
        <f>VLOOKUP($A1406, 'Medical Examinations'!A:H, 8, FALSE)</f>
        <v>No</v>
      </c>
      <c r="H1406" t="str">
        <f>VLOOKUP($A1406, 'Medical Examinations'!A:J, 10, FALSE)</f>
        <v>No major surgery</v>
      </c>
      <c r="I1406" t="str">
        <f>VLOOKUP($A1406, 'Medical Examinations'!A:K, 11, FALSE)</f>
        <v>No</v>
      </c>
      <c r="J1406" t="str">
        <f>VLOOKUP($A1406, 'Medical Examinations'!A:B, 2, FALSE)</f>
        <v>Overweight</v>
      </c>
      <c r="K1406" t="str">
        <f>VLOOKUP($A1406, 'Medical Examinations'!A:D, 4, FALSE)</f>
        <v>Diabetes</v>
      </c>
    </row>
    <row r="1407" spans="1:11" ht="15.5" x14ac:dyDescent="0.35">
      <c r="A1407" s="1" t="s">
        <v>965</v>
      </c>
      <c r="B1407" t="str">
        <f>VLOOKUP($A1407, 'Customer Names'!A:D, 3, FALSE)</f>
        <v>Sulkowski</v>
      </c>
      <c r="C1407">
        <f>VLOOKUP($A1407,'Medical Examinations'!A:C, 3, FALSE)</f>
        <v>41.2</v>
      </c>
      <c r="D1407" t="str">
        <f>VLOOKUP($A1407, 'Medical Examinations'!A:D, 4, FALSE)</f>
        <v>Normal</v>
      </c>
      <c r="E1407" t="str">
        <f>VLOOKUP($A1407, 'Medical Examinations'!A:F, 6, FALSE)</f>
        <v>yes</v>
      </c>
      <c r="F1407" t="str">
        <f>VLOOKUP($A1407, 'Medical Examinations'!A:G, 7, FALSE)</f>
        <v>No</v>
      </c>
      <c r="G1407" t="str">
        <f>VLOOKUP($A1407, 'Medical Examinations'!A:H, 8, FALSE)</f>
        <v>No</v>
      </c>
      <c r="H1407" t="str">
        <f>VLOOKUP($A1407, 'Medical Examinations'!A:J, 10, FALSE)</f>
        <v>No major surgery</v>
      </c>
      <c r="I1407" t="str">
        <f>VLOOKUP($A1407, 'Medical Examinations'!A:K, 11, FALSE)</f>
        <v>No</v>
      </c>
      <c r="J1407" t="str">
        <f>VLOOKUP($A1407, 'Medical Examinations'!A:B, 2, FALSE)</f>
        <v>Obesity</v>
      </c>
      <c r="K1407" t="str">
        <f>VLOOKUP($A1407, 'Medical Examinations'!A:D, 4, FALSE)</f>
        <v>Normal</v>
      </c>
    </row>
    <row r="1408" spans="1:11" ht="15.5" x14ac:dyDescent="0.35">
      <c r="A1408" s="1" t="s">
        <v>964</v>
      </c>
      <c r="B1408" t="str">
        <f>VLOOKUP($A1408, 'Customer Names'!A:D, 3, FALSE)</f>
        <v>Maringo</v>
      </c>
      <c r="C1408">
        <f>VLOOKUP($A1408,'Medical Examinations'!A:C, 3, FALSE)</f>
        <v>17.78</v>
      </c>
      <c r="D1408" t="str">
        <f>VLOOKUP($A1408, 'Medical Examinations'!A:D, 4, FALSE)</f>
        <v>Diabetes</v>
      </c>
      <c r="E1408" t="str">
        <f>VLOOKUP($A1408, 'Medical Examinations'!A:F, 6, FALSE)</f>
        <v>No</v>
      </c>
      <c r="F1408" t="str">
        <f>VLOOKUP($A1408, 'Medical Examinations'!A:G, 7, FALSE)</f>
        <v>No</v>
      </c>
      <c r="G1408" t="str">
        <f>VLOOKUP($A1408, 'Medical Examinations'!A:H, 8, FALSE)</f>
        <v>No</v>
      </c>
      <c r="H1408" t="str">
        <f>VLOOKUP($A1408, 'Medical Examinations'!A:J, 10, FALSE)</f>
        <v>No major surgery</v>
      </c>
      <c r="I1408" t="str">
        <f>VLOOKUP($A1408, 'Medical Examinations'!A:K, 11, FALSE)</f>
        <v>No</v>
      </c>
      <c r="J1408" t="str">
        <f>VLOOKUP($A1408, 'Medical Examinations'!A:B, 2, FALSE)</f>
        <v>Underweight</v>
      </c>
      <c r="K1408" t="str">
        <f>VLOOKUP($A1408, 'Medical Examinations'!A:D, 4, FALSE)</f>
        <v>Diabetes</v>
      </c>
    </row>
    <row r="1409" spans="1:11" ht="15.5" x14ac:dyDescent="0.35">
      <c r="A1409" s="1" t="s">
        <v>963</v>
      </c>
      <c r="B1409" t="str">
        <f>VLOOKUP($A1409, 'Customer Names'!A:D, 3, FALSE)</f>
        <v>Lattin</v>
      </c>
      <c r="C1409">
        <f>VLOOKUP($A1409,'Medical Examinations'!A:C, 3, FALSE)</f>
        <v>40.119999999999997</v>
      </c>
      <c r="D1409" t="str">
        <f>VLOOKUP($A1409, 'Medical Examinations'!A:D, 4, FALSE)</f>
        <v>Prediabetes</v>
      </c>
      <c r="E1409" t="str">
        <f>VLOOKUP($A1409, 'Medical Examinations'!A:F, 6, FALSE)</f>
        <v>yes</v>
      </c>
      <c r="F1409" t="str">
        <f>VLOOKUP($A1409, 'Medical Examinations'!A:G, 7, FALSE)</f>
        <v>No</v>
      </c>
      <c r="G1409" t="str">
        <f>VLOOKUP($A1409, 'Medical Examinations'!A:H, 8, FALSE)</f>
        <v>Yes</v>
      </c>
      <c r="H1409">
        <f>VLOOKUP($A1409, 'Medical Examinations'!A:J, 10, FALSE)</f>
        <v>1</v>
      </c>
      <c r="I1409" t="str">
        <f>VLOOKUP($A1409, 'Medical Examinations'!A:K, 11, FALSE)</f>
        <v>No</v>
      </c>
      <c r="J1409" t="str">
        <f>VLOOKUP($A1409, 'Medical Examinations'!A:B, 2, FALSE)</f>
        <v>Obesity</v>
      </c>
      <c r="K1409" t="str">
        <f>VLOOKUP($A1409, 'Medical Examinations'!A:D, 4, FALSE)</f>
        <v>Prediabetes</v>
      </c>
    </row>
    <row r="1410" spans="1:11" ht="15.5" x14ac:dyDescent="0.35">
      <c r="A1410" s="1" t="s">
        <v>962</v>
      </c>
      <c r="B1410" t="str">
        <f>VLOOKUP($A1410, 'Customer Names'!A:D, 3, FALSE)</f>
        <v>Deblander</v>
      </c>
      <c r="C1410">
        <f>VLOOKUP($A1410,'Medical Examinations'!A:C, 3, FALSE)</f>
        <v>19.350000000000001</v>
      </c>
      <c r="D1410" t="str">
        <f>VLOOKUP($A1410, 'Medical Examinations'!A:D, 4, FALSE)</f>
        <v>Diabetes</v>
      </c>
      <c r="E1410" t="str">
        <f>VLOOKUP($A1410, 'Medical Examinations'!A:F, 6, FALSE)</f>
        <v>yes</v>
      </c>
      <c r="F1410" t="str">
        <f>VLOOKUP($A1410, 'Medical Examinations'!A:G, 7, FALSE)</f>
        <v>No</v>
      </c>
      <c r="G1410" t="str">
        <f>VLOOKUP($A1410, 'Medical Examinations'!A:H, 8, FALSE)</f>
        <v>No</v>
      </c>
      <c r="H1410" t="str">
        <f>VLOOKUP($A1410, 'Medical Examinations'!A:J, 10, FALSE)</f>
        <v>No major surgery</v>
      </c>
      <c r="I1410" t="str">
        <f>VLOOKUP($A1410, 'Medical Examinations'!A:K, 11, FALSE)</f>
        <v>No</v>
      </c>
      <c r="J1410" t="str">
        <f>VLOOKUP($A1410, 'Medical Examinations'!A:B, 2, FALSE)</f>
        <v>Normal Weight</v>
      </c>
      <c r="K1410" t="str">
        <f>VLOOKUP($A1410, 'Medical Examinations'!A:D, 4, FALSE)</f>
        <v>Diabetes</v>
      </c>
    </row>
    <row r="1411" spans="1:11" ht="15.5" x14ac:dyDescent="0.35">
      <c r="A1411" s="1" t="s">
        <v>961</v>
      </c>
      <c r="B1411" t="str">
        <f>VLOOKUP($A1411, 'Customer Names'!A:D, 3, FALSE)</f>
        <v>O'Neill</v>
      </c>
      <c r="C1411">
        <f>VLOOKUP($A1411,'Medical Examinations'!A:C, 3, FALSE)</f>
        <v>36.69</v>
      </c>
      <c r="D1411" t="str">
        <f>VLOOKUP($A1411, 'Medical Examinations'!A:D, 4, FALSE)</f>
        <v>Prediabetes</v>
      </c>
      <c r="E1411" t="str">
        <f>VLOOKUP($A1411, 'Medical Examinations'!A:F, 6, FALSE)</f>
        <v>No</v>
      </c>
      <c r="F1411" t="str">
        <f>VLOOKUP($A1411, 'Medical Examinations'!A:G, 7, FALSE)</f>
        <v>No</v>
      </c>
      <c r="G1411" t="str">
        <f>VLOOKUP($A1411, 'Medical Examinations'!A:H, 8, FALSE)</f>
        <v>No</v>
      </c>
      <c r="H1411" t="str">
        <f>VLOOKUP($A1411, 'Medical Examinations'!A:J, 10, FALSE)</f>
        <v>No major surgery</v>
      </c>
      <c r="I1411" t="str">
        <f>VLOOKUP($A1411, 'Medical Examinations'!A:K, 11, FALSE)</f>
        <v>No</v>
      </c>
      <c r="J1411" t="str">
        <f>VLOOKUP($A1411, 'Medical Examinations'!A:B, 2, FALSE)</f>
        <v>Obesity</v>
      </c>
      <c r="K1411" t="str">
        <f>VLOOKUP($A1411, 'Medical Examinations'!A:D, 4, FALSE)</f>
        <v>Prediabetes</v>
      </c>
    </row>
    <row r="1412" spans="1:11" ht="15.5" x14ac:dyDescent="0.35">
      <c r="A1412" s="1" t="s">
        <v>960</v>
      </c>
      <c r="B1412" t="str">
        <f>VLOOKUP($A1412, 'Customer Names'!A:D, 3, FALSE)</f>
        <v>Davis</v>
      </c>
      <c r="C1412">
        <f>VLOOKUP($A1412,'Medical Examinations'!A:C, 3, FALSE)</f>
        <v>28.51</v>
      </c>
      <c r="D1412" t="str">
        <f>VLOOKUP($A1412, 'Medical Examinations'!A:D, 4, FALSE)</f>
        <v>Normal</v>
      </c>
      <c r="E1412" t="str">
        <f>VLOOKUP($A1412, 'Medical Examinations'!A:F, 6, FALSE)</f>
        <v>yes</v>
      </c>
      <c r="F1412" t="str">
        <f>VLOOKUP($A1412, 'Medical Examinations'!A:G, 7, FALSE)</f>
        <v>No</v>
      </c>
      <c r="G1412" t="str">
        <f>VLOOKUP($A1412, 'Medical Examinations'!A:H, 8, FALSE)</f>
        <v>No</v>
      </c>
      <c r="H1412">
        <f>VLOOKUP($A1412, 'Medical Examinations'!A:J, 10, FALSE)</f>
        <v>1</v>
      </c>
      <c r="I1412" t="str">
        <f>VLOOKUP($A1412, 'Medical Examinations'!A:K, 11, FALSE)</f>
        <v>No</v>
      </c>
      <c r="J1412" t="str">
        <f>VLOOKUP($A1412, 'Medical Examinations'!A:B, 2, FALSE)</f>
        <v>Overweight</v>
      </c>
      <c r="K1412" t="str">
        <f>VLOOKUP($A1412, 'Medical Examinations'!A:D, 4, FALSE)</f>
        <v>Normal</v>
      </c>
    </row>
    <row r="1413" spans="1:11" ht="15.5" x14ac:dyDescent="0.35">
      <c r="A1413" s="1" t="s">
        <v>959</v>
      </c>
      <c r="B1413" t="str">
        <f>VLOOKUP($A1413, 'Customer Names'!A:D, 3, FALSE)</f>
        <v>Stanek</v>
      </c>
      <c r="C1413">
        <f>VLOOKUP($A1413,'Medical Examinations'!A:C, 3, FALSE)</f>
        <v>30.21</v>
      </c>
      <c r="D1413" t="str">
        <f>VLOOKUP($A1413, 'Medical Examinations'!A:D, 4, FALSE)</f>
        <v>Normal</v>
      </c>
      <c r="E1413" t="str">
        <f>VLOOKUP($A1413, 'Medical Examinations'!A:F, 6, FALSE)</f>
        <v>No</v>
      </c>
      <c r="F1413" t="str">
        <f>VLOOKUP($A1413, 'Medical Examinations'!A:G, 7, FALSE)</f>
        <v>No</v>
      </c>
      <c r="G1413" t="str">
        <f>VLOOKUP($A1413, 'Medical Examinations'!A:H, 8, FALSE)</f>
        <v>No</v>
      </c>
      <c r="H1413">
        <f>VLOOKUP($A1413, 'Medical Examinations'!A:J, 10, FALSE)</f>
        <v>1</v>
      </c>
      <c r="I1413" t="str">
        <f>VLOOKUP($A1413, 'Medical Examinations'!A:K, 11, FALSE)</f>
        <v>No</v>
      </c>
      <c r="J1413" t="str">
        <f>VLOOKUP($A1413, 'Medical Examinations'!A:B, 2, FALSE)</f>
        <v>Obesity</v>
      </c>
      <c r="K1413" t="str">
        <f>VLOOKUP($A1413, 'Medical Examinations'!A:D, 4, FALSE)</f>
        <v>Normal</v>
      </c>
    </row>
    <row r="1414" spans="1:11" ht="15.5" x14ac:dyDescent="0.35">
      <c r="A1414" s="1" t="s">
        <v>958</v>
      </c>
      <c r="B1414" t="str">
        <f>VLOOKUP($A1414, 'Customer Names'!A:D, 3, FALSE)</f>
        <v>Harris</v>
      </c>
      <c r="C1414">
        <f>VLOOKUP($A1414,'Medical Examinations'!A:C, 3, FALSE)</f>
        <v>24.33</v>
      </c>
      <c r="D1414" t="str">
        <f>VLOOKUP($A1414, 'Medical Examinations'!A:D, 4, FALSE)</f>
        <v>Diabetes</v>
      </c>
      <c r="E1414" t="str">
        <f>VLOOKUP($A1414, 'Medical Examinations'!A:F, 6, FALSE)</f>
        <v>No</v>
      </c>
      <c r="F1414" t="str">
        <f>VLOOKUP($A1414, 'Medical Examinations'!A:G, 7, FALSE)</f>
        <v>No</v>
      </c>
      <c r="G1414" t="str">
        <f>VLOOKUP($A1414, 'Medical Examinations'!A:H, 8, FALSE)</f>
        <v>No</v>
      </c>
      <c r="H1414" t="str">
        <f>VLOOKUP($A1414, 'Medical Examinations'!A:J, 10, FALSE)</f>
        <v>No major surgery</v>
      </c>
      <c r="I1414" t="str">
        <f>VLOOKUP($A1414, 'Medical Examinations'!A:K, 11, FALSE)</f>
        <v>No</v>
      </c>
      <c r="J1414" t="str">
        <f>VLOOKUP($A1414, 'Medical Examinations'!A:B, 2, FALSE)</f>
        <v>Normal Weight</v>
      </c>
      <c r="K1414" t="str">
        <f>VLOOKUP($A1414, 'Medical Examinations'!A:D, 4, FALSE)</f>
        <v>Diabetes</v>
      </c>
    </row>
    <row r="1415" spans="1:11" ht="15.5" x14ac:dyDescent="0.35">
      <c r="A1415" s="1" t="s">
        <v>957</v>
      </c>
      <c r="B1415" t="str">
        <f>VLOOKUP($A1415, 'Customer Names'!A:D, 3, FALSE)</f>
        <v>Manning</v>
      </c>
      <c r="C1415">
        <f>VLOOKUP($A1415,'Medical Examinations'!A:C, 3, FALSE)</f>
        <v>19.855</v>
      </c>
      <c r="D1415" t="str">
        <f>VLOOKUP($A1415, 'Medical Examinations'!A:D, 4, FALSE)</f>
        <v>Prediabetes</v>
      </c>
      <c r="E1415" t="str">
        <f>VLOOKUP($A1415, 'Medical Examinations'!A:F, 6, FALSE)</f>
        <v>yes</v>
      </c>
      <c r="F1415" t="str">
        <f>VLOOKUP($A1415, 'Medical Examinations'!A:G, 7, FALSE)</f>
        <v>No</v>
      </c>
      <c r="G1415" t="str">
        <f>VLOOKUP($A1415, 'Medical Examinations'!A:H, 8, FALSE)</f>
        <v>No</v>
      </c>
      <c r="H1415" t="str">
        <f>VLOOKUP($A1415, 'Medical Examinations'!A:J, 10, FALSE)</f>
        <v>No major surgery</v>
      </c>
      <c r="I1415" t="str">
        <f>VLOOKUP($A1415, 'Medical Examinations'!A:K, 11, FALSE)</f>
        <v>No</v>
      </c>
      <c r="J1415" t="str">
        <f>VLOOKUP($A1415, 'Medical Examinations'!A:B, 2, FALSE)</f>
        <v>Normal Weight</v>
      </c>
      <c r="K1415" t="str">
        <f>VLOOKUP($A1415, 'Medical Examinations'!A:D, 4, FALSE)</f>
        <v>Prediabetes</v>
      </c>
    </row>
    <row r="1416" spans="1:11" ht="15.5" x14ac:dyDescent="0.35">
      <c r="A1416" s="1" t="s">
        <v>956</v>
      </c>
      <c r="B1416" t="str">
        <f>VLOOKUP($A1416, 'Customer Names'!A:D, 3, FALSE)</f>
        <v>Barrera Munoz</v>
      </c>
      <c r="C1416">
        <f>VLOOKUP($A1416,'Medical Examinations'!A:C, 3, FALSE)</f>
        <v>25.364999999999998</v>
      </c>
      <c r="D1416" t="str">
        <f>VLOOKUP($A1416, 'Medical Examinations'!A:D, 4, FALSE)</f>
        <v>Diabetes</v>
      </c>
      <c r="E1416" t="str">
        <f>VLOOKUP($A1416, 'Medical Examinations'!A:F, 6, FALSE)</f>
        <v>No</v>
      </c>
      <c r="F1416" t="str">
        <f>VLOOKUP($A1416, 'Medical Examinations'!A:G, 7, FALSE)</f>
        <v>No</v>
      </c>
      <c r="G1416" t="str">
        <f>VLOOKUP($A1416, 'Medical Examinations'!A:H, 8, FALSE)</f>
        <v>No</v>
      </c>
      <c r="H1416" t="str">
        <f>VLOOKUP($A1416, 'Medical Examinations'!A:J, 10, FALSE)</f>
        <v>No major surgery</v>
      </c>
      <c r="I1416" t="str">
        <f>VLOOKUP($A1416, 'Medical Examinations'!A:K, 11, FALSE)</f>
        <v>No</v>
      </c>
      <c r="J1416" t="str">
        <f>VLOOKUP($A1416, 'Medical Examinations'!A:B, 2, FALSE)</f>
        <v>Overweight</v>
      </c>
      <c r="K1416" t="str">
        <f>VLOOKUP($A1416, 'Medical Examinations'!A:D, 4, FALSE)</f>
        <v>Diabetes</v>
      </c>
    </row>
    <row r="1417" spans="1:11" ht="15.5" x14ac:dyDescent="0.35">
      <c r="A1417" s="1" t="s">
        <v>955</v>
      </c>
      <c r="B1417" t="str">
        <f>VLOOKUP($A1417, 'Customer Names'!A:D, 3, FALSE)</f>
        <v>Schauwaers</v>
      </c>
      <c r="C1417">
        <f>VLOOKUP($A1417,'Medical Examinations'!A:C, 3, FALSE)</f>
        <v>29.6</v>
      </c>
      <c r="D1417" t="str">
        <f>VLOOKUP($A1417, 'Medical Examinations'!A:D, 4, FALSE)</f>
        <v>Prediabetes</v>
      </c>
      <c r="E1417" t="str">
        <f>VLOOKUP($A1417, 'Medical Examinations'!A:F, 6, FALSE)</f>
        <v>yes</v>
      </c>
      <c r="F1417" t="str">
        <f>VLOOKUP($A1417, 'Medical Examinations'!A:G, 7, FALSE)</f>
        <v>No</v>
      </c>
      <c r="G1417" t="str">
        <f>VLOOKUP($A1417, 'Medical Examinations'!A:H, 8, FALSE)</f>
        <v>Yes</v>
      </c>
      <c r="H1417">
        <f>VLOOKUP($A1417, 'Medical Examinations'!A:J, 10, FALSE)</f>
        <v>1</v>
      </c>
      <c r="I1417" t="str">
        <f>VLOOKUP($A1417, 'Medical Examinations'!A:K, 11, FALSE)</f>
        <v>No</v>
      </c>
      <c r="J1417" t="str">
        <f>VLOOKUP($A1417, 'Medical Examinations'!A:B, 2, FALSE)</f>
        <v>Overweight</v>
      </c>
      <c r="K1417" t="str">
        <f>VLOOKUP($A1417, 'Medical Examinations'!A:D, 4, FALSE)</f>
        <v>Prediabetes</v>
      </c>
    </row>
    <row r="1418" spans="1:11" ht="15.5" x14ac:dyDescent="0.35">
      <c r="A1418" s="1" t="s">
        <v>954</v>
      </c>
      <c r="B1418" t="str">
        <f>VLOOKUP($A1418, 'Customer Names'!A:D, 3, FALSE)</f>
        <v>Hartman</v>
      </c>
      <c r="C1418">
        <f>VLOOKUP($A1418,'Medical Examinations'!A:C, 3, FALSE)</f>
        <v>39.43</v>
      </c>
      <c r="D1418" t="str">
        <f>VLOOKUP($A1418, 'Medical Examinations'!A:D, 4, FALSE)</f>
        <v>Prediabetes</v>
      </c>
      <c r="E1418" t="str">
        <f>VLOOKUP($A1418, 'Medical Examinations'!A:F, 6, FALSE)</f>
        <v>yes</v>
      </c>
      <c r="F1418" t="str">
        <f>VLOOKUP($A1418, 'Medical Examinations'!A:G, 7, FALSE)</f>
        <v>No</v>
      </c>
      <c r="G1418" t="str">
        <f>VLOOKUP($A1418, 'Medical Examinations'!A:H, 8, FALSE)</f>
        <v>Yes</v>
      </c>
      <c r="H1418">
        <f>VLOOKUP($A1418, 'Medical Examinations'!A:J, 10, FALSE)</f>
        <v>1</v>
      </c>
      <c r="I1418" t="str">
        <f>VLOOKUP($A1418, 'Medical Examinations'!A:K, 11, FALSE)</f>
        <v>No</v>
      </c>
      <c r="J1418" t="str">
        <f>VLOOKUP($A1418, 'Medical Examinations'!A:B, 2, FALSE)</f>
        <v>Obesity</v>
      </c>
      <c r="K1418" t="str">
        <f>VLOOKUP($A1418, 'Medical Examinations'!A:D, 4, FALSE)</f>
        <v>Prediabetes</v>
      </c>
    </row>
    <row r="1419" spans="1:11" ht="15.5" x14ac:dyDescent="0.35">
      <c r="A1419" s="1" t="s">
        <v>953</v>
      </c>
      <c r="B1419" t="str">
        <f>VLOOKUP($A1419, 'Customer Names'!A:D, 3, FALSE)</f>
        <v>Fire</v>
      </c>
      <c r="C1419">
        <f>VLOOKUP($A1419,'Medical Examinations'!A:C, 3, FALSE)</f>
        <v>27.34</v>
      </c>
      <c r="D1419" t="str">
        <f>VLOOKUP($A1419, 'Medical Examinations'!A:D, 4, FALSE)</f>
        <v>Normal</v>
      </c>
      <c r="E1419" t="str">
        <f>VLOOKUP($A1419, 'Medical Examinations'!A:F, 6, FALSE)</f>
        <v>yes</v>
      </c>
      <c r="F1419" t="str">
        <f>VLOOKUP($A1419, 'Medical Examinations'!A:G, 7, FALSE)</f>
        <v>No</v>
      </c>
      <c r="G1419" t="str">
        <f>VLOOKUP($A1419, 'Medical Examinations'!A:H, 8, FALSE)</f>
        <v>No</v>
      </c>
      <c r="H1419">
        <f>VLOOKUP($A1419, 'Medical Examinations'!A:J, 10, FALSE)</f>
        <v>1</v>
      </c>
      <c r="I1419" t="str">
        <f>VLOOKUP($A1419, 'Medical Examinations'!A:K, 11, FALSE)</f>
        <v>No</v>
      </c>
      <c r="J1419" t="str">
        <f>VLOOKUP($A1419, 'Medical Examinations'!A:B, 2, FALSE)</f>
        <v>Overweight</v>
      </c>
      <c r="K1419" t="str">
        <f>VLOOKUP($A1419, 'Medical Examinations'!A:D, 4, FALSE)</f>
        <v>Normal</v>
      </c>
    </row>
    <row r="1420" spans="1:11" ht="15.5" x14ac:dyDescent="0.35">
      <c r="A1420" s="1" t="s">
        <v>952</v>
      </c>
      <c r="B1420" t="str">
        <f>VLOOKUP($A1420, 'Customer Names'!A:D, 3, FALSE)</f>
        <v>Waliaula</v>
      </c>
      <c r="C1420">
        <f>VLOOKUP($A1420,'Medical Examinations'!A:C, 3, FALSE)</f>
        <v>39.01</v>
      </c>
      <c r="D1420" t="str">
        <f>VLOOKUP($A1420, 'Medical Examinations'!A:D, 4, FALSE)</f>
        <v>Normal</v>
      </c>
      <c r="E1420" t="str">
        <f>VLOOKUP($A1420, 'Medical Examinations'!A:F, 6, FALSE)</f>
        <v>yes</v>
      </c>
      <c r="F1420" t="str">
        <f>VLOOKUP($A1420, 'Medical Examinations'!A:G, 7, FALSE)</f>
        <v>No</v>
      </c>
      <c r="G1420" t="str">
        <f>VLOOKUP($A1420, 'Medical Examinations'!A:H, 8, FALSE)</f>
        <v>No</v>
      </c>
      <c r="H1420" t="str">
        <f>VLOOKUP($A1420, 'Medical Examinations'!A:J, 10, FALSE)</f>
        <v>No major surgery</v>
      </c>
      <c r="I1420" t="str">
        <f>VLOOKUP($A1420, 'Medical Examinations'!A:K, 11, FALSE)</f>
        <v>No</v>
      </c>
      <c r="J1420" t="str">
        <f>VLOOKUP($A1420, 'Medical Examinations'!A:B, 2, FALSE)</f>
        <v>Obesity</v>
      </c>
      <c r="K1420" t="str">
        <f>VLOOKUP($A1420, 'Medical Examinations'!A:D, 4, FALSE)</f>
        <v>Normal</v>
      </c>
    </row>
    <row r="1421" spans="1:11" ht="15.5" x14ac:dyDescent="0.35">
      <c r="A1421" s="1" t="s">
        <v>951</v>
      </c>
      <c r="B1421" t="str">
        <f>VLOOKUP($A1421, 'Customer Names'!A:D, 3, FALSE)</f>
        <v>Blackshear</v>
      </c>
      <c r="C1421">
        <f>VLOOKUP($A1421,'Medical Examinations'!A:C, 3, FALSE)</f>
        <v>18.989999999999998</v>
      </c>
      <c r="D1421" t="str">
        <f>VLOOKUP($A1421, 'Medical Examinations'!A:D, 4, FALSE)</f>
        <v>Diabetes</v>
      </c>
      <c r="E1421" t="str">
        <f>VLOOKUP($A1421, 'Medical Examinations'!A:F, 6, FALSE)</f>
        <v>yes</v>
      </c>
      <c r="F1421" t="str">
        <f>VLOOKUP($A1421, 'Medical Examinations'!A:G, 7, FALSE)</f>
        <v>No</v>
      </c>
      <c r="G1421" t="str">
        <f>VLOOKUP($A1421, 'Medical Examinations'!A:H, 8, FALSE)</f>
        <v>No</v>
      </c>
      <c r="H1421" t="str">
        <f>VLOOKUP($A1421, 'Medical Examinations'!A:J, 10, FALSE)</f>
        <v>No major surgery</v>
      </c>
      <c r="I1421" t="str">
        <f>VLOOKUP($A1421, 'Medical Examinations'!A:K, 11, FALSE)</f>
        <v>No</v>
      </c>
      <c r="J1421" t="str">
        <f>VLOOKUP($A1421, 'Medical Examinations'!A:B, 2, FALSE)</f>
        <v>Normal Weight</v>
      </c>
      <c r="K1421" t="str">
        <f>VLOOKUP($A1421, 'Medical Examinations'!A:D, 4, FALSE)</f>
        <v>Diabetes</v>
      </c>
    </row>
    <row r="1422" spans="1:11" ht="15.5" x14ac:dyDescent="0.35">
      <c r="A1422" s="1" t="s">
        <v>950</v>
      </c>
      <c r="B1422" t="str">
        <f>VLOOKUP($A1422, 'Customer Names'!A:D, 3, FALSE)</f>
        <v>Nettik</v>
      </c>
      <c r="C1422">
        <f>VLOOKUP($A1422,'Medical Examinations'!A:C, 3, FALSE)</f>
        <v>42.3</v>
      </c>
      <c r="D1422" t="str">
        <f>VLOOKUP($A1422, 'Medical Examinations'!A:D, 4, FALSE)</f>
        <v>Prediabetes</v>
      </c>
      <c r="E1422" t="str">
        <f>VLOOKUP($A1422, 'Medical Examinations'!A:F, 6, FALSE)</f>
        <v>yes</v>
      </c>
      <c r="F1422" t="str">
        <f>VLOOKUP($A1422, 'Medical Examinations'!A:G, 7, FALSE)</f>
        <v>No</v>
      </c>
      <c r="G1422" t="str">
        <f>VLOOKUP($A1422, 'Medical Examinations'!A:H, 8, FALSE)</f>
        <v>No</v>
      </c>
      <c r="H1422" t="str">
        <f>VLOOKUP($A1422, 'Medical Examinations'!A:J, 10, FALSE)</f>
        <v>No major surgery</v>
      </c>
      <c r="I1422" t="str">
        <f>VLOOKUP($A1422, 'Medical Examinations'!A:K, 11, FALSE)</f>
        <v>No</v>
      </c>
      <c r="J1422" t="str">
        <f>VLOOKUP($A1422, 'Medical Examinations'!A:B, 2, FALSE)</f>
        <v>Obesity</v>
      </c>
      <c r="K1422" t="str">
        <f>VLOOKUP($A1422, 'Medical Examinations'!A:D, 4, FALSE)</f>
        <v>Prediabetes</v>
      </c>
    </row>
    <row r="1423" spans="1:11" ht="15.5" x14ac:dyDescent="0.35">
      <c r="A1423" s="1" t="s">
        <v>949</v>
      </c>
      <c r="B1423" t="str">
        <f>VLOOKUP($A1423, 'Customer Names'!A:D, 3, FALSE)</f>
        <v>Novales</v>
      </c>
      <c r="C1423">
        <f>VLOOKUP($A1423,'Medical Examinations'!A:C, 3, FALSE)</f>
        <v>39.805</v>
      </c>
      <c r="D1423" t="str">
        <f>VLOOKUP($A1423, 'Medical Examinations'!A:D, 4, FALSE)</f>
        <v>Prediabetes</v>
      </c>
      <c r="E1423" t="str">
        <f>VLOOKUP($A1423, 'Medical Examinations'!A:F, 6, FALSE)</f>
        <v>No</v>
      </c>
      <c r="F1423" t="str">
        <f>VLOOKUP($A1423, 'Medical Examinations'!A:G, 7, FALSE)</f>
        <v>No</v>
      </c>
      <c r="G1423" t="str">
        <f>VLOOKUP($A1423, 'Medical Examinations'!A:H, 8, FALSE)</f>
        <v>No</v>
      </c>
      <c r="H1423" t="str">
        <f>VLOOKUP($A1423, 'Medical Examinations'!A:J, 10, FALSE)</f>
        <v>No major surgery</v>
      </c>
      <c r="I1423" t="str">
        <f>VLOOKUP($A1423, 'Medical Examinations'!A:K, 11, FALSE)</f>
        <v>No</v>
      </c>
      <c r="J1423" t="str">
        <f>VLOOKUP($A1423, 'Medical Examinations'!A:B, 2, FALSE)</f>
        <v>Obesity</v>
      </c>
      <c r="K1423" t="str">
        <f>VLOOKUP($A1423, 'Medical Examinations'!A:D, 4, FALSE)</f>
        <v>Prediabetes</v>
      </c>
    </row>
    <row r="1424" spans="1:11" ht="15.5" x14ac:dyDescent="0.35">
      <c r="A1424" s="1" t="s">
        <v>948</v>
      </c>
      <c r="B1424" t="str">
        <f>VLOOKUP($A1424, 'Customer Names'!A:D, 3, FALSE)</f>
        <v>Rosauer</v>
      </c>
      <c r="C1424">
        <f>VLOOKUP($A1424,'Medical Examinations'!A:C, 3, FALSE)</f>
        <v>33.700000000000003</v>
      </c>
      <c r="D1424" t="str">
        <f>VLOOKUP($A1424, 'Medical Examinations'!A:D, 4, FALSE)</f>
        <v>Prediabetes</v>
      </c>
      <c r="E1424" t="str">
        <f>VLOOKUP($A1424, 'Medical Examinations'!A:F, 6, FALSE)</f>
        <v>No</v>
      </c>
      <c r="F1424" t="str">
        <f>VLOOKUP($A1424, 'Medical Examinations'!A:G, 7, FALSE)</f>
        <v>No</v>
      </c>
      <c r="G1424" t="str">
        <f>VLOOKUP($A1424, 'Medical Examinations'!A:H, 8, FALSE)</f>
        <v>No</v>
      </c>
      <c r="H1424" t="str">
        <f>VLOOKUP($A1424, 'Medical Examinations'!A:J, 10, FALSE)</f>
        <v>No major surgery</v>
      </c>
      <c r="I1424" t="str">
        <f>VLOOKUP($A1424, 'Medical Examinations'!A:K, 11, FALSE)</f>
        <v>No</v>
      </c>
      <c r="J1424" t="str">
        <f>VLOOKUP($A1424, 'Medical Examinations'!A:B, 2, FALSE)</f>
        <v>Obesity</v>
      </c>
      <c r="K1424" t="str">
        <f>VLOOKUP($A1424, 'Medical Examinations'!A:D, 4, FALSE)</f>
        <v>Prediabetes</v>
      </c>
    </row>
    <row r="1425" spans="1:11" ht="15.5" x14ac:dyDescent="0.35">
      <c r="A1425" s="1" t="s">
        <v>947</v>
      </c>
      <c r="B1425" t="str">
        <f>VLOOKUP($A1425, 'Customer Names'!A:D, 3, FALSE)</f>
        <v>Ryder</v>
      </c>
      <c r="C1425">
        <f>VLOOKUP($A1425,'Medical Examinations'!A:C, 3, FALSE)</f>
        <v>36.195</v>
      </c>
      <c r="D1425" t="str">
        <f>VLOOKUP($A1425, 'Medical Examinations'!A:D, 4, FALSE)</f>
        <v>Prediabetes</v>
      </c>
      <c r="E1425" t="str">
        <f>VLOOKUP($A1425, 'Medical Examinations'!A:F, 6, FALSE)</f>
        <v>No</v>
      </c>
      <c r="F1425" t="str">
        <f>VLOOKUP($A1425, 'Medical Examinations'!A:G, 7, FALSE)</f>
        <v>No</v>
      </c>
      <c r="G1425" t="str">
        <f>VLOOKUP($A1425, 'Medical Examinations'!A:H, 8, FALSE)</f>
        <v>No</v>
      </c>
      <c r="H1425" t="str">
        <f>VLOOKUP($A1425, 'Medical Examinations'!A:J, 10, FALSE)</f>
        <v>No major surgery</v>
      </c>
      <c r="I1425" t="str">
        <f>VLOOKUP($A1425, 'Medical Examinations'!A:K, 11, FALSE)</f>
        <v>No</v>
      </c>
      <c r="J1425" t="str">
        <f>VLOOKUP($A1425, 'Medical Examinations'!A:B, 2, FALSE)</f>
        <v>Obesity</v>
      </c>
      <c r="K1425" t="str">
        <f>VLOOKUP($A1425, 'Medical Examinations'!A:D, 4, FALSE)</f>
        <v>Prediabetes</v>
      </c>
    </row>
    <row r="1426" spans="1:11" ht="15.5" x14ac:dyDescent="0.35">
      <c r="A1426" s="1" t="s">
        <v>946</v>
      </c>
      <c r="B1426" t="str">
        <f>VLOOKUP($A1426, 'Customer Names'!A:D, 3, FALSE)</f>
        <v>Larsen</v>
      </c>
      <c r="C1426">
        <f>VLOOKUP($A1426,'Medical Examinations'!A:C, 3, FALSE)</f>
        <v>32.6</v>
      </c>
      <c r="D1426" t="str">
        <f>VLOOKUP($A1426, 'Medical Examinations'!A:D, 4, FALSE)</f>
        <v>Prediabetes</v>
      </c>
      <c r="E1426" t="str">
        <f>VLOOKUP($A1426, 'Medical Examinations'!A:F, 6, FALSE)</f>
        <v>No</v>
      </c>
      <c r="F1426" t="str">
        <f>VLOOKUP($A1426, 'Medical Examinations'!A:G, 7, FALSE)</f>
        <v>No</v>
      </c>
      <c r="G1426" t="str">
        <f>VLOOKUP($A1426, 'Medical Examinations'!A:H, 8, FALSE)</f>
        <v>Yes</v>
      </c>
      <c r="H1426">
        <f>VLOOKUP($A1426, 'Medical Examinations'!A:J, 10, FALSE)</f>
        <v>1</v>
      </c>
      <c r="I1426" t="str">
        <f>VLOOKUP($A1426, 'Medical Examinations'!A:K, 11, FALSE)</f>
        <v>No</v>
      </c>
      <c r="J1426" t="str">
        <f>VLOOKUP($A1426, 'Medical Examinations'!A:B, 2, FALSE)</f>
        <v>Obesity</v>
      </c>
      <c r="K1426" t="str">
        <f>VLOOKUP($A1426, 'Medical Examinations'!A:D, 4, FALSE)</f>
        <v>Prediabetes</v>
      </c>
    </row>
    <row r="1427" spans="1:11" ht="15.5" x14ac:dyDescent="0.35">
      <c r="A1427" s="1" t="s">
        <v>945</v>
      </c>
      <c r="B1427" t="str">
        <f>VLOOKUP($A1427, 'Customer Names'!A:D, 3, FALSE)</f>
        <v>Keate</v>
      </c>
      <c r="C1427">
        <f>VLOOKUP($A1427,'Medical Examinations'!A:C, 3, FALSE)</f>
        <v>30.2</v>
      </c>
      <c r="D1427" t="str">
        <f>VLOOKUP($A1427, 'Medical Examinations'!A:D, 4, FALSE)</f>
        <v>Prediabetes</v>
      </c>
      <c r="E1427" t="str">
        <f>VLOOKUP($A1427, 'Medical Examinations'!A:F, 6, FALSE)</f>
        <v>No</v>
      </c>
      <c r="F1427" t="str">
        <f>VLOOKUP($A1427, 'Medical Examinations'!A:G, 7, FALSE)</f>
        <v>No</v>
      </c>
      <c r="G1427" t="str">
        <f>VLOOKUP($A1427, 'Medical Examinations'!A:H, 8, FALSE)</f>
        <v>No</v>
      </c>
      <c r="H1427" t="str">
        <f>VLOOKUP($A1427, 'Medical Examinations'!A:J, 10, FALSE)</f>
        <v>No major surgery</v>
      </c>
      <c r="I1427" t="str">
        <f>VLOOKUP($A1427, 'Medical Examinations'!A:K, 11, FALSE)</f>
        <v>No</v>
      </c>
      <c r="J1427" t="str">
        <f>VLOOKUP($A1427, 'Medical Examinations'!A:B, 2, FALSE)</f>
        <v>Obesity</v>
      </c>
      <c r="K1427" t="str">
        <f>VLOOKUP($A1427, 'Medical Examinations'!A:D, 4, FALSE)</f>
        <v>Prediabetes</v>
      </c>
    </row>
    <row r="1428" spans="1:11" ht="15.5" x14ac:dyDescent="0.35">
      <c r="A1428" s="1" t="s">
        <v>944</v>
      </c>
      <c r="B1428" t="str">
        <f>VLOOKUP($A1428, 'Customer Names'!A:D, 3, FALSE)</f>
        <v>Williams</v>
      </c>
      <c r="C1428">
        <f>VLOOKUP($A1428,'Medical Examinations'!A:C, 3, FALSE)</f>
        <v>27.645</v>
      </c>
      <c r="D1428" t="str">
        <f>VLOOKUP($A1428, 'Medical Examinations'!A:D, 4, FALSE)</f>
        <v>Diabetes</v>
      </c>
      <c r="E1428" t="str">
        <f>VLOOKUP($A1428, 'Medical Examinations'!A:F, 6, FALSE)</f>
        <v>No</v>
      </c>
      <c r="F1428" t="str">
        <f>VLOOKUP($A1428, 'Medical Examinations'!A:G, 7, FALSE)</f>
        <v>No</v>
      </c>
      <c r="G1428" t="str">
        <f>VLOOKUP($A1428, 'Medical Examinations'!A:H, 8, FALSE)</f>
        <v>No</v>
      </c>
      <c r="H1428" t="str">
        <f>VLOOKUP($A1428, 'Medical Examinations'!A:J, 10, FALSE)</f>
        <v>No major surgery</v>
      </c>
      <c r="I1428" t="str">
        <f>VLOOKUP($A1428, 'Medical Examinations'!A:K, 11, FALSE)</f>
        <v>No</v>
      </c>
      <c r="J1428" t="str">
        <f>VLOOKUP($A1428, 'Medical Examinations'!A:B, 2, FALSE)</f>
        <v>Overweight</v>
      </c>
      <c r="K1428" t="str">
        <f>VLOOKUP($A1428, 'Medical Examinations'!A:D, 4, FALSE)</f>
        <v>Diabetes</v>
      </c>
    </row>
    <row r="1429" spans="1:11" ht="15.5" x14ac:dyDescent="0.35">
      <c r="A1429" s="1" t="s">
        <v>943</v>
      </c>
      <c r="B1429" t="str">
        <f>VLOOKUP($A1429, 'Customer Names'!A:D, 3, FALSE)</f>
        <v>Starosciak</v>
      </c>
      <c r="C1429">
        <f>VLOOKUP($A1429,'Medical Examinations'!A:C, 3, FALSE)</f>
        <v>26.41</v>
      </c>
      <c r="D1429" t="str">
        <f>VLOOKUP($A1429, 'Medical Examinations'!A:D, 4, FALSE)</f>
        <v>Diabetes</v>
      </c>
      <c r="E1429" t="str">
        <f>VLOOKUP($A1429, 'Medical Examinations'!A:F, 6, FALSE)</f>
        <v>No</v>
      </c>
      <c r="F1429" t="str">
        <f>VLOOKUP($A1429, 'Medical Examinations'!A:G, 7, FALSE)</f>
        <v>No</v>
      </c>
      <c r="G1429" t="str">
        <f>VLOOKUP($A1429, 'Medical Examinations'!A:H, 8, FALSE)</f>
        <v>No</v>
      </c>
      <c r="H1429" t="str">
        <f>VLOOKUP($A1429, 'Medical Examinations'!A:J, 10, FALSE)</f>
        <v>No major surgery</v>
      </c>
      <c r="I1429" t="str">
        <f>VLOOKUP($A1429, 'Medical Examinations'!A:K, 11, FALSE)</f>
        <v>No</v>
      </c>
      <c r="J1429" t="str">
        <f>VLOOKUP($A1429, 'Medical Examinations'!A:B, 2, FALSE)</f>
        <v>Overweight</v>
      </c>
      <c r="K1429" t="str">
        <f>VLOOKUP($A1429, 'Medical Examinations'!A:D, 4, FALSE)</f>
        <v>Diabetes</v>
      </c>
    </row>
    <row r="1430" spans="1:11" ht="15.5" x14ac:dyDescent="0.35">
      <c r="A1430" s="1" t="s">
        <v>942</v>
      </c>
      <c r="B1430" t="str">
        <f>VLOOKUP($A1430, 'Customer Names'!A:D, 3, FALSE)</f>
        <v>Smith</v>
      </c>
      <c r="C1430">
        <f>VLOOKUP($A1430,'Medical Examinations'!A:C, 3, FALSE)</f>
        <v>34.1</v>
      </c>
      <c r="D1430" t="str">
        <f>VLOOKUP($A1430, 'Medical Examinations'!A:D, 4, FALSE)</f>
        <v>Prediabetes</v>
      </c>
      <c r="E1430" t="str">
        <f>VLOOKUP($A1430, 'Medical Examinations'!A:F, 6, FALSE)</f>
        <v>yes</v>
      </c>
      <c r="F1430" t="str">
        <f>VLOOKUP($A1430, 'Medical Examinations'!A:G, 7, FALSE)</f>
        <v>No</v>
      </c>
      <c r="G1430" t="str">
        <f>VLOOKUP($A1430, 'Medical Examinations'!A:H, 8, FALSE)</f>
        <v>Yes</v>
      </c>
      <c r="H1430">
        <f>VLOOKUP($A1430, 'Medical Examinations'!A:J, 10, FALSE)</f>
        <v>1</v>
      </c>
      <c r="I1430" t="str">
        <f>VLOOKUP($A1430, 'Medical Examinations'!A:K, 11, FALSE)</f>
        <v>No</v>
      </c>
      <c r="J1430" t="str">
        <f>VLOOKUP($A1430, 'Medical Examinations'!A:B, 2, FALSE)</f>
        <v>Obesity</v>
      </c>
      <c r="K1430" t="str">
        <f>VLOOKUP($A1430, 'Medical Examinations'!A:D, 4, FALSE)</f>
        <v>Prediabetes</v>
      </c>
    </row>
    <row r="1431" spans="1:11" ht="15.5" x14ac:dyDescent="0.35">
      <c r="A1431" s="1" t="s">
        <v>941</v>
      </c>
      <c r="B1431" t="str">
        <f>VLOOKUP($A1431, 'Customer Names'!A:D, 3, FALSE)</f>
        <v>Henderson</v>
      </c>
      <c r="C1431">
        <f>VLOOKUP($A1431,'Medical Examinations'!A:C, 3, FALSE)</f>
        <v>17.3</v>
      </c>
      <c r="D1431" t="str">
        <f>VLOOKUP($A1431, 'Medical Examinations'!A:D, 4, FALSE)</f>
        <v>Diabetes</v>
      </c>
      <c r="E1431" t="str">
        <f>VLOOKUP($A1431, 'Medical Examinations'!A:F, 6, FALSE)</f>
        <v>No</v>
      </c>
      <c r="F1431" t="str">
        <f>VLOOKUP($A1431, 'Medical Examinations'!A:G, 7, FALSE)</f>
        <v>No</v>
      </c>
      <c r="G1431" t="str">
        <f>VLOOKUP($A1431, 'Medical Examinations'!A:H, 8, FALSE)</f>
        <v>No</v>
      </c>
      <c r="H1431" t="str">
        <f>VLOOKUP($A1431, 'Medical Examinations'!A:J, 10, FALSE)</f>
        <v>No major surgery</v>
      </c>
      <c r="I1431" t="str">
        <f>VLOOKUP($A1431, 'Medical Examinations'!A:K, 11, FALSE)</f>
        <v>No</v>
      </c>
      <c r="J1431" t="str">
        <f>VLOOKUP($A1431, 'Medical Examinations'!A:B, 2, FALSE)</f>
        <v>Underweight</v>
      </c>
      <c r="K1431" t="str">
        <f>VLOOKUP($A1431, 'Medical Examinations'!A:D, 4, FALSE)</f>
        <v>Diabetes</v>
      </c>
    </row>
    <row r="1432" spans="1:11" ht="15.5" x14ac:dyDescent="0.35">
      <c r="A1432" s="1" t="s">
        <v>940</v>
      </c>
      <c r="B1432" t="str">
        <f>VLOOKUP($A1432, 'Customer Names'!A:D, 3, FALSE)</f>
        <v>Winkelman</v>
      </c>
      <c r="C1432">
        <f>VLOOKUP($A1432,'Medical Examinations'!A:C, 3, FALSE)</f>
        <v>35.020000000000003</v>
      </c>
      <c r="D1432" t="str">
        <f>VLOOKUP($A1432, 'Medical Examinations'!A:D, 4, FALSE)</f>
        <v>Normal</v>
      </c>
      <c r="E1432" t="str">
        <f>VLOOKUP($A1432, 'Medical Examinations'!A:F, 6, FALSE)</f>
        <v>No</v>
      </c>
      <c r="F1432" t="str">
        <f>VLOOKUP($A1432, 'Medical Examinations'!A:G, 7, FALSE)</f>
        <v>No</v>
      </c>
      <c r="G1432" t="str">
        <f>VLOOKUP($A1432, 'Medical Examinations'!A:H, 8, FALSE)</f>
        <v>Yes</v>
      </c>
      <c r="H1432">
        <f>VLOOKUP($A1432, 'Medical Examinations'!A:J, 10, FALSE)</f>
        <v>1</v>
      </c>
      <c r="I1432" t="str">
        <f>VLOOKUP($A1432, 'Medical Examinations'!A:K, 11, FALSE)</f>
        <v>No</v>
      </c>
      <c r="J1432" t="str">
        <f>VLOOKUP($A1432, 'Medical Examinations'!A:B, 2, FALSE)</f>
        <v>Obesity</v>
      </c>
      <c r="K1432" t="str">
        <f>VLOOKUP($A1432, 'Medical Examinations'!A:D, 4, FALSE)</f>
        <v>Normal</v>
      </c>
    </row>
    <row r="1433" spans="1:11" ht="15.5" x14ac:dyDescent="0.35">
      <c r="A1433" s="1" t="s">
        <v>939</v>
      </c>
      <c r="B1433" t="str">
        <f>VLOOKUP($A1433, 'Customer Names'!A:D, 3, FALSE)</f>
        <v>Monette</v>
      </c>
      <c r="C1433">
        <f>VLOOKUP($A1433,'Medical Examinations'!A:C, 3, FALSE)</f>
        <v>37.1</v>
      </c>
      <c r="D1433" t="str">
        <f>VLOOKUP($A1433, 'Medical Examinations'!A:D, 4, FALSE)</f>
        <v>Diabetes</v>
      </c>
      <c r="E1433" t="str">
        <f>VLOOKUP($A1433, 'Medical Examinations'!A:F, 6, FALSE)</f>
        <v>yes</v>
      </c>
      <c r="F1433" t="str">
        <f>VLOOKUP($A1433, 'Medical Examinations'!A:G, 7, FALSE)</f>
        <v>No</v>
      </c>
      <c r="G1433" t="str">
        <f>VLOOKUP($A1433, 'Medical Examinations'!A:H, 8, FALSE)</f>
        <v>No</v>
      </c>
      <c r="H1433" t="str">
        <f>VLOOKUP($A1433, 'Medical Examinations'!A:J, 10, FALSE)</f>
        <v>No major surgery</v>
      </c>
      <c r="I1433" t="str">
        <f>VLOOKUP($A1433, 'Medical Examinations'!A:K, 11, FALSE)</f>
        <v>No</v>
      </c>
      <c r="J1433" t="str">
        <f>VLOOKUP($A1433, 'Medical Examinations'!A:B, 2, FALSE)</f>
        <v>Obesity</v>
      </c>
      <c r="K1433" t="str">
        <f>VLOOKUP($A1433, 'Medical Examinations'!A:D, 4, FALSE)</f>
        <v>Diabetes</v>
      </c>
    </row>
    <row r="1434" spans="1:11" ht="15.5" x14ac:dyDescent="0.35">
      <c r="A1434" s="1" t="s">
        <v>938</v>
      </c>
      <c r="B1434" t="str">
        <f>VLOOKUP($A1434, 'Customer Names'!A:D, 3, FALSE)</f>
        <v>Kramer</v>
      </c>
      <c r="C1434">
        <f>VLOOKUP($A1434,'Medical Examinations'!A:C, 3, FALSE)</f>
        <v>16.79</v>
      </c>
      <c r="D1434" t="str">
        <f>VLOOKUP($A1434, 'Medical Examinations'!A:D, 4, FALSE)</f>
        <v>Diabetes</v>
      </c>
      <c r="E1434" t="str">
        <f>VLOOKUP($A1434, 'Medical Examinations'!A:F, 6, FALSE)</f>
        <v>No</v>
      </c>
      <c r="F1434" t="str">
        <f>VLOOKUP($A1434, 'Medical Examinations'!A:G, 7, FALSE)</f>
        <v>No</v>
      </c>
      <c r="G1434" t="str">
        <f>VLOOKUP($A1434, 'Medical Examinations'!A:H, 8, FALSE)</f>
        <v>No</v>
      </c>
      <c r="H1434" t="str">
        <f>VLOOKUP($A1434, 'Medical Examinations'!A:J, 10, FALSE)</f>
        <v>No major surgery</v>
      </c>
      <c r="I1434" t="str">
        <f>VLOOKUP($A1434, 'Medical Examinations'!A:K, 11, FALSE)</f>
        <v>No</v>
      </c>
      <c r="J1434" t="str">
        <f>VLOOKUP($A1434, 'Medical Examinations'!A:B, 2, FALSE)</f>
        <v>Underweight</v>
      </c>
      <c r="K1434" t="str">
        <f>VLOOKUP($A1434, 'Medical Examinations'!A:D, 4, FALSE)</f>
        <v>Diabetes</v>
      </c>
    </row>
    <row r="1435" spans="1:11" ht="15.5" x14ac:dyDescent="0.35">
      <c r="A1435" s="1" t="s">
        <v>937</v>
      </c>
      <c r="B1435" t="str">
        <f>VLOOKUP($A1435, 'Customer Names'!A:D, 3, FALSE)</f>
        <v>Goldstein</v>
      </c>
      <c r="C1435">
        <f>VLOOKUP($A1435,'Medical Examinations'!A:C, 3, FALSE)</f>
        <v>31.635000000000002</v>
      </c>
      <c r="D1435" t="str">
        <f>VLOOKUP($A1435, 'Medical Examinations'!A:D, 4, FALSE)</f>
        <v>Diabetes</v>
      </c>
      <c r="E1435" t="str">
        <f>VLOOKUP($A1435, 'Medical Examinations'!A:F, 6, FALSE)</f>
        <v>yes</v>
      </c>
      <c r="F1435" t="str">
        <f>VLOOKUP($A1435, 'Medical Examinations'!A:G, 7, FALSE)</f>
        <v>No</v>
      </c>
      <c r="G1435" t="str">
        <f>VLOOKUP($A1435, 'Medical Examinations'!A:H, 8, FALSE)</f>
        <v>No</v>
      </c>
      <c r="H1435" t="str">
        <f>VLOOKUP($A1435, 'Medical Examinations'!A:J, 10, FALSE)</f>
        <v>No major surgery</v>
      </c>
      <c r="I1435" t="str">
        <f>VLOOKUP($A1435, 'Medical Examinations'!A:K, 11, FALSE)</f>
        <v>No</v>
      </c>
      <c r="J1435" t="str">
        <f>VLOOKUP($A1435, 'Medical Examinations'!A:B, 2, FALSE)</f>
        <v>Obesity</v>
      </c>
      <c r="K1435" t="str">
        <f>VLOOKUP($A1435, 'Medical Examinations'!A:D, 4, FALSE)</f>
        <v>Diabetes</v>
      </c>
    </row>
    <row r="1436" spans="1:11" ht="15.5" x14ac:dyDescent="0.35">
      <c r="A1436" s="1" t="s">
        <v>936</v>
      </c>
      <c r="B1436" t="str">
        <f>VLOOKUP($A1436, 'Customer Names'!A:D, 3, FALSE)</f>
        <v>Gonzalez</v>
      </c>
      <c r="C1436">
        <f>VLOOKUP($A1436,'Medical Examinations'!A:C, 3, FALSE)</f>
        <v>24.19</v>
      </c>
      <c r="D1436" t="str">
        <f>VLOOKUP($A1436, 'Medical Examinations'!A:D, 4, FALSE)</f>
        <v>Prediabetes</v>
      </c>
      <c r="E1436" t="str">
        <f>VLOOKUP($A1436, 'Medical Examinations'!A:F, 6, FALSE)</f>
        <v>yes</v>
      </c>
      <c r="F1436" t="str">
        <f>VLOOKUP($A1436, 'Medical Examinations'!A:G, 7, FALSE)</f>
        <v>No</v>
      </c>
      <c r="G1436" t="str">
        <f>VLOOKUP($A1436, 'Medical Examinations'!A:H, 8, FALSE)</f>
        <v>Yes</v>
      </c>
      <c r="H1436">
        <f>VLOOKUP($A1436, 'Medical Examinations'!A:J, 10, FALSE)</f>
        <v>1</v>
      </c>
      <c r="I1436" t="str">
        <f>VLOOKUP($A1436, 'Medical Examinations'!A:K, 11, FALSE)</f>
        <v>No</v>
      </c>
      <c r="J1436" t="str">
        <f>VLOOKUP($A1436, 'Medical Examinations'!A:B, 2, FALSE)</f>
        <v>Normal Weight</v>
      </c>
      <c r="K1436" t="str">
        <f>VLOOKUP($A1436, 'Medical Examinations'!A:D, 4, FALSE)</f>
        <v>Prediabetes</v>
      </c>
    </row>
    <row r="1437" spans="1:11" ht="15.5" x14ac:dyDescent="0.35">
      <c r="A1437" s="1" t="s">
        <v>935</v>
      </c>
      <c r="B1437" t="str">
        <f>VLOOKUP($A1437, 'Customer Names'!A:D, 3, FALSE)</f>
        <v>Barrett</v>
      </c>
      <c r="C1437">
        <f>VLOOKUP($A1437,'Medical Examinations'!A:C, 3, FALSE)</f>
        <v>35.29</v>
      </c>
      <c r="D1437" t="str">
        <f>VLOOKUP($A1437, 'Medical Examinations'!A:D, 4, FALSE)</f>
        <v>Prediabetes</v>
      </c>
      <c r="E1437" t="str">
        <f>VLOOKUP($A1437, 'Medical Examinations'!A:F, 6, FALSE)</f>
        <v>No</v>
      </c>
      <c r="F1437" t="str">
        <f>VLOOKUP($A1437, 'Medical Examinations'!A:G, 7, FALSE)</f>
        <v>No</v>
      </c>
      <c r="G1437" t="str">
        <f>VLOOKUP($A1437, 'Medical Examinations'!A:H, 8, FALSE)</f>
        <v>Yes</v>
      </c>
      <c r="H1437">
        <f>VLOOKUP($A1437, 'Medical Examinations'!A:J, 10, FALSE)</f>
        <v>1</v>
      </c>
      <c r="I1437" t="str">
        <f>VLOOKUP($A1437, 'Medical Examinations'!A:K, 11, FALSE)</f>
        <v>No</v>
      </c>
      <c r="J1437" t="str">
        <f>VLOOKUP($A1437, 'Medical Examinations'!A:B, 2, FALSE)</f>
        <v>Obesity</v>
      </c>
      <c r="K1437" t="str">
        <f>VLOOKUP($A1437, 'Medical Examinations'!A:D, 4, FALSE)</f>
        <v>Prediabetes</v>
      </c>
    </row>
    <row r="1438" spans="1:11" ht="15.5" x14ac:dyDescent="0.35">
      <c r="A1438" s="1" t="s">
        <v>934</v>
      </c>
      <c r="B1438" t="str">
        <f>VLOOKUP($A1438, 'Customer Names'!A:D, 3, FALSE)</f>
        <v>Irwin</v>
      </c>
      <c r="C1438">
        <f>VLOOKUP($A1438,'Medical Examinations'!A:C, 3, FALSE)</f>
        <v>35.299999999999997</v>
      </c>
      <c r="D1438" t="str">
        <f>VLOOKUP($A1438, 'Medical Examinations'!A:D, 4, FALSE)</f>
        <v>Normal</v>
      </c>
      <c r="E1438" t="str">
        <f>VLOOKUP($A1438, 'Medical Examinations'!A:F, 6, FALSE)</f>
        <v>No</v>
      </c>
      <c r="F1438" t="str">
        <f>VLOOKUP($A1438, 'Medical Examinations'!A:G, 7, FALSE)</f>
        <v>No</v>
      </c>
      <c r="G1438" t="str">
        <f>VLOOKUP($A1438, 'Medical Examinations'!A:H, 8, FALSE)</f>
        <v>No</v>
      </c>
      <c r="H1438" t="str">
        <f>VLOOKUP($A1438, 'Medical Examinations'!A:J, 10, FALSE)</f>
        <v>No major surgery</v>
      </c>
      <c r="I1438" t="str">
        <f>VLOOKUP($A1438, 'Medical Examinations'!A:K, 11, FALSE)</f>
        <v>No</v>
      </c>
      <c r="J1438" t="str">
        <f>VLOOKUP($A1438, 'Medical Examinations'!A:B, 2, FALSE)</f>
        <v>Obesity</v>
      </c>
      <c r="K1438" t="str">
        <f>VLOOKUP($A1438, 'Medical Examinations'!A:D, 4, FALSE)</f>
        <v>Normal</v>
      </c>
    </row>
    <row r="1439" spans="1:11" ht="15.5" x14ac:dyDescent="0.35">
      <c r="A1439" s="1" t="s">
        <v>933</v>
      </c>
      <c r="B1439" t="str">
        <f>VLOOKUP($A1439, 'Customer Names'!A:D, 3, FALSE)</f>
        <v>Glenn</v>
      </c>
      <c r="C1439">
        <f>VLOOKUP($A1439,'Medical Examinations'!A:C, 3, FALSE)</f>
        <v>35.64</v>
      </c>
      <c r="D1439" t="str">
        <f>VLOOKUP($A1439, 'Medical Examinations'!A:D, 4, FALSE)</f>
        <v>Prediabetes</v>
      </c>
      <c r="E1439" t="str">
        <f>VLOOKUP($A1439, 'Medical Examinations'!A:F, 6, FALSE)</f>
        <v>No</v>
      </c>
      <c r="F1439" t="str">
        <f>VLOOKUP($A1439, 'Medical Examinations'!A:G, 7, FALSE)</f>
        <v>No</v>
      </c>
      <c r="G1439" t="str">
        <f>VLOOKUP($A1439, 'Medical Examinations'!A:H, 8, FALSE)</f>
        <v>Yes</v>
      </c>
      <c r="H1439">
        <f>VLOOKUP($A1439, 'Medical Examinations'!A:J, 10, FALSE)</f>
        <v>1</v>
      </c>
      <c r="I1439" t="str">
        <f>VLOOKUP($A1439, 'Medical Examinations'!A:K, 11, FALSE)</f>
        <v>No</v>
      </c>
      <c r="J1439" t="str">
        <f>VLOOKUP($A1439, 'Medical Examinations'!A:B, 2, FALSE)</f>
        <v>Obesity</v>
      </c>
      <c r="K1439" t="str">
        <f>VLOOKUP($A1439, 'Medical Examinations'!A:D, 4, FALSE)</f>
        <v>Prediabetes</v>
      </c>
    </row>
    <row r="1440" spans="1:11" ht="15.5" x14ac:dyDescent="0.35">
      <c r="A1440" s="1" t="s">
        <v>932</v>
      </c>
      <c r="B1440" t="str">
        <f>VLOOKUP($A1440, 'Customer Names'!A:D, 3, FALSE)</f>
        <v>O'Meara</v>
      </c>
      <c r="C1440">
        <f>VLOOKUP($A1440,'Medical Examinations'!A:C, 3, FALSE)</f>
        <v>33.1</v>
      </c>
      <c r="D1440" t="str">
        <f>VLOOKUP($A1440, 'Medical Examinations'!A:D, 4, FALSE)</f>
        <v>Normal</v>
      </c>
      <c r="E1440" t="str">
        <f>VLOOKUP($A1440, 'Medical Examinations'!A:F, 6, FALSE)</f>
        <v>No</v>
      </c>
      <c r="F1440" t="str">
        <f>VLOOKUP($A1440, 'Medical Examinations'!A:G, 7, FALSE)</f>
        <v>No</v>
      </c>
      <c r="G1440" t="str">
        <f>VLOOKUP($A1440, 'Medical Examinations'!A:H, 8, FALSE)</f>
        <v>No</v>
      </c>
      <c r="H1440" t="str">
        <f>VLOOKUP($A1440, 'Medical Examinations'!A:J, 10, FALSE)</f>
        <v>No major surgery</v>
      </c>
      <c r="I1440" t="str">
        <f>VLOOKUP($A1440, 'Medical Examinations'!A:K, 11, FALSE)</f>
        <v>No</v>
      </c>
      <c r="J1440" t="str">
        <f>VLOOKUP($A1440, 'Medical Examinations'!A:B, 2, FALSE)</f>
        <v>Obesity</v>
      </c>
      <c r="K1440" t="str">
        <f>VLOOKUP($A1440, 'Medical Examinations'!A:D, 4, FALSE)</f>
        <v>Normal</v>
      </c>
    </row>
    <row r="1441" spans="1:11" ht="15.5" x14ac:dyDescent="0.35">
      <c r="A1441" s="1" t="s">
        <v>931</v>
      </c>
      <c r="B1441" t="str">
        <f>VLOOKUP($A1441, 'Customer Names'!A:D, 3, FALSE)</f>
        <v>Budrow</v>
      </c>
      <c r="C1441">
        <f>VLOOKUP($A1441,'Medical Examinations'!A:C, 3, FALSE)</f>
        <v>26.41</v>
      </c>
      <c r="D1441" t="str">
        <f>VLOOKUP($A1441, 'Medical Examinations'!A:D, 4, FALSE)</f>
        <v>Diabetes</v>
      </c>
      <c r="E1441" t="str">
        <f>VLOOKUP($A1441, 'Medical Examinations'!A:F, 6, FALSE)</f>
        <v>yes</v>
      </c>
      <c r="F1441" t="str">
        <f>VLOOKUP($A1441, 'Medical Examinations'!A:G, 7, FALSE)</f>
        <v>No</v>
      </c>
      <c r="G1441" t="str">
        <f>VLOOKUP($A1441, 'Medical Examinations'!A:H, 8, FALSE)</f>
        <v>No</v>
      </c>
      <c r="H1441">
        <f>VLOOKUP($A1441, 'Medical Examinations'!A:J, 10, FALSE)</f>
        <v>1</v>
      </c>
      <c r="I1441" t="str">
        <f>VLOOKUP($A1441, 'Medical Examinations'!A:K, 11, FALSE)</f>
        <v>No</v>
      </c>
      <c r="J1441" t="str">
        <f>VLOOKUP($A1441, 'Medical Examinations'!A:B, 2, FALSE)</f>
        <v>Overweight</v>
      </c>
      <c r="K1441" t="str">
        <f>VLOOKUP($A1441, 'Medical Examinations'!A:D, 4, FALSE)</f>
        <v>Diabetes</v>
      </c>
    </row>
    <row r="1442" spans="1:11" ht="15.5" x14ac:dyDescent="0.35">
      <c r="A1442" s="1" t="s">
        <v>930</v>
      </c>
      <c r="B1442" t="str">
        <f>VLOOKUP($A1442, 'Customer Names'!A:D, 3, FALSE)</f>
        <v>Anderson</v>
      </c>
      <c r="C1442">
        <f>VLOOKUP($A1442,'Medical Examinations'!A:C, 3, FALSE)</f>
        <v>29.9</v>
      </c>
      <c r="D1442" t="str">
        <f>VLOOKUP($A1442, 'Medical Examinations'!A:D, 4, FALSE)</f>
        <v>Normal</v>
      </c>
      <c r="E1442" t="str">
        <f>VLOOKUP($A1442, 'Medical Examinations'!A:F, 6, FALSE)</f>
        <v>No</v>
      </c>
      <c r="F1442" t="str">
        <f>VLOOKUP($A1442, 'Medical Examinations'!A:G, 7, FALSE)</f>
        <v>No</v>
      </c>
      <c r="G1442" t="str">
        <f>VLOOKUP($A1442, 'Medical Examinations'!A:H, 8, FALSE)</f>
        <v>Yes</v>
      </c>
      <c r="H1442">
        <f>VLOOKUP($A1442, 'Medical Examinations'!A:J, 10, FALSE)</f>
        <v>1</v>
      </c>
      <c r="I1442" t="str">
        <f>VLOOKUP($A1442, 'Medical Examinations'!A:K, 11, FALSE)</f>
        <v>No</v>
      </c>
      <c r="J1442" t="str">
        <f>VLOOKUP($A1442, 'Medical Examinations'!A:B, 2, FALSE)</f>
        <v>Overweight</v>
      </c>
      <c r="K1442" t="str">
        <f>VLOOKUP($A1442, 'Medical Examinations'!A:D, 4, FALSE)</f>
        <v>Normal</v>
      </c>
    </row>
    <row r="1443" spans="1:11" ht="15.5" x14ac:dyDescent="0.35">
      <c r="A1443" s="1" t="s">
        <v>929</v>
      </c>
      <c r="B1443" t="str">
        <f>VLOOKUP($A1443, 'Customer Names'!A:D, 3, FALSE)</f>
        <v>Douglas</v>
      </c>
      <c r="C1443">
        <f>VLOOKUP($A1443,'Medical Examinations'!A:C, 3, FALSE)</f>
        <v>25.24</v>
      </c>
      <c r="D1443" t="str">
        <f>VLOOKUP($A1443, 'Medical Examinations'!A:D, 4, FALSE)</f>
        <v>Prediabetes</v>
      </c>
      <c r="E1443" t="str">
        <f>VLOOKUP($A1443, 'Medical Examinations'!A:F, 6, FALSE)</f>
        <v>No</v>
      </c>
      <c r="F1443" t="str">
        <f>VLOOKUP($A1443, 'Medical Examinations'!A:G, 7, FALSE)</f>
        <v>No</v>
      </c>
      <c r="G1443" t="str">
        <f>VLOOKUP($A1443, 'Medical Examinations'!A:H, 8, FALSE)</f>
        <v>No</v>
      </c>
      <c r="H1443">
        <f>VLOOKUP($A1443, 'Medical Examinations'!A:J, 10, FALSE)</f>
        <v>1</v>
      </c>
      <c r="I1443" t="str">
        <f>VLOOKUP($A1443, 'Medical Examinations'!A:K, 11, FALSE)</f>
        <v>No</v>
      </c>
      <c r="J1443" t="str">
        <f>VLOOKUP($A1443, 'Medical Examinations'!A:B, 2, FALSE)</f>
        <v>Overweight</v>
      </c>
      <c r="K1443" t="str">
        <f>VLOOKUP($A1443, 'Medical Examinations'!A:D, 4, FALSE)</f>
        <v>Prediabetes</v>
      </c>
    </row>
    <row r="1444" spans="1:11" ht="15.5" x14ac:dyDescent="0.35">
      <c r="A1444" s="1" t="s">
        <v>928</v>
      </c>
      <c r="B1444" t="str">
        <f>VLOOKUP($A1444, 'Customer Names'!A:D, 3, FALSE)</f>
        <v>Tecklenburg</v>
      </c>
      <c r="C1444">
        <f>VLOOKUP($A1444,'Medical Examinations'!A:C, 3, FALSE)</f>
        <v>25.08</v>
      </c>
      <c r="D1444" t="str">
        <f>VLOOKUP($A1444, 'Medical Examinations'!A:D, 4, FALSE)</f>
        <v>Prediabetes</v>
      </c>
      <c r="E1444" t="str">
        <f>VLOOKUP($A1444, 'Medical Examinations'!A:F, 6, FALSE)</f>
        <v>No</v>
      </c>
      <c r="F1444" t="str">
        <f>VLOOKUP($A1444, 'Medical Examinations'!A:G, 7, FALSE)</f>
        <v>No</v>
      </c>
      <c r="G1444" t="str">
        <f>VLOOKUP($A1444, 'Medical Examinations'!A:H, 8, FALSE)</f>
        <v>Yes</v>
      </c>
      <c r="H1444">
        <f>VLOOKUP($A1444, 'Medical Examinations'!A:J, 10, FALSE)</f>
        <v>1</v>
      </c>
      <c r="I1444" t="str">
        <f>VLOOKUP($A1444, 'Medical Examinations'!A:K, 11, FALSE)</f>
        <v>No</v>
      </c>
      <c r="J1444" t="str">
        <f>VLOOKUP($A1444, 'Medical Examinations'!A:B, 2, FALSE)</f>
        <v>Overweight</v>
      </c>
      <c r="K1444" t="str">
        <f>VLOOKUP($A1444, 'Medical Examinations'!A:D, 4, FALSE)</f>
        <v>Prediabetes</v>
      </c>
    </row>
    <row r="1445" spans="1:11" ht="15.5" x14ac:dyDescent="0.35">
      <c r="A1445" s="1" t="s">
        <v>927</v>
      </c>
      <c r="B1445" t="str">
        <f>VLOOKUP($A1445, 'Customer Names'!A:D, 3, FALSE)</f>
        <v>Baker</v>
      </c>
      <c r="C1445">
        <f>VLOOKUP($A1445,'Medical Examinations'!A:C, 3, FALSE)</f>
        <v>29.164999999999999</v>
      </c>
      <c r="D1445" t="str">
        <f>VLOOKUP($A1445, 'Medical Examinations'!A:D, 4, FALSE)</f>
        <v>Normal</v>
      </c>
      <c r="E1445" t="str">
        <f>VLOOKUP($A1445, 'Medical Examinations'!A:F, 6, FALSE)</f>
        <v>No</v>
      </c>
      <c r="F1445" t="str">
        <f>VLOOKUP($A1445, 'Medical Examinations'!A:G, 7, FALSE)</f>
        <v>yes</v>
      </c>
      <c r="G1445" t="str">
        <f>VLOOKUP($A1445, 'Medical Examinations'!A:H, 8, FALSE)</f>
        <v>No</v>
      </c>
      <c r="H1445">
        <f>VLOOKUP($A1445, 'Medical Examinations'!A:J, 10, FALSE)</f>
        <v>1</v>
      </c>
      <c r="I1445" t="str">
        <f>VLOOKUP($A1445, 'Medical Examinations'!A:K, 11, FALSE)</f>
        <v>No</v>
      </c>
      <c r="J1445" t="str">
        <f>VLOOKUP($A1445, 'Medical Examinations'!A:B, 2, FALSE)</f>
        <v>Overweight</v>
      </c>
      <c r="K1445" t="str">
        <f>VLOOKUP($A1445, 'Medical Examinations'!A:D, 4, FALSE)</f>
        <v>Normal</v>
      </c>
    </row>
    <row r="1446" spans="1:11" ht="15.5" x14ac:dyDescent="0.35">
      <c r="A1446" s="1" t="s">
        <v>926</v>
      </c>
      <c r="B1446" t="str">
        <f>VLOOKUP($A1446, 'Customer Names'!A:D, 3, FALSE)</f>
        <v>Schenck</v>
      </c>
      <c r="C1446">
        <f>VLOOKUP($A1446,'Medical Examinations'!A:C, 3, FALSE)</f>
        <v>15.05</v>
      </c>
      <c r="D1446" t="str">
        <f>VLOOKUP($A1446, 'Medical Examinations'!A:D, 4, FALSE)</f>
        <v>Diabetes</v>
      </c>
      <c r="E1446" t="str">
        <f>VLOOKUP($A1446, 'Medical Examinations'!A:F, 6, FALSE)</f>
        <v>No</v>
      </c>
      <c r="F1446" t="str">
        <f>VLOOKUP($A1446, 'Medical Examinations'!A:G, 7, FALSE)</f>
        <v>No</v>
      </c>
      <c r="G1446" t="str">
        <f>VLOOKUP($A1446, 'Medical Examinations'!A:H, 8, FALSE)</f>
        <v>No</v>
      </c>
      <c r="H1446" t="str">
        <f>VLOOKUP($A1446, 'Medical Examinations'!A:J, 10, FALSE)</f>
        <v>No major surgery</v>
      </c>
      <c r="I1446" t="str">
        <f>VLOOKUP($A1446, 'Medical Examinations'!A:K, 11, FALSE)</f>
        <v>No</v>
      </c>
      <c r="J1446" t="str">
        <f>VLOOKUP($A1446, 'Medical Examinations'!A:B, 2, FALSE)</f>
        <v>Underweight</v>
      </c>
      <c r="K1446" t="str">
        <f>VLOOKUP($A1446, 'Medical Examinations'!A:D, 4, FALSE)</f>
        <v>Diabetes</v>
      </c>
    </row>
    <row r="1447" spans="1:11" ht="15.5" x14ac:dyDescent="0.35">
      <c r="A1447" s="1" t="s">
        <v>925</v>
      </c>
      <c r="B1447" t="str">
        <f>VLOOKUP($A1447, 'Customer Names'!A:D, 3, FALSE)</f>
        <v>Johnson</v>
      </c>
      <c r="C1447">
        <f>VLOOKUP($A1447,'Medical Examinations'!A:C, 3, FALSE)</f>
        <v>19.95</v>
      </c>
      <c r="D1447" t="str">
        <f>VLOOKUP($A1447, 'Medical Examinations'!A:D, 4, FALSE)</f>
        <v>Normal</v>
      </c>
      <c r="E1447" t="str">
        <f>VLOOKUP($A1447, 'Medical Examinations'!A:F, 6, FALSE)</f>
        <v>No</v>
      </c>
      <c r="F1447" t="str">
        <f>VLOOKUP($A1447, 'Medical Examinations'!A:G, 7, FALSE)</f>
        <v>No</v>
      </c>
      <c r="G1447" t="str">
        <f>VLOOKUP($A1447, 'Medical Examinations'!A:H, 8, FALSE)</f>
        <v>No</v>
      </c>
      <c r="H1447">
        <f>VLOOKUP($A1447, 'Medical Examinations'!A:J, 10, FALSE)</f>
        <v>2</v>
      </c>
      <c r="I1447" t="str">
        <f>VLOOKUP($A1447, 'Medical Examinations'!A:K, 11, FALSE)</f>
        <v>No</v>
      </c>
      <c r="J1447" t="str">
        <f>VLOOKUP($A1447, 'Medical Examinations'!A:B, 2, FALSE)</f>
        <v>Normal Weight</v>
      </c>
      <c r="K1447" t="str">
        <f>VLOOKUP($A1447, 'Medical Examinations'!A:D, 4, FALSE)</f>
        <v>Normal</v>
      </c>
    </row>
    <row r="1448" spans="1:11" ht="15.5" x14ac:dyDescent="0.35">
      <c r="A1448" s="1" t="s">
        <v>924</v>
      </c>
      <c r="B1448" t="str">
        <f>VLOOKUP($A1448, 'Customer Names'!A:D, 3, FALSE)</f>
        <v>Blendell</v>
      </c>
      <c r="C1448">
        <f>VLOOKUP($A1448,'Medical Examinations'!A:C, 3, FALSE)</f>
        <v>16.66</v>
      </c>
      <c r="D1448" t="str">
        <f>VLOOKUP($A1448, 'Medical Examinations'!A:D, 4, FALSE)</f>
        <v>Diabetes</v>
      </c>
      <c r="E1448" t="str">
        <f>VLOOKUP($A1448, 'Medical Examinations'!A:F, 6, FALSE)</f>
        <v>No</v>
      </c>
      <c r="F1448" t="str">
        <f>VLOOKUP($A1448, 'Medical Examinations'!A:G, 7, FALSE)</f>
        <v>No</v>
      </c>
      <c r="G1448" t="str">
        <f>VLOOKUP($A1448, 'Medical Examinations'!A:H, 8, FALSE)</f>
        <v>No</v>
      </c>
      <c r="H1448" t="str">
        <f>VLOOKUP($A1448, 'Medical Examinations'!A:J, 10, FALSE)</f>
        <v>No major surgery</v>
      </c>
      <c r="I1448" t="str">
        <f>VLOOKUP($A1448, 'Medical Examinations'!A:K, 11, FALSE)</f>
        <v>No</v>
      </c>
      <c r="J1448" t="str">
        <f>VLOOKUP($A1448, 'Medical Examinations'!A:B, 2, FALSE)</f>
        <v>Underweight</v>
      </c>
      <c r="K1448" t="str">
        <f>VLOOKUP($A1448, 'Medical Examinations'!A:D, 4, FALSE)</f>
        <v>Diabetes</v>
      </c>
    </row>
    <row r="1449" spans="1:11" ht="15.5" x14ac:dyDescent="0.35">
      <c r="A1449" s="1" t="s">
        <v>923</v>
      </c>
      <c r="B1449" t="str">
        <f>VLOOKUP($A1449, 'Customer Names'!A:D, 3, FALSE)</f>
        <v>Parodi</v>
      </c>
      <c r="C1449">
        <f>VLOOKUP($A1449,'Medical Examinations'!A:C, 3, FALSE)</f>
        <v>16.62</v>
      </c>
      <c r="D1449" t="str">
        <f>VLOOKUP($A1449, 'Medical Examinations'!A:D, 4, FALSE)</f>
        <v>Diabetes</v>
      </c>
      <c r="E1449" t="str">
        <f>VLOOKUP($A1449, 'Medical Examinations'!A:F, 6, FALSE)</f>
        <v>No</v>
      </c>
      <c r="F1449" t="str">
        <f>VLOOKUP($A1449, 'Medical Examinations'!A:G, 7, FALSE)</f>
        <v>No</v>
      </c>
      <c r="G1449" t="str">
        <f>VLOOKUP($A1449, 'Medical Examinations'!A:H, 8, FALSE)</f>
        <v>No</v>
      </c>
      <c r="H1449" t="str">
        <f>VLOOKUP($A1449, 'Medical Examinations'!A:J, 10, FALSE)</f>
        <v>No major surgery</v>
      </c>
      <c r="I1449" t="str">
        <f>VLOOKUP($A1449, 'Medical Examinations'!A:K, 11, FALSE)</f>
        <v>No</v>
      </c>
      <c r="J1449" t="str">
        <f>VLOOKUP($A1449, 'Medical Examinations'!A:B, 2, FALSE)</f>
        <v>Underweight</v>
      </c>
      <c r="K1449" t="str">
        <f>VLOOKUP($A1449, 'Medical Examinations'!A:D, 4, FALSE)</f>
        <v>Diabetes</v>
      </c>
    </row>
    <row r="1450" spans="1:11" ht="15.5" x14ac:dyDescent="0.35">
      <c r="A1450" s="1" t="s">
        <v>922</v>
      </c>
      <c r="B1450" t="str">
        <f>VLOOKUP($A1450, 'Customer Names'!A:D, 3, FALSE)</f>
        <v>Morgan</v>
      </c>
      <c r="C1450">
        <f>VLOOKUP($A1450,'Medical Examinations'!A:C, 3, FALSE)</f>
        <v>15.36</v>
      </c>
      <c r="D1450" t="str">
        <f>VLOOKUP($A1450, 'Medical Examinations'!A:D, 4, FALSE)</f>
        <v>Normal</v>
      </c>
      <c r="E1450" t="str">
        <f>VLOOKUP($A1450, 'Medical Examinations'!A:F, 6, FALSE)</f>
        <v>yes</v>
      </c>
      <c r="F1450" t="str">
        <f>VLOOKUP($A1450, 'Medical Examinations'!A:G, 7, FALSE)</f>
        <v>No</v>
      </c>
      <c r="G1450" t="str">
        <f>VLOOKUP($A1450, 'Medical Examinations'!A:H, 8, FALSE)</f>
        <v>No</v>
      </c>
      <c r="H1450">
        <f>VLOOKUP($A1450, 'Medical Examinations'!A:J, 10, FALSE)</f>
        <v>2</v>
      </c>
      <c r="I1450" t="str">
        <f>VLOOKUP($A1450, 'Medical Examinations'!A:K, 11, FALSE)</f>
        <v>No</v>
      </c>
      <c r="J1450" t="str">
        <f>VLOOKUP($A1450, 'Medical Examinations'!A:B, 2, FALSE)</f>
        <v>Underweight</v>
      </c>
      <c r="K1450" t="str">
        <f>VLOOKUP($A1450, 'Medical Examinations'!A:D, 4, FALSE)</f>
        <v>Normal</v>
      </c>
    </row>
    <row r="1451" spans="1:11" ht="15.5" x14ac:dyDescent="0.35">
      <c r="A1451" s="1" t="s">
        <v>921</v>
      </c>
      <c r="B1451" t="str">
        <f>VLOOKUP($A1451, 'Customer Names'!A:D, 3, FALSE)</f>
        <v>Linden</v>
      </c>
      <c r="C1451">
        <f>VLOOKUP($A1451,'Medical Examinations'!A:C, 3, FALSE)</f>
        <v>27.74</v>
      </c>
      <c r="D1451" t="str">
        <f>VLOOKUP($A1451, 'Medical Examinations'!A:D, 4, FALSE)</f>
        <v>Prediabetes</v>
      </c>
      <c r="E1451" t="str">
        <f>VLOOKUP($A1451, 'Medical Examinations'!A:F, 6, FALSE)</f>
        <v>yes</v>
      </c>
      <c r="F1451" t="str">
        <f>VLOOKUP($A1451, 'Medical Examinations'!A:G, 7, FALSE)</f>
        <v>No</v>
      </c>
      <c r="G1451" t="str">
        <f>VLOOKUP($A1451, 'Medical Examinations'!A:H, 8, FALSE)</f>
        <v>No</v>
      </c>
      <c r="H1451" t="str">
        <f>VLOOKUP($A1451, 'Medical Examinations'!A:J, 10, FALSE)</f>
        <v>No major surgery</v>
      </c>
      <c r="I1451" t="str">
        <f>VLOOKUP($A1451, 'Medical Examinations'!A:K, 11, FALSE)</f>
        <v>No</v>
      </c>
      <c r="J1451" t="str">
        <f>VLOOKUP($A1451, 'Medical Examinations'!A:B, 2, FALSE)</f>
        <v>Overweight</v>
      </c>
      <c r="K1451" t="str">
        <f>VLOOKUP($A1451, 'Medical Examinations'!A:D, 4, FALSE)</f>
        <v>Prediabetes</v>
      </c>
    </row>
    <row r="1452" spans="1:11" ht="15.5" x14ac:dyDescent="0.35">
      <c r="A1452" s="1" t="s">
        <v>920</v>
      </c>
      <c r="B1452" t="str">
        <f>VLOOKUP($A1452, 'Customer Names'!A:D, 3, FALSE)</f>
        <v>Horning</v>
      </c>
      <c r="C1452">
        <f>VLOOKUP($A1452,'Medical Examinations'!A:C, 3, FALSE)</f>
        <v>22.44</v>
      </c>
      <c r="D1452" t="str">
        <f>VLOOKUP($A1452, 'Medical Examinations'!A:D, 4, FALSE)</f>
        <v>Normal</v>
      </c>
      <c r="E1452" t="str">
        <f>VLOOKUP($A1452, 'Medical Examinations'!A:F, 6, FALSE)</f>
        <v>yes</v>
      </c>
      <c r="F1452" t="str">
        <f>VLOOKUP($A1452, 'Medical Examinations'!A:G, 7, FALSE)</f>
        <v>No</v>
      </c>
      <c r="G1452" t="str">
        <f>VLOOKUP($A1452, 'Medical Examinations'!A:H, 8, FALSE)</f>
        <v>No</v>
      </c>
      <c r="H1452" t="str">
        <f>VLOOKUP($A1452, 'Medical Examinations'!A:J, 10, FALSE)</f>
        <v>No major surgery</v>
      </c>
      <c r="I1452" t="str">
        <f>VLOOKUP($A1452, 'Medical Examinations'!A:K, 11, FALSE)</f>
        <v>No</v>
      </c>
      <c r="J1452" t="str">
        <f>VLOOKUP($A1452, 'Medical Examinations'!A:B, 2, FALSE)</f>
        <v>Normal Weight</v>
      </c>
      <c r="K1452" t="str">
        <f>VLOOKUP($A1452, 'Medical Examinations'!A:D, 4, FALSE)</f>
        <v>Normal</v>
      </c>
    </row>
    <row r="1453" spans="1:11" ht="15.5" x14ac:dyDescent="0.35">
      <c r="A1453" s="1" t="s">
        <v>919</v>
      </c>
      <c r="B1453" t="str">
        <f>VLOOKUP($A1453, 'Customer Names'!A:D, 3, FALSE)</f>
        <v>Goode</v>
      </c>
      <c r="C1453">
        <f>VLOOKUP($A1453,'Medical Examinations'!A:C, 3, FALSE)</f>
        <v>37.049999999999997</v>
      </c>
      <c r="D1453" t="str">
        <f>VLOOKUP($A1453, 'Medical Examinations'!A:D, 4, FALSE)</f>
        <v>Diabetes</v>
      </c>
      <c r="E1453" t="str">
        <f>VLOOKUP($A1453, 'Medical Examinations'!A:F, 6, FALSE)</f>
        <v>yes</v>
      </c>
      <c r="F1453" t="str">
        <f>VLOOKUP($A1453, 'Medical Examinations'!A:G, 7, FALSE)</f>
        <v>No</v>
      </c>
      <c r="G1453" t="str">
        <f>VLOOKUP($A1453, 'Medical Examinations'!A:H, 8, FALSE)</f>
        <v>No</v>
      </c>
      <c r="H1453" t="str">
        <f>VLOOKUP($A1453, 'Medical Examinations'!A:J, 10, FALSE)</f>
        <v>No major surgery</v>
      </c>
      <c r="I1453" t="str">
        <f>VLOOKUP($A1453, 'Medical Examinations'!A:K, 11, FALSE)</f>
        <v>No</v>
      </c>
      <c r="J1453" t="str">
        <f>VLOOKUP($A1453, 'Medical Examinations'!A:B, 2, FALSE)</f>
        <v>Obesity</v>
      </c>
      <c r="K1453" t="str">
        <f>VLOOKUP($A1453, 'Medical Examinations'!A:D, 4, FALSE)</f>
        <v>Diabetes</v>
      </c>
    </row>
    <row r="1454" spans="1:11" ht="15.5" x14ac:dyDescent="0.35">
      <c r="A1454" s="1" t="s">
        <v>918</v>
      </c>
      <c r="B1454" t="str">
        <f>VLOOKUP($A1454, 'Customer Names'!A:D, 3, FALSE)</f>
        <v>Doden</v>
      </c>
      <c r="C1454">
        <f>VLOOKUP($A1454,'Medical Examinations'!A:C, 3, FALSE)</f>
        <v>22.95</v>
      </c>
      <c r="D1454" t="str">
        <f>VLOOKUP($A1454, 'Medical Examinations'!A:D, 4, FALSE)</f>
        <v>Diabetes</v>
      </c>
      <c r="E1454" t="str">
        <f>VLOOKUP($A1454, 'Medical Examinations'!A:F, 6, FALSE)</f>
        <v>No</v>
      </c>
      <c r="F1454" t="str">
        <f>VLOOKUP($A1454, 'Medical Examinations'!A:G, 7, FALSE)</f>
        <v>No</v>
      </c>
      <c r="G1454" t="str">
        <f>VLOOKUP($A1454, 'Medical Examinations'!A:H, 8, FALSE)</f>
        <v>No</v>
      </c>
      <c r="H1454">
        <f>VLOOKUP($A1454, 'Medical Examinations'!A:J, 10, FALSE)</f>
        <v>2</v>
      </c>
      <c r="I1454" t="str">
        <f>VLOOKUP($A1454, 'Medical Examinations'!A:K, 11, FALSE)</f>
        <v>No</v>
      </c>
      <c r="J1454" t="str">
        <f>VLOOKUP($A1454, 'Medical Examinations'!A:B, 2, FALSE)</f>
        <v>Normal Weight</v>
      </c>
      <c r="K1454" t="str">
        <f>VLOOKUP($A1454, 'Medical Examinations'!A:D, 4, FALSE)</f>
        <v>Diabetes</v>
      </c>
    </row>
    <row r="1455" spans="1:11" ht="15.5" x14ac:dyDescent="0.35">
      <c r="A1455" s="1" t="s">
        <v>917</v>
      </c>
      <c r="B1455" t="str">
        <f>VLOOKUP($A1455, 'Customer Names'!A:D, 3, FALSE)</f>
        <v>Groff</v>
      </c>
      <c r="C1455">
        <f>VLOOKUP($A1455,'Medical Examinations'!A:C, 3, FALSE)</f>
        <v>34.200000000000003</v>
      </c>
      <c r="D1455" t="str">
        <f>VLOOKUP($A1455, 'Medical Examinations'!A:D, 4, FALSE)</f>
        <v>Diabetes</v>
      </c>
      <c r="E1455" t="str">
        <f>VLOOKUP($A1455, 'Medical Examinations'!A:F, 6, FALSE)</f>
        <v>yes</v>
      </c>
      <c r="F1455" t="str">
        <f>VLOOKUP($A1455, 'Medical Examinations'!A:G, 7, FALSE)</f>
        <v>No</v>
      </c>
      <c r="G1455" t="str">
        <f>VLOOKUP($A1455, 'Medical Examinations'!A:H, 8, FALSE)</f>
        <v>No</v>
      </c>
      <c r="H1455" t="str">
        <f>VLOOKUP($A1455, 'Medical Examinations'!A:J, 10, FALSE)</f>
        <v>No major surgery</v>
      </c>
      <c r="I1455" t="str">
        <f>VLOOKUP($A1455, 'Medical Examinations'!A:K, 11, FALSE)</f>
        <v>No</v>
      </c>
      <c r="J1455" t="str">
        <f>VLOOKUP($A1455, 'Medical Examinations'!A:B, 2, FALSE)</f>
        <v>Obesity</v>
      </c>
      <c r="K1455" t="str">
        <f>VLOOKUP($A1455, 'Medical Examinations'!A:D, 4, FALSE)</f>
        <v>Diabetes</v>
      </c>
    </row>
    <row r="1456" spans="1:11" ht="15.5" x14ac:dyDescent="0.35">
      <c r="A1456" s="1" t="s">
        <v>916</v>
      </c>
      <c r="B1456" t="str">
        <f>VLOOKUP($A1456, 'Customer Names'!A:D, 3, FALSE)</f>
        <v>Kuehler</v>
      </c>
      <c r="C1456">
        <f>VLOOKUP($A1456,'Medical Examinations'!A:C, 3, FALSE)</f>
        <v>30.59</v>
      </c>
      <c r="D1456" t="str">
        <f>VLOOKUP($A1456, 'Medical Examinations'!A:D, 4, FALSE)</f>
        <v>Diabetes</v>
      </c>
      <c r="E1456" t="str">
        <f>VLOOKUP($A1456, 'Medical Examinations'!A:F, 6, FALSE)</f>
        <v>yes</v>
      </c>
      <c r="F1456" t="str">
        <f>VLOOKUP($A1456, 'Medical Examinations'!A:G, 7, FALSE)</f>
        <v>No</v>
      </c>
      <c r="G1456" t="str">
        <f>VLOOKUP($A1456, 'Medical Examinations'!A:H, 8, FALSE)</f>
        <v>No</v>
      </c>
      <c r="H1456" t="str">
        <f>VLOOKUP($A1456, 'Medical Examinations'!A:J, 10, FALSE)</f>
        <v>No major surgery</v>
      </c>
      <c r="I1456" t="str">
        <f>VLOOKUP($A1456, 'Medical Examinations'!A:K, 11, FALSE)</f>
        <v>No</v>
      </c>
      <c r="J1456" t="str">
        <f>VLOOKUP($A1456, 'Medical Examinations'!A:B, 2, FALSE)</f>
        <v>Obesity</v>
      </c>
      <c r="K1456" t="str">
        <f>VLOOKUP($A1456, 'Medical Examinations'!A:D, 4, FALSE)</f>
        <v>Diabetes</v>
      </c>
    </row>
    <row r="1457" spans="1:11" ht="15.5" x14ac:dyDescent="0.35">
      <c r="A1457" s="1" t="s">
        <v>915</v>
      </c>
      <c r="B1457" t="str">
        <f>VLOOKUP($A1457, 'Customer Names'!A:D, 3, FALSE)</f>
        <v>Daniels</v>
      </c>
      <c r="C1457">
        <f>VLOOKUP($A1457,'Medical Examinations'!A:C, 3, FALSE)</f>
        <v>25.51</v>
      </c>
      <c r="D1457" t="str">
        <f>VLOOKUP($A1457, 'Medical Examinations'!A:D, 4, FALSE)</f>
        <v>Prediabetes</v>
      </c>
      <c r="E1457" t="str">
        <f>VLOOKUP($A1457, 'Medical Examinations'!A:F, 6, FALSE)</f>
        <v>No</v>
      </c>
      <c r="F1457" t="str">
        <f>VLOOKUP($A1457, 'Medical Examinations'!A:G, 7, FALSE)</f>
        <v>No</v>
      </c>
      <c r="G1457" t="str">
        <f>VLOOKUP($A1457, 'Medical Examinations'!A:H, 8, FALSE)</f>
        <v>No</v>
      </c>
      <c r="H1457" t="str">
        <f>VLOOKUP($A1457, 'Medical Examinations'!A:J, 10, FALSE)</f>
        <v>No major surgery</v>
      </c>
      <c r="I1457" t="str">
        <f>VLOOKUP($A1457, 'Medical Examinations'!A:K, 11, FALSE)</f>
        <v>No</v>
      </c>
      <c r="J1457" t="str">
        <f>VLOOKUP($A1457, 'Medical Examinations'!A:B, 2, FALSE)</f>
        <v>Overweight</v>
      </c>
      <c r="K1457" t="str">
        <f>VLOOKUP($A1457, 'Medical Examinations'!A:D, 4, FALSE)</f>
        <v>Prediabetes</v>
      </c>
    </row>
    <row r="1458" spans="1:11" ht="15.5" x14ac:dyDescent="0.35">
      <c r="A1458" s="1" t="s">
        <v>914</v>
      </c>
      <c r="B1458" t="str">
        <f>VLOOKUP($A1458, 'Customer Names'!A:D, 3, FALSE)</f>
        <v>Gibby</v>
      </c>
      <c r="C1458">
        <f>VLOOKUP($A1458,'Medical Examinations'!A:C, 3, FALSE)</f>
        <v>29.04</v>
      </c>
      <c r="D1458" t="str">
        <f>VLOOKUP($A1458, 'Medical Examinations'!A:D, 4, FALSE)</f>
        <v>Diabetes</v>
      </c>
      <c r="E1458" t="str">
        <f>VLOOKUP($A1458, 'Medical Examinations'!A:F, 6, FALSE)</f>
        <v>yes</v>
      </c>
      <c r="F1458" t="str">
        <f>VLOOKUP($A1458, 'Medical Examinations'!A:G, 7, FALSE)</f>
        <v>No</v>
      </c>
      <c r="G1458" t="str">
        <f>VLOOKUP($A1458, 'Medical Examinations'!A:H, 8, FALSE)</f>
        <v>No</v>
      </c>
      <c r="H1458">
        <f>VLOOKUP($A1458, 'Medical Examinations'!A:J, 10, FALSE)</f>
        <v>1</v>
      </c>
      <c r="I1458" t="str">
        <f>VLOOKUP($A1458, 'Medical Examinations'!A:K, 11, FALSE)</f>
        <v>No</v>
      </c>
      <c r="J1458" t="str">
        <f>VLOOKUP($A1458, 'Medical Examinations'!A:B, 2, FALSE)</f>
        <v>Overweight</v>
      </c>
      <c r="K1458" t="str">
        <f>VLOOKUP($A1458, 'Medical Examinations'!A:D, 4, FALSE)</f>
        <v>Diabetes</v>
      </c>
    </row>
    <row r="1459" spans="1:11" ht="15.5" x14ac:dyDescent="0.35">
      <c r="A1459" s="1" t="s">
        <v>913</v>
      </c>
      <c r="B1459" t="str">
        <f>VLOOKUP($A1459, 'Customer Names'!A:D, 3, FALSE)</f>
        <v>Busa</v>
      </c>
      <c r="C1459">
        <f>VLOOKUP($A1459,'Medical Examinations'!A:C, 3, FALSE)</f>
        <v>22.135000000000002</v>
      </c>
      <c r="D1459" t="str">
        <f>VLOOKUP($A1459, 'Medical Examinations'!A:D, 4, FALSE)</f>
        <v>Diabetes</v>
      </c>
      <c r="E1459" t="str">
        <f>VLOOKUP($A1459, 'Medical Examinations'!A:F, 6, FALSE)</f>
        <v>yes</v>
      </c>
      <c r="F1459" t="str">
        <f>VLOOKUP($A1459, 'Medical Examinations'!A:G, 7, FALSE)</f>
        <v>No</v>
      </c>
      <c r="G1459" t="str">
        <f>VLOOKUP($A1459, 'Medical Examinations'!A:H, 8, FALSE)</f>
        <v>No</v>
      </c>
      <c r="H1459">
        <f>VLOOKUP($A1459, 'Medical Examinations'!A:J, 10, FALSE)</f>
        <v>1</v>
      </c>
      <c r="I1459" t="str">
        <f>VLOOKUP($A1459, 'Medical Examinations'!A:K, 11, FALSE)</f>
        <v>No</v>
      </c>
      <c r="J1459" t="str">
        <f>VLOOKUP($A1459, 'Medical Examinations'!A:B, 2, FALSE)</f>
        <v>Normal Weight</v>
      </c>
      <c r="K1459" t="str">
        <f>VLOOKUP($A1459, 'Medical Examinations'!A:D, 4, FALSE)</f>
        <v>Diabetes</v>
      </c>
    </row>
    <row r="1460" spans="1:11" ht="15.5" x14ac:dyDescent="0.35">
      <c r="A1460" s="1" t="s">
        <v>912</v>
      </c>
      <c r="B1460" t="str">
        <f>VLOOKUP($A1460, 'Customer Names'!A:D, 3, FALSE)</f>
        <v>Moyo</v>
      </c>
      <c r="C1460">
        <f>VLOOKUP($A1460,'Medical Examinations'!A:C, 3, FALSE)</f>
        <v>21.375</v>
      </c>
      <c r="D1460" t="str">
        <f>VLOOKUP($A1460, 'Medical Examinations'!A:D, 4, FALSE)</f>
        <v>Normal</v>
      </c>
      <c r="E1460" t="str">
        <f>VLOOKUP($A1460, 'Medical Examinations'!A:F, 6, FALSE)</f>
        <v>No</v>
      </c>
      <c r="F1460" t="str">
        <f>VLOOKUP($A1460, 'Medical Examinations'!A:G, 7, FALSE)</f>
        <v>No</v>
      </c>
      <c r="G1460" t="str">
        <f>VLOOKUP($A1460, 'Medical Examinations'!A:H, 8, FALSE)</f>
        <v>No</v>
      </c>
      <c r="H1460" t="str">
        <f>VLOOKUP($A1460, 'Medical Examinations'!A:J, 10, FALSE)</f>
        <v>No major surgery</v>
      </c>
      <c r="I1460" t="str">
        <f>VLOOKUP($A1460, 'Medical Examinations'!A:K, 11, FALSE)</f>
        <v>No</v>
      </c>
      <c r="J1460" t="str">
        <f>VLOOKUP($A1460, 'Medical Examinations'!A:B, 2, FALSE)</f>
        <v>Normal Weight</v>
      </c>
      <c r="K1460" t="str">
        <f>VLOOKUP($A1460, 'Medical Examinations'!A:D, 4, FALSE)</f>
        <v>Normal</v>
      </c>
    </row>
    <row r="1461" spans="1:11" ht="15.5" x14ac:dyDescent="0.35">
      <c r="A1461" s="1" t="s">
        <v>911</v>
      </c>
      <c r="B1461" t="str">
        <f>VLOOKUP($A1461, 'Customer Names'!A:D, 3, FALSE)</f>
        <v>Horn</v>
      </c>
      <c r="C1461">
        <f>VLOOKUP($A1461,'Medical Examinations'!A:C, 3, FALSE)</f>
        <v>29.19</v>
      </c>
      <c r="D1461" t="str">
        <f>VLOOKUP($A1461, 'Medical Examinations'!A:D, 4, FALSE)</f>
        <v>Normal</v>
      </c>
      <c r="E1461" t="str">
        <f>VLOOKUP($A1461, 'Medical Examinations'!A:F, 6, FALSE)</f>
        <v>No</v>
      </c>
      <c r="F1461" t="str">
        <f>VLOOKUP($A1461, 'Medical Examinations'!A:G, 7, FALSE)</f>
        <v>No</v>
      </c>
      <c r="G1461" t="str">
        <f>VLOOKUP($A1461, 'Medical Examinations'!A:H, 8, FALSE)</f>
        <v>No</v>
      </c>
      <c r="H1461" t="str">
        <f>VLOOKUP($A1461, 'Medical Examinations'!A:J, 10, FALSE)</f>
        <v>No major surgery</v>
      </c>
      <c r="I1461" t="str">
        <f>VLOOKUP($A1461, 'Medical Examinations'!A:K, 11, FALSE)</f>
        <v>No</v>
      </c>
      <c r="J1461" t="str">
        <f>VLOOKUP($A1461, 'Medical Examinations'!A:B, 2, FALSE)</f>
        <v>Overweight</v>
      </c>
      <c r="K1461" t="str">
        <f>VLOOKUP($A1461, 'Medical Examinations'!A:D, 4, FALSE)</f>
        <v>Normal</v>
      </c>
    </row>
    <row r="1462" spans="1:11" ht="15.5" x14ac:dyDescent="0.35">
      <c r="A1462" s="1" t="s">
        <v>910</v>
      </c>
      <c r="B1462" t="str">
        <f>VLOOKUP($A1462, 'Customer Names'!A:D, 3, FALSE)</f>
        <v>Bien</v>
      </c>
      <c r="C1462">
        <f>VLOOKUP($A1462,'Medical Examinations'!A:C, 3, FALSE)</f>
        <v>31.92</v>
      </c>
      <c r="D1462" t="str">
        <f>VLOOKUP($A1462, 'Medical Examinations'!A:D, 4, FALSE)</f>
        <v>Normal</v>
      </c>
      <c r="E1462" t="str">
        <f>VLOOKUP($A1462, 'Medical Examinations'!A:F, 6, FALSE)</f>
        <v>yes</v>
      </c>
      <c r="F1462" t="str">
        <f>VLOOKUP($A1462, 'Medical Examinations'!A:G, 7, FALSE)</f>
        <v>No</v>
      </c>
      <c r="G1462" t="str">
        <f>VLOOKUP($A1462, 'Medical Examinations'!A:H, 8, FALSE)</f>
        <v>Yes</v>
      </c>
      <c r="H1462">
        <f>VLOOKUP($A1462, 'Medical Examinations'!A:J, 10, FALSE)</f>
        <v>1</v>
      </c>
      <c r="I1462" t="str">
        <f>VLOOKUP($A1462, 'Medical Examinations'!A:K, 11, FALSE)</f>
        <v>No</v>
      </c>
      <c r="J1462" t="str">
        <f>VLOOKUP($A1462, 'Medical Examinations'!A:B, 2, FALSE)</f>
        <v>Obesity</v>
      </c>
      <c r="K1462" t="str">
        <f>VLOOKUP($A1462, 'Medical Examinations'!A:D, 4, FALSE)</f>
        <v>Normal</v>
      </c>
    </row>
    <row r="1463" spans="1:11" ht="15.5" x14ac:dyDescent="0.35">
      <c r="A1463" s="1" t="s">
        <v>909</v>
      </c>
      <c r="B1463" t="str">
        <f>VLOOKUP($A1463, 'Customer Names'!A:D, 3, FALSE)</f>
        <v>O'Connor</v>
      </c>
      <c r="C1463">
        <f>VLOOKUP($A1463,'Medical Examinations'!A:C, 3, FALSE)</f>
        <v>26.315000000000001</v>
      </c>
      <c r="D1463" t="str">
        <f>VLOOKUP($A1463, 'Medical Examinations'!A:D, 4, FALSE)</f>
        <v>Normal</v>
      </c>
      <c r="E1463" t="str">
        <f>VLOOKUP($A1463, 'Medical Examinations'!A:F, 6, FALSE)</f>
        <v>yes</v>
      </c>
      <c r="F1463" t="str">
        <f>VLOOKUP($A1463, 'Medical Examinations'!A:G, 7, FALSE)</f>
        <v>No</v>
      </c>
      <c r="G1463" t="str">
        <f>VLOOKUP($A1463, 'Medical Examinations'!A:H, 8, FALSE)</f>
        <v>Yes</v>
      </c>
      <c r="H1463">
        <f>VLOOKUP($A1463, 'Medical Examinations'!A:J, 10, FALSE)</f>
        <v>1</v>
      </c>
      <c r="I1463" t="str">
        <f>VLOOKUP($A1463, 'Medical Examinations'!A:K, 11, FALSE)</f>
        <v>No</v>
      </c>
      <c r="J1463" t="str">
        <f>VLOOKUP($A1463, 'Medical Examinations'!A:B, 2, FALSE)</f>
        <v>Overweight</v>
      </c>
      <c r="K1463" t="str">
        <f>VLOOKUP($A1463, 'Medical Examinations'!A:D, 4, FALSE)</f>
        <v>Normal</v>
      </c>
    </row>
    <row r="1464" spans="1:11" ht="15.5" x14ac:dyDescent="0.35">
      <c r="A1464" s="1" t="s">
        <v>908</v>
      </c>
      <c r="B1464" t="str">
        <f>VLOOKUP($A1464, 'Customer Names'!A:D, 3, FALSE)</f>
        <v>Ash</v>
      </c>
      <c r="C1464">
        <f>VLOOKUP($A1464,'Medical Examinations'!A:C, 3, FALSE)</f>
        <v>35.299999999999997</v>
      </c>
      <c r="D1464" t="str">
        <f>VLOOKUP($A1464, 'Medical Examinations'!A:D, 4, FALSE)</f>
        <v>Normal</v>
      </c>
      <c r="E1464" t="str">
        <f>VLOOKUP($A1464, 'Medical Examinations'!A:F, 6, FALSE)</f>
        <v>No</v>
      </c>
      <c r="F1464" t="str">
        <f>VLOOKUP($A1464, 'Medical Examinations'!A:G, 7, FALSE)</f>
        <v>No</v>
      </c>
      <c r="G1464" t="str">
        <f>VLOOKUP($A1464, 'Medical Examinations'!A:H, 8, FALSE)</f>
        <v>No</v>
      </c>
      <c r="H1464" t="str">
        <f>VLOOKUP($A1464, 'Medical Examinations'!A:J, 10, FALSE)</f>
        <v>No major surgery</v>
      </c>
      <c r="I1464" t="str">
        <f>VLOOKUP($A1464, 'Medical Examinations'!A:K, 11, FALSE)</f>
        <v>No</v>
      </c>
      <c r="J1464" t="str">
        <f>VLOOKUP($A1464, 'Medical Examinations'!A:B, 2, FALSE)</f>
        <v>Obesity</v>
      </c>
      <c r="K1464" t="str">
        <f>VLOOKUP($A1464, 'Medical Examinations'!A:D, 4, FALSE)</f>
        <v>Normal</v>
      </c>
    </row>
    <row r="1465" spans="1:11" ht="15.5" x14ac:dyDescent="0.35">
      <c r="A1465" s="1" t="s">
        <v>907</v>
      </c>
      <c r="B1465" t="str">
        <f>VLOOKUP($A1465, 'Customer Names'!A:D, 3, FALSE)</f>
        <v>Do Prado</v>
      </c>
      <c r="C1465">
        <f>VLOOKUP($A1465,'Medical Examinations'!A:C, 3, FALSE)</f>
        <v>18.91</v>
      </c>
      <c r="D1465" t="str">
        <f>VLOOKUP($A1465, 'Medical Examinations'!A:D, 4, FALSE)</f>
        <v>Diabetes</v>
      </c>
      <c r="E1465" t="str">
        <f>VLOOKUP($A1465, 'Medical Examinations'!A:F, 6, FALSE)</f>
        <v>No</v>
      </c>
      <c r="F1465" t="str">
        <f>VLOOKUP($A1465, 'Medical Examinations'!A:G, 7, FALSE)</f>
        <v>No</v>
      </c>
      <c r="G1465" t="str">
        <f>VLOOKUP($A1465, 'Medical Examinations'!A:H, 8, FALSE)</f>
        <v>No</v>
      </c>
      <c r="H1465" t="str">
        <f>VLOOKUP($A1465, 'Medical Examinations'!A:J, 10, FALSE)</f>
        <v>No major surgery</v>
      </c>
      <c r="I1465" t="str">
        <f>VLOOKUP($A1465, 'Medical Examinations'!A:K, 11, FALSE)</f>
        <v>No</v>
      </c>
      <c r="J1465" t="str">
        <f>VLOOKUP($A1465, 'Medical Examinations'!A:B, 2, FALSE)</f>
        <v>Normal Weight</v>
      </c>
      <c r="K1465" t="str">
        <f>VLOOKUP($A1465, 'Medical Examinations'!A:D, 4, FALSE)</f>
        <v>Diabetes</v>
      </c>
    </row>
    <row r="1466" spans="1:11" ht="15.5" x14ac:dyDescent="0.35">
      <c r="A1466" s="1" t="s">
        <v>906</v>
      </c>
      <c r="B1466" t="str">
        <f>VLOOKUP($A1466, 'Customer Names'!A:D, 3, FALSE)</f>
        <v>Phillips</v>
      </c>
      <c r="C1466">
        <f>VLOOKUP($A1466,'Medical Examinations'!A:C, 3, FALSE)</f>
        <v>22.41</v>
      </c>
      <c r="D1466" t="str">
        <f>VLOOKUP($A1466, 'Medical Examinations'!A:D, 4, FALSE)</f>
        <v>Diabetes</v>
      </c>
      <c r="E1466" t="str">
        <f>VLOOKUP($A1466, 'Medical Examinations'!A:F, 6, FALSE)</f>
        <v>yes</v>
      </c>
      <c r="F1466" t="str">
        <f>VLOOKUP($A1466, 'Medical Examinations'!A:G, 7, FALSE)</f>
        <v>No</v>
      </c>
      <c r="G1466" t="str">
        <f>VLOOKUP($A1466, 'Medical Examinations'!A:H, 8, FALSE)</f>
        <v>No</v>
      </c>
      <c r="H1466">
        <f>VLOOKUP($A1466, 'Medical Examinations'!A:J, 10, FALSE)</f>
        <v>1</v>
      </c>
      <c r="I1466" t="str">
        <f>VLOOKUP($A1466, 'Medical Examinations'!A:K, 11, FALSE)</f>
        <v>No</v>
      </c>
      <c r="J1466" t="str">
        <f>VLOOKUP($A1466, 'Medical Examinations'!A:B, 2, FALSE)</f>
        <v>Normal Weight</v>
      </c>
      <c r="K1466" t="str">
        <f>VLOOKUP($A1466, 'Medical Examinations'!A:D, 4, FALSE)</f>
        <v>Diabetes</v>
      </c>
    </row>
    <row r="1467" spans="1:11" ht="15.5" x14ac:dyDescent="0.35">
      <c r="A1467" s="1" t="s">
        <v>905</v>
      </c>
      <c r="B1467" t="str">
        <f>VLOOKUP($A1467, 'Customer Names'!A:D, 3, FALSE)</f>
        <v>Kelly</v>
      </c>
      <c r="C1467">
        <f>VLOOKUP($A1467,'Medical Examinations'!A:C, 3, FALSE)</f>
        <v>22.704999999999998</v>
      </c>
      <c r="D1467" t="str">
        <f>VLOOKUP($A1467, 'Medical Examinations'!A:D, 4, FALSE)</f>
        <v>Prediabetes</v>
      </c>
      <c r="E1467" t="str">
        <f>VLOOKUP($A1467, 'Medical Examinations'!A:F, 6, FALSE)</f>
        <v>No</v>
      </c>
      <c r="F1467" t="str">
        <f>VLOOKUP($A1467, 'Medical Examinations'!A:G, 7, FALSE)</f>
        <v>No</v>
      </c>
      <c r="G1467" t="str">
        <f>VLOOKUP($A1467, 'Medical Examinations'!A:H, 8, FALSE)</f>
        <v>No</v>
      </c>
      <c r="H1467" t="str">
        <f>VLOOKUP($A1467, 'Medical Examinations'!A:J, 10, FALSE)</f>
        <v>No major surgery</v>
      </c>
      <c r="I1467" t="str">
        <f>VLOOKUP($A1467, 'Medical Examinations'!A:K, 11, FALSE)</f>
        <v>No</v>
      </c>
      <c r="J1467" t="str">
        <f>VLOOKUP($A1467, 'Medical Examinations'!A:B, 2, FALSE)</f>
        <v>Normal Weight</v>
      </c>
      <c r="K1467" t="str">
        <f>VLOOKUP($A1467, 'Medical Examinations'!A:D, 4, FALSE)</f>
        <v>Prediabetes</v>
      </c>
    </row>
    <row r="1468" spans="1:11" ht="15.5" x14ac:dyDescent="0.35">
      <c r="A1468" s="1" t="s">
        <v>904</v>
      </c>
      <c r="B1468" t="str">
        <f>VLOOKUP($A1468, 'Customer Names'!A:D, 3, FALSE)</f>
        <v>Dever</v>
      </c>
      <c r="C1468">
        <f>VLOOKUP($A1468,'Medical Examinations'!A:C, 3, FALSE)</f>
        <v>37.18</v>
      </c>
      <c r="D1468" t="str">
        <f>VLOOKUP($A1468, 'Medical Examinations'!A:D, 4, FALSE)</f>
        <v>Normal</v>
      </c>
      <c r="E1468" t="str">
        <f>VLOOKUP($A1468, 'Medical Examinations'!A:F, 6, FALSE)</f>
        <v>No</v>
      </c>
      <c r="F1468" t="str">
        <f>VLOOKUP($A1468, 'Medical Examinations'!A:G, 7, FALSE)</f>
        <v>No</v>
      </c>
      <c r="G1468" t="str">
        <f>VLOOKUP($A1468, 'Medical Examinations'!A:H, 8, FALSE)</f>
        <v>No</v>
      </c>
      <c r="H1468" t="str">
        <f>VLOOKUP($A1468, 'Medical Examinations'!A:J, 10, FALSE)</f>
        <v>No major surgery</v>
      </c>
      <c r="I1468" t="str">
        <f>VLOOKUP($A1468, 'Medical Examinations'!A:K, 11, FALSE)</f>
        <v>No</v>
      </c>
      <c r="J1468" t="str">
        <f>VLOOKUP($A1468, 'Medical Examinations'!A:B, 2, FALSE)</f>
        <v>Obesity</v>
      </c>
      <c r="K1468" t="str">
        <f>VLOOKUP($A1468, 'Medical Examinations'!A:D, 4, FALSE)</f>
        <v>Normal</v>
      </c>
    </row>
    <row r="1469" spans="1:11" ht="15.5" x14ac:dyDescent="0.35">
      <c r="A1469" s="1" t="s">
        <v>903</v>
      </c>
      <c r="B1469" t="str">
        <f>VLOOKUP($A1469, 'Customer Names'!A:D, 3, FALSE)</f>
        <v>Horvath</v>
      </c>
      <c r="C1469">
        <f>VLOOKUP($A1469,'Medical Examinations'!A:C, 3, FALSE)</f>
        <v>35.97</v>
      </c>
      <c r="D1469" t="str">
        <f>VLOOKUP($A1469, 'Medical Examinations'!A:D, 4, FALSE)</f>
        <v>Normal</v>
      </c>
      <c r="E1469" t="str">
        <f>VLOOKUP($A1469, 'Medical Examinations'!A:F, 6, FALSE)</f>
        <v>No</v>
      </c>
      <c r="F1469" t="str">
        <f>VLOOKUP($A1469, 'Medical Examinations'!A:G, 7, FALSE)</f>
        <v>No</v>
      </c>
      <c r="G1469" t="str">
        <f>VLOOKUP($A1469, 'Medical Examinations'!A:H, 8, FALSE)</f>
        <v>No</v>
      </c>
      <c r="H1469" t="str">
        <f>VLOOKUP($A1469, 'Medical Examinations'!A:J, 10, FALSE)</f>
        <v>No major surgery</v>
      </c>
      <c r="I1469" t="str">
        <f>VLOOKUP($A1469, 'Medical Examinations'!A:K, 11, FALSE)</f>
        <v>No</v>
      </c>
      <c r="J1469" t="str">
        <f>VLOOKUP($A1469, 'Medical Examinations'!A:B, 2, FALSE)</f>
        <v>Obesity</v>
      </c>
      <c r="K1469" t="str">
        <f>VLOOKUP($A1469, 'Medical Examinations'!A:D, 4, FALSE)</f>
        <v>Normal</v>
      </c>
    </row>
    <row r="1470" spans="1:11" ht="15.5" x14ac:dyDescent="0.35">
      <c r="A1470" s="1" t="s">
        <v>902</v>
      </c>
      <c r="B1470" t="str">
        <f>VLOOKUP($A1470, 'Customer Names'!A:D, 3, FALSE)</f>
        <v>Danner</v>
      </c>
      <c r="C1470">
        <f>VLOOKUP($A1470,'Medical Examinations'!A:C, 3, FALSE)</f>
        <v>35.799999999999997</v>
      </c>
      <c r="D1470" t="str">
        <f>VLOOKUP($A1470, 'Medical Examinations'!A:D, 4, FALSE)</f>
        <v>Normal</v>
      </c>
      <c r="E1470" t="str">
        <f>VLOOKUP($A1470, 'Medical Examinations'!A:F, 6, FALSE)</f>
        <v>No</v>
      </c>
      <c r="F1470" t="str">
        <f>VLOOKUP($A1470, 'Medical Examinations'!A:G, 7, FALSE)</f>
        <v>No</v>
      </c>
      <c r="G1470" t="str">
        <f>VLOOKUP($A1470, 'Medical Examinations'!A:H, 8, FALSE)</f>
        <v>No</v>
      </c>
      <c r="H1470" t="str">
        <f>VLOOKUP($A1470, 'Medical Examinations'!A:J, 10, FALSE)</f>
        <v>No major surgery</v>
      </c>
      <c r="I1470" t="str">
        <f>VLOOKUP($A1470, 'Medical Examinations'!A:K, 11, FALSE)</f>
        <v>No</v>
      </c>
      <c r="J1470" t="str">
        <f>VLOOKUP($A1470, 'Medical Examinations'!A:B, 2, FALSE)</f>
        <v>Obesity</v>
      </c>
      <c r="K1470" t="str">
        <f>VLOOKUP($A1470, 'Medical Examinations'!A:D, 4, FALSE)</f>
        <v>Normal</v>
      </c>
    </row>
    <row r="1471" spans="1:11" ht="15.5" x14ac:dyDescent="0.35">
      <c r="A1471" s="1" t="s">
        <v>901</v>
      </c>
      <c r="B1471" t="str">
        <f>VLOOKUP($A1471, 'Customer Names'!A:D, 3, FALSE)</f>
        <v>Weiss</v>
      </c>
      <c r="C1471">
        <f>VLOOKUP($A1471,'Medical Examinations'!A:C, 3, FALSE)</f>
        <v>28.31</v>
      </c>
      <c r="D1471" t="str">
        <f>VLOOKUP($A1471, 'Medical Examinations'!A:D, 4, FALSE)</f>
        <v>Diabetes</v>
      </c>
      <c r="E1471" t="str">
        <f>VLOOKUP($A1471, 'Medical Examinations'!A:F, 6, FALSE)</f>
        <v>yes</v>
      </c>
      <c r="F1471" t="str">
        <f>VLOOKUP($A1471, 'Medical Examinations'!A:G, 7, FALSE)</f>
        <v>No</v>
      </c>
      <c r="G1471" t="str">
        <f>VLOOKUP($A1471, 'Medical Examinations'!A:H, 8, FALSE)</f>
        <v>No</v>
      </c>
      <c r="H1471" t="str">
        <f>VLOOKUP($A1471, 'Medical Examinations'!A:J, 10, FALSE)</f>
        <v>No major surgery</v>
      </c>
      <c r="I1471" t="str">
        <f>VLOOKUP($A1471, 'Medical Examinations'!A:K, 11, FALSE)</f>
        <v>No</v>
      </c>
      <c r="J1471" t="str">
        <f>VLOOKUP($A1471, 'Medical Examinations'!A:B, 2, FALSE)</f>
        <v>Overweight</v>
      </c>
      <c r="K1471" t="str">
        <f>VLOOKUP($A1471, 'Medical Examinations'!A:D, 4, FALSE)</f>
        <v>Diabetes</v>
      </c>
    </row>
    <row r="1472" spans="1:11" ht="15.5" x14ac:dyDescent="0.35">
      <c r="A1472" s="1" t="s">
        <v>900</v>
      </c>
      <c r="B1472" t="str">
        <f>VLOOKUP($A1472, 'Customer Names'!A:D, 3, FALSE)</f>
        <v>D'Andrea</v>
      </c>
      <c r="C1472">
        <f>VLOOKUP($A1472,'Medical Examinations'!A:C, 3, FALSE)</f>
        <v>38.06</v>
      </c>
      <c r="D1472" t="str">
        <f>VLOOKUP($A1472, 'Medical Examinations'!A:D, 4, FALSE)</f>
        <v>Diabetes</v>
      </c>
      <c r="E1472" t="str">
        <f>VLOOKUP($A1472, 'Medical Examinations'!A:F, 6, FALSE)</f>
        <v>No</v>
      </c>
      <c r="F1472" t="str">
        <f>VLOOKUP($A1472, 'Medical Examinations'!A:G, 7, FALSE)</f>
        <v>No</v>
      </c>
      <c r="G1472" t="str">
        <f>VLOOKUP($A1472, 'Medical Examinations'!A:H, 8, FALSE)</f>
        <v>No</v>
      </c>
      <c r="H1472" t="str">
        <f>VLOOKUP($A1472, 'Medical Examinations'!A:J, 10, FALSE)</f>
        <v>No major surgery</v>
      </c>
      <c r="I1472" t="str">
        <f>VLOOKUP($A1472, 'Medical Examinations'!A:K, 11, FALSE)</f>
        <v>No</v>
      </c>
      <c r="J1472" t="str">
        <f>VLOOKUP($A1472, 'Medical Examinations'!A:B, 2, FALSE)</f>
        <v>Obesity</v>
      </c>
      <c r="K1472" t="str">
        <f>VLOOKUP($A1472, 'Medical Examinations'!A:D, 4, FALSE)</f>
        <v>Diabetes</v>
      </c>
    </row>
    <row r="1473" spans="1:11" ht="15.5" x14ac:dyDescent="0.35">
      <c r="A1473" s="1" t="s">
        <v>899</v>
      </c>
      <c r="B1473" t="str">
        <f>VLOOKUP($A1473, 'Customer Names'!A:D, 3, FALSE)</f>
        <v>Olesky</v>
      </c>
      <c r="C1473">
        <f>VLOOKUP($A1473,'Medical Examinations'!A:C, 3, FALSE)</f>
        <v>28</v>
      </c>
      <c r="D1473" t="str">
        <f>VLOOKUP($A1473, 'Medical Examinations'!A:D, 4, FALSE)</f>
        <v>Normal</v>
      </c>
      <c r="E1473" t="str">
        <f>VLOOKUP($A1473, 'Medical Examinations'!A:F, 6, FALSE)</f>
        <v>No</v>
      </c>
      <c r="F1473" t="str">
        <f>VLOOKUP($A1473, 'Medical Examinations'!A:G, 7, FALSE)</f>
        <v>No</v>
      </c>
      <c r="G1473" t="str">
        <f>VLOOKUP($A1473, 'Medical Examinations'!A:H, 8, FALSE)</f>
        <v>No</v>
      </c>
      <c r="H1473">
        <f>VLOOKUP($A1473, 'Medical Examinations'!A:J, 10, FALSE)</f>
        <v>1</v>
      </c>
      <c r="I1473" t="str">
        <f>VLOOKUP($A1473, 'Medical Examinations'!A:K, 11, FALSE)</f>
        <v>No</v>
      </c>
      <c r="J1473" t="str">
        <f>VLOOKUP($A1473, 'Medical Examinations'!A:B, 2, FALSE)</f>
        <v>Overweight</v>
      </c>
      <c r="K1473" t="str">
        <f>VLOOKUP($A1473, 'Medical Examinations'!A:D, 4, FALSE)</f>
        <v>Normal</v>
      </c>
    </row>
    <row r="1474" spans="1:11" ht="15.5" x14ac:dyDescent="0.35">
      <c r="A1474" s="1" t="s">
        <v>898</v>
      </c>
      <c r="B1474" t="str">
        <f>VLOOKUP($A1474, 'Customer Names'!A:D, 3, FALSE)</f>
        <v>Whitcraft</v>
      </c>
      <c r="C1474">
        <f>VLOOKUP($A1474,'Medical Examinations'!A:C, 3, FALSE)</f>
        <v>34.32</v>
      </c>
      <c r="D1474" t="str">
        <f>VLOOKUP($A1474, 'Medical Examinations'!A:D, 4, FALSE)</f>
        <v>Diabetes</v>
      </c>
      <c r="E1474" t="str">
        <f>VLOOKUP($A1474, 'Medical Examinations'!A:F, 6, FALSE)</f>
        <v>No</v>
      </c>
      <c r="F1474" t="str">
        <f>VLOOKUP($A1474, 'Medical Examinations'!A:G, 7, FALSE)</f>
        <v>No</v>
      </c>
      <c r="G1474" t="str">
        <f>VLOOKUP($A1474, 'Medical Examinations'!A:H, 8, FALSE)</f>
        <v>No</v>
      </c>
      <c r="H1474" t="str">
        <f>VLOOKUP($A1474, 'Medical Examinations'!A:J, 10, FALSE)</f>
        <v>No major surgery</v>
      </c>
      <c r="I1474" t="str">
        <f>VLOOKUP($A1474, 'Medical Examinations'!A:K, 11, FALSE)</f>
        <v>No</v>
      </c>
      <c r="J1474" t="str">
        <f>VLOOKUP($A1474, 'Medical Examinations'!A:B, 2, FALSE)</f>
        <v>Obesity</v>
      </c>
      <c r="K1474" t="str">
        <f>VLOOKUP($A1474, 'Medical Examinations'!A:D, 4, FALSE)</f>
        <v>Diabetes</v>
      </c>
    </row>
    <row r="1475" spans="1:11" ht="15.5" x14ac:dyDescent="0.35">
      <c r="A1475" s="1" t="s">
        <v>897</v>
      </c>
      <c r="B1475" t="str">
        <f>VLOOKUP($A1475, 'Customer Names'!A:D, 3, FALSE)</f>
        <v>Salazar</v>
      </c>
      <c r="C1475">
        <f>VLOOKUP($A1475,'Medical Examinations'!A:C, 3, FALSE)</f>
        <v>22.3</v>
      </c>
      <c r="D1475" t="str">
        <f>VLOOKUP($A1475, 'Medical Examinations'!A:D, 4, FALSE)</f>
        <v>Normal</v>
      </c>
      <c r="E1475" t="str">
        <f>VLOOKUP($A1475, 'Medical Examinations'!A:F, 6, FALSE)</f>
        <v>yes</v>
      </c>
      <c r="F1475" t="str">
        <f>VLOOKUP($A1475, 'Medical Examinations'!A:G, 7, FALSE)</f>
        <v>No</v>
      </c>
      <c r="G1475" t="str">
        <f>VLOOKUP($A1475, 'Medical Examinations'!A:H, 8, FALSE)</f>
        <v>No</v>
      </c>
      <c r="H1475" t="str">
        <f>VLOOKUP($A1475, 'Medical Examinations'!A:J, 10, FALSE)</f>
        <v>No major surgery</v>
      </c>
      <c r="I1475" t="str">
        <f>VLOOKUP($A1475, 'Medical Examinations'!A:K, 11, FALSE)</f>
        <v>No</v>
      </c>
      <c r="J1475" t="str">
        <f>VLOOKUP($A1475, 'Medical Examinations'!A:B, 2, FALSE)</f>
        <v>Normal Weight</v>
      </c>
      <c r="K1475" t="str">
        <f>VLOOKUP($A1475, 'Medical Examinations'!A:D, 4, FALSE)</f>
        <v>Normal</v>
      </c>
    </row>
    <row r="1476" spans="1:11" ht="15.5" x14ac:dyDescent="0.35">
      <c r="A1476" s="1" t="s">
        <v>896</v>
      </c>
      <c r="B1476" t="str">
        <f>VLOOKUP($A1476, 'Customer Names'!A:D, 3, FALSE)</f>
        <v>Todd</v>
      </c>
      <c r="C1476">
        <f>VLOOKUP($A1476,'Medical Examinations'!A:C, 3, FALSE)</f>
        <v>27.835000000000001</v>
      </c>
      <c r="D1476" t="str">
        <f>VLOOKUP($A1476, 'Medical Examinations'!A:D, 4, FALSE)</f>
        <v>Prediabetes</v>
      </c>
      <c r="E1476" t="str">
        <f>VLOOKUP($A1476, 'Medical Examinations'!A:F, 6, FALSE)</f>
        <v>No</v>
      </c>
      <c r="F1476" t="str">
        <f>VLOOKUP($A1476, 'Medical Examinations'!A:G, 7, FALSE)</f>
        <v>No</v>
      </c>
      <c r="G1476" t="str">
        <f>VLOOKUP($A1476, 'Medical Examinations'!A:H, 8, FALSE)</f>
        <v>No</v>
      </c>
      <c r="H1476">
        <f>VLOOKUP($A1476, 'Medical Examinations'!A:J, 10, FALSE)</f>
        <v>1</v>
      </c>
      <c r="I1476" t="str">
        <f>VLOOKUP($A1476, 'Medical Examinations'!A:K, 11, FALSE)</f>
        <v>No</v>
      </c>
      <c r="J1476" t="str">
        <f>VLOOKUP($A1476, 'Medical Examinations'!A:B, 2, FALSE)</f>
        <v>Overweight</v>
      </c>
      <c r="K1476" t="str">
        <f>VLOOKUP($A1476, 'Medical Examinations'!A:D, 4, FALSE)</f>
        <v>Prediabetes</v>
      </c>
    </row>
    <row r="1477" spans="1:11" ht="15.5" x14ac:dyDescent="0.35">
      <c r="A1477" s="1" t="s">
        <v>895</v>
      </c>
      <c r="B1477" t="str">
        <f>VLOOKUP($A1477, 'Customer Names'!A:D, 3, FALSE)</f>
        <v>Pond</v>
      </c>
      <c r="C1477">
        <f>VLOOKUP($A1477,'Medical Examinations'!A:C, 3, FALSE)</f>
        <v>39.229999999999997</v>
      </c>
      <c r="D1477" t="str">
        <f>VLOOKUP($A1477, 'Medical Examinations'!A:D, 4, FALSE)</f>
        <v>Normal</v>
      </c>
      <c r="E1477" t="str">
        <f>VLOOKUP($A1477, 'Medical Examinations'!A:F, 6, FALSE)</f>
        <v>No</v>
      </c>
      <c r="F1477" t="str">
        <f>VLOOKUP($A1477, 'Medical Examinations'!A:G, 7, FALSE)</f>
        <v>No</v>
      </c>
      <c r="G1477" t="str">
        <f>VLOOKUP($A1477, 'Medical Examinations'!A:H, 8, FALSE)</f>
        <v>No</v>
      </c>
      <c r="H1477" t="str">
        <f>VLOOKUP($A1477, 'Medical Examinations'!A:J, 10, FALSE)</f>
        <v>No major surgery</v>
      </c>
      <c r="I1477" t="str">
        <f>VLOOKUP($A1477, 'Medical Examinations'!A:K, 11, FALSE)</f>
        <v>No</v>
      </c>
      <c r="J1477" t="str">
        <f>VLOOKUP($A1477, 'Medical Examinations'!A:B, 2, FALSE)</f>
        <v>Obesity</v>
      </c>
      <c r="K1477" t="str">
        <f>VLOOKUP($A1477, 'Medical Examinations'!A:D, 4, FALSE)</f>
        <v>Normal</v>
      </c>
    </row>
    <row r="1478" spans="1:11" ht="15.5" x14ac:dyDescent="0.35">
      <c r="A1478" s="1" t="s">
        <v>894</v>
      </c>
      <c r="B1478" t="str">
        <f>VLOOKUP($A1478, 'Customer Names'!A:D, 3, FALSE)</f>
        <v>Egan</v>
      </c>
      <c r="C1478">
        <f>VLOOKUP($A1478,'Medical Examinations'!A:C, 3, FALSE)</f>
        <v>19.95</v>
      </c>
      <c r="D1478" t="str">
        <f>VLOOKUP($A1478, 'Medical Examinations'!A:D, 4, FALSE)</f>
        <v>Prediabetes</v>
      </c>
      <c r="E1478" t="str">
        <f>VLOOKUP($A1478, 'Medical Examinations'!A:F, 6, FALSE)</f>
        <v>No</v>
      </c>
      <c r="F1478" t="str">
        <f>VLOOKUP($A1478, 'Medical Examinations'!A:G, 7, FALSE)</f>
        <v>No</v>
      </c>
      <c r="G1478" t="str">
        <f>VLOOKUP($A1478, 'Medical Examinations'!A:H, 8, FALSE)</f>
        <v>No</v>
      </c>
      <c r="H1478">
        <f>VLOOKUP($A1478, 'Medical Examinations'!A:J, 10, FALSE)</f>
        <v>1</v>
      </c>
      <c r="I1478" t="str">
        <f>VLOOKUP($A1478, 'Medical Examinations'!A:K, 11, FALSE)</f>
        <v>No</v>
      </c>
      <c r="J1478" t="str">
        <f>VLOOKUP($A1478, 'Medical Examinations'!A:B, 2, FALSE)</f>
        <v>Normal Weight</v>
      </c>
      <c r="K1478" t="str">
        <f>VLOOKUP($A1478, 'Medical Examinations'!A:D, 4, FALSE)</f>
        <v>Prediabetes</v>
      </c>
    </row>
    <row r="1479" spans="1:11" ht="15.5" x14ac:dyDescent="0.35">
      <c r="A1479" s="1" t="s">
        <v>893</v>
      </c>
      <c r="B1479" t="str">
        <f>VLOOKUP($A1479, 'Customer Names'!A:D, 3, FALSE)</f>
        <v>Bersani</v>
      </c>
      <c r="C1479">
        <f>VLOOKUP($A1479,'Medical Examinations'!A:C, 3, FALSE)</f>
        <v>34.64</v>
      </c>
      <c r="D1479" t="str">
        <f>VLOOKUP($A1479, 'Medical Examinations'!A:D, 4, FALSE)</f>
        <v>Normal</v>
      </c>
      <c r="E1479" t="str">
        <f>VLOOKUP($A1479, 'Medical Examinations'!A:F, 6, FALSE)</f>
        <v>No</v>
      </c>
      <c r="F1479" t="str">
        <f>VLOOKUP($A1479, 'Medical Examinations'!A:G, 7, FALSE)</f>
        <v>No</v>
      </c>
      <c r="G1479" t="str">
        <f>VLOOKUP($A1479, 'Medical Examinations'!A:H, 8, FALSE)</f>
        <v>Yes</v>
      </c>
      <c r="H1479">
        <f>VLOOKUP($A1479, 'Medical Examinations'!A:J, 10, FALSE)</f>
        <v>1</v>
      </c>
      <c r="I1479" t="str">
        <f>VLOOKUP($A1479, 'Medical Examinations'!A:K, 11, FALSE)</f>
        <v>No</v>
      </c>
      <c r="J1479" t="str">
        <f>VLOOKUP($A1479, 'Medical Examinations'!A:B, 2, FALSE)</f>
        <v>Obesity</v>
      </c>
      <c r="K1479" t="str">
        <f>VLOOKUP($A1479, 'Medical Examinations'!A:D, 4, FALSE)</f>
        <v>Normal</v>
      </c>
    </row>
    <row r="1480" spans="1:11" ht="15.5" x14ac:dyDescent="0.35">
      <c r="A1480" s="1" t="s">
        <v>892</v>
      </c>
      <c r="B1480" t="str">
        <f>VLOOKUP($A1480, 'Customer Names'!A:D, 3, FALSE)</f>
        <v>Creech</v>
      </c>
      <c r="C1480">
        <f>VLOOKUP($A1480,'Medical Examinations'!A:C, 3, FALSE)</f>
        <v>18.75</v>
      </c>
      <c r="D1480" t="str">
        <f>VLOOKUP($A1480, 'Medical Examinations'!A:D, 4, FALSE)</f>
        <v>Diabetes</v>
      </c>
      <c r="E1480" t="str">
        <f>VLOOKUP($A1480, 'Medical Examinations'!A:F, 6, FALSE)</f>
        <v>No</v>
      </c>
      <c r="F1480" t="str">
        <f>VLOOKUP($A1480, 'Medical Examinations'!A:G, 7, FALSE)</f>
        <v>No</v>
      </c>
      <c r="G1480" t="str">
        <f>VLOOKUP($A1480, 'Medical Examinations'!A:H, 8, FALSE)</f>
        <v>No</v>
      </c>
      <c r="H1480" t="str">
        <f>VLOOKUP($A1480, 'Medical Examinations'!A:J, 10, FALSE)</f>
        <v>No major surgery</v>
      </c>
      <c r="I1480" t="str">
        <f>VLOOKUP($A1480, 'Medical Examinations'!A:K, 11, FALSE)</f>
        <v>No</v>
      </c>
      <c r="J1480" t="str">
        <f>VLOOKUP($A1480, 'Medical Examinations'!A:B, 2, FALSE)</f>
        <v>Normal Weight</v>
      </c>
      <c r="K1480" t="str">
        <f>VLOOKUP($A1480, 'Medical Examinations'!A:D, 4, FALSE)</f>
        <v>Diabetes</v>
      </c>
    </row>
    <row r="1481" spans="1:11" ht="15.5" x14ac:dyDescent="0.35">
      <c r="A1481" s="1" t="s">
        <v>891</v>
      </c>
      <c r="B1481" t="str">
        <f>VLOOKUP($A1481, 'Customer Names'!A:D, 3, FALSE)</f>
        <v>Sudres</v>
      </c>
      <c r="C1481">
        <f>VLOOKUP($A1481,'Medical Examinations'!A:C, 3, FALSE)</f>
        <v>26.48</v>
      </c>
      <c r="D1481" t="str">
        <f>VLOOKUP($A1481, 'Medical Examinations'!A:D, 4, FALSE)</f>
        <v>Normal</v>
      </c>
      <c r="E1481" t="str">
        <f>VLOOKUP($A1481, 'Medical Examinations'!A:F, 6, FALSE)</f>
        <v>No</v>
      </c>
      <c r="F1481" t="str">
        <f>VLOOKUP($A1481, 'Medical Examinations'!A:G, 7, FALSE)</f>
        <v>No</v>
      </c>
      <c r="G1481" t="str">
        <f>VLOOKUP($A1481, 'Medical Examinations'!A:H, 8, FALSE)</f>
        <v>No</v>
      </c>
      <c r="H1481">
        <f>VLOOKUP($A1481, 'Medical Examinations'!A:J, 10, FALSE)</f>
        <v>1</v>
      </c>
      <c r="I1481" t="str">
        <f>VLOOKUP($A1481, 'Medical Examinations'!A:K, 11, FALSE)</f>
        <v>No</v>
      </c>
      <c r="J1481" t="str">
        <f>VLOOKUP($A1481, 'Medical Examinations'!A:B, 2, FALSE)</f>
        <v>Overweight</v>
      </c>
      <c r="K1481" t="str">
        <f>VLOOKUP($A1481, 'Medical Examinations'!A:D, 4, FALSE)</f>
        <v>Normal</v>
      </c>
    </row>
    <row r="1482" spans="1:11" ht="15.5" x14ac:dyDescent="0.35">
      <c r="A1482" s="1" t="s">
        <v>890</v>
      </c>
      <c r="B1482" t="str">
        <f>VLOOKUP($A1482, 'Customer Names'!A:D, 3, FALSE)</f>
        <v>Couture</v>
      </c>
      <c r="C1482">
        <f>VLOOKUP($A1482,'Medical Examinations'!A:C, 3, FALSE)</f>
        <v>34.83</v>
      </c>
      <c r="D1482" t="str">
        <f>VLOOKUP($A1482, 'Medical Examinations'!A:D, 4, FALSE)</f>
        <v>Prediabetes</v>
      </c>
      <c r="E1482" t="str">
        <f>VLOOKUP($A1482, 'Medical Examinations'!A:F, 6, FALSE)</f>
        <v>No</v>
      </c>
      <c r="F1482" t="str">
        <f>VLOOKUP($A1482, 'Medical Examinations'!A:G, 7, FALSE)</f>
        <v>No</v>
      </c>
      <c r="G1482" t="str">
        <f>VLOOKUP($A1482, 'Medical Examinations'!A:H, 8, FALSE)</f>
        <v>No</v>
      </c>
      <c r="H1482">
        <f>VLOOKUP($A1482, 'Medical Examinations'!A:J, 10, FALSE)</f>
        <v>1</v>
      </c>
      <c r="I1482" t="str">
        <f>VLOOKUP($A1482, 'Medical Examinations'!A:K, 11, FALSE)</f>
        <v>No</v>
      </c>
      <c r="J1482" t="str">
        <f>VLOOKUP($A1482, 'Medical Examinations'!A:B, 2, FALSE)</f>
        <v>Obesity</v>
      </c>
      <c r="K1482" t="str">
        <f>VLOOKUP($A1482, 'Medical Examinations'!A:D, 4, FALSE)</f>
        <v>Prediabetes</v>
      </c>
    </row>
    <row r="1483" spans="1:11" ht="15.5" x14ac:dyDescent="0.35">
      <c r="A1483" s="1" t="s">
        <v>889</v>
      </c>
      <c r="B1483" t="str">
        <f>VLOOKUP($A1483, 'Customer Names'!A:D, 3, FALSE)</f>
        <v>Willard</v>
      </c>
      <c r="C1483">
        <f>VLOOKUP($A1483,'Medical Examinations'!A:C, 3, FALSE)</f>
        <v>25.46</v>
      </c>
      <c r="D1483" t="str">
        <f>VLOOKUP($A1483, 'Medical Examinations'!A:D, 4, FALSE)</f>
        <v>Normal</v>
      </c>
      <c r="E1483" t="str">
        <f>VLOOKUP($A1483, 'Medical Examinations'!A:F, 6, FALSE)</f>
        <v>No</v>
      </c>
      <c r="F1483" t="str">
        <f>VLOOKUP($A1483, 'Medical Examinations'!A:G, 7, FALSE)</f>
        <v>No</v>
      </c>
      <c r="G1483" t="str">
        <f>VLOOKUP($A1483, 'Medical Examinations'!A:H, 8, FALSE)</f>
        <v>No</v>
      </c>
      <c r="H1483" t="str">
        <f>VLOOKUP($A1483, 'Medical Examinations'!A:J, 10, FALSE)</f>
        <v>No major surgery</v>
      </c>
      <c r="I1483" t="str">
        <f>VLOOKUP($A1483, 'Medical Examinations'!A:K, 11, FALSE)</f>
        <v>No</v>
      </c>
      <c r="J1483" t="str">
        <f>VLOOKUP($A1483, 'Medical Examinations'!A:B, 2, FALSE)</f>
        <v>Overweight</v>
      </c>
      <c r="K1483" t="str">
        <f>VLOOKUP($A1483, 'Medical Examinations'!A:D, 4, FALSE)</f>
        <v>Normal</v>
      </c>
    </row>
    <row r="1484" spans="1:11" ht="15.5" x14ac:dyDescent="0.35">
      <c r="A1484" s="1" t="s">
        <v>888</v>
      </c>
      <c r="B1484" t="str">
        <f>VLOOKUP($A1484, 'Customer Names'!A:D, 3, FALSE)</f>
        <v>Patronick</v>
      </c>
      <c r="C1484">
        <f>VLOOKUP($A1484,'Medical Examinations'!A:C, 3, FALSE)</f>
        <v>23.31</v>
      </c>
      <c r="D1484" t="str">
        <f>VLOOKUP($A1484, 'Medical Examinations'!A:D, 4, FALSE)</f>
        <v>Diabetes</v>
      </c>
      <c r="E1484" t="str">
        <f>VLOOKUP($A1484, 'Medical Examinations'!A:F, 6, FALSE)</f>
        <v>No</v>
      </c>
      <c r="F1484" t="str">
        <f>VLOOKUP($A1484, 'Medical Examinations'!A:G, 7, FALSE)</f>
        <v>No</v>
      </c>
      <c r="G1484" t="str">
        <f>VLOOKUP($A1484, 'Medical Examinations'!A:H, 8, FALSE)</f>
        <v>No</v>
      </c>
      <c r="H1484" t="str">
        <f>VLOOKUP($A1484, 'Medical Examinations'!A:J, 10, FALSE)</f>
        <v>No major surgery</v>
      </c>
      <c r="I1484" t="str">
        <f>VLOOKUP($A1484, 'Medical Examinations'!A:K, 11, FALSE)</f>
        <v>No</v>
      </c>
      <c r="J1484" t="str">
        <f>VLOOKUP($A1484, 'Medical Examinations'!A:B, 2, FALSE)</f>
        <v>Normal Weight</v>
      </c>
      <c r="K1484" t="str">
        <f>VLOOKUP($A1484, 'Medical Examinations'!A:D, 4, FALSE)</f>
        <v>Diabetes</v>
      </c>
    </row>
    <row r="1485" spans="1:11" ht="15.5" x14ac:dyDescent="0.35">
      <c r="A1485" s="1" t="s">
        <v>887</v>
      </c>
      <c r="B1485" t="str">
        <f>VLOOKUP($A1485, 'Customer Names'!A:D, 3, FALSE)</f>
        <v>Depasquale</v>
      </c>
      <c r="C1485">
        <f>VLOOKUP($A1485,'Medical Examinations'!A:C, 3, FALSE)</f>
        <v>29</v>
      </c>
      <c r="D1485" t="str">
        <f>VLOOKUP($A1485, 'Medical Examinations'!A:D, 4, FALSE)</f>
        <v>Normal</v>
      </c>
      <c r="E1485" t="str">
        <f>VLOOKUP($A1485, 'Medical Examinations'!A:F, 6, FALSE)</f>
        <v>No</v>
      </c>
      <c r="F1485" t="str">
        <f>VLOOKUP($A1485, 'Medical Examinations'!A:G, 7, FALSE)</f>
        <v>No</v>
      </c>
      <c r="G1485" t="str">
        <f>VLOOKUP($A1485, 'Medical Examinations'!A:H, 8, FALSE)</f>
        <v>No</v>
      </c>
      <c r="H1485" t="str">
        <f>VLOOKUP($A1485, 'Medical Examinations'!A:J, 10, FALSE)</f>
        <v>No major surgery</v>
      </c>
      <c r="I1485" t="str">
        <f>VLOOKUP($A1485, 'Medical Examinations'!A:K, 11, FALSE)</f>
        <v>No</v>
      </c>
      <c r="J1485" t="str">
        <f>VLOOKUP($A1485, 'Medical Examinations'!A:B, 2, FALSE)</f>
        <v>Overweight</v>
      </c>
      <c r="K1485" t="str">
        <f>VLOOKUP($A1485, 'Medical Examinations'!A:D, 4, FALSE)</f>
        <v>Normal</v>
      </c>
    </row>
    <row r="1486" spans="1:11" ht="15.5" x14ac:dyDescent="0.35">
      <c r="A1486" s="1" t="s">
        <v>886</v>
      </c>
      <c r="B1486" t="str">
        <f>VLOOKUP($A1486, 'Customer Names'!A:D, 3, FALSE)</f>
        <v>Lavergne</v>
      </c>
      <c r="C1486">
        <f>VLOOKUP($A1486,'Medical Examinations'!A:C, 3, FALSE)</f>
        <v>32.869999999999997</v>
      </c>
      <c r="D1486" t="str">
        <f>VLOOKUP($A1486, 'Medical Examinations'!A:D, 4, FALSE)</f>
        <v>Normal</v>
      </c>
      <c r="E1486" t="str">
        <f>VLOOKUP($A1486, 'Medical Examinations'!A:F, 6, FALSE)</f>
        <v>No</v>
      </c>
      <c r="F1486" t="str">
        <f>VLOOKUP($A1486, 'Medical Examinations'!A:G, 7, FALSE)</f>
        <v>No</v>
      </c>
      <c r="G1486" t="str">
        <f>VLOOKUP($A1486, 'Medical Examinations'!A:H, 8, FALSE)</f>
        <v>No</v>
      </c>
      <c r="H1486" t="str">
        <f>VLOOKUP($A1486, 'Medical Examinations'!A:J, 10, FALSE)</f>
        <v>No major surgery</v>
      </c>
      <c r="I1486" t="str">
        <f>VLOOKUP($A1486, 'Medical Examinations'!A:K, 11, FALSE)</f>
        <v>No</v>
      </c>
      <c r="J1486" t="str">
        <f>VLOOKUP($A1486, 'Medical Examinations'!A:B, 2, FALSE)</f>
        <v>Obesity</v>
      </c>
      <c r="K1486" t="str">
        <f>VLOOKUP($A1486, 'Medical Examinations'!A:D, 4, FALSE)</f>
        <v>Normal</v>
      </c>
    </row>
    <row r="1487" spans="1:11" ht="15.5" x14ac:dyDescent="0.35">
      <c r="A1487" s="1" t="s">
        <v>885</v>
      </c>
      <c r="B1487" t="str">
        <f>VLOOKUP($A1487, 'Customer Names'!A:D, 3, FALSE)</f>
        <v>Kawakami</v>
      </c>
      <c r="C1487">
        <f>VLOOKUP($A1487,'Medical Examinations'!A:C, 3, FALSE)</f>
        <v>26.18</v>
      </c>
      <c r="D1487" t="str">
        <f>VLOOKUP($A1487, 'Medical Examinations'!A:D, 4, FALSE)</f>
        <v>Normal</v>
      </c>
      <c r="E1487" t="str">
        <f>VLOOKUP($A1487, 'Medical Examinations'!A:F, 6, FALSE)</f>
        <v>No</v>
      </c>
      <c r="F1487" t="str">
        <f>VLOOKUP($A1487, 'Medical Examinations'!A:G, 7, FALSE)</f>
        <v>No</v>
      </c>
      <c r="G1487" t="str">
        <f>VLOOKUP($A1487, 'Medical Examinations'!A:H, 8, FALSE)</f>
        <v>No</v>
      </c>
      <c r="H1487" t="str">
        <f>VLOOKUP($A1487, 'Medical Examinations'!A:J, 10, FALSE)</f>
        <v>No major surgery</v>
      </c>
      <c r="I1487" t="str">
        <f>VLOOKUP($A1487, 'Medical Examinations'!A:K, 11, FALSE)</f>
        <v>No</v>
      </c>
      <c r="J1487" t="str">
        <f>VLOOKUP($A1487, 'Medical Examinations'!A:B, 2, FALSE)</f>
        <v>Overweight</v>
      </c>
      <c r="K1487" t="str">
        <f>VLOOKUP($A1487, 'Medical Examinations'!A:D, 4, FALSE)</f>
        <v>Normal</v>
      </c>
    </row>
    <row r="1488" spans="1:11" ht="15.5" x14ac:dyDescent="0.35">
      <c r="A1488" s="1" t="s">
        <v>884</v>
      </c>
      <c r="B1488" t="str">
        <f>VLOOKUP($A1488, 'Customer Names'!A:D, 3, FALSE)</f>
        <v>Gonsalves</v>
      </c>
      <c r="C1488">
        <f>VLOOKUP($A1488,'Medical Examinations'!A:C, 3, FALSE)</f>
        <v>25.3</v>
      </c>
      <c r="D1488" t="str">
        <f>VLOOKUP($A1488, 'Medical Examinations'!A:D, 4, FALSE)</f>
        <v>Normal</v>
      </c>
      <c r="E1488" t="str">
        <f>VLOOKUP($A1488, 'Medical Examinations'!A:F, 6, FALSE)</f>
        <v>No</v>
      </c>
      <c r="F1488" t="str">
        <f>VLOOKUP($A1488, 'Medical Examinations'!A:G, 7, FALSE)</f>
        <v>No</v>
      </c>
      <c r="G1488" t="str">
        <f>VLOOKUP($A1488, 'Medical Examinations'!A:H, 8, FALSE)</f>
        <v>No</v>
      </c>
      <c r="H1488" t="str">
        <f>VLOOKUP($A1488, 'Medical Examinations'!A:J, 10, FALSE)</f>
        <v>No major surgery</v>
      </c>
      <c r="I1488" t="str">
        <f>VLOOKUP($A1488, 'Medical Examinations'!A:K, 11, FALSE)</f>
        <v>No</v>
      </c>
      <c r="J1488" t="str">
        <f>VLOOKUP($A1488, 'Medical Examinations'!A:B, 2, FALSE)</f>
        <v>Overweight</v>
      </c>
      <c r="K1488" t="str">
        <f>VLOOKUP($A1488, 'Medical Examinations'!A:D, 4, FALSE)</f>
        <v>Normal</v>
      </c>
    </row>
    <row r="1489" spans="1:11" ht="15.5" x14ac:dyDescent="0.35">
      <c r="A1489" s="1" t="s">
        <v>883</v>
      </c>
      <c r="B1489" t="str">
        <f>VLOOKUP($A1489, 'Customer Names'!A:D, 3, FALSE)</f>
        <v>Peck</v>
      </c>
      <c r="C1489">
        <f>VLOOKUP($A1489,'Medical Examinations'!A:C, 3, FALSE)</f>
        <v>36.94</v>
      </c>
      <c r="D1489" t="str">
        <f>VLOOKUP($A1489, 'Medical Examinations'!A:D, 4, FALSE)</f>
        <v>Normal</v>
      </c>
      <c r="E1489" t="str">
        <f>VLOOKUP($A1489, 'Medical Examinations'!A:F, 6, FALSE)</f>
        <v>yes</v>
      </c>
      <c r="F1489" t="str">
        <f>VLOOKUP($A1489, 'Medical Examinations'!A:G, 7, FALSE)</f>
        <v>No</v>
      </c>
      <c r="G1489" t="str">
        <f>VLOOKUP($A1489, 'Medical Examinations'!A:H, 8, FALSE)</f>
        <v>No</v>
      </c>
      <c r="H1489">
        <f>VLOOKUP($A1489, 'Medical Examinations'!A:J, 10, FALSE)</f>
        <v>1</v>
      </c>
      <c r="I1489" t="str">
        <f>VLOOKUP($A1489, 'Medical Examinations'!A:K, 11, FALSE)</f>
        <v>No</v>
      </c>
      <c r="J1489" t="str">
        <f>VLOOKUP($A1489, 'Medical Examinations'!A:B, 2, FALSE)</f>
        <v>Obesity</v>
      </c>
      <c r="K1489" t="str">
        <f>VLOOKUP($A1489, 'Medical Examinations'!A:D, 4, FALSE)</f>
        <v>Normal</v>
      </c>
    </row>
    <row r="1490" spans="1:11" ht="15.5" x14ac:dyDescent="0.35">
      <c r="A1490" s="1" t="s">
        <v>882</v>
      </c>
      <c r="B1490" t="str">
        <f>VLOOKUP($A1490, 'Customer Names'!A:D, 3, FALSE)</f>
        <v>Aure</v>
      </c>
      <c r="C1490">
        <f>VLOOKUP($A1490,'Medical Examinations'!A:C, 3, FALSE)</f>
        <v>22.86</v>
      </c>
      <c r="D1490" t="str">
        <f>VLOOKUP($A1490, 'Medical Examinations'!A:D, 4, FALSE)</f>
        <v>Diabetes</v>
      </c>
      <c r="E1490" t="str">
        <f>VLOOKUP($A1490, 'Medical Examinations'!A:F, 6, FALSE)</f>
        <v>No</v>
      </c>
      <c r="F1490" t="str">
        <f>VLOOKUP($A1490, 'Medical Examinations'!A:G, 7, FALSE)</f>
        <v>No</v>
      </c>
      <c r="G1490" t="str">
        <f>VLOOKUP($A1490, 'Medical Examinations'!A:H, 8, FALSE)</f>
        <v>No</v>
      </c>
      <c r="H1490" t="str">
        <f>VLOOKUP($A1490, 'Medical Examinations'!A:J, 10, FALSE)</f>
        <v>No major surgery</v>
      </c>
      <c r="I1490" t="str">
        <f>VLOOKUP($A1490, 'Medical Examinations'!A:K, 11, FALSE)</f>
        <v>No</v>
      </c>
      <c r="J1490" t="str">
        <f>VLOOKUP($A1490, 'Medical Examinations'!A:B, 2, FALSE)</f>
        <v>Normal Weight</v>
      </c>
      <c r="K1490" t="str">
        <f>VLOOKUP($A1490, 'Medical Examinations'!A:D, 4, FALSE)</f>
        <v>Diabetes</v>
      </c>
    </row>
    <row r="1491" spans="1:11" ht="15.5" x14ac:dyDescent="0.35">
      <c r="A1491" s="1" t="s">
        <v>881</v>
      </c>
      <c r="B1491" t="str">
        <f>VLOOKUP($A1491, 'Customer Names'!A:D, 3, FALSE)</f>
        <v>Mattingly</v>
      </c>
      <c r="C1491">
        <f>VLOOKUP($A1491,'Medical Examinations'!A:C, 3, FALSE)</f>
        <v>18.760000000000002</v>
      </c>
      <c r="D1491" t="str">
        <f>VLOOKUP($A1491, 'Medical Examinations'!A:D, 4, FALSE)</f>
        <v>Normal</v>
      </c>
      <c r="E1491" t="str">
        <f>VLOOKUP($A1491, 'Medical Examinations'!A:F, 6, FALSE)</f>
        <v>yes</v>
      </c>
      <c r="F1491" t="str">
        <f>VLOOKUP($A1491, 'Medical Examinations'!A:G, 7, FALSE)</f>
        <v>No</v>
      </c>
      <c r="G1491" t="str">
        <f>VLOOKUP($A1491, 'Medical Examinations'!A:H, 8, FALSE)</f>
        <v>Yes</v>
      </c>
      <c r="H1491">
        <f>VLOOKUP($A1491, 'Medical Examinations'!A:J, 10, FALSE)</f>
        <v>1</v>
      </c>
      <c r="I1491" t="str">
        <f>VLOOKUP($A1491, 'Medical Examinations'!A:K, 11, FALSE)</f>
        <v>No</v>
      </c>
      <c r="J1491" t="str">
        <f>VLOOKUP($A1491, 'Medical Examinations'!A:B, 2, FALSE)</f>
        <v>Normal Weight</v>
      </c>
      <c r="K1491" t="str">
        <f>VLOOKUP($A1491, 'Medical Examinations'!A:D, 4, FALSE)</f>
        <v>Normal</v>
      </c>
    </row>
    <row r="1492" spans="1:11" ht="15.5" x14ac:dyDescent="0.35">
      <c r="A1492" s="1" t="s">
        <v>880</v>
      </c>
      <c r="B1492" t="str">
        <f>VLOOKUP($A1492, 'Customer Names'!A:D, 3, FALSE)</f>
        <v>Stelpflug</v>
      </c>
      <c r="C1492">
        <f>VLOOKUP($A1492,'Medical Examinations'!A:C, 3, FALSE)</f>
        <v>24.36</v>
      </c>
      <c r="D1492" t="str">
        <f>VLOOKUP($A1492, 'Medical Examinations'!A:D, 4, FALSE)</f>
        <v>Normal</v>
      </c>
      <c r="E1492" t="str">
        <f>VLOOKUP($A1492, 'Medical Examinations'!A:F, 6, FALSE)</f>
        <v>No</v>
      </c>
      <c r="F1492" t="str">
        <f>VLOOKUP($A1492, 'Medical Examinations'!A:G, 7, FALSE)</f>
        <v>No</v>
      </c>
      <c r="G1492" t="str">
        <f>VLOOKUP($A1492, 'Medical Examinations'!A:H, 8, FALSE)</f>
        <v>No</v>
      </c>
      <c r="H1492" t="str">
        <f>VLOOKUP($A1492, 'Medical Examinations'!A:J, 10, FALSE)</f>
        <v>No major surgery</v>
      </c>
      <c r="I1492" t="str">
        <f>VLOOKUP($A1492, 'Medical Examinations'!A:K, 11, FALSE)</f>
        <v>No</v>
      </c>
      <c r="J1492" t="str">
        <f>VLOOKUP($A1492, 'Medical Examinations'!A:B, 2, FALSE)</f>
        <v>Normal Weight</v>
      </c>
      <c r="K1492" t="str">
        <f>VLOOKUP($A1492, 'Medical Examinations'!A:D, 4, FALSE)</f>
        <v>Normal</v>
      </c>
    </row>
    <row r="1493" spans="1:11" ht="15.5" x14ac:dyDescent="0.35">
      <c r="A1493" s="1" t="s">
        <v>879</v>
      </c>
      <c r="B1493" t="str">
        <f>VLOOKUP($A1493, 'Customer Names'!A:D, 3, FALSE)</f>
        <v>Sanchez Antognini</v>
      </c>
      <c r="C1493">
        <f>VLOOKUP($A1493,'Medical Examinations'!A:C, 3, FALSE)</f>
        <v>32.299999999999997</v>
      </c>
      <c r="D1493" t="str">
        <f>VLOOKUP($A1493, 'Medical Examinations'!A:D, 4, FALSE)</f>
        <v>Normal</v>
      </c>
      <c r="E1493" t="str">
        <f>VLOOKUP($A1493, 'Medical Examinations'!A:F, 6, FALSE)</f>
        <v>No</v>
      </c>
      <c r="F1493" t="str">
        <f>VLOOKUP($A1493, 'Medical Examinations'!A:G, 7, FALSE)</f>
        <v>No</v>
      </c>
      <c r="G1493" t="str">
        <f>VLOOKUP($A1493, 'Medical Examinations'!A:H, 8, FALSE)</f>
        <v>No</v>
      </c>
      <c r="H1493" t="str">
        <f>VLOOKUP($A1493, 'Medical Examinations'!A:J, 10, FALSE)</f>
        <v>No major surgery</v>
      </c>
      <c r="I1493" t="str">
        <f>VLOOKUP($A1493, 'Medical Examinations'!A:K, 11, FALSE)</f>
        <v>No</v>
      </c>
      <c r="J1493" t="str">
        <f>VLOOKUP($A1493, 'Medical Examinations'!A:B, 2, FALSE)</f>
        <v>Obesity</v>
      </c>
      <c r="K1493" t="str">
        <f>VLOOKUP($A1493, 'Medical Examinations'!A:D, 4, FALSE)</f>
        <v>Normal</v>
      </c>
    </row>
    <row r="1494" spans="1:11" ht="15.5" x14ac:dyDescent="0.35">
      <c r="A1494" s="1" t="s">
        <v>878</v>
      </c>
      <c r="B1494" t="str">
        <f>VLOOKUP($A1494, 'Customer Names'!A:D, 3, FALSE)</f>
        <v>Condon</v>
      </c>
      <c r="C1494">
        <f>VLOOKUP($A1494,'Medical Examinations'!A:C, 3, FALSE)</f>
        <v>22.704999999999998</v>
      </c>
      <c r="D1494" t="str">
        <f>VLOOKUP($A1494, 'Medical Examinations'!A:D, 4, FALSE)</f>
        <v>Normal</v>
      </c>
      <c r="E1494" t="str">
        <f>VLOOKUP($A1494, 'Medical Examinations'!A:F, 6, FALSE)</f>
        <v>yes</v>
      </c>
      <c r="F1494" t="str">
        <f>VLOOKUP($A1494, 'Medical Examinations'!A:G, 7, FALSE)</f>
        <v>No</v>
      </c>
      <c r="G1494" t="str">
        <f>VLOOKUP($A1494, 'Medical Examinations'!A:H, 8, FALSE)</f>
        <v>No</v>
      </c>
      <c r="H1494" t="str">
        <f>VLOOKUP($A1494, 'Medical Examinations'!A:J, 10, FALSE)</f>
        <v>No major surgery</v>
      </c>
      <c r="I1494" t="str">
        <f>VLOOKUP($A1494, 'Medical Examinations'!A:K, 11, FALSE)</f>
        <v>No</v>
      </c>
      <c r="J1494" t="str">
        <f>VLOOKUP($A1494, 'Medical Examinations'!A:B, 2, FALSE)</f>
        <v>Normal Weight</v>
      </c>
      <c r="K1494" t="str">
        <f>VLOOKUP($A1494, 'Medical Examinations'!A:D, 4, FALSE)</f>
        <v>Normal</v>
      </c>
    </row>
    <row r="1495" spans="1:11" ht="15.5" x14ac:dyDescent="0.35">
      <c r="A1495" s="1" t="s">
        <v>877</v>
      </c>
      <c r="B1495" t="str">
        <f>VLOOKUP($A1495, 'Customer Names'!A:D, 3, FALSE)</f>
        <v>Magato</v>
      </c>
      <c r="C1495">
        <f>VLOOKUP($A1495,'Medical Examinations'!A:C, 3, FALSE)</f>
        <v>21.79</v>
      </c>
      <c r="D1495" t="str">
        <f>VLOOKUP($A1495, 'Medical Examinations'!A:D, 4, FALSE)</f>
        <v>Diabetes</v>
      </c>
      <c r="E1495" t="str">
        <f>VLOOKUP($A1495, 'Medical Examinations'!A:F, 6, FALSE)</f>
        <v>yes</v>
      </c>
      <c r="F1495" t="str">
        <f>VLOOKUP($A1495, 'Medical Examinations'!A:G, 7, FALSE)</f>
        <v>No</v>
      </c>
      <c r="G1495" t="str">
        <f>VLOOKUP($A1495, 'Medical Examinations'!A:H, 8, FALSE)</f>
        <v>No</v>
      </c>
      <c r="H1495">
        <f>VLOOKUP($A1495, 'Medical Examinations'!A:J, 10, FALSE)</f>
        <v>1</v>
      </c>
      <c r="I1495" t="str">
        <f>VLOOKUP($A1495, 'Medical Examinations'!A:K, 11, FALSE)</f>
        <v>No</v>
      </c>
      <c r="J1495" t="str">
        <f>VLOOKUP($A1495, 'Medical Examinations'!A:B, 2, FALSE)</f>
        <v>Normal Weight</v>
      </c>
      <c r="K1495" t="str">
        <f>VLOOKUP($A1495, 'Medical Examinations'!A:D, 4, FALSE)</f>
        <v>Diabetes</v>
      </c>
    </row>
    <row r="1496" spans="1:11" ht="15.5" x14ac:dyDescent="0.35">
      <c r="A1496" s="1" t="s">
        <v>876</v>
      </c>
      <c r="B1496" t="str">
        <f>VLOOKUP($A1496, 'Customer Names'!A:D, 3, FALSE)</f>
        <v>Dombrowski</v>
      </c>
      <c r="C1496">
        <f>VLOOKUP($A1496,'Medical Examinations'!A:C, 3, FALSE)</f>
        <v>24.52</v>
      </c>
      <c r="D1496" t="str">
        <f>VLOOKUP($A1496, 'Medical Examinations'!A:D, 4, FALSE)</f>
        <v>Normal</v>
      </c>
      <c r="E1496" t="str">
        <f>VLOOKUP($A1496, 'Medical Examinations'!A:F, 6, FALSE)</f>
        <v>No</v>
      </c>
      <c r="F1496" t="str">
        <f>VLOOKUP($A1496, 'Medical Examinations'!A:G, 7, FALSE)</f>
        <v>No</v>
      </c>
      <c r="G1496" t="str">
        <f>VLOOKUP($A1496, 'Medical Examinations'!A:H, 8, FALSE)</f>
        <v>No</v>
      </c>
      <c r="H1496" t="str">
        <f>VLOOKUP($A1496, 'Medical Examinations'!A:J, 10, FALSE)</f>
        <v>No major surgery</v>
      </c>
      <c r="I1496" t="str">
        <f>VLOOKUP($A1496, 'Medical Examinations'!A:K, 11, FALSE)</f>
        <v>No</v>
      </c>
      <c r="J1496" t="str">
        <f>VLOOKUP($A1496, 'Medical Examinations'!A:B, 2, FALSE)</f>
        <v>Normal Weight</v>
      </c>
      <c r="K1496" t="str">
        <f>VLOOKUP($A1496, 'Medical Examinations'!A:D, 4, FALSE)</f>
        <v>Normal</v>
      </c>
    </row>
    <row r="1497" spans="1:11" ht="15.5" x14ac:dyDescent="0.35">
      <c r="A1497" s="1" t="s">
        <v>875</v>
      </c>
      <c r="B1497" t="str">
        <f>VLOOKUP($A1497, 'Customer Names'!A:D, 3, FALSE)</f>
        <v>Ohara</v>
      </c>
      <c r="C1497">
        <f>VLOOKUP($A1497,'Medical Examinations'!A:C, 3, FALSE)</f>
        <v>39.520000000000003</v>
      </c>
      <c r="D1497" t="str">
        <f>VLOOKUP($A1497, 'Medical Examinations'!A:D, 4, FALSE)</f>
        <v>Diabetes</v>
      </c>
      <c r="E1497" t="str">
        <f>VLOOKUP($A1497, 'Medical Examinations'!A:F, 6, FALSE)</f>
        <v>No</v>
      </c>
      <c r="F1497" t="str">
        <f>VLOOKUP($A1497, 'Medical Examinations'!A:G, 7, FALSE)</f>
        <v>No</v>
      </c>
      <c r="G1497" t="str">
        <f>VLOOKUP($A1497, 'Medical Examinations'!A:H, 8, FALSE)</f>
        <v>No</v>
      </c>
      <c r="H1497" t="str">
        <f>VLOOKUP($A1497, 'Medical Examinations'!A:J, 10, FALSE)</f>
        <v>No major surgery</v>
      </c>
      <c r="I1497" t="str">
        <f>VLOOKUP($A1497, 'Medical Examinations'!A:K, 11, FALSE)</f>
        <v>No</v>
      </c>
      <c r="J1497" t="str">
        <f>VLOOKUP($A1497, 'Medical Examinations'!A:B, 2, FALSE)</f>
        <v>Obesity</v>
      </c>
      <c r="K1497" t="str">
        <f>VLOOKUP($A1497, 'Medical Examinations'!A:D, 4, FALSE)</f>
        <v>Diabetes</v>
      </c>
    </row>
    <row r="1498" spans="1:11" ht="15.5" x14ac:dyDescent="0.35">
      <c r="A1498" s="1" t="s">
        <v>874</v>
      </c>
      <c r="B1498" t="str">
        <f>VLOOKUP($A1498, 'Customer Names'!A:D, 3, FALSE)</f>
        <v>Cifuentes Fetiva</v>
      </c>
      <c r="C1498">
        <f>VLOOKUP($A1498,'Medical Examinations'!A:C, 3, FALSE)</f>
        <v>24.49</v>
      </c>
      <c r="D1498" t="str">
        <f>VLOOKUP($A1498, 'Medical Examinations'!A:D, 4, FALSE)</f>
        <v>Normal</v>
      </c>
      <c r="E1498" t="str">
        <f>VLOOKUP($A1498, 'Medical Examinations'!A:F, 6, FALSE)</f>
        <v>No</v>
      </c>
      <c r="F1498" t="str">
        <f>VLOOKUP($A1498, 'Medical Examinations'!A:G, 7, FALSE)</f>
        <v>No</v>
      </c>
      <c r="G1498" t="str">
        <f>VLOOKUP($A1498, 'Medical Examinations'!A:H, 8, FALSE)</f>
        <v>No</v>
      </c>
      <c r="H1498" t="str">
        <f>VLOOKUP($A1498, 'Medical Examinations'!A:J, 10, FALSE)</f>
        <v>No major surgery</v>
      </c>
      <c r="I1498" t="str">
        <f>VLOOKUP($A1498, 'Medical Examinations'!A:K, 11, FALSE)</f>
        <v>No</v>
      </c>
      <c r="J1498" t="str">
        <f>VLOOKUP($A1498, 'Medical Examinations'!A:B, 2, FALSE)</f>
        <v>Normal Weight</v>
      </c>
      <c r="K1498" t="str">
        <f>VLOOKUP($A1498, 'Medical Examinations'!A:D, 4, FALSE)</f>
        <v>Normal</v>
      </c>
    </row>
    <row r="1499" spans="1:11" ht="15.5" x14ac:dyDescent="0.35">
      <c r="A1499" s="1" t="s">
        <v>873</v>
      </c>
      <c r="B1499" t="str">
        <f>VLOOKUP($A1499, 'Customer Names'!A:D, 3, FALSE)</f>
        <v>Keno</v>
      </c>
      <c r="C1499">
        <f>VLOOKUP($A1499,'Medical Examinations'!A:C, 3, FALSE)</f>
        <v>26.315000000000001</v>
      </c>
      <c r="D1499" t="str">
        <f>VLOOKUP($A1499, 'Medical Examinations'!A:D, 4, FALSE)</f>
        <v>Prediabetes</v>
      </c>
      <c r="E1499" t="str">
        <f>VLOOKUP($A1499, 'Medical Examinations'!A:F, 6, FALSE)</f>
        <v>No</v>
      </c>
      <c r="F1499" t="str">
        <f>VLOOKUP($A1499, 'Medical Examinations'!A:G, 7, FALSE)</f>
        <v>No</v>
      </c>
      <c r="G1499" t="str">
        <f>VLOOKUP($A1499, 'Medical Examinations'!A:H, 8, FALSE)</f>
        <v>No</v>
      </c>
      <c r="H1499" t="str">
        <f>VLOOKUP($A1499, 'Medical Examinations'!A:J, 10, FALSE)</f>
        <v>No major surgery</v>
      </c>
      <c r="I1499" t="str">
        <f>VLOOKUP($A1499, 'Medical Examinations'!A:K, 11, FALSE)</f>
        <v>No</v>
      </c>
      <c r="J1499" t="str">
        <f>VLOOKUP($A1499, 'Medical Examinations'!A:B, 2, FALSE)</f>
        <v>Overweight</v>
      </c>
      <c r="K1499" t="str">
        <f>VLOOKUP($A1499, 'Medical Examinations'!A:D, 4, FALSE)</f>
        <v>Prediabetes</v>
      </c>
    </row>
    <row r="1500" spans="1:11" ht="15.5" x14ac:dyDescent="0.35">
      <c r="A1500" s="1" t="s">
        <v>872</v>
      </c>
      <c r="B1500" t="str">
        <f>VLOOKUP($A1500, 'Customer Names'!A:D, 3, FALSE)</f>
        <v>Bruce</v>
      </c>
      <c r="C1500">
        <f>VLOOKUP($A1500,'Medical Examinations'!A:C, 3, FALSE)</f>
        <v>22.58</v>
      </c>
      <c r="D1500" t="str">
        <f>VLOOKUP($A1500, 'Medical Examinations'!A:D, 4, FALSE)</f>
        <v>Diabetes</v>
      </c>
      <c r="E1500" t="str">
        <f>VLOOKUP($A1500, 'Medical Examinations'!A:F, 6, FALSE)</f>
        <v>No</v>
      </c>
      <c r="F1500" t="str">
        <f>VLOOKUP($A1500, 'Medical Examinations'!A:G, 7, FALSE)</f>
        <v>No</v>
      </c>
      <c r="G1500" t="str">
        <f>VLOOKUP($A1500, 'Medical Examinations'!A:H, 8, FALSE)</f>
        <v>No</v>
      </c>
      <c r="H1500" t="str">
        <f>VLOOKUP($A1500, 'Medical Examinations'!A:J, 10, FALSE)</f>
        <v>No major surgery</v>
      </c>
      <c r="I1500" t="str">
        <f>VLOOKUP($A1500, 'Medical Examinations'!A:K, 11, FALSE)</f>
        <v>No</v>
      </c>
      <c r="J1500" t="str">
        <f>VLOOKUP($A1500, 'Medical Examinations'!A:B, 2, FALSE)</f>
        <v>Normal Weight</v>
      </c>
      <c r="K1500" t="str">
        <f>VLOOKUP($A1500, 'Medical Examinations'!A:D, 4, FALSE)</f>
        <v>Diabetes</v>
      </c>
    </row>
    <row r="1501" spans="1:11" ht="15.5" x14ac:dyDescent="0.35">
      <c r="A1501" s="1" t="s">
        <v>871</v>
      </c>
      <c r="B1501" t="str">
        <f>VLOOKUP($A1501, 'Customer Names'!A:D, 3, FALSE)</f>
        <v>Lorch</v>
      </c>
      <c r="C1501">
        <f>VLOOKUP($A1501,'Medical Examinations'!A:C, 3, FALSE)</f>
        <v>19.475000000000001</v>
      </c>
      <c r="D1501" t="str">
        <f>VLOOKUP($A1501, 'Medical Examinations'!A:D, 4, FALSE)</f>
        <v>Normal</v>
      </c>
      <c r="E1501" t="str">
        <f>VLOOKUP($A1501, 'Medical Examinations'!A:F, 6, FALSE)</f>
        <v>No</v>
      </c>
      <c r="F1501" t="str">
        <f>VLOOKUP($A1501, 'Medical Examinations'!A:G, 7, FALSE)</f>
        <v>No</v>
      </c>
      <c r="G1501" t="str">
        <f>VLOOKUP($A1501, 'Medical Examinations'!A:H, 8, FALSE)</f>
        <v>No</v>
      </c>
      <c r="H1501">
        <f>VLOOKUP($A1501, 'Medical Examinations'!A:J, 10, FALSE)</f>
        <v>1</v>
      </c>
      <c r="I1501" t="str">
        <f>VLOOKUP($A1501, 'Medical Examinations'!A:K, 11, FALSE)</f>
        <v>No</v>
      </c>
      <c r="J1501" t="str">
        <f>VLOOKUP($A1501, 'Medical Examinations'!A:B, 2, FALSE)</f>
        <v>Normal Weight</v>
      </c>
      <c r="K1501" t="str">
        <f>VLOOKUP($A1501, 'Medical Examinations'!A:D, 4, FALSE)</f>
        <v>Normal</v>
      </c>
    </row>
    <row r="1502" spans="1:11" ht="15.5" x14ac:dyDescent="0.35">
      <c r="A1502" s="1" t="s">
        <v>870</v>
      </c>
      <c r="B1502" t="str">
        <f>VLOOKUP($A1502, 'Customer Names'!A:D, 3, FALSE)</f>
        <v>Sullivan</v>
      </c>
      <c r="C1502">
        <f>VLOOKUP($A1502,'Medical Examinations'!A:C, 3, FALSE)</f>
        <v>26.33</v>
      </c>
      <c r="D1502" t="str">
        <f>VLOOKUP($A1502, 'Medical Examinations'!A:D, 4, FALSE)</f>
        <v>Normal</v>
      </c>
      <c r="E1502" t="str">
        <f>VLOOKUP($A1502, 'Medical Examinations'!A:F, 6, FALSE)</f>
        <v>No</v>
      </c>
      <c r="F1502" t="str">
        <f>VLOOKUP($A1502, 'Medical Examinations'!A:G, 7, FALSE)</f>
        <v>No</v>
      </c>
      <c r="G1502" t="str">
        <f>VLOOKUP($A1502, 'Medical Examinations'!A:H, 8, FALSE)</f>
        <v>No</v>
      </c>
      <c r="H1502" t="str">
        <f>VLOOKUP($A1502, 'Medical Examinations'!A:J, 10, FALSE)</f>
        <v>No major surgery</v>
      </c>
      <c r="I1502" t="str">
        <f>VLOOKUP($A1502, 'Medical Examinations'!A:K, 11, FALSE)</f>
        <v>No</v>
      </c>
      <c r="J1502" t="str">
        <f>VLOOKUP($A1502, 'Medical Examinations'!A:B, 2, FALSE)</f>
        <v>Overweight</v>
      </c>
      <c r="K1502" t="str">
        <f>VLOOKUP($A1502, 'Medical Examinations'!A:D, 4, FALSE)</f>
        <v>Normal</v>
      </c>
    </row>
    <row r="1503" spans="1:11" ht="15.5" x14ac:dyDescent="0.35">
      <c r="A1503" s="1" t="s">
        <v>869</v>
      </c>
      <c r="B1503" t="str">
        <f>VLOOKUP($A1503, 'Customer Names'!A:D, 3, FALSE)</f>
        <v>Cave</v>
      </c>
      <c r="C1503">
        <f>VLOOKUP($A1503,'Medical Examinations'!A:C, 3, FALSE)</f>
        <v>17.29</v>
      </c>
      <c r="D1503" t="str">
        <f>VLOOKUP($A1503, 'Medical Examinations'!A:D, 4, FALSE)</f>
        <v>Normal</v>
      </c>
      <c r="E1503" t="str">
        <f>VLOOKUP($A1503, 'Medical Examinations'!A:F, 6, FALSE)</f>
        <v>yes</v>
      </c>
      <c r="F1503" t="str">
        <f>VLOOKUP($A1503, 'Medical Examinations'!A:G, 7, FALSE)</f>
        <v>No</v>
      </c>
      <c r="G1503" t="str">
        <f>VLOOKUP($A1503, 'Medical Examinations'!A:H, 8, FALSE)</f>
        <v>No</v>
      </c>
      <c r="H1503" t="str">
        <f>VLOOKUP($A1503, 'Medical Examinations'!A:J, 10, FALSE)</f>
        <v>No major surgery</v>
      </c>
      <c r="I1503" t="str">
        <f>VLOOKUP($A1503, 'Medical Examinations'!A:K, 11, FALSE)</f>
        <v>No</v>
      </c>
      <c r="J1503" t="str">
        <f>VLOOKUP($A1503, 'Medical Examinations'!A:B, 2, FALSE)</f>
        <v>Underweight</v>
      </c>
      <c r="K1503" t="str">
        <f>VLOOKUP($A1503, 'Medical Examinations'!A:D, 4, FALSE)</f>
        <v>Normal</v>
      </c>
    </row>
    <row r="1504" spans="1:11" ht="15.5" x14ac:dyDescent="0.35">
      <c r="A1504" s="1" t="s">
        <v>868</v>
      </c>
      <c r="B1504" t="str">
        <f>VLOOKUP($A1504, 'Customer Names'!A:D, 3, FALSE)</f>
        <v>Gudenkauf</v>
      </c>
      <c r="C1504">
        <f>VLOOKUP($A1504,'Medical Examinations'!A:C, 3, FALSE)</f>
        <v>42.88</v>
      </c>
      <c r="D1504" t="str">
        <f>VLOOKUP($A1504, 'Medical Examinations'!A:D, 4, FALSE)</f>
        <v>Normal</v>
      </c>
      <c r="E1504" t="str">
        <f>VLOOKUP($A1504, 'Medical Examinations'!A:F, 6, FALSE)</f>
        <v>No</v>
      </c>
      <c r="F1504" t="str">
        <f>VLOOKUP($A1504, 'Medical Examinations'!A:G, 7, FALSE)</f>
        <v>yes</v>
      </c>
      <c r="G1504" t="str">
        <f>VLOOKUP($A1504, 'Medical Examinations'!A:H, 8, FALSE)</f>
        <v>No</v>
      </c>
      <c r="H1504">
        <f>VLOOKUP($A1504, 'Medical Examinations'!A:J, 10, FALSE)</f>
        <v>1</v>
      </c>
      <c r="I1504" t="str">
        <f>VLOOKUP($A1504, 'Medical Examinations'!A:K, 11, FALSE)</f>
        <v>No</v>
      </c>
      <c r="J1504" t="str">
        <f>VLOOKUP($A1504, 'Medical Examinations'!A:B, 2, FALSE)</f>
        <v>Obesity</v>
      </c>
      <c r="K1504" t="str">
        <f>VLOOKUP($A1504, 'Medical Examinations'!A:D, 4, FALSE)</f>
        <v>Normal</v>
      </c>
    </row>
    <row r="1505" spans="1:11" ht="15.5" x14ac:dyDescent="0.35">
      <c r="A1505" s="1" t="s">
        <v>867</v>
      </c>
      <c r="B1505" t="str">
        <f>VLOOKUP($A1505, 'Customer Names'!A:D, 3, FALSE)</f>
        <v>Thomas</v>
      </c>
      <c r="C1505">
        <f>VLOOKUP($A1505,'Medical Examinations'!A:C, 3, FALSE)</f>
        <v>32.200000000000003</v>
      </c>
      <c r="D1505" t="str">
        <f>VLOOKUP($A1505, 'Medical Examinations'!A:D, 4, FALSE)</f>
        <v>Diabetes</v>
      </c>
      <c r="E1505" t="str">
        <f>VLOOKUP($A1505, 'Medical Examinations'!A:F, 6, FALSE)</f>
        <v>yes</v>
      </c>
      <c r="F1505" t="str">
        <f>VLOOKUP($A1505, 'Medical Examinations'!A:G, 7, FALSE)</f>
        <v>No</v>
      </c>
      <c r="G1505" t="str">
        <f>VLOOKUP($A1505, 'Medical Examinations'!A:H, 8, FALSE)</f>
        <v>No</v>
      </c>
      <c r="H1505" t="str">
        <f>VLOOKUP($A1505, 'Medical Examinations'!A:J, 10, FALSE)</f>
        <v>No major surgery</v>
      </c>
      <c r="I1505" t="str">
        <f>VLOOKUP($A1505, 'Medical Examinations'!A:K, 11, FALSE)</f>
        <v>No</v>
      </c>
      <c r="J1505" t="str">
        <f>VLOOKUP($A1505, 'Medical Examinations'!A:B, 2, FALSE)</f>
        <v>Obesity</v>
      </c>
      <c r="K1505" t="str">
        <f>VLOOKUP($A1505, 'Medical Examinations'!A:D, 4, FALSE)</f>
        <v>Diabetes</v>
      </c>
    </row>
    <row r="1506" spans="1:11" ht="15.5" x14ac:dyDescent="0.35">
      <c r="A1506" s="1" t="s">
        <v>866</v>
      </c>
      <c r="B1506" t="str">
        <f>VLOOKUP($A1506, 'Customer Names'!A:D, 3, FALSE)</f>
        <v>Holley</v>
      </c>
      <c r="C1506">
        <f>VLOOKUP($A1506,'Medical Examinations'!A:C, 3, FALSE)</f>
        <v>18.75</v>
      </c>
      <c r="D1506" t="str">
        <f>VLOOKUP($A1506, 'Medical Examinations'!A:D, 4, FALSE)</f>
        <v>Normal</v>
      </c>
      <c r="E1506" t="str">
        <f>VLOOKUP($A1506, 'Medical Examinations'!A:F, 6, FALSE)</f>
        <v>yes</v>
      </c>
      <c r="F1506" t="str">
        <f>VLOOKUP($A1506, 'Medical Examinations'!A:G, 7, FALSE)</f>
        <v>No</v>
      </c>
      <c r="G1506" t="str">
        <f>VLOOKUP($A1506, 'Medical Examinations'!A:H, 8, FALSE)</f>
        <v>Yes</v>
      </c>
      <c r="H1506">
        <f>VLOOKUP($A1506, 'Medical Examinations'!A:J, 10, FALSE)</f>
        <v>1</v>
      </c>
      <c r="I1506" t="str">
        <f>VLOOKUP($A1506, 'Medical Examinations'!A:K, 11, FALSE)</f>
        <v>No</v>
      </c>
      <c r="J1506" t="str">
        <f>VLOOKUP($A1506, 'Medical Examinations'!A:B, 2, FALSE)</f>
        <v>Normal Weight</v>
      </c>
      <c r="K1506" t="str">
        <f>VLOOKUP($A1506, 'Medical Examinations'!A:D, 4, FALSE)</f>
        <v>Normal</v>
      </c>
    </row>
    <row r="1507" spans="1:11" ht="15.5" x14ac:dyDescent="0.35">
      <c r="A1507" s="1" t="s">
        <v>865</v>
      </c>
      <c r="B1507" t="str">
        <f>VLOOKUP($A1507, 'Customer Names'!A:D, 3, FALSE)</f>
        <v>Kemble</v>
      </c>
      <c r="C1507">
        <f>VLOOKUP($A1507,'Medical Examinations'!A:C, 3, FALSE)</f>
        <v>22.36</v>
      </c>
      <c r="D1507" t="str">
        <f>VLOOKUP($A1507, 'Medical Examinations'!A:D, 4, FALSE)</f>
        <v>Diabetes</v>
      </c>
      <c r="E1507" t="str">
        <f>VLOOKUP($A1507, 'Medical Examinations'!A:F, 6, FALSE)</f>
        <v>No</v>
      </c>
      <c r="F1507" t="str">
        <f>VLOOKUP($A1507, 'Medical Examinations'!A:G, 7, FALSE)</f>
        <v>No</v>
      </c>
      <c r="G1507" t="str">
        <f>VLOOKUP($A1507, 'Medical Examinations'!A:H, 8, FALSE)</f>
        <v>No</v>
      </c>
      <c r="H1507" t="str">
        <f>VLOOKUP($A1507, 'Medical Examinations'!A:J, 10, FALSE)</f>
        <v>No major surgery</v>
      </c>
      <c r="I1507" t="str">
        <f>VLOOKUP($A1507, 'Medical Examinations'!A:K, 11, FALSE)</f>
        <v>No</v>
      </c>
      <c r="J1507" t="str">
        <f>VLOOKUP($A1507, 'Medical Examinations'!A:B, 2, FALSE)</f>
        <v>Normal Weight</v>
      </c>
      <c r="K1507" t="str">
        <f>VLOOKUP($A1507, 'Medical Examinations'!A:D, 4, FALSE)</f>
        <v>Diabetes</v>
      </c>
    </row>
    <row r="1508" spans="1:11" ht="15.5" x14ac:dyDescent="0.35">
      <c r="A1508" s="1" t="s">
        <v>864</v>
      </c>
      <c r="B1508" t="str">
        <f>VLOOKUP($A1508, 'Customer Names'!A:D, 3, FALSE)</f>
        <v>Bentley</v>
      </c>
      <c r="C1508">
        <f>VLOOKUP($A1508,'Medical Examinations'!A:C, 3, FALSE)</f>
        <v>23.94</v>
      </c>
      <c r="D1508" t="str">
        <f>VLOOKUP($A1508, 'Medical Examinations'!A:D, 4, FALSE)</f>
        <v>Diabetes</v>
      </c>
      <c r="E1508" t="str">
        <f>VLOOKUP($A1508, 'Medical Examinations'!A:F, 6, FALSE)</f>
        <v>yes</v>
      </c>
      <c r="F1508" t="str">
        <f>VLOOKUP($A1508, 'Medical Examinations'!A:G, 7, FALSE)</f>
        <v>No</v>
      </c>
      <c r="G1508" t="str">
        <f>VLOOKUP($A1508, 'Medical Examinations'!A:H, 8, FALSE)</f>
        <v>No</v>
      </c>
      <c r="H1508" t="str">
        <f>VLOOKUP($A1508, 'Medical Examinations'!A:J, 10, FALSE)</f>
        <v>No major surgery</v>
      </c>
      <c r="I1508" t="str">
        <f>VLOOKUP($A1508, 'Medical Examinations'!A:K, 11, FALSE)</f>
        <v>No</v>
      </c>
      <c r="J1508" t="str">
        <f>VLOOKUP($A1508, 'Medical Examinations'!A:B, 2, FALSE)</f>
        <v>Normal Weight</v>
      </c>
      <c r="K1508" t="str">
        <f>VLOOKUP($A1508, 'Medical Examinations'!A:D, 4, FALSE)</f>
        <v>Diabetes</v>
      </c>
    </row>
    <row r="1509" spans="1:11" ht="15.5" x14ac:dyDescent="0.35">
      <c r="A1509" s="1" t="s">
        <v>863</v>
      </c>
      <c r="B1509" t="str">
        <f>VLOOKUP($A1509, 'Customer Names'!A:D, 3, FALSE)</f>
        <v>Jones</v>
      </c>
      <c r="C1509">
        <f>VLOOKUP($A1509,'Medical Examinations'!A:C, 3, FALSE)</f>
        <v>30.1</v>
      </c>
      <c r="D1509" t="str">
        <f>VLOOKUP($A1509, 'Medical Examinations'!A:D, 4, FALSE)</f>
        <v>Normal</v>
      </c>
      <c r="E1509" t="str">
        <f>VLOOKUP($A1509, 'Medical Examinations'!A:F, 6, FALSE)</f>
        <v>No</v>
      </c>
      <c r="F1509" t="str">
        <f>VLOOKUP($A1509, 'Medical Examinations'!A:G, 7, FALSE)</f>
        <v>No</v>
      </c>
      <c r="G1509" t="str">
        <f>VLOOKUP($A1509, 'Medical Examinations'!A:H, 8, FALSE)</f>
        <v>Yes</v>
      </c>
      <c r="H1509">
        <f>VLOOKUP($A1509, 'Medical Examinations'!A:J, 10, FALSE)</f>
        <v>1</v>
      </c>
      <c r="I1509" t="str">
        <f>VLOOKUP($A1509, 'Medical Examinations'!A:K, 11, FALSE)</f>
        <v>No</v>
      </c>
      <c r="J1509" t="str">
        <f>VLOOKUP($A1509, 'Medical Examinations'!A:B, 2, FALSE)</f>
        <v>Obesity</v>
      </c>
      <c r="K1509" t="str">
        <f>VLOOKUP($A1509, 'Medical Examinations'!A:D, 4, FALSE)</f>
        <v>Normal</v>
      </c>
    </row>
    <row r="1510" spans="1:11" ht="15.5" x14ac:dyDescent="0.35">
      <c r="A1510" s="1" t="s">
        <v>862</v>
      </c>
      <c r="B1510" t="str">
        <f>VLOOKUP($A1510, 'Customer Names'!A:D, 3, FALSE)</f>
        <v>Tremblay</v>
      </c>
      <c r="C1510">
        <f>VLOOKUP($A1510,'Medical Examinations'!A:C, 3, FALSE)</f>
        <v>21.93</v>
      </c>
      <c r="D1510" t="str">
        <f>VLOOKUP($A1510, 'Medical Examinations'!A:D, 4, FALSE)</f>
        <v>Prediabetes</v>
      </c>
      <c r="E1510" t="str">
        <f>VLOOKUP($A1510, 'Medical Examinations'!A:F, 6, FALSE)</f>
        <v>No</v>
      </c>
      <c r="F1510" t="str">
        <f>VLOOKUP($A1510, 'Medical Examinations'!A:G, 7, FALSE)</f>
        <v>No</v>
      </c>
      <c r="G1510" t="str">
        <f>VLOOKUP($A1510, 'Medical Examinations'!A:H, 8, FALSE)</f>
        <v>No</v>
      </c>
      <c r="H1510" t="str">
        <f>VLOOKUP($A1510, 'Medical Examinations'!A:J, 10, FALSE)</f>
        <v>No major surgery</v>
      </c>
      <c r="I1510" t="str">
        <f>VLOOKUP($A1510, 'Medical Examinations'!A:K, 11, FALSE)</f>
        <v>No</v>
      </c>
      <c r="J1510" t="str">
        <f>VLOOKUP($A1510, 'Medical Examinations'!A:B, 2, FALSE)</f>
        <v>Normal Weight</v>
      </c>
      <c r="K1510" t="str">
        <f>VLOOKUP($A1510, 'Medical Examinations'!A:D, 4, FALSE)</f>
        <v>Prediabetes</v>
      </c>
    </row>
    <row r="1511" spans="1:11" ht="15.5" x14ac:dyDescent="0.35">
      <c r="A1511" s="1" t="s">
        <v>861</v>
      </c>
      <c r="B1511" t="str">
        <f>VLOOKUP($A1511, 'Customer Names'!A:D, 3, FALSE)</f>
        <v>Bellucci</v>
      </c>
      <c r="C1511">
        <f>VLOOKUP($A1511,'Medical Examinations'!A:C, 3, FALSE)</f>
        <v>39.75</v>
      </c>
      <c r="D1511" t="str">
        <f>VLOOKUP($A1511, 'Medical Examinations'!A:D, 4, FALSE)</f>
        <v>Normal</v>
      </c>
      <c r="E1511" t="str">
        <f>VLOOKUP($A1511, 'Medical Examinations'!A:F, 6, FALSE)</f>
        <v>No</v>
      </c>
      <c r="F1511" t="str">
        <f>VLOOKUP($A1511, 'Medical Examinations'!A:G, 7, FALSE)</f>
        <v>yes</v>
      </c>
      <c r="G1511" t="str">
        <f>VLOOKUP($A1511, 'Medical Examinations'!A:H, 8, FALSE)</f>
        <v>No</v>
      </c>
      <c r="H1511">
        <f>VLOOKUP($A1511, 'Medical Examinations'!A:J, 10, FALSE)</f>
        <v>1</v>
      </c>
      <c r="I1511" t="str">
        <f>VLOOKUP($A1511, 'Medical Examinations'!A:K, 11, FALSE)</f>
        <v>No</v>
      </c>
      <c r="J1511" t="str">
        <f>VLOOKUP($A1511, 'Medical Examinations'!A:B, 2, FALSE)</f>
        <v>Obesity</v>
      </c>
      <c r="K1511" t="str">
        <f>VLOOKUP($A1511, 'Medical Examinations'!A:D, 4, FALSE)</f>
        <v>Normal</v>
      </c>
    </row>
    <row r="1512" spans="1:11" ht="15.5" x14ac:dyDescent="0.35">
      <c r="A1512" s="1" t="s">
        <v>860</v>
      </c>
      <c r="B1512" t="str">
        <f>VLOOKUP($A1512, 'Customer Names'!A:D, 3, FALSE)</f>
        <v>Collins</v>
      </c>
      <c r="C1512">
        <f>VLOOKUP($A1512,'Medical Examinations'!A:C, 3, FALSE)</f>
        <v>26.03</v>
      </c>
      <c r="D1512" t="str">
        <f>VLOOKUP($A1512, 'Medical Examinations'!A:D, 4, FALSE)</f>
        <v>Normal</v>
      </c>
      <c r="E1512" t="str">
        <f>VLOOKUP($A1512, 'Medical Examinations'!A:F, 6, FALSE)</f>
        <v>No</v>
      </c>
      <c r="F1512" t="str">
        <f>VLOOKUP($A1512, 'Medical Examinations'!A:G, 7, FALSE)</f>
        <v>No</v>
      </c>
      <c r="G1512" t="str">
        <f>VLOOKUP($A1512, 'Medical Examinations'!A:H, 8, FALSE)</f>
        <v>Yes</v>
      </c>
      <c r="H1512">
        <f>VLOOKUP($A1512, 'Medical Examinations'!A:J, 10, FALSE)</f>
        <v>1</v>
      </c>
      <c r="I1512" t="str">
        <f>VLOOKUP($A1512, 'Medical Examinations'!A:K, 11, FALSE)</f>
        <v>No</v>
      </c>
      <c r="J1512" t="str">
        <f>VLOOKUP($A1512, 'Medical Examinations'!A:B, 2, FALSE)</f>
        <v>Overweight</v>
      </c>
      <c r="K1512" t="str">
        <f>VLOOKUP($A1512, 'Medical Examinations'!A:D, 4, FALSE)</f>
        <v>Normal</v>
      </c>
    </row>
    <row r="1513" spans="1:11" ht="15.5" x14ac:dyDescent="0.35">
      <c r="A1513" s="1" t="s">
        <v>859</v>
      </c>
      <c r="B1513" t="str">
        <f>VLOOKUP($A1513, 'Customer Names'!A:D, 3, FALSE)</f>
        <v>Gillman</v>
      </c>
      <c r="C1513">
        <f>VLOOKUP($A1513,'Medical Examinations'!A:C, 3, FALSE)</f>
        <v>34.51</v>
      </c>
      <c r="D1513" t="str">
        <f>VLOOKUP($A1513, 'Medical Examinations'!A:D, 4, FALSE)</f>
        <v>Prediabetes</v>
      </c>
      <c r="E1513" t="str">
        <f>VLOOKUP($A1513, 'Medical Examinations'!A:F, 6, FALSE)</f>
        <v>No</v>
      </c>
      <c r="F1513" t="str">
        <f>VLOOKUP($A1513, 'Medical Examinations'!A:G, 7, FALSE)</f>
        <v>No</v>
      </c>
      <c r="G1513" t="str">
        <f>VLOOKUP($A1513, 'Medical Examinations'!A:H, 8, FALSE)</f>
        <v>No</v>
      </c>
      <c r="H1513" t="str">
        <f>VLOOKUP($A1513, 'Medical Examinations'!A:J, 10, FALSE)</f>
        <v>No major surgery</v>
      </c>
      <c r="I1513" t="str">
        <f>VLOOKUP($A1513, 'Medical Examinations'!A:K, 11, FALSE)</f>
        <v>No</v>
      </c>
      <c r="J1513" t="str">
        <f>VLOOKUP($A1513, 'Medical Examinations'!A:B, 2, FALSE)</f>
        <v>Obesity</v>
      </c>
      <c r="K1513" t="str">
        <f>VLOOKUP($A1513, 'Medical Examinations'!A:D, 4, FALSE)</f>
        <v>Prediabetes</v>
      </c>
    </row>
    <row r="1514" spans="1:11" ht="15.5" x14ac:dyDescent="0.35">
      <c r="A1514" s="1" t="s">
        <v>858</v>
      </c>
      <c r="B1514" t="str">
        <f>VLOOKUP($A1514, 'Customer Names'!A:D, 3, FALSE)</f>
        <v>West</v>
      </c>
      <c r="C1514">
        <f>VLOOKUP($A1514,'Medical Examinations'!A:C, 3, FALSE)</f>
        <v>19.32</v>
      </c>
      <c r="D1514" t="str">
        <f>VLOOKUP($A1514, 'Medical Examinations'!A:D, 4, FALSE)</f>
        <v>Diabetes</v>
      </c>
      <c r="E1514" t="str">
        <f>VLOOKUP($A1514, 'Medical Examinations'!A:F, 6, FALSE)</f>
        <v>yes</v>
      </c>
      <c r="F1514" t="str">
        <f>VLOOKUP($A1514, 'Medical Examinations'!A:G, 7, FALSE)</f>
        <v>No</v>
      </c>
      <c r="G1514" t="str">
        <f>VLOOKUP($A1514, 'Medical Examinations'!A:H, 8, FALSE)</f>
        <v>No</v>
      </c>
      <c r="H1514">
        <f>VLOOKUP($A1514, 'Medical Examinations'!A:J, 10, FALSE)</f>
        <v>1</v>
      </c>
      <c r="I1514" t="str">
        <f>VLOOKUP($A1514, 'Medical Examinations'!A:K, 11, FALSE)</f>
        <v>No</v>
      </c>
      <c r="J1514" t="str">
        <f>VLOOKUP($A1514, 'Medical Examinations'!A:B, 2, FALSE)</f>
        <v>Normal Weight</v>
      </c>
      <c r="K1514" t="str">
        <f>VLOOKUP($A1514, 'Medical Examinations'!A:D, 4, FALSE)</f>
        <v>Diabetes</v>
      </c>
    </row>
    <row r="1515" spans="1:11" ht="15.5" x14ac:dyDescent="0.35">
      <c r="A1515" s="1" t="s">
        <v>857</v>
      </c>
      <c r="B1515" t="str">
        <f>VLOOKUP($A1515, 'Customer Names'!A:D, 3, FALSE)</f>
        <v>Chida</v>
      </c>
      <c r="C1515">
        <f>VLOOKUP($A1515,'Medical Examinations'!A:C, 3, FALSE)</f>
        <v>28.5</v>
      </c>
      <c r="D1515" t="str">
        <f>VLOOKUP($A1515, 'Medical Examinations'!A:D, 4, FALSE)</f>
        <v>Normal</v>
      </c>
      <c r="E1515" t="str">
        <f>VLOOKUP($A1515, 'Medical Examinations'!A:F, 6, FALSE)</f>
        <v>No</v>
      </c>
      <c r="F1515" t="str">
        <f>VLOOKUP($A1515, 'Medical Examinations'!A:G, 7, FALSE)</f>
        <v>No</v>
      </c>
      <c r="G1515" t="str">
        <f>VLOOKUP($A1515, 'Medical Examinations'!A:H, 8, FALSE)</f>
        <v>No</v>
      </c>
      <c r="H1515" t="str">
        <f>VLOOKUP($A1515, 'Medical Examinations'!A:J, 10, FALSE)</f>
        <v>No major surgery</v>
      </c>
      <c r="I1515" t="str">
        <f>VLOOKUP($A1515, 'Medical Examinations'!A:K, 11, FALSE)</f>
        <v>No</v>
      </c>
      <c r="J1515" t="str">
        <f>VLOOKUP($A1515, 'Medical Examinations'!A:B, 2, FALSE)</f>
        <v>Overweight</v>
      </c>
      <c r="K1515" t="str">
        <f>VLOOKUP($A1515, 'Medical Examinations'!A:D, 4, FALSE)</f>
        <v>Normal</v>
      </c>
    </row>
    <row r="1516" spans="1:11" ht="15.5" x14ac:dyDescent="0.35">
      <c r="A1516" s="1" t="s">
        <v>856</v>
      </c>
      <c r="B1516" t="str">
        <f>VLOOKUP($A1516, 'Customer Names'!A:D, 3, FALSE)</f>
        <v>Reisenauer</v>
      </c>
      <c r="C1516">
        <f>VLOOKUP($A1516,'Medical Examinations'!A:C, 3, FALSE)</f>
        <v>30.875</v>
      </c>
      <c r="D1516" t="str">
        <f>VLOOKUP($A1516, 'Medical Examinations'!A:D, 4, FALSE)</f>
        <v>Normal</v>
      </c>
      <c r="E1516" t="str">
        <f>VLOOKUP($A1516, 'Medical Examinations'!A:F, 6, FALSE)</f>
        <v>yes</v>
      </c>
      <c r="F1516" t="str">
        <f>VLOOKUP($A1516, 'Medical Examinations'!A:G, 7, FALSE)</f>
        <v>No</v>
      </c>
      <c r="G1516" t="str">
        <f>VLOOKUP($A1516, 'Medical Examinations'!A:H, 8, FALSE)</f>
        <v>No</v>
      </c>
      <c r="H1516" t="str">
        <f>VLOOKUP($A1516, 'Medical Examinations'!A:J, 10, FALSE)</f>
        <v>No major surgery</v>
      </c>
      <c r="I1516" t="str">
        <f>VLOOKUP($A1516, 'Medical Examinations'!A:K, 11, FALSE)</f>
        <v>No</v>
      </c>
      <c r="J1516" t="str">
        <f>VLOOKUP($A1516, 'Medical Examinations'!A:B, 2, FALSE)</f>
        <v>Obesity</v>
      </c>
      <c r="K1516" t="str">
        <f>VLOOKUP($A1516, 'Medical Examinations'!A:D, 4, FALSE)</f>
        <v>Normal</v>
      </c>
    </row>
    <row r="1517" spans="1:11" ht="15.5" x14ac:dyDescent="0.35">
      <c r="A1517" s="1" t="s">
        <v>855</v>
      </c>
      <c r="B1517" t="str">
        <f>VLOOKUP($A1517, 'Customer Names'!A:D, 3, FALSE)</f>
        <v>Rosenberg-Wohl</v>
      </c>
      <c r="C1517">
        <f>VLOOKUP($A1517,'Medical Examinations'!A:C, 3, FALSE)</f>
        <v>24.02</v>
      </c>
      <c r="D1517" t="str">
        <f>VLOOKUP($A1517, 'Medical Examinations'!A:D, 4, FALSE)</f>
        <v>Normal</v>
      </c>
      <c r="E1517" t="str">
        <f>VLOOKUP($A1517, 'Medical Examinations'!A:F, 6, FALSE)</f>
        <v>No</v>
      </c>
      <c r="F1517" t="str">
        <f>VLOOKUP($A1517, 'Medical Examinations'!A:G, 7, FALSE)</f>
        <v>No</v>
      </c>
      <c r="G1517" t="str">
        <f>VLOOKUP($A1517, 'Medical Examinations'!A:H, 8, FALSE)</f>
        <v>No</v>
      </c>
      <c r="H1517" t="str">
        <f>VLOOKUP($A1517, 'Medical Examinations'!A:J, 10, FALSE)</f>
        <v>No major surgery</v>
      </c>
      <c r="I1517" t="str">
        <f>VLOOKUP($A1517, 'Medical Examinations'!A:K, 11, FALSE)</f>
        <v>No</v>
      </c>
      <c r="J1517" t="str">
        <f>VLOOKUP($A1517, 'Medical Examinations'!A:B, 2, FALSE)</f>
        <v>Normal Weight</v>
      </c>
      <c r="K1517" t="str">
        <f>VLOOKUP($A1517, 'Medical Examinations'!A:D, 4, FALSE)</f>
        <v>Normal</v>
      </c>
    </row>
    <row r="1518" spans="1:11" ht="15.5" x14ac:dyDescent="0.35">
      <c r="A1518" s="1" t="s">
        <v>854</v>
      </c>
      <c r="B1518" t="str">
        <f>VLOOKUP($A1518, 'Customer Names'!A:D, 3, FALSE)</f>
        <v>Theriault</v>
      </c>
      <c r="C1518">
        <f>VLOOKUP($A1518,'Medical Examinations'!A:C, 3, FALSE)</f>
        <v>36.08</v>
      </c>
      <c r="D1518" t="str">
        <f>VLOOKUP($A1518, 'Medical Examinations'!A:D, 4, FALSE)</f>
        <v>Diabetes</v>
      </c>
      <c r="E1518" t="str">
        <f>VLOOKUP($A1518, 'Medical Examinations'!A:F, 6, FALSE)</f>
        <v>yes</v>
      </c>
      <c r="F1518" t="str">
        <f>VLOOKUP($A1518, 'Medical Examinations'!A:G, 7, FALSE)</f>
        <v>No</v>
      </c>
      <c r="G1518" t="str">
        <f>VLOOKUP($A1518, 'Medical Examinations'!A:H, 8, FALSE)</f>
        <v>No</v>
      </c>
      <c r="H1518" t="str">
        <f>VLOOKUP($A1518, 'Medical Examinations'!A:J, 10, FALSE)</f>
        <v>No major surgery</v>
      </c>
      <c r="I1518" t="str">
        <f>VLOOKUP($A1518, 'Medical Examinations'!A:K, 11, FALSE)</f>
        <v>No</v>
      </c>
      <c r="J1518" t="str">
        <f>VLOOKUP($A1518, 'Medical Examinations'!A:B, 2, FALSE)</f>
        <v>Obesity</v>
      </c>
      <c r="K1518" t="str">
        <f>VLOOKUP($A1518, 'Medical Examinations'!A:D, 4, FALSE)</f>
        <v>Diabetes</v>
      </c>
    </row>
    <row r="1519" spans="1:11" ht="15.5" x14ac:dyDescent="0.35">
      <c r="A1519" s="1" t="s">
        <v>853</v>
      </c>
      <c r="B1519" t="str">
        <f>VLOOKUP($A1519, 'Customer Names'!A:D, 3, FALSE)</f>
        <v>Manuel</v>
      </c>
      <c r="C1519">
        <f>VLOOKUP($A1519,'Medical Examinations'!A:C, 3, FALSE)</f>
        <v>32.200000000000003</v>
      </c>
      <c r="D1519" t="str">
        <f>VLOOKUP($A1519, 'Medical Examinations'!A:D, 4, FALSE)</f>
        <v>Diabetes</v>
      </c>
      <c r="E1519" t="str">
        <f>VLOOKUP($A1519, 'Medical Examinations'!A:F, 6, FALSE)</f>
        <v>yes</v>
      </c>
      <c r="F1519" t="str">
        <f>VLOOKUP($A1519, 'Medical Examinations'!A:G, 7, FALSE)</f>
        <v>No</v>
      </c>
      <c r="G1519" t="str">
        <f>VLOOKUP($A1519, 'Medical Examinations'!A:H, 8, FALSE)</f>
        <v>No</v>
      </c>
      <c r="H1519" t="str">
        <f>VLOOKUP($A1519, 'Medical Examinations'!A:J, 10, FALSE)</f>
        <v>No major surgery</v>
      </c>
      <c r="I1519" t="str">
        <f>VLOOKUP($A1519, 'Medical Examinations'!A:K, 11, FALSE)</f>
        <v>No</v>
      </c>
      <c r="J1519" t="str">
        <f>VLOOKUP($A1519, 'Medical Examinations'!A:B, 2, FALSE)</f>
        <v>Obesity</v>
      </c>
      <c r="K1519" t="str">
        <f>VLOOKUP($A1519, 'Medical Examinations'!A:D, 4, FALSE)</f>
        <v>Diabetes</v>
      </c>
    </row>
    <row r="1520" spans="1:11" ht="15.5" x14ac:dyDescent="0.35">
      <c r="A1520" s="1" t="s">
        <v>852</v>
      </c>
      <c r="B1520" t="str">
        <f>VLOOKUP($A1520, 'Customer Names'!A:D, 3, FALSE)</f>
        <v>Demko</v>
      </c>
      <c r="C1520">
        <f>VLOOKUP($A1520,'Medical Examinations'!A:C, 3, FALSE)</f>
        <v>28.05</v>
      </c>
      <c r="D1520" t="str">
        <f>VLOOKUP($A1520, 'Medical Examinations'!A:D, 4, FALSE)</f>
        <v>Diabetes</v>
      </c>
      <c r="E1520" t="str">
        <f>VLOOKUP($A1520, 'Medical Examinations'!A:F, 6, FALSE)</f>
        <v>yes</v>
      </c>
      <c r="F1520" t="str">
        <f>VLOOKUP($A1520, 'Medical Examinations'!A:G, 7, FALSE)</f>
        <v>No</v>
      </c>
      <c r="G1520" t="str">
        <f>VLOOKUP($A1520, 'Medical Examinations'!A:H, 8, FALSE)</f>
        <v>No</v>
      </c>
      <c r="H1520" t="str">
        <f>VLOOKUP($A1520, 'Medical Examinations'!A:J, 10, FALSE)</f>
        <v>No major surgery</v>
      </c>
      <c r="I1520" t="str">
        <f>VLOOKUP($A1520, 'Medical Examinations'!A:K, 11, FALSE)</f>
        <v>No</v>
      </c>
      <c r="J1520" t="str">
        <f>VLOOKUP($A1520, 'Medical Examinations'!A:B, 2, FALSE)</f>
        <v>Overweight</v>
      </c>
      <c r="K1520" t="str">
        <f>VLOOKUP($A1520, 'Medical Examinations'!A:D, 4, FALSE)</f>
        <v>Diabetes</v>
      </c>
    </row>
    <row r="1521" spans="1:11" ht="15.5" x14ac:dyDescent="0.35">
      <c r="A1521" s="1" t="s">
        <v>851</v>
      </c>
      <c r="B1521" t="str">
        <f>VLOOKUP($A1521, 'Customer Names'!A:D, 3, FALSE)</f>
        <v>Battaglia</v>
      </c>
      <c r="C1521">
        <f>VLOOKUP($A1521,'Medical Examinations'!A:C, 3, FALSE)</f>
        <v>19</v>
      </c>
      <c r="D1521" t="str">
        <f>VLOOKUP($A1521, 'Medical Examinations'!A:D, 4, FALSE)</f>
        <v>Normal</v>
      </c>
      <c r="E1521" t="str">
        <f>VLOOKUP($A1521, 'Medical Examinations'!A:F, 6, FALSE)</f>
        <v>yes</v>
      </c>
      <c r="F1521" t="str">
        <f>VLOOKUP($A1521, 'Medical Examinations'!A:G, 7, FALSE)</f>
        <v>No</v>
      </c>
      <c r="G1521" t="str">
        <f>VLOOKUP($A1521, 'Medical Examinations'!A:H, 8, FALSE)</f>
        <v>No</v>
      </c>
      <c r="H1521">
        <f>VLOOKUP($A1521, 'Medical Examinations'!A:J, 10, FALSE)</f>
        <v>1</v>
      </c>
      <c r="I1521" t="str">
        <f>VLOOKUP($A1521, 'Medical Examinations'!A:K, 11, FALSE)</f>
        <v>No</v>
      </c>
      <c r="J1521" t="str">
        <f>VLOOKUP($A1521, 'Medical Examinations'!A:B, 2, FALSE)</f>
        <v>Normal Weight</v>
      </c>
      <c r="K1521" t="str">
        <f>VLOOKUP($A1521, 'Medical Examinations'!A:D, 4, FALSE)</f>
        <v>Normal</v>
      </c>
    </row>
    <row r="1522" spans="1:11" ht="15.5" x14ac:dyDescent="0.35">
      <c r="A1522" s="1" t="s">
        <v>850</v>
      </c>
      <c r="B1522" t="str">
        <f>VLOOKUP($A1522, 'Customer Names'!A:D, 3, FALSE)</f>
        <v>Follo</v>
      </c>
      <c r="C1522">
        <f>VLOOKUP($A1522,'Medical Examinations'!A:C, 3, FALSE)</f>
        <v>16.13</v>
      </c>
      <c r="D1522" t="str">
        <f>VLOOKUP($A1522, 'Medical Examinations'!A:D, 4, FALSE)</f>
        <v>Normal</v>
      </c>
      <c r="E1522" t="str">
        <f>VLOOKUP($A1522, 'Medical Examinations'!A:F, 6, FALSE)</f>
        <v>yes</v>
      </c>
      <c r="F1522" t="str">
        <f>VLOOKUP($A1522, 'Medical Examinations'!A:G, 7, FALSE)</f>
        <v>No</v>
      </c>
      <c r="G1522" t="str">
        <f>VLOOKUP($A1522, 'Medical Examinations'!A:H, 8, FALSE)</f>
        <v>No</v>
      </c>
      <c r="H1522">
        <f>VLOOKUP($A1522, 'Medical Examinations'!A:J, 10, FALSE)</f>
        <v>2</v>
      </c>
      <c r="I1522" t="str">
        <f>VLOOKUP($A1522, 'Medical Examinations'!A:K, 11, FALSE)</f>
        <v>No</v>
      </c>
      <c r="J1522" t="str">
        <f>VLOOKUP($A1522, 'Medical Examinations'!A:B, 2, FALSE)</f>
        <v>Underweight</v>
      </c>
      <c r="K1522" t="str">
        <f>VLOOKUP($A1522, 'Medical Examinations'!A:D, 4, FALSE)</f>
        <v>Normal</v>
      </c>
    </row>
    <row r="1523" spans="1:11" ht="15.5" x14ac:dyDescent="0.35">
      <c r="A1523" s="1" t="s">
        <v>849</v>
      </c>
      <c r="B1523" t="str">
        <f>VLOOKUP($A1523, 'Customer Names'!A:D, 3, FALSE)</f>
        <v>Barana</v>
      </c>
      <c r="C1523">
        <f>VLOOKUP($A1523,'Medical Examinations'!A:C, 3, FALSE)</f>
        <v>18.77</v>
      </c>
      <c r="D1523" t="str">
        <f>VLOOKUP($A1523, 'Medical Examinations'!A:D, 4, FALSE)</f>
        <v>Diabetes</v>
      </c>
      <c r="E1523" t="str">
        <f>VLOOKUP($A1523, 'Medical Examinations'!A:F, 6, FALSE)</f>
        <v>yes</v>
      </c>
      <c r="F1523" t="str">
        <f>VLOOKUP($A1523, 'Medical Examinations'!A:G, 7, FALSE)</f>
        <v>No</v>
      </c>
      <c r="G1523" t="str">
        <f>VLOOKUP($A1523, 'Medical Examinations'!A:H, 8, FALSE)</f>
        <v>No</v>
      </c>
      <c r="H1523">
        <f>VLOOKUP($A1523, 'Medical Examinations'!A:J, 10, FALSE)</f>
        <v>2</v>
      </c>
      <c r="I1523" t="str">
        <f>VLOOKUP($A1523, 'Medical Examinations'!A:K, 11, FALSE)</f>
        <v>No</v>
      </c>
      <c r="J1523" t="str">
        <f>VLOOKUP($A1523, 'Medical Examinations'!A:B, 2, FALSE)</f>
        <v>Normal Weight</v>
      </c>
      <c r="K1523" t="str">
        <f>VLOOKUP($A1523, 'Medical Examinations'!A:D, 4, FALSE)</f>
        <v>Diabetes</v>
      </c>
    </row>
    <row r="1524" spans="1:11" ht="15.5" x14ac:dyDescent="0.35">
      <c r="A1524" s="1" t="s">
        <v>848</v>
      </c>
      <c r="B1524" t="str">
        <f>VLOOKUP($A1524, 'Customer Names'!A:D, 3, FALSE)</f>
        <v>Lysaght</v>
      </c>
      <c r="C1524">
        <f>VLOOKUP($A1524,'Medical Examinations'!A:C, 3, FALSE)</f>
        <v>28.88</v>
      </c>
      <c r="D1524" t="str">
        <f>VLOOKUP($A1524, 'Medical Examinations'!A:D, 4, FALSE)</f>
        <v>Diabetes</v>
      </c>
      <c r="E1524" t="str">
        <f>VLOOKUP($A1524, 'Medical Examinations'!A:F, 6, FALSE)</f>
        <v>yes</v>
      </c>
      <c r="F1524" t="str">
        <f>VLOOKUP($A1524, 'Medical Examinations'!A:G, 7, FALSE)</f>
        <v>No</v>
      </c>
      <c r="G1524" t="str">
        <f>VLOOKUP($A1524, 'Medical Examinations'!A:H, 8, FALSE)</f>
        <v>No</v>
      </c>
      <c r="H1524">
        <f>VLOOKUP($A1524, 'Medical Examinations'!A:J, 10, FALSE)</f>
        <v>1</v>
      </c>
      <c r="I1524" t="str">
        <f>VLOOKUP($A1524, 'Medical Examinations'!A:K, 11, FALSE)</f>
        <v>No</v>
      </c>
      <c r="J1524" t="str">
        <f>VLOOKUP($A1524, 'Medical Examinations'!A:B, 2, FALSE)</f>
        <v>Overweight</v>
      </c>
      <c r="K1524" t="str">
        <f>VLOOKUP($A1524, 'Medical Examinations'!A:D, 4, FALSE)</f>
        <v>Diabetes</v>
      </c>
    </row>
    <row r="1525" spans="1:11" ht="15.5" x14ac:dyDescent="0.35">
      <c r="A1525" s="1" t="s">
        <v>847</v>
      </c>
      <c r="B1525" t="str">
        <f>VLOOKUP($A1525, 'Customer Names'!A:D, 3, FALSE)</f>
        <v>Chalmers</v>
      </c>
      <c r="C1525">
        <f>VLOOKUP($A1525,'Medical Examinations'!A:C, 3, FALSE)</f>
        <v>27.55</v>
      </c>
      <c r="D1525" t="str">
        <f>VLOOKUP($A1525, 'Medical Examinations'!A:D, 4, FALSE)</f>
        <v>Diabetes</v>
      </c>
      <c r="E1525" t="str">
        <f>VLOOKUP($A1525, 'Medical Examinations'!A:F, 6, FALSE)</f>
        <v>yes</v>
      </c>
      <c r="F1525" t="str">
        <f>VLOOKUP($A1525, 'Medical Examinations'!A:G, 7, FALSE)</f>
        <v>No</v>
      </c>
      <c r="G1525" t="str">
        <f>VLOOKUP($A1525, 'Medical Examinations'!A:H, 8, FALSE)</f>
        <v>No</v>
      </c>
      <c r="H1525">
        <f>VLOOKUP($A1525, 'Medical Examinations'!A:J, 10, FALSE)</f>
        <v>1</v>
      </c>
      <c r="I1525" t="str">
        <f>VLOOKUP($A1525, 'Medical Examinations'!A:K, 11, FALSE)</f>
        <v>No</v>
      </c>
      <c r="J1525" t="str">
        <f>VLOOKUP($A1525, 'Medical Examinations'!A:B, 2, FALSE)</f>
        <v>Overweight</v>
      </c>
      <c r="K1525" t="str">
        <f>VLOOKUP($A1525, 'Medical Examinations'!A:D, 4, FALSE)</f>
        <v>Diabetes</v>
      </c>
    </row>
    <row r="1526" spans="1:11" ht="15.5" x14ac:dyDescent="0.35">
      <c r="A1526" s="1" t="s">
        <v>846</v>
      </c>
      <c r="B1526" t="str">
        <f>VLOOKUP($A1526, 'Customer Names'!A:D, 3, FALSE)</f>
        <v>Phillippi</v>
      </c>
      <c r="C1526">
        <f>VLOOKUP($A1526,'Medical Examinations'!A:C, 3, FALSE)</f>
        <v>15.6</v>
      </c>
      <c r="D1526" t="str">
        <f>VLOOKUP($A1526, 'Medical Examinations'!A:D, 4, FALSE)</f>
        <v>Diabetes</v>
      </c>
      <c r="E1526" t="str">
        <f>VLOOKUP($A1526, 'Medical Examinations'!A:F, 6, FALSE)</f>
        <v>No</v>
      </c>
      <c r="F1526" t="str">
        <f>VLOOKUP($A1526, 'Medical Examinations'!A:G, 7, FALSE)</f>
        <v>No</v>
      </c>
      <c r="G1526" t="str">
        <f>VLOOKUP($A1526, 'Medical Examinations'!A:H, 8, FALSE)</f>
        <v>No</v>
      </c>
      <c r="H1526" t="str">
        <f>VLOOKUP($A1526, 'Medical Examinations'!A:J, 10, FALSE)</f>
        <v>No major surgery</v>
      </c>
      <c r="I1526" t="str">
        <f>VLOOKUP($A1526, 'Medical Examinations'!A:K, 11, FALSE)</f>
        <v>No</v>
      </c>
      <c r="J1526" t="str">
        <f>VLOOKUP($A1526, 'Medical Examinations'!A:B, 2, FALSE)</f>
        <v>Underweight</v>
      </c>
      <c r="K1526" t="str">
        <f>VLOOKUP($A1526, 'Medical Examinations'!A:D, 4, FALSE)</f>
        <v>Diabetes</v>
      </c>
    </row>
    <row r="1527" spans="1:11" ht="15.5" x14ac:dyDescent="0.35">
      <c r="A1527" s="1" t="s">
        <v>845</v>
      </c>
      <c r="B1527" t="str">
        <f>VLOOKUP($A1527, 'Customer Names'!A:D, 3, FALSE)</f>
        <v>MacPherson</v>
      </c>
      <c r="C1527">
        <f>VLOOKUP($A1527,'Medical Examinations'!A:C, 3, FALSE)</f>
        <v>21.99</v>
      </c>
      <c r="D1527" t="str">
        <f>VLOOKUP($A1527, 'Medical Examinations'!A:D, 4, FALSE)</f>
        <v>Diabetes</v>
      </c>
      <c r="E1527" t="str">
        <f>VLOOKUP($A1527, 'Medical Examinations'!A:F, 6, FALSE)</f>
        <v>No</v>
      </c>
      <c r="F1527" t="str">
        <f>VLOOKUP($A1527, 'Medical Examinations'!A:G, 7, FALSE)</f>
        <v>No</v>
      </c>
      <c r="G1527" t="str">
        <f>VLOOKUP($A1527, 'Medical Examinations'!A:H, 8, FALSE)</f>
        <v>No</v>
      </c>
      <c r="H1527" t="str">
        <f>VLOOKUP($A1527, 'Medical Examinations'!A:J, 10, FALSE)</f>
        <v>No major surgery</v>
      </c>
      <c r="I1527" t="str">
        <f>VLOOKUP($A1527, 'Medical Examinations'!A:K, 11, FALSE)</f>
        <v>No</v>
      </c>
      <c r="J1527" t="str">
        <f>VLOOKUP($A1527, 'Medical Examinations'!A:B, 2, FALSE)</f>
        <v>Normal Weight</v>
      </c>
      <c r="K1527" t="str">
        <f>VLOOKUP($A1527, 'Medical Examinations'!A:D, 4, FALSE)</f>
        <v>Diabetes</v>
      </c>
    </row>
    <row r="1528" spans="1:11" ht="15.5" x14ac:dyDescent="0.35">
      <c r="A1528" s="1" t="s">
        <v>844</v>
      </c>
      <c r="B1528" t="str">
        <f>VLOOKUP($A1528, 'Customer Names'!A:D, 3, FALSE)</f>
        <v>Delfidio</v>
      </c>
      <c r="C1528">
        <f>VLOOKUP($A1528,'Medical Examinations'!A:C, 3, FALSE)</f>
        <v>34.85</v>
      </c>
      <c r="D1528" t="str">
        <f>VLOOKUP($A1528, 'Medical Examinations'!A:D, 4, FALSE)</f>
        <v>Prediabetes</v>
      </c>
      <c r="E1528" t="str">
        <f>VLOOKUP($A1528, 'Medical Examinations'!A:F, 6, FALSE)</f>
        <v>No</v>
      </c>
      <c r="F1528" t="str">
        <f>VLOOKUP($A1528, 'Medical Examinations'!A:G, 7, FALSE)</f>
        <v>No</v>
      </c>
      <c r="G1528" t="str">
        <f>VLOOKUP($A1528, 'Medical Examinations'!A:H, 8, FALSE)</f>
        <v>No</v>
      </c>
      <c r="H1528" t="str">
        <f>VLOOKUP($A1528, 'Medical Examinations'!A:J, 10, FALSE)</f>
        <v>No major surgery</v>
      </c>
      <c r="I1528" t="str">
        <f>VLOOKUP($A1528, 'Medical Examinations'!A:K, 11, FALSE)</f>
        <v>No</v>
      </c>
      <c r="J1528" t="str">
        <f>VLOOKUP($A1528, 'Medical Examinations'!A:B, 2, FALSE)</f>
        <v>Obesity</v>
      </c>
      <c r="K1528" t="str">
        <f>VLOOKUP($A1528, 'Medical Examinations'!A:D, 4, FALSE)</f>
        <v>Prediabetes</v>
      </c>
    </row>
    <row r="1529" spans="1:11" ht="15.5" x14ac:dyDescent="0.35">
      <c r="A1529" s="1" t="s">
        <v>843</v>
      </c>
      <c r="B1529" t="str">
        <f>VLOOKUP($A1529, 'Customer Names'!A:D, 3, FALSE)</f>
        <v>Cummings</v>
      </c>
      <c r="C1529">
        <f>VLOOKUP($A1529,'Medical Examinations'!A:C, 3, FALSE)</f>
        <v>24.51</v>
      </c>
      <c r="D1529" t="str">
        <f>VLOOKUP($A1529, 'Medical Examinations'!A:D, 4, FALSE)</f>
        <v>Normal</v>
      </c>
      <c r="E1529" t="str">
        <f>VLOOKUP($A1529, 'Medical Examinations'!A:F, 6, FALSE)</f>
        <v>yes</v>
      </c>
      <c r="F1529" t="str">
        <f>VLOOKUP($A1529, 'Medical Examinations'!A:G, 7, FALSE)</f>
        <v>No</v>
      </c>
      <c r="G1529" t="str">
        <f>VLOOKUP($A1529, 'Medical Examinations'!A:H, 8, FALSE)</f>
        <v>Yes</v>
      </c>
      <c r="H1529">
        <f>VLOOKUP($A1529, 'Medical Examinations'!A:J, 10, FALSE)</f>
        <v>1</v>
      </c>
      <c r="I1529" t="str">
        <f>VLOOKUP($A1529, 'Medical Examinations'!A:K, 11, FALSE)</f>
        <v>No</v>
      </c>
      <c r="J1529" t="str">
        <f>VLOOKUP($A1529, 'Medical Examinations'!A:B, 2, FALSE)</f>
        <v>Normal Weight</v>
      </c>
      <c r="K1529" t="str">
        <f>VLOOKUP($A1529, 'Medical Examinations'!A:D, 4, FALSE)</f>
        <v>Normal</v>
      </c>
    </row>
    <row r="1530" spans="1:11" ht="15.5" x14ac:dyDescent="0.35">
      <c r="A1530" s="1" t="s">
        <v>842</v>
      </c>
      <c r="B1530" t="str">
        <f>VLOOKUP($A1530, 'Customer Names'!A:D, 3, FALSE)</f>
        <v>Schroegel</v>
      </c>
      <c r="C1530">
        <f>VLOOKUP($A1530,'Medical Examinations'!A:C, 3, FALSE)</f>
        <v>19.399999999999999</v>
      </c>
      <c r="D1530" t="str">
        <f>VLOOKUP($A1530, 'Medical Examinations'!A:D, 4, FALSE)</f>
        <v>Diabetes</v>
      </c>
      <c r="E1530" t="str">
        <f>VLOOKUP($A1530, 'Medical Examinations'!A:F, 6, FALSE)</f>
        <v>No</v>
      </c>
      <c r="F1530" t="str">
        <f>VLOOKUP($A1530, 'Medical Examinations'!A:G, 7, FALSE)</f>
        <v>No</v>
      </c>
      <c r="G1530" t="str">
        <f>VLOOKUP($A1530, 'Medical Examinations'!A:H, 8, FALSE)</f>
        <v>No</v>
      </c>
      <c r="H1530" t="str">
        <f>VLOOKUP($A1530, 'Medical Examinations'!A:J, 10, FALSE)</f>
        <v>No major surgery</v>
      </c>
      <c r="I1530" t="str">
        <f>VLOOKUP($A1530, 'Medical Examinations'!A:K, 11, FALSE)</f>
        <v>No</v>
      </c>
      <c r="J1530" t="str">
        <f>VLOOKUP($A1530, 'Medical Examinations'!A:B, 2, FALSE)</f>
        <v>Normal Weight</v>
      </c>
      <c r="K1530" t="str">
        <f>VLOOKUP($A1530, 'Medical Examinations'!A:D, 4, FALSE)</f>
        <v>Diabetes</v>
      </c>
    </row>
    <row r="1531" spans="1:11" ht="15.5" x14ac:dyDescent="0.35">
      <c r="A1531" s="1" t="s">
        <v>841</v>
      </c>
      <c r="B1531" t="str">
        <f>VLOOKUP($A1531, 'Customer Names'!A:D, 3, FALSE)</f>
        <v>Williams</v>
      </c>
      <c r="C1531">
        <f>VLOOKUP($A1531,'Medical Examinations'!A:C, 3, FALSE)</f>
        <v>15.1</v>
      </c>
      <c r="D1531" t="str">
        <f>VLOOKUP($A1531, 'Medical Examinations'!A:D, 4, FALSE)</f>
        <v>Diabetes</v>
      </c>
      <c r="E1531" t="str">
        <f>VLOOKUP($A1531, 'Medical Examinations'!A:F, 6, FALSE)</f>
        <v>No</v>
      </c>
      <c r="F1531" t="str">
        <f>VLOOKUP($A1531, 'Medical Examinations'!A:G, 7, FALSE)</f>
        <v>No</v>
      </c>
      <c r="G1531" t="str">
        <f>VLOOKUP($A1531, 'Medical Examinations'!A:H, 8, FALSE)</f>
        <v>No</v>
      </c>
      <c r="H1531" t="str">
        <f>VLOOKUP($A1531, 'Medical Examinations'!A:J, 10, FALSE)</f>
        <v>No major surgery</v>
      </c>
      <c r="I1531" t="str">
        <f>VLOOKUP($A1531, 'Medical Examinations'!A:K, 11, FALSE)</f>
        <v>No</v>
      </c>
      <c r="J1531" t="str">
        <f>VLOOKUP($A1531, 'Medical Examinations'!A:B, 2, FALSE)</f>
        <v>Underweight</v>
      </c>
      <c r="K1531" t="str">
        <f>VLOOKUP($A1531, 'Medical Examinations'!A:D, 4, FALSE)</f>
        <v>Diabetes</v>
      </c>
    </row>
    <row r="1532" spans="1:11" ht="15.5" x14ac:dyDescent="0.35">
      <c r="A1532" s="1" t="s">
        <v>840</v>
      </c>
      <c r="B1532" t="str">
        <f>VLOOKUP($A1532, 'Customer Names'!A:D, 3, FALSE)</f>
        <v>Casey</v>
      </c>
      <c r="C1532">
        <f>VLOOKUP($A1532,'Medical Examinations'!A:C, 3, FALSE)</f>
        <v>23.37</v>
      </c>
      <c r="D1532" t="str">
        <f>VLOOKUP($A1532, 'Medical Examinations'!A:D, 4, FALSE)</f>
        <v>Normal</v>
      </c>
      <c r="E1532" t="str">
        <f>VLOOKUP($A1532, 'Medical Examinations'!A:F, 6, FALSE)</f>
        <v>yes</v>
      </c>
      <c r="F1532" t="str">
        <f>VLOOKUP($A1532, 'Medical Examinations'!A:G, 7, FALSE)</f>
        <v>No</v>
      </c>
      <c r="G1532" t="str">
        <f>VLOOKUP($A1532, 'Medical Examinations'!A:H, 8, FALSE)</f>
        <v>No</v>
      </c>
      <c r="H1532" t="str">
        <f>VLOOKUP($A1532, 'Medical Examinations'!A:J, 10, FALSE)</f>
        <v>No major surgery</v>
      </c>
      <c r="I1532" t="str">
        <f>VLOOKUP($A1532, 'Medical Examinations'!A:K, 11, FALSE)</f>
        <v>No</v>
      </c>
      <c r="J1532" t="str">
        <f>VLOOKUP($A1532, 'Medical Examinations'!A:B, 2, FALSE)</f>
        <v>Normal Weight</v>
      </c>
      <c r="K1532" t="str">
        <f>VLOOKUP($A1532, 'Medical Examinations'!A:D, 4, FALSE)</f>
        <v>Normal</v>
      </c>
    </row>
    <row r="1533" spans="1:11" ht="15.5" x14ac:dyDescent="0.35">
      <c r="A1533" s="1" t="s">
        <v>839</v>
      </c>
      <c r="B1533" t="str">
        <f>VLOOKUP($A1533, 'Customer Names'!A:D, 3, FALSE)</f>
        <v>Randall</v>
      </c>
      <c r="C1533">
        <f>VLOOKUP($A1533,'Medical Examinations'!A:C, 3, FALSE)</f>
        <v>42.4</v>
      </c>
      <c r="D1533" t="str">
        <f>VLOOKUP($A1533, 'Medical Examinations'!A:D, 4, FALSE)</f>
        <v>Normal</v>
      </c>
      <c r="E1533" t="str">
        <f>VLOOKUP($A1533, 'Medical Examinations'!A:F, 6, FALSE)</f>
        <v>No</v>
      </c>
      <c r="F1533" t="str">
        <f>VLOOKUP($A1533, 'Medical Examinations'!A:G, 7, FALSE)</f>
        <v>No</v>
      </c>
      <c r="G1533" t="str">
        <f>VLOOKUP($A1533, 'Medical Examinations'!A:H, 8, FALSE)</f>
        <v>No</v>
      </c>
      <c r="H1533" t="str">
        <f>VLOOKUP($A1533, 'Medical Examinations'!A:J, 10, FALSE)</f>
        <v>No major surgery</v>
      </c>
      <c r="I1533" t="str">
        <f>VLOOKUP($A1533, 'Medical Examinations'!A:K, 11, FALSE)</f>
        <v>No</v>
      </c>
      <c r="J1533" t="str">
        <f>VLOOKUP($A1533, 'Medical Examinations'!A:B, 2, FALSE)</f>
        <v>Obesity</v>
      </c>
      <c r="K1533" t="str">
        <f>VLOOKUP($A1533, 'Medical Examinations'!A:D, 4, FALSE)</f>
        <v>Normal</v>
      </c>
    </row>
    <row r="1534" spans="1:11" ht="15.5" x14ac:dyDescent="0.35">
      <c r="A1534" s="1" t="s">
        <v>838</v>
      </c>
      <c r="B1534" t="str">
        <f>VLOOKUP($A1534, 'Customer Names'!A:D, 3, FALSE)</f>
        <v>Doyon</v>
      </c>
      <c r="C1534">
        <f>VLOOKUP($A1534,'Medical Examinations'!A:C, 3, FALSE)</f>
        <v>28.405000000000001</v>
      </c>
      <c r="D1534" t="str">
        <f>VLOOKUP($A1534, 'Medical Examinations'!A:D, 4, FALSE)</f>
        <v>Diabetes</v>
      </c>
      <c r="E1534" t="str">
        <f>VLOOKUP($A1534, 'Medical Examinations'!A:F, 6, FALSE)</f>
        <v>yes</v>
      </c>
      <c r="F1534" t="str">
        <f>VLOOKUP($A1534, 'Medical Examinations'!A:G, 7, FALSE)</f>
        <v>No</v>
      </c>
      <c r="G1534" t="str">
        <f>VLOOKUP($A1534, 'Medical Examinations'!A:H, 8, FALSE)</f>
        <v>No</v>
      </c>
      <c r="H1534" t="str">
        <f>VLOOKUP($A1534, 'Medical Examinations'!A:J, 10, FALSE)</f>
        <v>No major surgery</v>
      </c>
      <c r="I1534" t="str">
        <f>VLOOKUP($A1534, 'Medical Examinations'!A:K, 11, FALSE)</f>
        <v>No</v>
      </c>
      <c r="J1534" t="str">
        <f>VLOOKUP($A1534, 'Medical Examinations'!A:B, 2, FALSE)</f>
        <v>Overweight</v>
      </c>
      <c r="K1534" t="str">
        <f>VLOOKUP($A1534, 'Medical Examinations'!A:D, 4, FALSE)</f>
        <v>Diabetes</v>
      </c>
    </row>
    <row r="1535" spans="1:11" ht="15.5" x14ac:dyDescent="0.35">
      <c r="A1535" s="1" t="s">
        <v>837</v>
      </c>
      <c r="B1535" t="str">
        <f>VLOOKUP($A1535, 'Customer Names'!A:D, 3, FALSE)</f>
        <v>Sankey</v>
      </c>
      <c r="C1535">
        <f>VLOOKUP($A1535,'Medical Examinations'!A:C, 3, FALSE)</f>
        <v>23.4</v>
      </c>
      <c r="D1535" t="str">
        <f>VLOOKUP($A1535, 'Medical Examinations'!A:D, 4, FALSE)</f>
        <v>Normal</v>
      </c>
      <c r="E1535" t="str">
        <f>VLOOKUP($A1535, 'Medical Examinations'!A:F, 6, FALSE)</f>
        <v>No</v>
      </c>
      <c r="F1535" t="str">
        <f>VLOOKUP($A1535, 'Medical Examinations'!A:G, 7, FALSE)</f>
        <v>No</v>
      </c>
      <c r="G1535" t="str">
        <f>VLOOKUP($A1535, 'Medical Examinations'!A:H, 8, FALSE)</f>
        <v>No</v>
      </c>
      <c r="H1535" t="str">
        <f>VLOOKUP($A1535, 'Medical Examinations'!A:J, 10, FALSE)</f>
        <v>No major surgery</v>
      </c>
      <c r="I1535" t="str">
        <f>VLOOKUP($A1535, 'Medical Examinations'!A:K, 11, FALSE)</f>
        <v>No</v>
      </c>
      <c r="J1535" t="str">
        <f>VLOOKUP($A1535, 'Medical Examinations'!A:B, 2, FALSE)</f>
        <v>Normal Weight</v>
      </c>
      <c r="K1535" t="str">
        <f>VLOOKUP($A1535, 'Medical Examinations'!A:D, 4, FALSE)</f>
        <v>Normal</v>
      </c>
    </row>
    <row r="1536" spans="1:11" ht="15.5" x14ac:dyDescent="0.35">
      <c r="A1536" s="1" t="s">
        <v>836</v>
      </c>
      <c r="B1536" t="str">
        <f>VLOOKUP($A1536, 'Customer Names'!A:D, 3, FALSE)</f>
        <v>Stilgenbauer</v>
      </c>
      <c r="C1536">
        <f>VLOOKUP($A1536,'Medical Examinations'!A:C, 3, FALSE)</f>
        <v>33.44</v>
      </c>
      <c r="D1536" t="str">
        <f>VLOOKUP($A1536, 'Medical Examinations'!A:D, 4, FALSE)</f>
        <v>Normal</v>
      </c>
      <c r="E1536" t="str">
        <f>VLOOKUP($A1536, 'Medical Examinations'!A:F, 6, FALSE)</f>
        <v>No</v>
      </c>
      <c r="F1536" t="str">
        <f>VLOOKUP($A1536, 'Medical Examinations'!A:G, 7, FALSE)</f>
        <v>No</v>
      </c>
      <c r="G1536" t="str">
        <f>VLOOKUP($A1536, 'Medical Examinations'!A:H, 8, FALSE)</f>
        <v>No</v>
      </c>
      <c r="H1536" t="str">
        <f>VLOOKUP($A1536, 'Medical Examinations'!A:J, 10, FALSE)</f>
        <v>No major surgery</v>
      </c>
      <c r="I1536" t="str">
        <f>VLOOKUP($A1536, 'Medical Examinations'!A:K, 11, FALSE)</f>
        <v>No</v>
      </c>
      <c r="J1536" t="str">
        <f>VLOOKUP($A1536, 'Medical Examinations'!A:B, 2, FALSE)</f>
        <v>Obesity</v>
      </c>
      <c r="K1536" t="str">
        <f>VLOOKUP($A1536, 'Medical Examinations'!A:D, 4, FALSE)</f>
        <v>Normal</v>
      </c>
    </row>
    <row r="1537" spans="1:11" ht="15.5" x14ac:dyDescent="0.35">
      <c r="A1537" s="1" t="s">
        <v>835</v>
      </c>
      <c r="B1537" t="str">
        <f>VLOOKUP($A1537, 'Customer Names'!A:D, 3, FALSE)</f>
        <v>Jaskiewicz</v>
      </c>
      <c r="C1537">
        <f>VLOOKUP($A1537,'Medical Examinations'!A:C, 3, FALSE)</f>
        <v>21.12</v>
      </c>
      <c r="D1537" t="str">
        <f>VLOOKUP($A1537, 'Medical Examinations'!A:D, 4, FALSE)</f>
        <v>Normal</v>
      </c>
      <c r="E1537" t="str">
        <f>VLOOKUP($A1537, 'Medical Examinations'!A:F, 6, FALSE)</f>
        <v>No</v>
      </c>
      <c r="F1537" t="str">
        <f>VLOOKUP($A1537, 'Medical Examinations'!A:G, 7, FALSE)</f>
        <v>No</v>
      </c>
      <c r="G1537" t="str">
        <f>VLOOKUP($A1537, 'Medical Examinations'!A:H, 8, FALSE)</f>
        <v>No</v>
      </c>
      <c r="H1537">
        <f>VLOOKUP($A1537, 'Medical Examinations'!A:J, 10, FALSE)</f>
        <v>1</v>
      </c>
      <c r="I1537" t="str">
        <f>VLOOKUP($A1537, 'Medical Examinations'!A:K, 11, FALSE)</f>
        <v>No</v>
      </c>
      <c r="J1537" t="str">
        <f>VLOOKUP($A1537, 'Medical Examinations'!A:B, 2, FALSE)</f>
        <v>Normal Weight</v>
      </c>
      <c r="K1537" t="str">
        <f>VLOOKUP($A1537, 'Medical Examinations'!A:D, 4, FALSE)</f>
        <v>Normal</v>
      </c>
    </row>
    <row r="1538" spans="1:11" ht="15.5" x14ac:dyDescent="0.35">
      <c r="A1538" s="1" t="s">
        <v>834</v>
      </c>
      <c r="B1538" t="str">
        <f>VLOOKUP($A1538, 'Customer Names'!A:D, 3, FALSE)</f>
        <v>Deppen</v>
      </c>
      <c r="C1538">
        <f>VLOOKUP($A1538,'Medical Examinations'!A:C, 3, FALSE)</f>
        <v>18.48</v>
      </c>
      <c r="D1538" t="str">
        <f>VLOOKUP($A1538, 'Medical Examinations'!A:D, 4, FALSE)</f>
        <v>Diabetes</v>
      </c>
      <c r="E1538" t="str">
        <f>VLOOKUP($A1538, 'Medical Examinations'!A:F, 6, FALSE)</f>
        <v>yes</v>
      </c>
      <c r="F1538" t="str">
        <f>VLOOKUP($A1538, 'Medical Examinations'!A:G, 7, FALSE)</f>
        <v>No</v>
      </c>
      <c r="G1538" t="str">
        <f>VLOOKUP($A1538, 'Medical Examinations'!A:H, 8, FALSE)</f>
        <v>No</v>
      </c>
      <c r="H1538">
        <f>VLOOKUP($A1538, 'Medical Examinations'!A:J, 10, FALSE)</f>
        <v>2</v>
      </c>
      <c r="I1538" t="str">
        <f>VLOOKUP($A1538, 'Medical Examinations'!A:K, 11, FALSE)</f>
        <v>No</v>
      </c>
      <c r="J1538" t="str">
        <f>VLOOKUP($A1538, 'Medical Examinations'!A:B, 2, FALSE)</f>
        <v>Underweight</v>
      </c>
      <c r="K1538" t="str">
        <f>VLOOKUP($A1538, 'Medical Examinations'!A:D, 4, FALSE)</f>
        <v>Diabetes</v>
      </c>
    </row>
    <row r="1539" spans="1:11" ht="15.5" x14ac:dyDescent="0.35">
      <c r="A1539" s="1" t="s">
        <v>833</v>
      </c>
      <c r="B1539" t="str">
        <f>VLOOKUP($A1539, 'Customer Names'!A:D, 3, FALSE)</f>
        <v>Hine</v>
      </c>
      <c r="C1539">
        <f>VLOOKUP($A1539,'Medical Examinations'!A:C, 3, FALSE)</f>
        <v>16.815000000000001</v>
      </c>
      <c r="D1539" t="str">
        <f>VLOOKUP($A1539, 'Medical Examinations'!A:D, 4, FALSE)</f>
        <v>Normal</v>
      </c>
      <c r="E1539" t="str">
        <f>VLOOKUP($A1539, 'Medical Examinations'!A:F, 6, FALSE)</f>
        <v>No</v>
      </c>
      <c r="F1539" t="str">
        <f>VLOOKUP($A1539, 'Medical Examinations'!A:G, 7, FALSE)</f>
        <v>No</v>
      </c>
      <c r="G1539" t="str">
        <f>VLOOKUP($A1539, 'Medical Examinations'!A:H, 8, FALSE)</f>
        <v>No</v>
      </c>
      <c r="H1539">
        <f>VLOOKUP($A1539, 'Medical Examinations'!A:J, 10, FALSE)</f>
        <v>1</v>
      </c>
      <c r="I1539" t="str">
        <f>VLOOKUP($A1539, 'Medical Examinations'!A:K, 11, FALSE)</f>
        <v>No</v>
      </c>
      <c r="J1539" t="str">
        <f>VLOOKUP($A1539, 'Medical Examinations'!A:B, 2, FALSE)</f>
        <v>Underweight</v>
      </c>
      <c r="K1539" t="str">
        <f>VLOOKUP($A1539, 'Medical Examinations'!A:D, 4, FALSE)</f>
        <v>Normal</v>
      </c>
    </row>
    <row r="1540" spans="1:11" ht="15.5" x14ac:dyDescent="0.35">
      <c r="A1540" s="1" t="s">
        <v>832</v>
      </c>
      <c r="B1540" t="str">
        <f>VLOOKUP($A1540, 'Customer Names'!A:D, 3, FALSE)</f>
        <v>Mathews</v>
      </c>
      <c r="C1540">
        <f>VLOOKUP($A1540,'Medical Examinations'!A:C, 3, FALSE)</f>
        <v>26.72</v>
      </c>
      <c r="D1540" t="str">
        <f>VLOOKUP($A1540, 'Medical Examinations'!A:D, 4, FALSE)</f>
        <v>Normal</v>
      </c>
      <c r="E1540" t="str">
        <f>VLOOKUP($A1540, 'Medical Examinations'!A:F, 6, FALSE)</f>
        <v>No</v>
      </c>
      <c r="F1540" t="str">
        <f>VLOOKUP($A1540, 'Medical Examinations'!A:G, 7, FALSE)</f>
        <v>No</v>
      </c>
      <c r="G1540" t="str">
        <f>VLOOKUP($A1540, 'Medical Examinations'!A:H, 8, FALSE)</f>
        <v>No</v>
      </c>
      <c r="H1540" t="str">
        <f>VLOOKUP($A1540, 'Medical Examinations'!A:J, 10, FALSE)</f>
        <v>No major surgery</v>
      </c>
      <c r="I1540" t="str">
        <f>VLOOKUP($A1540, 'Medical Examinations'!A:K, 11, FALSE)</f>
        <v>No</v>
      </c>
      <c r="J1540" t="str">
        <f>VLOOKUP($A1540, 'Medical Examinations'!A:B, 2, FALSE)</f>
        <v>Overweight</v>
      </c>
      <c r="K1540" t="str">
        <f>VLOOKUP($A1540, 'Medical Examinations'!A:D, 4, FALSE)</f>
        <v>Normal</v>
      </c>
    </row>
    <row r="1541" spans="1:11" ht="15.5" x14ac:dyDescent="0.35">
      <c r="A1541" s="1" t="s">
        <v>831</v>
      </c>
      <c r="B1541" t="str">
        <f>VLOOKUP($A1541, 'Customer Names'!A:D, 3, FALSE)</f>
        <v>Yabu</v>
      </c>
      <c r="C1541">
        <f>VLOOKUP($A1541,'Medical Examinations'!A:C, 3, FALSE)</f>
        <v>41.42</v>
      </c>
      <c r="D1541" t="str">
        <f>VLOOKUP($A1541, 'Medical Examinations'!A:D, 4, FALSE)</f>
        <v>Normal</v>
      </c>
      <c r="E1541" t="str">
        <f>VLOOKUP($A1541, 'Medical Examinations'!A:F, 6, FALSE)</f>
        <v>No</v>
      </c>
      <c r="F1541" t="str">
        <f>VLOOKUP($A1541, 'Medical Examinations'!A:G, 7, FALSE)</f>
        <v>No</v>
      </c>
      <c r="G1541" t="str">
        <f>VLOOKUP($A1541, 'Medical Examinations'!A:H, 8, FALSE)</f>
        <v>Yes</v>
      </c>
      <c r="H1541">
        <f>VLOOKUP($A1541, 'Medical Examinations'!A:J, 10, FALSE)</f>
        <v>1</v>
      </c>
      <c r="I1541" t="str">
        <f>VLOOKUP($A1541, 'Medical Examinations'!A:K, 11, FALSE)</f>
        <v>No</v>
      </c>
      <c r="J1541" t="str">
        <f>VLOOKUP($A1541, 'Medical Examinations'!A:B, 2, FALSE)</f>
        <v>Obesity</v>
      </c>
      <c r="K1541" t="str">
        <f>VLOOKUP($A1541, 'Medical Examinations'!A:D, 4, FALSE)</f>
        <v>Normal</v>
      </c>
    </row>
    <row r="1542" spans="1:11" ht="15.5" x14ac:dyDescent="0.35">
      <c r="A1542" s="1" t="s">
        <v>830</v>
      </c>
      <c r="B1542" t="str">
        <f>VLOOKUP($A1542, 'Customer Names'!A:D, 3, FALSE)</f>
        <v>Strang</v>
      </c>
      <c r="C1542">
        <f>VLOOKUP($A1542,'Medical Examinations'!A:C, 3, FALSE)</f>
        <v>20.69</v>
      </c>
      <c r="D1542" t="str">
        <f>VLOOKUP($A1542, 'Medical Examinations'!A:D, 4, FALSE)</f>
        <v>Diabetes</v>
      </c>
      <c r="E1542" t="str">
        <f>VLOOKUP($A1542, 'Medical Examinations'!A:F, 6, FALSE)</f>
        <v>No</v>
      </c>
      <c r="F1542" t="str">
        <f>VLOOKUP($A1542, 'Medical Examinations'!A:G, 7, FALSE)</f>
        <v>No</v>
      </c>
      <c r="G1542" t="str">
        <f>VLOOKUP($A1542, 'Medical Examinations'!A:H, 8, FALSE)</f>
        <v>No</v>
      </c>
      <c r="H1542">
        <f>VLOOKUP($A1542, 'Medical Examinations'!A:J, 10, FALSE)</f>
        <v>2</v>
      </c>
      <c r="I1542" t="str">
        <f>VLOOKUP($A1542, 'Medical Examinations'!A:K, 11, FALSE)</f>
        <v>No</v>
      </c>
      <c r="J1542" t="str">
        <f>VLOOKUP($A1542, 'Medical Examinations'!A:B, 2, FALSE)</f>
        <v>Normal Weight</v>
      </c>
      <c r="K1542" t="str">
        <f>VLOOKUP($A1542, 'Medical Examinations'!A:D, 4, FALSE)</f>
        <v>Diabetes</v>
      </c>
    </row>
    <row r="1543" spans="1:11" ht="15.5" x14ac:dyDescent="0.35">
      <c r="A1543" s="1" t="s">
        <v>829</v>
      </c>
      <c r="B1543" t="str">
        <f>VLOOKUP($A1543, 'Customer Names'!A:D, 3, FALSE)</f>
        <v>Frank</v>
      </c>
      <c r="C1543">
        <f>VLOOKUP($A1543,'Medical Examinations'!A:C, 3, FALSE)</f>
        <v>41.23</v>
      </c>
      <c r="D1543" t="str">
        <f>VLOOKUP($A1543, 'Medical Examinations'!A:D, 4, FALSE)</f>
        <v>Normal</v>
      </c>
      <c r="E1543" t="str">
        <f>VLOOKUP($A1543, 'Medical Examinations'!A:F, 6, FALSE)</f>
        <v>No</v>
      </c>
      <c r="F1543" t="str">
        <f>VLOOKUP($A1543, 'Medical Examinations'!A:G, 7, FALSE)</f>
        <v>No</v>
      </c>
      <c r="G1543" t="str">
        <f>VLOOKUP($A1543, 'Medical Examinations'!A:H, 8, FALSE)</f>
        <v>No</v>
      </c>
      <c r="H1543" t="str">
        <f>VLOOKUP($A1543, 'Medical Examinations'!A:J, 10, FALSE)</f>
        <v>No major surgery</v>
      </c>
      <c r="I1543" t="str">
        <f>VLOOKUP($A1543, 'Medical Examinations'!A:K, 11, FALSE)</f>
        <v>No</v>
      </c>
      <c r="J1543" t="str">
        <f>VLOOKUP($A1543, 'Medical Examinations'!A:B, 2, FALSE)</f>
        <v>Obesity</v>
      </c>
      <c r="K1543" t="str">
        <f>VLOOKUP($A1543, 'Medical Examinations'!A:D, 4, FALSE)</f>
        <v>Normal</v>
      </c>
    </row>
    <row r="1544" spans="1:11" ht="15.5" x14ac:dyDescent="0.35">
      <c r="A1544" s="1" t="s">
        <v>828</v>
      </c>
      <c r="B1544" t="str">
        <f>VLOOKUP($A1544, 'Customer Names'!A:D, 3, FALSE)</f>
        <v>Shanley</v>
      </c>
      <c r="C1544">
        <f>VLOOKUP($A1544,'Medical Examinations'!A:C, 3, FALSE)</f>
        <v>29.9</v>
      </c>
      <c r="D1544" t="str">
        <f>VLOOKUP($A1544, 'Medical Examinations'!A:D, 4, FALSE)</f>
        <v>Prediabetes</v>
      </c>
      <c r="E1544" t="str">
        <f>VLOOKUP($A1544, 'Medical Examinations'!A:F, 6, FALSE)</f>
        <v>No</v>
      </c>
      <c r="F1544" t="str">
        <f>VLOOKUP($A1544, 'Medical Examinations'!A:G, 7, FALSE)</f>
        <v>No</v>
      </c>
      <c r="G1544" t="str">
        <f>VLOOKUP($A1544, 'Medical Examinations'!A:H, 8, FALSE)</f>
        <v>No</v>
      </c>
      <c r="H1544" t="str">
        <f>VLOOKUP($A1544, 'Medical Examinations'!A:J, 10, FALSE)</f>
        <v>No major surgery</v>
      </c>
      <c r="I1544" t="str">
        <f>VLOOKUP($A1544, 'Medical Examinations'!A:K, 11, FALSE)</f>
        <v>No</v>
      </c>
      <c r="J1544" t="str">
        <f>VLOOKUP($A1544, 'Medical Examinations'!A:B, 2, FALSE)</f>
        <v>Overweight</v>
      </c>
      <c r="K1544" t="str">
        <f>VLOOKUP($A1544, 'Medical Examinations'!A:D, 4, FALSE)</f>
        <v>Prediabetes</v>
      </c>
    </row>
    <row r="1545" spans="1:11" ht="15.5" x14ac:dyDescent="0.35">
      <c r="A1545" s="1" t="s">
        <v>827</v>
      </c>
      <c r="B1545" t="str">
        <f>VLOOKUP($A1545, 'Customer Names'!A:D, 3, FALSE)</f>
        <v>Mancebo Garcia</v>
      </c>
      <c r="C1545">
        <f>VLOOKUP($A1545,'Medical Examinations'!A:C, 3, FALSE)</f>
        <v>34.104999999999997</v>
      </c>
      <c r="D1545" t="str">
        <f>VLOOKUP($A1545, 'Medical Examinations'!A:D, 4, FALSE)</f>
        <v>Prediabetes</v>
      </c>
      <c r="E1545" t="str">
        <f>VLOOKUP($A1545, 'Medical Examinations'!A:F, 6, FALSE)</f>
        <v>No</v>
      </c>
      <c r="F1545" t="str">
        <f>VLOOKUP($A1545, 'Medical Examinations'!A:G, 7, FALSE)</f>
        <v>No</v>
      </c>
      <c r="G1545" t="str">
        <f>VLOOKUP($A1545, 'Medical Examinations'!A:H, 8, FALSE)</f>
        <v>No</v>
      </c>
      <c r="H1545" t="str">
        <f>VLOOKUP($A1545, 'Medical Examinations'!A:J, 10, FALSE)</f>
        <v>No major surgery</v>
      </c>
      <c r="I1545" t="str">
        <f>VLOOKUP($A1545, 'Medical Examinations'!A:K, 11, FALSE)</f>
        <v>No</v>
      </c>
      <c r="J1545" t="str">
        <f>VLOOKUP($A1545, 'Medical Examinations'!A:B, 2, FALSE)</f>
        <v>Obesity</v>
      </c>
      <c r="K1545" t="str">
        <f>VLOOKUP($A1545, 'Medical Examinations'!A:D, 4, FALSE)</f>
        <v>Prediabetes</v>
      </c>
    </row>
    <row r="1546" spans="1:11" ht="15.5" x14ac:dyDescent="0.35">
      <c r="A1546" s="1" t="s">
        <v>826</v>
      </c>
      <c r="B1546" t="str">
        <f>VLOOKUP($A1546, 'Customer Names'!A:D, 3, FALSE)</f>
        <v>Keehan</v>
      </c>
      <c r="C1546">
        <f>VLOOKUP($A1546,'Medical Examinations'!A:C, 3, FALSE)</f>
        <v>24.97</v>
      </c>
      <c r="D1546" t="str">
        <f>VLOOKUP($A1546, 'Medical Examinations'!A:D, 4, FALSE)</f>
        <v>Normal</v>
      </c>
      <c r="E1546" t="str">
        <f>VLOOKUP($A1546, 'Medical Examinations'!A:F, 6, FALSE)</f>
        <v>No</v>
      </c>
      <c r="F1546" t="str">
        <f>VLOOKUP($A1546, 'Medical Examinations'!A:G, 7, FALSE)</f>
        <v>No</v>
      </c>
      <c r="G1546" t="str">
        <f>VLOOKUP($A1546, 'Medical Examinations'!A:H, 8, FALSE)</f>
        <v>No</v>
      </c>
      <c r="H1546" t="str">
        <f>VLOOKUP($A1546, 'Medical Examinations'!A:J, 10, FALSE)</f>
        <v>No major surgery</v>
      </c>
      <c r="I1546" t="str">
        <f>VLOOKUP($A1546, 'Medical Examinations'!A:K, 11, FALSE)</f>
        <v>No</v>
      </c>
      <c r="J1546" t="str">
        <f>VLOOKUP($A1546, 'Medical Examinations'!A:B, 2, FALSE)</f>
        <v>Overweight</v>
      </c>
      <c r="K1546" t="str">
        <f>VLOOKUP($A1546, 'Medical Examinations'!A:D, 4, FALSE)</f>
        <v>Normal</v>
      </c>
    </row>
    <row r="1547" spans="1:11" ht="15.5" x14ac:dyDescent="0.35">
      <c r="A1547" s="1" t="s">
        <v>825</v>
      </c>
      <c r="B1547" t="str">
        <f>VLOOKUP($A1547, 'Customer Names'!A:D, 3, FALSE)</f>
        <v>Mahaney</v>
      </c>
      <c r="C1547">
        <f>VLOOKUP($A1547,'Medical Examinations'!A:C, 3, FALSE)</f>
        <v>34.799999999999997</v>
      </c>
      <c r="D1547" t="str">
        <f>VLOOKUP($A1547, 'Medical Examinations'!A:D, 4, FALSE)</f>
        <v>Normal</v>
      </c>
      <c r="E1547" t="str">
        <f>VLOOKUP($A1547, 'Medical Examinations'!A:F, 6, FALSE)</f>
        <v>No</v>
      </c>
      <c r="F1547" t="str">
        <f>VLOOKUP($A1547, 'Medical Examinations'!A:G, 7, FALSE)</f>
        <v>No</v>
      </c>
      <c r="G1547" t="str">
        <f>VLOOKUP($A1547, 'Medical Examinations'!A:H, 8, FALSE)</f>
        <v>No</v>
      </c>
      <c r="H1547">
        <f>VLOOKUP($A1547, 'Medical Examinations'!A:J, 10, FALSE)</f>
        <v>1</v>
      </c>
      <c r="I1547" t="str">
        <f>VLOOKUP($A1547, 'Medical Examinations'!A:K, 11, FALSE)</f>
        <v>No</v>
      </c>
      <c r="J1547" t="str">
        <f>VLOOKUP($A1547, 'Medical Examinations'!A:B, 2, FALSE)</f>
        <v>Obesity</v>
      </c>
      <c r="K1547" t="str">
        <f>VLOOKUP($A1547, 'Medical Examinations'!A:D, 4, FALSE)</f>
        <v>Normal</v>
      </c>
    </row>
    <row r="1548" spans="1:11" ht="15.5" x14ac:dyDescent="0.35">
      <c r="A1548" s="1" t="s">
        <v>824</v>
      </c>
      <c r="B1548" t="str">
        <f>VLOOKUP($A1548, 'Customer Names'!A:D, 3, FALSE)</f>
        <v>Nolan</v>
      </c>
      <c r="C1548">
        <f>VLOOKUP($A1548,'Medical Examinations'!A:C, 3, FALSE)</f>
        <v>32.965000000000003</v>
      </c>
      <c r="D1548" t="str">
        <f>VLOOKUP($A1548, 'Medical Examinations'!A:D, 4, FALSE)</f>
        <v>Diabetes</v>
      </c>
      <c r="E1548" t="str">
        <f>VLOOKUP($A1548, 'Medical Examinations'!A:F, 6, FALSE)</f>
        <v>yes</v>
      </c>
      <c r="F1548" t="str">
        <f>VLOOKUP($A1548, 'Medical Examinations'!A:G, 7, FALSE)</f>
        <v>No</v>
      </c>
      <c r="G1548" t="str">
        <f>VLOOKUP($A1548, 'Medical Examinations'!A:H, 8, FALSE)</f>
        <v>No</v>
      </c>
      <c r="H1548" t="str">
        <f>VLOOKUP($A1548, 'Medical Examinations'!A:J, 10, FALSE)</f>
        <v>No major surgery</v>
      </c>
      <c r="I1548" t="str">
        <f>VLOOKUP($A1548, 'Medical Examinations'!A:K, 11, FALSE)</f>
        <v>No</v>
      </c>
      <c r="J1548" t="str">
        <f>VLOOKUP($A1548, 'Medical Examinations'!A:B, 2, FALSE)</f>
        <v>Obesity</v>
      </c>
      <c r="K1548" t="str">
        <f>VLOOKUP($A1548, 'Medical Examinations'!A:D, 4, FALSE)</f>
        <v>Diabetes</v>
      </c>
    </row>
    <row r="1549" spans="1:11" ht="15.5" x14ac:dyDescent="0.35">
      <c r="A1549" s="1" t="s">
        <v>823</v>
      </c>
      <c r="B1549" t="str">
        <f>VLOOKUP($A1549, 'Customer Names'!A:D, 3, FALSE)</f>
        <v>Sobrino</v>
      </c>
      <c r="C1549">
        <f>VLOOKUP($A1549,'Medical Examinations'!A:C, 3, FALSE)</f>
        <v>27.265000000000001</v>
      </c>
      <c r="D1549" t="str">
        <f>VLOOKUP($A1549, 'Medical Examinations'!A:D, 4, FALSE)</f>
        <v>Normal</v>
      </c>
      <c r="E1549" t="str">
        <f>VLOOKUP($A1549, 'Medical Examinations'!A:F, 6, FALSE)</f>
        <v>No</v>
      </c>
      <c r="F1549" t="str">
        <f>VLOOKUP($A1549, 'Medical Examinations'!A:G, 7, FALSE)</f>
        <v>No</v>
      </c>
      <c r="G1549" t="str">
        <f>VLOOKUP($A1549, 'Medical Examinations'!A:H, 8, FALSE)</f>
        <v>No</v>
      </c>
      <c r="H1549">
        <f>VLOOKUP($A1549, 'Medical Examinations'!A:J, 10, FALSE)</f>
        <v>1</v>
      </c>
      <c r="I1549" t="str">
        <f>VLOOKUP($A1549, 'Medical Examinations'!A:K, 11, FALSE)</f>
        <v>No</v>
      </c>
      <c r="J1549" t="str">
        <f>VLOOKUP($A1549, 'Medical Examinations'!A:B, 2, FALSE)</f>
        <v>Overweight</v>
      </c>
      <c r="K1549" t="str">
        <f>VLOOKUP($A1549, 'Medical Examinations'!A:D, 4, FALSE)</f>
        <v>Normal</v>
      </c>
    </row>
    <row r="1550" spans="1:11" ht="15.5" x14ac:dyDescent="0.35">
      <c r="A1550" s="1" t="s">
        <v>822</v>
      </c>
      <c r="B1550" t="str">
        <f>VLOOKUP($A1550, 'Customer Names'!A:D, 3, FALSE)</f>
        <v>Gennaro</v>
      </c>
      <c r="C1550">
        <f>VLOOKUP($A1550,'Medical Examinations'!A:C, 3, FALSE)</f>
        <v>17.059999999999999</v>
      </c>
      <c r="D1550" t="str">
        <f>VLOOKUP($A1550, 'Medical Examinations'!A:D, 4, FALSE)</f>
        <v>Diabetes</v>
      </c>
      <c r="E1550" t="str">
        <f>VLOOKUP($A1550, 'Medical Examinations'!A:F, 6, FALSE)</f>
        <v>No</v>
      </c>
      <c r="F1550" t="str">
        <f>VLOOKUP($A1550, 'Medical Examinations'!A:G, 7, FALSE)</f>
        <v>No</v>
      </c>
      <c r="G1550" t="str">
        <f>VLOOKUP($A1550, 'Medical Examinations'!A:H, 8, FALSE)</f>
        <v>No</v>
      </c>
      <c r="H1550" t="str">
        <f>VLOOKUP($A1550, 'Medical Examinations'!A:J, 10, FALSE)</f>
        <v>No major surgery</v>
      </c>
      <c r="I1550" t="str">
        <f>VLOOKUP($A1550, 'Medical Examinations'!A:K, 11, FALSE)</f>
        <v>No</v>
      </c>
      <c r="J1550" t="str">
        <f>VLOOKUP($A1550, 'Medical Examinations'!A:B, 2, FALSE)</f>
        <v>Underweight</v>
      </c>
      <c r="K1550" t="str">
        <f>VLOOKUP($A1550, 'Medical Examinations'!A:D, 4, FALSE)</f>
        <v>Diabetes</v>
      </c>
    </row>
    <row r="1551" spans="1:11" ht="15.5" x14ac:dyDescent="0.35">
      <c r="A1551" s="1" t="s">
        <v>821</v>
      </c>
      <c r="B1551" t="str">
        <f>VLOOKUP($A1551, 'Customer Names'!A:D, 3, FALSE)</f>
        <v>Mayer</v>
      </c>
      <c r="C1551">
        <f>VLOOKUP($A1551,'Medical Examinations'!A:C, 3, FALSE)</f>
        <v>36.29</v>
      </c>
      <c r="D1551" t="str">
        <f>VLOOKUP($A1551, 'Medical Examinations'!A:D, 4, FALSE)</f>
        <v>Prediabetes</v>
      </c>
      <c r="E1551" t="str">
        <f>VLOOKUP($A1551, 'Medical Examinations'!A:F, 6, FALSE)</f>
        <v>No</v>
      </c>
      <c r="F1551" t="str">
        <f>VLOOKUP($A1551, 'Medical Examinations'!A:G, 7, FALSE)</f>
        <v>No</v>
      </c>
      <c r="G1551" t="str">
        <f>VLOOKUP($A1551, 'Medical Examinations'!A:H, 8, FALSE)</f>
        <v>No</v>
      </c>
      <c r="H1551" t="str">
        <f>VLOOKUP($A1551, 'Medical Examinations'!A:J, 10, FALSE)</f>
        <v>No major surgery</v>
      </c>
      <c r="I1551" t="str">
        <f>VLOOKUP($A1551, 'Medical Examinations'!A:K, 11, FALSE)</f>
        <v>No</v>
      </c>
      <c r="J1551" t="str">
        <f>VLOOKUP($A1551, 'Medical Examinations'!A:B, 2, FALSE)</f>
        <v>Obesity</v>
      </c>
      <c r="K1551" t="str">
        <f>VLOOKUP($A1551, 'Medical Examinations'!A:D, 4, FALSE)</f>
        <v>Prediabetes</v>
      </c>
    </row>
    <row r="1552" spans="1:11" ht="15.5" x14ac:dyDescent="0.35">
      <c r="A1552" s="1" t="s">
        <v>820</v>
      </c>
      <c r="B1552" t="str">
        <f>VLOOKUP($A1552, 'Customer Names'!A:D, 3, FALSE)</f>
        <v>Becker</v>
      </c>
      <c r="C1552">
        <f>VLOOKUP($A1552,'Medical Examinations'!A:C, 3, FALSE)</f>
        <v>28.594999999999999</v>
      </c>
      <c r="D1552" t="str">
        <f>VLOOKUP($A1552, 'Medical Examinations'!A:D, 4, FALSE)</f>
        <v>Diabetes</v>
      </c>
      <c r="E1552" t="str">
        <f>VLOOKUP($A1552, 'Medical Examinations'!A:F, 6, FALSE)</f>
        <v>yes</v>
      </c>
      <c r="F1552" t="str">
        <f>VLOOKUP($A1552, 'Medical Examinations'!A:G, 7, FALSE)</f>
        <v>No</v>
      </c>
      <c r="G1552" t="str">
        <f>VLOOKUP($A1552, 'Medical Examinations'!A:H, 8, FALSE)</f>
        <v>No</v>
      </c>
      <c r="H1552">
        <f>VLOOKUP($A1552, 'Medical Examinations'!A:J, 10, FALSE)</f>
        <v>1</v>
      </c>
      <c r="I1552" t="str">
        <f>VLOOKUP($A1552, 'Medical Examinations'!A:K, 11, FALSE)</f>
        <v>No</v>
      </c>
      <c r="J1552" t="str">
        <f>VLOOKUP($A1552, 'Medical Examinations'!A:B, 2, FALSE)</f>
        <v>Overweight</v>
      </c>
      <c r="K1552" t="str">
        <f>VLOOKUP($A1552, 'Medical Examinations'!A:D, 4, FALSE)</f>
        <v>Diabetes</v>
      </c>
    </row>
    <row r="1553" spans="1:11" ht="15.5" x14ac:dyDescent="0.35">
      <c r="A1553" s="1" t="s">
        <v>819</v>
      </c>
      <c r="B1553" t="str">
        <f>VLOOKUP($A1553, 'Customer Names'!A:D, 3, FALSE)</f>
        <v>Moore</v>
      </c>
      <c r="C1553">
        <f>VLOOKUP($A1553,'Medical Examinations'!A:C, 3, FALSE)</f>
        <v>17.8</v>
      </c>
      <c r="D1553" t="str">
        <f>VLOOKUP($A1553, 'Medical Examinations'!A:D, 4, FALSE)</f>
        <v>Prediabetes</v>
      </c>
      <c r="E1553" t="str">
        <f>VLOOKUP($A1553, 'Medical Examinations'!A:F, 6, FALSE)</f>
        <v>yes</v>
      </c>
      <c r="F1553" t="str">
        <f>VLOOKUP($A1553, 'Medical Examinations'!A:G, 7, FALSE)</f>
        <v>No</v>
      </c>
      <c r="G1553" t="str">
        <f>VLOOKUP($A1553, 'Medical Examinations'!A:H, 8, FALSE)</f>
        <v>Yes</v>
      </c>
      <c r="H1553">
        <f>VLOOKUP($A1553, 'Medical Examinations'!A:J, 10, FALSE)</f>
        <v>1</v>
      </c>
      <c r="I1553" t="str">
        <f>VLOOKUP($A1553, 'Medical Examinations'!A:K, 11, FALSE)</f>
        <v>No</v>
      </c>
      <c r="J1553" t="str">
        <f>VLOOKUP($A1553, 'Medical Examinations'!A:B, 2, FALSE)</f>
        <v>Underweight</v>
      </c>
      <c r="K1553" t="str">
        <f>VLOOKUP($A1553, 'Medical Examinations'!A:D, 4, FALSE)</f>
        <v>Prediabetes</v>
      </c>
    </row>
    <row r="1554" spans="1:11" ht="15.5" x14ac:dyDescent="0.35">
      <c r="A1554" s="1" t="s">
        <v>818</v>
      </c>
      <c r="B1554" t="str">
        <f>VLOOKUP($A1554, 'Customer Names'!A:D, 3, FALSE)</f>
        <v>Platt</v>
      </c>
      <c r="C1554">
        <f>VLOOKUP($A1554,'Medical Examinations'!A:C, 3, FALSE)</f>
        <v>21.4</v>
      </c>
      <c r="D1554" t="str">
        <f>VLOOKUP($A1554, 'Medical Examinations'!A:D, 4, FALSE)</f>
        <v>Normal</v>
      </c>
      <c r="E1554" t="str">
        <f>VLOOKUP($A1554, 'Medical Examinations'!A:F, 6, FALSE)</f>
        <v>No</v>
      </c>
      <c r="F1554" t="str">
        <f>VLOOKUP($A1554, 'Medical Examinations'!A:G, 7, FALSE)</f>
        <v>No</v>
      </c>
      <c r="G1554" t="str">
        <f>VLOOKUP($A1554, 'Medical Examinations'!A:H, 8, FALSE)</f>
        <v>No</v>
      </c>
      <c r="H1554" t="str">
        <f>VLOOKUP($A1554, 'Medical Examinations'!A:J, 10, FALSE)</f>
        <v>No major surgery</v>
      </c>
      <c r="I1554" t="str">
        <f>VLOOKUP($A1554, 'Medical Examinations'!A:K, 11, FALSE)</f>
        <v>No</v>
      </c>
      <c r="J1554" t="str">
        <f>VLOOKUP($A1554, 'Medical Examinations'!A:B, 2, FALSE)</f>
        <v>Normal Weight</v>
      </c>
      <c r="K1554" t="str">
        <f>VLOOKUP($A1554, 'Medical Examinations'!A:D, 4, FALSE)</f>
        <v>Normal</v>
      </c>
    </row>
    <row r="1555" spans="1:11" ht="15.5" x14ac:dyDescent="0.35">
      <c r="A1555" s="1" t="s">
        <v>817</v>
      </c>
      <c r="B1555" t="str">
        <f>VLOOKUP($A1555, 'Customer Names'!A:D, 3, FALSE)</f>
        <v>Brodeur</v>
      </c>
      <c r="C1555">
        <f>VLOOKUP($A1555,'Medical Examinations'!A:C, 3, FALSE)</f>
        <v>23.01</v>
      </c>
      <c r="D1555" t="str">
        <f>VLOOKUP($A1555, 'Medical Examinations'!A:D, 4, FALSE)</f>
        <v>Normal</v>
      </c>
      <c r="E1555" t="str">
        <f>VLOOKUP($A1555, 'Medical Examinations'!A:F, 6, FALSE)</f>
        <v>No</v>
      </c>
      <c r="F1555" t="str">
        <f>VLOOKUP($A1555, 'Medical Examinations'!A:G, 7, FALSE)</f>
        <v>No</v>
      </c>
      <c r="G1555" t="str">
        <f>VLOOKUP($A1555, 'Medical Examinations'!A:H, 8, FALSE)</f>
        <v>No</v>
      </c>
      <c r="H1555" t="str">
        <f>VLOOKUP($A1555, 'Medical Examinations'!A:J, 10, FALSE)</f>
        <v>No major surgery</v>
      </c>
      <c r="I1555" t="str">
        <f>VLOOKUP($A1555, 'Medical Examinations'!A:K, 11, FALSE)</f>
        <v>No</v>
      </c>
      <c r="J1555" t="str">
        <f>VLOOKUP($A1555, 'Medical Examinations'!A:B, 2, FALSE)</f>
        <v>Normal Weight</v>
      </c>
      <c r="K1555" t="str">
        <f>VLOOKUP($A1555, 'Medical Examinations'!A:D, 4, FALSE)</f>
        <v>Normal</v>
      </c>
    </row>
    <row r="1556" spans="1:11" ht="15.5" x14ac:dyDescent="0.35">
      <c r="A1556" s="1" t="s">
        <v>816</v>
      </c>
      <c r="B1556" t="str">
        <f>VLOOKUP($A1556, 'Customer Names'!A:D, 3, FALSE)</f>
        <v>Knight Pech</v>
      </c>
      <c r="C1556">
        <f>VLOOKUP($A1556,'Medical Examinations'!A:C, 3, FALSE)</f>
        <v>19.86</v>
      </c>
      <c r="D1556" t="str">
        <f>VLOOKUP($A1556, 'Medical Examinations'!A:D, 4, FALSE)</f>
        <v>Normal</v>
      </c>
      <c r="E1556" t="str">
        <f>VLOOKUP($A1556, 'Medical Examinations'!A:F, 6, FALSE)</f>
        <v>yes</v>
      </c>
      <c r="F1556" t="str">
        <f>VLOOKUP($A1556, 'Medical Examinations'!A:G, 7, FALSE)</f>
        <v>No</v>
      </c>
      <c r="G1556" t="str">
        <f>VLOOKUP($A1556, 'Medical Examinations'!A:H, 8, FALSE)</f>
        <v>No</v>
      </c>
      <c r="H1556" t="str">
        <f>VLOOKUP($A1556, 'Medical Examinations'!A:J, 10, FALSE)</f>
        <v>No major surgery</v>
      </c>
      <c r="I1556" t="str">
        <f>VLOOKUP($A1556, 'Medical Examinations'!A:K, 11, FALSE)</f>
        <v>No</v>
      </c>
      <c r="J1556" t="str">
        <f>VLOOKUP($A1556, 'Medical Examinations'!A:B, 2, FALSE)</f>
        <v>Normal Weight</v>
      </c>
      <c r="K1556" t="str">
        <f>VLOOKUP($A1556, 'Medical Examinations'!A:D, 4, FALSE)</f>
        <v>Normal</v>
      </c>
    </row>
    <row r="1557" spans="1:11" ht="15.5" x14ac:dyDescent="0.35">
      <c r="A1557" s="1" t="s">
        <v>815</v>
      </c>
      <c r="B1557" t="str">
        <f>VLOOKUP($A1557, 'Customer Names'!A:D, 3, FALSE)</f>
        <v>Richter</v>
      </c>
      <c r="C1557">
        <f>VLOOKUP($A1557,'Medical Examinations'!A:C, 3, FALSE)</f>
        <v>33.58</v>
      </c>
      <c r="D1557" t="str">
        <f>VLOOKUP($A1557, 'Medical Examinations'!A:D, 4, FALSE)</f>
        <v>Normal</v>
      </c>
      <c r="E1557" t="str">
        <f>VLOOKUP($A1557, 'Medical Examinations'!A:F, 6, FALSE)</f>
        <v>No</v>
      </c>
      <c r="F1557" t="str">
        <f>VLOOKUP($A1557, 'Medical Examinations'!A:G, 7, FALSE)</f>
        <v>No</v>
      </c>
      <c r="G1557" t="str">
        <f>VLOOKUP($A1557, 'Medical Examinations'!A:H, 8, FALSE)</f>
        <v>No</v>
      </c>
      <c r="H1557" t="str">
        <f>VLOOKUP($A1557, 'Medical Examinations'!A:J, 10, FALSE)</f>
        <v>No major surgery</v>
      </c>
      <c r="I1557" t="str">
        <f>VLOOKUP($A1557, 'Medical Examinations'!A:K, 11, FALSE)</f>
        <v>No</v>
      </c>
      <c r="J1557" t="str">
        <f>VLOOKUP($A1557, 'Medical Examinations'!A:B, 2, FALSE)</f>
        <v>Obesity</v>
      </c>
      <c r="K1557" t="str">
        <f>VLOOKUP($A1557, 'Medical Examinations'!A:D, 4, FALSE)</f>
        <v>Normal</v>
      </c>
    </row>
    <row r="1558" spans="1:11" ht="15.5" x14ac:dyDescent="0.35">
      <c r="A1558" s="1" t="s">
        <v>814</v>
      </c>
      <c r="B1558" t="str">
        <f>VLOOKUP($A1558, 'Customer Names'!A:D, 3, FALSE)</f>
        <v>Jubinski</v>
      </c>
      <c r="C1558">
        <f>VLOOKUP($A1558,'Medical Examinations'!A:C, 3, FALSE)</f>
        <v>29.81</v>
      </c>
      <c r="D1558" t="str">
        <f>VLOOKUP($A1558, 'Medical Examinations'!A:D, 4, FALSE)</f>
        <v>Normal</v>
      </c>
      <c r="E1558" t="str">
        <f>VLOOKUP($A1558, 'Medical Examinations'!A:F, 6, FALSE)</f>
        <v>No</v>
      </c>
      <c r="F1558" t="str">
        <f>VLOOKUP($A1558, 'Medical Examinations'!A:G, 7, FALSE)</f>
        <v>No</v>
      </c>
      <c r="G1558" t="str">
        <f>VLOOKUP($A1558, 'Medical Examinations'!A:H, 8, FALSE)</f>
        <v>No</v>
      </c>
      <c r="H1558" t="str">
        <f>VLOOKUP($A1558, 'Medical Examinations'!A:J, 10, FALSE)</f>
        <v>No major surgery</v>
      </c>
      <c r="I1558" t="str">
        <f>VLOOKUP($A1558, 'Medical Examinations'!A:K, 11, FALSE)</f>
        <v>No</v>
      </c>
      <c r="J1558" t="str">
        <f>VLOOKUP($A1558, 'Medical Examinations'!A:B, 2, FALSE)</f>
        <v>Overweight</v>
      </c>
      <c r="K1558" t="str">
        <f>VLOOKUP($A1558, 'Medical Examinations'!A:D, 4, FALSE)</f>
        <v>Normal</v>
      </c>
    </row>
    <row r="1559" spans="1:11" ht="15.5" x14ac:dyDescent="0.35">
      <c r="A1559" s="1" t="s">
        <v>813</v>
      </c>
      <c r="B1559" t="str">
        <f>VLOOKUP($A1559, 'Customer Names'!A:D, 3, FALSE)</f>
        <v>Wall</v>
      </c>
      <c r="C1559">
        <f>VLOOKUP($A1559,'Medical Examinations'!A:C, 3, FALSE)</f>
        <v>27.4</v>
      </c>
      <c r="D1559" t="str">
        <f>VLOOKUP($A1559, 'Medical Examinations'!A:D, 4, FALSE)</f>
        <v>Normal</v>
      </c>
      <c r="E1559" t="str">
        <f>VLOOKUP($A1559, 'Medical Examinations'!A:F, 6, FALSE)</f>
        <v>No</v>
      </c>
      <c r="F1559" t="str">
        <f>VLOOKUP($A1559, 'Medical Examinations'!A:G, 7, FALSE)</f>
        <v>No</v>
      </c>
      <c r="G1559" t="str">
        <f>VLOOKUP($A1559, 'Medical Examinations'!A:H, 8, FALSE)</f>
        <v>No</v>
      </c>
      <c r="H1559" t="str">
        <f>VLOOKUP($A1559, 'Medical Examinations'!A:J, 10, FALSE)</f>
        <v>No major surgery</v>
      </c>
      <c r="I1559" t="str">
        <f>VLOOKUP($A1559, 'Medical Examinations'!A:K, 11, FALSE)</f>
        <v>No</v>
      </c>
      <c r="J1559" t="str">
        <f>VLOOKUP($A1559, 'Medical Examinations'!A:B, 2, FALSE)</f>
        <v>Overweight</v>
      </c>
      <c r="K1559" t="str">
        <f>VLOOKUP($A1559, 'Medical Examinations'!A:D, 4, FALSE)</f>
        <v>Normal</v>
      </c>
    </row>
    <row r="1560" spans="1:11" ht="15.5" x14ac:dyDescent="0.35">
      <c r="A1560" s="1" t="s">
        <v>812</v>
      </c>
      <c r="B1560" t="str">
        <f>VLOOKUP($A1560, 'Customer Names'!A:D, 3, FALSE)</f>
        <v>McKay</v>
      </c>
      <c r="C1560">
        <f>VLOOKUP($A1560,'Medical Examinations'!A:C, 3, FALSE)</f>
        <v>17.98</v>
      </c>
      <c r="D1560" t="str">
        <f>VLOOKUP($A1560, 'Medical Examinations'!A:D, 4, FALSE)</f>
        <v>Diabetes</v>
      </c>
      <c r="E1560" t="str">
        <f>VLOOKUP($A1560, 'Medical Examinations'!A:F, 6, FALSE)</f>
        <v>yes</v>
      </c>
      <c r="F1560" t="str">
        <f>VLOOKUP($A1560, 'Medical Examinations'!A:G, 7, FALSE)</f>
        <v>No</v>
      </c>
      <c r="G1560" t="str">
        <f>VLOOKUP($A1560, 'Medical Examinations'!A:H, 8, FALSE)</f>
        <v>No</v>
      </c>
      <c r="H1560">
        <f>VLOOKUP($A1560, 'Medical Examinations'!A:J, 10, FALSE)</f>
        <v>2</v>
      </c>
      <c r="I1560" t="str">
        <f>VLOOKUP($A1560, 'Medical Examinations'!A:K, 11, FALSE)</f>
        <v>No</v>
      </c>
      <c r="J1560" t="str">
        <f>VLOOKUP($A1560, 'Medical Examinations'!A:B, 2, FALSE)</f>
        <v>Underweight</v>
      </c>
      <c r="K1560" t="str">
        <f>VLOOKUP($A1560, 'Medical Examinations'!A:D, 4, FALSE)</f>
        <v>Diabetes</v>
      </c>
    </row>
    <row r="1561" spans="1:11" ht="15.5" x14ac:dyDescent="0.35">
      <c r="A1561" s="1" t="s">
        <v>811</v>
      </c>
      <c r="B1561" t="str">
        <f>VLOOKUP($A1561, 'Customer Names'!A:D, 3, FALSE)</f>
        <v>Oh</v>
      </c>
      <c r="C1561">
        <f>VLOOKUP($A1561,'Medical Examinations'!A:C, 3, FALSE)</f>
        <v>37.9</v>
      </c>
      <c r="D1561" t="str">
        <f>VLOOKUP($A1561, 'Medical Examinations'!A:D, 4, FALSE)</f>
        <v>Prediabetes</v>
      </c>
      <c r="E1561" t="str">
        <f>VLOOKUP($A1561, 'Medical Examinations'!A:F, 6, FALSE)</f>
        <v>No</v>
      </c>
      <c r="F1561" t="str">
        <f>VLOOKUP($A1561, 'Medical Examinations'!A:G, 7, FALSE)</f>
        <v>No</v>
      </c>
      <c r="G1561" t="str">
        <f>VLOOKUP($A1561, 'Medical Examinations'!A:H, 8, FALSE)</f>
        <v>No</v>
      </c>
      <c r="H1561" t="str">
        <f>VLOOKUP($A1561, 'Medical Examinations'!A:J, 10, FALSE)</f>
        <v>No major surgery</v>
      </c>
      <c r="I1561" t="str">
        <f>VLOOKUP($A1561, 'Medical Examinations'!A:K, 11, FALSE)</f>
        <v>No</v>
      </c>
      <c r="J1561" t="str">
        <f>VLOOKUP($A1561, 'Medical Examinations'!A:B, 2, FALSE)</f>
        <v>Obesity</v>
      </c>
      <c r="K1561" t="str">
        <f>VLOOKUP($A1561, 'Medical Examinations'!A:D, 4, FALSE)</f>
        <v>Prediabetes</v>
      </c>
    </row>
    <row r="1562" spans="1:11" ht="15.5" x14ac:dyDescent="0.35">
      <c r="A1562" s="1" t="s">
        <v>810</v>
      </c>
      <c r="B1562" t="str">
        <f>VLOOKUP($A1562, 'Customer Names'!A:D, 3, FALSE)</f>
        <v>Kessell</v>
      </c>
      <c r="C1562">
        <f>VLOOKUP($A1562,'Medical Examinations'!A:C, 3, FALSE)</f>
        <v>25.27</v>
      </c>
      <c r="D1562" t="str">
        <f>VLOOKUP($A1562, 'Medical Examinations'!A:D, 4, FALSE)</f>
        <v>Diabetes</v>
      </c>
      <c r="E1562" t="str">
        <f>VLOOKUP($A1562, 'Medical Examinations'!A:F, 6, FALSE)</f>
        <v>yes</v>
      </c>
      <c r="F1562" t="str">
        <f>VLOOKUP($A1562, 'Medical Examinations'!A:G, 7, FALSE)</f>
        <v>No</v>
      </c>
      <c r="G1562" t="str">
        <f>VLOOKUP($A1562, 'Medical Examinations'!A:H, 8, FALSE)</f>
        <v>No</v>
      </c>
      <c r="H1562" t="str">
        <f>VLOOKUP($A1562, 'Medical Examinations'!A:J, 10, FALSE)</f>
        <v>No major surgery</v>
      </c>
      <c r="I1562" t="str">
        <f>VLOOKUP($A1562, 'Medical Examinations'!A:K, 11, FALSE)</f>
        <v>No</v>
      </c>
      <c r="J1562" t="str">
        <f>VLOOKUP($A1562, 'Medical Examinations'!A:B, 2, FALSE)</f>
        <v>Overweight</v>
      </c>
      <c r="K1562" t="str">
        <f>VLOOKUP($A1562, 'Medical Examinations'!A:D, 4, FALSE)</f>
        <v>Diabetes</v>
      </c>
    </row>
    <row r="1563" spans="1:11" ht="15.5" x14ac:dyDescent="0.35">
      <c r="A1563" s="1" t="s">
        <v>809</v>
      </c>
      <c r="B1563" t="str">
        <f>VLOOKUP($A1563, 'Customer Names'!A:D, 3, FALSE)</f>
        <v>Hidalgo Zambrano</v>
      </c>
      <c r="C1563">
        <f>VLOOKUP($A1563,'Medical Examinations'!A:C, 3, FALSE)</f>
        <v>29.26</v>
      </c>
      <c r="D1563" t="str">
        <f>VLOOKUP($A1563, 'Medical Examinations'!A:D, 4, FALSE)</f>
        <v>Normal</v>
      </c>
      <c r="E1563" t="str">
        <f>VLOOKUP($A1563, 'Medical Examinations'!A:F, 6, FALSE)</f>
        <v>No</v>
      </c>
      <c r="F1563" t="str">
        <f>VLOOKUP($A1563, 'Medical Examinations'!A:G, 7, FALSE)</f>
        <v>No</v>
      </c>
      <c r="G1563" t="str">
        <f>VLOOKUP($A1563, 'Medical Examinations'!A:H, 8, FALSE)</f>
        <v>No</v>
      </c>
      <c r="H1563">
        <f>VLOOKUP($A1563, 'Medical Examinations'!A:J, 10, FALSE)</f>
        <v>1</v>
      </c>
      <c r="I1563" t="str">
        <f>VLOOKUP($A1563, 'Medical Examinations'!A:K, 11, FALSE)</f>
        <v>No</v>
      </c>
      <c r="J1563" t="str">
        <f>VLOOKUP($A1563, 'Medical Examinations'!A:B, 2, FALSE)</f>
        <v>Overweight</v>
      </c>
      <c r="K1563" t="str">
        <f>VLOOKUP($A1563, 'Medical Examinations'!A:D, 4, FALSE)</f>
        <v>Normal</v>
      </c>
    </row>
    <row r="1564" spans="1:11" ht="15.5" x14ac:dyDescent="0.35">
      <c r="A1564" s="1" t="s">
        <v>808</v>
      </c>
      <c r="B1564" t="str">
        <f>VLOOKUP($A1564, 'Customer Names'!A:D, 3, FALSE)</f>
        <v>Caprario</v>
      </c>
      <c r="C1564">
        <f>VLOOKUP($A1564,'Medical Examinations'!A:C, 3, FALSE)</f>
        <v>27.835000000000001</v>
      </c>
      <c r="D1564" t="str">
        <f>VLOOKUP($A1564, 'Medical Examinations'!A:D, 4, FALSE)</f>
        <v>Normal</v>
      </c>
      <c r="E1564" t="str">
        <f>VLOOKUP($A1564, 'Medical Examinations'!A:F, 6, FALSE)</f>
        <v>No</v>
      </c>
      <c r="F1564" t="str">
        <f>VLOOKUP($A1564, 'Medical Examinations'!A:G, 7, FALSE)</f>
        <v>No</v>
      </c>
      <c r="G1564" t="str">
        <f>VLOOKUP($A1564, 'Medical Examinations'!A:H, 8, FALSE)</f>
        <v>No</v>
      </c>
      <c r="H1564">
        <f>VLOOKUP($A1564, 'Medical Examinations'!A:J, 10, FALSE)</f>
        <v>1</v>
      </c>
      <c r="I1564" t="str">
        <f>VLOOKUP($A1564, 'Medical Examinations'!A:K, 11, FALSE)</f>
        <v>No</v>
      </c>
      <c r="J1564" t="str">
        <f>VLOOKUP($A1564, 'Medical Examinations'!A:B, 2, FALSE)</f>
        <v>Overweight</v>
      </c>
      <c r="K1564" t="str">
        <f>VLOOKUP($A1564, 'Medical Examinations'!A:D, 4, FALSE)</f>
        <v>Normal</v>
      </c>
    </row>
    <row r="1565" spans="1:11" ht="15.5" x14ac:dyDescent="0.35">
      <c r="A1565" s="1" t="s">
        <v>807</v>
      </c>
      <c r="B1565" t="str">
        <f>VLOOKUP($A1565, 'Customer Names'!A:D, 3, FALSE)</f>
        <v>Ryan</v>
      </c>
      <c r="C1565">
        <f>VLOOKUP($A1565,'Medical Examinations'!A:C, 3, FALSE)</f>
        <v>46.53</v>
      </c>
      <c r="D1565" t="str">
        <f>VLOOKUP($A1565, 'Medical Examinations'!A:D, 4, FALSE)</f>
        <v>Normal</v>
      </c>
      <c r="E1565" t="str">
        <f>VLOOKUP($A1565, 'Medical Examinations'!A:F, 6, FALSE)</f>
        <v>yes</v>
      </c>
      <c r="F1565" t="str">
        <f>VLOOKUP($A1565, 'Medical Examinations'!A:G, 7, FALSE)</f>
        <v>No</v>
      </c>
      <c r="G1565" t="str">
        <f>VLOOKUP($A1565, 'Medical Examinations'!A:H, 8, FALSE)</f>
        <v>No</v>
      </c>
      <c r="H1565" t="str">
        <f>VLOOKUP($A1565, 'Medical Examinations'!A:J, 10, FALSE)</f>
        <v>No major surgery</v>
      </c>
      <c r="I1565" t="str">
        <f>VLOOKUP($A1565, 'Medical Examinations'!A:K, 11, FALSE)</f>
        <v>No</v>
      </c>
      <c r="J1565" t="str">
        <f>VLOOKUP($A1565, 'Medical Examinations'!A:B, 2, FALSE)</f>
        <v>Obesity</v>
      </c>
      <c r="K1565" t="str">
        <f>VLOOKUP($A1565, 'Medical Examinations'!A:D, 4, FALSE)</f>
        <v>Normal</v>
      </c>
    </row>
    <row r="1566" spans="1:11" ht="15.5" x14ac:dyDescent="0.35">
      <c r="A1566" s="1" t="s">
        <v>806</v>
      </c>
      <c r="B1566" t="str">
        <f>VLOOKUP($A1566, 'Customer Names'!A:D, 3, FALSE)</f>
        <v>Hoffman</v>
      </c>
      <c r="C1566">
        <f>VLOOKUP($A1566,'Medical Examinations'!A:C, 3, FALSE)</f>
        <v>20.58</v>
      </c>
      <c r="D1566" t="str">
        <f>VLOOKUP($A1566, 'Medical Examinations'!A:D, 4, FALSE)</f>
        <v>Diabetes</v>
      </c>
      <c r="E1566" t="str">
        <f>VLOOKUP($A1566, 'Medical Examinations'!A:F, 6, FALSE)</f>
        <v>yes</v>
      </c>
      <c r="F1566" t="str">
        <f>VLOOKUP($A1566, 'Medical Examinations'!A:G, 7, FALSE)</f>
        <v>No</v>
      </c>
      <c r="G1566" t="str">
        <f>VLOOKUP($A1566, 'Medical Examinations'!A:H, 8, FALSE)</f>
        <v>No</v>
      </c>
      <c r="H1566">
        <f>VLOOKUP($A1566, 'Medical Examinations'!A:J, 10, FALSE)</f>
        <v>1</v>
      </c>
      <c r="I1566" t="str">
        <f>VLOOKUP($A1566, 'Medical Examinations'!A:K, 11, FALSE)</f>
        <v>No</v>
      </c>
      <c r="J1566" t="str">
        <f>VLOOKUP($A1566, 'Medical Examinations'!A:B, 2, FALSE)</f>
        <v>Normal Weight</v>
      </c>
      <c r="K1566" t="str">
        <f>VLOOKUP($A1566, 'Medical Examinations'!A:D, 4, FALSE)</f>
        <v>Diabetes</v>
      </c>
    </row>
    <row r="1567" spans="1:11" ht="15.5" x14ac:dyDescent="0.35">
      <c r="A1567" s="1" t="s">
        <v>805</v>
      </c>
      <c r="B1567" t="str">
        <f>VLOOKUP($A1567, 'Customer Names'!A:D, 3, FALSE)</f>
        <v>Wong</v>
      </c>
      <c r="C1567">
        <f>VLOOKUP($A1567,'Medical Examinations'!A:C, 3, FALSE)</f>
        <v>19.53</v>
      </c>
      <c r="D1567" t="str">
        <f>VLOOKUP($A1567, 'Medical Examinations'!A:D, 4, FALSE)</f>
        <v>Prediabetes</v>
      </c>
      <c r="E1567" t="str">
        <f>VLOOKUP($A1567, 'Medical Examinations'!A:F, 6, FALSE)</f>
        <v>yes</v>
      </c>
      <c r="F1567" t="str">
        <f>VLOOKUP($A1567, 'Medical Examinations'!A:G, 7, FALSE)</f>
        <v>No</v>
      </c>
      <c r="G1567" t="str">
        <f>VLOOKUP($A1567, 'Medical Examinations'!A:H, 8, FALSE)</f>
        <v>No</v>
      </c>
      <c r="H1567" t="str">
        <f>VLOOKUP($A1567, 'Medical Examinations'!A:J, 10, FALSE)</f>
        <v>No major surgery</v>
      </c>
      <c r="I1567" t="str">
        <f>VLOOKUP($A1567, 'Medical Examinations'!A:K, 11, FALSE)</f>
        <v>No</v>
      </c>
      <c r="J1567" t="str">
        <f>VLOOKUP($A1567, 'Medical Examinations'!A:B, 2, FALSE)</f>
        <v>Normal Weight</v>
      </c>
      <c r="K1567" t="str">
        <f>VLOOKUP($A1567, 'Medical Examinations'!A:D, 4, FALSE)</f>
        <v>Prediabetes</v>
      </c>
    </row>
    <row r="1568" spans="1:11" ht="15.5" x14ac:dyDescent="0.35">
      <c r="A1568" s="1" t="s">
        <v>804</v>
      </c>
      <c r="B1568" t="str">
        <f>VLOOKUP($A1568, 'Customer Names'!A:D, 3, FALSE)</f>
        <v>Lea</v>
      </c>
      <c r="C1568">
        <f>VLOOKUP($A1568,'Medical Examinations'!A:C, 3, FALSE)</f>
        <v>27.7</v>
      </c>
      <c r="D1568" t="str">
        <f>VLOOKUP($A1568, 'Medical Examinations'!A:D, 4, FALSE)</f>
        <v>Normal</v>
      </c>
      <c r="E1568" t="str">
        <f>VLOOKUP($A1568, 'Medical Examinations'!A:F, 6, FALSE)</f>
        <v>No</v>
      </c>
      <c r="F1568" t="str">
        <f>VLOOKUP($A1568, 'Medical Examinations'!A:G, 7, FALSE)</f>
        <v>No</v>
      </c>
      <c r="G1568" t="str">
        <f>VLOOKUP($A1568, 'Medical Examinations'!A:H, 8, FALSE)</f>
        <v>No</v>
      </c>
      <c r="H1568">
        <f>VLOOKUP($A1568, 'Medical Examinations'!A:J, 10, FALSE)</f>
        <v>1</v>
      </c>
      <c r="I1568" t="str">
        <f>VLOOKUP($A1568, 'Medical Examinations'!A:K, 11, FALSE)</f>
        <v>No</v>
      </c>
      <c r="J1568" t="str">
        <f>VLOOKUP($A1568, 'Medical Examinations'!A:B, 2, FALSE)</f>
        <v>Overweight</v>
      </c>
      <c r="K1568" t="str">
        <f>VLOOKUP($A1568, 'Medical Examinations'!A:D, 4, FALSE)</f>
        <v>Normal</v>
      </c>
    </row>
    <row r="1569" spans="1:11" ht="15.5" x14ac:dyDescent="0.35">
      <c r="A1569" s="1" t="s">
        <v>803</v>
      </c>
      <c r="B1569" t="str">
        <f>VLOOKUP($A1569, 'Customer Names'!A:D, 3, FALSE)</f>
        <v>Patterson</v>
      </c>
      <c r="C1569">
        <f>VLOOKUP($A1569,'Medical Examinations'!A:C, 3, FALSE)</f>
        <v>18.920000000000002</v>
      </c>
      <c r="D1569" t="str">
        <f>VLOOKUP($A1569, 'Medical Examinations'!A:D, 4, FALSE)</f>
        <v>Diabetes</v>
      </c>
      <c r="E1569" t="str">
        <f>VLOOKUP($A1569, 'Medical Examinations'!A:F, 6, FALSE)</f>
        <v>No</v>
      </c>
      <c r="F1569" t="str">
        <f>VLOOKUP($A1569, 'Medical Examinations'!A:G, 7, FALSE)</f>
        <v>No</v>
      </c>
      <c r="G1569" t="str">
        <f>VLOOKUP($A1569, 'Medical Examinations'!A:H, 8, FALSE)</f>
        <v>No</v>
      </c>
      <c r="H1569" t="str">
        <f>VLOOKUP($A1569, 'Medical Examinations'!A:J, 10, FALSE)</f>
        <v>No major surgery</v>
      </c>
      <c r="I1569" t="str">
        <f>VLOOKUP($A1569, 'Medical Examinations'!A:K, 11, FALSE)</f>
        <v>No</v>
      </c>
      <c r="J1569" t="str">
        <f>VLOOKUP($A1569, 'Medical Examinations'!A:B, 2, FALSE)</f>
        <v>Normal Weight</v>
      </c>
      <c r="K1569" t="str">
        <f>VLOOKUP($A1569, 'Medical Examinations'!A:D, 4, FALSE)</f>
        <v>Diabetes</v>
      </c>
    </row>
    <row r="1570" spans="1:11" ht="15.5" x14ac:dyDescent="0.35">
      <c r="A1570" s="1" t="s">
        <v>802</v>
      </c>
      <c r="B1570" t="str">
        <f>VLOOKUP($A1570, 'Customer Names'!A:D, 3, FALSE)</f>
        <v>Quigley</v>
      </c>
      <c r="C1570">
        <f>VLOOKUP($A1570,'Medical Examinations'!A:C, 3, FALSE)</f>
        <v>17.760000000000002</v>
      </c>
      <c r="D1570" t="str">
        <f>VLOOKUP($A1570, 'Medical Examinations'!A:D, 4, FALSE)</f>
        <v>Diabetes</v>
      </c>
      <c r="E1570" t="str">
        <f>VLOOKUP($A1570, 'Medical Examinations'!A:F, 6, FALSE)</f>
        <v>yes</v>
      </c>
      <c r="F1570" t="str">
        <f>VLOOKUP($A1570, 'Medical Examinations'!A:G, 7, FALSE)</f>
        <v>No</v>
      </c>
      <c r="G1570" t="str">
        <f>VLOOKUP($A1570, 'Medical Examinations'!A:H, 8, FALSE)</f>
        <v>No</v>
      </c>
      <c r="H1570">
        <f>VLOOKUP($A1570, 'Medical Examinations'!A:J, 10, FALSE)</f>
        <v>2</v>
      </c>
      <c r="I1570" t="str">
        <f>VLOOKUP($A1570, 'Medical Examinations'!A:K, 11, FALSE)</f>
        <v>No</v>
      </c>
      <c r="J1570" t="str">
        <f>VLOOKUP($A1570, 'Medical Examinations'!A:B, 2, FALSE)</f>
        <v>Underweight</v>
      </c>
      <c r="K1570" t="str">
        <f>VLOOKUP($A1570, 'Medical Examinations'!A:D, 4, FALSE)</f>
        <v>Diabetes</v>
      </c>
    </row>
    <row r="1571" spans="1:11" ht="15.5" x14ac:dyDescent="0.35">
      <c r="A1571" s="1" t="s">
        <v>801</v>
      </c>
      <c r="B1571" t="str">
        <f>VLOOKUP($A1571, 'Customer Names'!A:D, 3, FALSE)</f>
        <v>Korir</v>
      </c>
      <c r="C1571">
        <f>VLOOKUP($A1571,'Medical Examinations'!A:C, 3, FALSE)</f>
        <v>29.83</v>
      </c>
      <c r="D1571" t="str">
        <f>VLOOKUP($A1571, 'Medical Examinations'!A:D, 4, FALSE)</f>
        <v>Normal</v>
      </c>
      <c r="E1571" t="str">
        <f>VLOOKUP($A1571, 'Medical Examinations'!A:F, 6, FALSE)</f>
        <v>yes</v>
      </c>
      <c r="F1571" t="str">
        <f>VLOOKUP($A1571, 'Medical Examinations'!A:G, 7, FALSE)</f>
        <v>No</v>
      </c>
      <c r="G1571" t="str">
        <f>VLOOKUP($A1571, 'Medical Examinations'!A:H, 8, FALSE)</f>
        <v>No</v>
      </c>
      <c r="H1571" t="str">
        <f>VLOOKUP($A1571, 'Medical Examinations'!A:J, 10, FALSE)</f>
        <v>No major surgery</v>
      </c>
      <c r="I1571" t="str">
        <f>VLOOKUP($A1571, 'Medical Examinations'!A:K, 11, FALSE)</f>
        <v>No</v>
      </c>
      <c r="J1571" t="str">
        <f>VLOOKUP($A1571, 'Medical Examinations'!A:B, 2, FALSE)</f>
        <v>Overweight</v>
      </c>
      <c r="K1571" t="str">
        <f>VLOOKUP($A1571, 'Medical Examinations'!A:D, 4, FALSE)</f>
        <v>Normal</v>
      </c>
    </row>
    <row r="1572" spans="1:11" ht="15.5" x14ac:dyDescent="0.35">
      <c r="A1572" s="1" t="s">
        <v>800</v>
      </c>
      <c r="B1572" t="str">
        <f>VLOOKUP($A1572, 'Customer Names'!A:D, 3, FALSE)</f>
        <v>Downs</v>
      </c>
      <c r="C1572">
        <f>VLOOKUP($A1572,'Medical Examinations'!A:C, 3, FALSE)</f>
        <v>23.465</v>
      </c>
      <c r="D1572" t="str">
        <f>VLOOKUP($A1572, 'Medical Examinations'!A:D, 4, FALSE)</f>
        <v>Normal</v>
      </c>
      <c r="E1572" t="str">
        <f>VLOOKUP($A1572, 'Medical Examinations'!A:F, 6, FALSE)</f>
        <v>No</v>
      </c>
      <c r="F1572" t="str">
        <f>VLOOKUP($A1572, 'Medical Examinations'!A:G, 7, FALSE)</f>
        <v>No</v>
      </c>
      <c r="G1572" t="str">
        <f>VLOOKUP($A1572, 'Medical Examinations'!A:H, 8, FALSE)</f>
        <v>No</v>
      </c>
      <c r="H1572">
        <f>VLOOKUP($A1572, 'Medical Examinations'!A:J, 10, FALSE)</f>
        <v>1</v>
      </c>
      <c r="I1572" t="str">
        <f>VLOOKUP($A1572, 'Medical Examinations'!A:K, 11, FALSE)</f>
        <v>No</v>
      </c>
      <c r="J1572" t="str">
        <f>VLOOKUP($A1572, 'Medical Examinations'!A:B, 2, FALSE)</f>
        <v>Normal Weight</v>
      </c>
      <c r="K1572" t="str">
        <f>VLOOKUP($A1572, 'Medical Examinations'!A:D, 4, FALSE)</f>
        <v>Normal</v>
      </c>
    </row>
    <row r="1573" spans="1:11" ht="15.5" x14ac:dyDescent="0.35">
      <c r="A1573" s="1" t="s">
        <v>799</v>
      </c>
      <c r="B1573" t="str">
        <f>VLOOKUP($A1573, 'Customer Names'!A:D, 3, FALSE)</f>
        <v>Young</v>
      </c>
      <c r="C1573">
        <f>VLOOKUP($A1573,'Medical Examinations'!A:C, 3, FALSE)</f>
        <v>29.355</v>
      </c>
      <c r="D1573" t="str">
        <f>VLOOKUP($A1573, 'Medical Examinations'!A:D, 4, FALSE)</f>
        <v>Normal</v>
      </c>
      <c r="E1573" t="str">
        <f>VLOOKUP($A1573, 'Medical Examinations'!A:F, 6, FALSE)</f>
        <v>No</v>
      </c>
      <c r="F1573" t="str">
        <f>VLOOKUP($A1573, 'Medical Examinations'!A:G, 7, FALSE)</f>
        <v>No</v>
      </c>
      <c r="G1573" t="str">
        <f>VLOOKUP($A1573, 'Medical Examinations'!A:H, 8, FALSE)</f>
        <v>No</v>
      </c>
      <c r="H1573" t="str">
        <f>VLOOKUP($A1573, 'Medical Examinations'!A:J, 10, FALSE)</f>
        <v>No major surgery</v>
      </c>
      <c r="I1573" t="str">
        <f>VLOOKUP($A1573, 'Medical Examinations'!A:K, 11, FALSE)</f>
        <v>No</v>
      </c>
      <c r="J1573" t="str">
        <f>VLOOKUP($A1573, 'Medical Examinations'!A:B, 2, FALSE)</f>
        <v>Overweight</v>
      </c>
      <c r="K1573" t="str">
        <f>VLOOKUP($A1573, 'Medical Examinations'!A:D, 4, FALSE)</f>
        <v>Normal</v>
      </c>
    </row>
    <row r="1574" spans="1:11" ht="15.5" x14ac:dyDescent="0.35">
      <c r="A1574" s="1" t="s">
        <v>798</v>
      </c>
      <c r="B1574" t="str">
        <f>VLOOKUP($A1574, 'Customer Names'!A:D, 3, FALSE)</f>
        <v>Zywek</v>
      </c>
      <c r="C1574">
        <f>VLOOKUP($A1574,'Medical Examinations'!A:C, 3, FALSE)</f>
        <v>35.49</v>
      </c>
      <c r="D1574" t="str">
        <f>VLOOKUP($A1574, 'Medical Examinations'!A:D, 4, FALSE)</f>
        <v>Normal</v>
      </c>
      <c r="E1574" t="str">
        <f>VLOOKUP($A1574, 'Medical Examinations'!A:F, 6, FALSE)</f>
        <v>yes</v>
      </c>
      <c r="F1574" t="str">
        <f>VLOOKUP($A1574, 'Medical Examinations'!A:G, 7, FALSE)</f>
        <v>No</v>
      </c>
      <c r="G1574" t="str">
        <f>VLOOKUP($A1574, 'Medical Examinations'!A:H, 8, FALSE)</f>
        <v>Yes</v>
      </c>
      <c r="H1574">
        <f>VLOOKUP($A1574, 'Medical Examinations'!A:J, 10, FALSE)</f>
        <v>1</v>
      </c>
      <c r="I1574" t="str">
        <f>VLOOKUP($A1574, 'Medical Examinations'!A:K, 11, FALSE)</f>
        <v>No</v>
      </c>
      <c r="J1574" t="str">
        <f>VLOOKUP($A1574, 'Medical Examinations'!A:B, 2, FALSE)</f>
        <v>Obesity</v>
      </c>
      <c r="K1574" t="str">
        <f>VLOOKUP($A1574, 'Medical Examinations'!A:D, 4, FALSE)</f>
        <v>Normal</v>
      </c>
    </row>
    <row r="1575" spans="1:11" ht="15.5" x14ac:dyDescent="0.35">
      <c r="A1575" s="1" t="s">
        <v>797</v>
      </c>
      <c r="B1575" t="str">
        <f>VLOOKUP($A1575, 'Customer Names'!A:D, 3, FALSE)</f>
        <v>Faulkner</v>
      </c>
      <c r="C1575">
        <f>VLOOKUP($A1575,'Medical Examinations'!A:C, 3, FALSE)</f>
        <v>26.315000000000001</v>
      </c>
      <c r="D1575" t="str">
        <f>VLOOKUP($A1575, 'Medical Examinations'!A:D, 4, FALSE)</f>
        <v>Prediabetes</v>
      </c>
      <c r="E1575" t="str">
        <f>VLOOKUP($A1575, 'Medical Examinations'!A:F, 6, FALSE)</f>
        <v>No</v>
      </c>
      <c r="F1575" t="str">
        <f>VLOOKUP($A1575, 'Medical Examinations'!A:G, 7, FALSE)</f>
        <v>No</v>
      </c>
      <c r="G1575" t="str">
        <f>VLOOKUP($A1575, 'Medical Examinations'!A:H, 8, FALSE)</f>
        <v>No</v>
      </c>
      <c r="H1575" t="str">
        <f>VLOOKUP($A1575, 'Medical Examinations'!A:J, 10, FALSE)</f>
        <v>No major surgery</v>
      </c>
      <c r="I1575" t="str">
        <f>VLOOKUP($A1575, 'Medical Examinations'!A:K, 11, FALSE)</f>
        <v>No</v>
      </c>
      <c r="J1575" t="str">
        <f>VLOOKUP($A1575, 'Medical Examinations'!A:B, 2, FALSE)</f>
        <v>Overweight</v>
      </c>
      <c r="K1575" t="str">
        <f>VLOOKUP($A1575, 'Medical Examinations'!A:D, 4, FALSE)</f>
        <v>Prediabetes</v>
      </c>
    </row>
    <row r="1576" spans="1:11" ht="15.5" x14ac:dyDescent="0.35">
      <c r="A1576" s="1" t="s">
        <v>796</v>
      </c>
      <c r="B1576" t="str">
        <f>VLOOKUP($A1576, 'Customer Names'!A:D, 3, FALSE)</f>
        <v>Erspamer</v>
      </c>
      <c r="C1576">
        <f>VLOOKUP($A1576,'Medical Examinations'!A:C, 3, FALSE)</f>
        <v>19.79</v>
      </c>
      <c r="D1576" t="str">
        <f>VLOOKUP($A1576, 'Medical Examinations'!A:D, 4, FALSE)</f>
        <v>Normal</v>
      </c>
      <c r="E1576" t="str">
        <f>VLOOKUP($A1576, 'Medical Examinations'!A:F, 6, FALSE)</f>
        <v>yes</v>
      </c>
      <c r="F1576" t="str">
        <f>VLOOKUP($A1576, 'Medical Examinations'!A:G, 7, FALSE)</f>
        <v>No</v>
      </c>
      <c r="G1576" t="str">
        <f>VLOOKUP($A1576, 'Medical Examinations'!A:H, 8, FALSE)</f>
        <v>No</v>
      </c>
      <c r="H1576" t="str">
        <f>VLOOKUP($A1576, 'Medical Examinations'!A:J, 10, FALSE)</f>
        <v>No major surgery</v>
      </c>
      <c r="I1576" t="str">
        <f>VLOOKUP($A1576, 'Medical Examinations'!A:K, 11, FALSE)</f>
        <v>No</v>
      </c>
      <c r="J1576" t="str">
        <f>VLOOKUP($A1576, 'Medical Examinations'!A:B, 2, FALSE)</f>
        <v>Normal Weight</v>
      </c>
      <c r="K1576" t="str">
        <f>VLOOKUP($A1576, 'Medical Examinations'!A:D, 4, FALSE)</f>
        <v>Normal</v>
      </c>
    </row>
    <row r="1577" spans="1:11" ht="15.5" x14ac:dyDescent="0.35">
      <c r="A1577" s="1" t="s">
        <v>795</v>
      </c>
      <c r="B1577" t="str">
        <f>VLOOKUP($A1577, 'Customer Names'!A:D, 3, FALSE)</f>
        <v>Campbell</v>
      </c>
      <c r="C1577">
        <f>VLOOKUP($A1577,'Medical Examinations'!A:C, 3, FALSE)</f>
        <v>40.564999999999998</v>
      </c>
      <c r="D1577" t="str">
        <f>VLOOKUP($A1577, 'Medical Examinations'!A:D, 4, FALSE)</f>
        <v>Normal</v>
      </c>
      <c r="E1577" t="str">
        <f>VLOOKUP($A1577, 'Medical Examinations'!A:F, 6, FALSE)</f>
        <v>No</v>
      </c>
      <c r="F1577" t="str">
        <f>VLOOKUP($A1577, 'Medical Examinations'!A:G, 7, FALSE)</f>
        <v>No</v>
      </c>
      <c r="G1577" t="str">
        <f>VLOOKUP($A1577, 'Medical Examinations'!A:H, 8, FALSE)</f>
        <v>No</v>
      </c>
      <c r="H1577">
        <f>VLOOKUP($A1577, 'Medical Examinations'!A:J, 10, FALSE)</f>
        <v>1</v>
      </c>
      <c r="I1577" t="str">
        <f>VLOOKUP($A1577, 'Medical Examinations'!A:K, 11, FALSE)</f>
        <v>No</v>
      </c>
      <c r="J1577" t="str">
        <f>VLOOKUP($A1577, 'Medical Examinations'!A:B, 2, FALSE)</f>
        <v>Obesity</v>
      </c>
      <c r="K1577" t="str">
        <f>VLOOKUP($A1577, 'Medical Examinations'!A:D, 4, FALSE)</f>
        <v>Normal</v>
      </c>
    </row>
    <row r="1578" spans="1:11" ht="15.5" x14ac:dyDescent="0.35">
      <c r="A1578" s="1" t="s">
        <v>794</v>
      </c>
      <c r="B1578" t="str">
        <f>VLOOKUP($A1578, 'Customer Names'!A:D, 3, FALSE)</f>
        <v>Addison</v>
      </c>
      <c r="C1578">
        <f>VLOOKUP($A1578,'Medical Examinations'!A:C, 3, FALSE)</f>
        <v>18.03</v>
      </c>
      <c r="D1578" t="str">
        <f>VLOOKUP($A1578, 'Medical Examinations'!A:D, 4, FALSE)</f>
        <v>Diabetes</v>
      </c>
      <c r="E1578" t="str">
        <f>VLOOKUP($A1578, 'Medical Examinations'!A:F, 6, FALSE)</f>
        <v>yes</v>
      </c>
      <c r="F1578" t="str">
        <f>VLOOKUP($A1578, 'Medical Examinations'!A:G, 7, FALSE)</f>
        <v>No</v>
      </c>
      <c r="G1578" t="str">
        <f>VLOOKUP($A1578, 'Medical Examinations'!A:H, 8, FALSE)</f>
        <v>No</v>
      </c>
      <c r="H1578">
        <f>VLOOKUP($A1578, 'Medical Examinations'!A:J, 10, FALSE)</f>
        <v>2</v>
      </c>
      <c r="I1578" t="str">
        <f>VLOOKUP($A1578, 'Medical Examinations'!A:K, 11, FALSE)</f>
        <v>No</v>
      </c>
      <c r="J1578" t="str">
        <f>VLOOKUP($A1578, 'Medical Examinations'!A:B, 2, FALSE)</f>
        <v>Underweight</v>
      </c>
      <c r="K1578" t="str">
        <f>VLOOKUP($A1578, 'Medical Examinations'!A:D, 4, FALSE)</f>
        <v>Diabetes</v>
      </c>
    </row>
    <row r="1579" spans="1:11" ht="15.5" x14ac:dyDescent="0.35">
      <c r="A1579" s="1" t="s">
        <v>793</v>
      </c>
      <c r="B1579" t="str">
        <f>VLOOKUP($A1579, 'Customer Names'!A:D, 3, FALSE)</f>
        <v>Wu</v>
      </c>
      <c r="C1579">
        <f>VLOOKUP($A1579,'Medical Examinations'!A:C, 3, FALSE)</f>
        <v>34.65</v>
      </c>
      <c r="D1579" t="str">
        <f>VLOOKUP($A1579, 'Medical Examinations'!A:D, 4, FALSE)</f>
        <v>Prediabetes</v>
      </c>
      <c r="E1579" t="str">
        <f>VLOOKUP($A1579, 'Medical Examinations'!A:F, 6, FALSE)</f>
        <v>yes</v>
      </c>
      <c r="F1579" t="str">
        <f>VLOOKUP($A1579, 'Medical Examinations'!A:G, 7, FALSE)</f>
        <v>No</v>
      </c>
      <c r="G1579" t="str">
        <f>VLOOKUP($A1579, 'Medical Examinations'!A:H, 8, FALSE)</f>
        <v>No</v>
      </c>
      <c r="H1579" t="str">
        <f>VLOOKUP($A1579, 'Medical Examinations'!A:J, 10, FALSE)</f>
        <v>No major surgery</v>
      </c>
      <c r="I1579" t="str">
        <f>VLOOKUP($A1579, 'Medical Examinations'!A:K, 11, FALSE)</f>
        <v>No</v>
      </c>
      <c r="J1579" t="str">
        <f>VLOOKUP($A1579, 'Medical Examinations'!A:B, 2, FALSE)</f>
        <v>Obesity</v>
      </c>
      <c r="K1579" t="str">
        <f>VLOOKUP($A1579, 'Medical Examinations'!A:D, 4, FALSE)</f>
        <v>Prediabetes</v>
      </c>
    </row>
    <row r="1580" spans="1:11" ht="15.5" x14ac:dyDescent="0.35">
      <c r="A1580" s="1" t="s">
        <v>792</v>
      </c>
      <c r="B1580" t="str">
        <f>VLOOKUP($A1580, 'Customer Names'!A:D, 3, FALSE)</f>
        <v>Millett</v>
      </c>
      <c r="C1580">
        <f>VLOOKUP($A1580,'Medical Examinations'!A:C, 3, FALSE)</f>
        <v>42.94</v>
      </c>
      <c r="D1580" t="str">
        <f>VLOOKUP($A1580, 'Medical Examinations'!A:D, 4, FALSE)</f>
        <v>Normal</v>
      </c>
      <c r="E1580" t="str">
        <f>VLOOKUP($A1580, 'Medical Examinations'!A:F, 6, FALSE)</f>
        <v>No</v>
      </c>
      <c r="F1580" t="str">
        <f>VLOOKUP($A1580, 'Medical Examinations'!A:G, 7, FALSE)</f>
        <v>No</v>
      </c>
      <c r="G1580" t="str">
        <f>VLOOKUP($A1580, 'Medical Examinations'!A:H, 8, FALSE)</f>
        <v>No</v>
      </c>
      <c r="H1580" t="str">
        <f>VLOOKUP($A1580, 'Medical Examinations'!A:J, 10, FALSE)</f>
        <v>No major surgery</v>
      </c>
      <c r="I1580" t="str">
        <f>VLOOKUP($A1580, 'Medical Examinations'!A:K, 11, FALSE)</f>
        <v>No</v>
      </c>
      <c r="J1580" t="str">
        <f>VLOOKUP($A1580, 'Medical Examinations'!A:B, 2, FALSE)</f>
        <v>Obesity</v>
      </c>
      <c r="K1580" t="str">
        <f>VLOOKUP($A1580, 'Medical Examinations'!A:D, 4, FALSE)</f>
        <v>Normal</v>
      </c>
    </row>
    <row r="1581" spans="1:11" ht="15.5" x14ac:dyDescent="0.35">
      <c r="A1581" s="1" t="s">
        <v>791</v>
      </c>
      <c r="B1581" t="str">
        <f>VLOOKUP($A1581, 'Customer Names'!A:D, 3, FALSE)</f>
        <v>Bosl</v>
      </c>
      <c r="C1581">
        <f>VLOOKUP($A1581,'Medical Examinations'!A:C, 3, FALSE)</f>
        <v>31.254999999999999</v>
      </c>
      <c r="D1581" t="str">
        <f>VLOOKUP($A1581, 'Medical Examinations'!A:D, 4, FALSE)</f>
        <v>Normal</v>
      </c>
      <c r="E1581" t="str">
        <f>VLOOKUP($A1581, 'Medical Examinations'!A:F, 6, FALSE)</f>
        <v>No</v>
      </c>
      <c r="F1581" t="str">
        <f>VLOOKUP($A1581, 'Medical Examinations'!A:G, 7, FALSE)</f>
        <v>No</v>
      </c>
      <c r="G1581" t="str">
        <f>VLOOKUP($A1581, 'Medical Examinations'!A:H, 8, FALSE)</f>
        <v>No</v>
      </c>
      <c r="H1581" t="str">
        <f>VLOOKUP($A1581, 'Medical Examinations'!A:J, 10, FALSE)</f>
        <v>No major surgery</v>
      </c>
      <c r="I1581" t="str">
        <f>VLOOKUP($A1581, 'Medical Examinations'!A:K, 11, FALSE)</f>
        <v>No</v>
      </c>
      <c r="J1581" t="str">
        <f>VLOOKUP($A1581, 'Medical Examinations'!A:B, 2, FALSE)</f>
        <v>Obesity</v>
      </c>
      <c r="K1581" t="str">
        <f>VLOOKUP($A1581, 'Medical Examinations'!A:D, 4, FALSE)</f>
        <v>Normal</v>
      </c>
    </row>
    <row r="1582" spans="1:11" ht="15.5" x14ac:dyDescent="0.35">
      <c r="A1582" s="1" t="s">
        <v>790</v>
      </c>
      <c r="B1582" t="str">
        <f>VLOOKUP($A1582, 'Customer Names'!A:D, 3, FALSE)</f>
        <v>Goldberg</v>
      </c>
      <c r="C1582">
        <f>VLOOKUP($A1582,'Medical Examinations'!A:C, 3, FALSE)</f>
        <v>45.43</v>
      </c>
      <c r="D1582" t="str">
        <f>VLOOKUP($A1582, 'Medical Examinations'!A:D, 4, FALSE)</f>
        <v>Normal</v>
      </c>
      <c r="E1582" t="str">
        <f>VLOOKUP($A1582, 'Medical Examinations'!A:F, 6, FALSE)</f>
        <v>yes</v>
      </c>
      <c r="F1582" t="str">
        <f>VLOOKUP($A1582, 'Medical Examinations'!A:G, 7, FALSE)</f>
        <v>No</v>
      </c>
      <c r="G1582" t="str">
        <f>VLOOKUP($A1582, 'Medical Examinations'!A:H, 8, FALSE)</f>
        <v>Yes</v>
      </c>
      <c r="H1582">
        <f>VLOOKUP($A1582, 'Medical Examinations'!A:J, 10, FALSE)</f>
        <v>1</v>
      </c>
      <c r="I1582" t="str">
        <f>VLOOKUP($A1582, 'Medical Examinations'!A:K, 11, FALSE)</f>
        <v>No</v>
      </c>
      <c r="J1582" t="str">
        <f>VLOOKUP($A1582, 'Medical Examinations'!A:B, 2, FALSE)</f>
        <v>Obesity</v>
      </c>
      <c r="K1582" t="str">
        <f>VLOOKUP($A1582, 'Medical Examinations'!A:D, 4, FALSE)</f>
        <v>Normal</v>
      </c>
    </row>
    <row r="1583" spans="1:11" ht="15.5" x14ac:dyDescent="0.35">
      <c r="A1583" s="1" t="s">
        <v>789</v>
      </c>
      <c r="B1583" t="str">
        <f>VLOOKUP($A1583, 'Customer Names'!A:D, 3, FALSE)</f>
        <v>Kelley</v>
      </c>
      <c r="C1583">
        <f>VLOOKUP($A1583,'Medical Examinations'!A:C, 3, FALSE)</f>
        <v>32.340000000000003</v>
      </c>
      <c r="D1583" t="str">
        <f>VLOOKUP($A1583, 'Medical Examinations'!A:D, 4, FALSE)</f>
        <v>Normal</v>
      </c>
      <c r="E1583" t="str">
        <f>VLOOKUP($A1583, 'Medical Examinations'!A:F, 6, FALSE)</f>
        <v>yes</v>
      </c>
      <c r="F1583" t="str">
        <f>VLOOKUP($A1583, 'Medical Examinations'!A:G, 7, FALSE)</f>
        <v>No</v>
      </c>
      <c r="G1583" t="str">
        <f>VLOOKUP($A1583, 'Medical Examinations'!A:H, 8, FALSE)</f>
        <v>Yes</v>
      </c>
      <c r="H1583">
        <f>VLOOKUP($A1583, 'Medical Examinations'!A:J, 10, FALSE)</f>
        <v>1</v>
      </c>
      <c r="I1583" t="str">
        <f>VLOOKUP($A1583, 'Medical Examinations'!A:K, 11, FALSE)</f>
        <v>No</v>
      </c>
      <c r="J1583" t="str">
        <f>VLOOKUP($A1583, 'Medical Examinations'!A:B, 2, FALSE)</f>
        <v>Obesity</v>
      </c>
      <c r="K1583" t="str">
        <f>VLOOKUP($A1583, 'Medical Examinations'!A:D, 4, FALSE)</f>
        <v>Normal</v>
      </c>
    </row>
    <row r="1584" spans="1:11" ht="15.5" x14ac:dyDescent="0.35">
      <c r="A1584" s="1" t="s">
        <v>788</v>
      </c>
      <c r="B1584" t="str">
        <f>VLOOKUP($A1584, 'Customer Names'!A:D, 3, FALSE)</f>
        <v>Johnston</v>
      </c>
      <c r="C1584">
        <f>VLOOKUP($A1584,'Medical Examinations'!A:C, 3, FALSE)</f>
        <v>25.46</v>
      </c>
      <c r="D1584" t="str">
        <f>VLOOKUP($A1584, 'Medical Examinations'!A:D, 4, FALSE)</f>
        <v>Diabetes</v>
      </c>
      <c r="E1584" t="str">
        <f>VLOOKUP($A1584, 'Medical Examinations'!A:F, 6, FALSE)</f>
        <v>yes</v>
      </c>
      <c r="F1584" t="str">
        <f>VLOOKUP($A1584, 'Medical Examinations'!A:G, 7, FALSE)</f>
        <v>No</v>
      </c>
      <c r="G1584" t="str">
        <f>VLOOKUP($A1584, 'Medical Examinations'!A:H, 8, FALSE)</f>
        <v>No</v>
      </c>
      <c r="H1584">
        <f>VLOOKUP($A1584, 'Medical Examinations'!A:J, 10, FALSE)</f>
        <v>1</v>
      </c>
      <c r="I1584" t="str">
        <f>VLOOKUP($A1584, 'Medical Examinations'!A:K, 11, FALSE)</f>
        <v>No</v>
      </c>
      <c r="J1584" t="str">
        <f>VLOOKUP($A1584, 'Medical Examinations'!A:B, 2, FALSE)</f>
        <v>Overweight</v>
      </c>
      <c r="K1584" t="str">
        <f>VLOOKUP($A1584, 'Medical Examinations'!A:D, 4, FALSE)</f>
        <v>Diabetes</v>
      </c>
    </row>
    <row r="1585" spans="1:11" ht="15.5" x14ac:dyDescent="0.35">
      <c r="A1585" s="1" t="s">
        <v>787</v>
      </c>
      <c r="B1585" t="str">
        <f>VLOOKUP($A1585, 'Customer Names'!A:D, 3, FALSE)</f>
        <v>Keating</v>
      </c>
      <c r="C1585">
        <f>VLOOKUP($A1585,'Medical Examinations'!A:C, 3, FALSE)</f>
        <v>37.145000000000003</v>
      </c>
      <c r="D1585" t="str">
        <f>VLOOKUP($A1585, 'Medical Examinations'!A:D, 4, FALSE)</f>
        <v>Normal</v>
      </c>
      <c r="E1585" t="str">
        <f>VLOOKUP($A1585, 'Medical Examinations'!A:F, 6, FALSE)</f>
        <v>No</v>
      </c>
      <c r="F1585" t="str">
        <f>VLOOKUP($A1585, 'Medical Examinations'!A:G, 7, FALSE)</f>
        <v>No</v>
      </c>
      <c r="G1585" t="str">
        <f>VLOOKUP($A1585, 'Medical Examinations'!A:H, 8, FALSE)</f>
        <v>No</v>
      </c>
      <c r="H1585" t="str">
        <f>VLOOKUP($A1585, 'Medical Examinations'!A:J, 10, FALSE)</f>
        <v>No major surgery</v>
      </c>
      <c r="I1585" t="str">
        <f>VLOOKUP($A1585, 'Medical Examinations'!A:K, 11, FALSE)</f>
        <v>No</v>
      </c>
      <c r="J1585" t="str">
        <f>VLOOKUP($A1585, 'Medical Examinations'!A:B, 2, FALSE)</f>
        <v>Obesity</v>
      </c>
      <c r="K1585" t="str">
        <f>VLOOKUP($A1585, 'Medical Examinations'!A:D, 4, FALSE)</f>
        <v>Normal</v>
      </c>
    </row>
    <row r="1586" spans="1:11" ht="15.5" x14ac:dyDescent="0.35">
      <c r="A1586" s="1" t="s">
        <v>786</v>
      </c>
      <c r="B1586" t="str">
        <f>VLOOKUP($A1586, 'Customer Names'!A:D, 3, FALSE)</f>
        <v>Duhon</v>
      </c>
      <c r="C1586">
        <f>VLOOKUP($A1586,'Medical Examinations'!A:C, 3, FALSE)</f>
        <v>30.8</v>
      </c>
      <c r="D1586" t="str">
        <f>VLOOKUP($A1586, 'Medical Examinations'!A:D, 4, FALSE)</f>
        <v>Prediabetes</v>
      </c>
      <c r="E1586" t="str">
        <f>VLOOKUP($A1586, 'Medical Examinations'!A:F, 6, FALSE)</f>
        <v>yes</v>
      </c>
      <c r="F1586" t="str">
        <f>VLOOKUP($A1586, 'Medical Examinations'!A:G, 7, FALSE)</f>
        <v>No</v>
      </c>
      <c r="G1586" t="str">
        <f>VLOOKUP($A1586, 'Medical Examinations'!A:H, 8, FALSE)</f>
        <v>No</v>
      </c>
      <c r="H1586" t="str">
        <f>VLOOKUP($A1586, 'Medical Examinations'!A:J, 10, FALSE)</f>
        <v>No major surgery</v>
      </c>
      <c r="I1586" t="str">
        <f>VLOOKUP($A1586, 'Medical Examinations'!A:K, 11, FALSE)</f>
        <v>No</v>
      </c>
      <c r="J1586" t="str">
        <f>VLOOKUP($A1586, 'Medical Examinations'!A:B, 2, FALSE)</f>
        <v>Obesity</v>
      </c>
      <c r="K1586" t="str">
        <f>VLOOKUP($A1586, 'Medical Examinations'!A:D, 4, FALSE)</f>
        <v>Prediabetes</v>
      </c>
    </row>
    <row r="1587" spans="1:11" ht="15.5" x14ac:dyDescent="0.35">
      <c r="A1587" s="1" t="s">
        <v>785</v>
      </c>
      <c r="B1587" t="str">
        <f>VLOOKUP($A1587, 'Customer Names'!A:D, 3, FALSE)</f>
        <v>Briseno</v>
      </c>
      <c r="C1587">
        <f>VLOOKUP($A1587,'Medical Examinations'!A:C, 3, FALSE)</f>
        <v>29.5</v>
      </c>
      <c r="D1587" t="str">
        <f>VLOOKUP($A1587, 'Medical Examinations'!A:D, 4, FALSE)</f>
        <v>Normal</v>
      </c>
      <c r="E1587" t="str">
        <f>VLOOKUP($A1587, 'Medical Examinations'!A:F, 6, FALSE)</f>
        <v>yes</v>
      </c>
      <c r="F1587" t="str">
        <f>VLOOKUP($A1587, 'Medical Examinations'!A:G, 7, FALSE)</f>
        <v>No</v>
      </c>
      <c r="G1587" t="str">
        <f>VLOOKUP($A1587, 'Medical Examinations'!A:H, 8, FALSE)</f>
        <v>No</v>
      </c>
      <c r="H1587" t="str">
        <f>VLOOKUP($A1587, 'Medical Examinations'!A:J, 10, FALSE)</f>
        <v>No major surgery</v>
      </c>
      <c r="I1587" t="str">
        <f>VLOOKUP($A1587, 'Medical Examinations'!A:K, 11, FALSE)</f>
        <v>No</v>
      </c>
      <c r="J1587" t="str">
        <f>VLOOKUP($A1587, 'Medical Examinations'!A:B, 2, FALSE)</f>
        <v>Overweight</v>
      </c>
      <c r="K1587" t="str">
        <f>VLOOKUP($A1587, 'Medical Examinations'!A:D, 4, FALSE)</f>
        <v>Normal</v>
      </c>
    </row>
    <row r="1588" spans="1:11" ht="15.5" x14ac:dyDescent="0.35">
      <c r="A1588" s="1" t="s">
        <v>784</v>
      </c>
      <c r="B1588" t="str">
        <f>VLOOKUP($A1588, 'Customer Names'!A:D, 3, FALSE)</f>
        <v>Besse</v>
      </c>
      <c r="C1588">
        <f>VLOOKUP($A1588,'Medical Examinations'!A:C, 3, FALSE)</f>
        <v>43.39</v>
      </c>
      <c r="D1588" t="str">
        <f>VLOOKUP($A1588, 'Medical Examinations'!A:D, 4, FALSE)</f>
        <v>Prediabetes</v>
      </c>
      <c r="E1588" t="str">
        <f>VLOOKUP($A1588, 'Medical Examinations'!A:F, 6, FALSE)</f>
        <v>No</v>
      </c>
      <c r="F1588" t="str">
        <f>VLOOKUP($A1588, 'Medical Examinations'!A:G, 7, FALSE)</f>
        <v>yes</v>
      </c>
      <c r="G1588" t="str">
        <f>VLOOKUP($A1588, 'Medical Examinations'!A:H, 8, FALSE)</f>
        <v>No</v>
      </c>
      <c r="H1588">
        <f>VLOOKUP($A1588, 'Medical Examinations'!A:J, 10, FALSE)</f>
        <v>1</v>
      </c>
      <c r="I1588" t="str">
        <f>VLOOKUP($A1588, 'Medical Examinations'!A:K, 11, FALSE)</f>
        <v>No</v>
      </c>
      <c r="J1588" t="str">
        <f>VLOOKUP($A1588, 'Medical Examinations'!A:B, 2, FALSE)</f>
        <v>Obesity</v>
      </c>
      <c r="K1588" t="str">
        <f>VLOOKUP($A1588, 'Medical Examinations'!A:D, 4, FALSE)</f>
        <v>Prediabetes</v>
      </c>
    </row>
    <row r="1589" spans="1:11" ht="15.5" x14ac:dyDescent="0.35">
      <c r="A1589" s="1" t="s">
        <v>783</v>
      </c>
      <c r="B1589" t="str">
        <f>VLOOKUP($A1589, 'Customer Names'!A:D, 3, FALSE)</f>
        <v>Shillings</v>
      </c>
      <c r="C1589">
        <f>VLOOKUP($A1589,'Medical Examinations'!A:C, 3, FALSE)</f>
        <v>15.08</v>
      </c>
      <c r="D1589" t="str">
        <f>VLOOKUP($A1589, 'Medical Examinations'!A:D, 4, FALSE)</f>
        <v>Normal</v>
      </c>
      <c r="E1589" t="str">
        <f>VLOOKUP($A1589, 'Medical Examinations'!A:F, 6, FALSE)</f>
        <v>yes</v>
      </c>
      <c r="F1589" t="str">
        <f>VLOOKUP($A1589, 'Medical Examinations'!A:G, 7, FALSE)</f>
        <v>No</v>
      </c>
      <c r="G1589" t="str">
        <f>VLOOKUP($A1589, 'Medical Examinations'!A:H, 8, FALSE)</f>
        <v>Yes</v>
      </c>
      <c r="H1589">
        <f>VLOOKUP($A1589, 'Medical Examinations'!A:J, 10, FALSE)</f>
        <v>1</v>
      </c>
      <c r="I1589" t="str">
        <f>VLOOKUP($A1589, 'Medical Examinations'!A:K, 11, FALSE)</f>
        <v>No</v>
      </c>
      <c r="J1589" t="str">
        <f>VLOOKUP($A1589, 'Medical Examinations'!A:B, 2, FALSE)</f>
        <v>Underweight</v>
      </c>
      <c r="K1589" t="str">
        <f>VLOOKUP($A1589, 'Medical Examinations'!A:D, 4, FALSE)</f>
        <v>Normal</v>
      </c>
    </row>
    <row r="1590" spans="1:11" ht="15.5" x14ac:dyDescent="0.35">
      <c r="A1590" s="1" t="s">
        <v>782</v>
      </c>
      <c r="B1590" t="str">
        <f>VLOOKUP($A1590, 'Customer Names'!A:D, 3, FALSE)</f>
        <v>Tate</v>
      </c>
      <c r="C1590">
        <f>VLOOKUP($A1590,'Medical Examinations'!A:C, 3, FALSE)</f>
        <v>20.48</v>
      </c>
      <c r="D1590" t="str">
        <f>VLOOKUP($A1590, 'Medical Examinations'!A:D, 4, FALSE)</f>
        <v>Diabetes</v>
      </c>
      <c r="E1590" t="str">
        <f>VLOOKUP($A1590, 'Medical Examinations'!A:F, 6, FALSE)</f>
        <v>No</v>
      </c>
      <c r="F1590" t="str">
        <f>VLOOKUP($A1590, 'Medical Examinations'!A:G, 7, FALSE)</f>
        <v>No</v>
      </c>
      <c r="G1590" t="str">
        <f>VLOOKUP($A1590, 'Medical Examinations'!A:H, 8, FALSE)</f>
        <v>No</v>
      </c>
      <c r="H1590" t="str">
        <f>VLOOKUP($A1590, 'Medical Examinations'!A:J, 10, FALSE)</f>
        <v>No major surgery</v>
      </c>
      <c r="I1590" t="str">
        <f>VLOOKUP($A1590, 'Medical Examinations'!A:K, 11, FALSE)</f>
        <v>No</v>
      </c>
      <c r="J1590" t="str">
        <f>VLOOKUP($A1590, 'Medical Examinations'!A:B, 2, FALSE)</f>
        <v>Normal Weight</v>
      </c>
      <c r="K1590" t="str">
        <f>VLOOKUP($A1590, 'Medical Examinations'!A:D, 4, FALSE)</f>
        <v>Diabetes</v>
      </c>
    </row>
    <row r="1591" spans="1:11" ht="15.5" x14ac:dyDescent="0.35">
      <c r="A1591" s="1" t="s">
        <v>781</v>
      </c>
      <c r="B1591" t="str">
        <f>VLOOKUP($A1591, 'Customer Names'!A:D, 3, FALSE)</f>
        <v>Arsenault</v>
      </c>
      <c r="C1591">
        <f>VLOOKUP($A1591,'Medical Examinations'!A:C, 3, FALSE)</f>
        <v>34.450000000000003</v>
      </c>
      <c r="D1591" t="str">
        <f>VLOOKUP($A1591, 'Medical Examinations'!A:D, 4, FALSE)</f>
        <v>Normal</v>
      </c>
      <c r="E1591" t="str">
        <f>VLOOKUP($A1591, 'Medical Examinations'!A:F, 6, FALSE)</f>
        <v>yes</v>
      </c>
      <c r="F1591" t="str">
        <f>VLOOKUP($A1591, 'Medical Examinations'!A:G, 7, FALSE)</f>
        <v>No</v>
      </c>
      <c r="G1591" t="str">
        <f>VLOOKUP($A1591, 'Medical Examinations'!A:H, 8, FALSE)</f>
        <v>No</v>
      </c>
      <c r="H1591" t="str">
        <f>VLOOKUP($A1591, 'Medical Examinations'!A:J, 10, FALSE)</f>
        <v>No major surgery</v>
      </c>
      <c r="I1591" t="str">
        <f>VLOOKUP($A1591, 'Medical Examinations'!A:K, 11, FALSE)</f>
        <v>No</v>
      </c>
      <c r="J1591" t="str">
        <f>VLOOKUP($A1591, 'Medical Examinations'!A:B, 2, FALSE)</f>
        <v>Obesity</v>
      </c>
      <c r="K1591" t="str">
        <f>VLOOKUP($A1591, 'Medical Examinations'!A:D, 4, FALSE)</f>
        <v>Normal</v>
      </c>
    </row>
    <row r="1592" spans="1:11" ht="15.5" x14ac:dyDescent="0.35">
      <c r="A1592" s="1" t="s">
        <v>780</v>
      </c>
      <c r="B1592" t="str">
        <f>VLOOKUP($A1592, 'Customer Names'!A:D, 3, FALSE)</f>
        <v>Hengoed</v>
      </c>
      <c r="C1592">
        <f>VLOOKUP($A1592,'Medical Examinations'!A:C, 3, FALSE)</f>
        <v>34.21</v>
      </c>
      <c r="D1592" t="str">
        <f>VLOOKUP($A1592, 'Medical Examinations'!A:D, 4, FALSE)</f>
        <v>Diabetes</v>
      </c>
      <c r="E1592" t="str">
        <f>VLOOKUP($A1592, 'Medical Examinations'!A:F, 6, FALSE)</f>
        <v>yes</v>
      </c>
      <c r="F1592" t="str">
        <f>VLOOKUP($A1592, 'Medical Examinations'!A:G, 7, FALSE)</f>
        <v>No</v>
      </c>
      <c r="G1592" t="str">
        <f>VLOOKUP($A1592, 'Medical Examinations'!A:H, 8, FALSE)</f>
        <v>No</v>
      </c>
      <c r="H1592" t="str">
        <f>VLOOKUP($A1592, 'Medical Examinations'!A:J, 10, FALSE)</f>
        <v>No major surgery</v>
      </c>
      <c r="I1592" t="str">
        <f>VLOOKUP($A1592, 'Medical Examinations'!A:K, 11, FALSE)</f>
        <v>No</v>
      </c>
      <c r="J1592" t="str">
        <f>VLOOKUP($A1592, 'Medical Examinations'!A:B, 2, FALSE)</f>
        <v>Obesity</v>
      </c>
      <c r="K1592" t="str">
        <f>VLOOKUP($A1592, 'Medical Examinations'!A:D, 4, FALSE)</f>
        <v>Diabetes</v>
      </c>
    </row>
    <row r="1593" spans="1:11" ht="15.5" x14ac:dyDescent="0.35">
      <c r="A1593" s="1" t="s">
        <v>779</v>
      </c>
      <c r="B1593" t="str">
        <f>VLOOKUP($A1593, 'Customer Names'!A:D, 3, FALSE)</f>
        <v>Aller</v>
      </c>
      <c r="C1593">
        <f>VLOOKUP($A1593,'Medical Examinations'!A:C, 3, FALSE)</f>
        <v>28.8</v>
      </c>
      <c r="D1593" t="str">
        <f>VLOOKUP($A1593, 'Medical Examinations'!A:D, 4, FALSE)</f>
        <v>Diabetes</v>
      </c>
      <c r="E1593" t="str">
        <f>VLOOKUP($A1593, 'Medical Examinations'!A:F, 6, FALSE)</f>
        <v>yes</v>
      </c>
      <c r="F1593" t="str">
        <f>VLOOKUP($A1593, 'Medical Examinations'!A:G, 7, FALSE)</f>
        <v>No</v>
      </c>
      <c r="G1593" t="str">
        <f>VLOOKUP($A1593, 'Medical Examinations'!A:H, 8, FALSE)</f>
        <v>No</v>
      </c>
      <c r="H1593" t="str">
        <f>VLOOKUP($A1593, 'Medical Examinations'!A:J, 10, FALSE)</f>
        <v>No major surgery</v>
      </c>
      <c r="I1593" t="str">
        <f>VLOOKUP($A1593, 'Medical Examinations'!A:K, 11, FALSE)</f>
        <v>No</v>
      </c>
      <c r="J1593" t="str">
        <f>VLOOKUP($A1593, 'Medical Examinations'!A:B, 2, FALSE)</f>
        <v>Overweight</v>
      </c>
      <c r="K1593" t="str">
        <f>VLOOKUP($A1593, 'Medical Examinations'!A:D, 4, FALSE)</f>
        <v>Diabetes</v>
      </c>
    </row>
    <row r="1594" spans="1:11" ht="15.5" x14ac:dyDescent="0.35">
      <c r="A1594" s="1" t="s">
        <v>778</v>
      </c>
      <c r="B1594" t="str">
        <f>VLOOKUP($A1594, 'Customer Names'!A:D, 3, FALSE)</f>
        <v>Pisano</v>
      </c>
      <c r="C1594">
        <f>VLOOKUP($A1594,'Medical Examinations'!A:C, 3, FALSE)</f>
        <v>31.74</v>
      </c>
      <c r="D1594" t="str">
        <f>VLOOKUP($A1594, 'Medical Examinations'!A:D, 4, FALSE)</f>
        <v>Normal</v>
      </c>
      <c r="E1594" t="str">
        <f>VLOOKUP($A1594, 'Medical Examinations'!A:F, 6, FALSE)</f>
        <v>No</v>
      </c>
      <c r="F1594" t="str">
        <f>VLOOKUP($A1594, 'Medical Examinations'!A:G, 7, FALSE)</f>
        <v>No</v>
      </c>
      <c r="G1594" t="str">
        <f>VLOOKUP($A1594, 'Medical Examinations'!A:H, 8, FALSE)</f>
        <v>Yes</v>
      </c>
      <c r="H1594">
        <f>VLOOKUP($A1594, 'Medical Examinations'!A:J, 10, FALSE)</f>
        <v>1</v>
      </c>
      <c r="I1594" t="str">
        <f>VLOOKUP($A1594, 'Medical Examinations'!A:K, 11, FALSE)</f>
        <v>No</v>
      </c>
      <c r="J1594" t="str">
        <f>VLOOKUP($A1594, 'Medical Examinations'!A:B, 2, FALSE)</f>
        <v>Obesity</v>
      </c>
      <c r="K1594" t="str">
        <f>VLOOKUP($A1594, 'Medical Examinations'!A:D, 4, FALSE)</f>
        <v>Normal</v>
      </c>
    </row>
    <row r="1595" spans="1:11" ht="15.5" x14ac:dyDescent="0.35">
      <c r="A1595" s="1" t="s">
        <v>777</v>
      </c>
      <c r="B1595" t="str">
        <f>VLOOKUP($A1595, 'Customer Names'!A:D, 3, FALSE)</f>
        <v>Sanca</v>
      </c>
      <c r="C1595">
        <f>VLOOKUP($A1595,'Medical Examinations'!A:C, 3, FALSE)</f>
        <v>21.78</v>
      </c>
      <c r="D1595" t="str">
        <f>VLOOKUP($A1595, 'Medical Examinations'!A:D, 4, FALSE)</f>
        <v>Diabetes</v>
      </c>
      <c r="E1595" t="str">
        <f>VLOOKUP($A1595, 'Medical Examinations'!A:F, 6, FALSE)</f>
        <v>yes</v>
      </c>
      <c r="F1595" t="str">
        <f>VLOOKUP($A1595, 'Medical Examinations'!A:G, 7, FALSE)</f>
        <v>No</v>
      </c>
      <c r="G1595" t="str">
        <f>VLOOKUP($A1595, 'Medical Examinations'!A:H, 8, FALSE)</f>
        <v>No</v>
      </c>
      <c r="H1595" t="str">
        <f>VLOOKUP($A1595, 'Medical Examinations'!A:J, 10, FALSE)</f>
        <v>No major surgery</v>
      </c>
      <c r="I1595" t="str">
        <f>VLOOKUP($A1595, 'Medical Examinations'!A:K, 11, FALSE)</f>
        <v>No</v>
      </c>
      <c r="J1595" t="str">
        <f>VLOOKUP($A1595, 'Medical Examinations'!A:B, 2, FALSE)</f>
        <v>Normal Weight</v>
      </c>
      <c r="K1595" t="str">
        <f>VLOOKUP($A1595, 'Medical Examinations'!A:D, 4, FALSE)</f>
        <v>Diabetes</v>
      </c>
    </row>
    <row r="1596" spans="1:11" ht="15.5" x14ac:dyDescent="0.35">
      <c r="A1596" s="1" t="s">
        <v>776</v>
      </c>
      <c r="B1596" t="str">
        <f>VLOOKUP($A1596, 'Customer Names'!A:D, 3, FALSE)</f>
        <v>Bond</v>
      </c>
      <c r="C1596">
        <f>VLOOKUP($A1596,'Medical Examinations'!A:C, 3, FALSE)</f>
        <v>23.75</v>
      </c>
      <c r="D1596" t="str">
        <f>VLOOKUP($A1596, 'Medical Examinations'!A:D, 4, FALSE)</f>
        <v>Normal</v>
      </c>
      <c r="E1596" t="str">
        <f>VLOOKUP($A1596, 'Medical Examinations'!A:F, 6, FALSE)</f>
        <v>No</v>
      </c>
      <c r="F1596" t="str">
        <f>VLOOKUP($A1596, 'Medical Examinations'!A:G, 7, FALSE)</f>
        <v>No</v>
      </c>
      <c r="G1596" t="str">
        <f>VLOOKUP($A1596, 'Medical Examinations'!A:H, 8, FALSE)</f>
        <v>No</v>
      </c>
      <c r="H1596">
        <f>VLOOKUP($A1596, 'Medical Examinations'!A:J, 10, FALSE)</f>
        <v>1</v>
      </c>
      <c r="I1596" t="str">
        <f>VLOOKUP($A1596, 'Medical Examinations'!A:K, 11, FALSE)</f>
        <v>No</v>
      </c>
      <c r="J1596" t="str">
        <f>VLOOKUP($A1596, 'Medical Examinations'!A:B, 2, FALSE)</f>
        <v>Normal Weight</v>
      </c>
      <c r="K1596" t="str">
        <f>VLOOKUP($A1596, 'Medical Examinations'!A:D, 4, FALSE)</f>
        <v>Normal</v>
      </c>
    </row>
    <row r="1597" spans="1:11" ht="15.5" x14ac:dyDescent="0.35">
      <c r="A1597" s="1" t="s">
        <v>775</v>
      </c>
      <c r="B1597" t="str">
        <f>VLOOKUP($A1597, 'Customer Names'!A:D, 3, FALSE)</f>
        <v>Carron</v>
      </c>
      <c r="C1597">
        <f>VLOOKUP($A1597,'Medical Examinations'!A:C, 3, FALSE)</f>
        <v>33.21</v>
      </c>
      <c r="D1597" t="str">
        <f>VLOOKUP($A1597, 'Medical Examinations'!A:D, 4, FALSE)</f>
        <v>Normal</v>
      </c>
      <c r="E1597" t="str">
        <f>VLOOKUP($A1597, 'Medical Examinations'!A:F, 6, FALSE)</f>
        <v>yes</v>
      </c>
      <c r="F1597" t="str">
        <f>VLOOKUP($A1597, 'Medical Examinations'!A:G, 7, FALSE)</f>
        <v>No</v>
      </c>
      <c r="G1597" t="str">
        <f>VLOOKUP($A1597, 'Medical Examinations'!A:H, 8, FALSE)</f>
        <v>No</v>
      </c>
      <c r="H1597">
        <f>VLOOKUP($A1597, 'Medical Examinations'!A:J, 10, FALSE)</f>
        <v>1</v>
      </c>
      <c r="I1597" t="str">
        <f>VLOOKUP($A1597, 'Medical Examinations'!A:K, 11, FALSE)</f>
        <v>No</v>
      </c>
      <c r="J1597" t="str">
        <f>VLOOKUP($A1597, 'Medical Examinations'!A:B, 2, FALSE)</f>
        <v>Obesity</v>
      </c>
      <c r="K1597" t="str">
        <f>VLOOKUP($A1597, 'Medical Examinations'!A:D, 4, FALSE)</f>
        <v>Normal</v>
      </c>
    </row>
    <row r="1598" spans="1:11" ht="15.5" x14ac:dyDescent="0.35">
      <c r="A1598" s="1" t="s">
        <v>774</v>
      </c>
      <c r="B1598" t="str">
        <f>VLOOKUP($A1598, 'Customer Names'!A:D, 3, FALSE)</f>
        <v>Ellwanger</v>
      </c>
      <c r="C1598">
        <f>VLOOKUP($A1598,'Medical Examinations'!A:C, 3, FALSE)</f>
        <v>17.7</v>
      </c>
      <c r="D1598" t="str">
        <f>VLOOKUP($A1598, 'Medical Examinations'!A:D, 4, FALSE)</f>
        <v>Diabetes</v>
      </c>
      <c r="E1598" t="str">
        <f>VLOOKUP($A1598, 'Medical Examinations'!A:F, 6, FALSE)</f>
        <v>yes</v>
      </c>
      <c r="F1598" t="str">
        <f>VLOOKUP($A1598, 'Medical Examinations'!A:G, 7, FALSE)</f>
        <v>No</v>
      </c>
      <c r="G1598" t="str">
        <f>VLOOKUP($A1598, 'Medical Examinations'!A:H, 8, FALSE)</f>
        <v>No</v>
      </c>
      <c r="H1598">
        <f>VLOOKUP($A1598, 'Medical Examinations'!A:J, 10, FALSE)</f>
        <v>2</v>
      </c>
      <c r="I1598" t="str">
        <f>VLOOKUP($A1598, 'Medical Examinations'!A:K, 11, FALSE)</f>
        <v>No</v>
      </c>
      <c r="J1598" t="str">
        <f>VLOOKUP($A1598, 'Medical Examinations'!A:B, 2, FALSE)</f>
        <v>Underweight</v>
      </c>
      <c r="K1598" t="str">
        <f>VLOOKUP($A1598, 'Medical Examinations'!A:D, 4, FALSE)</f>
        <v>Diabetes</v>
      </c>
    </row>
    <row r="1599" spans="1:11" ht="15.5" x14ac:dyDescent="0.35">
      <c r="A1599" s="1" t="s">
        <v>773</v>
      </c>
      <c r="B1599" t="str">
        <f>VLOOKUP($A1599, 'Customer Names'!A:D, 3, FALSE)</f>
        <v>Hanson</v>
      </c>
      <c r="C1599">
        <f>VLOOKUP($A1599,'Medical Examinations'!A:C, 3, FALSE)</f>
        <v>17.2</v>
      </c>
      <c r="D1599" t="e">
        <f>VLOOKUP($A1599, 'Medical Examinations'!A:D, 4, FALSE)</f>
        <v>#N/A</v>
      </c>
      <c r="E1599" t="str">
        <f>VLOOKUP($A1599, 'Medical Examinations'!A:F, 6, FALSE)</f>
        <v>No</v>
      </c>
      <c r="F1599" t="str">
        <f>VLOOKUP($A1599, 'Medical Examinations'!A:G, 7, FALSE)</f>
        <v>No</v>
      </c>
      <c r="G1599" t="str">
        <f>VLOOKUP($A1599, 'Medical Examinations'!A:H, 8, FALSE)</f>
        <v>No</v>
      </c>
      <c r="H1599">
        <f>VLOOKUP($A1599, 'Medical Examinations'!A:J, 10, FALSE)</f>
        <v>2</v>
      </c>
      <c r="I1599" t="str">
        <f>VLOOKUP($A1599, 'Medical Examinations'!A:K, 11, FALSE)</f>
        <v>No</v>
      </c>
      <c r="J1599" t="str">
        <f>VLOOKUP($A1599, 'Medical Examinations'!A:B, 2, FALSE)</f>
        <v>Underweight</v>
      </c>
      <c r="K1599" t="e">
        <f>VLOOKUP($A1599, 'Medical Examinations'!A:D, 4, FALSE)</f>
        <v>#N/A</v>
      </c>
    </row>
    <row r="1600" spans="1:11" ht="15.5" x14ac:dyDescent="0.35">
      <c r="A1600" s="1" t="s">
        <v>772</v>
      </c>
      <c r="B1600" t="str">
        <f>VLOOKUP($A1600, 'Customer Names'!A:D, 3, FALSE)</f>
        <v>Tucker</v>
      </c>
      <c r="C1600">
        <f>VLOOKUP($A1600,'Medical Examinations'!A:C, 3, FALSE)</f>
        <v>19.21</v>
      </c>
      <c r="D1600" t="str">
        <f>VLOOKUP($A1600, 'Medical Examinations'!A:D, 4, FALSE)</f>
        <v>Normal</v>
      </c>
      <c r="E1600" t="str">
        <f>VLOOKUP($A1600, 'Medical Examinations'!A:F, 6, FALSE)</f>
        <v>No</v>
      </c>
      <c r="F1600" t="str">
        <f>VLOOKUP($A1600, 'Medical Examinations'!A:G, 7, FALSE)</f>
        <v>No</v>
      </c>
      <c r="G1600" t="str">
        <f>VLOOKUP($A1600, 'Medical Examinations'!A:H, 8, FALSE)</f>
        <v>No</v>
      </c>
      <c r="H1600">
        <f>VLOOKUP($A1600, 'Medical Examinations'!A:J, 10, FALSE)</f>
        <v>2</v>
      </c>
      <c r="I1600" t="str">
        <f>VLOOKUP($A1600, 'Medical Examinations'!A:K, 11, FALSE)</f>
        <v>No</v>
      </c>
      <c r="J1600" t="str">
        <f>VLOOKUP($A1600, 'Medical Examinations'!A:B, 2, FALSE)</f>
        <v>Normal Weight</v>
      </c>
      <c r="K1600" t="str">
        <f>VLOOKUP($A1600, 'Medical Examinations'!A:D, 4, FALSE)</f>
        <v>Normal</v>
      </c>
    </row>
    <row r="1601" spans="1:11" ht="15.5" x14ac:dyDescent="0.35">
      <c r="A1601" s="1" t="s">
        <v>771</v>
      </c>
      <c r="B1601" t="str">
        <f>VLOOKUP($A1601, 'Customer Names'!A:D, 3, FALSE)</f>
        <v>Counts</v>
      </c>
      <c r="C1601">
        <f>VLOOKUP($A1601,'Medical Examinations'!A:C, 3, FALSE)</f>
        <v>23.2</v>
      </c>
      <c r="D1601" t="str">
        <f>VLOOKUP($A1601, 'Medical Examinations'!A:D, 4, FALSE)</f>
        <v>Normal</v>
      </c>
      <c r="E1601" t="str">
        <f>VLOOKUP($A1601, 'Medical Examinations'!A:F, 6, FALSE)</f>
        <v>No</v>
      </c>
      <c r="F1601" t="str">
        <f>VLOOKUP($A1601, 'Medical Examinations'!A:G, 7, FALSE)</f>
        <v>No</v>
      </c>
      <c r="G1601" t="str">
        <f>VLOOKUP($A1601, 'Medical Examinations'!A:H, 8, FALSE)</f>
        <v>Yes</v>
      </c>
      <c r="H1601">
        <f>VLOOKUP($A1601, 'Medical Examinations'!A:J, 10, FALSE)</f>
        <v>1</v>
      </c>
      <c r="I1601" t="str">
        <f>VLOOKUP($A1601, 'Medical Examinations'!A:K, 11, FALSE)</f>
        <v>No</v>
      </c>
      <c r="J1601" t="str">
        <f>VLOOKUP($A1601, 'Medical Examinations'!A:B, 2, FALSE)</f>
        <v>Normal Weight</v>
      </c>
      <c r="K1601" t="str">
        <f>VLOOKUP($A1601, 'Medical Examinations'!A:D, 4, FALSE)</f>
        <v>Normal</v>
      </c>
    </row>
    <row r="1602" spans="1:11" ht="15.5" x14ac:dyDescent="0.35">
      <c r="A1602" s="1" t="s">
        <v>770</v>
      </c>
      <c r="B1602" t="str">
        <f>VLOOKUP($A1602, 'Customer Names'!A:D, 3, FALSE)</f>
        <v>Carson</v>
      </c>
      <c r="C1602">
        <f>VLOOKUP($A1602,'Medical Examinations'!A:C, 3, FALSE)</f>
        <v>32.5</v>
      </c>
      <c r="D1602" t="str">
        <f>VLOOKUP($A1602, 'Medical Examinations'!A:D, 4, FALSE)</f>
        <v>Normal</v>
      </c>
      <c r="E1602" t="str">
        <f>VLOOKUP($A1602, 'Medical Examinations'!A:F, 6, FALSE)</f>
        <v>yes</v>
      </c>
      <c r="F1602" t="str">
        <f>VLOOKUP($A1602, 'Medical Examinations'!A:G, 7, FALSE)</f>
        <v>No</v>
      </c>
      <c r="G1602" t="str">
        <f>VLOOKUP($A1602, 'Medical Examinations'!A:H, 8, FALSE)</f>
        <v>Yes</v>
      </c>
      <c r="H1602">
        <f>VLOOKUP($A1602, 'Medical Examinations'!A:J, 10, FALSE)</f>
        <v>1</v>
      </c>
      <c r="I1602" t="str">
        <f>VLOOKUP($A1602, 'Medical Examinations'!A:K, 11, FALSE)</f>
        <v>No</v>
      </c>
      <c r="J1602" t="str">
        <f>VLOOKUP($A1602, 'Medical Examinations'!A:B, 2, FALSE)</f>
        <v>Obesity</v>
      </c>
      <c r="K1602" t="str">
        <f>VLOOKUP($A1602, 'Medical Examinations'!A:D, 4, FALSE)</f>
        <v>Normal</v>
      </c>
    </row>
    <row r="1603" spans="1:11" ht="15.5" x14ac:dyDescent="0.35">
      <c r="A1603" s="1" t="s">
        <v>769</v>
      </c>
      <c r="B1603" t="str">
        <f>VLOOKUP($A1603, 'Customer Names'!A:D, 3, FALSE)</f>
        <v>Haines</v>
      </c>
      <c r="C1603">
        <f>VLOOKUP($A1603,'Medical Examinations'!A:C, 3, FALSE)</f>
        <v>20.9</v>
      </c>
      <c r="D1603" t="str">
        <f>VLOOKUP($A1603, 'Medical Examinations'!A:D, 4, FALSE)</f>
        <v>Diabetes</v>
      </c>
      <c r="E1603" t="str">
        <f>VLOOKUP($A1603, 'Medical Examinations'!A:F, 6, FALSE)</f>
        <v>No</v>
      </c>
      <c r="F1603" t="str">
        <f>VLOOKUP($A1603, 'Medical Examinations'!A:G, 7, FALSE)</f>
        <v>No</v>
      </c>
      <c r="G1603" t="str">
        <f>VLOOKUP($A1603, 'Medical Examinations'!A:H, 8, FALSE)</f>
        <v>No</v>
      </c>
      <c r="H1603" t="str">
        <f>VLOOKUP($A1603, 'Medical Examinations'!A:J, 10, FALSE)</f>
        <v>No major surgery</v>
      </c>
      <c r="I1603" t="str">
        <f>VLOOKUP($A1603, 'Medical Examinations'!A:K, 11, FALSE)</f>
        <v>No</v>
      </c>
      <c r="J1603" t="str">
        <f>VLOOKUP($A1603, 'Medical Examinations'!A:B, 2, FALSE)</f>
        <v>Normal Weight</v>
      </c>
      <c r="K1603" t="str">
        <f>VLOOKUP($A1603, 'Medical Examinations'!A:D, 4, FALSE)</f>
        <v>Diabetes</v>
      </c>
    </row>
    <row r="1604" spans="1:11" ht="15.5" x14ac:dyDescent="0.35">
      <c r="A1604" s="1" t="s">
        <v>768</v>
      </c>
      <c r="B1604" t="str">
        <f>VLOOKUP($A1604, 'Customer Names'!A:D, 3, FALSE)</f>
        <v>Schnabel</v>
      </c>
      <c r="C1604">
        <f>VLOOKUP($A1604,'Medical Examinations'!A:C, 3, FALSE)</f>
        <v>19.11</v>
      </c>
      <c r="D1604" t="str">
        <f>VLOOKUP($A1604, 'Medical Examinations'!A:D, 4, FALSE)</f>
        <v>Normal</v>
      </c>
      <c r="E1604" t="str">
        <f>VLOOKUP($A1604, 'Medical Examinations'!A:F, 6, FALSE)</f>
        <v>No</v>
      </c>
      <c r="F1604" t="str">
        <f>VLOOKUP($A1604, 'Medical Examinations'!A:G, 7, FALSE)</f>
        <v>No</v>
      </c>
      <c r="G1604" t="str">
        <f>VLOOKUP($A1604, 'Medical Examinations'!A:H, 8, FALSE)</f>
        <v>No</v>
      </c>
      <c r="H1604">
        <f>VLOOKUP($A1604, 'Medical Examinations'!A:J, 10, FALSE)</f>
        <v>2</v>
      </c>
      <c r="I1604" t="str">
        <f>VLOOKUP($A1604, 'Medical Examinations'!A:K, 11, FALSE)</f>
        <v>No</v>
      </c>
      <c r="J1604" t="str">
        <f>VLOOKUP($A1604, 'Medical Examinations'!A:B, 2, FALSE)</f>
        <v>Normal Weight</v>
      </c>
      <c r="K1604" t="str">
        <f>VLOOKUP($A1604, 'Medical Examinations'!A:D, 4, FALSE)</f>
        <v>Normal</v>
      </c>
    </row>
    <row r="1605" spans="1:11" ht="15.5" x14ac:dyDescent="0.35">
      <c r="A1605" s="1" t="s">
        <v>767</v>
      </c>
      <c r="B1605" t="str">
        <f>VLOOKUP($A1605, 'Customer Names'!A:D, 3, FALSE)</f>
        <v>Thind</v>
      </c>
      <c r="C1605">
        <f>VLOOKUP($A1605,'Medical Examinations'!A:C, 3, FALSE)</f>
        <v>31.17</v>
      </c>
      <c r="D1605" t="str">
        <f>VLOOKUP($A1605, 'Medical Examinations'!A:D, 4, FALSE)</f>
        <v>Normal</v>
      </c>
      <c r="E1605" t="str">
        <f>VLOOKUP($A1605, 'Medical Examinations'!A:F, 6, FALSE)</f>
        <v>No</v>
      </c>
      <c r="F1605" t="str">
        <f>VLOOKUP($A1605, 'Medical Examinations'!A:G, 7, FALSE)</f>
        <v>No</v>
      </c>
      <c r="G1605" t="str">
        <f>VLOOKUP($A1605, 'Medical Examinations'!A:H, 8, FALSE)</f>
        <v>No</v>
      </c>
      <c r="H1605">
        <f>VLOOKUP($A1605, 'Medical Examinations'!A:J, 10, FALSE)</f>
        <v>1</v>
      </c>
      <c r="I1605" t="str">
        <f>VLOOKUP($A1605, 'Medical Examinations'!A:K, 11, FALSE)</f>
        <v>No</v>
      </c>
      <c r="J1605" t="str">
        <f>VLOOKUP($A1605, 'Medical Examinations'!A:B, 2, FALSE)</f>
        <v>Obesity</v>
      </c>
      <c r="K1605" t="str">
        <f>VLOOKUP($A1605, 'Medical Examinations'!A:D, 4, FALSE)</f>
        <v>Normal</v>
      </c>
    </row>
    <row r="1606" spans="1:11" ht="15.5" x14ac:dyDescent="0.35">
      <c r="A1606" s="1" t="s">
        <v>766</v>
      </c>
      <c r="B1606" t="str">
        <f>VLOOKUP($A1606, 'Customer Names'!A:D, 3, FALSE)</f>
        <v>Simon</v>
      </c>
      <c r="C1606">
        <f>VLOOKUP($A1606,'Medical Examinations'!A:C, 3, FALSE)</f>
        <v>36.08</v>
      </c>
      <c r="D1606" t="str">
        <f>VLOOKUP($A1606, 'Medical Examinations'!A:D, 4, FALSE)</f>
        <v>Normal</v>
      </c>
      <c r="E1606" t="str">
        <f>VLOOKUP($A1606, 'Medical Examinations'!A:F, 6, FALSE)</f>
        <v>No</v>
      </c>
      <c r="F1606" t="str">
        <f>VLOOKUP($A1606, 'Medical Examinations'!A:G, 7, FALSE)</f>
        <v>No</v>
      </c>
      <c r="G1606" t="str">
        <f>VLOOKUP($A1606, 'Medical Examinations'!A:H, 8, FALSE)</f>
        <v>No</v>
      </c>
      <c r="H1606" t="str">
        <f>VLOOKUP($A1606, 'Medical Examinations'!A:J, 10, FALSE)</f>
        <v>No major surgery</v>
      </c>
      <c r="I1606" t="str">
        <f>VLOOKUP($A1606, 'Medical Examinations'!A:K, 11, FALSE)</f>
        <v>No</v>
      </c>
      <c r="J1606" t="str">
        <f>VLOOKUP($A1606, 'Medical Examinations'!A:B, 2, FALSE)</f>
        <v>Obesity</v>
      </c>
      <c r="K1606" t="str">
        <f>VLOOKUP($A1606, 'Medical Examinations'!A:D, 4, FALSE)</f>
        <v>Normal</v>
      </c>
    </row>
    <row r="1607" spans="1:11" ht="15.5" x14ac:dyDescent="0.35">
      <c r="A1607" s="1" t="s">
        <v>765</v>
      </c>
      <c r="B1607" t="str">
        <f>VLOOKUP($A1607, 'Customer Names'!A:D, 3, FALSE)</f>
        <v>Arciniaga</v>
      </c>
      <c r="C1607">
        <f>VLOOKUP($A1607,'Medical Examinations'!A:C, 3, FALSE)</f>
        <v>28.024999999999999</v>
      </c>
      <c r="D1607" t="str">
        <f>VLOOKUP($A1607, 'Medical Examinations'!A:D, 4, FALSE)</f>
        <v>Normal</v>
      </c>
      <c r="E1607" t="str">
        <f>VLOOKUP($A1607, 'Medical Examinations'!A:F, 6, FALSE)</f>
        <v>yes</v>
      </c>
      <c r="F1607" t="str">
        <f>VLOOKUP($A1607, 'Medical Examinations'!A:G, 7, FALSE)</f>
        <v>No</v>
      </c>
      <c r="G1607" t="str">
        <f>VLOOKUP($A1607, 'Medical Examinations'!A:H, 8, FALSE)</f>
        <v>No</v>
      </c>
      <c r="H1607" t="str">
        <f>VLOOKUP($A1607, 'Medical Examinations'!A:J, 10, FALSE)</f>
        <v>No major surgery</v>
      </c>
      <c r="I1607" t="str">
        <f>VLOOKUP($A1607, 'Medical Examinations'!A:K, 11, FALSE)</f>
        <v>No</v>
      </c>
      <c r="J1607" t="str">
        <f>VLOOKUP($A1607, 'Medical Examinations'!A:B, 2, FALSE)</f>
        <v>Overweight</v>
      </c>
      <c r="K1607" t="str">
        <f>VLOOKUP($A1607, 'Medical Examinations'!A:D, 4, FALSE)</f>
        <v>Normal</v>
      </c>
    </row>
    <row r="1608" spans="1:11" ht="15.5" x14ac:dyDescent="0.35">
      <c r="A1608" s="1" t="s">
        <v>764</v>
      </c>
      <c r="B1608" t="str">
        <f>VLOOKUP($A1608, 'Customer Names'!A:D, 3, FALSE)</f>
        <v>Ryan</v>
      </c>
      <c r="C1608">
        <f>VLOOKUP($A1608,'Medical Examinations'!A:C, 3, FALSE)</f>
        <v>24.32</v>
      </c>
      <c r="D1608" t="str">
        <f>VLOOKUP($A1608, 'Medical Examinations'!A:D, 4, FALSE)</f>
        <v>Normal</v>
      </c>
      <c r="E1608" t="str">
        <f>VLOOKUP($A1608, 'Medical Examinations'!A:F, 6, FALSE)</f>
        <v>yes</v>
      </c>
      <c r="F1608" t="str">
        <f>VLOOKUP($A1608, 'Medical Examinations'!A:G, 7, FALSE)</f>
        <v>No</v>
      </c>
      <c r="G1608" t="str">
        <f>VLOOKUP($A1608, 'Medical Examinations'!A:H, 8, FALSE)</f>
        <v>No</v>
      </c>
      <c r="H1608" t="str">
        <f>VLOOKUP($A1608, 'Medical Examinations'!A:J, 10, FALSE)</f>
        <v>No major surgery</v>
      </c>
      <c r="I1608" t="str">
        <f>VLOOKUP($A1608, 'Medical Examinations'!A:K, 11, FALSE)</f>
        <v>No</v>
      </c>
      <c r="J1608" t="str">
        <f>VLOOKUP($A1608, 'Medical Examinations'!A:B, 2, FALSE)</f>
        <v>Normal Weight</v>
      </c>
      <c r="K1608" t="str">
        <f>VLOOKUP($A1608, 'Medical Examinations'!A:D, 4, FALSE)</f>
        <v>Normal</v>
      </c>
    </row>
    <row r="1609" spans="1:11" ht="15.5" x14ac:dyDescent="0.35">
      <c r="A1609" s="1" t="s">
        <v>763</v>
      </c>
      <c r="B1609" t="str">
        <f>VLOOKUP($A1609, 'Customer Names'!A:D, 3, FALSE)</f>
        <v>Lizak</v>
      </c>
      <c r="C1609">
        <f>VLOOKUP($A1609,'Medical Examinations'!A:C, 3, FALSE)</f>
        <v>38</v>
      </c>
      <c r="D1609" t="str">
        <f>VLOOKUP($A1609, 'Medical Examinations'!A:D, 4, FALSE)</f>
        <v>Normal</v>
      </c>
      <c r="E1609" t="str">
        <f>VLOOKUP($A1609, 'Medical Examinations'!A:F, 6, FALSE)</f>
        <v>yes</v>
      </c>
      <c r="F1609" t="str">
        <f>VLOOKUP($A1609, 'Medical Examinations'!A:G, 7, FALSE)</f>
        <v>No</v>
      </c>
      <c r="G1609" t="str">
        <f>VLOOKUP($A1609, 'Medical Examinations'!A:H, 8, FALSE)</f>
        <v>No</v>
      </c>
      <c r="H1609">
        <f>VLOOKUP($A1609, 'Medical Examinations'!A:J, 10, FALSE)</f>
        <v>1</v>
      </c>
      <c r="I1609" t="str">
        <f>VLOOKUP($A1609, 'Medical Examinations'!A:K, 11, FALSE)</f>
        <v>No</v>
      </c>
      <c r="J1609" t="str">
        <f>VLOOKUP($A1609, 'Medical Examinations'!A:B, 2, FALSE)</f>
        <v>Obesity</v>
      </c>
      <c r="K1609" t="str">
        <f>VLOOKUP($A1609, 'Medical Examinations'!A:D, 4, FALSE)</f>
        <v>Normal</v>
      </c>
    </row>
    <row r="1610" spans="1:11" ht="15.5" x14ac:dyDescent="0.35">
      <c r="A1610" s="1" t="s">
        <v>762</v>
      </c>
      <c r="B1610" t="str">
        <f>VLOOKUP($A1610, 'Customer Names'!A:D, 3, FALSE)</f>
        <v>Howery</v>
      </c>
      <c r="C1610">
        <f>VLOOKUP($A1610,'Medical Examinations'!A:C, 3, FALSE)</f>
        <v>31.6</v>
      </c>
      <c r="D1610" t="str">
        <f>VLOOKUP($A1610, 'Medical Examinations'!A:D, 4, FALSE)</f>
        <v>Diabetes</v>
      </c>
      <c r="E1610" t="str">
        <f>VLOOKUP($A1610, 'Medical Examinations'!A:F, 6, FALSE)</f>
        <v>yes</v>
      </c>
      <c r="F1610" t="str">
        <f>VLOOKUP($A1610, 'Medical Examinations'!A:G, 7, FALSE)</f>
        <v>No</v>
      </c>
      <c r="G1610" t="str">
        <f>VLOOKUP($A1610, 'Medical Examinations'!A:H, 8, FALSE)</f>
        <v>No</v>
      </c>
      <c r="H1610" t="str">
        <f>VLOOKUP($A1610, 'Medical Examinations'!A:J, 10, FALSE)</f>
        <v>No major surgery</v>
      </c>
      <c r="I1610" t="str">
        <f>VLOOKUP($A1610, 'Medical Examinations'!A:K, 11, FALSE)</f>
        <v>No</v>
      </c>
      <c r="J1610" t="str">
        <f>VLOOKUP($A1610, 'Medical Examinations'!A:B, 2, FALSE)</f>
        <v>Obesity</v>
      </c>
      <c r="K1610" t="str">
        <f>VLOOKUP($A1610, 'Medical Examinations'!A:D, 4, FALSE)</f>
        <v>Diabetes</v>
      </c>
    </row>
    <row r="1611" spans="1:11" ht="15.5" x14ac:dyDescent="0.35">
      <c r="A1611" s="1" t="s">
        <v>761</v>
      </c>
      <c r="B1611" t="str">
        <f>VLOOKUP($A1611, 'Customer Names'!A:D, 3, FALSE)</f>
        <v>Crain</v>
      </c>
      <c r="C1611">
        <f>VLOOKUP($A1611,'Medical Examinations'!A:C, 3, FALSE)</f>
        <v>31.02</v>
      </c>
      <c r="D1611" t="str">
        <f>VLOOKUP($A1611, 'Medical Examinations'!A:D, 4, FALSE)</f>
        <v>Diabetes</v>
      </c>
      <c r="E1611" t="str">
        <f>VLOOKUP($A1611, 'Medical Examinations'!A:F, 6, FALSE)</f>
        <v>yes</v>
      </c>
      <c r="F1611" t="str">
        <f>VLOOKUP($A1611, 'Medical Examinations'!A:G, 7, FALSE)</f>
        <v>No</v>
      </c>
      <c r="G1611" t="str">
        <f>VLOOKUP($A1611, 'Medical Examinations'!A:H, 8, FALSE)</f>
        <v>No</v>
      </c>
      <c r="H1611" t="str">
        <f>VLOOKUP($A1611, 'Medical Examinations'!A:J, 10, FALSE)</f>
        <v>No major surgery</v>
      </c>
      <c r="I1611" t="str">
        <f>VLOOKUP($A1611, 'Medical Examinations'!A:K, 11, FALSE)</f>
        <v>No</v>
      </c>
      <c r="J1611" t="str">
        <f>VLOOKUP($A1611, 'Medical Examinations'!A:B, 2, FALSE)</f>
        <v>Obesity</v>
      </c>
      <c r="K1611" t="str">
        <f>VLOOKUP($A1611, 'Medical Examinations'!A:D, 4, FALSE)</f>
        <v>Diabetes</v>
      </c>
    </row>
    <row r="1612" spans="1:11" ht="15.5" x14ac:dyDescent="0.35">
      <c r="A1612" s="1" t="s">
        <v>760</v>
      </c>
      <c r="B1612" t="str">
        <f>VLOOKUP($A1612, 'Customer Names'!A:D, 3, FALSE)</f>
        <v>Hotze</v>
      </c>
      <c r="C1612">
        <f>VLOOKUP($A1612,'Medical Examinations'!A:C, 3, FALSE)</f>
        <v>29.26</v>
      </c>
      <c r="D1612" t="str">
        <f>VLOOKUP($A1612, 'Medical Examinations'!A:D, 4, FALSE)</f>
        <v>Normal</v>
      </c>
      <c r="E1612" t="str">
        <f>VLOOKUP($A1612, 'Medical Examinations'!A:F, 6, FALSE)</f>
        <v>yes</v>
      </c>
      <c r="F1612" t="str">
        <f>VLOOKUP($A1612, 'Medical Examinations'!A:G, 7, FALSE)</f>
        <v>No</v>
      </c>
      <c r="G1612" t="str">
        <f>VLOOKUP($A1612, 'Medical Examinations'!A:H, 8, FALSE)</f>
        <v>No</v>
      </c>
      <c r="H1612">
        <f>VLOOKUP($A1612, 'Medical Examinations'!A:J, 10, FALSE)</f>
        <v>1</v>
      </c>
      <c r="I1612" t="str">
        <f>VLOOKUP($A1612, 'Medical Examinations'!A:K, 11, FALSE)</f>
        <v>No</v>
      </c>
      <c r="J1612" t="str">
        <f>VLOOKUP($A1612, 'Medical Examinations'!A:B, 2, FALSE)</f>
        <v>Overweight</v>
      </c>
      <c r="K1612" t="str">
        <f>VLOOKUP($A1612, 'Medical Examinations'!A:D, 4, FALSE)</f>
        <v>Normal</v>
      </c>
    </row>
    <row r="1613" spans="1:11" ht="15.5" x14ac:dyDescent="0.35">
      <c r="A1613" s="1" t="s">
        <v>759</v>
      </c>
      <c r="B1613" t="str">
        <f>VLOOKUP($A1613, 'Customer Names'!A:D, 3, FALSE)</f>
        <v>Chauhan</v>
      </c>
      <c r="C1613">
        <f>VLOOKUP($A1613,'Medical Examinations'!A:C, 3, FALSE)</f>
        <v>15.09</v>
      </c>
      <c r="D1613" t="str">
        <f>VLOOKUP($A1613, 'Medical Examinations'!A:D, 4, FALSE)</f>
        <v>Diabetes</v>
      </c>
      <c r="E1613" t="str">
        <f>VLOOKUP($A1613, 'Medical Examinations'!A:F, 6, FALSE)</f>
        <v>yes</v>
      </c>
      <c r="F1613" t="str">
        <f>VLOOKUP($A1613, 'Medical Examinations'!A:G, 7, FALSE)</f>
        <v>No</v>
      </c>
      <c r="G1613" t="str">
        <f>VLOOKUP($A1613, 'Medical Examinations'!A:H, 8, FALSE)</f>
        <v>No</v>
      </c>
      <c r="H1613">
        <f>VLOOKUP($A1613, 'Medical Examinations'!A:J, 10, FALSE)</f>
        <v>2</v>
      </c>
      <c r="I1613" t="str">
        <f>VLOOKUP($A1613, 'Medical Examinations'!A:K, 11, FALSE)</f>
        <v>No</v>
      </c>
      <c r="J1613" t="str">
        <f>VLOOKUP($A1613, 'Medical Examinations'!A:B, 2, FALSE)</f>
        <v>Underweight</v>
      </c>
      <c r="K1613" t="str">
        <f>VLOOKUP($A1613, 'Medical Examinations'!A:D, 4, FALSE)</f>
        <v>Diabetes</v>
      </c>
    </row>
    <row r="1614" spans="1:11" ht="15.5" x14ac:dyDescent="0.35">
      <c r="A1614" s="1" t="s">
        <v>758</v>
      </c>
      <c r="B1614" t="str">
        <f>VLOOKUP($A1614, 'Customer Names'!A:D, 3, FALSE)</f>
        <v>Raab</v>
      </c>
      <c r="C1614">
        <f>VLOOKUP($A1614,'Medical Examinations'!A:C, 3, FALSE)</f>
        <v>22.63</v>
      </c>
      <c r="D1614" t="str">
        <f>VLOOKUP($A1614, 'Medical Examinations'!A:D, 4, FALSE)</f>
        <v>Normal</v>
      </c>
      <c r="E1614" t="str">
        <f>VLOOKUP($A1614, 'Medical Examinations'!A:F, 6, FALSE)</f>
        <v>yes</v>
      </c>
      <c r="F1614" t="str">
        <f>VLOOKUP($A1614, 'Medical Examinations'!A:G, 7, FALSE)</f>
        <v>No</v>
      </c>
      <c r="G1614" t="str">
        <f>VLOOKUP($A1614, 'Medical Examinations'!A:H, 8, FALSE)</f>
        <v>No</v>
      </c>
      <c r="H1614" t="str">
        <f>VLOOKUP($A1614, 'Medical Examinations'!A:J, 10, FALSE)</f>
        <v>No major surgery</v>
      </c>
      <c r="I1614" t="str">
        <f>VLOOKUP($A1614, 'Medical Examinations'!A:K, 11, FALSE)</f>
        <v>No</v>
      </c>
      <c r="J1614" t="str">
        <f>VLOOKUP($A1614, 'Medical Examinations'!A:B, 2, FALSE)</f>
        <v>Normal Weight</v>
      </c>
      <c r="K1614" t="str">
        <f>VLOOKUP($A1614, 'Medical Examinations'!A:D, 4, FALSE)</f>
        <v>Normal</v>
      </c>
    </row>
    <row r="1615" spans="1:11" ht="15.5" x14ac:dyDescent="0.35">
      <c r="A1615" s="1" t="s">
        <v>757</v>
      </c>
      <c r="B1615" t="str">
        <f>VLOOKUP($A1615, 'Customer Names'!A:D, 3, FALSE)</f>
        <v>McKown</v>
      </c>
      <c r="C1615">
        <f>VLOOKUP($A1615,'Medical Examinations'!A:C, 3, FALSE)</f>
        <v>23.46</v>
      </c>
      <c r="D1615" t="str">
        <f>VLOOKUP($A1615, 'Medical Examinations'!A:D, 4, FALSE)</f>
        <v>Normal</v>
      </c>
      <c r="E1615" t="str">
        <f>VLOOKUP($A1615, 'Medical Examinations'!A:F, 6, FALSE)</f>
        <v>No</v>
      </c>
      <c r="F1615" t="str">
        <f>VLOOKUP($A1615, 'Medical Examinations'!A:G, 7, FALSE)</f>
        <v>No</v>
      </c>
      <c r="G1615" t="str">
        <f>VLOOKUP($A1615, 'Medical Examinations'!A:H, 8, FALSE)</f>
        <v>No</v>
      </c>
      <c r="H1615">
        <f>VLOOKUP($A1615, 'Medical Examinations'!A:J, 10, FALSE)</f>
        <v>1</v>
      </c>
      <c r="I1615" t="str">
        <f>VLOOKUP($A1615, 'Medical Examinations'!A:K, 11, FALSE)</f>
        <v>No</v>
      </c>
      <c r="J1615" t="str">
        <f>VLOOKUP($A1615, 'Medical Examinations'!A:B, 2, FALSE)</f>
        <v>Normal Weight</v>
      </c>
      <c r="K1615" t="str">
        <f>VLOOKUP($A1615, 'Medical Examinations'!A:D, 4, FALSE)</f>
        <v>Normal</v>
      </c>
    </row>
    <row r="1616" spans="1:11" ht="15.5" x14ac:dyDescent="0.35">
      <c r="A1616" s="1" t="s">
        <v>756</v>
      </c>
      <c r="B1616" t="str">
        <f>VLOOKUP($A1616, 'Customer Names'!A:D, 3, FALSE)</f>
        <v>Schiemann</v>
      </c>
      <c r="C1616">
        <f>VLOOKUP($A1616,'Medical Examinations'!A:C, 3, FALSE)</f>
        <v>22.56</v>
      </c>
      <c r="D1616" t="str">
        <f>VLOOKUP($A1616, 'Medical Examinations'!A:D, 4, FALSE)</f>
        <v>Normal</v>
      </c>
      <c r="E1616" t="str">
        <f>VLOOKUP($A1616, 'Medical Examinations'!A:F, 6, FALSE)</f>
        <v>yes</v>
      </c>
      <c r="F1616" t="str">
        <f>VLOOKUP($A1616, 'Medical Examinations'!A:G, 7, FALSE)</f>
        <v>No</v>
      </c>
      <c r="G1616" t="str">
        <f>VLOOKUP($A1616, 'Medical Examinations'!A:H, 8, FALSE)</f>
        <v>No</v>
      </c>
      <c r="H1616" t="str">
        <f>VLOOKUP($A1616, 'Medical Examinations'!A:J, 10, FALSE)</f>
        <v>No major surgery</v>
      </c>
      <c r="I1616" t="str">
        <f>VLOOKUP($A1616, 'Medical Examinations'!A:K, 11, FALSE)</f>
        <v>No</v>
      </c>
      <c r="J1616" t="str">
        <f>VLOOKUP($A1616, 'Medical Examinations'!A:B, 2, FALSE)</f>
        <v>Normal Weight</v>
      </c>
      <c r="K1616" t="str">
        <f>VLOOKUP($A1616, 'Medical Examinations'!A:D, 4, FALSE)</f>
        <v>Normal</v>
      </c>
    </row>
    <row r="1617" spans="1:11" ht="15.5" x14ac:dyDescent="0.35">
      <c r="A1617" s="1" t="s">
        <v>755</v>
      </c>
      <c r="B1617" t="str">
        <f>VLOOKUP($A1617, 'Customer Names'!A:D, 3, FALSE)</f>
        <v>Cress</v>
      </c>
      <c r="C1617">
        <f>VLOOKUP($A1617,'Medical Examinations'!A:C, 3, FALSE)</f>
        <v>19.28</v>
      </c>
      <c r="D1617" t="str">
        <f>VLOOKUP($A1617, 'Medical Examinations'!A:D, 4, FALSE)</f>
        <v>Diabetes</v>
      </c>
      <c r="E1617" t="str">
        <f>VLOOKUP($A1617, 'Medical Examinations'!A:F, 6, FALSE)</f>
        <v>No</v>
      </c>
      <c r="F1617" t="str">
        <f>VLOOKUP($A1617, 'Medical Examinations'!A:G, 7, FALSE)</f>
        <v>No</v>
      </c>
      <c r="G1617" t="str">
        <f>VLOOKUP($A1617, 'Medical Examinations'!A:H, 8, FALSE)</f>
        <v>No</v>
      </c>
      <c r="H1617">
        <f>VLOOKUP($A1617, 'Medical Examinations'!A:J, 10, FALSE)</f>
        <v>2</v>
      </c>
      <c r="I1617" t="str">
        <f>VLOOKUP($A1617, 'Medical Examinations'!A:K, 11, FALSE)</f>
        <v>No</v>
      </c>
      <c r="J1617" t="str">
        <f>VLOOKUP($A1617, 'Medical Examinations'!A:B, 2, FALSE)</f>
        <v>Normal Weight</v>
      </c>
      <c r="K1617" t="str">
        <f>VLOOKUP($A1617, 'Medical Examinations'!A:D, 4, FALSE)</f>
        <v>Diabetes</v>
      </c>
    </row>
    <row r="1618" spans="1:11" ht="15.5" x14ac:dyDescent="0.35">
      <c r="A1618" s="1" t="s">
        <v>754</v>
      </c>
      <c r="B1618" t="str">
        <f>VLOOKUP($A1618, 'Customer Names'!A:D, 3, FALSE)</f>
        <v>Mawson</v>
      </c>
      <c r="C1618">
        <f>VLOOKUP($A1618,'Medical Examinations'!A:C, 3, FALSE)</f>
        <v>15.37</v>
      </c>
      <c r="D1618" t="str">
        <f>VLOOKUP($A1618, 'Medical Examinations'!A:D, 4, FALSE)</f>
        <v>Diabetes</v>
      </c>
      <c r="E1618" t="str">
        <f>VLOOKUP($A1618, 'Medical Examinations'!A:F, 6, FALSE)</f>
        <v>yes</v>
      </c>
      <c r="F1618" t="str">
        <f>VLOOKUP($A1618, 'Medical Examinations'!A:G, 7, FALSE)</f>
        <v>No</v>
      </c>
      <c r="G1618" t="str">
        <f>VLOOKUP($A1618, 'Medical Examinations'!A:H, 8, FALSE)</f>
        <v>No</v>
      </c>
      <c r="H1618">
        <f>VLOOKUP($A1618, 'Medical Examinations'!A:J, 10, FALSE)</f>
        <v>2</v>
      </c>
      <c r="I1618" t="str">
        <f>VLOOKUP($A1618, 'Medical Examinations'!A:K, 11, FALSE)</f>
        <v>No</v>
      </c>
      <c r="J1618" t="str">
        <f>VLOOKUP($A1618, 'Medical Examinations'!A:B, 2, FALSE)</f>
        <v>Underweight</v>
      </c>
      <c r="K1618" t="str">
        <f>VLOOKUP($A1618, 'Medical Examinations'!A:D, 4, FALSE)</f>
        <v>Diabetes</v>
      </c>
    </row>
    <row r="1619" spans="1:11" ht="15.5" x14ac:dyDescent="0.35">
      <c r="A1619" s="1" t="s">
        <v>753</v>
      </c>
      <c r="B1619" t="str">
        <f>VLOOKUP($A1619, 'Customer Names'!A:D, 3, FALSE)</f>
        <v>Wigginton</v>
      </c>
      <c r="C1619">
        <f>VLOOKUP($A1619,'Medical Examinations'!A:C, 3, FALSE)</f>
        <v>18.71</v>
      </c>
      <c r="D1619" t="str">
        <f>VLOOKUP($A1619, 'Medical Examinations'!A:D, 4, FALSE)</f>
        <v>Normal</v>
      </c>
      <c r="E1619" t="str">
        <f>VLOOKUP($A1619, 'Medical Examinations'!A:F, 6, FALSE)</f>
        <v>yes</v>
      </c>
      <c r="F1619" t="str">
        <f>VLOOKUP($A1619, 'Medical Examinations'!A:G, 7, FALSE)</f>
        <v>No</v>
      </c>
      <c r="G1619" t="str">
        <f>VLOOKUP($A1619, 'Medical Examinations'!A:H, 8, FALSE)</f>
        <v>No</v>
      </c>
      <c r="H1619" t="str">
        <f>VLOOKUP($A1619, 'Medical Examinations'!A:J, 10, FALSE)</f>
        <v>No major surgery</v>
      </c>
      <c r="I1619" t="str">
        <f>VLOOKUP($A1619, 'Medical Examinations'!A:K, 11, FALSE)</f>
        <v>No</v>
      </c>
      <c r="J1619" t="str">
        <f>VLOOKUP($A1619, 'Medical Examinations'!A:B, 2, FALSE)</f>
        <v>Normal Weight</v>
      </c>
      <c r="K1619" t="str">
        <f>VLOOKUP($A1619, 'Medical Examinations'!A:D, 4, FALSE)</f>
        <v>Normal</v>
      </c>
    </row>
    <row r="1620" spans="1:11" ht="15.5" x14ac:dyDescent="0.35">
      <c r="A1620" s="1" t="s">
        <v>752</v>
      </c>
      <c r="B1620" t="str">
        <f>VLOOKUP($A1620, 'Customer Names'!A:D, 3, FALSE)</f>
        <v>Wang</v>
      </c>
      <c r="C1620">
        <f>VLOOKUP($A1620,'Medical Examinations'!A:C, 3, FALSE)</f>
        <v>20.61</v>
      </c>
      <c r="D1620" t="str">
        <f>VLOOKUP($A1620, 'Medical Examinations'!A:D, 4, FALSE)</f>
        <v>Diabetes</v>
      </c>
      <c r="E1620" t="str">
        <f>VLOOKUP($A1620, 'Medical Examinations'!A:F, 6, FALSE)</f>
        <v>No</v>
      </c>
      <c r="F1620" t="str">
        <f>VLOOKUP($A1620, 'Medical Examinations'!A:G, 7, FALSE)</f>
        <v>No</v>
      </c>
      <c r="G1620" t="str">
        <f>VLOOKUP($A1620, 'Medical Examinations'!A:H, 8, FALSE)</f>
        <v>No</v>
      </c>
      <c r="H1620" t="str">
        <f>VLOOKUP($A1620, 'Medical Examinations'!A:J, 10, FALSE)</f>
        <v>No major surgery</v>
      </c>
      <c r="I1620" t="str">
        <f>VLOOKUP($A1620, 'Medical Examinations'!A:K, 11, FALSE)</f>
        <v>No</v>
      </c>
      <c r="J1620" t="str">
        <f>VLOOKUP($A1620, 'Medical Examinations'!A:B, 2, FALSE)</f>
        <v>Normal Weight</v>
      </c>
      <c r="K1620" t="str">
        <f>VLOOKUP($A1620, 'Medical Examinations'!A:D, 4, FALSE)</f>
        <v>Diabetes</v>
      </c>
    </row>
    <row r="1621" spans="1:11" ht="15.5" x14ac:dyDescent="0.35">
      <c r="A1621" s="1" t="s">
        <v>751</v>
      </c>
      <c r="B1621" t="str">
        <f>VLOOKUP($A1621, 'Customer Names'!A:D, 3, FALSE)</f>
        <v>Schroeder</v>
      </c>
      <c r="C1621">
        <f>VLOOKUP($A1621,'Medical Examinations'!A:C, 3, FALSE)</f>
        <v>15.99</v>
      </c>
      <c r="D1621" t="str">
        <f>VLOOKUP($A1621, 'Medical Examinations'!A:D, 4, FALSE)</f>
        <v>Normal</v>
      </c>
      <c r="E1621" t="str">
        <f>VLOOKUP($A1621, 'Medical Examinations'!A:F, 6, FALSE)</f>
        <v>yes</v>
      </c>
      <c r="F1621" t="str">
        <f>VLOOKUP($A1621, 'Medical Examinations'!A:G, 7, FALSE)</f>
        <v>No</v>
      </c>
      <c r="G1621" t="str">
        <f>VLOOKUP($A1621, 'Medical Examinations'!A:H, 8, FALSE)</f>
        <v>Yes</v>
      </c>
      <c r="H1621">
        <f>VLOOKUP($A1621, 'Medical Examinations'!A:J, 10, FALSE)</f>
        <v>1</v>
      </c>
      <c r="I1621" t="str">
        <f>VLOOKUP($A1621, 'Medical Examinations'!A:K, 11, FALSE)</f>
        <v>No</v>
      </c>
      <c r="J1621" t="str">
        <f>VLOOKUP($A1621, 'Medical Examinations'!A:B, 2, FALSE)</f>
        <v>Underweight</v>
      </c>
      <c r="K1621" t="str">
        <f>VLOOKUP($A1621, 'Medical Examinations'!A:D, 4, FALSE)</f>
        <v>Normal</v>
      </c>
    </row>
    <row r="1622" spans="1:11" ht="15.5" x14ac:dyDescent="0.35">
      <c r="A1622" s="1" t="s">
        <v>750</v>
      </c>
      <c r="B1622" t="str">
        <f>VLOOKUP($A1622, 'Customer Names'!A:D, 3, FALSE)</f>
        <v>Leonard</v>
      </c>
      <c r="C1622">
        <f>VLOOKUP($A1622,'Medical Examinations'!A:C, 3, FALSE)</f>
        <v>33.155000000000001</v>
      </c>
      <c r="D1622" t="str">
        <f>VLOOKUP($A1622, 'Medical Examinations'!A:D, 4, FALSE)</f>
        <v>Normal</v>
      </c>
      <c r="E1622" t="str">
        <f>VLOOKUP($A1622, 'Medical Examinations'!A:F, 6, FALSE)</f>
        <v>No</v>
      </c>
      <c r="F1622" t="str">
        <f>VLOOKUP($A1622, 'Medical Examinations'!A:G, 7, FALSE)</f>
        <v>No</v>
      </c>
      <c r="G1622" t="str">
        <f>VLOOKUP($A1622, 'Medical Examinations'!A:H, 8, FALSE)</f>
        <v>No</v>
      </c>
      <c r="H1622" t="str">
        <f>VLOOKUP($A1622, 'Medical Examinations'!A:J, 10, FALSE)</f>
        <v>No major surgery</v>
      </c>
      <c r="I1622" t="str">
        <f>VLOOKUP($A1622, 'Medical Examinations'!A:K, 11, FALSE)</f>
        <v>No</v>
      </c>
      <c r="J1622" t="str">
        <f>VLOOKUP($A1622, 'Medical Examinations'!A:B, 2, FALSE)</f>
        <v>Obesity</v>
      </c>
      <c r="K1622" t="str">
        <f>VLOOKUP($A1622, 'Medical Examinations'!A:D, 4, FALSE)</f>
        <v>Normal</v>
      </c>
    </row>
    <row r="1623" spans="1:11" ht="15.5" x14ac:dyDescent="0.35">
      <c r="A1623" s="1" t="s">
        <v>749</v>
      </c>
      <c r="B1623" t="str">
        <f>VLOOKUP($A1623, 'Customer Names'!A:D, 3, FALSE)</f>
        <v>Tissue</v>
      </c>
      <c r="C1623">
        <f>VLOOKUP($A1623,'Medical Examinations'!A:C, 3, FALSE)</f>
        <v>26.22</v>
      </c>
      <c r="D1623" t="str">
        <f>VLOOKUP($A1623, 'Medical Examinations'!A:D, 4, FALSE)</f>
        <v>Normal</v>
      </c>
      <c r="E1623" t="str">
        <f>VLOOKUP($A1623, 'Medical Examinations'!A:F, 6, FALSE)</f>
        <v>yes</v>
      </c>
      <c r="F1623" t="str">
        <f>VLOOKUP($A1623, 'Medical Examinations'!A:G, 7, FALSE)</f>
        <v>No</v>
      </c>
      <c r="G1623" t="str">
        <f>VLOOKUP($A1623, 'Medical Examinations'!A:H, 8, FALSE)</f>
        <v>Yes</v>
      </c>
      <c r="H1623">
        <f>VLOOKUP($A1623, 'Medical Examinations'!A:J, 10, FALSE)</f>
        <v>1</v>
      </c>
      <c r="I1623" t="str">
        <f>VLOOKUP($A1623, 'Medical Examinations'!A:K, 11, FALSE)</f>
        <v>No</v>
      </c>
      <c r="J1623" t="str">
        <f>VLOOKUP($A1623, 'Medical Examinations'!A:B, 2, FALSE)</f>
        <v>Overweight</v>
      </c>
      <c r="K1623" t="str">
        <f>VLOOKUP($A1623, 'Medical Examinations'!A:D, 4, FALSE)</f>
        <v>Normal</v>
      </c>
    </row>
    <row r="1624" spans="1:11" ht="15.5" x14ac:dyDescent="0.35">
      <c r="A1624" s="1" t="s">
        <v>748</v>
      </c>
      <c r="B1624" t="str">
        <f>VLOOKUP($A1624, 'Customer Names'!A:D, 3, FALSE)</f>
        <v>Wood</v>
      </c>
      <c r="C1624">
        <f>VLOOKUP($A1624,'Medical Examinations'!A:C, 3, FALSE)</f>
        <v>21.85</v>
      </c>
      <c r="D1624" t="str">
        <f>VLOOKUP($A1624, 'Medical Examinations'!A:D, 4, FALSE)</f>
        <v>Normal</v>
      </c>
      <c r="E1624" t="str">
        <f>VLOOKUP($A1624, 'Medical Examinations'!A:F, 6, FALSE)</f>
        <v>yes</v>
      </c>
      <c r="F1624" t="str">
        <f>VLOOKUP($A1624, 'Medical Examinations'!A:G, 7, FALSE)</f>
        <v>No</v>
      </c>
      <c r="G1624" t="str">
        <f>VLOOKUP($A1624, 'Medical Examinations'!A:H, 8, FALSE)</f>
        <v>Yes</v>
      </c>
      <c r="H1624">
        <f>VLOOKUP($A1624, 'Medical Examinations'!A:J, 10, FALSE)</f>
        <v>1</v>
      </c>
      <c r="I1624" t="str">
        <f>VLOOKUP($A1624, 'Medical Examinations'!A:K, 11, FALSE)</f>
        <v>No</v>
      </c>
      <c r="J1624" t="str">
        <f>VLOOKUP($A1624, 'Medical Examinations'!A:B, 2, FALSE)</f>
        <v>Normal Weight</v>
      </c>
      <c r="K1624" t="str">
        <f>VLOOKUP($A1624, 'Medical Examinations'!A:D, 4, FALSE)</f>
        <v>Normal</v>
      </c>
    </row>
    <row r="1625" spans="1:11" ht="15.5" x14ac:dyDescent="0.35">
      <c r="A1625" s="1" t="s">
        <v>747</v>
      </c>
      <c r="B1625" t="str">
        <f>VLOOKUP($A1625, 'Customer Names'!A:D, 3, FALSE)</f>
        <v>Denny</v>
      </c>
      <c r="C1625">
        <f>VLOOKUP($A1625,'Medical Examinations'!A:C, 3, FALSE)</f>
        <v>30.495000000000001</v>
      </c>
      <c r="D1625" t="str">
        <f>VLOOKUP($A1625, 'Medical Examinations'!A:D, 4, FALSE)</f>
        <v>Prediabetes</v>
      </c>
      <c r="E1625" t="str">
        <f>VLOOKUP($A1625, 'Medical Examinations'!A:F, 6, FALSE)</f>
        <v>No</v>
      </c>
      <c r="F1625" t="str">
        <f>VLOOKUP($A1625, 'Medical Examinations'!A:G, 7, FALSE)</f>
        <v>No</v>
      </c>
      <c r="G1625" t="str">
        <f>VLOOKUP($A1625, 'Medical Examinations'!A:H, 8, FALSE)</f>
        <v>No</v>
      </c>
      <c r="H1625" t="str">
        <f>VLOOKUP($A1625, 'Medical Examinations'!A:J, 10, FALSE)</f>
        <v>No major surgery</v>
      </c>
      <c r="I1625" t="str">
        <f>VLOOKUP($A1625, 'Medical Examinations'!A:K, 11, FALSE)</f>
        <v>No</v>
      </c>
      <c r="J1625" t="str">
        <f>VLOOKUP($A1625, 'Medical Examinations'!A:B, 2, FALSE)</f>
        <v>Obesity</v>
      </c>
      <c r="K1625" t="str">
        <f>VLOOKUP($A1625, 'Medical Examinations'!A:D, 4, FALSE)</f>
        <v>Prediabetes</v>
      </c>
    </row>
    <row r="1626" spans="1:11" ht="15.5" x14ac:dyDescent="0.35">
      <c r="A1626" s="1" t="s">
        <v>746</v>
      </c>
      <c r="B1626" t="str">
        <f>VLOOKUP($A1626, 'Customer Names'!A:D, 3, FALSE)</f>
        <v>Testa</v>
      </c>
      <c r="C1626">
        <f>VLOOKUP($A1626,'Medical Examinations'!A:C, 3, FALSE)</f>
        <v>34.104999999999997</v>
      </c>
      <c r="D1626" t="str">
        <f>VLOOKUP($A1626, 'Medical Examinations'!A:D, 4, FALSE)</f>
        <v>Normal</v>
      </c>
      <c r="E1626" t="str">
        <f>VLOOKUP($A1626, 'Medical Examinations'!A:F, 6, FALSE)</f>
        <v>yes</v>
      </c>
      <c r="F1626" t="str">
        <f>VLOOKUP($A1626, 'Medical Examinations'!A:G, 7, FALSE)</f>
        <v>No</v>
      </c>
      <c r="G1626" t="str">
        <f>VLOOKUP($A1626, 'Medical Examinations'!A:H, 8, FALSE)</f>
        <v>No</v>
      </c>
      <c r="H1626" t="str">
        <f>VLOOKUP($A1626, 'Medical Examinations'!A:J, 10, FALSE)</f>
        <v>No major surgery</v>
      </c>
      <c r="I1626" t="str">
        <f>VLOOKUP($A1626, 'Medical Examinations'!A:K, 11, FALSE)</f>
        <v>No</v>
      </c>
      <c r="J1626" t="str">
        <f>VLOOKUP($A1626, 'Medical Examinations'!A:B, 2, FALSE)</f>
        <v>Obesity</v>
      </c>
      <c r="K1626" t="str">
        <f>VLOOKUP($A1626, 'Medical Examinations'!A:D, 4, FALSE)</f>
        <v>Normal</v>
      </c>
    </row>
    <row r="1627" spans="1:11" ht="15.5" x14ac:dyDescent="0.35">
      <c r="A1627" s="1" t="s">
        <v>745</v>
      </c>
      <c r="B1627" t="str">
        <f>VLOOKUP($A1627, 'Customer Names'!A:D, 3, FALSE)</f>
        <v>Mooney</v>
      </c>
      <c r="C1627">
        <f>VLOOKUP($A1627,'Medical Examinations'!A:C, 3, FALSE)</f>
        <v>32.770000000000003</v>
      </c>
      <c r="D1627" t="str">
        <f>VLOOKUP($A1627, 'Medical Examinations'!A:D, 4, FALSE)</f>
        <v>Normal</v>
      </c>
      <c r="E1627" t="str">
        <f>VLOOKUP($A1627, 'Medical Examinations'!A:F, 6, FALSE)</f>
        <v>yes</v>
      </c>
      <c r="F1627" t="str">
        <f>VLOOKUP($A1627, 'Medical Examinations'!A:G, 7, FALSE)</f>
        <v>No</v>
      </c>
      <c r="G1627" t="str">
        <f>VLOOKUP($A1627, 'Medical Examinations'!A:H, 8, FALSE)</f>
        <v>No</v>
      </c>
      <c r="H1627">
        <f>VLOOKUP($A1627, 'Medical Examinations'!A:J, 10, FALSE)</f>
        <v>1</v>
      </c>
      <c r="I1627" t="str">
        <f>VLOOKUP($A1627, 'Medical Examinations'!A:K, 11, FALSE)</f>
        <v>No</v>
      </c>
      <c r="J1627" t="str">
        <f>VLOOKUP($A1627, 'Medical Examinations'!A:B, 2, FALSE)</f>
        <v>Obesity</v>
      </c>
      <c r="K1627" t="str">
        <f>VLOOKUP($A1627, 'Medical Examinations'!A:D, 4, FALSE)</f>
        <v>Normal</v>
      </c>
    </row>
    <row r="1628" spans="1:11" ht="15.5" x14ac:dyDescent="0.35">
      <c r="A1628" s="1" t="s">
        <v>744</v>
      </c>
      <c r="B1628" t="str">
        <f>VLOOKUP($A1628, 'Customer Names'!A:D, 3, FALSE)</f>
        <v>Buchholtz</v>
      </c>
      <c r="C1628">
        <f>VLOOKUP($A1628,'Medical Examinations'!A:C, 3, FALSE)</f>
        <v>16.850000000000001</v>
      </c>
      <c r="D1628" t="str">
        <f>VLOOKUP($A1628, 'Medical Examinations'!A:D, 4, FALSE)</f>
        <v>Diabetes</v>
      </c>
      <c r="E1628" t="str">
        <f>VLOOKUP($A1628, 'Medical Examinations'!A:F, 6, FALSE)</f>
        <v>yes</v>
      </c>
      <c r="F1628" t="str">
        <f>VLOOKUP($A1628, 'Medical Examinations'!A:G, 7, FALSE)</f>
        <v>No</v>
      </c>
      <c r="G1628" t="str">
        <f>VLOOKUP($A1628, 'Medical Examinations'!A:H, 8, FALSE)</f>
        <v>No</v>
      </c>
      <c r="H1628">
        <f>VLOOKUP($A1628, 'Medical Examinations'!A:J, 10, FALSE)</f>
        <v>2</v>
      </c>
      <c r="I1628" t="str">
        <f>VLOOKUP($A1628, 'Medical Examinations'!A:K, 11, FALSE)</f>
        <v>No</v>
      </c>
      <c r="J1628" t="str">
        <f>VLOOKUP($A1628, 'Medical Examinations'!A:B, 2, FALSE)</f>
        <v>Underweight</v>
      </c>
      <c r="K1628" t="str">
        <f>VLOOKUP($A1628, 'Medical Examinations'!A:D, 4, FALSE)</f>
        <v>Diabetes</v>
      </c>
    </row>
    <row r="1629" spans="1:11" ht="15.5" x14ac:dyDescent="0.35">
      <c r="A1629" s="1" t="s">
        <v>743</v>
      </c>
      <c r="B1629" t="str">
        <f>VLOOKUP($A1629, 'Customer Names'!A:D, 3, FALSE)</f>
        <v>Hoyt</v>
      </c>
      <c r="C1629">
        <f>VLOOKUP($A1629,'Medical Examinations'!A:C, 3, FALSE)</f>
        <v>34.700000000000003</v>
      </c>
      <c r="D1629" t="str">
        <f>VLOOKUP($A1629, 'Medical Examinations'!A:D, 4, FALSE)</f>
        <v>Prediabetes</v>
      </c>
      <c r="E1629" t="str">
        <f>VLOOKUP($A1629, 'Medical Examinations'!A:F, 6, FALSE)</f>
        <v>No</v>
      </c>
      <c r="F1629" t="str">
        <f>VLOOKUP($A1629, 'Medical Examinations'!A:G, 7, FALSE)</f>
        <v>No</v>
      </c>
      <c r="G1629" t="str">
        <f>VLOOKUP($A1629, 'Medical Examinations'!A:H, 8, FALSE)</f>
        <v>No</v>
      </c>
      <c r="H1629">
        <f>VLOOKUP($A1629, 'Medical Examinations'!A:J, 10, FALSE)</f>
        <v>1</v>
      </c>
      <c r="I1629" t="str">
        <f>VLOOKUP($A1629, 'Medical Examinations'!A:K, 11, FALSE)</f>
        <v>No</v>
      </c>
      <c r="J1629" t="str">
        <f>VLOOKUP($A1629, 'Medical Examinations'!A:B, 2, FALSE)</f>
        <v>Obesity</v>
      </c>
      <c r="K1629" t="str">
        <f>VLOOKUP($A1629, 'Medical Examinations'!A:D, 4, FALSE)</f>
        <v>Prediabetes</v>
      </c>
    </row>
    <row r="1630" spans="1:11" ht="15.5" x14ac:dyDescent="0.35">
      <c r="A1630" s="1" t="s">
        <v>742</v>
      </c>
      <c r="B1630" t="str">
        <f>VLOOKUP($A1630, 'Customer Names'!A:D, 3, FALSE)</f>
        <v>Cabada</v>
      </c>
      <c r="C1630">
        <f>VLOOKUP($A1630,'Medical Examinations'!A:C, 3, FALSE)</f>
        <v>37.049999999999997</v>
      </c>
      <c r="D1630" t="str">
        <f>VLOOKUP($A1630, 'Medical Examinations'!A:D, 4, FALSE)</f>
        <v>Normal</v>
      </c>
      <c r="E1630" t="str">
        <f>VLOOKUP($A1630, 'Medical Examinations'!A:F, 6, FALSE)</f>
        <v>No</v>
      </c>
      <c r="F1630" t="str">
        <f>VLOOKUP($A1630, 'Medical Examinations'!A:G, 7, FALSE)</f>
        <v>No</v>
      </c>
      <c r="G1630" t="str">
        <f>VLOOKUP($A1630, 'Medical Examinations'!A:H, 8, FALSE)</f>
        <v>No</v>
      </c>
      <c r="H1630">
        <f>VLOOKUP($A1630, 'Medical Examinations'!A:J, 10, FALSE)</f>
        <v>1</v>
      </c>
      <c r="I1630" t="str">
        <f>VLOOKUP($A1630, 'Medical Examinations'!A:K, 11, FALSE)</f>
        <v>No</v>
      </c>
      <c r="J1630" t="str">
        <f>VLOOKUP($A1630, 'Medical Examinations'!A:B, 2, FALSE)</f>
        <v>Obesity</v>
      </c>
      <c r="K1630" t="str">
        <f>VLOOKUP($A1630, 'Medical Examinations'!A:D, 4, FALSE)</f>
        <v>Normal</v>
      </c>
    </row>
    <row r="1631" spans="1:11" ht="15.5" x14ac:dyDescent="0.35">
      <c r="A1631" s="1" t="s">
        <v>741</v>
      </c>
      <c r="B1631" t="str">
        <f>VLOOKUP($A1631, 'Customer Names'!A:D, 3, FALSE)</f>
        <v>Lobaciute</v>
      </c>
      <c r="C1631">
        <f>VLOOKUP($A1631,'Medical Examinations'!A:C, 3, FALSE)</f>
        <v>18.78</v>
      </c>
      <c r="D1631" t="str">
        <f>VLOOKUP($A1631, 'Medical Examinations'!A:D, 4, FALSE)</f>
        <v>Normal</v>
      </c>
      <c r="E1631" t="str">
        <f>VLOOKUP($A1631, 'Medical Examinations'!A:F, 6, FALSE)</f>
        <v>No</v>
      </c>
      <c r="F1631" t="str">
        <f>VLOOKUP($A1631, 'Medical Examinations'!A:G, 7, FALSE)</f>
        <v>No</v>
      </c>
      <c r="G1631" t="str">
        <f>VLOOKUP($A1631, 'Medical Examinations'!A:H, 8, FALSE)</f>
        <v>Yes</v>
      </c>
      <c r="H1631">
        <f>VLOOKUP($A1631, 'Medical Examinations'!A:J, 10, FALSE)</f>
        <v>1</v>
      </c>
      <c r="I1631" t="str">
        <f>VLOOKUP($A1631, 'Medical Examinations'!A:K, 11, FALSE)</f>
        <v>No</v>
      </c>
      <c r="J1631" t="str">
        <f>VLOOKUP($A1631, 'Medical Examinations'!A:B, 2, FALSE)</f>
        <v>Normal Weight</v>
      </c>
      <c r="K1631" t="str">
        <f>VLOOKUP($A1631, 'Medical Examinations'!A:D, 4, FALSE)</f>
        <v>Normal</v>
      </c>
    </row>
    <row r="1632" spans="1:11" ht="15.5" x14ac:dyDescent="0.35">
      <c r="A1632" s="1" t="s">
        <v>740</v>
      </c>
      <c r="B1632" t="str">
        <f>VLOOKUP($A1632, 'Customer Names'!A:D, 3, FALSE)</f>
        <v>Dawes</v>
      </c>
      <c r="C1632">
        <f>VLOOKUP($A1632,'Medical Examinations'!A:C, 3, FALSE)</f>
        <v>28.024999999999999</v>
      </c>
      <c r="D1632" t="str">
        <f>VLOOKUP($A1632, 'Medical Examinations'!A:D, 4, FALSE)</f>
        <v>Normal</v>
      </c>
      <c r="E1632" t="str">
        <f>VLOOKUP($A1632, 'Medical Examinations'!A:F, 6, FALSE)</f>
        <v>No</v>
      </c>
      <c r="F1632" t="str">
        <f>VLOOKUP($A1632, 'Medical Examinations'!A:G, 7, FALSE)</f>
        <v>No</v>
      </c>
      <c r="G1632" t="str">
        <f>VLOOKUP($A1632, 'Medical Examinations'!A:H, 8, FALSE)</f>
        <v>No</v>
      </c>
      <c r="H1632">
        <f>VLOOKUP($A1632, 'Medical Examinations'!A:J, 10, FALSE)</f>
        <v>1</v>
      </c>
      <c r="I1632" t="str">
        <f>VLOOKUP($A1632, 'Medical Examinations'!A:K, 11, FALSE)</f>
        <v>No</v>
      </c>
      <c r="J1632" t="str">
        <f>VLOOKUP($A1632, 'Medical Examinations'!A:B, 2, FALSE)</f>
        <v>Overweight</v>
      </c>
      <c r="K1632" t="str">
        <f>VLOOKUP($A1632, 'Medical Examinations'!A:D, 4, FALSE)</f>
        <v>Normal</v>
      </c>
    </row>
    <row r="1633" spans="1:11" ht="15.5" x14ac:dyDescent="0.35">
      <c r="A1633" s="1" t="s">
        <v>739</v>
      </c>
      <c r="B1633" t="str">
        <f>VLOOKUP($A1633, 'Customer Names'!A:D, 3, FALSE)</f>
        <v>Deppen</v>
      </c>
      <c r="C1633">
        <f>VLOOKUP($A1633,'Medical Examinations'!A:C, 3, FALSE)</f>
        <v>35.090000000000003</v>
      </c>
      <c r="D1633" t="str">
        <f>VLOOKUP($A1633, 'Medical Examinations'!A:D, 4, FALSE)</f>
        <v>Prediabetes</v>
      </c>
      <c r="E1633" t="str">
        <f>VLOOKUP($A1633, 'Medical Examinations'!A:F, 6, FALSE)</f>
        <v>No</v>
      </c>
      <c r="F1633" t="str">
        <f>VLOOKUP($A1633, 'Medical Examinations'!A:G, 7, FALSE)</f>
        <v>No</v>
      </c>
      <c r="G1633" t="str">
        <f>VLOOKUP($A1633, 'Medical Examinations'!A:H, 8, FALSE)</f>
        <v>No</v>
      </c>
      <c r="H1633" t="str">
        <f>VLOOKUP($A1633, 'Medical Examinations'!A:J, 10, FALSE)</f>
        <v>No major surgery</v>
      </c>
      <c r="I1633" t="str">
        <f>VLOOKUP($A1633, 'Medical Examinations'!A:K, 11, FALSE)</f>
        <v>No</v>
      </c>
      <c r="J1633" t="str">
        <f>VLOOKUP($A1633, 'Medical Examinations'!A:B, 2, FALSE)</f>
        <v>Obesity</v>
      </c>
      <c r="K1633" t="str">
        <f>VLOOKUP($A1633, 'Medical Examinations'!A:D, 4, FALSE)</f>
        <v>Prediabetes</v>
      </c>
    </row>
    <row r="1634" spans="1:11" ht="15.5" x14ac:dyDescent="0.35">
      <c r="A1634" s="1" t="s">
        <v>738</v>
      </c>
      <c r="B1634" t="str">
        <f>VLOOKUP($A1634, 'Customer Names'!A:D, 3, FALSE)</f>
        <v>Oberndorfer</v>
      </c>
      <c r="C1634">
        <f>VLOOKUP($A1634,'Medical Examinations'!A:C, 3, FALSE)</f>
        <v>34.42</v>
      </c>
      <c r="D1634" t="str">
        <f>VLOOKUP($A1634, 'Medical Examinations'!A:D, 4, FALSE)</f>
        <v>Normal</v>
      </c>
      <c r="E1634" t="str">
        <f>VLOOKUP($A1634, 'Medical Examinations'!A:F, 6, FALSE)</f>
        <v>yes</v>
      </c>
      <c r="F1634" t="str">
        <f>VLOOKUP($A1634, 'Medical Examinations'!A:G, 7, FALSE)</f>
        <v>No</v>
      </c>
      <c r="G1634" t="str">
        <f>VLOOKUP($A1634, 'Medical Examinations'!A:H, 8, FALSE)</f>
        <v>No</v>
      </c>
      <c r="H1634" t="str">
        <f>VLOOKUP($A1634, 'Medical Examinations'!A:J, 10, FALSE)</f>
        <v>No major surgery</v>
      </c>
      <c r="I1634" t="str">
        <f>VLOOKUP($A1634, 'Medical Examinations'!A:K, 11, FALSE)</f>
        <v>No</v>
      </c>
      <c r="J1634" t="str">
        <f>VLOOKUP($A1634, 'Medical Examinations'!A:B, 2, FALSE)</f>
        <v>Obesity</v>
      </c>
      <c r="K1634" t="str">
        <f>VLOOKUP($A1634, 'Medical Examinations'!A:D, 4, FALSE)</f>
        <v>Normal</v>
      </c>
    </row>
    <row r="1635" spans="1:11" ht="15.5" x14ac:dyDescent="0.35">
      <c r="A1635" s="1" t="s">
        <v>737</v>
      </c>
      <c r="B1635" t="str">
        <f>VLOOKUP($A1635, 'Customer Names'!A:D, 3, FALSE)</f>
        <v>Hetherington</v>
      </c>
      <c r="C1635">
        <f>VLOOKUP($A1635,'Medical Examinations'!A:C, 3, FALSE)</f>
        <v>29.4</v>
      </c>
      <c r="D1635" t="str">
        <f>VLOOKUP($A1635, 'Medical Examinations'!A:D, 4, FALSE)</f>
        <v>Normal</v>
      </c>
      <c r="E1635" t="str">
        <f>VLOOKUP($A1635, 'Medical Examinations'!A:F, 6, FALSE)</f>
        <v>No</v>
      </c>
      <c r="F1635" t="str">
        <f>VLOOKUP($A1635, 'Medical Examinations'!A:G, 7, FALSE)</f>
        <v>No</v>
      </c>
      <c r="G1635" t="str">
        <f>VLOOKUP($A1635, 'Medical Examinations'!A:H, 8, FALSE)</f>
        <v>No</v>
      </c>
      <c r="H1635" t="str">
        <f>VLOOKUP($A1635, 'Medical Examinations'!A:J, 10, FALSE)</f>
        <v>No major surgery</v>
      </c>
      <c r="I1635" t="str">
        <f>VLOOKUP($A1635, 'Medical Examinations'!A:K, 11, FALSE)</f>
        <v>No</v>
      </c>
      <c r="J1635" t="str">
        <f>VLOOKUP($A1635, 'Medical Examinations'!A:B, 2, FALSE)</f>
        <v>Overweight</v>
      </c>
      <c r="K1635" t="str">
        <f>VLOOKUP($A1635, 'Medical Examinations'!A:D, 4, FALSE)</f>
        <v>Normal</v>
      </c>
    </row>
    <row r="1636" spans="1:11" ht="15.5" x14ac:dyDescent="0.35">
      <c r="A1636" s="1" t="s">
        <v>736</v>
      </c>
      <c r="B1636" t="str">
        <f>VLOOKUP($A1636, 'Customer Names'!A:D, 3, FALSE)</f>
        <v>Murray</v>
      </c>
      <c r="C1636">
        <f>VLOOKUP($A1636,'Medical Examinations'!A:C, 3, FALSE)</f>
        <v>21.31</v>
      </c>
      <c r="D1636" t="str">
        <f>VLOOKUP($A1636, 'Medical Examinations'!A:D, 4, FALSE)</f>
        <v>Normal</v>
      </c>
      <c r="E1636" t="str">
        <f>VLOOKUP($A1636, 'Medical Examinations'!A:F, 6, FALSE)</f>
        <v>No</v>
      </c>
      <c r="F1636" t="str">
        <f>VLOOKUP($A1636, 'Medical Examinations'!A:G, 7, FALSE)</f>
        <v>No</v>
      </c>
      <c r="G1636" t="str">
        <f>VLOOKUP($A1636, 'Medical Examinations'!A:H, 8, FALSE)</f>
        <v>No</v>
      </c>
      <c r="H1636" t="str">
        <f>VLOOKUP($A1636, 'Medical Examinations'!A:J, 10, FALSE)</f>
        <v>No major surgery</v>
      </c>
      <c r="I1636" t="str">
        <f>VLOOKUP($A1636, 'Medical Examinations'!A:K, 11, FALSE)</f>
        <v>No</v>
      </c>
      <c r="J1636" t="str">
        <f>VLOOKUP($A1636, 'Medical Examinations'!A:B, 2, FALSE)</f>
        <v>Normal Weight</v>
      </c>
      <c r="K1636" t="str">
        <f>VLOOKUP($A1636, 'Medical Examinations'!A:D, 4, FALSE)</f>
        <v>Normal</v>
      </c>
    </row>
    <row r="1637" spans="1:11" ht="15.5" x14ac:dyDescent="0.35">
      <c r="A1637" s="1" t="s">
        <v>735</v>
      </c>
      <c r="B1637" t="str">
        <f>VLOOKUP($A1637, 'Customer Names'!A:D, 3, FALSE)</f>
        <v>Higden</v>
      </c>
      <c r="C1637">
        <f>VLOOKUP($A1637,'Medical Examinations'!A:C, 3, FALSE)</f>
        <v>19.559999999999999</v>
      </c>
      <c r="D1637" t="str">
        <f>VLOOKUP($A1637, 'Medical Examinations'!A:D, 4, FALSE)</f>
        <v>Diabetes</v>
      </c>
      <c r="E1637" t="str">
        <f>VLOOKUP($A1637, 'Medical Examinations'!A:F, 6, FALSE)</f>
        <v>No</v>
      </c>
      <c r="F1637" t="str">
        <f>VLOOKUP($A1637, 'Medical Examinations'!A:G, 7, FALSE)</f>
        <v>No</v>
      </c>
      <c r="G1637" t="str">
        <f>VLOOKUP($A1637, 'Medical Examinations'!A:H, 8, FALSE)</f>
        <v>No</v>
      </c>
      <c r="H1637" t="str">
        <f>VLOOKUP($A1637, 'Medical Examinations'!A:J, 10, FALSE)</f>
        <v>No major surgery</v>
      </c>
      <c r="I1637" t="str">
        <f>VLOOKUP($A1637, 'Medical Examinations'!A:K, 11, FALSE)</f>
        <v>No</v>
      </c>
      <c r="J1637" t="str">
        <f>VLOOKUP($A1637, 'Medical Examinations'!A:B, 2, FALSE)</f>
        <v>Normal Weight</v>
      </c>
      <c r="K1637" t="str">
        <f>VLOOKUP($A1637, 'Medical Examinations'!A:D, 4, FALSE)</f>
        <v>Diabetes</v>
      </c>
    </row>
    <row r="1638" spans="1:11" ht="15.5" x14ac:dyDescent="0.35">
      <c r="A1638" s="1" t="s">
        <v>734</v>
      </c>
      <c r="B1638" t="str">
        <f>VLOOKUP($A1638, 'Customer Names'!A:D, 3, FALSE)</f>
        <v>Rediger</v>
      </c>
      <c r="C1638">
        <f>VLOOKUP($A1638,'Medical Examinations'!A:C, 3, FALSE)</f>
        <v>37.335000000000001</v>
      </c>
      <c r="D1638" t="str">
        <f>VLOOKUP($A1638, 'Medical Examinations'!A:D, 4, FALSE)</f>
        <v>Prediabetes</v>
      </c>
      <c r="E1638" t="str">
        <f>VLOOKUP($A1638, 'Medical Examinations'!A:F, 6, FALSE)</f>
        <v>yes</v>
      </c>
      <c r="F1638" t="str">
        <f>VLOOKUP($A1638, 'Medical Examinations'!A:G, 7, FALSE)</f>
        <v>No</v>
      </c>
      <c r="G1638" t="str">
        <f>VLOOKUP($A1638, 'Medical Examinations'!A:H, 8, FALSE)</f>
        <v>No</v>
      </c>
      <c r="H1638">
        <f>VLOOKUP($A1638, 'Medical Examinations'!A:J, 10, FALSE)</f>
        <v>1</v>
      </c>
      <c r="I1638" t="str">
        <f>VLOOKUP($A1638, 'Medical Examinations'!A:K, 11, FALSE)</f>
        <v>No</v>
      </c>
      <c r="J1638" t="str">
        <f>VLOOKUP($A1638, 'Medical Examinations'!A:B, 2, FALSE)</f>
        <v>Obesity</v>
      </c>
      <c r="K1638" t="str">
        <f>VLOOKUP($A1638, 'Medical Examinations'!A:D, 4, FALSE)</f>
        <v>Prediabetes</v>
      </c>
    </row>
    <row r="1639" spans="1:11" ht="15.5" x14ac:dyDescent="0.35">
      <c r="A1639" s="1" t="s">
        <v>733</v>
      </c>
      <c r="B1639" t="str">
        <f>VLOOKUP($A1639, 'Customer Names'!A:D, 3, FALSE)</f>
        <v>Huff</v>
      </c>
      <c r="C1639">
        <f>VLOOKUP($A1639,'Medical Examinations'!A:C, 3, FALSE)</f>
        <v>19.53</v>
      </c>
      <c r="D1639" t="str">
        <f>VLOOKUP($A1639, 'Medical Examinations'!A:D, 4, FALSE)</f>
        <v>Diabetes</v>
      </c>
      <c r="E1639" t="str">
        <f>VLOOKUP($A1639, 'Medical Examinations'!A:F, 6, FALSE)</f>
        <v>No</v>
      </c>
      <c r="F1639" t="str">
        <f>VLOOKUP($A1639, 'Medical Examinations'!A:G, 7, FALSE)</f>
        <v>No</v>
      </c>
      <c r="G1639" t="str">
        <f>VLOOKUP($A1639, 'Medical Examinations'!A:H, 8, FALSE)</f>
        <v>No</v>
      </c>
      <c r="H1639" t="str">
        <f>VLOOKUP($A1639, 'Medical Examinations'!A:J, 10, FALSE)</f>
        <v>No major surgery</v>
      </c>
      <c r="I1639" t="str">
        <f>VLOOKUP($A1639, 'Medical Examinations'!A:K, 11, FALSE)</f>
        <v>No</v>
      </c>
      <c r="J1639" t="str">
        <f>VLOOKUP($A1639, 'Medical Examinations'!A:B, 2, FALSE)</f>
        <v>Normal Weight</v>
      </c>
      <c r="K1639" t="str">
        <f>VLOOKUP($A1639, 'Medical Examinations'!A:D, 4, FALSE)</f>
        <v>Diabetes</v>
      </c>
    </row>
    <row r="1640" spans="1:11" ht="15.5" x14ac:dyDescent="0.35">
      <c r="A1640" s="1" t="s">
        <v>732</v>
      </c>
      <c r="B1640" t="str">
        <f>VLOOKUP($A1640, 'Customer Names'!A:D, 3, FALSE)</f>
        <v>Hall</v>
      </c>
      <c r="C1640">
        <f>VLOOKUP($A1640,'Medical Examinations'!A:C, 3, FALSE)</f>
        <v>34.1</v>
      </c>
      <c r="D1640" t="str">
        <f>VLOOKUP($A1640, 'Medical Examinations'!A:D, 4, FALSE)</f>
        <v>Normal</v>
      </c>
      <c r="E1640" t="str">
        <f>VLOOKUP($A1640, 'Medical Examinations'!A:F, 6, FALSE)</f>
        <v>No</v>
      </c>
      <c r="F1640" t="str">
        <f>VLOOKUP($A1640, 'Medical Examinations'!A:G, 7, FALSE)</f>
        <v>No</v>
      </c>
      <c r="G1640" t="str">
        <f>VLOOKUP($A1640, 'Medical Examinations'!A:H, 8, FALSE)</f>
        <v>No</v>
      </c>
      <c r="H1640" t="str">
        <f>VLOOKUP($A1640, 'Medical Examinations'!A:J, 10, FALSE)</f>
        <v>No major surgery</v>
      </c>
      <c r="I1640" t="str">
        <f>VLOOKUP($A1640, 'Medical Examinations'!A:K, 11, FALSE)</f>
        <v>No</v>
      </c>
      <c r="J1640" t="str">
        <f>VLOOKUP($A1640, 'Medical Examinations'!A:B, 2, FALSE)</f>
        <v>Obesity</v>
      </c>
      <c r="K1640" t="str">
        <f>VLOOKUP($A1640, 'Medical Examinations'!A:D, 4, FALSE)</f>
        <v>Normal</v>
      </c>
    </row>
    <row r="1641" spans="1:11" ht="15.5" x14ac:dyDescent="0.35">
      <c r="A1641" s="1" t="s">
        <v>731</v>
      </c>
      <c r="B1641" t="str">
        <f>VLOOKUP($A1641, 'Customer Names'!A:D, 3, FALSE)</f>
        <v>Grise</v>
      </c>
      <c r="C1641">
        <f>VLOOKUP($A1641,'Medical Examinations'!A:C, 3, FALSE)</f>
        <v>16.5</v>
      </c>
      <c r="D1641" t="str">
        <f>VLOOKUP($A1641, 'Medical Examinations'!A:D, 4, FALSE)</f>
        <v>Diabetes</v>
      </c>
      <c r="E1641" t="str">
        <f>VLOOKUP($A1641, 'Medical Examinations'!A:F, 6, FALSE)</f>
        <v>yes</v>
      </c>
      <c r="F1641" t="str">
        <f>VLOOKUP($A1641, 'Medical Examinations'!A:G, 7, FALSE)</f>
        <v>No</v>
      </c>
      <c r="G1641" t="str">
        <f>VLOOKUP($A1641, 'Medical Examinations'!A:H, 8, FALSE)</f>
        <v>No</v>
      </c>
      <c r="H1641">
        <f>VLOOKUP($A1641, 'Medical Examinations'!A:J, 10, FALSE)</f>
        <v>2</v>
      </c>
      <c r="I1641" t="str">
        <f>VLOOKUP($A1641, 'Medical Examinations'!A:K, 11, FALSE)</f>
        <v>No</v>
      </c>
      <c r="J1641" t="str">
        <f>VLOOKUP($A1641, 'Medical Examinations'!A:B, 2, FALSE)</f>
        <v>Underweight</v>
      </c>
      <c r="K1641" t="str">
        <f>VLOOKUP($A1641, 'Medical Examinations'!A:D, 4, FALSE)</f>
        <v>Diabetes</v>
      </c>
    </row>
    <row r="1642" spans="1:11" ht="15.5" x14ac:dyDescent="0.35">
      <c r="A1642" s="1" t="s">
        <v>730</v>
      </c>
      <c r="B1642" t="str">
        <f>VLOOKUP($A1642, 'Customer Names'!A:D, 3, FALSE)</f>
        <v>Skildum</v>
      </c>
      <c r="C1642">
        <f>VLOOKUP($A1642,'Medical Examinations'!A:C, 3, FALSE)</f>
        <v>30.69</v>
      </c>
      <c r="D1642" t="str">
        <f>VLOOKUP($A1642, 'Medical Examinations'!A:D, 4, FALSE)</f>
        <v>Normal</v>
      </c>
      <c r="E1642" t="str">
        <f>VLOOKUP($A1642, 'Medical Examinations'!A:F, 6, FALSE)</f>
        <v>No</v>
      </c>
      <c r="F1642" t="str">
        <f>VLOOKUP($A1642, 'Medical Examinations'!A:G, 7, FALSE)</f>
        <v>No</v>
      </c>
      <c r="G1642" t="str">
        <f>VLOOKUP($A1642, 'Medical Examinations'!A:H, 8, FALSE)</f>
        <v>No</v>
      </c>
      <c r="H1642">
        <f>VLOOKUP($A1642, 'Medical Examinations'!A:J, 10, FALSE)</f>
        <v>1</v>
      </c>
      <c r="I1642" t="str">
        <f>VLOOKUP($A1642, 'Medical Examinations'!A:K, 11, FALSE)</f>
        <v>No</v>
      </c>
      <c r="J1642" t="str">
        <f>VLOOKUP($A1642, 'Medical Examinations'!A:B, 2, FALSE)</f>
        <v>Obesity</v>
      </c>
      <c r="K1642" t="str">
        <f>VLOOKUP($A1642, 'Medical Examinations'!A:D, 4, FALSE)</f>
        <v>Normal</v>
      </c>
    </row>
    <row r="1643" spans="1:11" ht="15.5" x14ac:dyDescent="0.35">
      <c r="A1643" s="1" t="s">
        <v>729</v>
      </c>
      <c r="B1643" t="str">
        <f>VLOOKUP($A1643, 'Customer Names'!A:D, 3, FALSE)</f>
        <v>Yang</v>
      </c>
      <c r="C1643">
        <f>VLOOKUP($A1643,'Medical Examinations'!A:C, 3, FALSE)</f>
        <v>28.93</v>
      </c>
      <c r="D1643" t="str">
        <f>VLOOKUP($A1643, 'Medical Examinations'!A:D, 4, FALSE)</f>
        <v>Normal</v>
      </c>
      <c r="E1643" t="str">
        <f>VLOOKUP($A1643, 'Medical Examinations'!A:F, 6, FALSE)</f>
        <v>No</v>
      </c>
      <c r="F1643" t="str">
        <f>VLOOKUP($A1643, 'Medical Examinations'!A:G, 7, FALSE)</f>
        <v>No</v>
      </c>
      <c r="G1643" t="str">
        <f>VLOOKUP($A1643, 'Medical Examinations'!A:H, 8, FALSE)</f>
        <v>No</v>
      </c>
      <c r="H1643">
        <f>VLOOKUP($A1643, 'Medical Examinations'!A:J, 10, FALSE)</f>
        <v>1</v>
      </c>
      <c r="I1643" t="str">
        <f>VLOOKUP($A1643, 'Medical Examinations'!A:K, 11, FALSE)</f>
        <v>No</v>
      </c>
      <c r="J1643" t="str">
        <f>VLOOKUP($A1643, 'Medical Examinations'!A:B, 2, FALSE)</f>
        <v>Overweight</v>
      </c>
      <c r="K1643" t="str">
        <f>VLOOKUP($A1643, 'Medical Examinations'!A:D, 4, FALSE)</f>
        <v>Normal</v>
      </c>
    </row>
    <row r="1644" spans="1:11" ht="15.5" x14ac:dyDescent="0.35">
      <c r="A1644" s="1" t="s">
        <v>728</v>
      </c>
      <c r="B1644" t="str">
        <f>VLOOKUP($A1644, 'Customer Names'!A:D, 3, FALSE)</f>
        <v>Fischer-Daly</v>
      </c>
      <c r="C1644">
        <f>VLOOKUP($A1644,'Medical Examinations'!A:C, 3, FALSE)</f>
        <v>38.9</v>
      </c>
      <c r="D1644" t="str">
        <f>VLOOKUP($A1644, 'Medical Examinations'!A:D, 4, FALSE)</f>
        <v>Normal</v>
      </c>
      <c r="E1644" t="str">
        <f>VLOOKUP($A1644, 'Medical Examinations'!A:F, 6, FALSE)</f>
        <v>No</v>
      </c>
      <c r="F1644" t="str">
        <f>VLOOKUP($A1644, 'Medical Examinations'!A:G, 7, FALSE)</f>
        <v>No</v>
      </c>
      <c r="G1644" t="str">
        <f>VLOOKUP($A1644, 'Medical Examinations'!A:H, 8, FALSE)</f>
        <v>No</v>
      </c>
      <c r="H1644" t="str">
        <f>VLOOKUP($A1644, 'Medical Examinations'!A:J, 10, FALSE)</f>
        <v>No major surgery</v>
      </c>
      <c r="I1644" t="str">
        <f>VLOOKUP($A1644, 'Medical Examinations'!A:K, 11, FALSE)</f>
        <v>No</v>
      </c>
      <c r="J1644" t="str">
        <f>VLOOKUP($A1644, 'Medical Examinations'!A:B, 2, FALSE)</f>
        <v>Obesity</v>
      </c>
      <c r="K1644" t="str">
        <f>VLOOKUP($A1644, 'Medical Examinations'!A:D, 4, FALSE)</f>
        <v>Normal</v>
      </c>
    </row>
    <row r="1645" spans="1:11" ht="15.5" x14ac:dyDescent="0.35">
      <c r="A1645" s="1" t="s">
        <v>727</v>
      </c>
      <c r="B1645" t="str">
        <f>VLOOKUP($A1645, 'Customer Names'!A:D, 3, FALSE)</f>
        <v>Asher</v>
      </c>
      <c r="C1645">
        <f>VLOOKUP($A1645,'Medical Examinations'!A:C, 3, FALSE)</f>
        <v>26.9</v>
      </c>
      <c r="D1645" t="str">
        <f>VLOOKUP($A1645, 'Medical Examinations'!A:D, 4, FALSE)</f>
        <v>Normal</v>
      </c>
      <c r="E1645" t="str">
        <f>VLOOKUP($A1645, 'Medical Examinations'!A:F, 6, FALSE)</f>
        <v>No</v>
      </c>
      <c r="F1645" t="str">
        <f>VLOOKUP($A1645, 'Medical Examinations'!A:G, 7, FALSE)</f>
        <v>No</v>
      </c>
      <c r="G1645" t="str">
        <f>VLOOKUP($A1645, 'Medical Examinations'!A:H, 8, FALSE)</f>
        <v>No</v>
      </c>
      <c r="H1645" t="str">
        <f>VLOOKUP($A1645, 'Medical Examinations'!A:J, 10, FALSE)</f>
        <v>No major surgery</v>
      </c>
      <c r="I1645" t="str">
        <f>VLOOKUP($A1645, 'Medical Examinations'!A:K, 11, FALSE)</f>
        <v>No</v>
      </c>
      <c r="J1645" t="str">
        <f>VLOOKUP($A1645, 'Medical Examinations'!A:B, 2, FALSE)</f>
        <v>Overweight</v>
      </c>
      <c r="K1645" t="str">
        <f>VLOOKUP($A1645, 'Medical Examinations'!A:D, 4, FALSE)</f>
        <v>Normal</v>
      </c>
    </row>
    <row r="1646" spans="1:11" ht="15.5" x14ac:dyDescent="0.35">
      <c r="A1646" s="1" t="s">
        <v>726</v>
      </c>
      <c r="B1646" t="str">
        <f>VLOOKUP($A1646, 'Customer Names'!A:D, 3, FALSE)</f>
        <v>Zhou</v>
      </c>
      <c r="C1646">
        <f>VLOOKUP($A1646,'Medical Examinations'!A:C, 3, FALSE)</f>
        <v>24.86</v>
      </c>
      <c r="D1646" t="str">
        <f>VLOOKUP($A1646, 'Medical Examinations'!A:D, 4, FALSE)</f>
        <v>Prediabetes</v>
      </c>
      <c r="E1646" t="str">
        <f>VLOOKUP($A1646, 'Medical Examinations'!A:F, 6, FALSE)</f>
        <v>No</v>
      </c>
      <c r="F1646" t="str">
        <f>VLOOKUP($A1646, 'Medical Examinations'!A:G, 7, FALSE)</f>
        <v>No</v>
      </c>
      <c r="G1646" t="str">
        <f>VLOOKUP($A1646, 'Medical Examinations'!A:H, 8, FALSE)</f>
        <v>No</v>
      </c>
      <c r="H1646" t="str">
        <f>VLOOKUP($A1646, 'Medical Examinations'!A:J, 10, FALSE)</f>
        <v>No major surgery</v>
      </c>
      <c r="I1646" t="str">
        <f>VLOOKUP($A1646, 'Medical Examinations'!A:K, 11, FALSE)</f>
        <v>No</v>
      </c>
      <c r="J1646" t="str">
        <f>VLOOKUP($A1646, 'Medical Examinations'!A:B, 2, FALSE)</f>
        <v>Normal Weight</v>
      </c>
      <c r="K1646" t="str">
        <f>VLOOKUP($A1646, 'Medical Examinations'!A:D, 4, FALSE)</f>
        <v>Prediabetes</v>
      </c>
    </row>
    <row r="1647" spans="1:11" ht="15.5" x14ac:dyDescent="0.35">
      <c r="A1647" s="1" t="s">
        <v>725</v>
      </c>
      <c r="B1647" t="str">
        <f>VLOOKUP($A1647, 'Customer Names'!A:D, 3, FALSE)</f>
        <v>Rudder</v>
      </c>
      <c r="C1647">
        <f>VLOOKUP($A1647,'Medical Examinations'!A:C, 3, FALSE)</f>
        <v>39.14</v>
      </c>
      <c r="D1647" t="str">
        <f>VLOOKUP($A1647, 'Medical Examinations'!A:D, 4, FALSE)</f>
        <v>Prediabetes</v>
      </c>
      <c r="E1647" t="str">
        <f>VLOOKUP($A1647, 'Medical Examinations'!A:F, 6, FALSE)</f>
        <v>No</v>
      </c>
      <c r="F1647" t="str">
        <f>VLOOKUP($A1647, 'Medical Examinations'!A:G, 7, FALSE)</f>
        <v>yes</v>
      </c>
      <c r="G1647" t="str">
        <f>VLOOKUP($A1647, 'Medical Examinations'!A:H, 8, FALSE)</f>
        <v>No</v>
      </c>
      <c r="H1647">
        <f>VLOOKUP($A1647, 'Medical Examinations'!A:J, 10, FALSE)</f>
        <v>1</v>
      </c>
      <c r="I1647" t="str">
        <f>VLOOKUP($A1647, 'Medical Examinations'!A:K, 11, FALSE)</f>
        <v>No</v>
      </c>
      <c r="J1647" t="str">
        <f>VLOOKUP($A1647, 'Medical Examinations'!A:B, 2, FALSE)</f>
        <v>Obesity</v>
      </c>
      <c r="K1647" t="str">
        <f>VLOOKUP($A1647, 'Medical Examinations'!A:D, 4, FALSE)</f>
        <v>Prediabetes</v>
      </c>
    </row>
    <row r="1648" spans="1:11" ht="15.5" x14ac:dyDescent="0.35">
      <c r="A1648" s="1" t="s">
        <v>724</v>
      </c>
      <c r="B1648" t="str">
        <f>VLOOKUP($A1648, 'Customer Names'!A:D, 3, FALSE)</f>
        <v>Cartmell</v>
      </c>
      <c r="C1648">
        <f>VLOOKUP($A1648,'Medical Examinations'!A:C, 3, FALSE)</f>
        <v>39.799999999999997</v>
      </c>
      <c r="D1648" t="str">
        <f>VLOOKUP($A1648, 'Medical Examinations'!A:D, 4, FALSE)</f>
        <v>Prediabetes</v>
      </c>
      <c r="E1648" t="str">
        <f>VLOOKUP($A1648, 'Medical Examinations'!A:F, 6, FALSE)</f>
        <v>No</v>
      </c>
      <c r="F1648" t="str">
        <f>VLOOKUP($A1648, 'Medical Examinations'!A:G, 7, FALSE)</f>
        <v>No</v>
      </c>
      <c r="G1648" t="str">
        <f>VLOOKUP($A1648, 'Medical Examinations'!A:H, 8, FALSE)</f>
        <v>Yes</v>
      </c>
      <c r="H1648">
        <f>VLOOKUP($A1648, 'Medical Examinations'!A:J, 10, FALSE)</f>
        <v>1</v>
      </c>
      <c r="I1648" t="str">
        <f>VLOOKUP($A1648, 'Medical Examinations'!A:K, 11, FALSE)</f>
        <v>No</v>
      </c>
      <c r="J1648" t="str">
        <f>VLOOKUP($A1648, 'Medical Examinations'!A:B, 2, FALSE)</f>
        <v>Obesity</v>
      </c>
      <c r="K1648" t="str">
        <f>VLOOKUP($A1648, 'Medical Examinations'!A:D, 4, FALSE)</f>
        <v>Prediabetes</v>
      </c>
    </row>
    <row r="1649" spans="1:11" ht="15.5" x14ac:dyDescent="0.35">
      <c r="A1649" s="1" t="s">
        <v>723</v>
      </c>
      <c r="B1649" t="str">
        <f>VLOOKUP($A1649, 'Customer Names'!A:D, 3, FALSE)</f>
        <v>Troland</v>
      </c>
      <c r="C1649">
        <f>VLOOKUP($A1649,'Medical Examinations'!A:C, 3, FALSE)</f>
        <v>34.32</v>
      </c>
      <c r="D1649" t="str">
        <f>VLOOKUP($A1649, 'Medical Examinations'!A:D, 4, FALSE)</f>
        <v>Normal</v>
      </c>
      <c r="E1649" t="str">
        <f>VLOOKUP($A1649, 'Medical Examinations'!A:F, 6, FALSE)</f>
        <v>No</v>
      </c>
      <c r="F1649" t="str">
        <f>VLOOKUP($A1649, 'Medical Examinations'!A:G, 7, FALSE)</f>
        <v>No</v>
      </c>
      <c r="G1649" t="str">
        <f>VLOOKUP($A1649, 'Medical Examinations'!A:H, 8, FALSE)</f>
        <v>No</v>
      </c>
      <c r="H1649">
        <f>VLOOKUP($A1649, 'Medical Examinations'!A:J, 10, FALSE)</f>
        <v>1</v>
      </c>
      <c r="I1649" t="str">
        <f>VLOOKUP($A1649, 'Medical Examinations'!A:K, 11, FALSE)</f>
        <v>No</v>
      </c>
      <c r="J1649" t="str">
        <f>VLOOKUP($A1649, 'Medical Examinations'!A:B, 2, FALSE)</f>
        <v>Obesity</v>
      </c>
      <c r="K1649" t="str">
        <f>VLOOKUP($A1649, 'Medical Examinations'!A:D, 4, FALSE)</f>
        <v>Normal</v>
      </c>
    </row>
    <row r="1650" spans="1:11" ht="15.5" x14ac:dyDescent="0.35">
      <c r="A1650" s="1" t="s">
        <v>722</v>
      </c>
      <c r="B1650" t="str">
        <f>VLOOKUP($A1650, 'Customer Names'!A:D, 3, FALSE)</f>
        <v>Hall</v>
      </c>
      <c r="C1650">
        <f>VLOOKUP($A1650,'Medical Examinations'!A:C, 3, FALSE)</f>
        <v>32.51</v>
      </c>
      <c r="D1650" t="str">
        <f>VLOOKUP($A1650, 'Medical Examinations'!A:D, 4, FALSE)</f>
        <v>Normal</v>
      </c>
      <c r="E1650" t="str">
        <f>VLOOKUP($A1650, 'Medical Examinations'!A:F, 6, FALSE)</f>
        <v>No</v>
      </c>
      <c r="F1650" t="str">
        <f>VLOOKUP($A1650, 'Medical Examinations'!A:G, 7, FALSE)</f>
        <v>No</v>
      </c>
      <c r="G1650" t="str">
        <f>VLOOKUP($A1650, 'Medical Examinations'!A:H, 8, FALSE)</f>
        <v>No</v>
      </c>
      <c r="H1650" t="str">
        <f>VLOOKUP($A1650, 'Medical Examinations'!A:J, 10, FALSE)</f>
        <v>No major surgery</v>
      </c>
      <c r="I1650" t="str">
        <f>VLOOKUP($A1650, 'Medical Examinations'!A:K, 11, FALSE)</f>
        <v>No</v>
      </c>
      <c r="J1650" t="str">
        <f>VLOOKUP($A1650, 'Medical Examinations'!A:B, 2, FALSE)</f>
        <v>Obesity</v>
      </c>
      <c r="K1650" t="str">
        <f>VLOOKUP($A1650, 'Medical Examinations'!A:D, 4, FALSE)</f>
        <v>Normal</v>
      </c>
    </row>
    <row r="1651" spans="1:11" ht="15.5" x14ac:dyDescent="0.35">
      <c r="A1651" s="1" t="s">
        <v>721</v>
      </c>
      <c r="B1651" t="str">
        <f>VLOOKUP($A1651, 'Customer Names'!A:D, 3, FALSE)</f>
        <v>Berg</v>
      </c>
      <c r="C1651">
        <f>VLOOKUP($A1651,'Medical Examinations'!A:C, 3, FALSE)</f>
        <v>30.71</v>
      </c>
      <c r="D1651" t="str">
        <f>VLOOKUP($A1651, 'Medical Examinations'!A:D, 4, FALSE)</f>
        <v>Prediabetes</v>
      </c>
      <c r="E1651" t="str">
        <f>VLOOKUP($A1651, 'Medical Examinations'!A:F, 6, FALSE)</f>
        <v>No</v>
      </c>
      <c r="F1651" t="str">
        <f>VLOOKUP($A1651, 'Medical Examinations'!A:G, 7, FALSE)</f>
        <v>No</v>
      </c>
      <c r="G1651" t="str">
        <f>VLOOKUP($A1651, 'Medical Examinations'!A:H, 8, FALSE)</f>
        <v>Yes</v>
      </c>
      <c r="H1651">
        <f>VLOOKUP($A1651, 'Medical Examinations'!A:J, 10, FALSE)</f>
        <v>1</v>
      </c>
      <c r="I1651" t="str">
        <f>VLOOKUP($A1651, 'Medical Examinations'!A:K, 11, FALSE)</f>
        <v>No</v>
      </c>
      <c r="J1651" t="str">
        <f>VLOOKUP($A1651, 'Medical Examinations'!A:B, 2, FALSE)</f>
        <v>Obesity</v>
      </c>
      <c r="K1651" t="str">
        <f>VLOOKUP($A1651, 'Medical Examinations'!A:D, 4, FALSE)</f>
        <v>Prediabetes</v>
      </c>
    </row>
    <row r="1652" spans="1:11" ht="15.5" x14ac:dyDescent="0.35">
      <c r="A1652" s="1" t="s">
        <v>720</v>
      </c>
      <c r="B1652" t="str">
        <f>VLOOKUP($A1652, 'Customer Names'!A:D, 3, FALSE)</f>
        <v>Engtrakul</v>
      </c>
      <c r="C1652">
        <f>VLOOKUP($A1652,'Medical Examinations'!A:C, 3, FALSE)</f>
        <v>28.9</v>
      </c>
      <c r="D1652" t="str">
        <f>VLOOKUP($A1652, 'Medical Examinations'!A:D, 4, FALSE)</f>
        <v>Normal</v>
      </c>
      <c r="E1652" t="str">
        <f>VLOOKUP($A1652, 'Medical Examinations'!A:F, 6, FALSE)</f>
        <v>No</v>
      </c>
      <c r="F1652" t="str">
        <f>VLOOKUP($A1652, 'Medical Examinations'!A:G, 7, FALSE)</f>
        <v>No</v>
      </c>
      <c r="G1652" t="str">
        <f>VLOOKUP($A1652, 'Medical Examinations'!A:H, 8, FALSE)</f>
        <v>No</v>
      </c>
      <c r="H1652">
        <f>VLOOKUP($A1652, 'Medical Examinations'!A:J, 10, FALSE)</f>
        <v>1</v>
      </c>
      <c r="I1652" t="str">
        <f>VLOOKUP($A1652, 'Medical Examinations'!A:K, 11, FALSE)</f>
        <v>No</v>
      </c>
      <c r="J1652" t="str">
        <f>VLOOKUP($A1652, 'Medical Examinations'!A:B, 2, FALSE)</f>
        <v>Overweight</v>
      </c>
      <c r="K1652" t="str">
        <f>VLOOKUP($A1652, 'Medical Examinations'!A:D, 4, FALSE)</f>
        <v>Normal</v>
      </c>
    </row>
    <row r="1653" spans="1:11" ht="15.5" x14ac:dyDescent="0.35">
      <c r="A1653" s="1" t="s">
        <v>719</v>
      </c>
      <c r="B1653" t="str">
        <f>VLOOKUP($A1653, 'Customer Names'!A:D, 3, FALSE)</f>
        <v>Leonhardt</v>
      </c>
      <c r="C1653">
        <f>VLOOKUP($A1653,'Medical Examinations'!A:C, 3, FALSE)</f>
        <v>36.19</v>
      </c>
      <c r="D1653" t="str">
        <f>VLOOKUP($A1653, 'Medical Examinations'!A:D, 4, FALSE)</f>
        <v>Normal</v>
      </c>
      <c r="E1653" t="str">
        <f>VLOOKUP($A1653, 'Medical Examinations'!A:F, 6, FALSE)</f>
        <v>No</v>
      </c>
      <c r="F1653" t="str">
        <f>VLOOKUP($A1653, 'Medical Examinations'!A:G, 7, FALSE)</f>
        <v>No</v>
      </c>
      <c r="G1653" t="str">
        <f>VLOOKUP($A1653, 'Medical Examinations'!A:H, 8, FALSE)</f>
        <v>No</v>
      </c>
      <c r="H1653" t="str">
        <f>VLOOKUP($A1653, 'Medical Examinations'!A:J, 10, FALSE)</f>
        <v>No major surgery</v>
      </c>
      <c r="I1653" t="str">
        <f>VLOOKUP($A1653, 'Medical Examinations'!A:K, 11, FALSE)</f>
        <v>No</v>
      </c>
      <c r="J1653" t="str">
        <f>VLOOKUP($A1653, 'Medical Examinations'!A:B, 2, FALSE)</f>
        <v>Obesity</v>
      </c>
      <c r="K1653" t="str">
        <f>VLOOKUP($A1653, 'Medical Examinations'!A:D, 4, FALSE)</f>
        <v>Normal</v>
      </c>
    </row>
    <row r="1654" spans="1:11" ht="15.5" x14ac:dyDescent="0.35">
      <c r="A1654" s="1" t="s">
        <v>718</v>
      </c>
      <c r="B1654" t="str">
        <f>VLOOKUP($A1654, 'Customer Names'!A:D, 3, FALSE)</f>
        <v>Goetz</v>
      </c>
      <c r="C1654">
        <f>VLOOKUP($A1654,'Medical Examinations'!A:C, 3, FALSE)</f>
        <v>29.6</v>
      </c>
      <c r="D1654" t="str">
        <f>VLOOKUP($A1654, 'Medical Examinations'!A:D, 4, FALSE)</f>
        <v>Normal</v>
      </c>
      <c r="E1654" t="str">
        <f>VLOOKUP($A1654, 'Medical Examinations'!A:F, 6, FALSE)</f>
        <v>No</v>
      </c>
      <c r="F1654" t="str">
        <f>VLOOKUP($A1654, 'Medical Examinations'!A:G, 7, FALSE)</f>
        <v>No</v>
      </c>
      <c r="G1654" t="str">
        <f>VLOOKUP($A1654, 'Medical Examinations'!A:H, 8, FALSE)</f>
        <v>No</v>
      </c>
      <c r="H1654" t="str">
        <f>VLOOKUP($A1654, 'Medical Examinations'!A:J, 10, FALSE)</f>
        <v>No major surgery</v>
      </c>
      <c r="I1654" t="str">
        <f>VLOOKUP($A1654, 'Medical Examinations'!A:K, 11, FALSE)</f>
        <v>No</v>
      </c>
      <c r="J1654" t="str">
        <f>VLOOKUP($A1654, 'Medical Examinations'!A:B, 2, FALSE)</f>
        <v>Overweight</v>
      </c>
      <c r="K1654" t="str">
        <f>VLOOKUP($A1654, 'Medical Examinations'!A:D, 4, FALSE)</f>
        <v>Normal</v>
      </c>
    </row>
    <row r="1655" spans="1:11" ht="15.5" x14ac:dyDescent="0.35">
      <c r="A1655" s="1" t="s">
        <v>717</v>
      </c>
      <c r="B1655" t="str">
        <f>VLOOKUP($A1655, 'Customer Names'!A:D, 3, FALSE)</f>
        <v>Cacharelis</v>
      </c>
      <c r="C1655">
        <f>VLOOKUP($A1655,'Medical Examinations'!A:C, 3, FALSE)</f>
        <v>30.95</v>
      </c>
      <c r="D1655" t="str">
        <f>VLOOKUP($A1655, 'Medical Examinations'!A:D, 4, FALSE)</f>
        <v>Prediabetes</v>
      </c>
      <c r="E1655" t="str">
        <f>VLOOKUP($A1655, 'Medical Examinations'!A:F, 6, FALSE)</f>
        <v>No</v>
      </c>
      <c r="F1655" t="str">
        <f>VLOOKUP($A1655, 'Medical Examinations'!A:G, 7, FALSE)</f>
        <v>No</v>
      </c>
      <c r="G1655" t="str">
        <f>VLOOKUP($A1655, 'Medical Examinations'!A:H, 8, FALSE)</f>
        <v>Yes</v>
      </c>
      <c r="H1655">
        <f>VLOOKUP($A1655, 'Medical Examinations'!A:J, 10, FALSE)</f>
        <v>1</v>
      </c>
      <c r="I1655" t="str">
        <f>VLOOKUP($A1655, 'Medical Examinations'!A:K, 11, FALSE)</f>
        <v>No</v>
      </c>
      <c r="J1655" t="str">
        <f>VLOOKUP($A1655, 'Medical Examinations'!A:B, 2, FALSE)</f>
        <v>Obesity</v>
      </c>
      <c r="K1655" t="str">
        <f>VLOOKUP($A1655, 'Medical Examinations'!A:D, 4, FALSE)</f>
        <v>Prediabetes</v>
      </c>
    </row>
    <row r="1656" spans="1:11" ht="15.5" x14ac:dyDescent="0.35">
      <c r="A1656" s="1" t="s">
        <v>716</v>
      </c>
      <c r="B1656" t="str">
        <f>VLOOKUP($A1656, 'Customer Names'!A:D, 3, FALSE)</f>
        <v>Kariolis</v>
      </c>
      <c r="C1656">
        <f>VLOOKUP($A1656,'Medical Examinations'!A:C, 3, FALSE)</f>
        <v>19.95</v>
      </c>
      <c r="D1656" t="str">
        <f>VLOOKUP($A1656, 'Medical Examinations'!A:D, 4, FALSE)</f>
        <v>Normal</v>
      </c>
      <c r="E1656" t="str">
        <f>VLOOKUP($A1656, 'Medical Examinations'!A:F, 6, FALSE)</f>
        <v>No</v>
      </c>
      <c r="F1656" t="str">
        <f>VLOOKUP($A1656, 'Medical Examinations'!A:G, 7, FALSE)</f>
        <v>No</v>
      </c>
      <c r="G1656" t="str">
        <f>VLOOKUP($A1656, 'Medical Examinations'!A:H, 8, FALSE)</f>
        <v>No</v>
      </c>
      <c r="H1656">
        <f>VLOOKUP($A1656, 'Medical Examinations'!A:J, 10, FALSE)</f>
        <v>1</v>
      </c>
      <c r="I1656" t="str">
        <f>VLOOKUP($A1656, 'Medical Examinations'!A:K, 11, FALSE)</f>
        <v>No</v>
      </c>
      <c r="J1656" t="str">
        <f>VLOOKUP($A1656, 'Medical Examinations'!A:B, 2, FALSE)</f>
        <v>Normal Weight</v>
      </c>
      <c r="K1656" t="str">
        <f>VLOOKUP($A1656, 'Medical Examinations'!A:D, 4, FALSE)</f>
        <v>Normal</v>
      </c>
    </row>
    <row r="1657" spans="1:11" ht="15.5" x14ac:dyDescent="0.35">
      <c r="A1657" s="1" t="s">
        <v>715</v>
      </c>
      <c r="B1657" t="str">
        <f>VLOOKUP($A1657, 'Customer Names'!A:D, 3, FALSE)</f>
        <v>Zelwin</v>
      </c>
      <c r="C1657">
        <f>VLOOKUP($A1657,'Medical Examinations'!A:C, 3, FALSE)</f>
        <v>23.65</v>
      </c>
      <c r="D1657" t="str">
        <f>VLOOKUP($A1657, 'Medical Examinations'!A:D, 4, FALSE)</f>
        <v>Prediabetes</v>
      </c>
      <c r="E1657" t="str">
        <f>VLOOKUP($A1657, 'Medical Examinations'!A:F, 6, FALSE)</f>
        <v>yes</v>
      </c>
      <c r="F1657" t="str">
        <f>VLOOKUP($A1657, 'Medical Examinations'!A:G, 7, FALSE)</f>
        <v>No</v>
      </c>
      <c r="G1657" t="str">
        <f>VLOOKUP($A1657, 'Medical Examinations'!A:H, 8, FALSE)</f>
        <v>No</v>
      </c>
      <c r="H1657" t="str">
        <f>VLOOKUP($A1657, 'Medical Examinations'!A:J, 10, FALSE)</f>
        <v>No major surgery</v>
      </c>
      <c r="I1657" t="str">
        <f>VLOOKUP($A1657, 'Medical Examinations'!A:K, 11, FALSE)</f>
        <v>No</v>
      </c>
      <c r="J1657" t="str">
        <f>VLOOKUP($A1657, 'Medical Examinations'!A:B, 2, FALSE)</f>
        <v>Normal Weight</v>
      </c>
      <c r="K1657" t="str">
        <f>VLOOKUP($A1657, 'Medical Examinations'!A:D, 4, FALSE)</f>
        <v>Prediabetes</v>
      </c>
    </row>
    <row r="1658" spans="1:11" ht="15.5" x14ac:dyDescent="0.35">
      <c r="A1658" s="1" t="s">
        <v>714</v>
      </c>
      <c r="B1658" t="str">
        <f>VLOOKUP($A1658, 'Customer Names'!A:D, 3, FALSE)</f>
        <v>Barry</v>
      </c>
      <c r="C1658">
        <f>VLOOKUP($A1658,'Medical Examinations'!A:C, 3, FALSE)</f>
        <v>43.34</v>
      </c>
      <c r="D1658" t="str">
        <f>VLOOKUP($A1658, 'Medical Examinations'!A:D, 4, FALSE)</f>
        <v>Normal</v>
      </c>
      <c r="E1658" t="str">
        <f>VLOOKUP($A1658, 'Medical Examinations'!A:F, 6, FALSE)</f>
        <v>No</v>
      </c>
      <c r="F1658" t="str">
        <f>VLOOKUP($A1658, 'Medical Examinations'!A:G, 7, FALSE)</f>
        <v>No</v>
      </c>
      <c r="G1658" t="str">
        <f>VLOOKUP($A1658, 'Medical Examinations'!A:H, 8, FALSE)</f>
        <v>No</v>
      </c>
      <c r="H1658">
        <f>VLOOKUP($A1658, 'Medical Examinations'!A:J, 10, FALSE)</f>
        <v>1</v>
      </c>
      <c r="I1658" t="str">
        <f>VLOOKUP($A1658, 'Medical Examinations'!A:K, 11, FALSE)</f>
        <v>No</v>
      </c>
      <c r="J1658" t="str">
        <f>VLOOKUP($A1658, 'Medical Examinations'!A:B, 2, FALSE)</f>
        <v>Obesity</v>
      </c>
      <c r="K1658" t="str">
        <f>VLOOKUP($A1658, 'Medical Examinations'!A:D, 4, FALSE)</f>
        <v>Normal</v>
      </c>
    </row>
    <row r="1659" spans="1:11" ht="15.5" x14ac:dyDescent="0.35">
      <c r="A1659" s="1" t="s">
        <v>713</v>
      </c>
      <c r="B1659" t="str">
        <f>VLOOKUP($A1659, 'Customer Names'!A:D, 3, FALSE)</f>
        <v>Bannon</v>
      </c>
      <c r="C1659">
        <f>VLOOKUP($A1659,'Medical Examinations'!A:C, 3, FALSE)</f>
        <v>31.98</v>
      </c>
      <c r="D1659" t="str">
        <f>VLOOKUP($A1659, 'Medical Examinations'!A:D, 4, FALSE)</f>
        <v>Normal</v>
      </c>
      <c r="E1659" t="str">
        <f>VLOOKUP($A1659, 'Medical Examinations'!A:F, 6, FALSE)</f>
        <v>yes</v>
      </c>
      <c r="F1659" t="str">
        <f>VLOOKUP($A1659, 'Medical Examinations'!A:G, 7, FALSE)</f>
        <v>No</v>
      </c>
      <c r="G1659" t="str">
        <f>VLOOKUP($A1659, 'Medical Examinations'!A:H, 8, FALSE)</f>
        <v>No</v>
      </c>
      <c r="H1659">
        <f>VLOOKUP($A1659, 'Medical Examinations'!A:J, 10, FALSE)</f>
        <v>1</v>
      </c>
      <c r="I1659" t="str">
        <f>VLOOKUP($A1659, 'Medical Examinations'!A:K, 11, FALSE)</f>
        <v>No</v>
      </c>
      <c r="J1659" t="str">
        <f>VLOOKUP($A1659, 'Medical Examinations'!A:B, 2, FALSE)</f>
        <v>Obesity</v>
      </c>
      <c r="K1659" t="str">
        <f>VLOOKUP($A1659, 'Medical Examinations'!A:D, 4, FALSE)</f>
        <v>Normal</v>
      </c>
    </row>
    <row r="1660" spans="1:11" ht="15.5" x14ac:dyDescent="0.35">
      <c r="A1660" s="1" t="s">
        <v>712</v>
      </c>
      <c r="B1660" t="str">
        <f>VLOOKUP($A1660, 'Customer Names'!A:D, 3, FALSE)</f>
        <v>Chang</v>
      </c>
      <c r="C1660">
        <f>VLOOKUP($A1660,'Medical Examinations'!A:C, 3, FALSE)</f>
        <v>35.86</v>
      </c>
      <c r="D1660" t="str">
        <f>VLOOKUP($A1660, 'Medical Examinations'!A:D, 4, FALSE)</f>
        <v>Prediabetes</v>
      </c>
      <c r="E1660" t="str">
        <f>VLOOKUP($A1660, 'Medical Examinations'!A:F, 6, FALSE)</f>
        <v>No</v>
      </c>
      <c r="F1660" t="str">
        <f>VLOOKUP($A1660, 'Medical Examinations'!A:G, 7, FALSE)</f>
        <v>No</v>
      </c>
      <c r="G1660" t="str">
        <f>VLOOKUP($A1660, 'Medical Examinations'!A:H, 8, FALSE)</f>
        <v>No</v>
      </c>
      <c r="H1660">
        <f>VLOOKUP($A1660, 'Medical Examinations'!A:J, 10, FALSE)</f>
        <v>1</v>
      </c>
      <c r="I1660" t="str">
        <f>VLOOKUP($A1660, 'Medical Examinations'!A:K, 11, FALSE)</f>
        <v>No</v>
      </c>
      <c r="J1660" t="str">
        <f>VLOOKUP($A1660, 'Medical Examinations'!A:B, 2, FALSE)</f>
        <v>Obesity</v>
      </c>
      <c r="K1660" t="str">
        <f>VLOOKUP($A1660, 'Medical Examinations'!A:D, 4, FALSE)</f>
        <v>Prediabetes</v>
      </c>
    </row>
    <row r="1661" spans="1:11" ht="15.5" x14ac:dyDescent="0.35">
      <c r="A1661" s="1" t="s">
        <v>711</v>
      </c>
      <c r="B1661" t="str">
        <f>VLOOKUP($A1661, 'Customer Names'!A:D, 3, FALSE)</f>
        <v>Vetter</v>
      </c>
      <c r="C1661">
        <f>VLOOKUP($A1661,'Medical Examinations'!A:C, 3, FALSE)</f>
        <v>15.2</v>
      </c>
      <c r="D1661" t="str">
        <f>VLOOKUP($A1661, 'Medical Examinations'!A:D, 4, FALSE)</f>
        <v>Diabetes</v>
      </c>
      <c r="E1661" t="str">
        <f>VLOOKUP($A1661, 'Medical Examinations'!A:F, 6, FALSE)</f>
        <v>No</v>
      </c>
      <c r="F1661" t="str">
        <f>VLOOKUP($A1661, 'Medical Examinations'!A:G, 7, FALSE)</f>
        <v>No</v>
      </c>
      <c r="G1661" t="str">
        <f>VLOOKUP($A1661, 'Medical Examinations'!A:H, 8, FALSE)</f>
        <v>No</v>
      </c>
      <c r="H1661" t="str">
        <f>VLOOKUP($A1661, 'Medical Examinations'!A:J, 10, FALSE)</f>
        <v>No major surgery</v>
      </c>
      <c r="I1661" t="str">
        <f>VLOOKUP($A1661, 'Medical Examinations'!A:K, 11, FALSE)</f>
        <v>No</v>
      </c>
      <c r="J1661" t="str">
        <f>VLOOKUP($A1661, 'Medical Examinations'!A:B, 2, FALSE)</f>
        <v>Underweight</v>
      </c>
      <c r="K1661" t="str">
        <f>VLOOKUP($A1661, 'Medical Examinations'!A:D, 4, FALSE)</f>
        <v>Diabetes</v>
      </c>
    </row>
    <row r="1662" spans="1:11" ht="15.5" x14ac:dyDescent="0.35">
      <c r="A1662" s="1" t="s">
        <v>710</v>
      </c>
      <c r="B1662" t="str">
        <f>VLOOKUP($A1662, 'Customer Names'!A:D, 3, FALSE)</f>
        <v>Jablonski</v>
      </c>
      <c r="C1662">
        <f>VLOOKUP($A1662,'Medical Examinations'!A:C, 3, FALSE)</f>
        <v>37.200000000000003</v>
      </c>
      <c r="D1662" t="str">
        <f>VLOOKUP($A1662, 'Medical Examinations'!A:D, 4, FALSE)</f>
        <v>Diabetes</v>
      </c>
      <c r="E1662" t="str">
        <f>VLOOKUP($A1662, 'Medical Examinations'!A:F, 6, FALSE)</f>
        <v>No</v>
      </c>
      <c r="F1662" t="str">
        <f>VLOOKUP($A1662, 'Medical Examinations'!A:G, 7, FALSE)</f>
        <v>No</v>
      </c>
      <c r="G1662" t="str">
        <f>VLOOKUP($A1662, 'Medical Examinations'!A:H, 8, FALSE)</f>
        <v>No</v>
      </c>
      <c r="H1662" t="str">
        <f>VLOOKUP($A1662, 'Medical Examinations'!A:J, 10, FALSE)</f>
        <v>No major surgery</v>
      </c>
      <c r="I1662" t="str">
        <f>VLOOKUP($A1662, 'Medical Examinations'!A:K, 11, FALSE)</f>
        <v>No</v>
      </c>
      <c r="J1662" t="str">
        <f>VLOOKUP($A1662, 'Medical Examinations'!A:B, 2, FALSE)</f>
        <v>Obesity</v>
      </c>
      <c r="K1662" t="str">
        <f>VLOOKUP($A1662, 'Medical Examinations'!A:D, 4, FALSE)</f>
        <v>Diabetes</v>
      </c>
    </row>
    <row r="1663" spans="1:11" ht="15.5" x14ac:dyDescent="0.35">
      <c r="A1663" s="1" t="s">
        <v>709</v>
      </c>
      <c r="B1663" t="str">
        <f>VLOOKUP($A1663, 'Customer Names'!A:D, 3, FALSE)</f>
        <v>Jakubowitch</v>
      </c>
      <c r="C1663">
        <f>VLOOKUP($A1663,'Medical Examinations'!A:C, 3, FALSE)</f>
        <v>17.91</v>
      </c>
      <c r="D1663" t="str">
        <f>VLOOKUP($A1663, 'Medical Examinations'!A:D, 4, FALSE)</f>
        <v>Normal</v>
      </c>
      <c r="E1663" t="str">
        <f>VLOOKUP($A1663, 'Medical Examinations'!A:F, 6, FALSE)</f>
        <v>No</v>
      </c>
      <c r="F1663" t="str">
        <f>VLOOKUP($A1663, 'Medical Examinations'!A:G, 7, FALSE)</f>
        <v>No</v>
      </c>
      <c r="G1663" t="str">
        <f>VLOOKUP($A1663, 'Medical Examinations'!A:H, 8, FALSE)</f>
        <v>No</v>
      </c>
      <c r="H1663">
        <f>VLOOKUP($A1663, 'Medical Examinations'!A:J, 10, FALSE)</f>
        <v>2</v>
      </c>
      <c r="I1663" t="str">
        <f>VLOOKUP($A1663, 'Medical Examinations'!A:K, 11, FALSE)</f>
        <v>No</v>
      </c>
      <c r="J1663" t="str">
        <f>VLOOKUP($A1663, 'Medical Examinations'!A:B, 2, FALSE)</f>
        <v>Underweight</v>
      </c>
      <c r="K1663" t="str">
        <f>VLOOKUP($A1663, 'Medical Examinations'!A:D, 4, FALSE)</f>
        <v>Normal</v>
      </c>
    </row>
    <row r="1664" spans="1:11" ht="15.5" x14ac:dyDescent="0.35">
      <c r="A1664" s="1" t="s">
        <v>708</v>
      </c>
      <c r="B1664" t="str">
        <f>VLOOKUP($A1664, 'Customer Names'!A:D, 3, FALSE)</f>
        <v>Altshuler</v>
      </c>
      <c r="C1664">
        <f>VLOOKUP($A1664,'Medical Examinations'!A:C, 3, FALSE)</f>
        <v>20.76</v>
      </c>
      <c r="D1664" t="str">
        <f>VLOOKUP($A1664, 'Medical Examinations'!A:D, 4, FALSE)</f>
        <v>Prediabetes</v>
      </c>
      <c r="E1664" t="str">
        <f>VLOOKUP($A1664, 'Medical Examinations'!A:F, 6, FALSE)</f>
        <v>No</v>
      </c>
      <c r="F1664" t="str">
        <f>VLOOKUP($A1664, 'Medical Examinations'!A:G, 7, FALSE)</f>
        <v>No</v>
      </c>
      <c r="G1664" t="str">
        <f>VLOOKUP($A1664, 'Medical Examinations'!A:H, 8, FALSE)</f>
        <v>No</v>
      </c>
      <c r="H1664" t="str">
        <f>VLOOKUP($A1664, 'Medical Examinations'!A:J, 10, FALSE)</f>
        <v>No major surgery</v>
      </c>
      <c r="I1664" t="str">
        <f>VLOOKUP($A1664, 'Medical Examinations'!A:K, 11, FALSE)</f>
        <v>No</v>
      </c>
      <c r="J1664" t="str">
        <f>VLOOKUP($A1664, 'Medical Examinations'!A:B, 2, FALSE)</f>
        <v>Normal Weight</v>
      </c>
      <c r="K1664" t="str">
        <f>VLOOKUP($A1664, 'Medical Examinations'!A:D, 4, FALSE)</f>
        <v>Prediabetes</v>
      </c>
    </row>
    <row r="1665" spans="1:11" ht="15.5" x14ac:dyDescent="0.35">
      <c r="A1665" s="1" t="s">
        <v>707</v>
      </c>
      <c r="B1665" t="str">
        <f>VLOOKUP($A1665, 'Customer Names'!A:D, 3, FALSE)</f>
        <v>Ugarte</v>
      </c>
      <c r="C1665">
        <f>VLOOKUP($A1665,'Medical Examinations'!A:C, 3, FALSE)</f>
        <v>38.99</v>
      </c>
      <c r="D1665" t="str">
        <f>VLOOKUP($A1665, 'Medical Examinations'!A:D, 4, FALSE)</f>
        <v>Normal</v>
      </c>
      <c r="E1665" t="str">
        <f>VLOOKUP($A1665, 'Medical Examinations'!A:F, 6, FALSE)</f>
        <v>No</v>
      </c>
      <c r="F1665" t="str">
        <f>VLOOKUP($A1665, 'Medical Examinations'!A:G, 7, FALSE)</f>
        <v>yes</v>
      </c>
      <c r="G1665" t="str">
        <f>VLOOKUP($A1665, 'Medical Examinations'!A:H, 8, FALSE)</f>
        <v>No</v>
      </c>
      <c r="H1665">
        <f>VLOOKUP($A1665, 'Medical Examinations'!A:J, 10, FALSE)</f>
        <v>1</v>
      </c>
      <c r="I1665" t="str">
        <f>VLOOKUP($A1665, 'Medical Examinations'!A:K, 11, FALSE)</f>
        <v>No</v>
      </c>
      <c r="J1665" t="str">
        <f>VLOOKUP($A1665, 'Medical Examinations'!A:B, 2, FALSE)</f>
        <v>Obesity</v>
      </c>
      <c r="K1665" t="str">
        <f>VLOOKUP($A1665, 'Medical Examinations'!A:D, 4, FALSE)</f>
        <v>Normal</v>
      </c>
    </row>
    <row r="1666" spans="1:11" ht="15.5" x14ac:dyDescent="0.35">
      <c r="A1666" s="1" t="s">
        <v>706</v>
      </c>
      <c r="B1666" t="str">
        <f>VLOOKUP($A1666, 'Customer Names'!A:D, 3, FALSE)</f>
        <v>Tusso</v>
      </c>
      <c r="C1666">
        <f>VLOOKUP($A1666,'Medical Examinations'!A:C, 3, FALSE)</f>
        <v>42.655000000000001</v>
      </c>
      <c r="D1666" t="str">
        <f>VLOOKUP($A1666, 'Medical Examinations'!A:D, 4, FALSE)</f>
        <v>Prediabetes</v>
      </c>
      <c r="E1666" t="str">
        <f>VLOOKUP($A1666, 'Medical Examinations'!A:F, 6, FALSE)</f>
        <v>yes</v>
      </c>
      <c r="F1666" t="str">
        <f>VLOOKUP($A1666, 'Medical Examinations'!A:G, 7, FALSE)</f>
        <v>No</v>
      </c>
      <c r="G1666" t="str">
        <f>VLOOKUP($A1666, 'Medical Examinations'!A:H, 8, FALSE)</f>
        <v>Yes</v>
      </c>
      <c r="H1666">
        <f>VLOOKUP($A1666, 'Medical Examinations'!A:J, 10, FALSE)</f>
        <v>1</v>
      </c>
      <c r="I1666" t="str">
        <f>VLOOKUP($A1666, 'Medical Examinations'!A:K, 11, FALSE)</f>
        <v>No</v>
      </c>
      <c r="J1666" t="str">
        <f>VLOOKUP($A1666, 'Medical Examinations'!A:B, 2, FALSE)</f>
        <v>Obesity</v>
      </c>
      <c r="K1666" t="str">
        <f>VLOOKUP($A1666, 'Medical Examinations'!A:D, 4, FALSE)</f>
        <v>Prediabetes</v>
      </c>
    </row>
    <row r="1667" spans="1:11" ht="15.5" x14ac:dyDescent="0.35">
      <c r="A1667" s="1" t="s">
        <v>705</v>
      </c>
      <c r="B1667" t="str">
        <f>VLOOKUP($A1667, 'Customer Names'!A:D, 3, FALSE)</f>
        <v>Johnson</v>
      </c>
      <c r="C1667">
        <f>VLOOKUP($A1667,'Medical Examinations'!A:C, 3, FALSE)</f>
        <v>30.57</v>
      </c>
      <c r="D1667" t="str">
        <f>VLOOKUP($A1667, 'Medical Examinations'!A:D, 4, FALSE)</f>
        <v>Normal</v>
      </c>
      <c r="E1667" t="str">
        <f>VLOOKUP($A1667, 'Medical Examinations'!A:F, 6, FALSE)</f>
        <v>No</v>
      </c>
      <c r="F1667" t="str">
        <f>VLOOKUP($A1667, 'Medical Examinations'!A:G, 7, FALSE)</f>
        <v>No</v>
      </c>
      <c r="G1667" t="str">
        <f>VLOOKUP($A1667, 'Medical Examinations'!A:H, 8, FALSE)</f>
        <v>Yes</v>
      </c>
      <c r="H1667">
        <f>VLOOKUP($A1667, 'Medical Examinations'!A:J, 10, FALSE)</f>
        <v>1</v>
      </c>
      <c r="I1667" t="str">
        <f>VLOOKUP($A1667, 'Medical Examinations'!A:K, 11, FALSE)</f>
        <v>No</v>
      </c>
      <c r="J1667" t="str">
        <f>VLOOKUP($A1667, 'Medical Examinations'!A:B, 2, FALSE)</f>
        <v>Obesity</v>
      </c>
      <c r="K1667" t="str">
        <f>VLOOKUP($A1667, 'Medical Examinations'!A:D, 4, FALSE)</f>
        <v>Normal</v>
      </c>
    </row>
    <row r="1668" spans="1:11" ht="15.5" x14ac:dyDescent="0.35">
      <c r="A1668" s="1" t="s">
        <v>704</v>
      </c>
      <c r="B1668" t="str">
        <f>VLOOKUP($A1668, 'Customer Names'!A:D, 3, FALSE)</f>
        <v>Landry</v>
      </c>
      <c r="C1668">
        <f>VLOOKUP($A1668,'Medical Examinations'!A:C, 3, FALSE)</f>
        <v>17.7</v>
      </c>
      <c r="D1668" t="str">
        <f>VLOOKUP($A1668, 'Medical Examinations'!A:D, 4, FALSE)</f>
        <v>Prediabetes</v>
      </c>
      <c r="E1668" t="str">
        <f>VLOOKUP($A1668, 'Medical Examinations'!A:F, 6, FALSE)</f>
        <v>No</v>
      </c>
      <c r="F1668" t="str">
        <f>VLOOKUP($A1668, 'Medical Examinations'!A:G, 7, FALSE)</f>
        <v>No</v>
      </c>
      <c r="G1668" t="str">
        <f>VLOOKUP($A1668, 'Medical Examinations'!A:H, 8, FALSE)</f>
        <v>No</v>
      </c>
      <c r="H1668">
        <f>VLOOKUP($A1668, 'Medical Examinations'!A:J, 10, FALSE)</f>
        <v>2</v>
      </c>
      <c r="I1668" t="str">
        <f>VLOOKUP($A1668, 'Medical Examinations'!A:K, 11, FALSE)</f>
        <v>No</v>
      </c>
      <c r="J1668" t="str">
        <f>VLOOKUP($A1668, 'Medical Examinations'!A:B, 2, FALSE)</f>
        <v>Underweight</v>
      </c>
      <c r="K1668" t="str">
        <f>VLOOKUP($A1668, 'Medical Examinations'!A:D, 4, FALSE)</f>
        <v>Prediabetes</v>
      </c>
    </row>
    <row r="1669" spans="1:11" ht="15.5" x14ac:dyDescent="0.35">
      <c r="A1669" s="1" t="s">
        <v>703</v>
      </c>
      <c r="B1669" t="str">
        <f>VLOOKUP($A1669, 'Customer Names'!A:D, 3, FALSE)</f>
        <v>McDonald</v>
      </c>
      <c r="C1669">
        <f>VLOOKUP($A1669,'Medical Examinations'!A:C, 3, FALSE)</f>
        <v>34.770000000000003</v>
      </c>
      <c r="D1669" t="str">
        <f>VLOOKUP($A1669, 'Medical Examinations'!A:D, 4, FALSE)</f>
        <v>Normal</v>
      </c>
      <c r="E1669" t="str">
        <f>VLOOKUP($A1669, 'Medical Examinations'!A:F, 6, FALSE)</f>
        <v>No</v>
      </c>
      <c r="F1669" t="str">
        <f>VLOOKUP($A1669, 'Medical Examinations'!A:G, 7, FALSE)</f>
        <v>No</v>
      </c>
      <c r="G1669" t="str">
        <f>VLOOKUP($A1669, 'Medical Examinations'!A:H, 8, FALSE)</f>
        <v>No</v>
      </c>
      <c r="H1669">
        <f>VLOOKUP($A1669, 'Medical Examinations'!A:J, 10, FALSE)</f>
        <v>1</v>
      </c>
      <c r="I1669" t="str">
        <f>VLOOKUP($A1669, 'Medical Examinations'!A:K, 11, FALSE)</f>
        <v>No</v>
      </c>
      <c r="J1669" t="str">
        <f>VLOOKUP($A1669, 'Medical Examinations'!A:B, 2, FALSE)</f>
        <v>Obesity</v>
      </c>
      <c r="K1669" t="str">
        <f>VLOOKUP($A1669, 'Medical Examinations'!A:D, 4, FALSE)</f>
        <v>Normal</v>
      </c>
    </row>
    <row r="1670" spans="1:11" ht="15.5" x14ac:dyDescent="0.35">
      <c r="A1670" s="1" t="s">
        <v>702</v>
      </c>
      <c r="B1670" t="str">
        <f>VLOOKUP($A1670, 'Customer Names'!A:D, 3, FALSE)</f>
        <v>Dunlap</v>
      </c>
      <c r="C1670">
        <f>VLOOKUP($A1670,'Medical Examinations'!A:C, 3, FALSE)</f>
        <v>16.88</v>
      </c>
      <c r="D1670" t="str">
        <f>VLOOKUP($A1670, 'Medical Examinations'!A:D, 4, FALSE)</f>
        <v>Diabetes</v>
      </c>
      <c r="E1670" t="str">
        <f>VLOOKUP($A1670, 'Medical Examinations'!A:F, 6, FALSE)</f>
        <v>No</v>
      </c>
      <c r="F1670" t="str">
        <f>VLOOKUP($A1670, 'Medical Examinations'!A:G, 7, FALSE)</f>
        <v>No</v>
      </c>
      <c r="G1670" t="str">
        <f>VLOOKUP($A1670, 'Medical Examinations'!A:H, 8, FALSE)</f>
        <v>No</v>
      </c>
      <c r="H1670" t="str">
        <f>VLOOKUP($A1670, 'Medical Examinations'!A:J, 10, FALSE)</f>
        <v>No major surgery</v>
      </c>
      <c r="I1670" t="str">
        <f>VLOOKUP($A1670, 'Medical Examinations'!A:K, 11, FALSE)</f>
        <v>No</v>
      </c>
      <c r="J1670" t="str">
        <f>VLOOKUP($A1670, 'Medical Examinations'!A:B, 2, FALSE)</f>
        <v>Underweight</v>
      </c>
      <c r="K1670" t="str">
        <f>VLOOKUP($A1670, 'Medical Examinations'!A:D, 4, FALSE)</f>
        <v>Diabetes</v>
      </c>
    </row>
    <row r="1671" spans="1:11" ht="15.5" x14ac:dyDescent="0.35">
      <c r="A1671" s="1" t="s">
        <v>701</v>
      </c>
      <c r="B1671" t="str">
        <f>VLOOKUP($A1671, 'Customer Names'!A:D, 3, FALSE)</f>
        <v>Larue</v>
      </c>
      <c r="C1671">
        <f>VLOOKUP($A1671,'Medical Examinations'!A:C, 3, FALSE)</f>
        <v>40.26</v>
      </c>
      <c r="D1671" t="str">
        <f>VLOOKUP($A1671, 'Medical Examinations'!A:D, 4, FALSE)</f>
        <v>Diabetes</v>
      </c>
      <c r="E1671" t="str">
        <f>VLOOKUP($A1671, 'Medical Examinations'!A:F, 6, FALSE)</f>
        <v>yes</v>
      </c>
      <c r="F1671" t="str">
        <f>VLOOKUP($A1671, 'Medical Examinations'!A:G, 7, FALSE)</f>
        <v>No</v>
      </c>
      <c r="G1671" t="str">
        <f>VLOOKUP($A1671, 'Medical Examinations'!A:H, 8, FALSE)</f>
        <v>No</v>
      </c>
      <c r="H1671" t="str">
        <f>VLOOKUP($A1671, 'Medical Examinations'!A:J, 10, FALSE)</f>
        <v>No major surgery</v>
      </c>
      <c r="I1671" t="str">
        <f>VLOOKUP($A1671, 'Medical Examinations'!A:K, 11, FALSE)</f>
        <v>No</v>
      </c>
      <c r="J1671" t="str">
        <f>VLOOKUP($A1671, 'Medical Examinations'!A:B, 2, FALSE)</f>
        <v>Obesity</v>
      </c>
      <c r="K1671" t="str">
        <f>VLOOKUP($A1671, 'Medical Examinations'!A:D, 4, FALSE)</f>
        <v>Diabetes</v>
      </c>
    </row>
    <row r="1672" spans="1:11" ht="15.5" x14ac:dyDescent="0.35">
      <c r="A1672" s="1" t="s">
        <v>700</v>
      </c>
      <c r="B1672" t="str">
        <f>VLOOKUP($A1672, 'Customer Names'!A:D, 3, FALSE)</f>
        <v>Hodge</v>
      </c>
      <c r="C1672">
        <f>VLOOKUP($A1672,'Medical Examinations'!A:C, 3, FALSE)</f>
        <v>25.6</v>
      </c>
      <c r="D1672" t="str">
        <f>VLOOKUP($A1672, 'Medical Examinations'!A:D, 4, FALSE)</f>
        <v>Prediabetes</v>
      </c>
      <c r="E1672" t="str">
        <f>VLOOKUP($A1672, 'Medical Examinations'!A:F, 6, FALSE)</f>
        <v>No</v>
      </c>
      <c r="F1672" t="str">
        <f>VLOOKUP($A1672, 'Medical Examinations'!A:G, 7, FALSE)</f>
        <v>No</v>
      </c>
      <c r="G1672" t="str">
        <f>VLOOKUP($A1672, 'Medical Examinations'!A:H, 8, FALSE)</f>
        <v>Yes</v>
      </c>
      <c r="H1672">
        <f>VLOOKUP($A1672, 'Medical Examinations'!A:J, 10, FALSE)</f>
        <v>1</v>
      </c>
      <c r="I1672" t="str">
        <f>VLOOKUP($A1672, 'Medical Examinations'!A:K, 11, FALSE)</f>
        <v>No</v>
      </c>
      <c r="J1672" t="str">
        <f>VLOOKUP($A1672, 'Medical Examinations'!A:B, 2, FALSE)</f>
        <v>Overweight</v>
      </c>
      <c r="K1672" t="str">
        <f>VLOOKUP($A1672, 'Medical Examinations'!A:D, 4, FALSE)</f>
        <v>Prediabetes</v>
      </c>
    </row>
    <row r="1673" spans="1:11" ht="15.5" x14ac:dyDescent="0.35">
      <c r="A1673" s="1" t="s">
        <v>699</v>
      </c>
      <c r="B1673" t="str">
        <f>VLOOKUP($A1673, 'Customer Names'!A:D, 3, FALSE)</f>
        <v>Marcus</v>
      </c>
      <c r="C1673">
        <f>VLOOKUP($A1673,'Medical Examinations'!A:C, 3, FALSE)</f>
        <v>33.549999999999997</v>
      </c>
      <c r="D1673" t="str">
        <f>VLOOKUP($A1673, 'Medical Examinations'!A:D, 4, FALSE)</f>
        <v>Diabetes</v>
      </c>
      <c r="E1673" t="str">
        <f>VLOOKUP($A1673, 'Medical Examinations'!A:F, 6, FALSE)</f>
        <v>yes</v>
      </c>
      <c r="F1673" t="str">
        <f>VLOOKUP($A1673, 'Medical Examinations'!A:G, 7, FALSE)</f>
        <v>No</v>
      </c>
      <c r="G1673" t="str">
        <f>VLOOKUP($A1673, 'Medical Examinations'!A:H, 8, FALSE)</f>
        <v>No</v>
      </c>
      <c r="H1673" t="str">
        <f>VLOOKUP($A1673, 'Medical Examinations'!A:J, 10, FALSE)</f>
        <v>No major surgery</v>
      </c>
      <c r="I1673" t="str">
        <f>VLOOKUP($A1673, 'Medical Examinations'!A:K, 11, FALSE)</f>
        <v>No</v>
      </c>
      <c r="J1673" t="str">
        <f>VLOOKUP($A1673, 'Medical Examinations'!A:B, 2, FALSE)</f>
        <v>Obesity</v>
      </c>
      <c r="K1673" t="str">
        <f>VLOOKUP($A1673, 'Medical Examinations'!A:D, 4, FALSE)</f>
        <v>Diabetes</v>
      </c>
    </row>
    <row r="1674" spans="1:11" ht="15.5" x14ac:dyDescent="0.35">
      <c r="A1674" s="1" t="s">
        <v>698</v>
      </c>
      <c r="B1674" t="str">
        <f>VLOOKUP($A1674, 'Customer Names'!A:D, 3, FALSE)</f>
        <v>Daubert</v>
      </c>
      <c r="C1674">
        <f>VLOOKUP($A1674,'Medical Examinations'!A:C, 3, FALSE)</f>
        <v>16.690000000000001</v>
      </c>
      <c r="D1674" t="str">
        <f>VLOOKUP($A1674, 'Medical Examinations'!A:D, 4, FALSE)</f>
        <v>Diabetes</v>
      </c>
      <c r="E1674" t="str">
        <f>VLOOKUP($A1674, 'Medical Examinations'!A:F, 6, FALSE)</f>
        <v>No</v>
      </c>
      <c r="F1674" t="str">
        <f>VLOOKUP($A1674, 'Medical Examinations'!A:G, 7, FALSE)</f>
        <v>No</v>
      </c>
      <c r="G1674" t="str">
        <f>VLOOKUP($A1674, 'Medical Examinations'!A:H, 8, FALSE)</f>
        <v>No</v>
      </c>
      <c r="H1674" t="str">
        <f>VLOOKUP($A1674, 'Medical Examinations'!A:J, 10, FALSE)</f>
        <v>No major surgery</v>
      </c>
      <c r="I1674" t="str">
        <f>VLOOKUP($A1674, 'Medical Examinations'!A:K, 11, FALSE)</f>
        <v>No</v>
      </c>
      <c r="J1674" t="str">
        <f>VLOOKUP($A1674, 'Medical Examinations'!A:B, 2, FALSE)</f>
        <v>Underweight</v>
      </c>
      <c r="K1674" t="str">
        <f>VLOOKUP($A1674, 'Medical Examinations'!A:D, 4, FALSE)</f>
        <v>Diabetes</v>
      </c>
    </row>
    <row r="1675" spans="1:11" ht="15.5" x14ac:dyDescent="0.35">
      <c r="A1675" s="1" t="s">
        <v>697</v>
      </c>
      <c r="B1675" t="str">
        <f>VLOOKUP($A1675, 'Customer Names'!A:D, 3, FALSE)</f>
        <v>Close</v>
      </c>
      <c r="C1675">
        <f>VLOOKUP($A1675,'Medical Examinations'!A:C, 3, FALSE)</f>
        <v>19.95</v>
      </c>
      <c r="D1675" t="str">
        <f>VLOOKUP($A1675, 'Medical Examinations'!A:D, 4, FALSE)</f>
        <v>Normal</v>
      </c>
      <c r="E1675" t="str">
        <f>VLOOKUP($A1675, 'Medical Examinations'!A:F, 6, FALSE)</f>
        <v>No</v>
      </c>
      <c r="F1675" t="str">
        <f>VLOOKUP($A1675, 'Medical Examinations'!A:G, 7, FALSE)</f>
        <v>No</v>
      </c>
      <c r="G1675" t="str">
        <f>VLOOKUP($A1675, 'Medical Examinations'!A:H, 8, FALSE)</f>
        <v>No</v>
      </c>
      <c r="H1675">
        <f>VLOOKUP($A1675, 'Medical Examinations'!A:J, 10, FALSE)</f>
        <v>1</v>
      </c>
      <c r="I1675" t="str">
        <f>VLOOKUP($A1675, 'Medical Examinations'!A:K, 11, FALSE)</f>
        <v>No</v>
      </c>
      <c r="J1675" t="str">
        <f>VLOOKUP($A1675, 'Medical Examinations'!A:B, 2, FALSE)</f>
        <v>Normal Weight</v>
      </c>
      <c r="K1675" t="str">
        <f>VLOOKUP($A1675, 'Medical Examinations'!A:D, 4, FALSE)</f>
        <v>Normal</v>
      </c>
    </row>
    <row r="1676" spans="1:11" ht="15.5" x14ac:dyDescent="0.35">
      <c r="A1676" s="1" t="s">
        <v>696</v>
      </c>
      <c r="B1676" t="str">
        <f>VLOOKUP($A1676, 'Customer Names'!A:D, 3, FALSE)</f>
        <v>Roels</v>
      </c>
      <c r="C1676">
        <f>VLOOKUP($A1676,'Medical Examinations'!A:C, 3, FALSE)</f>
        <v>17.55</v>
      </c>
      <c r="D1676" t="str">
        <f>VLOOKUP($A1676, 'Medical Examinations'!A:D, 4, FALSE)</f>
        <v>Normal</v>
      </c>
      <c r="E1676" t="str">
        <f>VLOOKUP($A1676, 'Medical Examinations'!A:F, 6, FALSE)</f>
        <v>No</v>
      </c>
      <c r="F1676" t="str">
        <f>VLOOKUP($A1676, 'Medical Examinations'!A:G, 7, FALSE)</f>
        <v>No</v>
      </c>
      <c r="G1676" t="str">
        <f>VLOOKUP($A1676, 'Medical Examinations'!A:H, 8, FALSE)</f>
        <v>No</v>
      </c>
      <c r="H1676">
        <f>VLOOKUP($A1676, 'Medical Examinations'!A:J, 10, FALSE)</f>
        <v>2</v>
      </c>
      <c r="I1676" t="str">
        <f>VLOOKUP($A1676, 'Medical Examinations'!A:K, 11, FALSE)</f>
        <v>No</v>
      </c>
      <c r="J1676" t="str">
        <f>VLOOKUP($A1676, 'Medical Examinations'!A:B, 2, FALSE)</f>
        <v>Underweight</v>
      </c>
      <c r="K1676" t="str">
        <f>VLOOKUP($A1676, 'Medical Examinations'!A:D, 4, FALSE)</f>
        <v>Normal</v>
      </c>
    </row>
    <row r="1677" spans="1:11" ht="15.5" x14ac:dyDescent="0.35">
      <c r="A1677" s="1" t="s">
        <v>695</v>
      </c>
      <c r="B1677" t="str">
        <f>VLOOKUP($A1677, 'Customer Names'!A:D, 3, FALSE)</f>
        <v>Venosky</v>
      </c>
      <c r="C1677">
        <f>VLOOKUP($A1677,'Medical Examinations'!A:C, 3, FALSE)</f>
        <v>22.01</v>
      </c>
      <c r="D1677" t="str">
        <f>VLOOKUP($A1677, 'Medical Examinations'!A:D, 4, FALSE)</f>
        <v>Normal</v>
      </c>
      <c r="E1677" t="str">
        <f>VLOOKUP($A1677, 'Medical Examinations'!A:F, 6, FALSE)</f>
        <v>No</v>
      </c>
      <c r="F1677" t="str">
        <f>VLOOKUP($A1677, 'Medical Examinations'!A:G, 7, FALSE)</f>
        <v>No</v>
      </c>
      <c r="G1677" t="str">
        <f>VLOOKUP($A1677, 'Medical Examinations'!A:H, 8, FALSE)</f>
        <v>No</v>
      </c>
      <c r="H1677">
        <f>VLOOKUP($A1677, 'Medical Examinations'!A:J, 10, FALSE)</f>
        <v>1</v>
      </c>
      <c r="I1677" t="str">
        <f>VLOOKUP($A1677, 'Medical Examinations'!A:K, 11, FALSE)</f>
        <v>No</v>
      </c>
      <c r="J1677" t="str">
        <f>VLOOKUP($A1677, 'Medical Examinations'!A:B, 2, FALSE)</f>
        <v>Normal Weight</v>
      </c>
      <c r="K1677" t="str">
        <f>VLOOKUP($A1677, 'Medical Examinations'!A:D, 4, FALSE)</f>
        <v>Normal</v>
      </c>
    </row>
    <row r="1678" spans="1:11" ht="15.5" x14ac:dyDescent="0.35">
      <c r="A1678" s="1" t="s">
        <v>694</v>
      </c>
      <c r="B1678" t="str">
        <f>VLOOKUP($A1678, 'Customer Names'!A:D, 3, FALSE)</f>
        <v>Gosnell</v>
      </c>
      <c r="C1678">
        <f>VLOOKUP($A1678,'Medical Examinations'!A:C, 3, FALSE)</f>
        <v>41.8</v>
      </c>
      <c r="D1678" t="str">
        <f>VLOOKUP($A1678, 'Medical Examinations'!A:D, 4, FALSE)</f>
        <v>Prediabetes</v>
      </c>
      <c r="E1678" t="str">
        <f>VLOOKUP($A1678, 'Medical Examinations'!A:F, 6, FALSE)</f>
        <v>yes</v>
      </c>
      <c r="F1678" t="str">
        <f>VLOOKUP($A1678, 'Medical Examinations'!A:G, 7, FALSE)</f>
        <v>No</v>
      </c>
      <c r="G1678" t="str">
        <f>VLOOKUP($A1678, 'Medical Examinations'!A:H, 8, FALSE)</f>
        <v>Yes</v>
      </c>
      <c r="H1678">
        <f>VLOOKUP($A1678, 'Medical Examinations'!A:J, 10, FALSE)</f>
        <v>1</v>
      </c>
      <c r="I1678" t="str">
        <f>VLOOKUP($A1678, 'Medical Examinations'!A:K, 11, FALSE)</f>
        <v>No</v>
      </c>
      <c r="J1678" t="str">
        <f>VLOOKUP($A1678, 'Medical Examinations'!A:B, 2, FALSE)</f>
        <v>Obesity</v>
      </c>
      <c r="K1678" t="str">
        <f>VLOOKUP($A1678, 'Medical Examinations'!A:D, 4, FALSE)</f>
        <v>Prediabetes</v>
      </c>
    </row>
    <row r="1679" spans="1:11" ht="15.5" x14ac:dyDescent="0.35">
      <c r="A1679" s="1" t="s">
        <v>693</v>
      </c>
      <c r="B1679" t="str">
        <f>VLOOKUP($A1679, 'Customer Names'!A:D, 3, FALSE)</f>
        <v>Chewning-Kulick</v>
      </c>
      <c r="C1679">
        <f>VLOOKUP($A1679,'Medical Examinations'!A:C, 3, FALSE)</f>
        <v>19.170000000000002</v>
      </c>
      <c r="D1679" t="str">
        <f>VLOOKUP($A1679, 'Medical Examinations'!A:D, 4, FALSE)</f>
        <v>Diabetes</v>
      </c>
      <c r="E1679" t="str">
        <f>VLOOKUP($A1679, 'Medical Examinations'!A:F, 6, FALSE)</f>
        <v>No</v>
      </c>
      <c r="F1679" t="str">
        <f>VLOOKUP($A1679, 'Medical Examinations'!A:G, 7, FALSE)</f>
        <v>No</v>
      </c>
      <c r="G1679" t="str">
        <f>VLOOKUP($A1679, 'Medical Examinations'!A:H, 8, FALSE)</f>
        <v>No</v>
      </c>
      <c r="H1679" t="str">
        <f>VLOOKUP($A1679, 'Medical Examinations'!A:J, 10, FALSE)</f>
        <v>No major surgery</v>
      </c>
      <c r="I1679" t="str">
        <f>VLOOKUP($A1679, 'Medical Examinations'!A:K, 11, FALSE)</f>
        <v>No</v>
      </c>
      <c r="J1679" t="str">
        <f>VLOOKUP($A1679, 'Medical Examinations'!A:B, 2, FALSE)</f>
        <v>Normal Weight</v>
      </c>
      <c r="K1679" t="str">
        <f>VLOOKUP($A1679, 'Medical Examinations'!A:D, 4, FALSE)</f>
        <v>Diabetes</v>
      </c>
    </row>
    <row r="1680" spans="1:11" ht="15.5" x14ac:dyDescent="0.35">
      <c r="A1680" s="1" t="s">
        <v>692</v>
      </c>
      <c r="B1680" t="str">
        <f>VLOOKUP($A1680, 'Customer Names'!A:D, 3, FALSE)</f>
        <v>McCarron</v>
      </c>
      <c r="C1680">
        <f>VLOOKUP($A1680,'Medical Examinations'!A:C, 3, FALSE)</f>
        <v>32.799999999999997</v>
      </c>
      <c r="D1680" t="str">
        <f>VLOOKUP($A1680, 'Medical Examinations'!A:D, 4, FALSE)</f>
        <v>Prediabetes</v>
      </c>
      <c r="E1680" t="str">
        <f>VLOOKUP($A1680, 'Medical Examinations'!A:F, 6, FALSE)</f>
        <v>yes</v>
      </c>
      <c r="F1680" t="str">
        <f>VLOOKUP($A1680, 'Medical Examinations'!A:G, 7, FALSE)</f>
        <v>No</v>
      </c>
      <c r="G1680" t="str">
        <f>VLOOKUP($A1680, 'Medical Examinations'!A:H, 8, FALSE)</f>
        <v>Yes</v>
      </c>
      <c r="H1680">
        <f>VLOOKUP($A1680, 'Medical Examinations'!A:J, 10, FALSE)</f>
        <v>1</v>
      </c>
      <c r="I1680" t="str">
        <f>VLOOKUP($A1680, 'Medical Examinations'!A:K, 11, FALSE)</f>
        <v>No</v>
      </c>
      <c r="J1680" t="str">
        <f>VLOOKUP($A1680, 'Medical Examinations'!A:B, 2, FALSE)</f>
        <v>Obesity</v>
      </c>
      <c r="K1680" t="str">
        <f>VLOOKUP($A1680, 'Medical Examinations'!A:D, 4, FALSE)</f>
        <v>Prediabetes</v>
      </c>
    </row>
    <row r="1681" spans="1:11" ht="15.5" x14ac:dyDescent="0.35">
      <c r="A1681" s="1" t="s">
        <v>691</v>
      </c>
      <c r="B1681" t="str">
        <f>VLOOKUP($A1681, 'Customer Names'!A:D, 3, FALSE)</f>
        <v>Manion</v>
      </c>
      <c r="C1681">
        <f>VLOOKUP($A1681,'Medical Examinations'!A:C, 3, FALSE)</f>
        <v>35.814999999999998</v>
      </c>
      <c r="D1681" t="str">
        <f>VLOOKUP($A1681, 'Medical Examinations'!A:D, 4, FALSE)</f>
        <v>Normal</v>
      </c>
      <c r="E1681" t="str">
        <f>VLOOKUP($A1681, 'Medical Examinations'!A:F, 6, FALSE)</f>
        <v>No</v>
      </c>
      <c r="F1681" t="str">
        <f>VLOOKUP($A1681, 'Medical Examinations'!A:G, 7, FALSE)</f>
        <v>No</v>
      </c>
      <c r="G1681" t="str">
        <f>VLOOKUP($A1681, 'Medical Examinations'!A:H, 8, FALSE)</f>
        <v>No</v>
      </c>
      <c r="H1681">
        <f>VLOOKUP($A1681, 'Medical Examinations'!A:J, 10, FALSE)</f>
        <v>1</v>
      </c>
      <c r="I1681" t="str">
        <f>VLOOKUP($A1681, 'Medical Examinations'!A:K, 11, FALSE)</f>
        <v>No</v>
      </c>
      <c r="J1681" t="str">
        <f>VLOOKUP($A1681, 'Medical Examinations'!A:B, 2, FALSE)</f>
        <v>Obesity</v>
      </c>
      <c r="K1681" t="str">
        <f>VLOOKUP($A1681, 'Medical Examinations'!A:D, 4, FALSE)</f>
        <v>Normal</v>
      </c>
    </row>
    <row r="1682" spans="1:11" ht="15.5" x14ac:dyDescent="0.35">
      <c r="A1682" s="1" t="s">
        <v>690</v>
      </c>
      <c r="B1682" t="str">
        <f>VLOOKUP($A1682, 'Customer Names'!A:D, 3, FALSE)</f>
        <v>Strong</v>
      </c>
      <c r="C1682">
        <f>VLOOKUP($A1682,'Medical Examinations'!A:C, 3, FALSE)</f>
        <v>24.3</v>
      </c>
      <c r="D1682" t="str">
        <f>VLOOKUP($A1682, 'Medical Examinations'!A:D, 4, FALSE)</f>
        <v>Prediabetes</v>
      </c>
      <c r="E1682" t="str">
        <f>VLOOKUP($A1682, 'Medical Examinations'!A:F, 6, FALSE)</f>
        <v>No</v>
      </c>
      <c r="F1682" t="str">
        <f>VLOOKUP($A1682, 'Medical Examinations'!A:G, 7, FALSE)</f>
        <v>No</v>
      </c>
      <c r="G1682" t="str">
        <f>VLOOKUP($A1682, 'Medical Examinations'!A:H, 8, FALSE)</f>
        <v>No</v>
      </c>
      <c r="H1682" t="str">
        <f>VLOOKUP($A1682, 'Medical Examinations'!A:J, 10, FALSE)</f>
        <v>No major surgery</v>
      </c>
      <c r="I1682" t="str">
        <f>VLOOKUP($A1682, 'Medical Examinations'!A:K, 11, FALSE)</f>
        <v>No</v>
      </c>
      <c r="J1682" t="str">
        <f>VLOOKUP($A1682, 'Medical Examinations'!A:B, 2, FALSE)</f>
        <v>Normal Weight</v>
      </c>
      <c r="K1682" t="str">
        <f>VLOOKUP($A1682, 'Medical Examinations'!A:D, 4, FALSE)</f>
        <v>Prediabetes</v>
      </c>
    </row>
    <row r="1683" spans="1:11" ht="15.5" x14ac:dyDescent="0.35">
      <c r="A1683" s="1" t="s">
        <v>689</v>
      </c>
      <c r="B1683" t="str">
        <f>VLOOKUP($A1683, 'Customer Names'!A:D, 3, FALSE)</f>
        <v>Leblanc</v>
      </c>
      <c r="C1683">
        <f>VLOOKUP($A1683,'Medical Examinations'!A:C, 3, FALSE)</f>
        <v>19.059999999999999</v>
      </c>
      <c r="D1683" t="str">
        <f>VLOOKUP($A1683, 'Medical Examinations'!A:D, 4, FALSE)</f>
        <v>Diabetes</v>
      </c>
      <c r="E1683" t="str">
        <f>VLOOKUP($A1683, 'Medical Examinations'!A:F, 6, FALSE)</f>
        <v>No</v>
      </c>
      <c r="F1683" t="str">
        <f>VLOOKUP($A1683, 'Medical Examinations'!A:G, 7, FALSE)</f>
        <v>No</v>
      </c>
      <c r="G1683" t="str">
        <f>VLOOKUP($A1683, 'Medical Examinations'!A:H, 8, FALSE)</f>
        <v>No</v>
      </c>
      <c r="H1683" t="str">
        <f>VLOOKUP($A1683, 'Medical Examinations'!A:J, 10, FALSE)</f>
        <v>No major surgery</v>
      </c>
      <c r="I1683" t="str">
        <f>VLOOKUP($A1683, 'Medical Examinations'!A:K, 11, FALSE)</f>
        <v>No</v>
      </c>
      <c r="J1683" t="str">
        <f>VLOOKUP($A1683, 'Medical Examinations'!A:B, 2, FALSE)</f>
        <v>Normal Weight</v>
      </c>
      <c r="K1683" t="str">
        <f>VLOOKUP($A1683, 'Medical Examinations'!A:D, 4, FALSE)</f>
        <v>Diabetes</v>
      </c>
    </row>
    <row r="1684" spans="1:11" ht="15.5" x14ac:dyDescent="0.35">
      <c r="A1684" s="1" t="s">
        <v>688</v>
      </c>
      <c r="B1684" t="str">
        <f>VLOOKUP($A1684, 'Customer Names'!A:D, 3, FALSE)</f>
        <v>Palmer</v>
      </c>
      <c r="C1684">
        <f>VLOOKUP($A1684,'Medical Examinations'!A:C, 3, FALSE)</f>
        <v>33.25</v>
      </c>
      <c r="D1684" t="str">
        <f>VLOOKUP($A1684, 'Medical Examinations'!A:D, 4, FALSE)</f>
        <v>Normal</v>
      </c>
      <c r="E1684" t="str">
        <f>VLOOKUP($A1684, 'Medical Examinations'!A:F, 6, FALSE)</f>
        <v>yes</v>
      </c>
      <c r="F1684" t="str">
        <f>VLOOKUP($A1684, 'Medical Examinations'!A:G, 7, FALSE)</f>
        <v>No</v>
      </c>
      <c r="G1684" t="str">
        <f>VLOOKUP($A1684, 'Medical Examinations'!A:H, 8, FALSE)</f>
        <v>No</v>
      </c>
      <c r="H1684">
        <f>VLOOKUP($A1684, 'Medical Examinations'!A:J, 10, FALSE)</f>
        <v>1</v>
      </c>
      <c r="I1684" t="str">
        <f>VLOOKUP($A1684, 'Medical Examinations'!A:K, 11, FALSE)</f>
        <v>No</v>
      </c>
      <c r="J1684" t="str">
        <f>VLOOKUP($A1684, 'Medical Examinations'!A:B, 2, FALSE)</f>
        <v>Obesity</v>
      </c>
      <c r="K1684" t="str">
        <f>VLOOKUP($A1684, 'Medical Examinations'!A:D, 4, FALSE)</f>
        <v>Normal</v>
      </c>
    </row>
    <row r="1685" spans="1:11" ht="15.5" x14ac:dyDescent="0.35">
      <c r="A1685" s="1" t="s">
        <v>687</v>
      </c>
      <c r="B1685" t="str">
        <f>VLOOKUP($A1685, 'Customer Names'!A:D, 3, FALSE)</f>
        <v>Shen</v>
      </c>
      <c r="C1685">
        <f>VLOOKUP($A1685,'Medical Examinations'!A:C, 3, FALSE)</f>
        <v>21.37</v>
      </c>
      <c r="D1685" t="str">
        <f>VLOOKUP($A1685, 'Medical Examinations'!A:D, 4, FALSE)</f>
        <v>Normal</v>
      </c>
      <c r="E1685" t="str">
        <f>VLOOKUP($A1685, 'Medical Examinations'!A:F, 6, FALSE)</f>
        <v>yes</v>
      </c>
      <c r="F1685" t="str">
        <f>VLOOKUP($A1685, 'Medical Examinations'!A:G, 7, FALSE)</f>
        <v>No</v>
      </c>
      <c r="G1685" t="str">
        <f>VLOOKUP($A1685, 'Medical Examinations'!A:H, 8, FALSE)</f>
        <v>Yes</v>
      </c>
      <c r="H1685">
        <f>VLOOKUP($A1685, 'Medical Examinations'!A:J, 10, FALSE)</f>
        <v>1</v>
      </c>
      <c r="I1685" t="str">
        <f>VLOOKUP($A1685, 'Medical Examinations'!A:K, 11, FALSE)</f>
        <v>No</v>
      </c>
      <c r="J1685" t="str">
        <f>VLOOKUP($A1685, 'Medical Examinations'!A:B, 2, FALSE)</f>
        <v>Normal Weight</v>
      </c>
      <c r="K1685" t="str">
        <f>VLOOKUP($A1685, 'Medical Examinations'!A:D, 4, FALSE)</f>
        <v>Normal</v>
      </c>
    </row>
    <row r="1686" spans="1:11" ht="15.5" x14ac:dyDescent="0.35">
      <c r="A1686" s="1" t="s">
        <v>686</v>
      </c>
      <c r="B1686" t="str">
        <f>VLOOKUP($A1686, 'Customer Names'!A:D, 3, FALSE)</f>
        <v>Goldsby</v>
      </c>
      <c r="C1686">
        <f>VLOOKUP($A1686,'Medical Examinations'!A:C, 3, FALSE)</f>
        <v>34.43</v>
      </c>
      <c r="D1686" t="str">
        <f>VLOOKUP($A1686, 'Medical Examinations'!A:D, 4, FALSE)</f>
        <v>Diabetes</v>
      </c>
      <c r="E1686" t="str">
        <f>VLOOKUP($A1686, 'Medical Examinations'!A:F, 6, FALSE)</f>
        <v>yes</v>
      </c>
      <c r="F1686" t="str">
        <f>VLOOKUP($A1686, 'Medical Examinations'!A:G, 7, FALSE)</f>
        <v>No</v>
      </c>
      <c r="G1686" t="str">
        <f>VLOOKUP($A1686, 'Medical Examinations'!A:H, 8, FALSE)</f>
        <v>No</v>
      </c>
      <c r="H1686">
        <f>VLOOKUP($A1686, 'Medical Examinations'!A:J, 10, FALSE)</f>
        <v>1</v>
      </c>
      <c r="I1686" t="str">
        <f>VLOOKUP($A1686, 'Medical Examinations'!A:K, 11, FALSE)</f>
        <v>No</v>
      </c>
      <c r="J1686" t="str">
        <f>VLOOKUP($A1686, 'Medical Examinations'!A:B, 2, FALSE)</f>
        <v>Obesity</v>
      </c>
      <c r="K1686" t="str">
        <f>VLOOKUP($A1686, 'Medical Examinations'!A:D, 4, FALSE)</f>
        <v>Diabetes</v>
      </c>
    </row>
    <row r="1687" spans="1:11" ht="15.5" x14ac:dyDescent="0.35">
      <c r="A1687" s="1" t="s">
        <v>685</v>
      </c>
      <c r="B1687" t="str">
        <f>VLOOKUP($A1687, 'Customer Names'!A:D, 3, FALSE)</f>
        <v>Whitney</v>
      </c>
      <c r="C1687">
        <f>VLOOKUP($A1687,'Medical Examinations'!A:C, 3, FALSE)</f>
        <v>20.86</v>
      </c>
      <c r="D1687" t="str">
        <f>VLOOKUP($A1687, 'Medical Examinations'!A:D, 4, FALSE)</f>
        <v>Normal</v>
      </c>
      <c r="E1687" t="str">
        <f>VLOOKUP($A1687, 'Medical Examinations'!A:F, 6, FALSE)</f>
        <v>yes</v>
      </c>
      <c r="F1687" t="str">
        <f>VLOOKUP($A1687, 'Medical Examinations'!A:G, 7, FALSE)</f>
        <v>No</v>
      </c>
      <c r="G1687" t="str">
        <f>VLOOKUP($A1687, 'Medical Examinations'!A:H, 8, FALSE)</f>
        <v>No</v>
      </c>
      <c r="H1687" t="str">
        <f>VLOOKUP($A1687, 'Medical Examinations'!A:J, 10, FALSE)</f>
        <v>No major surgery</v>
      </c>
      <c r="I1687" t="str">
        <f>VLOOKUP($A1687, 'Medical Examinations'!A:K, 11, FALSE)</f>
        <v>No</v>
      </c>
      <c r="J1687" t="str">
        <f>VLOOKUP($A1687, 'Medical Examinations'!A:B, 2, FALSE)</f>
        <v>Normal Weight</v>
      </c>
      <c r="K1687" t="str">
        <f>VLOOKUP($A1687, 'Medical Examinations'!A:D, 4, FALSE)</f>
        <v>Normal</v>
      </c>
    </row>
    <row r="1688" spans="1:11" ht="15.5" x14ac:dyDescent="0.35">
      <c r="A1688" s="1" t="s">
        <v>684</v>
      </c>
      <c r="B1688" t="str">
        <f>VLOOKUP($A1688, 'Customer Names'!A:D, 3, FALSE)</f>
        <v>Mahoney</v>
      </c>
      <c r="C1688">
        <f>VLOOKUP($A1688,'Medical Examinations'!A:C, 3, FALSE)</f>
        <v>18.34</v>
      </c>
      <c r="D1688" t="str">
        <f>VLOOKUP($A1688, 'Medical Examinations'!A:D, 4, FALSE)</f>
        <v>Diabetes</v>
      </c>
      <c r="E1688" t="str">
        <f>VLOOKUP($A1688, 'Medical Examinations'!A:F, 6, FALSE)</f>
        <v>No</v>
      </c>
      <c r="F1688" t="str">
        <f>VLOOKUP($A1688, 'Medical Examinations'!A:G, 7, FALSE)</f>
        <v>No</v>
      </c>
      <c r="G1688" t="str">
        <f>VLOOKUP($A1688, 'Medical Examinations'!A:H, 8, FALSE)</f>
        <v>No</v>
      </c>
      <c r="H1688" t="str">
        <f>VLOOKUP($A1688, 'Medical Examinations'!A:J, 10, FALSE)</f>
        <v>No major surgery</v>
      </c>
      <c r="I1688" t="str">
        <f>VLOOKUP($A1688, 'Medical Examinations'!A:K, 11, FALSE)</f>
        <v>No</v>
      </c>
      <c r="J1688" t="str">
        <f>VLOOKUP($A1688, 'Medical Examinations'!A:B, 2, FALSE)</f>
        <v>Underweight</v>
      </c>
      <c r="K1688" t="str">
        <f>VLOOKUP($A1688, 'Medical Examinations'!A:D, 4, FALSE)</f>
        <v>Diabetes</v>
      </c>
    </row>
    <row r="1689" spans="1:11" ht="15.5" x14ac:dyDescent="0.35">
      <c r="A1689" s="1" t="s">
        <v>683</v>
      </c>
      <c r="B1689" t="str">
        <f>VLOOKUP($A1689, 'Customer Names'!A:D, 3, FALSE)</f>
        <v>McCracken</v>
      </c>
      <c r="C1689">
        <f>VLOOKUP($A1689,'Medical Examinations'!A:C, 3, FALSE)</f>
        <v>34.15</v>
      </c>
      <c r="D1689" t="str">
        <f>VLOOKUP($A1689, 'Medical Examinations'!A:D, 4, FALSE)</f>
        <v>Normal</v>
      </c>
      <c r="E1689" t="str">
        <f>VLOOKUP($A1689, 'Medical Examinations'!A:F, 6, FALSE)</f>
        <v>No</v>
      </c>
      <c r="F1689" t="str">
        <f>VLOOKUP($A1689, 'Medical Examinations'!A:G, 7, FALSE)</f>
        <v>No</v>
      </c>
      <c r="G1689" t="str">
        <f>VLOOKUP($A1689, 'Medical Examinations'!A:H, 8, FALSE)</f>
        <v>No</v>
      </c>
      <c r="H1689" t="str">
        <f>VLOOKUP($A1689, 'Medical Examinations'!A:J, 10, FALSE)</f>
        <v>No major surgery</v>
      </c>
      <c r="I1689" t="str">
        <f>VLOOKUP($A1689, 'Medical Examinations'!A:K, 11, FALSE)</f>
        <v>No</v>
      </c>
      <c r="J1689" t="str">
        <f>VLOOKUP($A1689, 'Medical Examinations'!A:B, 2, FALSE)</f>
        <v>Obesity</v>
      </c>
      <c r="K1689" t="str">
        <f>VLOOKUP($A1689, 'Medical Examinations'!A:D, 4, FALSE)</f>
        <v>Normal</v>
      </c>
    </row>
    <row r="1690" spans="1:11" ht="15.5" x14ac:dyDescent="0.35">
      <c r="A1690" s="1" t="s">
        <v>682</v>
      </c>
      <c r="B1690" t="str">
        <f>VLOOKUP($A1690, 'Customer Names'!A:D, 3, FALSE)</f>
        <v>Spewak</v>
      </c>
      <c r="C1690">
        <f>VLOOKUP($A1690,'Medical Examinations'!A:C, 3, FALSE)</f>
        <v>18.350000000000001</v>
      </c>
      <c r="D1690" t="str">
        <f>VLOOKUP($A1690, 'Medical Examinations'!A:D, 4, FALSE)</f>
        <v>Normal</v>
      </c>
      <c r="E1690" t="str">
        <f>VLOOKUP($A1690, 'Medical Examinations'!A:F, 6, FALSE)</f>
        <v>No</v>
      </c>
      <c r="F1690" t="str">
        <f>VLOOKUP($A1690, 'Medical Examinations'!A:G, 7, FALSE)</f>
        <v>No</v>
      </c>
      <c r="G1690" t="str">
        <f>VLOOKUP($A1690, 'Medical Examinations'!A:H, 8, FALSE)</f>
        <v>No</v>
      </c>
      <c r="H1690" t="str">
        <f>VLOOKUP($A1690, 'Medical Examinations'!A:J, 10, FALSE)</f>
        <v>No major surgery</v>
      </c>
      <c r="I1690" t="str">
        <f>VLOOKUP($A1690, 'Medical Examinations'!A:K, 11, FALSE)</f>
        <v>No</v>
      </c>
      <c r="J1690" t="str">
        <f>VLOOKUP($A1690, 'Medical Examinations'!A:B, 2, FALSE)</f>
        <v>Underweight</v>
      </c>
      <c r="K1690" t="str">
        <f>VLOOKUP($A1690, 'Medical Examinations'!A:D, 4, FALSE)</f>
        <v>Normal</v>
      </c>
    </row>
    <row r="1691" spans="1:11" ht="15.5" x14ac:dyDescent="0.35">
      <c r="A1691" s="1" t="s">
        <v>681</v>
      </c>
      <c r="B1691" t="str">
        <f>VLOOKUP($A1691, 'Customer Names'!A:D, 3, FALSE)</f>
        <v>Cottini</v>
      </c>
      <c r="C1691">
        <f>VLOOKUP($A1691,'Medical Examinations'!A:C, 3, FALSE)</f>
        <v>22.13</v>
      </c>
      <c r="D1691" t="str">
        <f>VLOOKUP($A1691, 'Medical Examinations'!A:D, 4, FALSE)</f>
        <v>Diabetes</v>
      </c>
      <c r="E1691" t="str">
        <f>VLOOKUP($A1691, 'Medical Examinations'!A:F, 6, FALSE)</f>
        <v>yes</v>
      </c>
      <c r="F1691" t="str">
        <f>VLOOKUP($A1691, 'Medical Examinations'!A:G, 7, FALSE)</f>
        <v>No</v>
      </c>
      <c r="G1691" t="str">
        <f>VLOOKUP($A1691, 'Medical Examinations'!A:H, 8, FALSE)</f>
        <v>No</v>
      </c>
      <c r="H1691" t="str">
        <f>VLOOKUP($A1691, 'Medical Examinations'!A:J, 10, FALSE)</f>
        <v>No major surgery</v>
      </c>
      <c r="I1691" t="str">
        <f>VLOOKUP($A1691, 'Medical Examinations'!A:K, 11, FALSE)</f>
        <v>No</v>
      </c>
      <c r="J1691" t="str">
        <f>VLOOKUP($A1691, 'Medical Examinations'!A:B, 2, FALSE)</f>
        <v>Normal Weight</v>
      </c>
      <c r="K1691" t="str">
        <f>VLOOKUP($A1691, 'Medical Examinations'!A:D, 4, FALSE)</f>
        <v>Diabetes</v>
      </c>
    </row>
    <row r="1692" spans="1:11" ht="15.5" x14ac:dyDescent="0.35">
      <c r="A1692" s="1" t="s">
        <v>680</v>
      </c>
      <c r="B1692" t="str">
        <f>VLOOKUP($A1692, 'Customer Names'!A:D, 3, FALSE)</f>
        <v>Findlay</v>
      </c>
      <c r="C1692">
        <f>VLOOKUP($A1692,'Medical Examinations'!A:C, 3, FALSE)</f>
        <v>22.51</v>
      </c>
      <c r="D1692" t="str">
        <f>VLOOKUP($A1692, 'Medical Examinations'!A:D, 4, FALSE)</f>
        <v>Prediabetes</v>
      </c>
      <c r="E1692" t="str">
        <f>VLOOKUP($A1692, 'Medical Examinations'!A:F, 6, FALSE)</f>
        <v>yes</v>
      </c>
      <c r="F1692" t="str">
        <f>VLOOKUP($A1692, 'Medical Examinations'!A:G, 7, FALSE)</f>
        <v>No</v>
      </c>
      <c r="G1692" t="str">
        <f>VLOOKUP($A1692, 'Medical Examinations'!A:H, 8, FALSE)</f>
        <v>No</v>
      </c>
      <c r="H1692">
        <f>VLOOKUP($A1692, 'Medical Examinations'!A:J, 10, FALSE)</f>
        <v>1</v>
      </c>
      <c r="I1692" t="str">
        <f>VLOOKUP($A1692, 'Medical Examinations'!A:K, 11, FALSE)</f>
        <v>No</v>
      </c>
      <c r="J1692" t="str">
        <f>VLOOKUP($A1692, 'Medical Examinations'!A:B, 2, FALSE)</f>
        <v>Normal Weight</v>
      </c>
      <c r="K1692" t="str">
        <f>VLOOKUP($A1692, 'Medical Examinations'!A:D, 4, FALSE)</f>
        <v>Prediabetes</v>
      </c>
    </row>
    <row r="1693" spans="1:11" ht="15.5" x14ac:dyDescent="0.35">
      <c r="A1693" s="1" t="s">
        <v>679</v>
      </c>
      <c r="B1693" t="str">
        <f>VLOOKUP($A1693, 'Customer Names'!A:D, 3, FALSE)</f>
        <v>Strasburg</v>
      </c>
      <c r="C1693">
        <f>VLOOKUP($A1693,'Medical Examinations'!A:C, 3, FALSE)</f>
        <v>31</v>
      </c>
      <c r="D1693" t="str">
        <f>VLOOKUP($A1693, 'Medical Examinations'!A:D, 4, FALSE)</f>
        <v>Normal</v>
      </c>
      <c r="E1693" t="str">
        <f>VLOOKUP($A1693, 'Medical Examinations'!A:F, 6, FALSE)</f>
        <v>No</v>
      </c>
      <c r="F1693" t="str">
        <f>VLOOKUP($A1693, 'Medical Examinations'!A:G, 7, FALSE)</f>
        <v>No</v>
      </c>
      <c r="G1693" t="str">
        <f>VLOOKUP($A1693, 'Medical Examinations'!A:H, 8, FALSE)</f>
        <v>No</v>
      </c>
      <c r="H1693">
        <f>VLOOKUP($A1693, 'Medical Examinations'!A:J, 10, FALSE)</f>
        <v>1</v>
      </c>
      <c r="I1693" t="str">
        <f>VLOOKUP($A1693, 'Medical Examinations'!A:K, 11, FALSE)</f>
        <v>No</v>
      </c>
      <c r="J1693" t="str">
        <f>VLOOKUP($A1693, 'Medical Examinations'!A:B, 2, FALSE)</f>
        <v>Obesity</v>
      </c>
      <c r="K1693" t="str">
        <f>VLOOKUP($A1693, 'Medical Examinations'!A:D, 4, FALSE)</f>
        <v>Normal</v>
      </c>
    </row>
    <row r="1694" spans="1:11" ht="15.5" x14ac:dyDescent="0.35">
      <c r="A1694" s="1" t="s">
        <v>678</v>
      </c>
      <c r="B1694" t="str">
        <f>VLOOKUP($A1694, 'Customer Names'!A:D, 3, FALSE)</f>
        <v>Adams</v>
      </c>
      <c r="C1694">
        <f>VLOOKUP($A1694,'Medical Examinations'!A:C, 3, FALSE)</f>
        <v>28.27</v>
      </c>
      <c r="D1694" t="str">
        <f>VLOOKUP($A1694, 'Medical Examinations'!A:D, 4, FALSE)</f>
        <v>Normal</v>
      </c>
      <c r="E1694" t="str">
        <f>VLOOKUP($A1694, 'Medical Examinations'!A:F, 6, FALSE)</f>
        <v>No</v>
      </c>
      <c r="F1694" t="str">
        <f>VLOOKUP($A1694, 'Medical Examinations'!A:G, 7, FALSE)</f>
        <v>No</v>
      </c>
      <c r="G1694" t="str">
        <f>VLOOKUP($A1694, 'Medical Examinations'!A:H, 8, FALSE)</f>
        <v>No</v>
      </c>
      <c r="H1694">
        <f>VLOOKUP($A1694, 'Medical Examinations'!A:J, 10, FALSE)</f>
        <v>1</v>
      </c>
      <c r="I1694" t="str">
        <f>VLOOKUP($A1694, 'Medical Examinations'!A:K, 11, FALSE)</f>
        <v>No</v>
      </c>
      <c r="J1694" t="str">
        <f>VLOOKUP($A1694, 'Medical Examinations'!A:B, 2, FALSE)</f>
        <v>Overweight</v>
      </c>
      <c r="K1694" t="str">
        <f>VLOOKUP($A1694, 'Medical Examinations'!A:D, 4, FALSE)</f>
        <v>Normal</v>
      </c>
    </row>
    <row r="1695" spans="1:11" ht="15.5" x14ac:dyDescent="0.35">
      <c r="A1695" s="1" t="s">
        <v>677</v>
      </c>
      <c r="B1695" t="str">
        <f>VLOOKUP($A1695, 'Customer Names'!A:D, 3, FALSE)</f>
        <v>Deeter</v>
      </c>
      <c r="C1695">
        <f>VLOOKUP($A1695,'Medical Examinations'!A:C, 3, FALSE)</f>
        <v>29.92</v>
      </c>
      <c r="D1695" t="str">
        <f>VLOOKUP($A1695, 'Medical Examinations'!A:D, 4, FALSE)</f>
        <v>Diabetes</v>
      </c>
      <c r="E1695" t="str">
        <f>VLOOKUP($A1695, 'Medical Examinations'!A:F, 6, FALSE)</f>
        <v>yes</v>
      </c>
      <c r="F1695" t="str">
        <f>VLOOKUP($A1695, 'Medical Examinations'!A:G, 7, FALSE)</f>
        <v>No</v>
      </c>
      <c r="G1695" t="str">
        <f>VLOOKUP($A1695, 'Medical Examinations'!A:H, 8, FALSE)</f>
        <v>No</v>
      </c>
      <c r="H1695">
        <f>VLOOKUP($A1695, 'Medical Examinations'!A:J, 10, FALSE)</f>
        <v>1</v>
      </c>
      <c r="I1695" t="str">
        <f>VLOOKUP($A1695, 'Medical Examinations'!A:K, 11, FALSE)</f>
        <v>No</v>
      </c>
      <c r="J1695" t="e">
        <f>VLOOKUP($A1695, 'Medical Examinations'!A:B, 2, FALSE)</f>
        <v>#N/A</v>
      </c>
      <c r="K1695" t="str">
        <f>VLOOKUP($A1695, 'Medical Examinations'!A:D, 4, FALSE)</f>
        <v>Diabetes</v>
      </c>
    </row>
    <row r="1696" spans="1:11" ht="15.5" x14ac:dyDescent="0.35">
      <c r="A1696" s="1" t="s">
        <v>676</v>
      </c>
      <c r="B1696" t="str">
        <f>VLOOKUP($A1696, 'Customer Names'!A:D, 3, FALSE)</f>
        <v>Arpin</v>
      </c>
      <c r="C1696">
        <f>VLOOKUP($A1696,'Medical Examinations'!A:C, 3, FALSE)</f>
        <v>25.9</v>
      </c>
      <c r="D1696" t="str">
        <f>VLOOKUP($A1696, 'Medical Examinations'!A:D, 4, FALSE)</f>
        <v>Diabetes</v>
      </c>
      <c r="E1696" t="str">
        <f>VLOOKUP($A1696, 'Medical Examinations'!A:F, 6, FALSE)</f>
        <v>yes</v>
      </c>
      <c r="F1696" t="str">
        <f>VLOOKUP($A1696, 'Medical Examinations'!A:G, 7, FALSE)</f>
        <v>No</v>
      </c>
      <c r="G1696" t="str">
        <f>VLOOKUP($A1696, 'Medical Examinations'!A:H, 8, FALSE)</f>
        <v>No</v>
      </c>
      <c r="H1696">
        <f>VLOOKUP($A1696, 'Medical Examinations'!A:J, 10, FALSE)</f>
        <v>1</v>
      </c>
      <c r="I1696" t="str">
        <f>VLOOKUP($A1696, 'Medical Examinations'!A:K, 11, FALSE)</f>
        <v>No</v>
      </c>
      <c r="J1696" t="str">
        <f>VLOOKUP($A1696, 'Medical Examinations'!A:B, 2, FALSE)</f>
        <v>Overweight</v>
      </c>
      <c r="K1696" t="str">
        <f>VLOOKUP($A1696, 'Medical Examinations'!A:D, 4, FALSE)</f>
        <v>Diabetes</v>
      </c>
    </row>
    <row r="1697" spans="1:11" ht="15.5" x14ac:dyDescent="0.35">
      <c r="A1697" s="1" t="s">
        <v>675</v>
      </c>
      <c r="B1697" t="str">
        <f>VLOOKUP($A1697, 'Customer Names'!A:D, 3, FALSE)</f>
        <v>Schoeneck</v>
      </c>
      <c r="C1697">
        <f>VLOOKUP($A1697,'Medical Examinations'!A:C, 3, FALSE)</f>
        <v>27.74</v>
      </c>
      <c r="D1697" t="str">
        <f>VLOOKUP($A1697, 'Medical Examinations'!A:D, 4, FALSE)</f>
        <v>Diabetes</v>
      </c>
      <c r="E1697" t="str">
        <f>VLOOKUP($A1697, 'Medical Examinations'!A:F, 6, FALSE)</f>
        <v>yes</v>
      </c>
      <c r="F1697" t="str">
        <f>VLOOKUP($A1697, 'Medical Examinations'!A:G, 7, FALSE)</f>
        <v>No</v>
      </c>
      <c r="G1697" t="str">
        <f>VLOOKUP($A1697, 'Medical Examinations'!A:H, 8, FALSE)</f>
        <v>No</v>
      </c>
      <c r="H1697">
        <f>VLOOKUP($A1697, 'Medical Examinations'!A:J, 10, FALSE)</f>
        <v>1</v>
      </c>
      <c r="I1697" t="str">
        <f>VLOOKUP($A1697, 'Medical Examinations'!A:K, 11, FALSE)</f>
        <v>No</v>
      </c>
      <c r="J1697" t="str">
        <f>VLOOKUP($A1697, 'Medical Examinations'!A:B, 2, FALSE)</f>
        <v>Overweight</v>
      </c>
      <c r="K1697" t="str">
        <f>VLOOKUP($A1697, 'Medical Examinations'!A:D, 4, FALSE)</f>
        <v>Diabetes</v>
      </c>
    </row>
    <row r="1698" spans="1:11" ht="15.5" x14ac:dyDescent="0.35">
      <c r="A1698" s="1" t="s">
        <v>674</v>
      </c>
      <c r="B1698" t="str">
        <f>VLOOKUP($A1698, 'Customer Names'!A:D, 3, FALSE)</f>
        <v>Mueller</v>
      </c>
      <c r="C1698">
        <f>VLOOKUP($A1698,'Medical Examinations'!A:C, 3, FALSE)</f>
        <v>17.260000000000002</v>
      </c>
      <c r="D1698" t="str">
        <f>VLOOKUP($A1698, 'Medical Examinations'!A:D, 4, FALSE)</f>
        <v>Diabetes</v>
      </c>
      <c r="E1698" t="str">
        <f>VLOOKUP($A1698, 'Medical Examinations'!A:F, 6, FALSE)</f>
        <v>No</v>
      </c>
      <c r="F1698" t="str">
        <f>VLOOKUP($A1698, 'Medical Examinations'!A:G, 7, FALSE)</f>
        <v>No</v>
      </c>
      <c r="G1698" t="str">
        <f>VLOOKUP($A1698, 'Medical Examinations'!A:H, 8, FALSE)</f>
        <v>No</v>
      </c>
      <c r="H1698">
        <f>VLOOKUP($A1698, 'Medical Examinations'!A:J, 10, FALSE)</f>
        <v>2</v>
      </c>
      <c r="I1698" t="str">
        <f>VLOOKUP($A1698, 'Medical Examinations'!A:K, 11, FALSE)</f>
        <v>No</v>
      </c>
      <c r="J1698" t="str">
        <f>VLOOKUP($A1698, 'Medical Examinations'!A:B, 2, FALSE)</f>
        <v>Underweight</v>
      </c>
      <c r="K1698" t="str">
        <f>VLOOKUP($A1698, 'Medical Examinations'!A:D, 4, FALSE)</f>
        <v>Diabetes</v>
      </c>
    </row>
    <row r="1699" spans="1:11" ht="15.5" x14ac:dyDescent="0.35">
      <c r="A1699" s="1" t="s">
        <v>673</v>
      </c>
      <c r="B1699" t="str">
        <f>VLOOKUP($A1699, 'Customer Names'!A:D, 3, FALSE)</f>
        <v>Willits</v>
      </c>
      <c r="C1699">
        <f>VLOOKUP($A1699,'Medical Examinations'!A:C, 3, FALSE)</f>
        <v>19.855</v>
      </c>
      <c r="D1699" t="str">
        <f>VLOOKUP($A1699, 'Medical Examinations'!A:D, 4, FALSE)</f>
        <v>Diabetes</v>
      </c>
      <c r="E1699" t="str">
        <f>VLOOKUP($A1699, 'Medical Examinations'!A:F, 6, FALSE)</f>
        <v>yes</v>
      </c>
      <c r="F1699" t="str">
        <f>VLOOKUP($A1699, 'Medical Examinations'!A:G, 7, FALSE)</f>
        <v>No</v>
      </c>
      <c r="G1699" t="str">
        <f>VLOOKUP($A1699, 'Medical Examinations'!A:H, 8, FALSE)</f>
        <v>No</v>
      </c>
      <c r="H1699">
        <f>VLOOKUP($A1699, 'Medical Examinations'!A:J, 10, FALSE)</f>
        <v>1</v>
      </c>
      <c r="I1699" t="str">
        <f>VLOOKUP($A1699, 'Medical Examinations'!A:K, 11, FALSE)</f>
        <v>No</v>
      </c>
      <c r="J1699" t="str">
        <f>VLOOKUP($A1699, 'Medical Examinations'!A:B, 2, FALSE)</f>
        <v>Normal Weight</v>
      </c>
      <c r="K1699" t="str">
        <f>VLOOKUP($A1699, 'Medical Examinations'!A:D, 4, FALSE)</f>
        <v>Diabetes</v>
      </c>
    </row>
    <row r="1700" spans="1:11" ht="15.5" x14ac:dyDescent="0.35">
      <c r="A1700" s="1" t="s">
        <v>672</v>
      </c>
      <c r="B1700" t="str">
        <f>VLOOKUP($A1700, 'Customer Names'!A:D, 3, FALSE)</f>
        <v>Syring</v>
      </c>
      <c r="C1700">
        <f>VLOOKUP($A1700,'Medical Examinations'!A:C, 3, FALSE)</f>
        <v>41.69</v>
      </c>
      <c r="D1700" t="str">
        <f>VLOOKUP($A1700, 'Medical Examinations'!A:D, 4, FALSE)</f>
        <v>Prediabetes</v>
      </c>
      <c r="E1700" t="str">
        <f>VLOOKUP($A1700, 'Medical Examinations'!A:F, 6, FALSE)</f>
        <v>No</v>
      </c>
      <c r="F1700" t="str">
        <f>VLOOKUP($A1700, 'Medical Examinations'!A:G, 7, FALSE)</f>
        <v>No</v>
      </c>
      <c r="G1700" t="str">
        <f>VLOOKUP($A1700, 'Medical Examinations'!A:H, 8, FALSE)</f>
        <v>No</v>
      </c>
      <c r="H1700" t="str">
        <f>VLOOKUP($A1700, 'Medical Examinations'!A:J, 10, FALSE)</f>
        <v>No major surgery</v>
      </c>
      <c r="I1700" t="str">
        <f>VLOOKUP($A1700, 'Medical Examinations'!A:K, 11, FALSE)</f>
        <v>No</v>
      </c>
      <c r="J1700" t="str">
        <f>VLOOKUP($A1700, 'Medical Examinations'!A:B, 2, FALSE)</f>
        <v>Obesity</v>
      </c>
      <c r="K1700" t="str">
        <f>VLOOKUP($A1700, 'Medical Examinations'!A:D, 4, FALSE)</f>
        <v>Prediabetes</v>
      </c>
    </row>
    <row r="1701" spans="1:11" ht="15.5" x14ac:dyDescent="0.35">
      <c r="A1701" s="1" t="s">
        <v>671</v>
      </c>
      <c r="B1701" t="str">
        <f>VLOOKUP($A1701, 'Customer Names'!A:D, 3, FALSE)</f>
        <v>Strike</v>
      </c>
      <c r="C1701">
        <f>VLOOKUP($A1701,'Medical Examinations'!A:C, 3, FALSE)</f>
        <v>16.12</v>
      </c>
      <c r="D1701" t="str">
        <f>VLOOKUP($A1701, 'Medical Examinations'!A:D, 4, FALSE)</f>
        <v>Diabetes</v>
      </c>
      <c r="E1701" t="str">
        <f>VLOOKUP($A1701, 'Medical Examinations'!A:F, 6, FALSE)</f>
        <v>No</v>
      </c>
      <c r="F1701" t="str">
        <f>VLOOKUP($A1701, 'Medical Examinations'!A:G, 7, FALSE)</f>
        <v>No</v>
      </c>
      <c r="G1701" t="str">
        <f>VLOOKUP($A1701, 'Medical Examinations'!A:H, 8, FALSE)</f>
        <v>No</v>
      </c>
      <c r="H1701" t="str">
        <f>VLOOKUP($A1701, 'Medical Examinations'!A:J, 10, FALSE)</f>
        <v>No major surgery</v>
      </c>
      <c r="I1701" t="str">
        <f>VLOOKUP($A1701, 'Medical Examinations'!A:K, 11, FALSE)</f>
        <v>No</v>
      </c>
      <c r="J1701" t="str">
        <f>VLOOKUP($A1701, 'Medical Examinations'!A:B, 2, FALSE)</f>
        <v>Underweight</v>
      </c>
      <c r="K1701" t="str">
        <f>VLOOKUP($A1701, 'Medical Examinations'!A:D, 4, FALSE)</f>
        <v>Diabetes</v>
      </c>
    </row>
    <row r="1702" spans="1:11" ht="15.5" x14ac:dyDescent="0.35">
      <c r="A1702" s="1" t="s">
        <v>670</v>
      </c>
      <c r="B1702" t="str">
        <f>VLOOKUP($A1702, 'Customer Names'!A:D, 3, FALSE)</f>
        <v>Hennigar</v>
      </c>
      <c r="C1702">
        <f>VLOOKUP($A1702,'Medical Examinations'!A:C, 3, FALSE)</f>
        <v>37.43</v>
      </c>
      <c r="D1702" t="str">
        <f>VLOOKUP($A1702, 'Medical Examinations'!A:D, 4, FALSE)</f>
        <v>Normal</v>
      </c>
      <c r="E1702" t="str">
        <f>VLOOKUP($A1702, 'Medical Examinations'!A:F, 6, FALSE)</f>
        <v>No</v>
      </c>
      <c r="F1702" t="str">
        <f>VLOOKUP($A1702, 'Medical Examinations'!A:G, 7, FALSE)</f>
        <v>No</v>
      </c>
      <c r="G1702" t="str">
        <f>VLOOKUP($A1702, 'Medical Examinations'!A:H, 8, FALSE)</f>
        <v>No</v>
      </c>
      <c r="H1702">
        <f>VLOOKUP($A1702, 'Medical Examinations'!A:J, 10, FALSE)</f>
        <v>1</v>
      </c>
      <c r="I1702" t="str">
        <f>VLOOKUP($A1702, 'Medical Examinations'!A:K, 11, FALSE)</f>
        <v>No</v>
      </c>
      <c r="J1702" t="str">
        <f>VLOOKUP($A1702, 'Medical Examinations'!A:B, 2, FALSE)</f>
        <v>Obesity</v>
      </c>
      <c r="K1702" t="str">
        <f>VLOOKUP($A1702, 'Medical Examinations'!A:D, 4, FALSE)</f>
        <v>Normal</v>
      </c>
    </row>
    <row r="1703" spans="1:11" ht="15.5" x14ac:dyDescent="0.35">
      <c r="A1703" s="1" t="s">
        <v>669</v>
      </c>
      <c r="B1703" t="str">
        <f>VLOOKUP($A1703, 'Customer Names'!A:D, 3, FALSE)</f>
        <v>May</v>
      </c>
      <c r="C1703">
        <f>VLOOKUP($A1703,'Medical Examinations'!A:C, 3, FALSE)</f>
        <v>31.065000000000001</v>
      </c>
      <c r="D1703" t="str">
        <f>VLOOKUP($A1703, 'Medical Examinations'!A:D, 4, FALSE)</f>
        <v>Prediabetes</v>
      </c>
      <c r="E1703" t="str">
        <f>VLOOKUP($A1703, 'Medical Examinations'!A:F, 6, FALSE)</f>
        <v>No</v>
      </c>
      <c r="F1703" t="str">
        <f>VLOOKUP($A1703, 'Medical Examinations'!A:G, 7, FALSE)</f>
        <v>No</v>
      </c>
      <c r="G1703" t="str">
        <f>VLOOKUP($A1703, 'Medical Examinations'!A:H, 8, FALSE)</f>
        <v>No</v>
      </c>
      <c r="H1703" t="str">
        <f>VLOOKUP($A1703, 'Medical Examinations'!A:J, 10, FALSE)</f>
        <v>No major surgery</v>
      </c>
      <c r="I1703" t="str">
        <f>VLOOKUP($A1703, 'Medical Examinations'!A:K, 11, FALSE)</f>
        <v>No</v>
      </c>
      <c r="J1703" t="str">
        <f>VLOOKUP($A1703, 'Medical Examinations'!A:B, 2, FALSE)</f>
        <v>Obesity</v>
      </c>
      <c r="K1703" t="str">
        <f>VLOOKUP($A1703, 'Medical Examinations'!A:D, 4, FALSE)</f>
        <v>Prediabetes</v>
      </c>
    </row>
    <row r="1704" spans="1:11" ht="15.5" x14ac:dyDescent="0.35">
      <c r="A1704" s="1" t="s">
        <v>668</v>
      </c>
      <c r="B1704" t="str">
        <f>VLOOKUP($A1704, 'Customer Names'!A:D, 3, FALSE)</f>
        <v>Metcalf</v>
      </c>
      <c r="C1704">
        <f>VLOOKUP($A1704,'Medical Examinations'!A:C, 3, FALSE)</f>
        <v>25.08</v>
      </c>
      <c r="D1704" t="str">
        <f>VLOOKUP($A1704, 'Medical Examinations'!A:D, 4, FALSE)</f>
        <v>Normal</v>
      </c>
      <c r="E1704" t="str">
        <f>VLOOKUP($A1704, 'Medical Examinations'!A:F, 6, FALSE)</f>
        <v>No</v>
      </c>
      <c r="F1704" t="str">
        <f>VLOOKUP($A1704, 'Medical Examinations'!A:G, 7, FALSE)</f>
        <v>No</v>
      </c>
      <c r="G1704" t="str">
        <f>VLOOKUP($A1704, 'Medical Examinations'!A:H, 8, FALSE)</f>
        <v>No</v>
      </c>
      <c r="H1704" t="str">
        <f>VLOOKUP($A1704, 'Medical Examinations'!A:J, 10, FALSE)</f>
        <v>No major surgery</v>
      </c>
      <c r="I1704" t="str">
        <f>VLOOKUP($A1704, 'Medical Examinations'!A:K, 11, FALSE)</f>
        <v>No</v>
      </c>
      <c r="J1704" t="str">
        <f>VLOOKUP($A1704, 'Medical Examinations'!A:B, 2, FALSE)</f>
        <v>Overweight</v>
      </c>
      <c r="K1704" t="str">
        <f>VLOOKUP($A1704, 'Medical Examinations'!A:D, 4, FALSE)</f>
        <v>Normal</v>
      </c>
    </row>
    <row r="1705" spans="1:11" ht="15.5" x14ac:dyDescent="0.35">
      <c r="A1705" s="1" t="s">
        <v>667</v>
      </c>
      <c r="B1705" t="str">
        <f>VLOOKUP($A1705, 'Customer Names'!A:D, 3, FALSE)</f>
        <v>Tiska</v>
      </c>
      <c r="C1705">
        <f>VLOOKUP($A1705,'Medical Examinations'!A:C, 3, FALSE)</f>
        <v>15.2</v>
      </c>
      <c r="D1705" t="str">
        <f>VLOOKUP($A1705, 'Medical Examinations'!A:D, 4, FALSE)</f>
        <v>Diabetes</v>
      </c>
      <c r="E1705" t="str">
        <f>VLOOKUP($A1705, 'Medical Examinations'!A:F, 6, FALSE)</f>
        <v>yes</v>
      </c>
      <c r="F1705" t="str">
        <f>VLOOKUP($A1705, 'Medical Examinations'!A:G, 7, FALSE)</f>
        <v>No</v>
      </c>
      <c r="G1705" t="str">
        <f>VLOOKUP($A1705, 'Medical Examinations'!A:H, 8, FALSE)</f>
        <v>No</v>
      </c>
      <c r="H1705">
        <f>VLOOKUP($A1705, 'Medical Examinations'!A:J, 10, FALSE)</f>
        <v>1</v>
      </c>
      <c r="I1705" t="str">
        <f>VLOOKUP($A1705, 'Medical Examinations'!A:K, 11, FALSE)</f>
        <v>No</v>
      </c>
      <c r="J1705" t="str">
        <f>VLOOKUP($A1705, 'Medical Examinations'!A:B, 2, FALSE)</f>
        <v>Underweight</v>
      </c>
      <c r="K1705" t="str">
        <f>VLOOKUP($A1705, 'Medical Examinations'!A:D, 4, FALSE)</f>
        <v>Diabetes</v>
      </c>
    </row>
    <row r="1706" spans="1:11" ht="15.5" x14ac:dyDescent="0.35">
      <c r="A1706" s="1" t="s">
        <v>666</v>
      </c>
      <c r="B1706" t="str">
        <f>VLOOKUP($A1706, 'Customer Names'!A:D, 3, FALSE)</f>
        <v>McDonough</v>
      </c>
      <c r="C1706">
        <f>VLOOKUP($A1706,'Medical Examinations'!A:C, 3, FALSE)</f>
        <v>22.34</v>
      </c>
      <c r="D1706" t="str">
        <f>VLOOKUP($A1706, 'Medical Examinations'!A:D, 4, FALSE)</f>
        <v>Normal</v>
      </c>
      <c r="E1706" t="str">
        <f>VLOOKUP($A1706, 'Medical Examinations'!A:F, 6, FALSE)</f>
        <v>yes</v>
      </c>
      <c r="F1706" t="str">
        <f>VLOOKUP($A1706, 'Medical Examinations'!A:G, 7, FALSE)</f>
        <v>No</v>
      </c>
      <c r="G1706" t="str">
        <f>VLOOKUP($A1706, 'Medical Examinations'!A:H, 8, FALSE)</f>
        <v>No</v>
      </c>
      <c r="H1706" t="str">
        <f>VLOOKUP($A1706, 'Medical Examinations'!A:J, 10, FALSE)</f>
        <v>No major surgery</v>
      </c>
      <c r="I1706" t="str">
        <f>VLOOKUP($A1706, 'Medical Examinations'!A:K, 11, FALSE)</f>
        <v>No</v>
      </c>
      <c r="J1706" t="str">
        <f>VLOOKUP($A1706, 'Medical Examinations'!A:B, 2, FALSE)</f>
        <v>Normal Weight</v>
      </c>
      <c r="K1706" t="str">
        <f>VLOOKUP($A1706, 'Medical Examinations'!A:D, 4, FALSE)</f>
        <v>Normal</v>
      </c>
    </row>
    <row r="1707" spans="1:11" ht="15.5" x14ac:dyDescent="0.35">
      <c r="A1707" s="1" t="s">
        <v>665</v>
      </c>
      <c r="B1707" t="str">
        <f>VLOOKUP($A1707, 'Customer Names'!A:D, 3, FALSE)</f>
        <v>Fairley</v>
      </c>
      <c r="C1707">
        <f>VLOOKUP($A1707,'Medical Examinations'!A:C, 3, FALSE)</f>
        <v>40.15</v>
      </c>
      <c r="D1707" t="str">
        <f>VLOOKUP($A1707, 'Medical Examinations'!A:D, 4, FALSE)</f>
        <v>Prediabetes</v>
      </c>
      <c r="E1707" t="str">
        <f>VLOOKUP($A1707, 'Medical Examinations'!A:F, 6, FALSE)</f>
        <v>No</v>
      </c>
      <c r="F1707" t="str">
        <f>VLOOKUP($A1707, 'Medical Examinations'!A:G, 7, FALSE)</f>
        <v>No</v>
      </c>
      <c r="G1707" t="str">
        <f>VLOOKUP($A1707, 'Medical Examinations'!A:H, 8, FALSE)</f>
        <v>No</v>
      </c>
      <c r="H1707">
        <f>VLOOKUP($A1707, 'Medical Examinations'!A:J, 10, FALSE)</f>
        <v>1</v>
      </c>
      <c r="I1707" t="str">
        <f>VLOOKUP($A1707, 'Medical Examinations'!A:K, 11, FALSE)</f>
        <v>No</v>
      </c>
      <c r="J1707" t="str">
        <f>VLOOKUP($A1707, 'Medical Examinations'!A:B, 2, FALSE)</f>
        <v>Obesity</v>
      </c>
      <c r="K1707" t="str">
        <f>VLOOKUP($A1707, 'Medical Examinations'!A:D, 4, FALSE)</f>
        <v>Prediabetes</v>
      </c>
    </row>
    <row r="1708" spans="1:11" ht="15.5" x14ac:dyDescent="0.35">
      <c r="A1708" s="1" t="s">
        <v>664</v>
      </c>
      <c r="B1708" t="str">
        <f>VLOOKUP($A1708, 'Customer Names'!A:D, 3, FALSE)</f>
        <v>Barnett</v>
      </c>
      <c r="C1708">
        <f>VLOOKUP($A1708,'Medical Examinations'!A:C, 3, FALSE)</f>
        <v>37.729999999999997</v>
      </c>
      <c r="D1708" t="str">
        <f>VLOOKUP($A1708, 'Medical Examinations'!A:D, 4, FALSE)</f>
        <v>Prediabetes</v>
      </c>
      <c r="E1708" t="str">
        <f>VLOOKUP($A1708, 'Medical Examinations'!A:F, 6, FALSE)</f>
        <v>No</v>
      </c>
      <c r="F1708" t="str">
        <f>VLOOKUP($A1708, 'Medical Examinations'!A:G, 7, FALSE)</f>
        <v>No</v>
      </c>
      <c r="G1708" t="str">
        <f>VLOOKUP($A1708, 'Medical Examinations'!A:H, 8, FALSE)</f>
        <v>No</v>
      </c>
      <c r="H1708">
        <f>VLOOKUP($A1708, 'Medical Examinations'!A:J, 10, FALSE)</f>
        <v>1</v>
      </c>
      <c r="I1708" t="str">
        <f>VLOOKUP($A1708, 'Medical Examinations'!A:K, 11, FALSE)</f>
        <v>No</v>
      </c>
      <c r="J1708" t="str">
        <f>VLOOKUP($A1708, 'Medical Examinations'!A:B, 2, FALSE)</f>
        <v>Obesity</v>
      </c>
      <c r="K1708" t="str">
        <f>VLOOKUP($A1708, 'Medical Examinations'!A:D, 4, FALSE)</f>
        <v>Prediabetes</v>
      </c>
    </row>
    <row r="1709" spans="1:11" ht="15.5" x14ac:dyDescent="0.35">
      <c r="A1709" s="1" t="s">
        <v>663</v>
      </c>
      <c r="B1709" t="str">
        <f>VLOOKUP($A1709, 'Customer Names'!A:D, 3, FALSE)</f>
        <v>Piasta</v>
      </c>
      <c r="C1709">
        <f>VLOOKUP($A1709,'Medical Examinations'!A:C, 3, FALSE)</f>
        <v>25.35</v>
      </c>
      <c r="D1709" t="str">
        <f>VLOOKUP($A1709, 'Medical Examinations'!A:D, 4, FALSE)</f>
        <v>Normal</v>
      </c>
      <c r="E1709" t="str">
        <f>VLOOKUP($A1709, 'Medical Examinations'!A:F, 6, FALSE)</f>
        <v>No</v>
      </c>
      <c r="F1709" t="str">
        <f>VLOOKUP($A1709, 'Medical Examinations'!A:G, 7, FALSE)</f>
        <v>No</v>
      </c>
      <c r="G1709" t="str">
        <f>VLOOKUP($A1709, 'Medical Examinations'!A:H, 8, FALSE)</f>
        <v>No</v>
      </c>
      <c r="H1709" t="str">
        <f>VLOOKUP($A1709, 'Medical Examinations'!A:J, 10, FALSE)</f>
        <v>No major surgery</v>
      </c>
      <c r="I1709" t="str">
        <f>VLOOKUP($A1709, 'Medical Examinations'!A:K, 11, FALSE)</f>
        <v>No</v>
      </c>
      <c r="J1709" t="str">
        <f>VLOOKUP($A1709, 'Medical Examinations'!A:B, 2, FALSE)</f>
        <v>Overweight</v>
      </c>
      <c r="K1709" t="str">
        <f>VLOOKUP($A1709, 'Medical Examinations'!A:D, 4, FALSE)</f>
        <v>Normal</v>
      </c>
    </row>
    <row r="1710" spans="1:11" ht="15.5" x14ac:dyDescent="0.35">
      <c r="A1710" s="1" t="s">
        <v>662</v>
      </c>
      <c r="B1710" t="str">
        <f>VLOOKUP($A1710, 'Customer Names'!A:D, 3, FALSE)</f>
        <v>Mueller</v>
      </c>
      <c r="C1710">
        <f>VLOOKUP($A1710,'Medical Examinations'!A:C, 3, FALSE)</f>
        <v>26.41</v>
      </c>
      <c r="D1710" t="str">
        <f>VLOOKUP($A1710, 'Medical Examinations'!A:D, 4, FALSE)</f>
        <v>Normal</v>
      </c>
      <c r="E1710" t="str">
        <f>VLOOKUP($A1710, 'Medical Examinations'!A:F, 6, FALSE)</f>
        <v>yes</v>
      </c>
      <c r="F1710" t="str">
        <f>VLOOKUP($A1710, 'Medical Examinations'!A:G, 7, FALSE)</f>
        <v>No</v>
      </c>
      <c r="G1710" t="str">
        <f>VLOOKUP($A1710, 'Medical Examinations'!A:H, 8, FALSE)</f>
        <v>No</v>
      </c>
      <c r="H1710">
        <f>VLOOKUP($A1710, 'Medical Examinations'!A:J, 10, FALSE)</f>
        <v>1</v>
      </c>
      <c r="I1710" t="str">
        <f>VLOOKUP($A1710, 'Medical Examinations'!A:K, 11, FALSE)</f>
        <v>No</v>
      </c>
      <c r="J1710" t="str">
        <f>VLOOKUP($A1710, 'Medical Examinations'!A:B, 2, FALSE)</f>
        <v>Overweight</v>
      </c>
      <c r="K1710" t="str">
        <f>VLOOKUP($A1710, 'Medical Examinations'!A:D, 4, FALSE)</f>
        <v>Normal</v>
      </c>
    </row>
    <row r="1711" spans="1:11" ht="15.5" x14ac:dyDescent="0.35">
      <c r="A1711" s="1" t="s">
        <v>661</v>
      </c>
      <c r="B1711" t="str">
        <f>VLOOKUP($A1711, 'Customer Names'!A:D, 3, FALSE)</f>
        <v>Olsen</v>
      </c>
      <c r="C1711">
        <f>VLOOKUP($A1711,'Medical Examinations'!A:C, 3, FALSE)</f>
        <v>27.6</v>
      </c>
      <c r="D1711" t="str">
        <f>VLOOKUP($A1711, 'Medical Examinations'!A:D, 4, FALSE)</f>
        <v>Normal</v>
      </c>
      <c r="E1711" t="str">
        <f>VLOOKUP($A1711, 'Medical Examinations'!A:F, 6, FALSE)</f>
        <v>No</v>
      </c>
      <c r="F1711" t="str">
        <f>VLOOKUP($A1711, 'Medical Examinations'!A:G, 7, FALSE)</f>
        <v>No</v>
      </c>
      <c r="G1711" t="str">
        <f>VLOOKUP($A1711, 'Medical Examinations'!A:H, 8, FALSE)</f>
        <v>No</v>
      </c>
      <c r="H1711">
        <f>VLOOKUP($A1711, 'Medical Examinations'!A:J, 10, FALSE)</f>
        <v>1</v>
      </c>
      <c r="I1711" t="str">
        <f>VLOOKUP($A1711, 'Medical Examinations'!A:K, 11, FALSE)</f>
        <v>No</v>
      </c>
      <c r="J1711" t="str">
        <f>VLOOKUP($A1711, 'Medical Examinations'!A:B, 2, FALSE)</f>
        <v>Overweight</v>
      </c>
      <c r="K1711" t="str">
        <f>VLOOKUP($A1711, 'Medical Examinations'!A:D, 4, FALSE)</f>
        <v>Normal</v>
      </c>
    </row>
    <row r="1712" spans="1:11" ht="15.5" x14ac:dyDescent="0.35">
      <c r="A1712" s="1" t="s">
        <v>660</v>
      </c>
      <c r="B1712" t="str">
        <f>VLOOKUP($A1712, 'Customer Names'!A:D, 3, FALSE)</f>
        <v>De Jesus</v>
      </c>
      <c r="C1712">
        <f>VLOOKUP($A1712,'Medical Examinations'!A:C, 3, FALSE)</f>
        <v>33.82</v>
      </c>
      <c r="D1712" t="str">
        <f>VLOOKUP($A1712, 'Medical Examinations'!A:D, 4, FALSE)</f>
        <v>Diabetes</v>
      </c>
      <c r="E1712" t="str">
        <f>VLOOKUP($A1712, 'Medical Examinations'!A:F, 6, FALSE)</f>
        <v>yes</v>
      </c>
      <c r="F1712" t="str">
        <f>VLOOKUP($A1712, 'Medical Examinations'!A:G, 7, FALSE)</f>
        <v>No</v>
      </c>
      <c r="G1712" t="str">
        <f>VLOOKUP($A1712, 'Medical Examinations'!A:H, 8, FALSE)</f>
        <v>No</v>
      </c>
      <c r="H1712">
        <f>VLOOKUP($A1712, 'Medical Examinations'!A:J, 10, FALSE)</f>
        <v>1</v>
      </c>
      <c r="I1712" t="str">
        <f>VLOOKUP($A1712, 'Medical Examinations'!A:K, 11, FALSE)</f>
        <v>No</v>
      </c>
      <c r="J1712" t="str">
        <f>VLOOKUP($A1712, 'Medical Examinations'!A:B, 2, FALSE)</f>
        <v>Obesity</v>
      </c>
      <c r="K1712" t="str">
        <f>VLOOKUP($A1712, 'Medical Examinations'!A:D, 4, FALSE)</f>
        <v>Diabetes</v>
      </c>
    </row>
    <row r="1713" spans="1:11" ht="15.5" x14ac:dyDescent="0.35">
      <c r="A1713" s="1" t="s">
        <v>659</v>
      </c>
      <c r="B1713" t="str">
        <f>VLOOKUP($A1713, 'Customer Names'!A:D, 3, FALSE)</f>
        <v>Bartus</v>
      </c>
      <c r="C1713">
        <f>VLOOKUP($A1713,'Medical Examinations'!A:C, 3, FALSE)</f>
        <v>32.9</v>
      </c>
      <c r="D1713" t="str">
        <f>VLOOKUP($A1713, 'Medical Examinations'!A:D, 4, FALSE)</f>
        <v>Normal</v>
      </c>
      <c r="E1713" t="str">
        <f>VLOOKUP($A1713, 'Medical Examinations'!A:F, 6, FALSE)</f>
        <v>No</v>
      </c>
      <c r="F1713" t="str">
        <f>VLOOKUP($A1713, 'Medical Examinations'!A:G, 7, FALSE)</f>
        <v>No</v>
      </c>
      <c r="G1713" t="str">
        <f>VLOOKUP($A1713, 'Medical Examinations'!A:H, 8, FALSE)</f>
        <v>No</v>
      </c>
      <c r="H1713" t="str">
        <f>VLOOKUP($A1713, 'Medical Examinations'!A:J, 10, FALSE)</f>
        <v>No major surgery</v>
      </c>
      <c r="I1713" t="str">
        <f>VLOOKUP($A1713, 'Medical Examinations'!A:K, 11, FALSE)</f>
        <v>No</v>
      </c>
      <c r="J1713" t="str">
        <f>VLOOKUP($A1713, 'Medical Examinations'!A:B, 2, FALSE)</f>
        <v>Obesity</v>
      </c>
      <c r="K1713" t="str">
        <f>VLOOKUP($A1713, 'Medical Examinations'!A:D, 4, FALSE)</f>
        <v>Normal</v>
      </c>
    </row>
    <row r="1714" spans="1:11" ht="15.5" x14ac:dyDescent="0.35">
      <c r="A1714" s="1" t="s">
        <v>658</v>
      </c>
      <c r="B1714" t="str">
        <f>VLOOKUP($A1714, 'Customer Names'!A:D, 3, FALSE)</f>
        <v>Stevens</v>
      </c>
      <c r="C1714">
        <f>VLOOKUP($A1714,'Medical Examinations'!A:C, 3, FALSE)</f>
        <v>30.875</v>
      </c>
      <c r="D1714" t="str">
        <f>VLOOKUP($A1714, 'Medical Examinations'!A:D, 4, FALSE)</f>
        <v>Diabetes</v>
      </c>
      <c r="E1714" t="str">
        <f>VLOOKUP($A1714, 'Medical Examinations'!A:F, 6, FALSE)</f>
        <v>yes</v>
      </c>
      <c r="F1714" t="str">
        <f>VLOOKUP($A1714, 'Medical Examinations'!A:G, 7, FALSE)</f>
        <v>No</v>
      </c>
      <c r="G1714" t="str">
        <f>VLOOKUP($A1714, 'Medical Examinations'!A:H, 8, FALSE)</f>
        <v>No</v>
      </c>
      <c r="H1714">
        <f>VLOOKUP($A1714, 'Medical Examinations'!A:J, 10, FALSE)</f>
        <v>1</v>
      </c>
      <c r="I1714" t="str">
        <f>VLOOKUP($A1714, 'Medical Examinations'!A:K, 11, FALSE)</f>
        <v>No</v>
      </c>
      <c r="J1714" t="str">
        <f>VLOOKUP($A1714, 'Medical Examinations'!A:B, 2, FALSE)</f>
        <v>Obesity</v>
      </c>
      <c r="K1714" t="str">
        <f>VLOOKUP($A1714, 'Medical Examinations'!A:D, 4, FALSE)</f>
        <v>Diabetes</v>
      </c>
    </row>
    <row r="1715" spans="1:11" ht="15.5" x14ac:dyDescent="0.35">
      <c r="A1715" s="1" t="s">
        <v>657</v>
      </c>
      <c r="B1715" t="str">
        <f>VLOOKUP($A1715, 'Customer Names'!A:D, 3, FALSE)</f>
        <v>Rich</v>
      </c>
      <c r="C1715">
        <f>VLOOKUP($A1715,'Medical Examinations'!A:C, 3, FALSE)</f>
        <v>32.64</v>
      </c>
      <c r="D1715" t="str">
        <f>VLOOKUP($A1715, 'Medical Examinations'!A:D, 4, FALSE)</f>
        <v>Prediabetes</v>
      </c>
      <c r="E1715" t="str">
        <f>VLOOKUP($A1715, 'Medical Examinations'!A:F, 6, FALSE)</f>
        <v>No</v>
      </c>
      <c r="F1715" t="str">
        <f>VLOOKUP($A1715, 'Medical Examinations'!A:G, 7, FALSE)</f>
        <v>No</v>
      </c>
      <c r="G1715" t="str">
        <f>VLOOKUP($A1715, 'Medical Examinations'!A:H, 8, FALSE)</f>
        <v>No</v>
      </c>
      <c r="H1715" t="str">
        <f>VLOOKUP($A1715, 'Medical Examinations'!A:J, 10, FALSE)</f>
        <v>No major surgery</v>
      </c>
      <c r="I1715" t="str">
        <f>VLOOKUP($A1715, 'Medical Examinations'!A:K, 11, FALSE)</f>
        <v>No</v>
      </c>
      <c r="J1715" t="str">
        <f>VLOOKUP($A1715, 'Medical Examinations'!A:B, 2, FALSE)</f>
        <v>Obesity</v>
      </c>
      <c r="K1715" t="str">
        <f>VLOOKUP($A1715, 'Medical Examinations'!A:D, 4, FALSE)</f>
        <v>Prediabetes</v>
      </c>
    </row>
    <row r="1716" spans="1:11" ht="15.5" x14ac:dyDescent="0.35">
      <c r="A1716" s="1" t="s">
        <v>656</v>
      </c>
      <c r="B1716" t="str">
        <f>VLOOKUP($A1716, 'Customer Names'!A:D, 3, FALSE)</f>
        <v>Fayter</v>
      </c>
      <c r="C1716">
        <f>VLOOKUP($A1716,'Medical Examinations'!A:C, 3, FALSE)</f>
        <v>22.135000000000002</v>
      </c>
      <c r="D1716" t="str">
        <f>VLOOKUP($A1716, 'Medical Examinations'!A:D, 4, FALSE)</f>
        <v>Normal</v>
      </c>
      <c r="E1716" t="str">
        <f>VLOOKUP($A1716, 'Medical Examinations'!A:F, 6, FALSE)</f>
        <v>No</v>
      </c>
      <c r="F1716" t="str">
        <f>VLOOKUP($A1716, 'Medical Examinations'!A:G, 7, FALSE)</f>
        <v>No</v>
      </c>
      <c r="G1716" t="str">
        <f>VLOOKUP($A1716, 'Medical Examinations'!A:H, 8, FALSE)</f>
        <v>No</v>
      </c>
      <c r="H1716" t="str">
        <f>VLOOKUP($A1716, 'Medical Examinations'!A:J, 10, FALSE)</f>
        <v>No major surgery</v>
      </c>
      <c r="I1716" t="str">
        <f>VLOOKUP($A1716, 'Medical Examinations'!A:K, 11, FALSE)</f>
        <v>No</v>
      </c>
      <c r="J1716" t="str">
        <f>VLOOKUP($A1716, 'Medical Examinations'!A:B, 2, FALSE)</f>
        <v>Normal Weight</v>
      </c>
      <c r="K1716" t="str">
        <f>VLOOKUP($A1716, 'Medical Examinations'!A:D, 4, FALSE)</f>
        <v>Normal</v>
      </c>
    </row>
    <row r="1717" spans="1:11" ht="15.5" x14ac:dyDescent="0.35">
      <c r="A1717" s="1" t="s">
        <v>655</v>
      </c>
      <c r="B1717" t="str">
        <f>VLOOKUP($A1717, 'Customer Names'!A:D, 3, FALSE)</f>
        <v>Parise</v>
      </c>
      <c r="C1717">
        <f>VLOOKUP($A1717,'Medical Examinations'!A:C, 3, FALSE)</f>
        <v>16.53</v>
      </c>
      <c r="D1717" t="str">
        <f>VLOOKUP($A1717, 'Medical Examinations'!A:D, 4, FALSE)</f>
        <v>Normal</v>
      </c>
      <c r="E1717" t="str">
        <f>VLOOKUP($A1717, 'Medical Examinations'!A:F, 6, FALSE)</f>
        <v>No</v>
      </c>
      <c r="F1717" t="str">
        <f>VLOOKUP($A1717, 'Medical Examinations'!A:G, 7, FALSE)</f>
        <v>No</v>
      </c>
      <c r="G1717" t="str">
        <f>VLOOKUP($A1717, 'Medical Examinations'!A:H, 8, FALSE)</f>
        <v>No</v>
      </c>
      <c r="H1717">
        <f>VLOOKUP($A1717, 'Medical Examinations'!A:J, 10, FALSE)</f>
        <v>2</v>
      </c>
      <c r="I1717" t="str">
        <f>VLOOKUP($A1717, 'Medical Examinations'!A:K, 11, FALSE)</f>
        <v>No</v>
      </c>
      <c r="J1717" t="str">
        <f>VLOOKUP($A1717, 'Medical Examinations'!A:B, 2, FALSE)</f>
        <v>Underweight</v>
      </c>
      <c r="K1717" t="str">
        <f>VLOOKUP($A1717, 'Medical Examinations'!A:D, 4, FALSE)</f>
        <v>Normal</v>
      </c>
    </row>
    <row r="1718" spans="1:11" ht="15.5" x14ac:dyDescent="0.35">
      <c r="A1718" s="1" t="s">
        <v>654</v>
      </c>
      <c r="B1718" t="str">
        <f>VLOOKUP($A1718, 'Customer Names'!A:D, 3, FALSE)</f>
        <v>Andrew</v>
      </c>
      <c r="C1718">
        <f>VLOOKUP($A1718,'Medical Examinations'!A:C, 3, FALSE)</f>
        <v>32.774999999999999</v>
      </c>
      <c r="D1718" t="str">
        <f>VLOOKUP($A1718, 'Medical Examinations'!A:D, 4, FALSE)</f>
        <v>Normal</v>
      </c>
      <c r="E1718" t="str">
        <f>VLOOKUP($A1718, 'Medical Examinations'!A:F, 6, FALSE)</f>
        <v>No</v>
      </c>
      <c r="F1718" t="str">
        <f>VLOOKUP($A1718, 'Medical Examinations'!A:G, 7, FALSE)</f>
        <v>No</v>
      </c>
      <c r="G1718" t="str">
        <f>VLOOKUP($A1718, 'Medical Examinations'!A:H, 8, FALSE)</f>
        <v>No</v>
      </c>
      <c r="H1718" t="str">
        <f>VLOOKUP($A1718, 'Medical Examinations'!A:J, 10, FALSE)</f>
        <v>No major surgery</v>
      </c>
      <c r="I1718" t="str">
        <f>VLOOKUP($A1718, 'Medical Examinations'!A:K, 11, FALSE)</f>
        <v>No</v>
      </c>
      <c r="J1718" t="str">
        <f>VLOOKUP($A1718, 'Medical Examinations'!A:B, 2, FALSE)</f>
        <v>Obesity</v>
      </c>
      <c r="K1718" t="str">
        <f>VLOOKUP($A1718, 'Medical Examinations'!A:D, 4, FALSE)</f>
        <v>Normal</v>
      </c>
    </row>
    <row r="1719" spans="1:11" ht="15.5" x14ac:dyDescent="0.35">
      <c r="A1719" s="1" t="s">
        <v>653</v>
      </c>
      <c r="B1719" t="str">
        <f>VLOOKUP($A1719, 'Customer Names'!A:D, 3, FALSE)</f>
        <v>Gryniewicz</v>
      </c>
      <c r="C1719">
        <f>VLOOKUP($A1719,'Medical Examinations'!A:C, 3, FALSE)</f>
        <v>30.9</v>
      </c>
      <c r="D1719" t="str">
        <f>VLOOKUP($A1719, 'Medical Examinations'!A:D, 4, FALSE)</f>
        <v>Prediabetes</v>
      </c>
      <c r="E1719" t="str">
        <f>VLOOKUP($A1719, 'Medical Examinations'!A:F, 6, FALSE)</f>
        <v>No</v>
      </c>
      <c r="F1719" t="str">
        <f>VLOOKUP($A1719, 'Medical Examinations'!A:G, 7, FALSE)</f>
        <v>No</v>
      </c>
      <c r="G1719" t="str">
        <f>VLOOKUP($A1719, 'Medical Examinations'!A:H, 8, FALSE)</f>
        <v>No</v>
      </c>
      <c r="H1719">
        <f>VLOOKUP($A1719, 'Medical Examinations'!A:J, 10, FALSE)</f>
        <v>1</v>
      </c>
      <c r="I1719" t="str">
        <f>VLOOKUP($A1719, 'Medical Examinations'!A:K, 11, FALSE)</f>
        <v>No</v>
      </c>
      <c r="J1719" t="str">
        <f>VLOOKUP($A1719, 'Medical Examinations'!A:B, 2, FALSE)</f>
        <v>Obesity</v>
      </c>
      <c r="K1719" t="str">
        <f>VLOOKUP($A1719, 'Medical Examinations'!A:D, 4, FALSE)</f>
        <v>Prediabetes</v>
      </c>
    </row>
    <row r="1720" spans="1:11" ht="15.5" x14ac:dyDescent="0.35">
      <c r="A1720" s="1" t="s">
        <v>652</v>
      </c>
      <c r="B1720" t="str">
        <f>VLOOKUP($A1720, 'Customer Names'!A:D, 3, FALSE)</f>
        <v>Panora</v>
      </c>
      <c r="C1720">
        <f>VLOOKUP($A1720,'Medical Examinations'!A:C, 3, FALSE)</f>
        <v>15.58</v>
      </c>
      <c r="D1720" t="str">
        <f>VLOOKUP($A1720, 'Medical Examinations'!A:D, 4, FALSE)</f>
        <v>Diabetes</v>
      </c>
      <c r="E1720" t="str">
        <f>VLOOKUP($A1720, 'Medical Examinations'!A:F, 6, FALSE)</f>
        <v>No</v>
      </c>
      <c r="F1720" t="str">
        <f>VLOOKUP($A1720, 'Medical Examinations'!A:G, 7, FALSE)</f>
        <v>No</v>
      </c>
      <c r="G1720" t="str">
        <f>VLOOKUP($A1720, 'Medical Examinations'!A:H, 8, FALSE)</f>
        <v>No</v>
      </c>
      <c r="H1720" t="str">
        <f>VLOOKUP($A1720, 'Medical Examinations'!A:J, 10, FALSE)</f>
        <v>No major surgery</v>
      </c>
      <c r="I1720" t="str">
        <f>VLOOKUP($A1720, 'Medical Examinations'!A:K, 11, FALSE)</f>
        <v>No</v>
      </c>
      <c r="J1720" t="str">
        <f>VLOOKUP($A1720, 'Medical Examinations'!A:B, 2, FALSE)</f>
        <v>Underweight</v>
      </c>
      <c r="K1720" t="str">
        <f>VLOOKUP($A1720, 'Medical Examinations'!A:D, 4, FALSE)</f>
        <v>Diabetes</v>
      </c>
    </row>
    <row r="1721" spans="1:11" ht="15.5" x14ac:dyDescent="0.35">
      <c r="A1721" s="1" t="s">
        <v>651</v>
      </c>
      <c r="B1721" t="str">
        <f>VLOOKUP($A1721, 'Customer Names'!A:D, 3, FALSE)</f>
        <v>Woodward</v>
      </c>
      <c r="C1721">
        <f>VLOOKUP($A1721,'Medical Examinations'!A:C, 3, FALSE)</f>
        <v>26.315000000000001</v>
      </c>
      <c r="D1721" t="str">
        <f>VLOOKUP($A1721, 'Medical Examinations'!A:D, 4, FALSE)</f>
        <v>Prediabetes</v>
      </c>
      <c r="E1721" t="str">
        <f>VLOOKUP($A1721, 'Medical Examinations'!A:F, 6, FALSE)</f>
        <v>No</v>
      </c>
      <c r="F1721" t="str">
        <f>VLOOKUP($A1721, 'Medical Examinations'!A:G, 7, FALSE)</f>
        <v>No</v>
      </c>
      <c r="G1721" t="str">
        <f>VLOOKUP($A1721, 'Medical Examinations'!A:H, 8, FALSE)</f>
        <v>No</v>
      </c>
      <c r="H1721" t="str">
        <f>VLOOKUP($A1721, 'Medical Examinations'!A:J, 10, FALSE)</f>
        <v>No major surgery</v>
      </c>
      <c r="I1721" t="str">
        <f>VLOOKUP($A1721, 'Medical Examinations'!A:K, 11, FALSE)</f>
        <v>No</v>
      </c>
      <c r="J1721" t="str">
        <f>VLOOKUP($A1721, 'Medical Examinations'!A:B, 2, FALSE)</f>
        <v>Overweight</v>
      </c>
      <c r="K1721" t="str">
        <f>VLOOKUP($A1721, 'Medical Examinations'!A:D, 4, FALSE)</f>
        <v>Prediabetes</v>
      </c>
    </row>
    <row r="1722" spans="1:11" ht="15.5" x14ac:dyDescent="0.35">
      <c r="A1722" s="1" t="s">
        <v>650</v>
      </c>
      <c r="B1722" t="str">
        <f>VLOOKUP($A1722, 'Customer Names'!A:D, 3, FALSE)</f>
        <v>Lambe</v>
      </c>
      <c r="C1722">
        <f>VLOOKUP($A1722,'Medical Examinations'!A:C, 3, FALSE)</f>
        <v>35.61</v>
      </c>
      <c r="D1722" t="str">
        <f>VLOOKUP($A1722, 'Medical Examinations'!A:D, 4, FALSE)</f>
        <v>Normal</v>
      </c>
      <c r="E1722" t="str">
        <f>VLOOKUP($A1722, 'Medical Examinations'!A:F, 6, FALSE)</f>
        <v>No</v>
      </c>
      <c r="F1722" t="str">
        <f>VLOOKUP($A1722, 'Medical Examinations'!A:G, 7, FALSE)</f>
        <v>yes</v>
      </c>
      <c r="G1722" t="str">
        <f>VLOOKUP($A1722, 'Medical Examinations'!A:H, 8, FALSE)</f>
        <v>No</v>
      </c>
      <c r="H1722">
        <f>VLOOKUP($A1722, 'Medical Examinations'!A:J, 10, FALSE)</f>
        <v>1</v>
      </c>
      <c r="I1722" t="str">
        <f>VLOOKUP($A1722, 'Medical Examinations'!A:K, 11, FALSE)</f>
        <v>No</v>
      </c>
      <c r="J1722" t="str">
        <f>VLOOKUP($A1722, 'Medical Examinations'!A:B, 2, FALSE)</f>
        <v>Obesity</v>
      </c>
      <c r="K1722" t="str">
        <f>VLOOKUP($A1722, 'Medical Examinations'!A:D, 4, FALSE)</f>
        <v>Normal</v>
      </c>
    </row>
    <row r="1723" spans="1:11" ht="15.5" x14ac:dyDescent="0.35">
      <c r="A1723" s="1" t="s">
        <v>649</v>
      </c>
      <c r="B1723" t="str">
        <f>VLOOKUP($A1723, 'Customer Names'!A:D, 3, FALSE)</f>
        <v>Casto</v>
      </c>
      <c r="C1723">
        <f>VLOOKUP($A1723,'Medical Examinations'!A:C, 3, FALSE)</f>
        <v>37.56</v>
      </c>
      <c r="D1723" t="str">
        <f>VLOOKUP($A1723, 'Medical Examinations'!A:D, 4, FALSE)</f>
        <v>Prediabetes</v>
      </c>
      <c r="E1723" t="str">
        <f>VLOOKUP($A1723, 'Medical Examinations'!A:F, 6, FALSE)</f>
        <v>No</v>
      </c>
      <c r="F1723" t="str">
        <f>VLOOKUP($A1723, 'Medical Examinations'!A:G, 7, FALSE)</f>
        <v>yes</v>
      </c>
      <c r="G1723" t="str">
        <f>VLOOKUP($A1723, 'Medical Examinations'!A:H, 8, FALSE)</f>
        <v>No</v>
      </c>
      <c r="H1723">
        <f>VLOOKUP($A1723, 'Medical Examinations'!A:J, 10, FALSE)</f>
        <v>1</v>
      </c>
      <c r="I1723" t="str">
        <f>VLOOKUP($A1723, 'Medical Examinations'!A:K, 11, FALSE)</f>
        <v>No</v>
      </c>
      <c r="J1723" t="str">
        <f>VLOOKUP($A1723, 'Medical Examinations'!A:B, 2, FALSE)</f>
        <v>Obesity</v>
      </c>
      <c r="K1723" t="str">
        <f>VLOOKUP($A1723, 'Medical Examinations'!A:D, 4, FALSE)</f>
        <v>Prediabetes</v>
      </c>
    </row>
    <row r="1724" spans="1:11" ht="15.5" x14ac:dyDescent="0.35">
      <c r="A1724" s="1" t="s">
        <v>648</v>
      </c>
      <c r="B1724" t="str">
        <f>VLOOKUP($A1724, 'Customer Names'!A:D, 3, FALSE)</f>
        <v>Martelli</v>
      </c>
      <c r="C1724">
        <f>VLOOKUP($A1724,'Medical Examinations'!A:C, 3, FALSE)</f>
        <v>15.49</v>
      </c>
      <c r="D1724" t="str">
        <f>VLOOKUP($A1724, 'Medical Examinations'!A:D, 4, FALSE)</f>
        <v>Diabetes</v>
      </c>
      <c r="E1724" t="str">
        <f>VLOOKUP($A1724, 'Medical Examinations'!A:F, 6, FALSE)</f>
        <v>No</v>
      </c>
      <c r="F1724" t="str">
        <f>VLOOKUP($A1724, 'Medical Examinations'!A:G, 7, FALSE)</f>
        <v>No</v>
      </c>
      <c r="G1724" t="str">
        <f>VLOOKUP($A1724, 'Medical Examinations'!A:H, 8, FALSE)</f>
        <v>No</v>
      </c>
      <c r="H1724" t="str">
        <f>VLOOKUP($A1724, 'Medical Examinations'!A:J, 10, FALSE)</f>
        <v>No major surgery</v>
      </c>
      <c r="I1724" t="str">
        <f>VLOOKUP($A1724, 'Medical Examinations'!A:K, 11, FALSE)</f>
        <v>No</v>
      </c>
      <c r="J1724" t="str">
        <f>VLOOKUP($A1724, 'Medical Examinations'!A:B, 2, FALSE)</f>
        <v>Underweight</v>
      </c>
      <c r="K1724" t="str">
        <f>VLOOKUP($A1724, 'Medical Examinations'!A:D, 4, FALSE)</f>
        <v>Diabetes</v>
      </c>
    </row>
    <row r="1725" spans="1:11" ht="15.5" x14ac:dyDescent="0.35">
      <c r="A1725" s="1" t="s">
        <v>647</v>
      </c>
      <c r="B1725" t="str">
        <f>VLOOKUP($A1725, 'Customer Names'!A:D, 3, FALSE)</f>
        <v>Naskret</v>
      </c>
      <c r="C1725">
        <f>VLOOKUP($A1725,'Medical Examinations'!A:C, 3, FALSE)</f>
        <v>23.48</v>
      </c>
      <c r="D1725" t="str">
        <f>VLOOKUP($A1725, 'Medical Examinations'!A:D, 4, FALSE)</f>
        <v>Prediabetes</v>
      </c>
      <c r="E1725" t="str">
        <f>VLOOKUP($A1725, 'Medical Examinations'!A:F, 6, FALSE)</f>
        <v>No</v>
      </c>
      <c r="F1725" t="str">
        <f>VLOOKUP($A1725, 'Medical Examinations'!A:G, 7, FALSE)</f>
        <v>No</v>
      </c>
      <c r="G1725" t="str">
        <f>VLOOKUP($A1725, 'Medical Examinations'!A:H, 8, FALSE)</f>
        <v>No</v>
      </c>
      <c r="H1725">
        <f>VLOOKUP($A1725, 'Medical Examinations'!A:J, 10, FALSE)</f>
        <v>1</v>
      </c>
      <c r="I1725" t="str">
        <f>VLOOKUP($A1725, 'Medical Examinations'!A:K, 11, FALSE)</f>
        <v>No</v>
      </c>
      <c r="J1725" t="str">
        <f>VLOOKUP($A1725, 'Medical Examinations'!A:B, 2, FALSE)</f>
        <v>Normal Weight</v>
      </c>
      <c r="K1725" t="str">
        <f>VLOOKUP($A1725, 'Medical Examinations'!A:D, 4, FALSE)</f>
        <v>Prediabetes</v>
      </c>
    </row>
    <row r="1726" spans="1:11" ht="15.5" x14ac:dyDescent="0.35">
      <c r="A1726" s="1" t="s">
        <v>646</v>
      </c>
      <c r="B1726" t="str">
        <f>VLOOKUP($A1726, 'Customer Names'!A:D, 3, FALSE)</f>
        <v>Morgan</v>
      </c>
      <c r="C1726">
        <f>VLOOKUP($A1726,'Medical Examinations'!A:C, 3, FALSE)</f>
        <v>30.02</v>
      </c>
      <c r="D1726" t="str">
        <f>VLOOKUP($A1726, 'Medical Examinations'!A:D, 4, FALSE)</f>
        <v>Diabetes</v>
      </c>
      <c r="E1726" t="str">
        <f>VLOOKUP($A1726, 'Medical Examinations'!A:F, 6, FALSE)</f>
        <v>yes</v>
      </c>
      <c r="F1726" t="str">
        <f>VLOOKUP($A1726, 'Medical Examinations'!A:G, 7, FALSE)</f>
        <v>No</v>
      </c>
      <c r="G1726" t="str">
        <f>VLOOKUP($A1726, 'Medical Examinations'!A:H, 8, FALSE)</f>
        <v>No</v>
      </c>
      <c r="H1726">
        <f>VLOOKUP($A1726, 'Medical Examinations'!A:J, 10, FALSE)</f>
        <v>1</v>
      </c>
      <c r="I1726" t="str">
        <f>VLOOKUP($A1726, 'Medical Examinations'!A:K, 11, FALSE)</f>
        <v>No</v>
      </c>
      <c r="J1726" t="str">
        <f>VLOOKUP($A1726, 'Medical Examinations'!A:B, 2, FALSE)</f>
        <v>Obesity</v>
      </c>
      <c r="K1726" t="str">
        <f>VLOOKUP($A1726, 'Medical Examinations'!A:D, 4, FALSE)</f>
        <v>Diabetes</v>
      </c>
    </row>
    <row r="1727" spans="1:11" ht="15.5" x14ac:dyDescent="0.35">
      <c r="A1727" s="1" t="s">
        <v>645</v>
      </c>
      <c r="B1727" t="str">
        <f>VLOOKUP($A1727, 'Customer Names'!A:D, 3, FALSE)</f>
        <v>Maloney</v>
      </c>
      <c r="C1727">
        <f>VLOOKUP($A1727,'Medical Examinations'!A:C, 3, FALSE)</f>
        <v>26.885000000000002</v>
      </c>
      <c r="D1727" t="str">
        <f>VLOOKUP($A1727, 'Medical Examinations'!A:D, 4, FALSE)</f>
        <v>Diabetes</v>
      </c>
      <c r="E1727" t="str">
        <f>VLOOKUP($A1727, 'Medical Examinations'!A:F, 6, FALSE)</f>
        <v>yes</v>
      </c>
      <c r="F1727" t="str">
        <f>VLOOKUP($A1727, 'Medical Examinations'!A:G, 7, FALSE)</f>
        <v>No</v>
      </c>
      <c r="G1727" t="str">
        <f>VLOOKUP($A1727, 'Medical Examinations'!A:H, 8, FALSE)</f>
        <v>No</v>
      </c>
      <c r="H1727">
        <f>VLOOKUP($A1727, 'Medical Examinations'!A:J, 10, FALSE)</f>
        <v>1</v>
      </c>
      <c r="I1727" t="str">
        <f>VLOOKUP($A1727, 'Medical Examinations'!A:K, 11, FALSE)</f>
        <v>No</v>
      </c>
      <c r="J1727" t="str">
        <f>VLOOKUP($A1727, 'Medical Examinations'!A:B, 2, FALSE)</f>
        <v>Overweight</v>
      </c>
      <c r="K1727" t="str">
        <f>VLOOKUP($A1727, 'Medical Examinations'!A:D, 4, FALSE)</f>
        <v>Diabetes</v>
      </c>
    </row>
    <row r="1728" spans="1:11" ht="15.5" x14ac:dyDescent="0.35">
      <c r="A1728" s="1" t="s">
        <v>644</v>
      </c>
      <c r="B1728" t="str">
        <f>VLOOKUP($A1728, 'Customer Names'!A:D, 3, FALSE)</f>
        <v>Amherst</v>
      </c>
      <c r="C1728">
        <f>VLOOKUP($A1728,'Medical Examinations'!A:C, 3, FALSE)</f>
        <v>25.84</v>
      </c>
      <c r="D1728" t="str">
        <f>VLOOKUP($A1728, 'Medical Examinations'!A:D, 4, FALSE)</f>
        <v>Diabetes</v>
      </c>
      <c r="E1728" t="str">
        <f>VLOOKUP($A1728, 'Medical Examinations'!A:F, 6, FALSE)</f>
        <v>yes</v>
      </c>
      <c r="F1728" t="str">
        <f>VLOOKUP($A1728, 'Medical Examinations'!A:G, 7, FALSE)</f>
        <v>No</v>
      </c>
      <c r="G1728" t="str">
        <f>VLOOKUP($A1728, 'Medical Examinations'!A:H, 8, FALSE)</f>
        <v>No</v>
      </c>
      <c r="H1728">
        <f>VLOOKUP($A1728, 'Medical Examinations'!A:J, 10, FALSE)</f>
        <v>1</v>
      </c>
      <c r="I1728" t="str">
        <f>VLOOKUP($A1728, 'Medical Examinations'!A:K, 11, FALSE)</f>
        <v>No</v>
      </c>
      <c r="J1728" t="str">
        <f>VLOOKUP($A1728, 'Medical Examinations'!A:B, 2, FALSE)</f>
        <v>Overweight</v>
      </c>
      <c r="K1728" t="str">
        <f>VLOOKUP($A1728, 'Medical Examinations'!A:D, 4, FALSE)</f>
        <v>Diabetes</v>
      </c>
    </row>
    <row r="1729" spans="1:11" ht="15.5" x14ac:dyDescent="0.35">
      <c r="A1729" s="1" t="s">
        <v>643</v>
      </c>
      <c r="B1729" t="str">
        <f>VLOOKUP($A1729, 'Customer Names'!A:D, 3, FALSE)</f>
        <v>Davenport</v>
      </c>
      <c r="C1729">
        <f>VLOOKUP($A1729,'Medical Examinations'!A:C, 3, FALSE)</f>
        <v>27.454999999999998</v>
      </c>
      <c r="D1729" t="str">
        <f>VLOOKUP($A1729, 'Medical Examinations'!A:D, 4, FALSE)</f>
        <v>Normal</v>
      </c>
      <c r="E1729" t="str">
        <f>VLOOKUP($A1729, 'Medical Examinations'!A:F, 6, FALSE)</f>
        <v>No</v>
      </c>
      <c r="F1729" t="str">
        <f>VLOOKUP($A1729, 'Medical Examinations'!A:G, 7, FALSE)</f>
        <v>No</v>
      </c>
      <c r="G1729" t="str">
        <f>VLOOKUP($A1729, 'Medical Examinations'!A:H, 8, FALSE)</f>
        <v>No</v>
      </c>
      <c r="H1729" t="str">
        <f>VLOOKUP($A1729, 'Medical Examinations'!A:J, 10, FALSE)</f>
        <v>No major surgery</v>
      </c>
      <c r="I1729" t="str">
        <f>VLOOKUP($A1729, 'Medical Examinations'!A:K, 11, FALSE)</f>
        <v>No</v>
      </c>
      <c r="J1729" t="str">
        <f>VLOOKUP($A1729, 'Medical Examinations'!A:B, 2, FALSE)</f>
        <v>Overweight</v>
      </c>
      <c r="K1729" t="str">
        <f>VLOOKUP($A1729, 'Medical Examinations'!A:D, 4, FALSE)</f>
        <v>Normal</v>
      </c>
    </row>
    <row r="1730" spans="1:11" ht="15.5" x14ac:dyDescent="0.35">
      <c r="A1730" s="1" t="s">
        <v>642</v>
      </c>
      <c r="B1730" t="str">
        <f>VLOOKUP($A1730, 'Customer Names'!A:D, 3, FALSE)</f>
        <v>Johansen</v>
      </c>
      <c r="C1730">
        <f>VLOOKUP($A1730,'Medical Examinations'!A:C, 3, FALSE)</f>
        <v>24.605</v>
      </c>
      <c r="D1730" t="str">
        <f>VLOOKUP($A1730, 'Medical Examinations'!A:D, 4, FALSE)</f>
        <v>Prediabetes</v>
      </c>
      <c r="E1730" t="str">
        <f>VLOOKUP($A1730, 'Medical Examinations'!A:F, 6, FALSE)</f>
        <v>No</v>
      </c>
      <c r="F1730" t="str">
        <f>VLOOKUP($A1730, 'Medical Examinations'!A:G, 7, FALSE)</f>
        <v>No</v>
      </c>
      <c r="G1730" t="str">
        <f>VLOOKUP($A1730, 'Medical Examinations'!A:H, 8, FALSE)</f>
        <v>No</v>
      </c>
      <c r="H1730" t="str">
        <f>VLOOKUP($A1730, 'Medical Examinations'!A:J, 10, FALSE)</f>
        <v>No major surgery</v>
      </c>
      <c r="I1730" t="str">
        <f>VLOOKUP($A1730, 'Medical Examinations'!A:K, 11, FALSE)</f>
        <v>No</v>
      </c>
      <c r="J1730" t="str">
        <f>VLOOKUP($A1730, 'Medical Examinations'!A:B, 2, FALSE)</f>
        <v>Normal Weight</v>
      </c>
      <c r="K1730" t="str">
        <f>VLOOKUP($A1730, 'Medical Examinations'!A:D, 4, FALSE)</f>
        <v>Prediabetes</v>
      </c>
    </row>
    <row r="1731" spans="1:11" ht="15.5" x14ac:dyDescent="0.35">
      <c r="A1731" s="1" t="s">
        <v>641</v>
      </c>
      <c r="B1731" t="str">
        <f>VLOOKUP($A1731, 'Customer Names'!A:D, 3, FALSE)</f>
        <v>Bond</v>
      </c>
      <c r="C1731">
        <f>VLOOKUP($A1731,'Medical Examinations'!A:C, 3, FALSE)</f>
        <v>30.8</v>
      </c>
      <c r="D1731" t="str">
        <f>VLOOKUP($A1731, 'Medical Examinations'!A:D, 4, FALSE)</f>
        <v>Normal</v>
      </c>
      <c r="E1731" t="str">
        <f>VLOOKUP($A1731, 'Medical Examinations'!A:F, 6, FALSE)</f>
        <v>No</v>
      </c>
      <c r="F1731" t="str">
        <f>VLOOKUP($A1731, 'Medical Examinations'!A:G, 7, FALSE)</f>
        <v>No</v>
      </c>
      <c r="G1731" t="str">
        <f>VLOOKUP($A1731, 'Medical Examinations'!A:H, 8, FALSE)</f>
        <v>No</v>
      </c>
      <c r="H1731" t="str">
        <f>VLOOKUP($A1731, 'Medical Examinations'!A:J, 10, FALSE)</f>
        <v>No major surgery</v>
      </c>
      <c r="I1731" t="str">
        <f>VLOOKUP($A1731, 'Medical Examinations'!A:K, 11, FALSE)</f>
        <v>No</v>
      </c>
      <c r="J1731" t="str">
        <f>VLOOKUP($A1731, 'Medical Examinations'!A:B, 2, FALSE)</f>
        <v>Obesity</v>
      </c>
      <c r="K1731" t="str">
        <f>VLOOKUP($A1731, 'Medical Examinations'!A:D, 4, FALSE)</f>
        <v>Normal</v>
      </c>
    </row>
    <row r="1732" spans="1:11" ht="15.5" x14ac:dyDescent="0.35">
      <c r="A1732" s="1" t="s">
        <v>640</v>
      </c>
      <c r="B1732" t="str">
        <f>VLOOKUP($A1732, 'Customer Names'!A:D, 3, FALSE)</f>
        <v>Reilly</v>
      </c>
      <c r="C1732">
        <f>VLOOKUP($A1732,'Medical Examinations'!A:C, 3, FALSE)</f>
        <v>34.799999999999997</v>
      </c>
      <c r="D1732" t="str">
        <f>VLOOKUP($A1732, 'Medical Examinations'!A:D, 4, FALSE)</f>
        <v>Normal</v>
      </c>
      <c r="E1732" t="str">
        <f>VLOOKUP($A1732, 'Medical Examinations'!A:F, 6, FALSE)</f>
        <v>No</v>
      </c>
      <c r="F1732" t="str">
        <f>VLOOKUP($A1732, 'Medical Examinations'!A:G, 7, FALSE)</f>
        <v>No</v>
      </c>
      <c r="G1732" t="str">
        <f>VLOOKUP($A1732, 'Medical Examinations'!A:H, 8, FALSE)</f>
        <v>No</v>
      </c>
      <c r="H1732">
        <f>VLOOKUP($A1732, 'Medical Examinations'!A:J, 10, FALSE)</f>
        <v>1</v>
      </c>
      <c r="I1732" t="str">
        <f>VLOOKUP($A1732, 'Medical Examinations'!A:K, 11, FALSE)</f>
        <v>No</v>
      </c>
      <c r="J1732" t="str">
        <f>VLOOKUP($A1732, 'Medical Examinations'!A:B, 2, FALSE)</f>
        <v>Obesity</v>
      </c>
      <c r="K1732" t="str">
        <f>VLOOKUP($A1732, 'Medical Examinations'!A:D, 4, FALSE)</f>
        <v>Normal</v>
      </c>
    </row>
    <row r="1733" spans="1:11" ht="15.5" x14ac:dyDescent="0.35">
      <c r="A1733" s="1" t="s">
        <v>639</v>
      </c>
      <c r="B1733" t="str">
        <f>VLOOKUP($A1733, 'Customer Names'!A:D, 3, FALSE)</f>
        <v>Chandler</v>
      </c>
      <c r="C1733">
        <f>VLOOKUP($A1733,'Medical Examinations'!A:C, 3, FALSE)</f>
        <v>34.21</v>
      </c>
      <c r="D1733" t="str">
        <f>VLOOKUP($A1733, 'Medical Examinations'!A:D, 4, FALSE)</f>
        <v>Normal</v>
      </c>
      <c r="E1733" t="str">
        <f>VLOOKUP($A1733, 'Medical Examinations'!A:F, 6, FALSE)</f>
        <v>No</v>
      </c>
      <c r="F1733" t="str">
        <f>VLOOKUP($A1733, 'Medical Examinations'!A:G, 7, FALSE)</f>
        <v>No</v>
      </c>
      <c r="G1733" t="str">
        <f>VLOOKUP($A1733, 'Medical Examinations'!A:H, 8, FALSE)</f>
        <v>No</v>
      </c>
      <c r="H1733">
        <f>VLOOKUP($A1733, 'Medical Examinations'!A:J, 10, FALSE)</f>
        <v>1</v>
      </c>
      <c r="I1733" t="str">
        <f>VLOOKUP($A1733, 'Medical Examinations'!A:K, 11, FALSE)</f>
        <v>No</v>
      </c>
      <c r="J1733" t="str">
        <f>VLOOKUP($A1733, 'Medical Examinations'!A:B, 2, FALSE)</f>
        <v>Obesity</v>
      </c>
      <c r="K1733" t="str">
        <f>VLOOKUP($A1733, 'Medical Examinations'!A:D, 4, FALSE)</f>
        <v>Normal</v>
      </c>
    </row>
    <row r="1734" spans="1:11" ht="15.5" x14ac:dyDescent="0.35">
      <c r="A1734" s="1" t="s">
        <v>638</v>
      </c>
      <c r="B1734" t="str">
        <f>VLOOKUP($A1734, 'Customer Names'!A:D, 3, FALSE)</f>
        <v>Kaufmann</v>
      </c>
      <c r="C1734">
        <f>VLOOKUP($A1734,'Medical Examinations'!A:C, 3, FALSE)</f>
        <v>31</v>
      </c>
      <c r="D1734" t="str">
        <f>VLOOKUP($A1734, 'Medical Examinations'!A:D, 4, FALSE)</f>
        <v>Normal</v>
      </c>
      <c r="E1734" t="str">
        <f>VLOOKUP($A1734, 'Medical Examinations'!A:F, 6, FALSE)</f>
        <v>No</v>
      </c>
      <c r="F1734" t="str">
        <f>VLOOKUP($A1734, 'Medical Examinations'!A:G, 7, FALSE)</f>
        <v>No</v>
      </c>
      <c r="G1734" t="str">
        <f>VLOOKUP($A1734, 'Medical Examinations'!A:H, 8, FALSE)</f>
        <v>No</v>
      </c>
      <c r="H1734">
        <f>VLOOKUP($A1734, 'Medical Examinations'!A:J, 10, FALSE)</f>
        <v>1</v>
      </c>
      <c r="I1734" t="str">
        <f>VLOOKUP($A1734, 'Medical Examinations'!A:K, 11, FALSE)</f>
        <v>No</v>
      </c>
      <c r="J1734" t="str">
        <f>VLOOKUP($A1734, 'Medical Examinations'!A:B, 2, FALSE)</f>
        <v>Obesity</v>
      </c>
      <c r="K1734" t="str">
        <f>VLOOKUP($A1734, 'Medical Examinations'!A:D, 4, FALSE)</f>
        <v>Normal</v>
      </c>
    </row>
    <row r="1735" spans="1:11" ht="15.5" x14ac:dyDescent="0.35">
      <c r="A1735" s="1" t="s">
        <v>637</v>
      </c>
      <c r="B1735" t="str">
        <f>VLOOKUP($A1735, 'Customer Names'!A:D, 3, FALSE)</f>
        <v>Barnes-Zurkinden</v>
      </c>
      <c r="C1735">
        <f>VLOOKUP($A1735,'Medical Examinations'!A:C, 3, FALSE)</f>
        <v>26.125</v>
      </c>
      <c r="D1735" t="str">
        <f>VLOOKUP($A1735, 'Medical Examinations'!A:D, 4, FALSE)</f>
        <v>Normal</v>
      </c>
      <c r="E1735" t="str">
        <f>VLOOKUP($A1735, 'Medical Examinations'!A:F, 6, FALSE)</f>
        <v>No</v>
      </c>
      <c r="F1735" t="str">
        <f>VLOOKUP($A1735, 'Medical Examinations'!A:G, 7, FALSE)</f>
        <v>No</v>
      </c>
      <c r="G1735" t="str">
        <f>VLOOKUP($A1735, 'Medical Examinations'!A:H, 8, FALSE)</f>
        <v>No</v>
      </c>
      <c r="H1735">
        <f>VLOOKUP($A1735, 'Medical Examinations'!A:J, 10, FALSE)</f>
        <v>1</v>
      </c>
      <c r="I1735" t="str">
        <f>VLOOKUP($A1735, 'Medical Examinations'!A:K, 11, FALSE)</f>
        <v>No</v>
      </c>
      <c r="J1735" t="str">
        <f>VLOOKUP($A1735, 'Medical Examinations'!A:B, 2, FALSE)</f>
        <v>Overweight</v>
      </c>
      <c r="K1735" t="str">
        <f>VLOOKUP($A1735, 'Medical Examinations'!A:D, 4, FALSE)</f>
        <v>Normal</v>
      </c>
    </row>
    <row r="1736" spans="1:11" ht="15.5" x14ac:dyDescent="0.35">
      <c r="A1736" s="1" t="s">
        <v>636</v>
      </c>
      <c r="B1736" t="str">
        <f>VLOOKUP($A1736, 'Customer Names'!A:D, 3, FALSE)</f>
        <v>Wolter</v>
      </c>
      <c r="C1736">
        <f>VLOOKUP($A1736,'Medical Examinations'!A:C, 3, FALSE)</f>
        <v>30.13</v>
      </c>
      <c r="D1736" t="str">
        <f>VLOOKUP($A1736, 'Medical Examinations'!A:D, 4, FALSE)</f>
        <v>Normal</v>
      </c>
      <c r="E1736" t="str">
        <f>VLOOKUP($A1736, 'Medical Examinations'!A:F, 6, FALSE)</f>
        <v>yes</v>
      </c>
      <c r="F1736" t="str">
        <f>VLOOKUP($A1736, 'Medical Examinations'!A:G, 7, FALSE)</f>
        <v>No</v>
      </c>
      <c r="G1736" t="str">
        <f>VLOOKUP($A1736, 'Medical Examinations'!A:H, 8, FALSE)</f>
        <v>No</v>
      </c>
      <c r="H1736">
        <f>VLOOKUP($A1736, 'Medical Examinations'!A:J, 10, FALSE)</f>
        <v>1</v>
      </c>
      <c r="I1736" t="str">
        <f>VLOOKUP($A1736, 'Medical Examinations'!A:K, 11, FALSE)</f>
        <v>No</v>
      </c>
      <c r="J1736" t="str">
        <f>VLOOKUP($A1736, 'Medical Examinations'!A:B, 2, FALSE)</f>
        <v>Obesity</v>
      </c>
      <c r="K1736" t="str">
        <f>VLOOKUP($A1736, 'Medical Examinations'!A:D, 4, FALSE)</f>
        <v>Normal</v>
      </c>
    </row>
    <row r="1737" spans="1:11" ht="15.5" x14ac:dyDescent="0.35">
      <c r="A1737" s="1" t="s">
        <v>635</v>
      </c>
      <c r="B1737" t="str">
        <f>VLOOKUP($A1737, 'Customer Names'!A:D, 3, FALSE)</f>
        <v>Pearson</v>
      </c>
      <c r="C1737">
        <f>VLOOKUP($A1737,'Medical Examinations'!A:C, 3, FALSE)</f>
        <v>34.19</v>
      </c>
      <c r="D1737" t="str">
        <f>VLOOKUP($A1737, 'Medical Examinations'!A:D, 4, FALSE)</f>
        <v>Normal</v>
      </c>
      <c r="E1737" t="str">
        <f>VLOOKUP($A1737, 'Medical Examinations'!A:F, 6, FALSE)</f>
        <v>No</v>
      </c>
      <c r="F1737" t="str">
        <f>VLOOKUP($A1737, 'Medical Examinations'!A:G, 7, FALSE)</f>
        <v>No</v>
      </c>
      <c r="G1737" t="str">
        <f>VLOOKUP($A1737, 'Medical Examinations'!A:H, 8, FALSE)</f>
        <v>No</v>
      </c>
      <c r="H1737" t="str">
        <f>VLOOKUP($A1737, 'Medical Examinations'!A:J, 10, FALSE)</f>
        <v>No major surgery</v>
      </c>
      <c r="I1737" t="str">
        <f>VLOOKUP($A1737, 'Medical Examinations'!A:K, 11, FALSE)</f>
        <v>No</v>
      </c>
      <c r="J1737" t="str">
        <f>VLOOKUP($A1737, 'Medical Examinations'!A:B, 2, FALSE)</f>
        <v>Obesity</v>
      </c>
      <c r="K1737" t="str">
        <f>VLOOKUP($A1737, 'Medical Examinations'!A:D, 4, FALSE)</f>
        <v>Normal</v>
      </c>
    </row>
    <row r="1738" spans="1:11" ht="15.5" x14ac:dyDescent="0.35">
      <c r="A1738" s="1" t="s">
        <v>634</v>
      </c>
      <c r="B1738" t="str">
        <f>VLOOKUP($A1738, 'Customer Names'!A:D, 3, FALSE)</f>
        <v>Thomas</v>
      </c>
      <c r="C1738">
        <f>VLOOKUP($A1738,'Medical Examinations'!A:C, 3, FALSE)</f>
        <v>22.515000000000001</v>
      </c>
      <c r="D1738" t="str">
        <f>VLOOKUP($A1738, 'Medical Examinations'!A:D, 4, FALSE)</f>
        <v>Normal</v>
      </c>
      <c r="E1738" t="str">
        <f>VLOOKUP($A1738, 'Medical Examinations'!A:F, 6, FALSE)</f>
        <v>No</v>
      </c>
      <c r="F1738" t="str">
        <f>VLOOKUP($A1738, 'Medical Examinations'!A:G, 7, FALSE)</f>
        <v>No</v>
      </c>
      <c r="G1738" t="str">
        <f>VLOOKUP($A1738, 'Medical Examinations'!A:H, 8, FALSE)</f>
        <v>Yes</v>
      </c>
      <c r="H1738">
        <f>VLOOKUP($A1738, 'Medical Examinations'!A:J, 10, FALSE)</f>
        <v>1</v>
      </c>
      <c r="I1738" t="str">
        <f>VLOOKUP($A1738, 'Medical Examinations'!A:K, 11, FALSE)</f>
        <v>No</v>
      </c>
      <c r="J1738" t="str">
        <f>VLOOKUP($A1738, 'Medical Examinations'!A:B, 2, FALSE)</f>
        <v>Normal Weight</v>
      </c>
      <c r="K1738" t="str">
        <f>VLOOKUP($A1738, 'Medical Examinations'!A:D, 4, FALSE)</f>
        <v>Normal</v>
      </c>
    </row>
    <row r="1739" spans="1:11" ht="15.5" x14ac:dyDescent="0.35">
      <c r="A1739" s="1" t="s">
        <v>633</v>
      </c>
      <c r="B1739" t="str">
        <f>VLOOKUP($A1739, 'Customer Names'!A:D, 3, FALSE)</f>
        <v>Leon</v>
      </c>
      <c r="C1739">
        <f>VLOOKUP($A1739,'Medical Examinations'!A:C, 3, FALSE)</f>
        <v>18.239999999999998</v>
      </c>
      <c r="D1739" t="str">
        <f>VLOOKUP($A1739, 'Medical Examinations'!A:D, 4, FALSE)</f>
        <v>Normal</v>
      </c>
      <c r="E1739" t="str">
        <f>VLOOKUP($A1739, 'Medical Examinations'!A:F, 6, FALSE)</f>
        <v>yes</v>
      </c>
      <c r="F1739" t="str">
        <f>VLOOKUP($A1739, 'Medical Examinations'!A:G, 7, FALSE)</f>
        <v>No</v>
      </c>
      <c r="G1739" t="str">
        <f>VLOOKUP($A1739, 'Medical Examinations'!A:H, 8, FALSE)</f>
        <v>Yes</v>
      </c>
      <c r="H1739">
        <f>VLOOKUP($A1739, 'Medical Examinations'!A:J, 10, FALSE)</f>
        <v>1</v>
      </c>
      <c r="I1739" t="str">
        <f>VLOOKUP($A1739, 'Medical Examinations'!A:K, 11, FALSE)</f>
        <v>No</v>
      </c>
      <c r="J1739" t="str">
        <f>VLOOKUP($A1739, 'Medical Examinations'!A:B, 2, FALSE)</f>
        <v>Underweight</v>
      </c>
      <c r="K1739" t="str">
        <f>VLOOKUP($A1739, 'Medical Examinations'!A:D, 4, FALSE)</f>
        <v>Normal</v>
      </c>
    </row>
    <row r="1740" spans="1:11" ht="15.5" x14ac:dyDescent="0.35">
      <c r="A1740" s="1" t="s">
        <v>631</v>
      </c>
      <c r="B1740" t="str">
        <f>VLOOKUP($A1740, 'Customer Names'!A:D, 3, FALSE)</f>
        <v>Marriott</v>
      </c>
      <c r="C1740">
        <f>VLOOKUP($A1740,'Medical Examinations'!A:C, 3, FALSE)</f>
        <v>37.28</v>
      </c>
      <c r="D1740" t="str">
        <f>VLOOKUP($A1740, 'Medical Examinations'!A:D, 4, FALSE)</f>
        <v>Normal</v>
      </c>
      <c r="E1740" t="str">
        <f>VLOOKUP($A1740, 'Medical Examinations'!A:F, 6, FALSE)</f>
        <v>No</v>
      </c>
      <c r="F1740" t="str">
        <f>VLOOKUP($A1740, 'Medical Examinations'!A:G, 7, FALSE)</f>
        <v>yes</v>
      </c>
      <c r="G1740" t="str">
        <f>VLOOKUP($A1740, 'Medical Examinations'!A:H, 8, FALSE)</f>
        <v>No</v>
      </c>
      <c r="H1740">
        <f>VLOOKUP($A1740, 'Medical Examinations'!A:J, 10, FALSE)</f>
        <v>1</v>
      </c>
      <c r="I1740" t="str">
        <f>VLOOKUP($A1740, 'Medical Examinations'!A:K, 11, FALSE)</f>
        <v>No</v>
      </c>
      <c r="J1740" t="str">
        <f>VLOOKUP($A1740, 'Medical Examinations'!A:B, 2, FALSE)</f>
        <v>Obesity</v>
      </c>
      <c r="K1740" t="str">
        <f>VLOOKUP($A1740, 'Medical Examinations'!A:D, 4, FALSE)</f>
        <v>Normal</v>
      </c>
    </row>
    <row r="1741" spans="1:11" ht="15.5" x14ac:dyDescent="0.35">
      <c r="A1741" s="1" t="s">
        <v>630</v>
      </c>
      <c r="B1741" t="str">
        <f>VLOOKUP($A1741, 'Customer Names'!A:D, 3, FALSE)</f>
        <v>Wilkins</v>
      </c>
      <c r="C1741">
        <f>VLOOKUP($A1741,'Medical Examinations'!A:C, 3, FALSE)</f>
        <v>18.2</v>
      </c>
      <c r="D1741" t="str">
        <f>VLOOKUP($A1741, 'Medical Examinations'!A:D, 4, FALSE)</f>
        <v>Prediabetes</v>
      </c>
      <c r="E1741" t="str">
        <f>VLOOKUP($A1741, 'Medical Examinations'!A:F, 6, FALSE)</f>
        <v>No</v>
      </c>
      <c r="F1741" t="str">
        <f>VLOOKUP($A1741, 'Medical Examinations'!A:G, 7, FALSE)</f>
        <v>No</v>
      </c>
      <c r="G1741" t="str">
        <f>VLOOKUP($A1741, 'Medical Examinations'!A:H, 8, FALSE)</f>
        <v>Yes</v>
      </c>
      <c r="H1741">
        <f>VLOOKUP($A1741, 'Medical Examinations'!A:J, 10, FALSE)</f>
        <v>1</v>
      </c>
      <c r="I1741" t="str">
        <f>VLOOKUP($A1741, 'Medical Examinations'!A:K, 11, FALSE)</f>
        <v>No</v>
      </c>
      <c r="J1741" t="str">
        <f>VLOOKUP($A1741, 'Medical Examinations'!A:B, 2, FALSE)</f>
        <v>Underweight</v>
      </c>
      <c r="K1741" t="str">
        <f>VLOOKUP($A1741, 'Medical Examinations'!A:D, 4, FALSE)</f>
        <v>Prediabetes</v>
      </c>
    </row>
    <row r="1742" spans="1:11" ht="15.5" x14ac:dyDescent="0.35">
      <c r="A1742" s="1" t="s">
        <v>629</v>
      </c>
      <c r="B1742" t="str">
        <f>VLOOKUP($A1742, 'Customer Names'!A:D, 3, FALSE)</f>
        <v>Saiter</v>
      </c>
      <c r="C1742">
        <f>VLOOKUP($A1742,'Medical Examinations'!A:C, 3, FALSE)</f>
        <v>20.53</v>
      </c>
      <c r="D1742" t="str">
        <f>VLOOKUP($A1742, 'Medical Examinations'!A:D, 4, FALSE)</f>
        <v>Normal</v>
      </c>
      <c r="E1742" t="str">
        <f>VLOOKUP($A1742, 'Medical Examinations'!A:F, 6, FALSE)</f>
        <v>No</v>
      </c>
      <c r="F1742" t="str">
        <f>VLOOKUP($A1742, 'Medical Examinations'!A:G, 7, FALSE)</f>
        <v>No</v>
      </c>
      <c r="G1742" t="str">
        <f>VLOOKUP($A1742, 'Medical Examinations'!A:H, 8, FALSE)</f>
        <v>No</v>
      </c>
      <c r="H1742">
        <f>VLOOKUP($A1742, 'Medical Examinations'!A:J, 10, FALSE)</f>
        <v>1</v>
      </c>
      <c r="I1742" t="str">
        <f>VLOOKUP($A1742, 'Medical Examinations'!A:K, 11, FALSE)</f>
        <v>No</v>
      </c>
      <c r="J1742" t="str">
        <f>VLOOKUP($A1742, 'Medical Examinations'!A:B, 2, FALSE)</f>
        <v>Normal Weight</v>
      </c>
      <c r="K1742" t="str">
        <f>VLOOKUP($A1742, 'Medical Examinations'!A:D, 4, FALSE)</f>
        <v>Normal</v>
      </c>
    </row>
    <row r="1743" spans="1:11" ht="15.5" x14ac:dyDescent="0.35">
      <c r="A1743" s="1" t="s">
        <v>628</v>
      </c>
      <c r="B1743" t="str">
        <f>VLOOKUP($A1743, 'Customer Names'!A:D, 3, FALSE)</f>
        <v>Winrow</v>
      </c>
      <c r="C1743">
        <f>VLOOKUP($A1743,'Medical Examinations'!A:C, 3, FALSE)</f>
        <v>23.79</v>
      </c>
      <c r="D1743" t="str">
        <f>VLOOKUP($A1743, 'Medical Examinations'!A:D, 4, FALSE)</f>
        <v>Normal</v>
      </c>
      <c r="E1743" t="str">
        <f>VLOOKUP($A1743, 'Medical Examinations'!A:F, 6, FALSE)</f>
        <v>No</v>
      </c>
      <c r="F1743" t="str">
        <f>VLOOKUP($A1743, 'Medical Examinations'!A:G, 7, FALSE)</f>
        <v>No</v>
      </c>
      <c r="G1743" t="str">
        <f>VLOOKUP($A1743, 'Medical Examinations'!A:H, 8, FALSE)</f>
        <v>No</v>
      </c>
      <c r="H1743" t="str">
        <f>VLOOKUP($A1743, 'Medical Examinations'!A:J, 10, FALSE)</f>
        <v>No major surgery</v>
      </c>
      <c r="I1743" t="str">
        <f>VLOOKUP($A1743, 'Medical Examinations'!A:K, 11, FALSE)</f>
        <v>No</v>
      </c>
      <c r="J1743" t="str">
        <f>VLOOKUP($A1743, 'Medical Examinations'!A:B, 2, FALSE)</f>
        <v>Normal Weight</v>
      </c>
      <c r="K1743" t="str">
        <f>VLOOKUP($A1743, 'Medical Examinations'!A:D, 4, FALSE)</f>
        <v>Normal</v>
      </c>
    </row>
    <row r="1744" spans="1:11" ht="15.5" x14ac:dyDescent="0.35">
      <c r="A1744" s="1" t="s">
        <v>627</v>
      </c>
      <c r="B1744" t="str">
        <f>VLOOKUP($A1744, 'Customer Names'!A:D, 3, FALSE)</f>
        <v>Gries</v>
      </c>
      <c r="C1744">
        <f>VLOOKUP($A1744,'Medical Examinations'!A:C, 3, FALSE)</f>
        <v>29.8</v>
      </c>
      <c r="D1744" t="str">
        <f>VLOOKUP($A1744, 'Medical Examinations'!A:D, 4, FALSE)</f>
        <v>Prediabetes</v>
      </c>
      <c r="E1744" t="str">
        <f>VLOOKUP($A1744, 'Medical Examinations'!A:F, 6, FALSE)</f>
        <v>No</v>
      </c>
      <c r="F1744" t="str">
        <f>VLOOKUP($A1744, 'Medical Examinations'!A:G, 7, FALSE)</f>
        <v>No</v>
      </c>
      <c r="G1744" t="str">
        <f>VLOOKUP($A1744, 'Medical Examinations'!A:H, 8, FALSE)</f>
        <v>No</v>
      </c>
      <c r="H1744" t="str">
        <f>VLOOKUP($A1744, 'Medical Examinations'!A:J, 10, FALSE)</f>
        <v>No major surgery</v>
      </c>
      <c r="I1744" t="str">
        <f>VLOOKUP($A1744, 'Medical Examinations'!A:K, 11, FALSE)</f>
        <v>No</v>
      </c>
      <c r="J1744" t="str">
        <f>VLOOKUP($A1744, 'Medical Examinations'!A:B, 2, FALSE)</f>
        <v>Overweight</v>
      </c>
      <c r="K1744" t="str">
        <f>VLOOKUP($A1744, 'Medical Examinations'!A:D, 4, FALSE)</f>
        <v>Prediabetes</v>
      </c>
    </row>
    <row r="1745" spans="1:11" ht="15.5" x14ac:dyDescent="0.35">
      <c r="A1745" s="1" t="s">
        <v>626</v>
      </c>
      <c r="B1745" t="str">
        <f>VLOOKUP($A1745, 'Customer Names'!A:D, 3, FALSE)</f>
        <v>Strohschein</v>
      </c>
      <c r="C1745">
        <f>VLOOKUP($A1745,'Medical Examinations'!A:C, 3, FALSE)</f>
        <v>31.54</v>
      </c>
      <c r="D1745" t="str">
        <f>VLOOKUP($A1745, 'Medical Examinations'!A:D, 4, FALSE)</f>
        <v>Normal</v>
      </c>
      <c r="E1745" t="str">
        <f>VLOOKUP($A1745, 'Medical Examinations'!A:F, 6, FALSE)</f>
        <v>No</v>
      </c>
      <c r="F1745" t="str">
        <f>VLOOKUP($A1745, 'Medical Examinations'!A:G, 7, FALSE)</f>
        <v>No</v>
      </c>
      <c r="G1745" t="str">
        <f>VLOOKUP($A1745, 'Medical Examinations'!A:H, 8, FALSE)</f>
        <v>No</v>
      </c>
      <c r="H1745" t="str">
        <f>VLOOKUP($A1745, 'Medical Examinations'!A:J, 10, FALSE)</f>
        <v>No major surgery</v>
      </c>
      <c r="I1745" t="str">
        <f>VLOOKUP($A1745, 'Medical Examinations'!A:K, 11, FALSE)</f>
        <v>No</v>
      </c>
      <c r="J1745" t="str">
        <f>VLOOKUP($A1745, 'Medical Examinations'!A:B, 2, FALSE)</f>
        <v>Obesity</v>
      </c>
      <c r="K1745" t="str">
        <f>VLOOKUP($A1745, 'Medical Examinations'!A:D, 4, FALSE)</f>
        <v>Normal</v>
      </c>
    </row>
    <row r="1746" spans="1:11" ht="15.5" x14ac:dyDescent="0.35">
      <c r="A1746" s="1" t="s">
        <v>625</v>
      </c>
      <c r="B1746" t="str">
        <f>VLOOKUP($A1746, 'Customer Names'!A:D, 3, FALSE)</f>
        <v>Berger</v>
      </c>
      <c r="C1746">
        <f>VLOOKUP($A1746,'Medical Examinations'!A:C, 3, FALSE)</f>
        <v>20.82</v>
      </c>
      <c r="D1746" t="str">
        <f>VLOOKUP($A1746, 'Medical Examinations'!A:D, 4, FALSE)</f>
        <v>Normal</v>
      </c>
      <c r="E1746" t="str">
        <f>VLOOKUP($A1746, 'Medical Examinations'!A:F, 6, FALSE)</f>
        <v>No</v>
      </c>
      <c r="F1746" t="str">
        <f>VLOOKUP($A1746, 'Medical Examinations'!A:G, 7, FALSE)</f>
        <v>No</v>
      </c>
      <c r="G1746" t="str">
        <f>VLOOKUP($A1746, 'Medical Examinations'!A:H, 8, FALSE)</f>
        <v>No</v>
      </c>
      <c r="H1746">
        <f>VLOOKUP($A1746, 'Medical Examinations'!A:J, 10, FALSE)</f>
        <v>1</v>
      </c>
      <c r="I1746" t="str">
        <f>VLOOKUP($A1746, 'Medical Examinations'!A:K, 11, FALSE)</f>
        <v>No</v>
      </c>
      <c r="J1746" t="str">
        <f>VLOOKUP($A1746, 'Medical Examinations'!A:B, 2, FALSE)</f>
        <v>Normal Weight</v>
      </c>
      <c r="K1746" t="str">
        <f>VLOOKUP($A1746, 'Medical Examinations'!A:D, 4, FALSE)</f>
        <v>Normal</v>
      </c>
    </row>
    <row r="1747" spans="1:11" ht="15.5" x14ac:dyDescent="0.35">
      <c r="A1747" s="1" t="s">
        <v>624</v>
      </c>
      <c r="B1747" t="str">
        <f>VLOOKUP($A1747, 'Customer Names'!A:D, 3, FALSE)</f>
        <v>Coogan</v>
      </c>
      <c r="C1747">
        <f>VLOOKUP($A1747,'Medical Examinations'!A:C, 3, FALSE)</f>
        <v>38.83</v>
      </c>
      <c r="D1747" t="str">
        <f>VLOOKUP($A1747, 'Medical Examinations'!A:D, 4, FALSE)</f>
        <v>Normal</v>
      </c>
      <c r="E1747" t="str">
        <f>VLOOKUP($A1747, 'Medical Examinations'!A:F, 6, FALSE)</f>
        <v>No</v>
      </c>
      <c r="F1747" t="str">
        <f>VLOOKUP($A1747, 'Medical Examinations'!A:G, 7, FALSE)</f>
        <v>No</v>
      </c>
      <c r="G1747" t="str">
        <f>VLOOKUP($A1747, 'Medical Examinations'!A:H, 8, FALSE)</f>
        <v>Yes</v>
      </c>
      <c r="H1747">
        <f>VLOOKUP($A1747, 'Medical Examinations'!A:J, 10, FALSE)</f>
        <v>1</v>
      </c>
      <c r="I1747" t="str">
        <f>VLOOKUP($A1747, 'Medical Examinations'!A:K, 11, FALSE)</f>
        <v>No</v>
      </c>
      <c r="J1747" t="str">
        <f>VLOOKUP($A1747, 'Medical Examinations'!A:B, 2, FALSE)</f>
        <v>Obesity</v>
      </c>
      <c r="K1747" t="str">
        <f>VLOOKUP($A1747, 'Medical Examinations'!A:D, 4, FALSE)</f>
        <v>Normal</v>
      </c>
    </row>
    <row r="1748" spans="1:11" ht="15.5" x14ac:dyDescent="0.35">
      <c r="A1748" s="1" t="s">
        <v>623</v>
      </c>
      <c r="B1748" t="str">
        <f>VLOOKUP($A1748, 'Customer Names'!A:D, 3, FALSE)</f>
        <v>Gagnon</v>
      </c>
      <c r="C1748">
        <f>VLOOKUP($A1748,'Medical Examinations'!A:C, 3, FALSE)</f>
        <v>23.44</v>
      </c>
      <c r="D1748" t="str">
        <f>VLOOKUP($A1748, 'Medical Examinations'!A:D, 4, FALSE)</f>
        <v>Normal</v>
      </c>
      <c r="E1748" t="str">
        <f>VLOOKUP($A1748, 'Medical Examinations'!A:F, 6, FALSE)</f>
        <v>yes</v>
      </c>
      <c r="F1748" t="str">
        <f>VLOOKUP($A1748, 'Medical Examinations'!A:G, 7, FALSE)</f>
        <v>No</v>
      </c>
      <c r="G1748" t="str">
        <f>VLOOKUP($A1748, 'Medical Examinations'!A:H, 8, FALSE)</f>
        <v>No</v>
      </c>
      <c r="H1748">
        <f>VLOOKUP($A1748, 'Medical Examinations'!A:J, 10, FALSE)</f>
        <v>1</v>
      </c>
      <c r="I1748" t="str">
        <f>VLOOKUP($A1748, 'Medical Examinations'!A:K, 11, FALSE)</f>
        <v>No</v>
      </c>
      <c r="J1748" t="str">
        <f>VLOOKUP($A1748, 'Medical Examinations'!A:B, 2, FALSE)</f>
        <v>Normal Weight</v>
      </c>
      <c r="K1748" t="str">
        <f>VLOOKUP($A1748, 'Medical Examinations'!A:D, 4, FALSE)</f>
        <v>Normal</v>
      </c>
    </row>
    <row r="1749" spans="1:11" ht="15.5" x14ac:dyDescent="0.35">
      <c r="A1749" s="1" t="s">
        <v>622</v>
      </c>
      <c r="B1749" t="str">
        <f>VLOOKUP($A1749, 'Customer Names'!A:D, 3, FALSE)</f>
        <v>Pearson</v>
      </c>
      <c r="C1749">
        <f>VLOOKUP($A1749,'Medical Examinations'!A:C, 3, FALSE)</f>
        <v>24.13</v>
      </c>
      <c r="D1749" t="str">
        <f>VLOOKUP($A1749, 'Medical Examinations'!A:D, 4, FALSE)</f>
        <v>Normal</v>
      </c>
      <c r="E1749" t="str">
        <f>VLOOKUP($A1749, 'Medical Examinations'!A:F, 6, FALSE)</f>
        <v>No</v>
      </c>
      <c r="F1749" t="str">
        <f>VLOOKUP($A1749, 'Medical Examinations'!A:G, 7, FALSE)</f>
        <v>No</v>
      </c>
      <c r="G1749" t="str">
        <f>VLOOKUP($A1749, 'Medical Examinations'!A:H, 8, FALSE)</f>
        <v>No</v>
      </c>
      <c r="H1749">
        <f>VLOOKUP($A1749, 'Medical Examinations'!A:J, 10, FALSE)</f>
        <v>1</v>
      </c>
      <c r="I1749" t="str">
        <f>VLOOKUP($A1749, 'Medical Examinations'!A:K, 11, FALSE)</f>
        <v>No</v>
      </c>
      <c r="J1749" t="str">
        <f>VLOOKUP($A1749, 'Medical Examinations'!A:B, 2, FALSE)</f>
        <v>Normal Weight</v>
      </c>
      <c r="K1749" t="str">
        <f>VLOOKUP($A1749, 'Medical Examinations'!A:D, 4, FALSE)</f>
        <v>Normal</v>
      </c>
    </row>
    <row r="1750" spans="1:11" ht="15.5" x14ac:dyDescent="0.35">
      <c r="A1750" s="1" t="s">
        <v>621</v>
      </c>
      <c r="B1750" t="str">
        <f>VLOOKUP($A1750, 'Customer Names'!A:D, 3, FALSE)</f>
        <v>Brian</v>
      </c>
      <c r="C1750">
        <f>VLOOKUP($A1750,'Medical Examinations'!A:C, 3, FALSE)</f>
        <v>42.13</v>
      </c>
      <c r="D1750" t="str">
        <f>VLOOKUP($A1750, 'Medical Examinations'!A:D, 4, FALSE)</f>
        <v>Normal</v>
      </c>
      <c r="E1750" t="str">
        <f>VLOOKUP($A1750, 'Medical Examinations'!A:F, 6, FALSE)</f>
        <v>yes</v>
      </c>
      <c r="F1750" t="str">
        <f>VLOOKUP($A1750, 'Medical Examinations'!A:G, 7, FALSE)</f>
        <v>No</v>
      </c>
      <c r="G1750" t="str">
        <f>VLOOKUP($A1750, 'Medical Examinations'!A:H, 8, FALSE)</f>
        <v>No</v>
      </c>
      <c r="H1750">
        <f>VLOOKUP($A1750, 'Medical Examinations'!A:J, 10, FALSE)</f>
        <v>1</v>
      </c>
      <c r="I1750" t="str">
        <f>VLOOKUP($A1750, 'Medical Examinations'!A:K, 11, FALSE)</f>
        <v>No</v>
      </c>
      <c r="J1750" t="str">
        <f>VLOOKUP($A1750, 'Medical Examinations'!A:B, 2, FALSE)</f>
        <v>Obesity</v>
      </c>
      <c r="K1750" t="str">
        <f>VLOOKUP($A1750, 'Medical Examinations'!A:D, 4, FALSE)</f>
        <v>Normal</v>
      </c>
    </row>
    <row r="1751" spans="1:11" ht="15.5" x14ac:dyDescent="0.35">
      <c r="A1751" s="1" t="s">
        <v>620</v>
      </c>
      <c r="B1751" t="str">
        <f>VLOOKUP($A1751, 'Customer Names'!A:D, 3, FALSE)</f>
        <v>Brown</v>
      </c>
      <c r="C1751">
        <f>VLOOKUP($A1751,'Medical Examinations'!A:C, 3, FALSE)</f>
        <v>17.86</v>
      </c>
      <c r="D1751" t="str">
        <f>VLOOKUP($A1751, 'Medical Examinations'!A:D, 4, FALSE)</f>
        <v>Normal</v>
      </c>
      <c r="E1751" t="str">
        <f>VLOOKUP($A1751, 'Medical Examinations'!A:F, 6, FALSE)</f>
        <v>No</v>
      </c>
      <c r="F1751" t="str">
        <f>VLOOKUP($A1751, 'Medical Examinations'!A:G, 7, FALSE)</f>
        <v>No</v>
      </c>
      <c r="G1751" t="str">
        <f>VLOOKUP($A1751, 'Medical Examinations'!A:H, 8, FALSE)</f>
        <v>No</v>
      </c>
      <c r="H1751">
        <f>VLOOKUP($A1751, 'Medical Examinations'!A:J, 10, FALSE)</f>
        <v>1</v>
      </c>
      <c r="I1751" t="str">
        <f>VLOOKUP($A1751, 'Medical Examinations'!A:K, 11, FALSE)</f>
        <v>No</v>
      </c>
      <c r="J1751" t="str">
        <f>VLOOKUP($A1751, 'Medical Examinations'!A:B, 2, FALSE)</f>
        <v>Underweight</v>
      </c>
      <c r="K1751" t="str">
        <f>VLOOKUP($A1751, 'Medical Examinations'!A:D, 4, FALSE)</f>
        <v>Normal</v>
      </c>
    </row>
    <row r="1752" spans="1:11" ht="15.5" x14ac:dyDescent="0.35">
      <c r="A1752" s="1" t="s">
        <v>619</v>
      </c>
      <c r="B1752" t="str">
        <f>VLOOKUP($A1752, 'Customer Names'!A:D, 3, FALSE)</f>
        <v>Fox</v>
      </c>
      <c r="C1752">
        <f>VLOOKUP($A1752,'Medical Examinations'!A:C, 3, FALSE)</f>
        <v>32.78</v>
      </c>
      <c r="D1752" t="str">
        <f>VLOOKUP($A1752, 'Medical Examinations'!A:D, 4, FALSE)</f>
        <v>Normal</v>
      </c>
      <c r="E1752" t="str">
        <f>VLOOKUP($A1752, 'Medical Examinations'!A:F, 6, FALSE)</f>
        <v>No</v>
      </c>
      <c r="F1752" t="str">
        <f>VLOOKUP($A1752, 'Medical Examinations'!A:G, 7, FALSE)</f>
        <v>No</v>
      </c>
      <c r="G1752" t="str">
        <f>VLOOKUP($A1752, 'Medical Examinations'!A:H, 8, FALSE)</f>
        <v>No</v>
      </c>
      <c r="H1752" t="str">
        <f>VLOOKUP($A1752, 'Medical Examinations'!A:J, 10, FALSE)</f>
        <v>No major surgery</v>
      </c>
      <c r="I1752" t="str">
        <f>VLOOKUP($A1752, 'Medical Examinations'!A:K, 11, FALSE)</f>
        <v>No</v>
      </c>
      <c r="J1752" t="str">
        <f>VLOOKUP($A1752, 'Medical Examinations'!A:B, 2, FALSE)</f>
        <v>Obesity</v>
      </c>
      <c r="K1752" t="str">
        <f>VLOOKUP($A1752, 'Medical Examinations'!A:D, 4, FALSE)</f>
        <v>Normal</v>
      </c>
    </row>
    <row r="1753" spans="1:11" ht="15.5" x14ac:dyDescent="0.35">
      <c r="A1753" s="1" t="s">
        <v>618</v>
      </c>
      <c r="B1753" t="str">
        <f>VLOOKUP($A1753, 'Customer Names'!A:D, 3, FALSE)</f>
        <v>Traver</v>
      </c>
      <c r="C1753">
        <f>VLOOKUP($A1753,'Medical Examinations'!A:C, 3, FALSE)</f>
        <v>23.9</v>
      </c>
      <c r="D1753" t="str">
        <f>VLOOKUP($A1753, 'Medical Examinations'!A:D, 4, FALSE)</f>
        <v>Prediabetes</v>
      </c>
      <c r="E1753" t="str">
        <f>VLOOKUP($A1753, 'Medical Examinations'!A:F, 6, FALSE)</f>
        <v>yes</v>
      </c>
      <c r="F1753" t="str">
        <f>VLOOKUP($A1753, 'Medical Examinations'!A:G, 7, FALSE)</f>
        <v>No</v>
      </c>
      <c r="G1753" t="str">
        <f>VLOOKUP($A1753, 'Medical Examinations'!A:H, 8, FALSE)</f>
        <v>Yes</v>
      </c>
      <c r="H1753">
        <f>VLOOKUP($A1753, 'Medical Examinations'!A:J, 10, FALSE)</f>
        <v>1</v>
      </c>
      <c r="I1753" t="str">
        <f>VLOOKUP($A1753, 'Medical Examinations'!A:K, 11, FALSE)</f>
        <v>No</v>
      </c>
      <c r="J1753" t="str">
        <f>VLOOKUP($A1753, 'Medical Examinations'!A:B, 2, FALSE)</f>
        <v>Normal Weight</v>
      </c>
      <c r="K1753" t="str">
        <f>VLOOKUP($A1753, 'Medical Examinations'!A:D, 4, FALSE)</f>
        <v>Prediabetes</v>
      </c>
    </row>
    <row r="1754" spans="1:11" ht="15.5" x14ac:dyDescent="0.35">
      <c r="A1754" s="1" t="s">
        <v>617</v>
      </c>
      <c r="B1754" t="str">
        <f>VLOOKUP($A1754, 'Customer Names'!A:D, 3, FALSE)</f>
        <v>Quick</v>
      </c>
      <c r="C1754">
        <f>VLOOKUP($A1754,'Medical Examinations'!A:C, 3, FALSE)</f>
        <v>15.47</v>
      </c>
      <c r="D1754" t="str">
        <f>VLOOKUP($A1754, 'Medical Examinations'!A:D, 4, FALSE)</f>
        <v>Diabetes</v>
      </c>
      <c r="E1754" t="str">
        <f>VLOOKUP($A1754, 'Medical Examinations'!A:F, 6, FALSE)</f>
        <v>No</v>
      </c>
      <c r="F1754" t="str">
        <f>VLOOKUP($A1754, 'Medical Examinations'!A:G, 7, FALSE)</f>
        <v>No</v>
      </c>
      <c r="G1754" t="str">
        <f>VLOOKUP($A1754, 'Medical Examinations'!A:H, 8, FALSE)</f>
        <v>No</v>
      </c>
      <c r="H1754" t="str">
        <f>VLOOKUP($A1754, 'Medical Examinations'!A:J, 10, FALSE)</f>
        <v>No major surgery</v>
      </c>
      <c r="I1754" t="str">
        <f>VLOOKUP($A1754, 'Medical Examinations'!A:K, 11, FALSE)</f>
        <v>No</v>
      </c>
      <c r="J1754" t="str">
        <f>VLOOKUP($A1754, 'Medical Examinations'!A:B, 2, FALSE)</f>
        <v>Underweight</v>
      </c>
      <c r="K1754" t="str">
        <f>VLOOKUP($A1754, 'Medical Examinations'!A:D, 4, FALSE)</f>
        <v>Diabetes</v>
      </c>
    </row>
    <row r="1755" spans="1:11" ht="15.5" x14ac:dyDescent="0.35">
      <c r="A1755" s="1" t="s">
        <v>616</v>
      </c>
      <c r="B1755" t="str">
        <f>VLOOKUP($A1755, 'Customer Names'!A:D, 3, FALSE)</f>
        <v>Scott</v>
      </c>
      <c r="C1755">
        <f>VLOOKUP($A1755,'Medical Examinations'!A:C, 3, FALSE)</f>
        <v>28.54</v>
      </c>
      <c r="D1755" t="str">
        <f>VLOOKUP($A1755, 'Medical Examinations'!A:D, 4, FALSE)</f>
        <v>Normal</v>
      </c>
      <c r="E1755" t="str">
        <f>VLOOKUP($A1755, 'Medical Examinations'!A:F, 6, FALSE)</f>
        <v>No</v>
      </c>
      <c r="F1755" t="str">
        <f>VLOOKUP($A1755, 'Medical Examinations'!A:G, 7, FALSE)</f>
        <v>No</v>
      </c>
      <c r="G1755" t="str">
        <f>VLOOKUP($A1755, 'Medical Examinations'!A:H, 8, FALSE)</f>
        <v>Yes</v>
      </c>
      <c r="H1755">
        <f>VLOOKUP($A1755, 'Medical Examinations'!A:J, 10, FALSE)</f>
        <v>1</v>
      </c>
      <c r="I1755" t="str">
        <f>VLOOKUP($A1755, 'Medical Examinations'!A:K, 11, FALSE)</f>
        <v>No</v>
      </c>
      <c r="J1755" t="str">
        <f>VLOOKUP($A1755, 'Medical Examinations'!A:B, 2, FALSE)</f>
        <v>Overweight</v>
      </c>
      <c r="K1755" t="str">
        <f>VLOOKUP($A1755, 'Medical Examinations'!A:D, 4, FALSE)</f>
        <v>Normal</v>
      </c>
    </row>
    <row r="1756" spans="1:11" ht="15.5" x14ac:dyDescent="0.35">
      <c r="A1756" s="1" t="s">
        <v>615</v>
      </c>
      <c r="B1756" t="str">
        <f>VLOOKUP($A1756, 'Customer Names'!A:D, 3, FALSE)</f>
        <v>Theriot</v>
      </c>
      <c r="C1756">
        <f>VLOOKUP($A1756,'Medical Examinations'!A:C, 3, FALSE)</f>
        <v>18.54</v>
      </c>
      <c r="D1756" t="str">
        <f>VLOOKUP($A1756, 'Medical Examinations'!A:D, 4, FALSE)</f>
        <v>Normal</v>
      </c>
      <c r="E1756" t="str">
        <f>VLOOKUP($A1756, 'Medical Examinations'!A:F, 6, FALSE)</f>
        <v>No</v>
      </c>
      <c r="F1756" t="str">
        <f>VLOOKUP($A1756, 'Medical Examinations'!A:G, 7, FALSE)</f>
        <v>No</v>
      </c>
      <c r="G1756" t="str">
        <f>VLOOKUP($A1756, 'Medical Examinations'!A:H, 8, FALSE)</f>
        <v>No</v>
      </c>
      <c r="H1756" t="str">
        <f>VLOOKUP($A1756, 'Medical Examinations'!A:J, 10, FALSE)</f>
        <v>No major surgery</v>
      </c>
      <c r="I1756" t="str">
        <f>VLOOKUP($A1756, 'Medical Examinations'!A:K, 11, FALSE)</f>
        <v>No</v>
      </c>
      <c r="J1756" t="str">
        <f>VLOOKUP($A1756, 'Medical Examinations'!A:B, 2, FALSE)</f>
        <v>Normal Weight</v>
      </c>
      <c r="K1756" t="str">
        <f>VLOOKUP($A1756, 'Medical Examinations'!A:D, 4, FALSE)</f>
        <v>Normal</v>
      </c>
    </row>
    <row r="1757" spans="1:11" ht="15.5" x14ac:dyDescent="0.35">
      <c r="A1757" s="1" t="s">
        <v>614</v>
      </c>
      <c r="B1757" t="str">
        <f>VLOOKUP($A1757, 'Customer Names'!A:D, 3, FALSE)</f>
        <v>Michalis</v>
      </c>
      <c r="C1757">
        <f>VLOOKUP($A1757,'Medical Examinations'!A:C, 3, FALSE)</f>
        <v>32.18</v>
      </c>
      <c r="D1757" t="e">
        <f>VLOOKUP($A1757, 'Medical Examinations'!A:D, 4, FALSE)</f>
        <v>#N/A</v>
      </c>
      <c r="E1757" t="str">
        <f>VLOOKUP($A1757, 'Medical Examinations'!A:F, 6, FALSE)</f>
        <v>yes</v>
      </c>
      <c r="F1757" t="str">
        <f>VLOOKUP($A1757, 'Medical Examinations'!A:G, 7, FALSE)</f>
        <v>No</v>
      </c>
      <c r="G1757" t="str">
        <f>VLOOKUP($A1757, 'Medical Examinations'!A:H, 8, FALSE)</f>
        <v>Yes</v>
      </c>
      <c r="H1757">
        <f>VLOOKUP($A1757, 'Medical Examinations'!A:J, 10, FALSE)</f>
        <v>1</v>
      </c>
      <c r="I1757" t="str">
        <f>VLOOKUP($A1757, 'Medical Examinations'!A:K, 11, FALSE)</f>
        <v>No</v>
      </c>
      <c r="J1757" t="str">
        <f>VLOOKUP($A1757, 'Medical Examinations'!A:B, 2, FALSE)</f>
        <v>Obesity</v>
      </c>
      <c r="K1757" t="e">
        <f>VLOOKUP($A1757, 'Medical Examinations'!A:D, 4, FALSE)</f>
        <v>#N/A</v>
      </c>
    </row>
    <row r="1758" spans="1:11" ht="15.5" x14ac:dyDescent="0.35">
      <c r="A1758" s="1" t="s">
        <v>613</v>
      </c>
      <c r="B1758" t="str">
        <f>VLOOKUP($A1758, 'Customer Names'!A:D, 3, FALSE)</f>
        <v>Hall</v>
      </c>
      <c r="C1758">
        <f>VLOOKUP($A1758,'Medical Examinations'!A:C, 3, FALSE)</f>
        <v>37.380000000000003</v>
      </c>
      <c r="D1758" t="str">
        <f>VLOOKUP($A1758, 'Medical Examinations'!A:D, 4, FALSE)</f>
        <v>Prediabetes</v>
      </c>
      <c r="E1758" t="str">
        <f>VLOOKUP($A1758, 'Medical Examinations'!A:F, 6, FALSE)</f>
        <v>yes</v>
      </c>
      <c r="F1758" t="str">
        <f>VLOOKUP($A1758, 'Medical Examinations'!A:G, 7, FALSE)</f>
        <v>No</v>
      </c>
      <c r="G1758" t="str">
        <f>VLOOKUP($A1758, 'Medical Examinations'!A:H, 8, FALSE)</f>
        <v>No</v>
      </c>
      <c r="H1758" t="str">
        <f>VLOOKUP($A1758, 'Medical Examinations'!A:J, 10, FALSE)</f>
        <v>No major surgery</v>
      </c>
      <c r="I1758" t="str">
        <f>VLOOKUP($A1758, 'Medical Examinations'!A:K, 11, FALSE)</f>
        <v>No</v>
      </c>
      <c r="J1758" t="str">
        <f>VLOOKUP($A1758, 'Medical Examinations'!A:B, 2, FALSE)</f>
        <v>Obesity</v>
      </c>
      <c r="K1758" t="str">
        <f>VLOOKUP($A1758, 'Medical Examinations'!A:D, 4, FALSE)</f>
        <v>Prediabetes</v>
      </c>
    </row>
    <row r="1759" spans="1:11" ht="15.5" x14ac:dyDescent="0.35">
      <c r="A1759" s="1" t="s">
        <v>612</v>
      </c>
      <c r="B1759" t="str">
        <f>VLOOKUP($A1759, 'Customer Names'!A:D, 3, FALSE)</f>
        <v>Tjong Clemons</v>
      </c>
      <c r="C1759">
        <f>VLOOKUP($A1759,'Medical Examinations'!A:C, 3, FALSE)</f>
        <v>31.12</v>
      </c>
      <c r="D1759" t="str">
        <f>VLOOKUP($A1759, 'Medical Examinations'!A:D, 4, FALSE)</f>
        <v>Normal</v>
      </c>
      <c r="E1759" t="str">
        <f>VLOOKUP($A1759, 'Medical Examinations'!A:F, 6, FALSE)</f>
        <v>yes</v>
      </c>
      <c r="F1759" t="str">
        <f>VLOOKUP($A1759, 'Medical Examinations'!A:G, 7, FALSE)</f>
        <v>No</v>
      </c>
      <c r="G1759" t="str">
        <f>VLOOKUP($A1759, 'Medical Examinations'!A:H, 8, FALSE)</f>
        <v>Yes</v>
      </c>
      <c r="H1759">
        <f>VLOOKUP($A1759, 'Medical Examinations'!A:J, 10, FALSE)</f>
        <v>1</v>
      </c>
      <c r="I1759" t="str">
        <f>VLOOKUP($A1759, 'Medical Examinations'!A:K, 11, FALSE)</f>
        <v>No</v>
      </c>
      <c r="J1759" t="str">
        <f>VLOOKUP($A1759, 'Medical Examinations'!A:B, 2, FALSE)</f>
        <v>Obesity</v>
      </c>
      <c r="K1759" t="str">
        <f>VLOOKUP($A1759, 'Medical Examinations'!A:D, 4, FALSE)</f>
        <v>Normal</v>
      </c>
    </row>
    <row r="1760" spans="1:11" ht="15.5" x14ac:dyDescent="0.35">
      <c r="A1760" s="1" t="s">
        <v>611</v>
      </c>
      <c r="B1760" t="str">
        <f>VLOOKUP($A1760, 'Customer Names'!A:D, 3, FALSE)</f>
        <v>Palma</v>
      </c>
      <c r="C1760">
        <f>VLOOKUP($A1760,'Medical Examinations'!A:C, 3, FALSE)</f>
        <v>22.01</v>
      </c>
      <c r="D1760" t="str">
        <f>VLOOKUP($A1760, 'Medical Examinations'!A:D, 4, FALSE)</f>
        <v>Diabetes</v>
      </c>
      <c r="E1760" t="str">
        <f>VLOOKUP($A1760, 'Medical Examinations'!A:F, 6, FALSE)</f>
        <v>yes</v>
      </c>
      <c r="F1760" t="str">
        <f>VLOOKUP($A1760, 'Medical Examinations'!A:G, 7, FALSE)</f>
        <v>No</v>
      </c>
      <c r="G1760" t="str">
        <f>VLOOKUP($A1760, 'Medical Examinations'!A:H, 8, FALSE)</f>
        <v>No</v>
      </c>
      <c r="H1760">
        <f>VLOOKUP($A1760, 'Medical Examinations'!A:J, 10, FALSE)</f>
        <v>1</v>
      </c>
      <c r="I1760" t="str">
        <f>VLOOKUP($A1760, 'Medical Examinations'!A:K, 11, FALSE)</f>
        <v>No</v>
      </c>
      <c r="J1760" t="str">
        <f>VLOOKUP($A1760, 'Medical Examinations'!A:B, 2, FALSE)</f>
        <v>Normal Weight</v>
      </c>
      <c r="K1760" t="str">
        <f>VLOOKUP($A1760, 'Medical Examinations'!A:D, 4, FALSE)</f>
        <v>Diabetes</v>
      </c>
    </row>
    <row r="1761" spans="1:11" ht="15.5" x14ac:dyDescent="0.35">
      <c r="A1761" s="1" t="s">
        <v>610</v>
      </c>
      <c r="B1761" t="str">
        <f>VLOOKUP($A1761, 'Customer Names'!A:D, 3, FALSE)</f>
        <v>Takaoka</v>
      </c>
      <c r="C1761">
        <f>VLOOKUP($A1761,'Medical Examinations'!A:C, 3, FALSE)</f>
        <v>27.645</v>
      </c>
      <c r="D1761" t="str">
        <f>VLOOKUP($A1761, 'Medical Examinations'!A:D, 4, FALSE)</f>
        <v>Prediabetes</v>
      </c>
      <c r="E1761" t="str">
        <f>VLOOKUP($A1761, 'Medical Examinations'!A:F, 6, FALSE)</f>
        <v>No</v>
      </c>
      <c r="F1761" t="str">
        <f>VLOOKUP($A1761, 'Medical Examinations'!A:G, 7, FALSE)</f>
        <v>No</v>
      </c>
      <c r="G1761" t="str">
        <f>VLOOKUP($A1761, 'Medical Examinations'!A:H, 8, FALSE)</f>
        <v>No</v>
      </c>
      <c r="H1761" t="str">
        <f>VLOOKUP($A1761, 'Medical Examinations'!A:J, 10, FALSE)</f>
        <v>No major surgery</v>
      </c>
      <c r="I1761" t="str">
        <f>VLOOKUP($A1761, 'Medical Examinations'!A:K, 11, FALSE)</f>
        <v>No</v>
      </c>
      <c r="J1761" t="str">
        <f>VLOOKUP($A1761, 'Medical Examinations'!A:B, 2, FALSE)</f>
        <v>Overweight</v>
      </c>
      <c r="K1761" t="str">
        <f>VLOOKUP($A1761, 'Medical Examinations'!A:D, 4, FALSE)</f>
        <v>Prediabetes</v>
      </c>
    </row>
    <row r="1762" spans="1:11" ht="15.5" x14ac:dyDescent="0.35">
      <c r="A1762" s="1" t="s">
        <v>609</v>
      </c>
      <c r="B1762" t="str">
        <f>VLOOKUP($A1762, 'Customer Names'!A:D, 3, FALSE)</f>
        <v>Sherman</v>
      </c>
      <c r="C1762">
        <f>VLOOKUP($A1762,'Medical Examinations'!A:C, 3, FALSE)</f>
        <v>29.64</v>
      </c>
      <c r="D1762" t="str">
        <f>VLOOKUP($A1762, 'Medical Examinations'!A:D, 4, FALSE)</f>
        <v>Normal</v>
      </c>
      <c r="E1762" t="str">
        <f>VLOOKUP($A1762, 'Medical Examinations'!A:F, 6, FALSE)</f>
        <v>yes</v>
      </c>
      <c r="F1762" t="str">
        <f>VLOOKUP($A1762, 'Medical Examinations'!A:G, 7, FALSE)</f>
        <v>No</v>
      </c>
      <c r="G1762" t="str">
        <f>VLOOKUP($A1762, 'Medical Examinations'!A:H, 8, FALSE)</f>
        <v>No</v>
      </c>
      <c r="H1762" t="str">
        <f>VLOOKUP($A1762, 'Medical Examinations'!A:J, 10, FALSE)</f>
        <v>No major surgery</v>
      </c>
      <c r="I1762" t="str">
        <f>VLOOKUP($A1762, 'Medical Examinations'!A:K, 11, FALSE)</f>
        <v>No</v>
      </c>
      <c r="J1762" t="str">
        <f>VLOOKUP($A1762, 'Medical Examinations'!A:B, 2, FALSE)</f>
        <v>Overweight</v>
      </c>
      <c r="K1762" t="str">
        <f>VLOOKUP($A1762, 'Medical Examinations'!A:D, 4, FALSE)</f>
        <v>Normal</v>
      </c>
    </row>
    <row r="1763" spans="1:11" ht="15.5" x14ac:dyDescent="0.35">
      <c r="A1763" s="1" t="s">
        <v>608</v>
      </c>
      <c r="B1763" t="str">
        <f>VLOOKUP($A1763, 'Customer Names'!A:D, 3, FALSE)</f>
        <v>Andre</v>
      </c>
      <c r="C1763">
        <f>VLOOKUP($A1763,'Medical Examinations'!A:C, 3, FALSE)</f>
        <v>33.700000000000003</v>
      </c>
      <c r="D1763" t="str">
        <f>VLOOKUP($A1763, 'Medical Examinations'!A:D, 4, FALSE)</f>
        <v>Normal</v>
      </c>
      <c r="E1763" t="str">
        <f>VLOOKUP($A1763, 'Medical Examinations'!A:F, 6, FALSE)</f>
        <v>yes</v>
      </c>
      <c r="F1763" t="str">
        <f>VLOOKUP($A1763, 'Medical Examinations'!A:G, 7, FALSE)</f>
        <v>No</v>
      </c>
      <c r="G1763" t="str">
        <f>VLOOKUP($A1763, 'Medical Examinations'!A:H, 8, FALSE)</f>
        <v>No</v>
      </c>
      <c r="H1763">
        <f>VLOOKUP($A1763, 'Medical Examinations'!A:J, 10, FALSE)</f>
        <v>1</v>
      </c>
      <c r="I1763" t="str">
        <f>VLOOKUP($A1763, 'Medical Examinations'!A:K, 11, FALSE)</f>
        <v>No</v>
      </c>
      <c r="J1763" t="str">
        <f>VLOOKUP($A1763, 'Medical Examinations'!A:B, 2, FALSE)</f>
        <v>Obesity</v>
      </c>
      <c r="K1763" t="str">
        <f>VLOOKUP($A1763, 'Medical Examinations'!A:D, 4, FALSE)</f>
        <v>Normal</v>
      </c>
    </row>
    <row r="1764" spans="1:11" ht="15.5" x14ac:dyDescent="0.35">
      <c r="A1764" s="1" t="s">
        <v>607</v>
      </c>
      <c r="B1764" t="str">
        <f>VLOOKUP($A1764, 'Customer Names'!A:D, 3, FALSE)</f>
        <v>Switt</v>
      </c>
      <c r="C1764">
        <f>VLOOKUP($A1764,'Medical Examinations'!A:C, 3, FALSE)</f>
        <v>27.5</v>
      </c>
      <c r="D1764" t="str">
        <f>VLOOKUP($A1764, 'Medical Examinations'!A:D, 4, FALSE)</f>
        <v>Normal</v>
      </c>
      <c r="E1764" t="str">
        <f>VLOOKUP($A1764, 'Medical Examinations'!A:F, 6, FALSE)</f>
        <v>yes</v>
      </c>
      <c r="F1764" t="str">
        <f>VLOOKUP($A1764, 'Medical Examinations'!A:G, 7, FALSE)</f>
        <v>No</v>
      </c>
      <c r="G1764" t="str">
        <f>VLOOKUP($A1764, 'Medical Examinations'!A:H, 8, FALSE)</f>
        <v>No</v>
      </c>
      <c r="H1764">
        <f>VLOOKUP($A1764, 'Medical Examinations'!A:J, 10, FALSE)</f>
        <v>1</v>
      </c>
      <c r="I1764" t="str">
        <f>VLOOKUP($A1764, 'Medical Examinations'!A:K, 11, FALSE)</f>
        <v>No</v>
      </c>
      <c r="J1764" t="str">
        <f>VLOOKUP($A1764, 'Medical Examinations'!A:B, 2, FALSE)</f>
        <v>Overweight</v>
      </c>
      <c r="K1764" t="str">
        <f>VLOOKUP($A1764, 'Medical Examinations'!A:D, 4, FALSE)</f>
        <v>Normal</v>
      </c>
    </row>
    <row r="1765" spans="1:11" ht="15.5" x14ac:dyDescent="0.35">
      <c r="A1765" s="1" t="s">
        <v>606</v>
      </c>
      <c r="B1765" t="str">
        <f>VLOOKUP($A1765, 'Customer Names'!A:D, 3, FALSE)</f>
        <v>Erickson</v>
      </c>
      <c r="C1765">
        <f>VLOOKUP($A1765,'Medical Examinations'!A:C, 3, FALSE)</f>
        <v>16.12</v>
      </c>
      <c r="D1765" t="str">
        <f>VLOOKUP($A1765, 'Medical Examinations'!A:D, 4, FALSE)</f>
        <v>Prediabetes</v>
      </c>
      <c r="E1765" t="str">
        <f>VLOOKUP($A1765, 'Medical Examinations'!A:F, 6, FALSE)</f>
        <v>No</v>
      </c>
      <c r="F1765" t="str">
        <f>VLOOKUP($A1765, 'Medical Examinations'!A:G, 7, FALSE)</f>
        <v>No</v>
      </c>
      <c r="G1765" t="str">
        <f>VLOOKUP($A1765, 'Medical Examinations'!A:H, 8, FALSE)</f>
        <v>No</v>
      </c>
      <c r="H1765" t="str">
        <f>VLOOKUP($A1765, 'Medical Examinations'!A:J, 10, FALSE)</f>
        <v>No major surgery</v>
      </c>
      <c r="I1765" t="str">
        <f>VLOOKUP($A1765, 'Medical Examinations'!A:K, 11, FALSE)</f>
        <v>No</v>
      </c>
      <c r="J1765" t="str">
        <f>VLOOKUP($A1765, 'Medical Examinations'!A:B, 2, FALSE)</f>
        <v>Underweight</v>
      </c>
      <c r="K1765" t="str">
        <f>VLOOKUP($A1765, 'Medical Examinations'!A:D, 4, FALSE)</f>
        <v>Prediabetes</v>
      </c>
    </row>
    <row r="1766" spans="1:11" ht="15.5" x14ac:dyDescent="0.35">
      <c r="A1766" s="1" t="s">
        <v>605</v>
      </c>
      <c r="B1766" t="str">
        <f>VLOOKUP($A1766, 'Customer Names'!A:D, 3, FALSE)</f>
        <v>Miller</v>
      </c>
      <c r="C1766">
        <f>VLOOKUP($A1766,'Medical Examinations'!A:C, 3, FALSE)</f>
        <v>26.73</v>
      </c>
      <c r="D1766" t="str">
        <f>VLOOKUP($A1766, 'Medical Examinations'!A:D, 4, FALSE)</f>
        <v>Normal</v>
      </c>
      <c r="E1766" t="str">
        <f>VLOOKUP($A1766, 'Medical Examinations'!A:F, 6, FALSE)</f>
        <v>yes</v>
      </c>
      <c r="F1766" t="str">
        <f>VLOOKUP($A1766, 'Medical Examinations'!A:G, 7, FALSE)</f>
        <v>No</v>
      </c>
      <c r="G1766" t="str">
        <f>VLOOKUP($A1766, 'Medical Examinations'!A:H, 8, FALSE)</f>
        <v>No</v>
      </c>
      <c r="H1766">
        <f>VLOOKUP($A1766, 'Medical Examinations'!A:J, 10, FALSE)</f>
        <v>1</v>
      </c>
      <c r="I1766" t="str">
        <f>VLOOKUP($A1766, 'Medical Examinations'!A:K, 11, FALSE)</f>
        <v>No</v>
      </c>
      <c r="J1766" t="str">
        <f>VLOOKUP($A1766, 'Medical Examinations'!A:B, 2, FALSE)</f>
        <v>Overweight</v>
      </c>
      <c r="K1766" t="str">
        <f>VLOOKUP($A1766, 'Medical Examinations'!A:D, 4, FALSE)</f>
        <v>Normal</v>
      </c>
    </row>
    <row r="1767" spans="1:11" ht="15.5" x14ac:dyDescent="0.35">
      <c r="A1767" s="1" t="s">
        <v>604</v>
      </c>
      <c r="B1767" t="str">
        <f>VLOOKUP($A1767, 'Customer Names'!A:D, 3, FALSE)</f>
        <v>Whitbeck</v>
      </c>
      <c r="C1767">
        <f>VLOOKUP($A1767,'Medical Examinations'!A:C, 3, FALSE)</f>
        <v>37.25</v>
      </c>
      <c r="D1767" t="str">
        <f>VLOOKUP($A1767, 'Medical Examinations'!A:D, 4, FALSE)</f>
        <v>Prediabetes</v>
      </c>
      <c r="E1767" t="str">
        <f>VLOOKUP($A1767, 'Medical Examinations'!A:F, 6, FALSE)</f>
        <v>yes</v>
      </c>
      <c r="F1767" t="str">
        <f>VLOOKUP($A1767, 'Medical Examinations'!A:G, 7, FALSE)</f>
        <v>No</v>
      </c>
      <c r="G1767" t="str">
        <f>VLOOKUP($A1767, 'Medical Examinations'!A:H, 8, FALSE)</f>
        <v>No</v>
      </c>
      <c r="H1767" t="str">
        <f>VLOOKUP($A1767, 'Medical Examinations'!A:J, 10, FALSE)</f>
        <v>No major surgery</v>
      </c>
      <c r="I1767" t="str">
        <f>VLOOKUP($A1767, 'Medical Examinations'!A:K, 11, FALSE)</f>
        <v>No</v>
      </c>
      <c r="J1767" t="str">
        <f>VLOOKUP($A1767, 'Medical Examinations'!A:B, 2, FALSE)</f>
        <v>Obesity</v>
      </c>
      <c r="K1767" t="str">
        <f>VLOOKUP($A1767, 'Medical Examinations'!A:D, 4, FALSE)</f>
        <v>Prediabetes</v>
      </c>
    </row>
    <row r="1768" spans="1:11" ht="15.5" x14ac:dyDescent="0.35">
      <c r="A1768" s="1" t="s">
        <v>603</v>
      </c>
      <c r="B1768" t="str">
        <f>VLOOKUP($A1768, 'Customer Names'!A:D, 3, FALSE)</f>
        <v>Auer</v>
      </c>
      <c r="C1768">
        <f>VLOOKUP($A1768,'Medical Examinations'!A:C, 3, FALSE)</f>
        <v>23.56</v>
      </c>
      <c r="D1768" t="str">
        <f>VLOOKUP($A1768, 'Medical Examinations'!A:D, 4, FALSE)</f>
        <v>Normal</v>
      </c>
      <c r="E1768" t="str">
        <f>VLOOKUP($A1768, 'Medical Examinations'!A:F, 6, FALSE)</f>
        <v>yes</v>
      </c>
      <c r="F1768" t="str">
        <f>VLOOKUP($A1768, 'Medical Examinations'!A:G, 7, FALSE)</f>
        <v>No</v>
      </c>
      <c r="G1768" t="str">
        <f>VLOOKUP($A1768, 'Medical Examinations'!A:H, 8, FALSE)</f>
        <v>No</v>
      </c>
      <c r="H1768">
        <f>VLOOKUP($A1768, 'Medical Examinations'!A:J, 10, FALSE)</f>
        <v>1</v>
      </c>
      <c r="I1768" t="str">
        <f>VLOOKUP($A1768, 'Medical Examinations'!A:K, 11, FALSE)</f>
        <v>No</v>
      </c>
      <c r="J1768" t="str">
        <f>VLOOKUP($A1768, 'Medical Examinations'!A:B, 2, FALSE)</f>
        <v>Normal Weight</v>
      </c>
      <c r="K1768" t="str">
        <f>VLOOKUP($A1768, 'Medical Examinations'!A:D, 4, FALSE)</f>
        <v>Normal</v>
      </c>
    </row>
    <row r="1769" spans="1:11" ht="15.5" x14ac:dyDescent="0.35">
      <c r="A1769" s="1" t="s">
        <v>602</v>
      </c>
      <c r="B1769" t="str">
        <f>VLOOKUP($A1769, 'Customer Names'!A:D, 3, FALSE)</f>
        <v>Attar</v>
      </c>
      <c r="C1769">
        <f>VLOOKUP($A1769,'Medical Examinations'!A:C, 3, FALSE)</f>
        <v>15.84</v>
      </c>
      <c r="D1769" t="str">
        <f>VLOOKUP($A1769, 'Medical Examinations'!A:D, 4, FALSE)</f>
        <v>Diabetes</v>
      </c>
      <c r="E1769" t="str">
        <f>VLOOKUP($A1769, 'Medical Examinations'!A:F, 6, FALSE)</f>
        <v>No</v>
      </c>
      <c r="F1769" t="str">
        <f>VLOOKUP($A1769, 'Medical Examinations'!A:G, 7, FALSE)</f>
        <v>No</v>
      </c>
      <c r="G1769" t="str">
        <f>VLOOKUP($A1769, 'Medical Examinations'!A:H, 8, FALSE)</f>
        <v>No</v>
      </c>
      <c r="H1769">
        <f>VLOOKUP($A1769, 'Medical Examinations'!A:J, 10, FALSE)</f>
        <v>2</v>
      </c>
      <c r="I1769" t="str">
        <f>VLOOKUP($A1769, 'Medical Examinations'!A:K, 11, FALSE)</f>
        <v>No</v>
      </c>
      <c r="J1769" t="str">
        <f>VLOOKUP($A1769, 'Medical Examinations'!A:B, 2, FALSE)</f>
        <v>Underweight</v>
      </c>
      <c r="K1769" t="str">
        <f>VLOOKUP($A1769, 'Medical Examinations'!A:D, 4, FALSE)</f>
        <v>Diabetes</v>
      </c>
    </row>
    <row r="1770" spans="1:11" ht="15.5" x14ac:dyDescent="0.35">
      <c r="A1770" s="1" t="s">
        <v>601</v>
      </c>
      <c r="B1770" t="str">
        <f>VLOOKUP($A1770, 'Customer Names'!A:D, 3, FALSE)</f>
        <v>Misuraca</v>
      </c>
      <c r="C1770">
        <f>VLOOKUP($A1770,'Medical Examinations'!A:C, 3, FALSE)</f>
        <v>36.630000000000003</v>
      </c>
      <c r="D1770" t="str">
        <f>VLOOKUP($A1770, 'Medical Examinations'!A:D, 4, FALSE)</f>
        <v>Normal</v>
      </c>
      <c r="E1770" t="str">
        <f>VLOOKUP($A1770, 'Medical Examinations'!A:F, 6, FALSE)</f>
        <v>No</v>
      </c>
      <c r="F1770" t="str">
        <f>VLOOKUP($A1770, 'Medical Examinations'!A:G, 7, FALSE)</f>
        <v>No</v>
      </c>
      <c r="G1770" t="str">
        <f>VLOOKUP($A1770, 'Medical Examinations'!A:H, 8, FALSE)</f>
        <v>No</v>
      </c>
      <c r="H1770" t="str">
        <f>VLOOKUP($A1770, 'Medical Examinations'!A:J, 10, FALSE)</f>
        <v>No major surgery</v>
      </c>
      <c r="I1770" t="str">
        <f>VLOOKUP($A1770, 'Medical Examinations'!A:K, 11, FALSE)</f>
        <v>No</v>
      </c>
      <c r="J1770" t="str">
        <f>VLOOKUP($A1770, 'Medical Examinations'!A:B, 2, FALSE)</f>
        <v>Obesity</v>
      </c>
      <c r="K1770" t="str">
        <f>VLOOKUP($A1770, 'Medical Examinations'!A:D, 4, FALSE)</f>
        <v>Normal</v>
      </c>
    </row>
    <row r="1771" spans="1:11" ht="15.5" x14ac:dyDescent="0.35">
      <c r="A1771" s="1" t="s">
        <v>600</v>
      </c>
      <c r="B1771" t="str">
        <f>VLOOKUP($A1771, 'Customer Names'!A:D, 3, FALSE)</f>
        <v>Spannaus</v>
      </c>
      <c r="C1771">
        <f>VLOOKUP($A1771,'Medical Examinations'!A:C, 3, FALSE)</f>
        <v>16.47</v>
      </c>
      <c r="D1771" t="str">
        <f>VLOOKUP($A1771, 'Medical Examinations'!A:D, 4, FALSE)</f>
        <v>Diabetes</v>
      </c>
      <c r="E1771" t="str">
        <f>VLOOKUP($A1771, 'Medical Examinations'!A:F, 6, FALSE)</f>
        <v>No</v>
      </c>
      <c r="F1771" t="str">
        <f>VLOOKUP($A1771, 'Medical Examinations'!A:G, 7, FALSE)</f>
        <v>No</v>
      </c>
      <c r="G1771" t="str">
        <f>VLOOKUP($A1771, 'Medical Examinations'!A:H, 8, FALSE)</f>
        <v>No</v>
      </c>
      <c r="H1771" t="str">
        <f>VLOOKUP($A1771, 'Medical Examinations'!A:J, 10, FALSE)</f>
        <v>No major surgery</v>
      </c>
      <c r="I1771" t="str">
        <f>VLOOKUP($A1771, 'Medical Examinations'!A:K, 11, FALSE)</f>
        <v>No</v>
      </c>
      <c r="J1771" t="str">
        <f>VLOOKUP($A1771, 'Medical Examinations'!A:B, 2, FALSE)</f>
        <v>Underweight</v>
      </c>
      <c r="K1771" t="str">
        <f>VLOOKUP($A1771, 'Medical Examinations'!A:D, 4, FALSE)</f>
        <v>Diabetes</v>
      </c>
    </row>
    <row r="1772" spans="1:11" ht="15.5" x14ac:dyDescent="0.35">
      <c r="A1772" s="1" t="s">
        <v>599</v>
      </c>
      <c r="B1772" t="str">
        <f>VLOOKUP($A1772, 'Customer Names'!A:D, 3, FALSE)</f>
        <v>Tarbiat</v>
      </c>
      <c r="C1772">
        <f>VLOOKUP($A1772,'Medical Examinations'!A:C, 3, FALSE)</f>
        <v>25.8</v>
      </c>
      <c r="D1772" t="str">
        <f>VLOOKUP($A1772, 'Medical Examinations'!A:D, 4, FALSE)</f>
        <v>Normal</v>
      </c>
      <c r="E1772" t="str">
        <f>VLOOKUP($A1772, 'Medical Examinations'!A:F, 6, FALSE)</f>
        <v>No</v>
      </c>
      <c r="F1772" t="str">
        <f>VLOOKUP($A1772, 'Medical Examinations'!A:G, 7, FALSE)</f>
        <v>No</v>
      </c>
      <c r="G1772" t="str">
        <f>VLOOKUP($A1772, 'Medical Examinations'!A:H, 8, FALSE)</f>
        <v>No</v>
      </c>
      <c r="H1772" t="str">
        <f>VLOOKUP($A1772, 'Medical Examinations'!A:J, 10, FALSE)</f>
        <v>No major surgery</v>
      </c>
      <c r="I1772" t="str">
        <f>VLOOKUP($A1772, 'Medical Examinations'!A:K, 11, FALSE)</f>
        <v>No</v>
      </c>
      <c r="J1772" t="str">
        <f>VLOOKUP($A1772, 'Medical Examinations'!A:B, 2, FALSE)</f>
        <v>Overweight</v>
      </c>
      <c r="K1772" t="str">
        <f>VLOOKUP($A1772, 'Medical Examinations'!A:D, 4, FALSE)</f>
        <v>Normal</v>
      </c>
    </row>
    <row r="1773" spans="1:11" ht="15.5" x14ac:dyDescent="0.35">
      <c r="A1773" s="1" t="s">
        <v>598</v>
      </c>
      <c r="B1773" t="str">
        <f>VLOOKUP($A1773, 'Customer Names'!A:D, 3, FALSE)</f>
        <v>Pulkkinen</v>
      </c>
      <c r="C1773">
        <f>VLOOKUP($A1773,'Medical Examinations'!A:C, 3, FALSE)</f>
        <v>23.6</v>
      </c>
      <c r="D1773" t="str">
        <f>VLOOKUP($A1773, 'Medical Examinations'!A:D, 4, FALSE)</f>
        <v>Normal</v>
      </c>
      <c r="E1773" t="str">
        <f>VLOOKUP($A1773, 'Medical Examinations'!A:F, 6, FALSE)</f>
        <v>No</v>
      </c>
      <c r="F1773" t="str">
        <f>VLOOKUP($A1773, 'Medical Examinations'!A:G, 7, FALSE)</f>
        <v>No</v>
      </c>
      <c r="G1773" t="str">
        <f>VLOOKUP($A1773, 'Medical Examinations'!A:H, 8, FALSE)</f>
        <v>No</v>
      </c>
      <c r="H1773" t="str">
        <f>VLOOKUP($A1773, 'Medical Examinations'!A:J, 10, FALSE)</f>
        <v>No major surgery</v>
      </c>
      <c r="I1773" t="str">
        <f>VLOOKUP($A1773, 'Medical Examinations'!A:K, 11, FALSE)</f>
        <v>No</v>
      </c>
      <c r="J1773" t="str">
        <f>VLOOKUP($A1773, 'Medical Examinations'!A:B, 2, FALSE)</f>
        <v>Normal Weight</v>
      </c>
      <c r="K1773" t="str">
        <f>VLOOKUP($A1773, 'Medical Examinations'!A:D, 4, FALSE)</f>
        <v>Normal</v>
      </c>
    </row>
    <row r="1774" spans="1:11" ht="15.5" x14ac:dyDescent="0.35">
      <c r="A1774" s="1" t="s">
        <v>597</v>
      </c>
      <c r="B1774" t="str">
        <f>VLOOKUP($A1774, 'Customer Names'!A:D, 3, FALSE)</f>
        <v>Trnovcova</v>
      </c>
      <c r="C1774">
        <f>VLOOKUP($A1774,'Medical Examinations'!A:C, 3, FALSE)</f>
        <v>32.11</v>
      </c>
      <c r="D1774" t="str">
        <f>VLOOKUP($A1774, 'Medical Examinations'!A:D, 4, FALSE)</f>
        <v>Prediabetes</v>
      </c>
      <c r="E1774" t="str">
        <f>VLOOKUP($A1774, 'Medical Examinations'!A:F, 6, FALSE)</f>
        <v>No</v>
      </c>
      <c r="F1774" t="str">
        <f>VLOOKUP($A1774, 'Medical Examinations'!A:G, 7, FALSE)</f>
        <v>No</v>
      </c>
      <c r="G1774" t="str">
        <f>VLOOKUP($A1774, 'Medical Examinations'!A:H, 8, FALSE)</f>
        <v>Yes</v>
      </c>
      <c r="H1774">
        <f>VLOOKUP($A1774, 'Medical Examinations'!A:J, 10, FALSE)</f>
        <v>1</v>
      </c>
      <c r="I1774" t="str">
        <f>VLOOKUP($A1774, 'Medical Examinations'!A:K, 11, FALSE)</f>
        <v>No</v>
      </c>
      <c r="J1774" t="str">
        <f>VLOOKUP($A1774, 'Medical Examinations'!A:B, 2, FALSE)</f>
        <v>Obesity</v>
      </c>
      <c r="K1774" t="str">
        <f>VLOOKUP($A1774, 'Medical Examinations'!A:D, 4, FALSE)</f>
        <v>Prediabetes</v>
      </c>
    </row>
    <row r="1775" spans="1:11" ht="15.5" x14ac:dyDescent="0.35">
      <c r="A1775" s="1" t="s">
        <v>596</v>
      </c>
      <c r="B1775" t="str">
        <f>VLOOKUP($A1775, 'Customer Names'!A:D, 3, FALSE)</f>
        <v>Anthony</v>
      </c>
      <c r="C1775">
        <f>VLOOKUP($A1775,'Medical Examinations'!A:C, 3, FALSE)</f>
        <v>30.114999999999998</v>
      </c>
      <c r="D1775" t="str">
        <f>VLOOKUP($A1775, 'Medical Examinations'!A:D, 4, FALSE)</f>
        <v>Diabetes</v>
      </c>
      <c r="E1775" t="str">
        <f>VLOOKUP($A1775, 'Medical Examinations'!A:F, 6, FALSE)</f>
        <v>No</v>
      </c>
      <c r="F1775" t="str">
        <f>VLOOKUP($A1775, 'Medical Examinations'!A:G, 7, FALSE)</f>
        <v>No</v>
      </c>
      <c r="G1775" t="str">
        <f>VLOOKUP($A1775, 'Medical Examinations'!A:H, 8, FALSE)</f>
        <v>No</v>
      </c>
      <c r="H1775" t="str">
        <f>VLOOKUP($A1775, 'Medical Examinations'!A:J, 10, FALSE)</f>
        <v>No major surgery</v>
      </c>
      <c r="I1775" t="str">
        <f>VLOOKUP($A1775, 'Medical Examinations'!A:K, 11, FALSE)</f>
        <v>No</v>
      </c>
      <c r="J1775" t="str">
        <f>VLOOKUP($A1775, 'Medical Examinations'!A:B, 2, FALSE)</f>
        <v>Obesity</v>
      </c>
      <c r="K1775" t="str">
        <f>VLOOKUP($A1775, 'Medical Examinations'!A:D, 4, FALSE)</f>
        <v>Diabetes</v>
      </c>
    </row>
    <row r="1776" spans="1:11" ht="15.5" x14ac:dyDescent="0.35">
      <c r="A1776" s="1" t="s">
        <v>595</v>
      </c>
      <c r="B1776" t="str">
        <f>VLOOKUP($A1776, 'Customer Names'!A:D, 3, FALSE)</f>
        <v>Hetrick</v>
      </c>
      <c r="C1776">
        <f>VLOOKUP($A1776,'Medical Examinations'!A:C, 3, FALSE)</f>
        <v>20.28</v>
      </c>
      <c r="D1776" t="str">
        <f>VLOOKUP($A1776, 'Medical Examinations'!A:D, 4, FALSE)</f>
        <v>Diabetes</v>
      </c>
      <c r="E1776" t="str">
        <f>VLOOKUP($A1776, 'Medical Examinations'!A:F, 6, FALSE)</f>
        <v>yes</v>
      </c>
      <c r="F1776" t="str">
        <f>VLOOKUP($A1776, 'Medical Examinations'!A:G, 7, FALSE)</f>
        <v>No</v>
      </c>
      <c r="G1776" t="str">
        <f>VLOOKUP($A1776, 'Medical Examinations'!A:H, 8, FALSE)</f>
        <v>No</v>
      </c>
      <c r="H1776" t="str">
        <f>VLOOKUP($A1776, 'Medical Examinations'!A:J, 10, FALSE)</f>
        <v>No major surgery</v>
      </c>
      <c r="I1776" t="str">
        <f>VLOOKUP($A1776, 'Medical Examinations'!A:K, 11, FALSE)</f>
        <v>No</v>
      </c>
      <c r="J1776" t="str">
        <f>VLOOKUP($A1776, 'Medical Examinations'!A:B, 2, FALSE)</f>
        <v>Normal Weight</v>
      </c>
      <c r="K1776" t="str">
        <f>VLOOKUP($A1776, 'Medical Examinations'!A:D, 4, FALSE)</f>
        <v>Diabetes</v>
      </c>
    </row>
    <row r="1777" spans="1:11" ht="15.5" x14ac:dyDescent="0.35">
      <c r="A1777" s="1" t="s">
        <v>594</v>
      </c>
      <c r="B1777" t="str">
        <f>VLOOKUP($A1777, 'Customer Names'!A:D, 3, FALSE)</f>
        <v>Stern</v>
      </c>
      <c r="C1777">
        <f>VLOOKUP($A1777,'Medical Examinations'!A:C, 3, FALSE)</f>
        <v>20.234999999999999</v>
      </c>
      <c r="D1777" t="str">
        <f>VLOOKUP($A1777, 'Medical Examinations'!A:D, 4, FALSE)</f>
        <v>Normal</v>
      </c>
      <c r="E1777" t="str">
        <f>VLOOKUP($A1777, 'Medical Examinations'!A:F, 6, FALSE)</f>
        <v>No</v>
      </c>
      <c r="F1777" t="str">
        <f>VLOOKUP($A1777, 'Medical Examinations'!A:G, 7, FALSE)</f>
        <v>No</v>
      </c>
      <c r="G1777" t="str">
        <f>VLOOKUP($A1777, 'Medical Examinations'!A:H, 8, FALSE)</f>
        <v>Yes</v>
      </c>
      <c r="H1777">
        <f>VLOOKUP($A1777, 'Medical Examinations'!A:J, 10, FALSE)</f>
        <v>1</v>
      </c>
      <c r="I1777" t="str">
        <f>VLOOKUP($A1777, 'Medical Examinations'!A:K, 11, FALSE)</f>
        <v>No</v>
      </c>
      <c r="J1777" t="str">
        <f>VLOOKUP($A1777, 'Medical Examinations'!A:B, 2, FALSE)</f>
        <v>Normal Weight</v>
      </c>
      <c r="K1777" t="str">
        <f>VLOOKUP($A1777, 'Medical Examinations'!A:D, 4, FALSE)</f>
        <v>Normal</v>
      </c>
    </row>
    <row r="1778" spans="1:11" ht="15.5" x14ac:dyDescent="0.35">
      <c r="A1778" s="1" t="s">
        <v>593</v>
      </c>
      <c r="B1778" t="str">
        <f>VLOOKUP($A1778, 'Customer Names'!A:D, 3, FALSE)</f>
        <v>Newman</v>
      </c>
      <c r="C1778">
        <f>VLOOKUP($A1778,'Medical Examinations'!A:C, 3, FALSE)</f>
        <v>25.27</v>
      </c>
      <c r="D1778" t="str">
        <f>VLOOKUP($A1778, 'Medical Examinations'!A:D, 4, FALSE)</f>
        <v>Prediabetes</v>
      </c>
      <c r="E1778" t="str">
        <f>VLOOKUP($A1778, 'Medical Examinations'!A:F, 6, FALSE)</f>
        <v>yes</v>
      </c>
      <c r="F1778" t="str">
        <f>VLOOKUP($A1778, 'Medical Examinations'!A:G, 7, FALSE)</f>
        <v>No</v>
      </c>
      <c r="G1778" t="str">
        <f>VLOOKUP($A1778, 'Medical Examinations'!A:H, 8, FALSE)</f>
        <v>No</v>
      </c>
      <c r="H1778">
        <f>VLOOKUP($A1778, 'Medical Examinations'!A:J, 10, FALSE)</f>
        <v>1</v>
      </c>
      <c r="I1778" t="str">
        <f>VLOOKUP($A1778, 'Medical Examinations'!A:K, 11, FALSE)</f>
        <v>No</v>
      </c>
      <c r="J1778" t="str">
        <f>VLOOKUP($A1778, 'Medical Examinations'!A:B, 2, FALSE)</f>
        <v>Overweight</v>
      </c>
      <c r="K1778" t="str">
        <f>VLOOKUP($A1778, 'Medical Examinations'!A:D, 4, FALSE)</f>
        <v>Prediabetes</v>
      </c>
    </row>
    <row r="1779" spans="1:11" ht="15.5" x14ac:dyDescent="0.35">
      <c r="A1779" s="1" t="s">
        <v>592</v>
      </c>
      <c r="B1779" t="str">
        <f>VLOOKUP($A1779, 'Customer Names'!A:D, 3, FALSE)</f>
        <v>Reasoner</v>
      </c>
      <c r="C1779">
        <f>VLOOKUP($A1779,'Medical Examinations'!A:C, 3, FALSE)</f>
        <v>24.24</v>
      </c>
      <c r="D1779" t="str">
        <f>VLOOKUP($A1779, 'Medical Examinations'!A:D, 4, FALSE)</f>
        <v>Prediabetes</v>
      </c>
      <c r="E1779" t="str">
        <f>VLOOKUP($A1779, 'Medical Examinations'!A:F, 6, FALSE)</f>
        <v>No</v>
      </c>
      <c r="F1779" t="str">
        <f>VLOOKUP($A1779, 'Medical Examinations'!A:G, 7, FALSE)</f>
        <v>No</v>
      </c>
      <c r="G1779" t="str">
        <f>VLOOKUP($A1779, 'Medical Examinations'!A:H, 8, FALSE)</f>
        <v>No</v>
      </c>
      <c r="H1779" t="str">
        <f>VLOOKUP($A1779, 'Medical Examinations'!A:J, 10, FALSE)</f>
        <v>No major surgery</v>
      </c>
      <c r="I1779" t="str">
        <f>VLOOKUP($A1779, 'Medical Examinations'!A:K, 11, FALSE)</f>
        <v>No</v>
      </c>
      <c r="J1779" t="str">
        <f>VLOOKUP($A1779, 'Medical Examinations'!A:B, 2, FALSE)</f>
        <v>Normal Weight</v>
      </c>
      <c r="K1779" t="str">
        <f>VLOOKUP($A1779, 'Medical Examinations'!A:D, 4, FALSE)</f>
        <v>Prediabetes</v>
      </c>
    </row>
    <row r="1780" spans="1:11" ht="15.5" x14ac:dyDescent="0.35">
      <c r="A1780" s="1" t="s">
        <v>591</v>
      </c>
      <c r="B1780" t="str">
        <f>VLOOKUP($A1780, 'Customer Names'!A:D, 3, FALSE)</f>
        <v>Mone</v>
      </c>
      <c r="C1780">
        <f>VLOOKUP($A1780,'Medical Examinations'!A:C, 3, FALSE)</f>
        <v>35.75</v>
      </c>
      <c r="D1780" t="str">
        <f>VLOOKUP($A1780, 'Medical Examinations'!A:D, 4, FALSE)</f>
        <v>Normal</v>
      </c>
      <c r="E1780" t="str">
        <f>VLOOKUP($A1780, 'Medical Examinations'!A:F, 6, FALSE)</f>
        <v>No</v>
      </c>
      <c r="F1780" t="str">
        <f>VLOOKUP($A1780, 'Medical Examinations'!A:G, 7, FALSE)</f>
        <v>No</v>
      </c>
      <c r="G1780" t="str">
        <f>VLOOKUP($A1780, 'Medical Examinations'!A:H, 8, FALSE)</f>
        <v>No</v>
      </c>
      <c r="H1780" t="str">
        <f>VLOOKUP($A1780, 'Medical Examinations'!A:J, 10, FALSE)</f>
        <v>No major surgery</v>
      </c>
      <c r="I1780" t="str">
        <f>VLOOKUP($A1780, 'Medical Examinations'!A:K, 11, FALSE)</f>
        <v>No</v>
      </c>
      <c r="J1780" t="str">
        <f>VLOOKUP($A1780, 'Medical Examinations'!A:B, 2, FALSE)</f>
        <v>Obesity</v>
      </c>
      <c r="K1780" t="str">
        <f>VLOOKUP($A1780, 'Medical Examinations'!A:D, 4, FALSE)</f>
        <v>Normal</v>
      </c>
    </row>
    <row r="1781" spans="1:11" ht="15.5" x14ac:dyDescent="0.35">
      <c r="A1781" s="1" t="s">
        <v>590</v>
      </c>
      <c r="B1781" t="str">
        <f>VLOOKUP($A1781, 'Customer Names'!A:D, 3, FALSE)</f>
        <v>Powers</v>
      </c>
      <c r="C1781">
        <f>VLOOKUP($A1781,'Medical Examinations'!A:C, 3, FALSE)</f>
        <v>29.92</v>
      </c>
      <c r="D1781" t="str">
        <f>VLOOKUP($A1781, 'Medical Examinations'!A:D, 4, FALSE)</f>
        <v>Diabetes</v>
      </c>
      <c r="E1781" t="str">
        <f>VLOOKUP($A1781, 'Medical Examinations'!A:F, 6, FALSE)</f>
        <v>yes</v>
      </c>
      <c r="F1781" t="str">
        <f>VLOOKUP($A1781, 'Medical Examinations'!A:G, 7, FALSE)</f>
        <v>No</v>
      </c>
      <c r="G1781" t="str">
        <f>VLOOKUP($A1781, 'Medical Examinations'!A:H, 8, FALSE)</f>
        <v>No</v>
      </c>
      <c r="H1781">
        <f>VLOOKUP($A1781, 'Medical Examinations'!A:J, 10, FALSE)</f>
        <v>1</v>
      </c>
      <c r="I1781" t="str">
        <f>VLOOKUP($A1781, 'Medical Examinations'!A:K, 11, FALSE)</f>
        <v>No</v>
      </c>
      <c r="J1781" t="e">
        <f>VLOOKUP($A1781, 'Medical Examinations'!A:B, 2, FALSE)</f>
        <v>#N/A</v>
      </c>
      <c r="K1781" t="str">
        <f>VLOOKUP($A1781, 'Medical Examinations'!A:D, 4, FALSE)</f>
        <v>Diabetes</v>
      </c>
    </row>
    <row r="1782" spans="1:11" ht="15.5" x14ac:dyDescent="0.35">
      <c r="A1782" s="1" t="s">
        <v>589</v>
      </c>
      <c r="B1782" t="str">
        <f>VLOOKUP($A1782, 'Customer Names'!A:D, 3, FALSE)</f>
        <v>Ulery</v>
      </c>
      <c r="C1782">
        <f>VLOOKUP($A1782,'Medical Examinations'!A:C, 3, FALSE)</f>
        <v>26.2</v>
      </c>
      <c r="D1782" t="str">
        <f>VLOOKUP($A1782, 'Medical Examinations'!A:D, 4, FALSE)</f>
        <v>Diabetes</v>
      </c>
      <c r="E1782" t="str">
        <f>VLOOKUP($A1782, 'Medical Examinations'!A:F, 6, FALSE)</f>
        <v>yes</v>
      </c>
      <c r="F1782" t="str">
        <f>VLOOKUP($A1782, 'Medical Examinations'!A:G, 7, FALSE)</f>
        <v>No</v>
      </c>
      <c r="G1782" t="str">
        <f>VLOOKUP($A1782, 'Medical Examinations'!A:H, 8, FALSE)</f>
        <v>No</v>
      </c>
      <c r="H1782">
        <f>VLOOKUP($A1782, 'Medical Examinations'!A:J, 10, FALSE)</f>
        <v>1</v>
      </c>
      <c r="I1782" t="str">
        <f>VLOOKUP($A1782, 'Medical Examinations'!A:K, 11, FALSE)</f>
        <v>No</v>
      </c>
      <c r="J1782" t="str">
        <f>VLOOKUP($A1782, 'Medical Examinations'!A:B, 2, FALSE)</f>
        <v>Overweight</v>
      </c>
      <c r="K1782" t="str">
        <f>VLOOKUP($A1782, 'Medical Examinations'!A:D, 4, FALSE)</f>
        <v>Diabetes</v>
      </c>
    </row>
    <row r="1783" spans="1:11" ht="15.5" x14ac:dyDescent="0.35">
      <c r="A1783" s="1" t="s">
        <v>588</v>
      </c>
      <c r="B1783" t="str">
        <f>VLOOKUP($A1783, 'Customer Names'!A:D, 3, FALSE)</f>
        <v>Haines</v>
      </c>
      <c r="C1783">
        <f>VLOOKUP($A1783,'Medical Examinations'!A:C, 3, FALSE)</f>
        <v>26.695</v>
      </c>
      <c r="D1783" t="str">
        <f>VLOOKUP($A1783, 'Medical Examinations'!A:D, 4, FALSE)</f>
        <v>Normal</v>
      </c>
      <c r="E1783" t="str">
        <f>VLOOKUP($A1783, 'Medical Examinations'!A:F, 6, FALSE)</f>
        <v>yes</v>
      </c>
      <c r="F1783" t="str">
        <f>VLOOKUP($A1783, 'Medical Examinations'!A:G, 7, FALSE)</f>
        <v>No</v>
      </c>
      <c r="G1783" t="str">
        <f>VLOOKUP($A1783, 'Medical Examinations'!A:H, 8, FALSE)</f>
        <v>Yes</v>
      </c>
      <c r="H1783">
        <f>VLOOKUP($A1783, 'Medical Examinations'!A:J, 10, FALSE)</f>
        <v>1</v>
      </c>
      <c r="I1783" t="str">
        <f>VLOOKUP($A1783, 'Medical Examinations'!A:K, 11, FALSE)</f>
        <v>No</v>
      </c>
      <c r="J1783" t="str">
        <f>VLOOKUP($A1783, 'Medical Examinations'!A:B, 2, FALSE)</f>
        <v>Overweight</v>
      </c>
      <c r="K1783" t="str">
        <f>VLOOKUP($A1783, 'Medical Examinations'!A:D, 4, FALSE)</f>
        <v>Normal</v>
      </c>
    </row>
    <row r="1784" spans="1:11" ht="15.5" x14ac:dyDescent="0.35">
      <c r="A1784" s="1" t="s">
        <v>587</v>
      </c>
      <c r="B1784" t="str">
        <f>VLOOKUP($A1784, 'Customer Names'!A:D, 3, FALSE)</f>
        <v>Airoldi</v>
      </c>
      <c r="C1784">
        <f>VLOOKUP($A1784,'Medical Examinations'!A:C, 3, FALSE)</f>
        <v>23.16</v>
      </c>
      <c r="D1784" t="str">
        <f>VLOOKUP($A1784, 'Medical Examinations'!A:D, 4, FALSE)</f>
        <v>Normal</v>
      </c>
      <c r="E1784" t="str">
        <f>VLOOKUP($A1784, 'Medical Examinations'!A:F, 6, FALSE)</f>
        <v>No</v>
      </c>
      <c r="F1784" t="str">
        <f>VLOOKUP($A1784, 'Medical Examinations'!A:G, 7, FALSE)</f>
        <v>No</v>
      </c>
      <c r="G1784" t="str">
        <f>VLOOKUP($A1784, 'Medical Examinations'!A:H, 8, FALSE)</f>
        <v>No</v>
      </c>
      <c r="H1784" t="str">
        <f>VLOOKUP($A1784, 'Medical Examinations'!A:J, 10, FALSE)</f>
        <v>No major surgery</v>
      </c>
      <c r="I1784" t="str">
        <f>VLOOKUP($A1784, 'Medical Examinations'!A:K, 11, FALSE)</f>
        <v>No</v>
      </c>
      <c r="J1784" t="str">
        <f>VLOOKUP($A1784, 'Medical Examinations'!A:B, 2, FALSE)</f>
        <v>Normal Weight</v>
      </c>
      <c r="K1784" t="str">
        <f>VLOOKUP($A1784, 'Medical Examinations'!A:D, 4, FALSE)</f>
        <v>Normal</v>
      </c>
    </row>
    <row r="1785" spans="1:11" ht="15.5" x14ac:dyDescent="0.35">
      <c r="A1785" s="1" t="s">
        <v>586</v>
      </c>
      <c r="B1785" t="str">
        <f>VLOOKUP($A1785, 'Customer Names'!A:D, 3, FALSE)</f>
        <v>Mattis</v>
      </c>
      <c r="C1785">
        <f>VLOOKUP($A1785,'Medical Examinations'!A:C, 3, FALSE)</f>
        <v>32.585000000000001</v>
      </c>
      <c r="D1785" t="str">
        <f>VLOOKUP($A1785, 'Medical Examinations'!A:D, 4, FALSE)</f>
        <v>Normal</v>
      </c>
      <c r="E1785" t="str">
        <f>VLOOKUP($A1785, 'Medical Examinations'!A:F, 6, FALSE)</f>
        <v>yes</v>
      </c>
      <c r="F1785" t="str">
        <f>VLOOKUP($A1785, 'Medical Examinations'!A:G, 7, FALSE)</f>
        <v>No</v>
      </c>
      <c r="G1785" t="str">
        <f>VLOOKUP($A1785, 'Medical Examinations'!A:H, 8, FALSE)</f>
        <v>No</v>
      </c>
      <c r="H1785">
        <f>VLOOKUP($A1785, 'Medical Examinations'!A:J, 10, FALSE)</f>
        <v>1</v>
      </c>
      <c r="I1785" t="str">
        <f>VLOOKUP($A1785, 'Medical Examinations'!A:K, 11, FALSE)</f>
        <v>No</v>
      </c>
      <c r="J1785" t="str">
        <f>VLOOKUP($A1785, 'Medical Examinations'!A:B, 2, FALSE)</f>
        <v>Obesity</v>
      </c>
      <c r="K1785" t="str">
        <f>VLOOKUP($A1785, 'Medical Examinations'!A:D, 4, FALSE)</f>
        <v>Normal</v>
      </c>
    </row>
    <row r="1786" spans="1:11" ht="15.5" x14ac:dyDescent="0.35">
      <c r="A1786" s="1" t="s">
        <v>585</v>
      </c>
      <c r="B1786" t="str">
        <f>VLOOKUP($A1786, 'Customer Names'!A:D, 3, FALSE)</f>
        <v>Cho</v>
      </c>
      <c r="C1786">
        <f>VLOOKUP($A1786,'Medical Examinations'!A:C, 3, FALSE)</f>
        <v>33.97</v>
      </c>
      <c r="D1786" t="str">
        <f>VLOOKUP($A1786, 'Medical Examinations'!A:D, 4, FALSE)</f>
        <v>Normal</v>
      </c>
      <c r="E1786" t="str">
        <f>VLOOKUP($A1786, 'Medical Examinations'!A:F, 6, FALSE)</f>
        <v>yes</v>
      </c>
      <c r="F1786" t="str">
        <f>VLOOKUP($A1786, 'Medical Examinations'!A:G, 7, FALSE)</f>
        <v>No</v>
      </c>
      <c r="G1786" t="str">
        <f>VLOOKUP($A1786, 'Medical Examinations'!A:H, 8, FALSE)</f>
        <v>No</v>
      </c>
      <c r="H1786" t="str">
        <f>VLOOKUP($A1786, 'Medical Examinations'!A:J, 10, FALSE)</f>
        <v>No major surgery</v>
      </c>
      <c r="I1786" t="str">
        <f>VLOOKUP($A1786, 'Medical Examinations'!A:K, 11, FALSE)</f>
        <v>No</v>
      </c>
      <c r="J1786" t="str">
        <f>VLOOKUP($A1786, 'Medical Examinations'!A:B, 2, FALSE)</f>
        <v>Obesity</v>
      </c>
      <c r="K1786" t="str">
        <f>VLOOKUP($A1786, 'Medical Examinations'!A:D, 4, FALSE)</f>
        <v>Normal</v>
      </c>
    </row>
    <row r="1787" spans="1:11" ht="15.5" x14ac:dyDescent="0.35">
      <c r="A1787" s="1" t="s">
        <v>584</v>
      </c>
      <c r="B1787" t="str">
        <f>VLOOKUP($A1787, 'Customer Names'!A:D, 3, FALSE)</f>
        <v>Reumann</v>
      </c>
      <c r="C1787">
        <f>VLOOKUP($A1787,'Medical Examinations'!A:C, 3, FALSE)</f>
        <v>16.57</v>
      </c>
      <c r="D1787" t="str">
        <f>VLOOKUP($A1787, 'Medical Examinations'!A:D, 4, FALSE)</f>
        <v>Diabetes</v>
      </c>
      <c r="E1787" t="str">
        <f>VLOOKUP($A1787, 'Medical Examinations'!A:F, 6, FALSE)</f>
        <v>No</v>
      </c>
      <c r="F1787" t="str">
        <f>VLOOKUP($A1787, 'Medical Examinations'!A:G, 7, FALSE)</f>
        <v>No</v>
      </c>
      <c r="G1787" t="str">
        <f>VLOOKUP($A1787, 'Medical Examinations'!A:H, 8, FALSE)</f>
        <v>No</v>
      </c>
      <c r="H1787" t="str">
        <f>VLOOKUP($A1787, 'Medical Examinations'!A:J, 10, FALSE)</f>
        <v>No major surgery</v>
      </c>
      <c r="I1787" t="str">
        <f>VLOOKUP($A1787, 'Medical Examinations'!A:K, 11, FALSE)</f>
        <v>No</v>
      </c>
      <c r="J1787" t="str">
        <f>VLOOKUP($A1787, 'Medical Examinations'!A:B, 2, FALSE)</f>
        <v>Underweight</v>
      </c>
      <c r="K1787" t="str">
        <f>VLOOKUP($A1787, 'Medical Examinations'!A:D, 4, FALSE)</f>
        <v>Diabetes</v>
      </c>
    </row>
    <row r="1788" spans="1:11" ht="15.5" x14ac:dyDescent="0.35">
      <c r="A1788" s="1" t="s">
        <v>583</v>
      </c>
      <c r="B1788" t="str">
        <f>VLOOKUP($A1788, 'Customer Names'!A:D, 3, FALSE)</f>
        <v>Cooper</v>
      </c>
      <c r="C1788">
        <f>VLOOKUP($A1788,'Medical Examinations'!A:C, 3, FALSE)</f>
        <v>17.55</v>
      </c>
      <c r="D1788" t="str">
        <f>VLOOKUP($A1788, 'Medical Examinations'!A:D, 4, FALSE)</f>
        <v>Prediabetes</v>
      </c>
      <c r="E1788" t="str">
        <f>VLOOKUP($A1788, 'Medical Examinations'!A:F, 6, FALSE)</f>
        <v>No</v>
      </c>
      <c r="F1788" t="str">
        <f>VLOOKUP($A1788, 'Medical Examinations'!A:G, 7, FALSE)</f>
        <v>No</v>
      </c>
      <c r="G1788" t="str">
        <f>VLOOKUP($A1788, 'Medical Examinations'!A:H, 8, FALSE)</f>
        <v>Yes</v>
      </c>
      <c r="H1788">
        <f>VLOOKUP($A1788, 'Medical Examinations'!A:J, 10, FALSE)</f>
        <v>1</v>
      </c>
      <c r="I1788" t="str">
        <f>VLOOKUP($A1788, 'Medical Examinations'!A:K, 11, FALSE)</f>
        <v>No</v>
      </c>
      <c r="J1788" t="str">
        <f>VLOOKUP($A1788, 'Medical Examinations'!A:B, 2, FALSE)</f>
        <v>Underweight</v>
      </c>
      <c r="K1788" t="str">
        <f>VLOOKUP($A1788, 'Medical Examinations'!A:D, 4, FALSE)</f>
        <v>Prediabetes</v>
      </c>
    </row>
    <row r="1789" spans="1:11" ht="15.5" x14ac:dyDescent="0.35">
      <c r="A1789" s="1" t="s">
        <v>582</v>
      </c>
      <c r="B1789" t="str">
        <f>VLOOKUP($A1789, 'Customer Names'!A:D, 3, FALSE)</f>
        <v>Kennedy</v>
      </c>
      <c r="C1789">
        <f>VLOOKUP($A1789,'Medical Examinations'!A:C, 3, FALSE)</f>
        <v>29.41</v>
      </c>
      <c r="D1789" t="str">
        <f>VLOOKUP($A1789, 'Medical Examinations'!A:D, 4, FALSE)</f>
        <v>Prediabetes</v>
      </c>
      <c r="E1789" t="str">
        <f>VLOOKUP($A1789, 'Medical Examinations'!A:F, 6, FALSE)</f>
        <v>yes</v>
      </c>
      <c r="F1789" t="str">
        <f>VLOOKUP($A1789, 'Medical Examinations'!A:G, 7, FALSE)</f>
        <v>No</v>
      </c>
      <c r="G1789" t="str">
        <f>VLOOKUP($A1789, 'Medical Examinations'!A:H, 8, FALSE)</f>
        <v>No</v>
      </c>
      <c r="H1789">
        <f>VLOOKUP($A1789, 'Medical Examinations'!A:J, 10, FALSE)</f>
        <v>1</v>
      </c>
      <c r="I1789" t="str">
        <f>VLOOKUP($A1789, 'Medical Examinations'!A:K, 11, FALSE)</f>
        <v>No</v>
      </c>
      <c r="J1789" t="str">
        <f>VLOOKUP($A1789, 'Medical Examinations'!A:B, 2, FALSE)</f>
        <v>Overweight</v>
      </c>
      <c r="K1789" t="str">
        <f>VLOOKUP($A1789, 'Medical Examinations'!A:D, 4, FALSE)</f>
        <v>Prediabetes</v>
      </c>
    </row>
    <row r="1790" spans="1:11" ht="15.5" x14ac:dyDescent="0.35">
      <c r="A1790" s="1" t="s">
        <v>581</v>
      </c>
      <c r="B1790" t="str">
        <f>VLOOKUP($A1790, 'Customer Names'!A:D, 3, FALSE)</f>
        <v>Cichon</v>
      </c>
      <c r="C1790">
        <f>VLOOKUP($A1790,'Medical Examinations'!A:C, 3, FALSE)</f>
        <v>17.91</v>
      </c>
      <c r="D1790" t="str">
        <f>VLOOKUP($A1790, 'Medical Examinations'!A:D, 4, FALSE)</f>
        <v>Normal</v>
      </c>
      <c r="E1790" t="str">
        <f>VLOOKUP($A1790, 'Medical Examinations'!A:F, 6, FALSE)</f>
        <v>No</v>
      </c>
      <c r="F1790" t="str">
        <f>VLOOKUP($A1790, 'Medical Examinations'!A:G, 7, FALSE)</f>
        <v>No</v>
      </c>
      <c r="G1790" t="str">
        <f>VLOOKUP($A1790, 'Medical Examinations'!A:H, 8, FALSE)</f>
        <v>No</v>
      </c>
      <c r="H1790">
        <f>VLOOKUP($A1790, 'Medical Examinations'!A:J, 10, FALSE)</f>
        <v>1</v>
      </c>
      <c r="I1790" t="str">
        <f>VLOOKUP($A1790, 'Medical Examinations'!A:K, 11, FALSE)</f>
        <v>No</v>
      </c>
      <c r="J1790" t="str">
        <f>VLOOKUP($A1790, 'Medical Examinations'!A:B, 2, FALSE)</f>
        <v>Underweight</v>
      </c>
      <c r="K1790" t="str">
        <f>VLOOKUP($A1790, 'Medical Examinations'!A:D, 4, FALSE)</f>
        <v>Normal</v>
      </c>
    </row>
    <row r="1791" spans="1:11" ht="15.5" x14ac:dyDescent="0.35">
      <c r="A1791" s="1" t="s">
        <v>580</v>
      </c>
      <c r="B1791" t="str">
        <f>VLOOKUP($A1791, 'Customer Names'!A:D, 3, FALSE)</f>
        <v>Maroevic</v>
      </c>
      <c r="C1791">
        <f>VLOOKUP($A1791,'Medical Examinations'!A:C, 3, FALSE)</f>
        <v>31.57</v>
      </c>
      <c r="D1791" t="str">
        <f>VLOOKUP($A1791, 'Medical Examinations'!A:D, 4, FALSE)</f>
        <v>Prediabetes</v>
      </c>
      <c r="E1791" t="str">
        <f>VLOOKUP($A1791, 'Medical Examinations'!A:F, 6, FALSE)</f>
        <v>No</v>
      </c>
      <c r="F1791" t="str">
        <f>VLOOKUP($A1791, 'Medical Examinations'!A:G, 7, FALSE)</f>
        <v>No</v>
      </c>
      <c r="G1791" t="str">
        <f>VLOOKUP($A1791, 'Medical Examinations'!A:H, 8, FALSE)</f>
        <v>No</v>
      </c>
      <c r="H1791">
        <f>VLOOKUP($A1791, 'Medical Examinations'!A:J, 10, FALSE)</f>
        <v>1</v>
      </c>
      <c r="I1791" t="str">
        <f>VLOOKUP($A1791, 'Medical Examinations'!A:K, 11, FALSE)</f>
        <v>No</v>
      </c>
      <c r="J1791" t="str">
        <f>VLOOKUP($A1791, 'Medical Examinations'!A:B, 2, FALSE)</f>
        <v>Obesity</v>
      </c>
      <c r="K1791" t="str">
        <f>VLOOKUP($A1791, 'Medical Examinations'!A:D, 4, FALSE)</f>
        <v>Prediabetes</v>
      </c>
    </row>
    <row r="1792" spans="1:11" ht="15.5" x14ac:dyDescent="0.35">
      <c r="A1792" s="1" t="s">
        <v>579</v>
      </c>
      <c r="B1792" t="str">
        <f>VLOOKUP($A1792, 'Customer Names'!A:D, 3, FALSE)</f>
        <v>Martin</v>
      </c>
      <c r="C1792">
        <f>VLOOKUP($A1792,'Medical Examinations'!A:C, 3, FALSE)</f>
        <v>33.18</v>
      </c>
      <c r="D1792" t="str">
        <f>VLOOKUP($A1792, 'Medical Examinations'!A:D, 4, FALSE)</f>
        <v>Normal</v>
      </c>
      <c r="E1792" t="str">
        <f>VLOOKUP($A1792, 'Medical Examinations'!A:F, 6, FALSE)</f>
        <v>No</v>
      </c>
      <c r="F1792" t="str">
        <f>VLOOKUP($A1792, 'Medical Examinations'!A:G, 7, FALSE)</f>
        <v>yes</v>
      </c>
      <c r="G1792" t="str">
        <f>VLOOKUP($A1792, 'Medical Examinations'!A:H, 8, FALSE)</f>
        <v>No</v>
      </c>
      <c r="H1792">
        <f>VLOOKUP($A1792, 'Medical Examinations'!A:J, 10, FALSE)</f>
        <v>1</v>
      </c>
      <c r="I1792" t="str">
        <f>VLOOKUP($A1792, 'Medical Examinations'!A:K, 11, FALSE)</f>
        <v>No</v>
      </c>
      <c r="J1792" t="str">
        <f>VLOOKUP($A1792, 'Medical Examinations'!A:B, 2, FALSE)</f>
        <v>Obesity</v>
      </c>
      <c r="K1792" t="str">
        <f>VLOOKUP($A1792, 'Medical Examinations'!A:D, 4, FALSE)</f>
        <v>Normal</v>
      </c>
    </row>
    <row r="1793" spans="1:11" ht="15.5" x14ac:dyDescent="0.35">
      <c r="A1793" s="1" t="s">
        <v>578</v>
      </c>
      <c r="B1793" t="str">
        <f>VLOOKUP($A1793, 'Customer Names'!A:D, 3, FALSE)</f>
        <v>Schulz</v>
      </c>
      <c r="C1793">
        <f>VLOOKUP($A1793,'Medical Examinations'!A:C, 3, FALSE)</f>
        <v>37</v>
      </c>
      <c r="D1793" t="str">
        <f>VLOOKUP($A1793, 'Medical Examinations'!A:D, 4, FALSE)</f>
        <v>Diabetes</v>
      </c>
      <c r="E1793" t="str">
        <f>VLOOKUP($A1793, 'Medical Examinations'!A:F, 6, FALSE)</f>
        <v>No</v>
      </c>
      <c r="F1793" t="str">
        <f>VLOOKUP($A1793, 'Medical Examinations'!A:G, 7, FALSE)</f>
        <v>No</v>
      </c>
      <c r="G1793" t="str">
        <f>VLOOKUP($A1793, 'Medical Examinations'!A:H, 8, FALSE)</f>
        <v>No</v>
      </c>
      <c r="H1793" t="str">
        <f>VLOOKUP($A1793, 'Medical Examinations'!A:J, 10, FALSE)</f>
        <v>No major surgery</v>
      </c>
      <c r="I1793" t="str">
        <f>VLOOKUP($A1793, 'Medical Examinations'!A:K, 11, FALSE)</f>
        <v>No</v>
      </c>
      <c r="J1793" t="str">
        <f>VLOOKUP($A1793, 'Medical Examinations'!A:B, 2, FALSE)</f>
        <v>Obesity</v>
      </c>
      <c r="K1793" t="str">
        <f>VLOOKUP($A1793, 'Medical Examinations'!A:D, 4, FALSE)</f>
        <v>Diabetes</v>
      </c>
    </row>
    <row r="1794" spans="1:11" ht="15.5" x14ac:dyDescent="0.35">
      <c r="A1794" s="1" t="s">
        <v>577</v>
      </c>
      <c r="B1794" t="str">
        <f>VLOOKUP($A1794, 'Customer Names'!A:D, 3, FALSE)</f>
        <v>Capriolo</v>
      </c>
      <c r="C1794">
        <f>VLOOKUP($A1794,'Medical Examinations'!A:C, 3, FALSE)</f>
        <v>18.905000000000001</v>
      </c>
      <c r="D1794" t="str">
        <f>VLOOKUP($A1794, 'Medical Examinations'!A:D, 4, FALSE)</f>
        <v>Normal</v>
      </c>
      <c r="E1794" t="str">
        <f>VLOOKUP($A1794, 'Medical Examinations'!A:F, 6, FALSE)</f>
        <v>yes</v>
      </c>
      <c r="F1794" t="str">
        <f>VLOOKUP($A1794, 'Medical Examinations'!A:G, 7, FALSE)</f>
        <v>No</v>
      </c>
      <c r="G1794" t="str">
        <f>VLOOKUP($A1794, 'Medical Examinations'!A:H, 8, FALSE)</f>
        <v>No</v>
      </c>
      <c r="H1794">
        <f>VLOOKUP($A1794, 'Medical Examinations'!A:J, 10, FALSE)</f>
        <v>1</v>
      </c>
      <c r="I1794" t="str">
        <f>VLOOKUP($A1794, 'Medical Examinations'!A:K, 11, FALSE)</f>
        <v>No</v>
      </c>
      <c r="J1794" t="str">
        <f>VLOOKUP($A1794, 'Medical Examinations'!A:B, 2, FALSE)</f>
        <v>Normal Weight</v>
      </c>
      <c r="K1794" t="str">
        <f>VLOOKUP($A1794, 'Medical Examinations'!A:D, 4, FALSE)</f>
        <v>Normal</v>
      </c>
    </row>
    <row r="1795" spans="1:11" ht="15.5" x14ac:dyDescent="0.35">
      <c r="A1795" s="1" t="s">
        <v>576</v>
      </c>
      <c r="B1795" t="str">
        <f>VLOOKUP($A1795, 'Customer Names'!A:D, 3, FALSE)</f>
        <v>Borleis</v>
      </c>
      <c r="C1795">
        <f>VLOOKUP($A1795,'Medical Examinations'!A:C, 3, FALSE)</f>
        <v>20.03</v>
      </c>
      <c r="D1795" t="str">
        <f>VLOOKUP($A1795, 'Medical Examinations'!A:D, 4, FALSE)</f>
        <v>Diabetes</v>
      </c>
      <c r="E1795" t="str">
        <f>VLOOKUP($A1795, 'Medical Examinations'!A:F, 6, FALSE)</f>
        <v>yes</v>
      </c>
      <c r="F1795" t="str">
        <f>VLOOKUP($A1795, 'Medical Examinations'!A:G, 7, FALSE)</f>
        <v>No</v>
      </c>
      <c r="G1795" t="str">
        <f>VLOOKUP($A1795, 'Medical Examinations'!A:H, 8, FALSE)</f>
        <v>No</v>
      </c>
      <c r="H1795" t="str">
        <f>VLOOKUP($A1795, 'Medical Examinations'!A:J, 10, FALSE)</f>
        <v>No major surgery</v>
      </c>
      <c r="I1795" t="str">
        <f>VLOOKUP($A1795, 'Medical Examinations'!A:K, 11, FALSE)</f>
        <v>No</v>
      </c>
      <c r="J1795" t="str">
        <f>VLOOKUP($A1795, 'Medical Examinations'!A:B, 2, FALSE)</f>
        <v>Normal Weight</v>
      </c>
      <c r="K1795" t="str">
        <f>VLOOKUP($A1795, 'Medical Examinations'!A:D, 4, FALSE)</f>
        <v>Diabetes</v>
      </c>
    </row>
    <row r="1796" spans="1:11" ht="15.5" x14ac:dyDescent="0.35">
      <c r="A1796" s="1" t="s">
        <v>575</v>
      </c>
      <c r="B1796" t="str">
        <f>VLOOKUP($A1796, 'Customer Names'!A:D, 3, FALSE)</f>
        <v>Kramer</v>
      </c>
      <c r="C1796">
        <f>VLOOKUP($A1796,'Medical Examinations'!A:C, 3, FALSE)</f>
        <v>16.7</v>
      </c>
      <c r="D1796" t="str">
        <f>VLOOKUP($A1796, 'Medical Examinations'!A:D, 4, FALSE)</f>
        <v>Diabetes</v>
      </c>
      <c r="E1796" t="str">
        <f>VLOOKUP($A1796, 'Medical Examinations'!A:F, 6, FALSE)</f>
        <v>No</v>
      </c>
      <c r="F1796" t="str">
        <f>VLOOKUP($A1796, 'Medical Examinations'!A:G, 7, FALSE)</f>
        <v>No</v>
      </c>
      <c r="G1796" t="str">
        <f>VLOOKUP($A1796, 'Medical Examinations'!A:H, 8, FALSE)</f>
        <v>No</v>
      </c>
      <c r="H1796" t="str">
        <f>VLOOKUP($A1796, 'Medical Examinations'!A:J, 10, FALSE)</f>
        <v>No major surgery</v>
      </c>
      <c r="I1796" t="str">
        <f>VLOOKUP($A1796, 'Medical Examinations'!A:K, 11, FALSE)</f>
        <v>No</v>
      </c>
      <c r="J1796" t="str">
        <f>VLOOKUP($A1796, 'Medical Examinations'!A:B, 2, FALSE)</f>
        <v>Underweight</v>
      </c>
      <c r="K1796" t="str">
        <f>VLOOKUP($A1796, 'Medical Examinations'!A:D, 4, FALSE)</f>
        <v>Diabetes</v>
      </c>
    </row>
    <row r="1797" spans="1:11" ht="15.5" x14ac:dyDescent="0.35">
      <c r="A1797" s="1" t="s">
        <v>574</v>
      </c>
      <c r="B1797" t="str">
        <f>VLOOKUP($A1797, 'Customer Names'!A:D, 3, FALSE)</f>
        <v>Conrad</v>
      </c>
      <c r="C1797">
        <f>VLOOKUP($A1797,'Medical Examinations'!A:C, 3, FALSE)</f>
        <v>39.82</v>
      </c>
      <c r="D1797" t="str">
        <f>VLOOKUP($A1797, 'Medical Examinations'!A:D, 4, FALSE)</f>
        <v>Prediabetes</v>
      </c>
      <c r="E1797" t="str">
        <f>VLOOKUP($A1797, 'Medical Examinations'!A:F, 6, FALSE)</f>
        <v>No</v>
      </c>
      <c r="F1797" t="str">
        <f>VLOOKUP($A1797, 'Medical Examinations'!A:G, 7, FALSE)</f>
        <v>No</v>
      </c>
      <c r="G1797" t="str">
        <f>VLOOKUP($A1797, 'Medical Examinations'!A:H, 8, FALSE)</f>
        <v>No</v>
      </c>
      <c r="H1797" t="str">
        <f>VLOOKUP($A1797, 'Medical Examinations'!A:J, 10, FALSE)</f>
        <v>No major surgery</v>
      </c>
      <c r="I1797" t="str">
        <f>VLOOKUP($A1797, 'Medical Examinations'!A:K, 11, FALSE)</f>
        <v>No</v>
      </c>
      <c r="J1797" t="str">
        <f>VLOOKUP($A1797, 'Medical Examinations'!A:B, 2, FALSE)</f>
        <v>Obesity</v>
      </c>
      <c r="K1797" t="str">
        <f>VLOOKUP($A1797, 'Medical Examinations'!A:D, 4, FALSE)</f>
        <v>Prediabetes</v>
      </c>
    </row>
    <row r="1798" spans="1:11" ht="15.5" x14ac:dyDescent="0.35">
      <c r="A1798" s="1" t="s">
        <v>573</v>
      </c>
      <c r="B1798" t="str">
        <f>VLOOKUP($A1798, 'Customer Names'!A:D, 3, FALSE)</f>
        <v>Karakoyunlu</v>
      </c>
      <c r="C1798">
        <f>VLOOKUP($A1798,'Medical Examinations'!A:C, 3, FALSE)</f>
        <v>22.04</v>
      </c>
      <c r="D1798" t="str">
        <f>VLOOKUP($A1798, 'Medical Examinations'!A:D, 4, FALSE)</f>
        <v>Prediabetes</v>
      </c>
      <c r="E1798" t="str">
        <f>VLOOKUP($A1798, 'Medical Examinations'!A:F, 6, FALSE)</f>
        <v>No</v>
      </c>
      <c r="F1798" t="str">
        <f>VLOOKUP($A1798, 'Medical Examinations'!A:G, 7, FALSE)</f>
        <v>No</v>
      </c>
      <c r="G1798" t="str">
        <f>VLOOKUP($A1798, 'Medical Examinations'!A:H, 8, FALSE)</f>
        <v>No</v>
      </c>
      <c r="H1798">
        <f>VLOOKUP($A1798, 'Medical Examinations'!A:J, 10, FALSE)</f>
        <v>1</v>
      </c>
      <c r="I1798" t="str">
        <f>VLOOKUP($A1798, 'Medical Examinations'!A:K, 11, FALSE)</f>
        <v>No</v>
      </c>
      <c r="J1798" t="str">
        <f>VLOOKUP($A1798, 'Medical Examinations'!A:B, 2, FALSE)</f>
        <v>Normal Weight</v>
      </c>
      <c r="K1798" t="str">
        <f>VLOOKUP($A1798, 'Medical Examinations'!A:D, 4, FALSE)</f>
        <v>Prediabetes</v>
      </c>
    </row>
    <row r="1799" spans="1:11" ht="15.5" x14ac:dyDescent="0.35">
      <c r="A1799" s="1" t="s">
        <v>572</v>
      </c>
      <c r="B1799" t="str">
        <f>VLOOKUP($A1799, 'Customer Names'!A:D, 3, FALSE)</f>
        <v>Desrosiers</v>
      </c>
      <c r="C1799">
        <f>VLOOKUP($A1799,'Medical Examinations'!A:C, 3, FALSE)</f>
        <v>28.27</v>
      </c>
      <c r="D1799" t="str">
        <f>VLOOKUP($A1799, 'Medical Examinations'!A:D, 4, FALSE)</f>
        <v>Normal</v>
      </c>
      <c r="E1799" t="str">
        <f>VLOOKUP($A1799, 'Medical Examinations'!A:F, 6, FALSE)</f>
        <v>No</v>
      </c>
      <c r="F1799" t="str">
        <f>VLOOKUP($A1799, 'Medical Examinations'!A:G, 7, FALSE)</f>
        <v>No</v>
      </c>
      <c r="G1799" t="str">
        <f>VLOOKUP($A1799, 'Medical Examinations'!A:H, 8, FALSE)</f>
        <v>No</v>
      </c>
      <c r="H1799" t="str">
        <f>VLOOKUP($A1799, 'Medical Examinations'!A:J, 10, FALSE)</f>
        <v>No major surgery</v>
      </c>
      <c r="I1799" t="str">
        <f>VLOOKUP($A1799, 'Medical Examinations'!A:K, 11, FALSE)</f>
        <v>No</v>
      </c>
      <c r="J1799" t="str">
        <f>VLOOKUP($A1799, 'Medical Examinations'!A:B, 2, FALSE)</f>
        <v>Overweight</v>
      </c>
      <c r="K1799" t="str">
        <f>VLOOKUP($A1799, 'Medical Examinations'!A:D, 4, FALSE)</f>
        <v>Normal</v>
      </c>
    </row>
    <row r="1800" spans="1:11" ht="15.5" x14ac:dyDescent="0.35">
      <c r="A1800" s="1" t="s">
        <v>571</v>
      </c>
      <c r="B1800" t="str">
        <f>VLOOKUP($A1800, 'Customer Names'!A:D, 3, FALSE)</f>
        <v>O'Mara</v>
      </c>
      <c r="C1800">
        <f>VLOOKUP($A1800,'Medical Examinations'!A:C, 3, FALSE)</f>
        <v>18.5</v>
      </c>
      <c r="D1800" t="str">
        <f>VLOOKUP($A1800, 'Medical Examinations'!A:D, 4, FALSE)</f>
        <v>Normal</v>
      </c>
      <c r="E1800" t="str">
        <f>VLOOKUP($A1800, 'Medical Examinations'!A:F, 6, FALSE)</f>
        <v>No</v>
      </c>
      <c r="F1800" t="str">
        <f>VLOOKUP($A1800, 'Medical Examinations'!A:G, 7, FALSE)</f>
        <v>No</v>
      </c>
      <c r="G1800" t="str">
        <f>VLOOKUP($A1800, 'Medical Examinations'!A:H, 8, FALSE)</f>
        <v>No</v>
      </c>
      <c r="H1800" t="str">
        <f>VLOOKUP($A1800, 'Medical Examinations'!A:J, 10, FALSE)</f>
        <v>No major surgery</v>
      </c>
      <c r="I1800" t="str">
        <f>VLOOKUP($A1800, 'Medical Examinations'!A:K, 11, FALSE)</f>
        <v>No</v>
      </c>
      <c r="J1800" t="str">
        <f>VLOOKUP($A1800, 'Medical Examinations'!A:B, 2, FALSE)</f>
        <v>Normal Weight</v>
      </c>
      <c r="K1800" t="str">
        <f>VLOOKUP($A1800, 'Medical Examinations'!A:D, 4, FALSE)</f>
        <v>Normal</v>
      </c>
    </row>
    <row r="1801" spans="1:11" ht="15.5" x14ac:dyDescent="0.35">
      <c r="A1801" s="1" t="s">
        <v>570</v>
      </c>
      <c r="B1801" t="str">
        <f>VLOOKUP($A1801, 'Customer Names'!A:D, 3, FALSE)</f>
        <v>Shabot Marcos</v>
      </c>
      <c r="C1801">
        <f>VLOOKUP($A1801,'Medical Examinations'!A:C, 3, FALSE)</f>
        <v>38.6</v>
      </c>
      <c r="D1801" t="str">
        <f>VLOOKUP($A1801, 'Medical Examinations'!A:D, 4, FALSE)</f>
        <v>Prediabetes</v>
      </c>
      <c r="E1801" t="str">
        <f>VLOOKUP($A1801, 'Medical Examinations'!A:F, 6, FALSE)</f>
        <v>No</v>
      </c>
      <c r="F1801" t="str">
        <f>VLOOKUP($A1801, 'Medical Examinations'!A:G, 7, FALSE)</f>
        <v>No</v>
      </c>
      <c r="G1801" t="str">
        <f>VLOOKUP($A1801, 'Medical Examinations'!A:H, 8, FALSE)</f>
        <v>No</v>
      </c>
      <c r="H1801">
        <f>VLOOKUP($A1801, 'Medical Examinations'!A:J, 10, FALSE)</f>
        <v>1</v>
      </c>
      <c r="I1801" t="str">
        <f>VLOOKUP($A1801, 'Medical Examinations'!A:K, 11, FALSE)</f>
        <v>No</v>
      </c>
      <c r="J1801" t="str">
        <f>VLOOKUP($A1801, 'Medical Examinations'!A:B, 2, FALSE)</f>
        <v>Obesity</v>
      </c>
      <c r="K1801" t="str">
        <f>VLOOKUP($A1801, 'Medical Examinations'!A:D, 4, FALSE)</f>
        <v>Prediabetes</v>
      </c>
    </row>
    <row r="1802" spans="1:11" ht="15.5" x14ac:dyDescent="0.35">
      <c r="A1802" s="1" t="s">
        <v>569</v>
      </c>
      <c r="B1802" t="str">
        <f>VLOOKUP($A1802, 'Customer Names'!A:D, 3, FALSE)</f>
        <v>Comment</v>
      </c>
      <c r="C1802">
        <f>VLOOKUP($A1802,'Medical Examinations'!A:C, 3, FALSE)</f>
        <v>43.12</v>
      </c>
      <c r="D1802" t="str">
        <f>VLOOKUP($A1802, 'Medical Examinations'!A:D, 4, FALSE)</f>
        <v>Prediabetes</v>
      </c>
      <c r="E1802" t="str">
        <f>VLOOKUP($A1802, 'Medical Examinations'!A:F, 6, FALSE)</f>
        <v>No</v>
      </c>
      <c r="F1802" t="str">
        <f>VLOOKUP($A1802, 'Medical Examinations'!A:G, 7, FALSE)</f>
        <v>No</v>
      </c>
      <c r="G1802" t="str">
        <f>VLOOKUP($A1802, 'Medical Examinations'!A:H, 8, FALSE)</f>
        <v>No</v>
      </c>
      <c r="H1802">
        <f>VLOOKUP($A1802, 'Medical Examinations'!A:J, 10, FALSE)</f>
        <v>1</v>
      </c>
      <c r="I1802" t="str">
        <f>VLOOKUP($A1802, 'Medical Examinations'!A:K, 11, FALSE)</f>
        <v>No</v>
      </c>
      <c r="J1802" t="str">
        <f>VLOOKUP($A1802, 'Medical Examinations'!A:B, 2, FALSE)</f>
        <v>Obesity</v>
      </c>
      <c r="K1802" t="str">
        <f>VLOOKUP($A1802, 'Medical Examinations'!A:D, 4, FALSE)</f>
        <v>Prediabetes</v>
      </c>
    </row>
    <row r="1803" spans="1:11" ht="15.5" x14ac:dyDescent="0.35">
      <c r="A1803" s="1" t="s">
        <v>568</v>
      </c>
      <c r="B1803" t="str">
        <f>VLOOKUP($A1803, 'Customer Names'!A:D, 3, FALSE)</f>
        <v>Moss</v>
      </c>
      <c r="C1803">
        <f>VLOOKUP($A1803,'Medical Examinations'!A:C, 3, FALSE)</f>
        <v>30.5</v>
      </c>
      <c r="D1803" t="str">
        <f>VLOOKUP($A1803, 'Medical Examinations'!A:D, 4, FALSE)</f>
        <v>Normal</v>
      </c>
      <c r="E1803" t="str">
        <f>VLOOKUP($A1803, 'Medical Examinations'!A:F, 6, FALSE)</f>
        <v>No</v>
      </c>
      <c r="F1803" t="str">
        <f>VLOOKUP($A1803, 'Medical Examinations'!A:G, 7, FALSE)</f>
        <v>No</v>
      </c>
      <c r="G1803" t="str">
        <f>VLOOKUP($A1803, 'Medical Examinations'!A:H, 8, FALSE)</f>
        <v>No</v>
      </c>
      <c r="H1803">
        <f>VLOOKUP($A1803, 'Medical Examinations'!A:J, 10, FALSE)</f>
        <v>1</v>
      </c>
      <c r="I1803" t="str">
        <f>VLOOKUP($A1803, 'Medical Examinations'!A:K, 11, FALSE)</f>
        <v>No</v>
      </c>
      <c r="J1803" t="str">
        <f>VLOOKUP($A1803, 'Medical Examinations'!A:B, 2, FALSE)</f>
        <v>Obesity</v>
      </c>
      <c r="K1803" t="str">
        <f>VLOOKUP($A1803, 'Medical Examinations'!A:D, 4, FALSE)</f>
        <v>Normal</v>
      </c>
    </row>
    <row r="1804" spans="1:11" ht="15.5" x14ac:dyDescent="0.35">
      <c r="A1804" s="1" t="s">
        <v>567</v>
      </c>
      <c r="B1804" t="str">
        <f>VLOOKUP($A1804, 'Customer Names'!A:D, 3, FALSE)</f>
        <v>Guzman</v>
      </c>
      <c r="C1804">
        <f>VLOOKUP($A1804,'Medical Examinations'!A:C, 3, FALSE)</f>
        <v>27.61</v>
      </c>
      <c r="D1804" t="str">
        <f>VLOOKUP($A1804, 'Medical Examinations'!A:D, 4, FALSE)</f>
        <v>Normal</v>
      </c>
      <c r="E1804" t="str">
        <f>VLOOKUP($A1804, 'Medical Examinations'!A:F, 6, FALSE)</f>
        <v>No</v>
      </c>
      <c r="F1804" t="str">
        <f>VLOOKUP($A1804, 'Medical Examinations'!A:G, 7, FALSE)</f>
        <v>No</v>
      </c>
      <c r="G1804" t="str">
        <f>VLOOKUP($A1804, 'Medical Examinations'!A:H, 8, FALSE)</f>
        <v>No</v>
      </c>
      <c r="H1804">
        <f>VLOOKUP($A1804, 'Medical Examinations'!A:J, 10, FALSE)</f>
        <v>1</v>
      </c>
      <c r="I1804" t="str">
        <f>VLOOKUP($A1804, 'Medical Examinations'!A:K, 11, FALSE)</f>
        <v>No</v>
      </c>
      <c r="J1804" t="str">
        <f>VLOOKUP($A1804, 'Medical Examinations'!A:B, 2, FALSE)</f>
        <v>Overweight</v>
      </c>
      <c r="K1804" t="str">
        <f>VLOOKUP($A1804, 'Medical Examinations'!A:D, 4, FALSE)</f>
        <v>Normal</v>
      </c>
    </row>
    <row r="1805" spans="1:11" ht="15.5" x14ac:dyDescent="0.35">
      <c r="A1805" s="1" t="s">
        <v>566</v>
      </c>
      <c r="B1805" t="str">
        <f>VLOOKUP($A1805, 'Customer Names'!A:D, 3, FALSE)</f>
        <v>Cox</v>
      </c>
      <c r="C1805">
        <f>VLOOKUP($A1805,'Medical Examinations'!A:C, 3, FALSE)</f>
        <v>27.1</v>
      </c>
      <c r="D1805" t="str">
        <f>VLOOKUP($A1805, 'Medical Examinations'!A:D, 4, FALSE)</f>
        <v>Normal</v>
      </c>
      <c r="E1805" t="str">
        <f>VLOOKUP($A1805, 'Medical Examinations'!A:F, 6, FALSE)</f>
        <v>No</v>
      </c>
      <c r="F1805" t="str">
        <f>VLOOKUP($A1805, 'Medical Examinations'!A:G, 7, FALSE)</f>
        <v>No</v>
      </c>
      <c r="G1805" t="str">
        <f>VLOOKUP($A1805, 'Medical Examinations'!A:H, 8, FALSE)</f>
        <v>No</v>
      </c>
      <c r="H1805">
        <f>VLOOKUP($A1805, 'Medical Examinations'!A:J, 10, FALSE)</f>
        <v>1</v>
      </c>
      <c r="I1805" t="str">
        <f>VLOOKUP($A1805, 'Medical Examinations'!A:K, 11, FALSE)</f>
        <v>No</v>
      </c>
      <c r="J1805" t="str">
        <f>VLOOKUP($A1805, 'Medical Examinations'!A:B, 2, FALSE)</f>
        <v>Overweight</v>
      </c>
      <c r="K1805" t="str">
        <f>VLOOKUP($A1805, 'Medical Examinations'!A:D, 4, FALSE)</f>
        <v>Normal</v>
      </c>
    </row>
    <row r="1806" spans="1:11" ht="15.5" x14ac:dyDescent="0.35">
      <c r="A1806" s="1" t="s">
        <v>565</v>
      </c>
      <c r="B1806" t="str">
        <f>VLOOKUP($A1806, 'Customer Names'!A:D, 3, FALSE)</f>
        <v>Clash</v>
      </c>
      <c r="C1806">
        <f>VLOOKUP($A1806,'Medical Examinations'!A:C, 3, FALSE)</f>
        <v>35.93</v>
      </c>
      <c r="D1806" t="str">
        <f>VLOOKUP($A1806, 'Medical Examinations'!A:D, 4, FALSE)</f>
        <v>Normal</v>
      </c>
      <c r="E1806" t="str">
        <f>VLOOKUP($A1806, 'Medical Examinations'!A:F, 6, FALSE)</f>
        <v>No</v>
      </c>
      <c r="F1806" t="str">
        <f>VLOOKUP($A1806, 'Medical Examinations'!A:G, 7, FALSE)</f>
        <v>yes</v>
      </c>
      <c r="G1806" t="str">
        <f>VLOOKUP($A1806, 'Medical Examinations'!A:H, 8, FALSE)</f>
        <v>No</v>
      </c>
      <c r="H1806">
        <f>VLOOKUP($A1806, 'Medical Examinations'!A:J, 10, FALSE)</f>
        <v>1</v>
      </c>
      <c r="I1806" t="str">
        <f>VLOOKUP($A1806, 'Medical Examinations'!A:K, 11, FALSE)</f>
        <v>No</v>
      </c>
      <c r="J1806" t="str">
        <f>VLOOKUP($A1806, 'Medical Examinations'!A:B, 2, FALSE)</f>
        <v>Obesity</v>
      </c>
      <c r="K1806" t="str">
        <f>VLOOKUP($A1806, 'Medical Examinations'!A:D, 4, FALSE)</f>
        <v>Normal</v>
      </c>
    </row>
    <row r="1807" spans="1:11" ht="15.5" x14ac:dyDescent="0.35">
      <c r="A1807" s="1" t="s">
        <v>564</v>
      </c>
      <c r="B1807" t="str">
        <f>VLOOKUP($A1807, 'Customer Names'!A:D, 3, FALSE)</f>
        <v>Blankenship</v>
      </c>
      <c r="C1807">
        <f>VLOOKUP($A1807,'Medical Examinations'!A:C, 3, FALSE)</f>
        <v>32.68</v>
      </c>
      <c r="D1807" t="str">
        <f>VLOOKUP($A1807, 'Medical Examinations'!A:D, 4, FALSE)</f>
        <v>Normal</v>
      </c>
      <c r="E1807" t="str">
        <f>VLOOKUP($A1807, 'Medical Examinations'!A:F, 6, FALSE)</f>
        <v>No</v>
      </c>
      <c r="F1807" t="str">
        <f>VLOOKUP($A1807, 'Medical Examinations'!A:G, 7, FALSE)</f>
        <v>No</v>
      </c>
      <c r="G1807" t="str">
        <f>VLOOKUP($A1807, 'Medical Examinations'!A:H, 8, FALSE)</f>
        <v>No</v>
      </c>
      <c r="H1807" t="str">
        <f>VLOOKUP($A1807, 'Medical Examinations'!A:J, 10, FALSE)</f>
        <v>No major surgery</v>
      </c>
      <c r="I1807" t="str">
        <f>VLOOKUP($A1807, 'Medical Examinations'!A:K, 11, FALSE)</f>
        <v>No</v>
      </c>
      <c r="J1807" t="str">
        <f>VLOOKUP($A1807, 'Medical Examinations'!A:B, 2, FALSE)</f>
        <v>Obesity</v>
      </c>
      <c r="K1807" t="str">
        <f>VLOOKUP($A1807, 'Medical Examinations'!A:D, 4, FALSE)</f>
        <v>Normal</v>
      </c>
    </row>
    <row r="1808" spans="1:11" ht="15.5" x14ac:dyDescent="0.35">
      <c r="A1808" s="1" t="s">
        <v>563</v>
      </c>
      <c r="B1808" t="str">
        <f>VLOOKUP($A1808, 'Customer Names'!A:D, 3, FALSE)</f>
        <v>Lloyd</v>
      </c>
      <c r="C1808">
        <f>VLOOKUP($A1808,'Medical Examinations'!A:C, 3, FALSE)</f>
        <v>20.74</v>
      </c>
      <c r="D1808" t="str">
        <f>VLOOKUP($A1808, 'Medical Examinations'!A:D, 4, FALSE)</f>
        <v>Diabetes</v>
      </c>
      <c r="E1808" t="str">
        <f>VLOOKUP($A1808, 'Medical Examinations'!A:F, 6, FALSE)</f>
        <v>yes</v>
      </c>
      <c r="F1808" t="str">
        <f>VLOOKUP($A1808, 'Medical Examinations'!A:G, 7, FALSE)</f>
        <v>No</v>
      </c>
      <c r="G1808" t="str">
        <f>VLOOKUP($A1808, 'Medical Examinations'!A:H, 8, FALSE)</f>
        <v>No</v>
      </c>
      <c r="H1808">
        <f>VLOOKUP($A1808, 'Medical Examinations'!A:J, 10, FALSE)</f>
        <v>1</v>
      </c>
      <c r="I1808" t="str">
        <f>VLOOKUP($A1808, 'Medical Examinations'!A:K, 11, FALSE)</f>
        <v>No</v>
      </c>
      <c r="J1808" t="str">
        <f>VLOOKUP($A1808, 'Medical Examinations'!A:B, 2, FALSE)</f>
        <v>Normal Weight</v>
      </c>
      <c r="K1808" t="str">
        <f>VLOOKUP($A1808, 'Medical Examinations'!A:D, 4, FALSE)</f>
        <v>Diabetes</v>
      </c>
    </row>
    <row r="1809" spans="1:11" ht="15.5" x14ac:dyDescent="0.35">
      <c r="A1809" s="1" t="s">
        <v>562</v>
      </c>
      <c r="B1809" t="str">
        <f>VLOOKUP($A1809, 'Customer Names'!A:D, 3, FALSE)</f>
        <v>Kong</v>
      </c>
      <c r="C1809">
        <f>VLOOKUP($A1809,'Medical Examinations'!A:C, 3, FALSE)</f>
        <v>15.57</v>
      </c>
      <c r="D1809" t="str">
        <f>VLOOKUP($A1809, 'Medical Examinations'!A:D, 4, FALSE)</f>
        <v>Prediabetes</v>
      </c>
      <c r="E1809" t="str">
        <f>VLOOKUP($A1809, 'Medical Examinations'!A:F, 6, FALSE)</f>
        <v>No</v>
      </c>
      <c r="F1809" t="str">
        <f>VLOOKUP($A1809, 'Medical Examinations'!A:G, 7, FALSE)</f>
        <v>No</v>
      </c>
      <c r="G1809" t="str">
        <f>VLOOKUP($A1809, 'Medical Examinations'!A:H, 8, FALSE)</f>
        <v>No</v>
      </c>
      <c r="H1809" t="str">
        <f>VLOOKUP($A1809, 'Medical Examinations'!A:J, 10, FALSE)</f>
        <v>No major surgery</v>
      </c>
      <c r="I1809" t="str">
        <f>VLOOKUP($A1809, 'Medical Examinations'!A:K, 11, FALSE)</f>
        <v>No</v>
      </c>
      <c r="J1809" t="str">
        <f>VLOOKUP($A1809, 'Medical Examinations'!A:B, 2, FALSE)</f>
        <v>Underweight</v>
      </c>
      <c r="K1809" t="str">
        <f>VLOOKUP($A1809, 'Medical Examinations'!A:D, 4, FALSE)</f>
        <v>Prediabetes</v>
      </c>
    </row>
    <row r="1810" spans="1:11" ht="15.5" x14ac:dyDescent="0.35">
      <c r="A1810" s="1" t="s">
        <v>561</v>
      </c>
      <c r="B1810" t="str">
        <f>VLOOKUP($A1810, 'Customer Names'!A:D, 3, FALSE)</f>
        <v>Benson</v>
      </c>
      <c r="C1810">
        <f>VLOOKUP($A1810,'Medical Examinations'!A:C, 3, FALSE)</f>
        <v>23.844999999999999</v>
      </c>
      <c r="D1810" t="str">
        <f>VLOOKUP($A1810, 'Medical Examinations'!A:D, 4, FALSE)</f>
        <v>Normal</v>
      </c>
      <c r="E1810" t="str">
        <f>VLOOKUP($A1810, 'Medical Examinations'!A:F, 6, FALSE)</f>
        <v>No</v>
      </c>
      <c r="F1810" t="str">
        <f>VLOOKUP($A1810, 'Medical Examinations'!A:G, 7, FALSE)</f>
        <v>No</v>
      </c>
      <c r="G1810" t="str">
        <f>VLOOKUP($A1810, 'Medical Examinations'!A:H, 8, FALSE)</f>
        <v>No</v>
      </c>
      <c r="H1810" t="str">
        <f>VLOOKUP($A1810, 'Medical Examinations'!A:J, 10, FALSE)</f>
        <v>No major surgery</v>
      </c>
      <c r="I1810" t="str">
        <f>VLOOKUP($A1810, 'Medical Examinations'!A:K, 11, FALSE)</f>
        <v>No</v>
      </c>
      <c r="J1810" t="str">
        <f>VLOOKUP($A1810, 'Medical Examinations'!A:B, 2, FALSE)</f>
        <v>Normal Weight</v>
      </c>
      <c r="K1810" t="str">
        <f>VLOOKUP($A1810, 'Medical Examinations'!A:D, 4, FALSE)</f>
        <v>Normal</v>
      </c>
    </row>
    <row r="1811" spans="1:11" ht="15.5" x14ac:dyDescent="0.35">
      <c r="A1811" s="1" t="s">
        <v>560</v>
      </c>
      <c r="B1811" t="str">
        <f>VLOOKUP($A1811, 'Customer Names'!A:D, 3, FALSE)</f>
        <v>Huntington</v>
      </c>
      <c r="C1811">
        <f>VLOOKUP($A1811,'Medical Examinations'!A:C, 3, FALSE)</f>
        <v>22.895</v>
      </c>
      <c r="D1811" t="str">
        <f>VLOOKUP($A1811, 'Medical Examinations'!A:D, 4, FALSE)</f>
        <v>Normal</v>
      </c>
      <c r="E1811" t="str">
        <f>VLOOKUP($A1811, 'Medical Examinations'!A:F, 6, FALSE)</f>
        <v>No</v>
      </c>
      <c r="F1811" t="str">
        <f>VLOOKUP($A1811, 'Medical Examinations'!A:G, 7, FALSE)</f>
        <v>No</v>
      </c>
      <c r="G1811" t="str">
        <f>VLOOKUP($A1811, 'Medical Examinations'!A:H, 8, FALSE)</f>
        <v>No</v>
      </c>
      <c r="H1811">
        <f>VLOOKUP($A1811, 'Medical Examinations'!A:J, 10, FALSE)</f>
        <v>1</v>
      </c>
      <c r="I1811" t="str">
        <f>VLOOKUP($A1811, 'Medical Examinations'!A:K, 11, FALSE)</f>
        <v>No</v>
      </c>
      <c r="J1811" t="str">
        <f>VLOOKUP($A1811, 'Medical Examinations'!A:B, 2, FALSE)</f>
        <v>Normal Weight</v>
      </c>
      <c r="K1811" t="str">
        <f>VLOOKUP($A1811, 'Medical Examinations'!A:D, 4, FALSE)</f>
        <v>Normal</v>
      </c>
    </row>
    <row r="1812" spans="1:11" ht="15.5" x14ac:dyDescent="0.35">
      <c r="A1812" s="1" t="s">
        <v>559</v>
      </c>
      <c r="B1812" t="str">
        <f>VLOOKUP($A1812, 'Customer Names'!A:D, 3, FALSE)</f>
        <v>Kendall</v>
      </c>
      <c r="C1812">
        <f>VLOOKUP($A1812,'Medical Examinations'!A:C, 3, FALSE)</f>
        <v>21.945</v>
      </c>
      <c r="D1812" t="str">
        <f>VLOOKUP($A1812, 'Medical Examinations'!A:D, 4, FALSE)</f>
        <v>Normal</v>
      </c>
      <c r="E1812" t="str">
        <f>VLOOKUP($A1812, 'Medical Examinations'!A:F, 6, FALSE)</f>
        <v>No</v>
      </c>
      <c r="F1812" t="str">
        <f>VLOOKUP($A1812, 'Medical Examinations'!A:G, 7, FALSE)</f>
        <v>No</v>
      </c>
      <c r="G1812" t="str">
        <f>VLOOKUP($A1812, 'Medical Examinations'!A:H, 8, FALSE)</f>
        <v>No</v>
      </c>
      <c r="H1812">
        <f>VLOOKUP($A1812, 'Medical Examinations'!A:J, 10, FALSE)</f>
        <v>1</v>
      </c>
      <c r="I1812" t="str">
        <f>VLOOKUP($A1812, 'Medical Examinations'!A:K, 11, FALSE)</f>
        <v>No</v>
      </c>
      <c r="J1812" t="str">
        <f>VLOOKUP($A1812, 'Medical Examinations'!A:B, 2, FALSE)</f>
        <v>Normal Weight</v>
      </c>
      <c r="K1812" t="str">
        <f>VLOOKUP($A1812, 'Medical Examinations'!A:D, 4, FALSE)</f>
        <v>Normal</v>
      </c>
    </row>
    <row r="1813" spans="1:11" ht="15.5" x14ac:dyDescent="0.35">
      <c r="A1813" s="1" t="s">
        <v>558</v>
      </c>
      <c r="B1813" t="str">
        <f>VLOOKUP($A1813, 'Customer Names'!A:D, 3, FALSE)</f>
        <v>Gast</v>
      </c>
      <c r="C1813">
        <f>VLOOKUP($A1813,'Medical Examinations'!A:C, 3, FALSE)</f>
        <v>19.47</v>
      </c>
      <c r="D1813" t="str">
        <f>VLOOKUP($A1813, 'Medical Examinations'!A:D, 4, FALSE)</f>
        <v>Diabetes</v>
      </c>
      <c r="E1813" t="str">
        <f>VLOOKUP($A1813, 'Medical Examinations'!A:F, 6, FALSE)</f>
        <v>yes</v>
      </c>
      <c r="F1813" t="str">
        <f>VLOOKUP($A1813, 'Medical Examinations'!A:G, 7, FALSE)</f>
        <v>No</v>
      </c>
      <c r="G1813" t="str">
        <f>VLOOKUP($A1813, 'Medical Examinations'!A:H, 8, FALSE)</f>
        <v>No</v>
      </c>
      <c r="H1813" t="str">
        <f>VLOOKUP($A1813, 'Medical Examinations'!A:J, 10, FALSE)</f>
        <v>No major surgery</v>
      </c>
      <c r="I1813" t="str">
        <f>VLOOKUP($A1813, 'Medical Examinations'!A:K, 11, FALSE)</f>
        <v>No</v>
      </c>
      <c r="J1813" t="str">
        <f>VLOOKUP($A1813, 'Medical Examinations'!A:B, 2, FALSE)</f>
        <v>Normal Weight</v>
      </c>
      <c r="K1813" t="str">
        <f>VLOOKUP($A1813, 'Medical Examinations'!A:D, 4, FALSE)</f>
        <v>Diabetes</v>
      </c>
    </row>
    <row r="1814" spans="1:11" ht="15.5" x14ac:dyDescent="0.35">
      <c r="A1814" s="1" t="s">
        <v>557</v>
      </c>
      <c r="B1814" t="str">
        <f>VLOOKUP($A1814, 'Customer Names'!A:D, 3, FALSE)</f>
        <v>Scanlin</v>
      </c>
      <c r="C1814">
        <f>VLOOKUP($A1814,'Medical Examinations'!A:C, 3, FALSE)</f>
        <v>15.61</v>
      </c>
      <c r="D1814" t="str">
        <f>VLOOKUP($A1814, 'Medical Examinations'!A:D, 4, FALSE)</f>
        <v>Prediabetes</v>
      </c>
      <c r="E1814" t="str">
        <f>VLOOKUP($A1814, 'Medical Examinations'!A:F, 6, FALSE)</f>
        <v>No</v>
      </c>
      <c r="F1814" t="str">
        <f>VLOOKUP($A1814, 'Medical Examinations'!A:G, 7, FALSE)</f>
        <v>No</v>
      </c>
      <c r="G1814" t="str">
        <f>VLOOKUP($A1814, 'Medical Examinations'!A:H, 8, FALSE)</f>
        <v>No</v>
      </c>
      <c r="H1814" t="str">
        <f>VLOOKUP($A1814, 'Medical Examinations'!A:J, 10, FALSE)</f>
        <v>No major surgery</v>
      </c>
      <c r="I1814" t="str">
        <f>VLOOKUP($A1814, 'Medical Examinations'!A:K, 11, FALSE)</f>
        <v>No</v>
      </c>
      <c r="J1814" t="str">
        <f>VLOOKUP($A1814, 'Medical Examinations'!A:B, 2, FALSE)</f>
        <v>Underweight</v>
      </c>
      <c r="K1814" t="str">
        <f>VLOOKUP($A1814, 'Medical Examinations'!A:D, 4, FALSE)</f>
        <v>Prediabetes</v>
      </c>
    </row>
    <row r="1815" spans="1:11" ht="15.5" x14ac:dyDescent="0.35">
      <c r="A1815" s="1" t="s">
        <v>556</v>
      </c>
      <c r="B1815" t="str">
        <f>VLOOKUP($A1815, 'Customer Names'!A:D, 3, FALSE)</f>
        <v>Philbrook</v>
      </c>
      <c r="C1815">
        <f>VLOOKUP($A1815,'Medical Examinations'!A:C, 3, FALSE)</f>
        <v>28.6</v>
      </c>
      <c r="D1815" t="str">
        <f>VLOOKUP($A1815, 'Medical Examinations'!A:D, 4, FALSE)</f>
        <v>Prediabetes</v>
      </c>
      <c r="E1815" t="str">
        <f>VLOOKUP($A1815, 'Medical Examinations'!A:F, 6, FALSE)</f>
        <v>No</v>
      </c>
      <c r="F1815" t="str">
        <f>VLOOKUP($A1815, 'Medical Examinations'!A:G, 7, FALSE)</f>
        <v>No</v>
      </c>
      <c r="G1815" t="str">
        <f>VLOOKUP($A1815, 'Medical Examinations'!A:H, 8, FALSE)</f>
        <v>Yes</v>
      </c>
      <c r="H1815">
        <f>VLOOKUP($A1815, 'Medical Examinations'!A:J, 10, FALSE)</f>
        <v>1</v>
      </c>
      <c r="I1815" t="str">
        <f>VLOOKUP($A1815, 'Medical Examinations'!A:K, 11, FALSE)</f>
        <v>No</v>
      </c>
      <c r="J1815" t="str">
        <f>VLOOKUP($A1815, 'Medical Examinations'!A:B, 2, FALSE)</f>
        <v>Overweight</v>
      </c>
      <c r="K1815" t="str">
        <f>VLOOKUP($A1815, 'Medical Examinations'!A:D, 4, FALSE)</f>
        <v>Prediabetes</v>
      </c>
    </row>
    <row r="1816" spans="1:11" ht="15.5" x14ac:dyDescent="0.35">
      <c r="A1816" s="1" t="s">
        <v>555</v>
      </c>
      <c r="B1816" t="str">
        <f>VLOOKUP($A1816, 'Customer Names'!A:D, 3, FALSE)</f>
        <v>Cowan</v>
      </c>
      <c r="C1816">
        <f>VLOOKUP($A1816,'Medical Examinations'!A:C, 3, FALSE)</f>
        <v>46.53</v>
      </c>
      <c r="D1816" t="str">
        <f>VLOOKUP($A1816, 'Medical Examinations'!A:D, 4, FALSE)</f>
        <v>Normal</v>
      </c>
      <c r="E1816" t="str">
        <f>VLOOKUP($A1816, 'Medical Examinations'!A:F, 6, FALSE)</f>
        <v>No</v>
      </c>
      <c r="F1816" t="str">
        <f>VLOOKUP($A1816, 'Medical Examinations'!A:G, 7, FALSE)</f>
        <v>No</v>
      </c>
      <c r="G1816" t="str">
        <f>VLOOKUP($A1816, 'Medical Examinations'!A:H, 8, FALSE)</f>
        <v>No</v>
      </c>
      <c r="H1816" t="str">
        <f>VLOOKUP($A1816, 'Medical Examinations'!A:J, 10, FALSE)</f>
        <v>No major surgery</v>
      </c>
      <c r="I1816" t="str">
        <f>VLOOKUP($A1816, 'Medical Examinations'!A:K, 11, FALSE)</f>
        <v>No</v>
      </c>
      <c r="J1816" t="str">
        <f>VLOOKUP($A1816, 'Medical Examinations'!A:B, 2, FALSE)</f>
        <v>Obesity</v>
      </c>
      <c r="K1816" t="str">
        <f>VLOOKUP($A1816, 'Medical Examinations'!A:D, 4, FALSE)</f>
        <v>Normal</v>
      </c>
    </row>
    <row r="1817" spans="1:11" ht="15.5" x14ac:dyDescent="0.35">
      <c r="A1817" s="1" t="s">
        <v>554</v>
      </c>
      <c r="B1817" t="str">
        <f>VLOOKUP($A1817, 'Customer Names'!A:D, 3, FALSE)</f>
        <v>Sousa</v>
      </c>
      <c r="C1817">
        <f>VLOOKUP($A1817,'Medical Examinations'!A:C, 3, FALSE)</f>
        <v>34.99</v>
      </c>
      <c r="D1817" t="str">
        <f>VLOOKUP($A1817, 'Medical Examinations'!A:D, 4, FALSE)</f>
        <v>Normal</v>
      </c>
      <c r="E1817" t="str">
        <f>VLOOKUP($A1817, 'Medical Examinations'!A:F, 6, FALSE)</f>
        <v>No</v>
      </c>
      <c r="F1817" t="str">
        <f>VLOOKUP($A1817, 'Medical Examinations'!A:G, 7, FALSE)</f>
        <v>No</v>
      </c>
      <c r="G1817" t="str">
        <f>VLOOKUP($A1817, 'Medical Examinations'!A:H, 8, FALSE)</f>
        <v>Yes</v>
      </c>
      <c r="H1817">
        <f>VLOOKUP($A1817, 'Medical Examinations'!A:J, 10, FALSE)</f>
        <v>1</v>
      </c>
      <c r="I1817" t="str">
        <f>VLOOKUP($A1817, 'Medical Examinations'!A:K, 11, FALSE)</f>
        <v>No</v>
      </c>
      <c r="J1817" t="str">
        <f>VLOOKUP($A1817, 'Medical Examinations'!A:B, 2, FALSE)</f>
        <v>Obesity</v>
      </c>
      <c r="K1817" t="str">
        <f>VLOOKUP($A1817, 'Medical Examinations'!A:D, 4, FALSE)</f>
        <v>Normal</v>
      </c>
    </row>
    <row r="1818" spans="1:11" ht="15.5" x14ac:dyDescent="0.35">
      <c r="A1818" s="1" t="s">
        <v>553</v>
      </c>
      <c r="B1818" t="str">
        <f>VLOOKUP($A1818, 'Customer Names'!A:D, 3, FALSE)</f>
        <v>Stanton</v>
      </c>
      <c r="C1818">
        <f>VLOOKUP($A1818,'Medical Examinations'!A:C, 3, FALSE)</f>
        <v>17.05</v>
      </c>
      <c r="D1818" t="str">
        <f>VLOOKUP($A1818, 'Medical Examinations'!A:D, 4, FALSE)</f>
        <v>Normal</v>
      </c>
      <c r="E1818" t="str">
        <f>VLOOKUP($A1818, 'Medical Examinations'!A:F, 6, FALSE)</f>
        <v>No</v>
      </c>
      <c r="F1818" t="str">
        <f>VLOOKUP($A1818, 'Medical Examinations'!A:G, 7, FALSE)</f>
        <v>No</v>
      </c>
      <c r="G1818" t="str">
        <f>VLOOKUP($A1818, 'Medical Examinations'!A:H, 8, FALSE)</f>
        <v>Yes</v>
      </c>
      <c r="H1818">
        <f>VLOOKUP($A1818, 'Medical Examinations'!A:J, 10, FALSE)</f>
        <v>1</v>
      </c>
      <c r="I1818" t="str">
        <f>VLOOKUP($A1818, 'Medical Examinations'!A:K, 11, FALSE)</f>
        <v>No</v>
      </c>
      <c r="J1818" t="str">
        <f>VLOOKUP($A1818, 'Medical Examinations'!A:B, 2, FALSE)</f>
        <v>Underweight</v>
      </c>
      <c r="K1818" t="str">
        <f>VLOOKUP($A1818, 'Medical Examinations'!A:D, 4, FALSE)</f>
        <v>Normal</v>
      </c>
    </row>
    <row r="1819" spans="1:11" ht="15.5" x14ac:dyDescent="0.35">
      <c r="A1819" s="1" t="s">
        <v>552</v>
      </c>
      <c r="B1819" t="str">
        <f>VLOOKUP($A1819, 'Customer Names'!A:D, 3, FALSE)</f>
        <v>Mollak</v>
      </c>
      <c r="C1819">
        <f>VLOOKUP($A1819,'Medical Examinations'!A:C, 3, FALSE)</f>
        <v>37.18</v>
      </c>
      <c r="D1819" t="str">
        <f>VLOOKUP($A1819, 'Medical Examinations'!A:D, 4, FALSE)</f>
        <v>Normal</v>
      </c>
      <c r="E1819" t="str">
        <f>VLOOKUP($A1819, 'Medical Examinations'!A:F, 6, FALSE)</f>
        <v>No</v>
      </c>
      <c r="F1819" t="str">
        <f>VLOOKUP($A1819, 'Medical Examinations'!A:G, 7, FALSE)</f>
        <v>No</v>
      </c>
      <c r="G1819" t="str">
        <f>VLOOKUP($A1819, 'Medical Examinations'!A:H, 8, FALSE)</f>
        <v>No</v>
      </c>
      <c r="H1819" t="str">
        <f>VLOOKUP($A1819, 'Medical Examinations'!A:J, 10, FALSE)</f>
        <v>No major surgery</v>
      </c>
      <c r="I1819" t="str">
        <f>VLOOKUP($A1819, 'Medical Examinations'!A:K, 11, FALSE)</f>
        <v>No</v>
      </c>
      <c r="J1819" t="str">
        <f>VLOOKUP($A1819, 'Medical Examinations'!A:B, 2, FALSE)</f>
        <v>Obesity</v>
      </c>
      <c r="K1819" t="str">
        <f>VLOOKUP($A1819, 'Medical Examinations'!A:D, 4, FALSE)</f>
        <v>Normal</v>
      </c>
    </row>
    <row r="1820" spans="1:11" ht="15.5" x14ac:dyDescent="0.35">
      <c r="A1820" s="1" t="s">
        <v>551</v>
      </c>
      <c r="B1820" t="str">
        <f>VLOOKUP($A1820, 'Customer Names'!A:D, 3, FALSE)</f>
        <v>Bell</v>
      </c>
      <c r="C1820">
        <f>VLOOKUP($A1820,'Medical Examinations'!A:C, 3, FALSE)</f>
        <v>35.200000000000003</v>
      </c>
      <c r="D1820" t="str">
        <f>VLOOKUP($A1820, 'Medical Examinations'!A:D, 4, FALSE)</f>
        <v>Normal</v>
      </c>
      <c r="E1820" t="str">
        <f>VLOOKUP($A1820, 'Medical Examinations'!A:F, 6, FALSE)</f>
        <v>No</v>
      </c>
      <c r="F1820" t="str">
        <f>VLOOKUP($A1820, 'Medical Examinations'!A:G, 7, FALSE)</f>
        <v>No</v>
      </c>
      <c r="G1820" t="str">
        <f>VLOOKUP($A1820, 'Medical Examinations'!A:H, 8, FALSE)</f>
        <v>No</v>
      </c>
      <c r="H1820" t="str">
        <f>VLOOKUP($A1820, 'Medical Examinations'!A:J, 10, FALSE)</f>
        <v>No major surgery</v>
      </c>
      <c r="I1820" t="str">
        <f>VLOOKUP($A1820, 'Medical Examinations'!A:K, 11, FALSE)</f>
        <v>No</v>
      </c>
      <c r="J1820" t="str">
        <f>VLOOKUP($A1820, 'Medical Examinations'!A:B, 2, FALSE)</f>
        <v>Obesity</v>
      </c>
      <c r="K1820" t="str">
        <f>VLOOKUP($A1820, 'Medical Examinations'!A:D, 4, FALSE)</f>
        <v>Normal</v>
      </c>
    </row>
    <row r="1821" spans="1:11" ht="15.5" x14ac:dyDescent="0.35">
      <c r="A1821" s="1" t="s">
        <v>550</v>
      </c>
      <c r="B1821" t="str">
        <f>VLOOKUP($A1821, 'Customer Names'!A:D, 3, FALSE)</f>
        <v>Weston</v>
      </c>
      <c r="C1821">
        <f>VLOOKUP($A1821,'Medical Examinations'!A:C, 3, FALSE)</f>
        <v>37.335000000000001</v>
      </c>
      <c r="D1821" t="str">
        <f>VLOOKUP($A1821, 'Medical Examinations'!A:D, 4, FALSE)</f>
        <v>Normal</v>
      </c>
      <c r="E1821" t="str">
        <f>VLOOKUP($A1821, 'Medical Examinations'!A:F, 6, FALSE)</f>
        <v>No</v>
      </c>
      <c r="F1821" t="str">
        <f>VLOOKUP($A1821, 'Medical Examinations'!A:G, 7, FALSE)</f>
        <v>No</v>
      </c>
      <c r="G1821" t="str">
        <f>VLOOKUP($A1821, 'Medical Examinations'!A:H, 8, FALSE)</f>
        <v>No</v>
      </c>
      <c r="H1821" t="str">
        <f>VLOOKUP($A1821, 'Medical Examinations'!A:J, 10, FALSE)</f>
        <v>No major surgery</v>
      </c>
      <c r="I1821" t="str">
        <f>VLOOKUP($A1821, 'Medical Examinations'!A:K, 11, FALSE)</f>
        <v>No</v>
      </c>
      <c r="J1821" t="str">
        <f>VLOOKUP($A1821, 'Medical Examinations'!A:B, 2, FALSE)</f>
        <v>Obesity</v>
      </c>
      <c r="K1821" t="str">
        <f>VLOOKUP($A1821, 'Medical Examinations'!A:D, 4, FALSE)</f>
        <v>Normal</v>
      </c>
    </row>
    <row r="1822" spans="1:11" ht="15.5" x14ac:dyDescent="0.35">
      <c r="A1822" s="1" t="s">
        <v>549</v>
      </c>
      <c r="B1822" t="str">
        <f>VLOOKUP($A1822, 'Customer Names'!A:D, 3, FALSE)</f>
        <v>Rabuzzi</v>
      </c>
      <c r="C1822">
        <f>VLOOKUP($A1822,'Medical Examinations'!A:C, 3, FALSE)</f>
        <v>27.265000000000001</v>
      </c>
      <c r="D1822" t="e">
        <f>VLOOKUP($A1822, 'Medical Examinations'!A:D, 4, FALSE)</f>
        <v>#N/A</v>
      </c>
      <c r="E1822" t="str">
        <f>VLOOKUP($A1822, 'Medical Examinations'!A:F, 6, FALSE)</f>
        <v>yes</v>
      </c>
      <c r="F1822" t="str">
        <f>VLOOKUP($A1822, 'Medical Examinations'!A:G, 7, FALSE)</f>
        <v>No</v>
      </c>
      <c r="G1822" t="str">
        <f>VLOOKUP($A1822, 'Medical Examinations'!A:H, 8, FALSE)</f>
        <v>No</v>
      </c>
      <c r="H1822" t="str">
        <f>VLOOKUP($A1822, 'Medical Examinations'!A:J, 10, FALSE)</f>
        <v>No major surgery</v>
      </c>
      <c r="I1822" t="str">
        <f>VLOOKUP($A1822, 'Medical Examinations'!A:K, 11, FALSE)</f>
        <v>No</v>
      </c>
      <c r="J1822" t="str">
        <f>VLOOKUP($A1822, 'Medical Examinations'!A:B, 2, FALSE)</f>
        <v>Overweight</v>
      </c>
      <c r="K1822" t="e">
        <f>VLOOKUP($A1822, 'Medical Examinations'!A:D, 4, FALSE)</f>
        <v>#N/A</v>
      </c>
    </row>
    <row r="1823" spans="1:11" ht="15.5" x14ac:dyDescent="0.35">
      <c r="A1823" s="1" t="s">
        <v>548</v>
      </c>
      <c r="B1823" t="str">
        <f>VLOOKUP($A1823, 'Customer Names'!A:D, 3, FALSE)</f>
        <v>Hendrix</v>
      </c>
      <c r="C1823">
        <f>VLOOKUP($A1823,'Medical Examinations'!A:C, 3, FALSE)</f>
        <v>30.8</v>
      </c>
      <c r="D1823" t="str">
        <f>VLOOKUP($A1823, 'Medical Examinations'!A:D, 4, FALSE)</f>
        <v>Normal</v>
      </c>
      <c r="E1823" t="str">
        <f>VLOOKUP($A1823, 'Medical Examinations'!A:F, 6, FALSE)</f>
        <v>yes</v>
      </c>
      <c r="F1823" t="str">
        <f>VLOOKUP($A1823, 'Medical Examinations'!A:G, 7, FALSE)</f>
        <v>No</v>
      </c>
      <c r="G1823" t="str">
        <f>VLOOKUP($A1823, 'Medical Examinations'!A:H, 8, FALSE)</f>
        <v>No</v>
      </c>
      <c r="H1823" t="str">
        <f>VLOOKUP($A1823, 'Medical Examinations'!A:J, 10, FALSE)</f>
        <v>No major surgery</v>
      </c>
      <c r="I1823" t="str">
        <f>VLOOKUP($A1823, 'Medical Examinations'!A:K, 11, FALSE)</f>
        <v>No</v>
      </c>
      <c r="J1823" t="str">
        <f>VLOOKUP($A1823, 'Medical Examinations'!A:B, 2, FALSE)</f>
        <v>Obesity</v>
      </c>
      <c r="K1823" t="str">
        <f>VLOOKUP($A1823, 'Medical Examinations'!A:D, 4, FALSE)</f>
        <v>Normal</v>
      </c>
    </row>
    <row r="1824" spans="1:11" ht="15.5" x14ac:dyDescent="0.35">
      <c r="A1824" s="1" t="s">
        <v>547</v>
      </c>
      <c r="B1824" t="str">
        <f>VLOOKUP($A1824, 'Customer Names'!A:D, 3, FALSE)</f>
        <v>Van Nielen</v>
      </c>
      <c r="C1824">
        <f>VLOOKUP($A1824,'Medical Examinations'!A:C, 3, FALSE)</f>
        <v>30.21</v>
      </c>
      <c r="D1824" t="str">
        <f>VLOOKUP($A1824, 'Medical Examinations'!A:D, 4, FALSE)</f>
        <v>Normal</v>
      </c>
      <c r="E1824" t="str">
        <f>VLOOKUP($A1824, 'Medical Examinations'!A:F, 6, FALSE)</f>
        <v>No</v>
      </c>
      <c r="F1824" t="str">
        <f>VLOOKUP($A1824, 'Medical Examinations'!A:G, 7, FALSE)</f>
        <v>No</v>
      </c>
      <c r="G1824" t="str">
        <f>VLOOKUP($A1824, 'Medical Examinations'!A:H, 8, FALSE)</f>
        <v>No</v>
      </c>
      <c r="H1824">
        <f>VLOOKUP($A1824, 'Medical Examinations'!A:J, 10, FALSE)</f>
        <v>1</v>
      </c>
      <c r="I1824" t="str">
        <f>VLOOKUP($A1824, 'Medical Examinations'!A:K, 11, FALSE)</f>
        <v>No</v>
      </c>
      <c r="J1824" t="str">
        <f>VLOOKUP($A1824, 'Medical Examinations'!A:B, 2, FALSE)</f>
        <v>Obesity</v>
      </c>
      <c r="K1824" t="str">
        <f>VLOOKUP($A1824, 'Medical Examinations'!A:D, 4, FALSE)</f>
        <v>Normal</v>
      </c>
    </row>
    <row r="1825" spans="1:11" ht="15.5" x14ac:dyDescent="0.35">
      <c r="A1825" s="1" t="s">
        <v>546</v>
      </c>
      <c r="B1825" t="str">
        <f>VLOOKUP($A1825, 'Customer Names'!A:D, 3, FALSE)</f>
        <v>Blanton</v>
      </c>
      <c r="C1825">
        <f>VLOOKUP($A1825,'Medical Examinations'!A:C, 3, FALSE)</f>
        <v>35.340000000000003</v>
      </c>
      <c r="D1825" t="str">
        <f>VLOOKUP($A1825, 'Medical Examinations'!A:D, 4, FALSE)</f>
        <v>Normal</v>
      </c>
      <c r="E1825" t="str">
        <f>VLOOKUP($A1825, 'Medical Examinations'!A:F, 6, FALSE)</f>
        <v>No</v>
      </c>
      <c r="F1825" t="str">
        <f>VLOOKUP($A1825, 'Medical Examinations'!A:G, 7, FALSE)</f>
        <v>yes</v>
      </c>
      <c r="G1825" t="str">
        <f>VLOOKUP($A1825, 'Medical Examinations'!A:H, 8, FALSE)</f>
        <v>No</v>
      </c>
      <c r="H1825">
        <f>VLOOKUP($A1825, 'Medical Examinations'!A:J, 10, FALSE)</f>
        <v>1</v>
      </c>
      <c r="I1825" t="str">
        <f>VLOOKUP($A1825, 'Medical Examinations'!A:K, 11, FALSE)</f>
        <v>No</v>
      </c>
      <c r="J1825" t="str">
        <f>VLOOKUP($A1825, 'Medical Examinations'!A:B, 2, FALSE)</f>
        <v>Obesity</v>
      </c>
      <c r="K1825" t="str">
        <f>VLOOKUP($A1825, 'Medical Examinations'!A:D, 4, FALSE)</f>
        <v>Normal</v>
      </c>
    </row>
    <row r="1826" spans="1:11" ht="15.5" x14ac:dyDescent="0.35">
      <c r="A1826" s="1" t="s">
        <v>545</v>
      </c>
      <c r="B1826" t="str">
        <f>VLOOKUP($A1826, 'Customer Names'!A:D, 3, FALSE)</f>
        <v>Schout</v>
      </c>
      <c r="C1826">
        <f>VLOOKUP($A1826,'Medical Examinations'!A:C, 3, FALSE)</f>
        <v>26.695</v>
      </c>
      <c r="D1826" t="str">
        <f>VLOOKUP($A1826, 'Medical Examinations'!A:D, 4, FALSE)</f>
        <v>Normal</v>
      </c>
      <c r="E1826" t="str">
        <f>VLOOKUP($A1826, 'Medical Examinations'!A:F, 6, FALSE)</f>
        <v>No</v>
      </c>
      <c r="F1826" t="str">
        <f>VLOOKUP($A1826, 'Medical Examinations'!A:G, 7, FALSE)</f>
        <v>No</v>
      </c>
      <c r="G1826" t="str">
        <f>VLOOKUP($A1826, 'Medical Examinations'!A:H, 8, FALSE)</f>
        <v>No</v>
      </c>
      <c r="H1826" t="str">
        <f>VLOOKUP($A1826, 'Medical Examinations'!A:J, 10, FALSE)</f>
        <v>No major surgery</v>
      </c>
      <c r="I1826" t="str">
        <f>VLOOKUP($A1826, 'Medical Examinations'!A:K, 11, FALSE)</f>
        <v>No</v>
      </c>
      <c r="J1826" t="str">
        <f>VLOOKUP($A1826, 'Medical Examinations'!A:B, 2, FALSE)</f>
        <v>Overweight</v>
      </c>
      <c r="K1826" t="str">
        <f>VLOOKUP($A1826, 'Medical Examinations'!A:D, 4, FALSE)</f>
        <v>Normal</v>
      </c>
    </row>
    <row r="1827" spans="1:11" ht="15.5" x14ac:dyDescent="0.35">
      <c r="A1827" s="1" t="s">
        <v>544</v>
      </c>
      <c r="B1827" t="str">
        <f>VLOOKUP($A1827, 'Customer Names'!A:D, 3, FALSE)</f>
        <v>Schmaltz</v>
      </c>
      <c r="C1827">
        <f>VLOOKUP($A1827,'Medical Examinations'!A:C, 3, FALSE)</f>
        <v>29.355</v>
      </c>
      <c r="D1827" t="str">
        <f>VLOOKUP($A1827, 'Medical Examinations'!A:D, 4, FALSE)</f>
        <v>Normal</v>
      </c>
      <c r="E1827" t="str">
        <f>VLOOKUP($A1827, 'Medical Examinations'!A:F, 6, FALSE)</f>
        <v>yes</v>
      </c>
      <c r="F1827" t="str">
        <f>VLOOKUP($A1827, 'Medical Examinations'!A:G, 7, FALSE)</f>
        <v>No</v>
      </c>
      <c r="G1827" t="str">
        <f>VLOOKUP($A1827, 'Medical Examinations'!A:H, 8, FALSE)</f>
        <v>No</v>
      </c>
      <c r="H1827" t="str">
        <f>VLOOKUP($A1827, 'Medical Examinations'!A:J, 10, FALSE)</f>
        <v>No major surgery</v>
      </c>
      <c r="I1827" t="str">
        <f>VLOOKUP($A1827, 'Medical Examinations'!A:K, 11, FALSE)</f>
        <v>No</v>
      </c>
      <c r="J1827" t="str">
        <f>VLOOKUP($A1827, 'Medical Examinations'!A:B, 2, FALSE)</f>
        <v>Overweight</v>
      </c>
      <c r="K1827" t="str">
        <f>VLOOKUP($A1827, 'Medical Examinations'!A:D, 4, FALSE)</f>
        <v>Normal</v>
      </c>
    </row>
    <row r="1828" spans="1:11" ht="15.5" x14ac:dyDescent="0.35">
      <c r="A1828" s="1" t="s">
        <v>543</v>
      </c>
      <c r="B1828" t="str">
        <f>VLOOKUP($A1828, 'Customer Names'!A:D, 3, FALSE)</f>
        <v>Eagen</v>
      </c>
      <c r="C1828">
        <f>VLOOKUP($A1828,'Medical Examinations'!A:C, 3, FALSE)</f>
        <v>29.59</v>
      </c>
      <c r="D1828" t="str">
        <f>VLOOKUP($A1828, 'Medical Examinations'!A:D, 4, FALSE)</f>
        <v>Normal</v>
      </c>
      <c r="E1828" t="str">
        <f>VLOOKUP($A1828, 'Medical Examinations'!A:F, 6, FALSE)</f>
        <v>No</v>
      </c>
      <c r="F1828" t="str">
        <f>VLOOKUP($A1828, 'Medical Examinations'!A:G, 7, FALSE)</f>
        <v>No</v>
      </c>
      <c r="G1828" t="str">
        <f>VLOOKUP($A1828, 'Medical Examinations'!A:H, 8, FALSE)</f>
        <v>No</v>
      </c>
      <c r="H1828" t="str">
        <f>VLOOKUP($A1828, 'Medical Examinations'!A:J, 10, FALSE)</f>
        <v>No major surgery</v>
      </c>
      <c r="I1828" t="str">
        <f>VLOOKUP($A1828, 'Medical Examinations'!A:K, 11, FALSE)</f>
        <v>No</v>
      </c>
      <c r="J1828" t="str">
        <f>VLOOKUP($A1828, 'Medical Examinations'!A:B, 2, FALSE)</f>
        <v>Overweight</v>
      </c>
      <c r="K1828" t="str">
        <f>VLOOKUP($A1828, 'Medical Examinations'!A:D, 4, FALSE)</f>
        <v>Normal</v>
      </c>
    </row>
    <row r="1829" spans="1:11" ht="15.5" x14ac:dyDescent="0.35">
      <c r="A1829" s="1" t="s">
        <v>542</v>
      </c>
      <c r="B1829" t="str">
        <f>VLOOKUP($A1829, 'Customer Names'!A:D, 3, FALSE)</f>
        <v>Rotramel</v>
      </c>
      <c r="C1829">
        <f>VLOOKUP($A1829,'Medical Examinations'!A:C, 3, FALSE)</f>
        <v>31.35</v>
      </c>
      <c r="D1829" t="str">
        <f>VLOOKUP($A1829, 'Medical Examinations'!A:D, 4, FALSE)</f>
        <v>Normal</v>
      </c>
      <c r="E1829" t="str">
        <f>VLOOKUP($A1829, 'Medical Examinations'!A:F, 6, FALSE)</f>
        <v>No</v>
      </c>
      <c r="F1829" t="str">
        <f>VLOOKUP($A1829, 'Medical Examinations'!A:G, 7, FALSE)</f>
        <v>yes</v>
      </c>
      <c r="G1829" t="str">
        <f>VLOOKUP($A1829, 'Medical Examinations'!A:H, 8, FALSE)</f>
        <v>No</v>
      </c>
      <c r="H1829">
        <f>VLOOKUP($A1829, 'Medical Examinations'!A:J, 10, FALSE)</f>
        <v>1</v>
      </c>
      <c r="I1829" t="str">
        <f>VLOOKUP($A1829, 'Medical Examinations'!A:K, 11, FALSE)</f>
        <v>No</v>
      </c>
      <c r="J1829" t="str">
        <f>VLOOKUP($A1829, 'Medical Examinations'!A:B, 2, FALSE)</f>
        <v>Obesity</v>
      </c>
      <c r="K1829" t="str">
        <f>VLOOKUP($A1829, 'Medical Examinations'!A:D, 4, FALSE)</f>
        <v>Normal</v>
      </c>
    </row>
    <row r="1830" spans="1:11" ht="15.5" x14ac:dyDescent="0.35">
      <c r="A1830" s="1" t="s">
        <v>541</v>
      </c>
      <c r="B1830" t="str">
        <f>VLOOKUP($A1830, 'Customer Names'!A:D, 3, FALSE)</f>
        <v>Prevost</v>
      </c>
      <c r="C1830">
        <f>VLOOKUP($A1830,'Medical Examinations'!A:C, 3, FALSE)</f>
        <v>20.52</v>
      </c>
      <c r="D1830" t="str">
        <f>VLOOKUP($A1830, 'Medical Examinations'!A:D, 4, FALSE)</f>
        <v>Normal</v>
      </c>
      <c r="E1830" t="str">
        <f>VLOOKUP($A1830, 'Medical Examinations'!A:F, 6, FALSE)</f>
        <v>No</v>
      </c>
      <c r="F1830" t="str">
        <f>VLOOKUP($A1830, 'Medical Examinations'!A:G, 7, FALSE)</f>
        <v>No</v>
      </c>
      <c r="G1830" t="str">
        <f>VLOOKUP($A1830, 'Medical Examinations'!A:H, 8, FALSE)</f>
        <v>No</v>
      </c>
      <c r="H1830" t="str">
        <f>VLOOKUP($A1830, 'Medical Examinations'!A:J, 10, FALSE)</f>
        <v>No major surgery</v>
      </c>
      <c r="I1830" t="str">
        <f>VLOOKUP($A1830, 'Medical Examinations'!A:K, 11, FALSE)</f>
        <v>No</v>
      </c>
      <c r="J1830" t="str">
        <f>VLOOKUP($A1830, 'Medical Examinations'!A:B, 2, FALSE)</f>
        <v>Normal Weight</v>
      </c>
      <c r="K1830" t="str">
        <f>VLOOKUP($A1830, 'Medical Examinations'!A:D, 4, FALSE)</f>
        <v>Normal</v>
      </c>
    </row>
    <row r="1831" spans="1:11" ht="15.5" x14ac:dyDescent="0.35">
      <c r="A1831" s="1" t="s">
        <v>540</v>
      </c>
      <c r="B1831" t="str">
        <f>VLOOKUP($A1831, 'Customer Names'!A:D, 3, FALSE)</f>
        <v>Boyd</v>
      </c>
      <c r="C1831">
        <f>VLOOKUP($A1831,'Medical Examinations'!A:C, 3, FALSE)</f>
        <v>42.9</v>
      </c>
      <c r="D1831" t="str">
        <f>VLOOKUP($A1831, 'Medical Examinations'!A:D, 4, FALSE)</f>
        <v>Normal</v>
      </c>
      <c r="E1831" t="str">
        <f>VLOOKUP($A1831, 'Medical Examinations'!A:F, 6, FALSE)</f>
        <v>yes</v>
      </c>
      <c r="F1831" t="str">
        <f>VLOOKUP($A1831, 'Medical Examinations'!A:G, 7, FALSE)</f>
        <v>No</v>
      </c>
      <c r="G1831" t="str">
        <f>VLOOKUP($A1831, 'Medical Examinations'!A:H, 8, FALSE)</f>
        <v>No</v>
      </c>
      <c r="H1831">
        <f>VLOOKUP($A1831, 'Medical Examinations'!A:J, 10, FALSE)</f>
        <v>1</v>
      </c>
      <c r="I1831" t="str">
        <f>VLOOKUP($A1831, 'Medical Examinations'!A:K, 11, FALSE)</f>
        <v>No</v>
      </c>
      <c r="J1831" t="str">
        <f>VLOOKUP($A1831, 'Medical Examinations'!A:B, 2, FALSE)</f>
        <v>Obesity</v>
      </c>
      <c r="K1831" t="str">
        <f>VLOOKUP($A1831, 'Medical Examinations'!A:D, 4, FALSE)</f>
        <v>Normal</v>
      </c>
    </row>
    <row r="1832" spans="1:11" ht="15.5" x14ac:dyDescent="0.35">
      <c r="A1832" s="1" t="s">
        <v>539</v>
      </c>
      <c r="B1832" t="str">
        <f>VLOOKUP($A1832, 'Customer Names'!A:D, 3, FALSE)</f>
        <v>Dawes</v>
      </c>
      <c r="C1832">
        <f>VLOOKUP($A1832,'Medical Examinations'!A:C, 3, FALSE)</f>
        <v>24.6</v>
      </c>
      <c r="D1832" t="str">
        <f>VLOOKUP($A1832, 'Medical Examinations'!A:D, 4, FALSE)</f>
        <v>Prediabetes</v>
      </c>
      <c r="E1832" t="str">
        <f>VLOOKUP($A1832, 'Medical Examinations'!A:F, 6, FALSE)</f>
        <v>No</v>
      </c>
      <c r="F1832" t="str">
        <f>VLOOKUP($A1832, 'Medical Examinations'!A:G, 7, FALSE)</f>
        <v>No</v>
      </c>
      <c r="G1832" t="str">
        <f>VLOOKUP($A1832, 'Medical Examinations'!A:H, 8, FALSE)</f>
        <v>Yes</v>
      </c>
      <c r="H1832">
        <f>VLOOKUP($A1832, 'Medical Examinations'!A:J, 10, FALSE)</f>
        <v>1</v>
      </c>
      <c r="I1832" t="str">
        <f>VLOOKUP($A1832, 'Medical Examinations'!A:K, 11, FALSE)</f>
        <v>No</v>
      </c>
      <c r="J1832" t="str">
        <f>VLOOKUP($A1832, 'Medical Examinations'!A:B, 2, FALSE)</f>
        <v>Normal Weight</v>
      </c>
      <c r="K1832" t="str">
        <f>VLOOKUP($A1832, 'Medical Examinations'!A:D, 4, FALSE)</f>
        <v>Prediabetes</v>
      </c>
    </row>
    <row r="1833" spans="1:11" ht="15.5" x14ac:dyDescent="0.35">
      <c r="A1833" s="1" t="s">
        <v>538</v>
      </c>
      <c r="B1833" t="str">
        <f>VLOOKUP($A1833, 'Customer Names'!A:D, 3, FALSE)</f>
        <v>Jennings</v>
      </c>
      <c r="C1833">
        <f>VLOOKUP($A1833,'Medical Examinations'!A:C, 3, FALSE)</f>
        <v>28.405000000000001</v>
      </c>
      <c r="D1833" t="str">
        <f>VLOOKUP($A1833, 'Medical Examinations'!A:D, 4, FALSE)</f>
        <v>Normal</v>
      </c>
      <c r="E1833" t="str">
        <f>VLOOKUP($A1833, 'Medical Examinations'!A:F, 6, FALSE)</f>
        <v>No</v>
      </c>
      <c r="F1833" t="str">
        <f>VLOOKUP($A1833, 'Medical Examinations'!A:G, 7, FALSE)</f>
        <v>No</v>
      </c>
      <c r="G1833" t="str">
        <f>VLOOKUP($A1833, 'Medical Examinations'!A:H, 8, FALSE)</f>
        <v>No</v>
      </c>
      <c r="H1833">
        <f>VLOOKUP($A1833, 'Medical Examinations'!A:J, 10, FALSE)</f>
        <v>1</v>
      </c>
      <c r="I1833" t="str">
        <f>VLOOKUP($A1833, 'Medical Examinations'!A:K, 11, FALSE)</f>
        <v>No</v>
      </c>
      <c r="J1833" t="str">
        <f>VLOOKUP($A1833, 'Medical Examinations'!A:B, 2, FALSE)</f>
        <v>Overweight</v>
      </c>
      <c r="K1833" t="str">
        <f>VLOOKUP($A1833, 'Medical Examinations'!A:D, 4, FALSE)</f>
        <v>Normal</v>
      </c>
    </row>
    <row r="1834" spans="1:11" ht="15.5" x14ac:dyDescent="0.35">
      <c r="A1834" s="1" t="s">
        <v>537</v>
      </c>
      <c r="B1834" t="str">
        <f>VLOOKUP($A1834, 'Customer Names'!A:D, 3, FALSE)</f>
        <v>Nyambaso</v>
      </c>
      <c r="C1834">
        <f>VLOOKUP($A1834,'Medical Examinations'!A:C, 3, FALSE)</f>
        <v>34.674999999999997</v>
      </c>
      <c r="D1834" t="str">
        <f>VLOOKUP($A1834, 'Medical Examinations'!A:D, 4, FALSE)</f>
        <v>Prediabetes</v>
      </c>
      <c r="E1834" t="str">
        <f>VLOOKUP($A1834, 'Medical Examinations'!A:F, 6, FALSE)</f>
        <v>yes</v>
      </c>
      <c r="F1834" t="str">
        <f>VLOOKUP($A1834, 'Medical Examinations'!A:G, 7, FALSE)</f>
        <v>No</v>
      </c>
      <c r="G1834" t="str">
        <f>VLOOKUP($A1834, 'Medical Examinations'!A:H, 8, FALSE)</f>
        <v>No</v>
      </c>
      <c r="H1834">
        <f>VLOOKUP($A1834, 'Medical Examinations'!A:J, 10, FALSE)</f>
        <v>1</v>
      </c>
      <c r="I1834" t="str">
        <f>VLOOKUP($A1834, 'Medical Examinations'!A:K, 11, FALSE)</f>
        <v>No</v>
      </c>
      <c r="J1834" t="str">
        <f>VLOOKUP($A1834, 'Medical Examinations'!A:B, 2, FALSE)</f>
        <v>Obesity</v>
      </c>
      <c r="K1834" t="str">
        <f>VLOOKUP($A1834, 'Medical Examinations'!A:D, 4, FALSE)</f>
        <v>Prediabetes</v>
      </c>
    </row>
    <row r="1835" spans="1:11" ht="15.5" x14ac:dyDescent="0.35">
      <c r="A1835" s="1" t="s">
        <v>536</v>
      </c>
      <c r="B1835" t="str">
        <f>VLOOKUP($A1835, 'Customer Names'!A:D, 3, FALSE)</f>
        <v>Shaffer</v>
      </c>
      <c r="C1835">
        <f>VLOOKUP($A1835,'Medical Examinations'!A:C, 3, FALSE)</f>
        <v>18.850000000000001</v>
      </c>
      <c r="D1835" t="str">
        <f>VLOOKUP($A1835, 'Medical Examinations'!A:D, 4, FALSE)</f>
        <v>Prediabetes</v>
      </c>
      <c r="E1835" t="str">
        <f>VLOOKUP($A1835, 'Medical Examinations'!A:F, 6, FALSE)</f>
        <v>No</v>
      </c>
      <c r="F1835" t="str">
        <f>VLOOKUP($A1835, 'Medical Examinations'!A:G, 7, FALSE)</f>
        <v>No</v>
      </c>
      <c r="G1835" t="str">
        <f>VLOOKUP($A1835, 'Medical Examinations'!A:H, 8, FALSE)</f>
        <v>No</v>
      </c>
      <c r="H1835">
        <f>VLOOKUP($A1835, 'Medical Examinations'!A:J, 10, FALSE)</f>
        <v>1</v>
      </c>
      <c r="I1835" t="str">
        <f>VLOOKUP($A1835, 'Medical Examinations'!A:K, 11, FALSE)</f>
        <v>No</v>
      </c>
      <c r="J1835" t="str">
        <f>VLOOKUP($A1835, 'Medical Examinations'!A:B, 2, FALSE)</f>
        <v>Normal Weight</v>
      </c>
      <c r="K1835" t="str">
        <f>VLOOKUP($A1835, 'Medical Examinations'!A:D, 4, FALSE)</f>
        <v>Prediabetes</v>
      </c>
    </row>
    <row r="1836" spans="1:11" ht="15.5" x14ac:dyDescent="0.35">
      <c r="A1836" s="1" t="s">
        <v>534</v>
      </c>
      <c r="B1836" t="str">
        <f>VLOOKUP($A1836, 'Customer Names'!A:D, 3, FALSE)</f>
        <v>Corkum</v>
      </c>
      <c r="C1836">
        <f>VLOOKUP($A1836,'Medical Examinations'!A:C, 3, FALSE)</f>
        <v>34.130000000000003</v>
      </c>
      <c r="D1836" t="str">
        <f>VLOOKUP($A1836, 'Medical Examinations'!A:D, 4, FALSE)</f>
        <v>Normal</v>
      </c>
      <c r="E1836" t="str">
        <f>VLOOKUP($A1836, 'Medical Examinations'!A:F, 6, FALSE)</f>
        <v>No</v>
      </c>
      <c r="F1836" t="str">
        <f>VLOOKUP($A1836, 'Medical Examinations'!A:G, 7, FALSE)</f>
        <v>No</v>
      </c>
      <c r="G1836" t="str">
        <f>VLOOKUP($A1836, 'Medical Examinations'!A:H, 8, FALSE)</f>
        <v>Yes</v>
      </c>
      <c r="H1836">
        <f>VLOOKUP($A1836, 'Medical Examinations'!A:J, 10, FALSE)</f>
        <v>1</v>
      </c>
      <c r="I1836" t="str">
        <f>VLOOKUP($A1836, 'Medical Examinations'!A:K, 11, FALSE)</f>
        <v>No</v>
      </c>
      <c r="J1836" t="str">
        <f>VLOOKUP($A1836, 'Medical Examinations'!A:B, 2, FALSE)</f>
        <v>Obesity</v>
      </c>
      <c r="K1836" t="str">
        <f>VLOOKUP($A1836, 'Medical Examinations'!A:D, 4, FALSE)</f>
        <v>Normal</v>
      </c>
    </row>
    <row r="1837" spans="1:11" ht="15.5" x14ac:dyDescent="0.35">
      <c r="A1837" s="1" t="s">
        <v>533</v>
      </c>
      <c r="B1837" t="str">
        <f>VLOOKUP($A1837, 'Customer Names'!A:D, 3, FALSE)</f>
        <v>Pedersen</v>
      </c>
      <c r="C1837">
        <f>VLOOKUP($A1837,'Medical Examinations'!A:C, 3, FALSE)</f>
        <v>17.34</v>
      </c>
      <c r="D1837" t="str">
        <f>VLOOKUP($A1837, 'Medical Examinations'!A:D, 4, FALSE)</f>
        <v>Normal</v>
      </c>
      <c r="E1837" t="str">
        <f>VLOOKUP($A1837, 'Medical Examinations'!A:F, 6, FALSE)</f>
        <v>No</v>
      </c>
      <c r="F1837" t="str">
        <f>VLOOKUP($A1837, 'Medical Examinations'!A:G, 7, FALSE)</f>
        <v>No</v>
      </c>
      <c r="G1837" t="str">
        <f>VLOOKUP($A1837, 'Medical Examinations'!A:H, 8, FALSE)</f>
        <v>No</v>
      </c>
      <c r="H1837" t="str">
        <f>VLOOKUP($A1837, 'Medical Examinations'!A:J, 10, FALSE)</f>
        <v>No major surgery</v>
      </c>
      <c r="I1837" t="str">
        <f>VLOOKUP($A1837, 'Medical Examinations'!A:K, 11, FALSE)</f>
        <v>No</v>
      </c>
      <c r="J1837" t="str">
        <f>VLOOKUP($A1837, 'Medical Examinations'!A:B, 2, FALSE)</f>
        <v>Underweight</v>
      </c>
      <c r="K1837" t="str">
        <f>VLOOKUP($A1837, 'Medical Examinations'!A:D, 4, FALSE)</f>
        <v>Normal</v>
      </c>
    </row>
    <row r="1838" spans="1:11" ht="15.5" x14ac:dyDescent="0.35">
      <c r="A1838" s="1" t="s">
        <v>532</v>
      </c>
      <c r="B1838" t="str">
        <f>VLOOKUP($A1838, 'Customer Names'!A:D, 3, FALSE)</f>
        <v>Melo</v>
      </c>
      <c r="C1838">
        <f>VLOOKUP($A1838,'Medical Examinations'!A:C, 3, FALSE)</f>
        <v>17.440000000000001</v>
      </c>
      <c r="D1838" t="str">
        <f>VLOOKUP($A1838, 'Medical Examinations'!A:D, 4, FALSE)</f>
        <v>Prediabetes</v>
      </c>
      <c r="E1838" t="str">
        <f>VLOOKUP($A1838, 'Medical Examinations'!A:F, 6, FALSE)</f>
        <v>No</v>
      </c>
      <c r="F1838" t="str">
        <f>VLOOKUP($A1838, 'Medical Examinations'!A:G, 7, FALSE)</f>
        <v>No</v>
      </c>
      <c r="G1838" t="str">
        <f>VLOOKUP($A1838, 'Medical Examinations'!A:H, 8, FALSE)</f>
        <v>No</v>
      </c>
      <c r="H1838" t="str">
        <f>VLOOKUP($A1838, 'Medical Examinations'!A:J, 10, FALSE)</f>
        <v>No major surgery</v>
      </c>
      <c r="I1838" t="str">
        <f>VLOOKUP($A1838, 'Medical Examinations'!A:K, 11, FALSE)</f>
        <v>No</v>
      </c>
      <c r="J1838" t="str">
        <f>VLOOKUP($A1838, 'Medical Examinations'!A:B, 2, FALSE)</f>
        <v>Underweight</v>
      </c>
      <c r="K1838" t="str">
        <f>VLOOKUP($A1838, 'Medical Examinations'!A:D, 4, FALSE)</f>
        <v>Prediabetes</v>
      </c>
    </row>
    <row r="1839" spans="1:11" ht="15.5" x14ac:dyDescent="0.35">
      <c r="A1839" s="1" t="s">
        <v>531</v>
      </c>
      <c r="B1839" t="str">
        <f>VLOOKUP($A1839, 'Customer Names'!A:D, 3, FALSE)</f>
        <v>Sakamoto</v>
      </c>
      <c r="C1839">
        <f>VLOOKUP($A1839,'Medical Examinations'!A:C, 3, FALSE)</f>
        <v>33.659999999999997</v>
      </c>
      <c r="D1839" t="str">
        <f>VLOOKUP($A1839, 'Medical Examinations'!A:D, 4, FALSE)</f>
        <v>Normal</v>
      </c>
      <c r="E1839" t="str">
        <f>VLOOKUP($A1839, 'Medical Examinations'!A:F, 6, FALSE)</f>
        <v>yes</v>
      </c>
      <c r="F1839" t="str">
        <f>VLOOKUP($A1839, 'Medical Examinations'!A:G, 7, FALSE)</f>
        <v>No</v>
      </c>
      <c r="G1839" t="str">
        <f>VLOOKUP($A1839, 'Medical Examinations'!A:H, 8, FALSE)</f>
        <v>Yes</v>
      </c>
      <c r="H1839">
        <f>VLOOKUP($A1839, 'Medical Examinations'!A:J, 10, FALSE)</f>
        <v>1</v>
      </c>
      <c r="I1839" t="str">
        <f>VLOOKUP($A1839, 'Medical Examinations'!A:K, 11, FALSE)</f>
        <v>No</v>
      </c>
      <c r="J1839" t="str">
        <f>VLOOKUP($A1839, 'Medical Examinations'!A:B, 2, FALSE)</f>
        <v>Obesity</v>
      </c>
      <c r="K1839" t="str">
        <f>VLOOKUP($A1839, 'Medical Examinations'!A:D, 4, FALSE)</f>
        <v>Normal</v>
      </c>
    </row>
    <row r="1840" spans="1:11" ht="15.5" x14ac:dyDescent="0.35">
      <c r="A1840" s="1" t="s">
        <v>530</v>
      </c>
      <c r="B1840" t="str">
        <f>VLOOKUP($A1840, 'Customer Names'!A:D, 3, FALSE)</f>
        <v>McMahon</v>
      </c>
      <c r="C1840">
        <f>VLOOKUP($A1840,'Medical Examinations'!A:C, 3, FALSE)</f>
        <v>21.375</v>
      </c>
      <c r="D1840" t="str">
        <f>VLOOKUP($A1840, 'Medical Examinations'!A:D, 4, FALSE)</f>
        <v>Prediabetes</v>
      </c>
      <c r="E1840" t="str">
        <f>VLOOKUP($A1840, 'Medical Examinations'!A:F, 6, FALSE)</f>
        <v>yes</v>
      </c>
      <c r="F1840" t="str">
        <f>VLOOKUP($A1840, 'Medical Examinations'!A:G, 7, FALSE)</f>
        <v>No</v>
      </c>
      <c r="G1840" t="str">
        <f>VLOOKUP($A1840, 'Medical Examinations'!A:H, 8, FALSE)</f>
        <v>No</v>
      </c>
      <c r="H1840">
        <f>VLOOKUP($A1840, 'Medical Examinations'!A:J, 10, FALSE)</f>
        <v>1</v>
      </c>
      <c r="I1840" t="str">
        <f>VLOOKUP($A1840, 'Medical Examinations'!A:K, 11, FALSE)</f>
        <v>No</v>
      </c>
      <c r="J1840" t="str">
        <f>VLOOKUP($A1840, 'Medical Examinations'!A:B, 2, FALSE)</f>
        <v>Normal Weight</v>
      </c>
      <c r="K1840" t="str">
        <f>VLOOKUP($A1840, 'Medical Examinations'!A:D, 4, FALSE)</f>
        <v>Prediabetes</v>
      </c>
    </row>
    <row r="1841" spans="1:11" ht="15.5" x14ac:dyDescent="0.35">
      <c r="A1841" s="1" t="s">
        <v>529</v>
      </c>
      <c r="B1841" t="str">
        <f>VLOOKUP($A1841, 'Customer Names'!A:D, 3, FALSE)</f>
        <v>Harris</v>
      </c>
      <c r="C1841">
        <f>VLOOKUP($A1841,'Medical Examinations'!A:C, 3, FALSE)</f>
        <v>27.14</v>
      </c>
      <c r="D1841" t="str">
        <f>VLOOKUP($A1841, 'Medical Examinations'!A:D, 4, FALSE)</f>
        <v>Prediabetes</v>
      </c>
      <c r="E1841" t="str">
        <f>VLOOKUP($A1841, 'Medical Examinations'!A:F, 6, FALSE)</f>
        <v>No</v>
      </c>
      <c r="F1841" t="str">
        <f>VLOOKUP($A1841, 'Medical Examinations'!A:G, 7, FALSE)</f>
        <v>No</v>
      </c>
      <c r="G1841" t="str">
        <f>VLOOKUP($A1841, 'Medical Examinations'!A:H, 8, FALSE)</f>
        <v>No</v>
      </c>
      <c r="H1841">
        <f>VLOOKUP($A1841, 'Medical Examinations'!A:J, 10, FALSE)</f>
        <v>1</v>
      </c>
      <c r="I1841" t="str">
        <f>VLOOKUP($A1841, 'Medical Examinations'!A:K, 11, FALSE)</f>
        <v>No</v>
      </c>
      <c r="J1841" t="str">
        <f>VLOOKUP($A1841, 'Medical Examinations'!A:B, 2, FALSE)</f>
        <v>Overweight</v>
      </c>
      <c r="K1841" t="str">
        <f>VLOOKUP($A1841, 'Medical Examinations'!A:D, 4, FALSE)</f>
        <v>Prediabetes</v>
      </c>
    </row>
    <row r="1842" spans="1:11" ht="15.5" x14ac:dyDescent="0.35">
      <c r="A1842" s="1" t="s">
        <v>528</v>
      </c>
      <c r="B1842" t="str">
        <f>VLOOKUP($A1842, 'Customer Names'!A:D, 3, FALSE)</f>
        <v>Lombardo</v>
      </c>
      <c r="C1842">
        <f>VLOOKUP($A1842,'Medical Examinations'!A:C, 3, FALSE)</f>
        <v>35.78</v>
      </c>
      <c r="D1842" t="str">
        <f>VLOOKUP($A1842, 'Medical Examinations'!A:D, 4, FALSE)</f>
        <v>Prediabetes</v>
      </c>
      <c r="E1842" t="str">
        <f>VLOOKUP($A1842, 'Medical Examinations'!A:F, 6, FALSE)</f>
        <v>No</v>
      </c>
      <c r="F1842" t="str">
        <f>VLOOKUP($A1842, 'Medical Examinations'!A:G, 7, FALSE)</f>
        <v>yes</v>
      </c>
      <c r="G1842" t="str">
        <f>VLOOKUP($A1842, 'Medical Examinations'!A:H, 8, FALSE)</f>
        <v>No</v>
      </c>
      <c r="H1842">
        <f>VLOOKUP($A1842, 'Medical Examinations'!A:J, 10, FALSE)</f>
        <v>1</v>
      </c>
      <c r="I1842" t="str">
        <f>VLOOKUP($A1842, 'Medical Examinations'!A:K, 11, FALSE)</f>
        <v>No</v>
      </c>
      <c r="J1842" t="str">
        <f>VLOOKUP($A1842, 'Medical Examinations'!A:B, 2, FALSE)</f>
        <v>Obesity</v>
      </c>
      <c r="K1842" t="str">
        <f>VLOOKUP($A1842, 'Medical Examinations'!A:D, 4, FALSE)</f>
        <v>Prediabetes</v>
      </c>
    </row>
    <row r="1843" spans="1:11" ht="15.5" x14ac:dyDescent="0.35">
      <c r="A1843" s="1" t="s">
        <v>527</v>
      </c>
      <c r="B1843" t="str">
        <f>VLOOKUP($A1843, 'Customer Names'!A:D, 3, FALSE)</f>
        <v>Bode</v>
      </c>
      <c r="C1843">
        <f>VLOOKUP($A1843,'Medical Examinations'!A:C, 3, FALSE)</f>
        <v>34.96</v>
      </c>
      <c r="D1843" t="str">
        <f>VLOOKUP($A1843, 'Medical Examinations'!A:D, 4, FALSE)</f>
        <v>Normal</v>
      </c>
      <c r="E1843" t="str">
        <f>VLOOKUP($A1843, 'Medical Examinations'!A:F, 6, FALSE)</f>
        <v>No</v>
      </c>
      <c r="F1843" t="str">
        <f>VLOOKUP($A1843, 'Medical Examinations'!A:G, 7, FALSE)</f>
        <v>No</v>
      </c>
      <c r="G1843" t="str">
        <f>VLOOKUP($A1843, 'Medical Examinations'!A:H, 8, FALSE)</f>
        <v>No</v>
      </c>
      <c r="H1843" t="str">
        <f>VLOOKUP($A1843, 'Medical Examinations'!A:J, 10, FALSE)</f>
        <v>No major surgery</v>
      </c>
      <c r="I1843" t="str">
        <f>VLOOKUP($A1843, 'Medical Examinations'!A:K, 11, FALSE)</f>
        <v>No</v>
      </c>
      <c r="J1843" t="str">
        <f>VLOOKUP($A1843, 'Medical Examinations'!A:B, 2, FALSE)</f>
        <v>Obesity</v>
      </c>
      <c r="K1843" t="str">
        <f>VLOOKUP($A1843, 'Medical Examinations'!A:D, 4, FALSE)</f>
        <v>Normal</v>
      </c>
    </row>
    <row r="1844" spans="1:11" ht="15.5" x14ac:dyDescent="0.35">
      <c r="A1844" s="1" t="s">
        <v>526</v>
      </c>
      <c r="B1844" t="str">
        <f>VLOOKUP($A1844, 'Customer Names'!A:D, 3, FALSE)</f>
        <v>Johnson</v>
      </c>
      <c r="C1844">
        <f>VLOOKUP($A1844,'Medical Examinations'!A:C, 3, FALSE)</f>
        <v>38.39</v>
      </c>
      <c r="D1844" t="str">
        <f>VLOOKUP($A1844, 'Medical Examinations'!A:D, 4, FALSE)</f>
        <v>Prediabetes</v>
      </c>
      <c r="E1844" t="str">
        <f>VLOOKUP($A1844, 'Medical Examinations'!A:F, 6, FALSE)</f>
        <v>No</v>
      </c>
      <c r="F1844" t="str">
        <f>VLOOKUP($A1844, 'Medical Examinations'!A:G, 7, FALSE)</f>
        <v>No</v>
      </c>
      <c r="G1844" t="str">
        <f>VLOOKUP($A1844, 'Medical Examinations'!A:H, 8, FALSE)</f>
        <v>No</v>
      </c>
      <c r="H1844" t="str">
        <f>VLOOKUP($A1844, 'Medical Examinations'!A:J, 10, FALSE)</f>
        <v>No major surgery</v>
      </c>
      <c r="I1844" t="str">
        <f>VLOOKUP($A1844, 'Medical Examinations'!A:K, 11, FALSE)</f>
        <v>No</v>
      </c>
      <c r="J1844" t="str">
        <f>VLOOKUP($A1844, 'Medical Examinations'!A:B, 2, FALSE)</f>
        <v>Obesity</v>
      </c>
      <c r="K1844" t="str">
        <f>VLOOKUP($A1844, 'Medical Examinations'!A:D, 4, FALSE)</f>
        <v>Prediabetes</v>
      </c>
    </row>
    <row r="1845" spans="1:11" ht="15.5" x14ac:dyDescent="0.35">
      <c r="A1845" s="1" t="s">
        <v>525</v>
      </c>
      <c r="B1845" t="str">
        <f>VLOOKUP($A1845, 'Customer Names'!A:D, 3, FALSE)</f>
        <v>Norcross</v>
      </c>
      <c r="C1845">
        <f>VLOOKUP($A1845,'Medical Examinations'!A:C, 3, FALSE)</f>
        <v>33.82</v>
      </c>
      <c r="D1845" t="str">
        <f>VLOOKUP($A1845, 'Medical Examinations'!A:D, 4, FALSE)</f>
        <v>Normal</v>
      </c>
      <c r="E1845" t="str">
        <f>VLOOKUP($A1845, 'Medical Examinations'!A:F, 6, FALSE)</f>
        <v>No</v>
      </c>
      <c r="F1845" t="str">
        <f>VLOOKUP($A1845, 'Medical Examinations'!A:G, 7, FALSE)</f>
        <v>No</v>
      </c>
      <c r="G1845" t="str">
        <f>VLOOKUP($A1845, 'Medical Examinations'!A:H, 8, FALSE)</f>
        <v>No</v>
      </c>
      <c r="H1845" t="str">
        <f>VLOOKUP($A1845, 'Medical Examinations'!A:J, 10, FALSE)</f>
        <v>No major surgery</v>
      </c>
      <c r="I1845" t="str">
        <f>VLOOKUP($A1845, 'Medical Examinations'!A:K, 11, FALSE)</f>
        <v>No</v>
      </c>
      <c r="J1845" t="str">
        <f>VLOOKUP($A1845, 'Medical Examinations'!A:B, 2, FALSE)</f>
        <v>Obesity</v>
      </c>
      <c r="K1845" t="str">
        <f>VLOOKUP($A1845, 'Medical Examinations'!A:D, 4, FALSE)</f>
        <v>Normal</v>
      </c>
    </row>
    <row r="1846" spans="1:11" ht="15.5" x14ac:dyDescent="0.35">
      <c r="A1846" s="1" t="s">
        <v>524</v>
      </c>
      <c r="B1846" t="str">
        <f>VLOOKUP($A1846, 'Customer Names'!A:D, 3, FALSE)</f>
        <v>Lazrus</v>
      </c>
      <c r="C1846">
        <f>VLOOKUP($A1846,'Medical Examinations'!A:C, 3, FALSE)</f>
        <v>27.835000000000001</v>
      </c>
      <c r="D1846" t="str">
        <f>VLOOKUP($A1846, 'Medical Examinations'!A:D, 4, FALSE)</f>
        <v>Normal</v>
      </c>
      <c r="E1846" t="str">
        <f>VLOOKUP($A1846, 'Medical Examinations'!A:F, 6, FALSE)</f>
        <v>No</v>
      </c>
      <c r="F1846" t="str">
        <f>VLOOKUP($A1846, 'Medical Examinations'!A:G, 7, FALSE)</f>
        <v>No</v>
      </c>
      <c r="G1846" t="str">
        <f>VLOOKUP($A1846, 'Medical Examinations'!A:H, 8, FALSE)</f>
        <v>No</v>
      </c>
      <c r="H1846" t="str">
        <f>VLOOKUP($A1846, 'Medical Examinations'!A:J, 10, FALSE)</f>
        <v>No major surgery</v>
      </c>
      <c r="I1846" t="str">
        <f>VLOOKUP($A1846, 'Medical Examinations'!A:K, 11, FALSE)</f>
        <v>No</v>
      </c>
      <c r="J1846" t="str">
        <f>VLOOKUP($A1846, 'Medical Examinations'!A:B, 2, FALSE)</f>
        <v>Overweight</v>
      </c>
      <c r="K1846" t="str">
        <f>VLOOKUP($A1846, 'Medical Examinations'!A:D, 4, FALSE)</f>
        <v>Normal</v>
      </c>
    </row>
    <row r="1847" spans="1:11" ht="15.5" x14ac:dyDescent="0.35">
      <c r="A1847" s="1" t="s">
        <v>523</v>
      </c>
      <c r="B1847" t="str">
        <f>VLOOKUP($A1847, 'Customer Names'!A:D, 3, FALSE)</f>
        <v>Tsegay</v>
      </c>
      <c r="C1847">
        <f>VLOOKUP($A1847,'Medical Examinations'!A:C, 3, FALSE)</f>
        <v>33</v>
      </c>
      <c r="D1847" t="str">
        <f>VLOOKUP($A1847, 'Medical Examinations'!A:D, 4, FALSE)</f>
        <v>Normal</v>
      </c>
      <c r="E1847" t="str">
        <f>VLOOKUP($A1847, 'Medical Examinations'!A:F, 6, FALSE)</f>
        <v>No</v>
      </c>
      <c r="F1847" t="str">
        <f>VLOOKUP($A1847, 'Medical Examinations'!A:G, 7, FALSE)</f>
        <v>No</v>
      </c>
      <c r="G1847" t="str">
        <f>VLOOKUP($A1847, 'Medical Examinations'!A:H, 8, FALSE)</f>
        <v>No</v>
      </c>
      <c r="H1847" t="str">
        <f>VLOOKUP($A1847, 'Medical Examinations'!A:J, 10, FALSE)</f>
        <v>No major surgery</v>
      </c>
      <c r="I1847" t="str">
        <f>VLOOKUP($A1847, 'Medical Examinations'!A:K, 11, FALSE)</f>
        <v>No</v>
      </c>
      <c r="J1847" t="str">
        <f>VLOOKUP($A1847, 'Medical Examinations'!A:B, 2, FALSE)</f>
        <v>Obesity</v>
      </c>
      <c r="K1847" t="str">
        <f>VLOOKUP($A1847, 'Medical Examinations'!A:D, 4, FALSE)</f>
        <v>Normal</v>
      </c>
    </row>
    <row r="1848" spans="1:11" ht="15.5" x14ac:dyDescent="0.35">
      <c r="A1848" s="1" t="s">
        <v>522</v>
      </c>
      <c r="B1848" t="str">
        <f>VLOOKUP($A1848, 'Customer Names'!A:D, 3, FALSE)</f>
        <v>Schneider</v>
      </c>
      <c r="C1848">
        <f>VLOOKUP($A1848,'Medical Examinations'!A:C, 3, FALSE)</f>
        <v>26.885000000000002</v>
      </c>
      <c r="D1848" t="str">
        <f>VLOOKUP($A1848, 'Medical Examinations'!A:D, 4, FALSE)</f>
        <v>Prediabetes</v>
      </c>
      <c r="E1848" t="str">
        <f>VLOOKUP($A1848, 'Medical Examinations'!A:F, 6, FALSE)</f>
        <v>No</v>
      </c>
      <c r="F1848" t="str">
        <f>VLOOKUP($A1848, 'Medical Examinations'!A:G, 7, FALSE)</f>
        <v>No</v>
      </c>
      <c r="G1848" t="str">
        <f>VLOOKUP($A1848, 'Medical Examinations'!A:H, 8, FALSE)</f>
        <v>No</v>
      </c>
      <c r="H1848" t="str">
        <f>VLOOKUP($A1848, 'Medical Examinations'!A:J, 10, FALSE)</f>
        <v>No major surgery</v>
      </c>
      <c r="I1848" t="str">
        <f>VLOOKUP($A1848, 'Medical Examinations'!A:K, 11, FALSE)</f>
        <v>No</v>
      </c>
      <c r="J1848" t="str">
        <f>VLOOKUP($A1848, 'Medical Examinations'!A:B, 2, FALSE)</f>
        <v>Overweight</v>
      </c>
      <c r="K1848" t="str">
        <f>VLOOKUP($A1848, 'Medical Examinations'!A:D, 4, FALSE)</f>
        <v>Prediabetes</v>
      </c>
    </row>
    <row r="1849" spans="1:11" ht="15.5" x14ac:dyDescent="0.35">
      <c r="A1849" s="1" t="s">
        <v>521</v>
      </c>
      <c r="B1849" t="str">
        <f>VLOOKUP($A1849, 'Customer Names'!A:D, 3, FALSE)</f>
        <v>Loreto</v>
      </c>
      <c r="C1849">
        <f>VLOOKUP($A1849,'Medical Examinations'!A:C, 3, FALSE)</f>
        <v>29.26</v>
      </c>
      <c r="D1849" t="str">
        <f>VLOOKUP($A1849, 'Medical Examinations'!A:D, 4, FALSE)</f>
        <v>Normal</v>
      </c>
      <c r="E1849" t="str">
        <f>VLOOKUP($A1849, 'Medical Examinations'!A:F, 6, FALSE)</f>
        <v>No</v>
      </c>
      <c r="F1849" t="str">
        <f>VLOOKUP($A1849, 'Medical Examinations'!A:G, 7, FALSE)</f>
        <v>No</v>
      </c>
      <c r="G1849" t="str">
        <f>VLOOKUP($A1849, 'Medical Examinations'!A:H, 8, FALSE)</f>
        <v>No</v>
      </c>
      <c r="H1849" t="str">
        <f>VLOOKUP($A1849, 'Medical Examinations'!A:J, 10, FALSE)</f>
        <v>No major surgery</v>
      </c>
      <c r="I1849" t="str">
        <f>VLOOKUP($A1849, 'Medical Examinations'!A:K, 11, FALSE)</f>
        <v>No</v>
      </c>
      <c r="J1849" t="str">
        <f>VLOOKUP($A1849, 'Medical Examinations'!A:B, 2, FALSE)</f>
        <v>Overweight</v>
      </c>
      <c r="K1849" t="str">
        <f>VLOOKUP($A1849, 'Medical Examinations'!A:D, 4, FALSE)</f>
        <v>Normal</v>
      </c>
    </row>
    <row r="1850" spans="1:11" ht="15.5" x14ac:dyDescent="0.35">
      <c r="A1850" s="1" t="s">
        <v>520</v>
      </c>
      <c r="B1850" t="str">
        <f>VLOOKUP($A1850, 'Customer Names'!A:D, 3, FALSE)</f>
        <v>Callahan</v>
      </c>
      <c r="C1850">
        <f>VLOOKUP($A1850,'Medical Examinations'!A:C, 3, FALSE)</f>
        <v>26.98</v>
      </c>
      <c r="D1850" t="str">
        <f>VLOOKUP($A1850, 'Medical Examinations'!A:D, 4, FALSE)</f>
        <v>Normal</v>
      </c>
      <c r="E1850" t="str">
        <f>VLOOKUP($A1850, 'Medical Examinations'!A:F, 6, FALSE)</f>
        <v>No</v>
      </c>
      <c r="F1850" t="str">
        <f>VLOOKUP($A1850, 'Medical Examinations'!A:G, 7, FALSE)</f>
        <v>No</v>
      </c>
      <c r="G1850" t="str">
        <f>VLOOKUP($A1850, 'Medical Examinations'!A:H, 8, FALSE)</f>
        <v>No</v>
      </c>
      <c r="H1850" t="str">
        <f>VLOOKUP($A1850, 'Medical Examinations'!A:J, 10, FALSE)</f>
        <v>No major surgery</v>
      </c>
      <c r="I1850" t="str">
        <f>VLOOKUP($A1850, 'Medical Examinations'!A:K, 11, FALSE)</f>
        <v>No</v>
      </c>
      <c r="J1850" t="str">
        <f>VLOOKUP($A1850, 'Medical Examinations'!A:B, 2, FALSE)</f>
        <v>Overweight</v>
      </c>
      <c r="K1850" t="str">
        <f>VLOOKUP($A1850, 'Medical Examinations'!A:D, 4, FALSE)</f>
        <v>Normal</v>
      </c>
    </row>
    <row r="1851" spans="1:11" ht="15.5" x14ac:dyDescent="0.35">
      <c r="A1851" s="1" t="s">
        <v>519</v>
      </c>
      <c r="B1851" t="str">
        <f>VLOOKUP($A1851, 'Customer Names'!A:D, 3, FALSE)</f>
        <v>Timko</v>
      </c>
      <c r="C1851">
        <f>VLOOKUP($A1851,'Medical Examinations'!A:C, 3, FALSE)</f>
        <v>32.11</v>
      </c>
      <c r="D1851" t="str">
        <f>VLOOKUP($A1851, 'Medical Examinations'!A:D, 4, FALSE)</f>
        <v>Normal</v>
      </c>
      <c r="E1851" t="str">
        <f>VLOOKUP($A1851, 'Medical Examinations'!A:F, 6, FALSE)</f>
        <v>No</v>
      </c>
      <c r="F1851" t="str">
        <f>VLOOKUP($A1851, 'Medical Examinations'!A:G, 7, FALSE)</f>
        <v>No</v>
      </c>
      <c r="G1851" t="str">
        <f>VLOOKUP($A1851, 'Medical Examinations'!A:H, 8, FALSE)</f>
        <v>Yes</v>
      </c>
      <c r="H1851">
        <f>VLOOKUP($A1851, 'Medical Examinations'!A:J, 10, FALSE)</f>
        <v>1</v>
      </c>
      <c r="I1851" t="str">
        <f>VLOOKUP($A1851, 'Medical Examinations'!A:K, 11, FALSE)</f>
        <v>No</v>
      </c>
      <c r="J1851" t="str">
        <f>VLOOKUP($A1851, 'Medical Examinations'!A:B, 2, FALSE)</f>
        <v>Obesity</v>
      </c>
      <c r="K1851" t="str">
        <f>VLOOKUP($A1851, 'Medical Examinations'!A:D, 4, FALSE)</f>
        <v>Normal</v>
      </c>
    </row>
    <row r="1852" spans="1:11" ht="15.5" x14ac:dyDescent="0.35">
      <c r="A1852" s="1" t="s">
        <v>518</v>
      </c>
      <c r="B1852" t="str">
        <f>VLOOKUP($A1852, 'Customer Names'!A:D, 3, FALSE)</f>
        <v>Achatz</v>
      </c>
      <c r="C1852">
        <f>VLOOKUP($A1852,'Medical Examinations'!A:C, 3, FALSE)</f>
        <v>31.73</v>
      </c>
      <c r="D1852" t="str">
        <f>VLOOKUP($A1852, 'Medical Examinations'!A:D, 4, FALSE)</f>
        <v>Normal</v>
      </c>
      <c r="E1852" t="str">
        <f>VLOOKUP($A1852, 'Medical Examinations'!A:F, 6, FALSE)</f>
        <v>No</v>
      </c>
      <c r="F1852" t="str">
        <f>VLOOKUP($A1852, 'Medical Examinations'!A:G, 7, FALSE)</f>
        <v>No</v>
      </c>
      <c r="G1852" t="str">
        <f>VLOOKUP($A1852, 'Medical Examinations'!A:H, 8, FALSE)</f>
        <v>Yes</v>
      </c>
      <c r="H1852">
        <f>VLOOKUP($A1852, 'Medical Examinations'!A:J, 10, FALSE)</f>
        <v>1</v>
      </c>
      <c r="I1852" t="str">
        <f>VLOOKUP($A1852, 'Medical Examinations'!A:K, 11, FALSE)</f>
        <v>No</v>
      </c>
      <c r="J1852" t="str">
        <f>VLOOKUP($A1852, 'Medical Examinations'!A:B, 2, FALSE)</f>
        <v>Obesity</v>
      </c>
      <c r="K1852" t="str">
        <f>VLOOKUP($A1852, 'Medical Examinations'!A:D, 4, FALSE)</f>
        <v>Normal</v>
      </c>
    </row>
    <row r="1853" spans="1:11" ht="15.5" x14ac:dyDescent="0.35">
      <c r="A1853" s="1" t="s">
        <v>517</v>
      </c>
      <c r="B1853" t="str">
        <f>VLOOKUP($A1853, 'Customer Names'!A:D, 3, FALSE)</f>
        <v>Horwitz</v>
      </c>
      <c r="C1853">
        <f>VLOOKUP($A1853,'Medical Examinations'!A:C, 3, FALSE)</f>
        <v>22.515000000000001</v>
      </c>
      <c r="D1853" t="str">
        <f>VLOOKUP($A1853, 'Medical Examinations'!A:D, 4, FALSE)</f>
        <v>Normal</v>
      </c>
      <c r="E1853" t="str">
        <f>VLOOKUP($A1853, 'Medical Examinations'!A:F, 6, FALSE)</f>
        <v>No</v>
      </c>
      <c r="F1853" t="str">
        <f>VLOOKUP($A1853, 'Medical Examinations'!A:G, 7, FALSE)</f>
        <v>No</v>
      </c>
      <c r="G1853" t="str">
        <f>VLOOKUP($A1853, 'Medical Examinations'!A:H, 8, FALSE)</f>
        <v>No</v>
      </c>
      <c r="H1853" t="str">
        <f>VLOOKUP($A1853, 'Medical Examinations'!A:J, 10, FALSE)</f>
        <v>No major surgery</v>
      </c>
      <c r="I1853" t="str">
        <f>VLOOKUP($A1853, 'Medical Examinations'!A:K, 11, FALSE)</f>
        <v>No</v>
      </c>
      <c r="J1853" t="str">
        <f>VLOOKUP($A1853, 'Medical Examinations'!A:B, 2, FALSE)</f>
        <v>Normal Weight</v>
      </c>
      <c r="K1853" t="str">
        <f>VLOOKUP($A1853, 'Medical Examinations'!A:D, 4, FALSE)</f>
        <v>Normal</v>
      </c>
    </row>
    <row r="1854" spans="1:11" ht="15.5" x14ac:dyDescent="0.35">
      <c r="A1854" s="1" t="s">
        <v>515</v>
      </c>
      <c r="B1854" t="str">
        <f>VLOOKUP($A1854, 'Customer Names'!A:D, 3, FALSE)</f>
        <v>Gordyan</v>
      </c>
      <c r="C1854">
        <f>VLOOKUP($A1854,'Medical Examinations'!A:C, 3, FALSE)</f>
        <v>25.9</v>
      </c>
      <c r="D1854" t="str">
        <f>VLOOKUP($A1854, 'Medical Examinations'!A:D, 4, FALSE)</f>
        <v>Normal</v>
      </c>
      <c r="E1854" t="str">
        <f>VLOOKUP($A1854, 'Medical Examinations'!A:F, 6, FALSE)</f>
        <v>No</v>
      </c>
      <c r="F1854" t="str">
        <f>VLOOKUP($A1854, 'Medical Examinations'!A:G, 7, FALSE)</f>
        <v>No</v>
      </c>
      <c r="G1854" t="str">
        <f>VLOOKUP($A1854, 'Medical Examinations'!A:H, 8, FALSE)</f>
        <v>No</v>
      </c>
      <c r="H1854">
        <f>VLOOKUP($A1854, 'Medical Examinations'!A:J, 10, FALSE)</f>
        <v>1</v>
      </c>
      <c r="I1854" t="str">
        <f>VLOOKUP($A1854, 'Medical Examinations'!A:K, 11, FALSE)</f>
        <v>No</v>
      </c>
      <c r="J1854" t="str">
        <f>VLOOKUP($A1854, 'Medical Examinations'!A:B, 2, FALSE)</f>
        <v>Overweight</v>
      </c>
      <c r="K1854" t="str">
        <f>VLOOKUP($A1854, 'Medical Examinations'!A:D, 4, FALSE)</f>
        <v>Normal</v>
      </c>
    </row>
    <row r="1855" spans="1:11" ht="15.5" x14ac:dyDescent="0.35">
      <c r="A1855" s="1" t="s">
        <v>514</v>
      </c>
      <c r="B1855" t="str">
        <f>VLOOKUP($A1855, 'Customer Names'!A:D, 3, FALSE)</f>
        <v>Hetherington</v>
      </c>
      <c r="C1855">
        <f>VLOOKUP($A1855,'Medical Examinations'!A:C, 3, FALSE)</f>
        <v>27.72</v>
      </c>
      <c r="D1855" t="str">
        <f>VLOOKUP($A1855, 'Medical Examinations'!A:D, 4, FALSE)</f>
        <v>Normal</v>
      </c>
      <c r="E1855" t="str">
        <f>VLOOKUP($A1855, 'Medical Examinations'!A:F, 6, FALSE)</f>
        <v>yes</v>
      </c>
      <c r="F1855" t="str">
        <f>VLOOKUP($A1855, 'Medical Examinations'!A:G, 7, FALSE)</f>
        <v>No</v>
      </c>
      <c r="G1855" t="str">
        <f>VLOOKUP($A1855, 'Medical Examinations'!A:H, 8, FALSE)</f>
        <v>No</v>
      </c>
      <c r="H1855">
        <f>VLOOKUP($A1855, 'Medical Examinations'!A:J, 10, FALSE)</f>
        <v>1</v>
      </c>
      <c r="I1855" t="str">
        <f>VLOOKUP($A1855, 'Medical Examinations'!A:K, 11, FALSE)</f>
        <v>No</v>
      </c>
      <c r="J1855" t="str">
        <f>VLOOKUP($A1855, 'Medical Examinations'!A:B, 2, FALSE)</f>
        <v>Overweight</v>
      </c>
      <c r="K1855" t="str">
        <f>VLOOKUP($A1855, 'Medical Examinations'!A:D, 4, FALSE)</f>
        <v>Normal</v>
      </c>
    </row>
    <row r="1856" spans="1:11" ht="15.5" x14ac:dyDescent="0.35">
      <c r="A1856" s="1" t="s">
        <v>513</v>
      </c>
      <c r="B1856" t="str">
        <f>VLOOKUP($A1856, 'Customer Names'!A:D, 3, FALSE)</f>
        <v>Thompson</v>
      </c>
      <c r="C1856">
        <f>VLOOKUP($A1856,'Medical Examinations'!A:C, 3, FALSE)</f>
        <v>31.5</v>
      </c>
      <c r="D1856" t="str">
        <f>VLOOKUP($A1856, 'Medical Examinations'!A:D, 4, FALSE)</f>
        <v>Diabetes</v>
      </c>
      <c r="E1856" t="str">
        <f>VLOOKUP($A1856, 'Medical Examinations'!A:F, 6, FALSE)</f>
        <v>yes</v>
      </c>
      <c r="F1856" t="str">
        <f>VLOOKUP($A1856, 'Medical Examinations'!A:G, 7, FALSE)</f>
        <v>No</v>
      </c>
      <c r="G1856" t="str">
        <f>VLOOKUP($A1856, 'Medical Examinations'!A:H, 8, FALSE)</f>
        <v>No</v>
      </c>
      <c r="H1856">
        <f>VLOOKUP($A1856, 'Medical Examinations'!A:J, 10, FALSE)</f>
        <v>1</v>
      </c>
      <c r="I1856" t="str">
        <f>VLOOKUP($A1856, 'Medical Examinations'!A:K, 11, FALSE)</f>
        <v>No</v>
      </c>
      <c r="J1856" t="str">
        <f>VLOOKUP($A1856, 'Medical Examinations'!A:B, 2, FALSE)</f>
        <v>Obesity</v>
      </c>
      <c r="K1856" t="str">
        <f>VLOOKUP($A1856, 'Medical Examinations'!A:D, 4, FALSE)</f>
        <v>Diabetes</v>
      </c>
    </row>
    <row r="1857" spans="1:11" ht="15.5" x14ac:dyDescent="0.35">
      <c r="A1857" s="1" t="s">
        <v>512</v>
      </c>
      <c r="B1857" t="str">
        <f>VLOOKUP($A1857, 'Customer Names'!A:D, 3, FALSE)</f>
        <v>Battoo</v>
      </c>
      <c r="C1857">
        <f>VLOOKUP($A1857,'Medical Examinations'!A:C, 3, FALSE)</f>
        <v>29.7</v>
      </c>
      <c r="D1857" t="str">
        <f>VLOOKUP($A1857, 'Medical Examinations'!A:D, 4, FALSE)</f>
        <v>Diabetes</v>
      </c>
      <c r="E1857" t="str">
        <f>VLOOKUP($A1857, 'Medical Examinations'!A:F, 6, FALSE)</f>
        <v>yes</v>
      </c>
      <c r="F1857" t="str">
        <f>VLOOKUP($A1857, 'Medical Examinations'!A:G, 7, FALSE)</f>
        <v>No</v>
      </c>
      <c r="G1857" t="str">
        <f>VLOOKUP($A1857, 'Medical Examinations'!A:H, 8, FALSE)</f>
        <v>No</v>
      </c>
      <c r="H1857">
        <f>VLOOKUP($A1857, 'Medical Examinations'!A:J, 10, FALSE)</f>
        <v>1</v>
      </c>
      <c r="I1857" t="str">
        <f>VLOOKUP($A1857, 'Medical Examinations'!A:K, 11, FALSE)</f>
        <v>No</v>
      </c>
      <c r="J1857" t="str">
        <f>VLOOKUP($A1857, 'Medical Examinations'!A:B, 2, FALSE)</f>
        <v>Overweight</v>
      </c>
      <c r="K1857" t="str">
        <f>VLOOKUP($A1857, 'Medical Examinations'!A:D, 4, FALSE)</f>
        <v>Diabetes</v>
      </c>
    </row>
    <row r="1858" spans="1:11" ht="15.5" x14ac:dyDescent="0.35">
      <c r="A1858" s="1" t="s">
        <v>511</v>
      </c>
      <c r="B1858" t="str">
        <f>VLOOKUP($A1858, 'Customer Names'!A:D, 3, FALSE)</f>
        <v>Barker</v>
      </c>
      <c r="C1858">
        <f>VLOOKUP($A1858,'Medical Examinations'!A:C, 3, FALSE)</f>
        <v>21.26</v>
      </c>
      <c r="D1858" t="str">
        <f>VLOOKUP($A1858, 'Medical Examinations'!A:D, 4, FALSE)</f>
        <v>Normal</v>
      </c>
      <c r="E1858" t="str">
        <f>VLOOKUP($A1858, 'Medical Examinations'!A:F, 6, FALSE)</f>
        <v>yes</v>
      </c>
      <c r="F1858" t="str">
        <f>VLOOKUP($A1858, 'Medical Examinations'!A:G, 7, FALSE)</f>
        <v>No</v>
      </c>
      <c r="G1858" t="str">
        <f>VLOOKUP($A1858, 'Medical Examinations'!A:H, 8, FALSE)</f>
        <v>No</v>
      </c>
      <c r="H1858">
        <f>VLOOKUP($A1858, 'Medical Examinations'!A:J, 10, FALSE)</f>
        <v>1</v>
      </c>
      <c r="I1858" t="str">
        <f>VLOOKUP($A1858, 'Medical Examinations'!A:K, 11, FALSE)</f>
        <v>No</v>
      </c>
      <c r="J1858" t="str">
        <f>VLOOKUP($A1858, 'Medical Examinations'!A:B, 2, FALSE)</f>
        <v>Normal Weight</v>
      </c>
      <c r="K1858" t="str">
        <f>VLOOKUP($A1858, 'Medical Examinations'!A:D, 4, FALSE)</f>
        <v>Normal</v>
      </c>
    </row>
    <row r="1859" spans="1:11" ht="15.5" x14ac:dyDescent="0.35">
      <c r="A1859" s="1" t="s">
        <v>510</v>
      </c>
      <c r="B1859" t="str">
        <f>VLOOKUP($A1859, 'Customer Names'!A:D, 3, FALSE)</f>
        <v>Saarnilehto</v>
      </c>
      <c r="C1859">
        <f>VLOOKUP($A1859,'Medical Examinations'!A:C, 3, FALSE)</f>
        <v>17.09</v>
      </c>
      <c r="D1859" t="str">
        <f>VLOOKUP($A1859, 'Medical Examinations'!A:D, 4, FALSE)</f>
        <v>Normal</v>
      </c>
      <c r="E1859" t="str">
        <f>VLOOKUP($A1859, 'Medical Examinations'!A:F, 6, FALSE)</f>
        <v>No</v>
      </c>
      <c r="F1859" t="str">
        <f>VLOOKUP($A1859, 'Medical Examinations'!A:G, 7, FALSE)</f>
        <v>No</v>
      </c>
      <c r="G1859" t="str">
        <f>VLOOKUP($A1859, 'Medical Examinations'!A:H, 8, FALSE)</f>
        <v>No</v>
      </c>
      <c r="H1859" t="str">
        <f>VLOOKUP($A1859, 'Medical Examinations'!A:J, 10, FALSE)</f>
        <v>No major surgery</v>
      </c>
      <c r="I1859" t="str">
        <f>VLOOKUP($A1859, 'Medical Examinations'!A:K, 11, FALSE)</f>
        <v>No</v>
      </c>
      <c r="J1859" t="str">
        <f>VLOOKUP($A1859, 'Medical Examinations'!A:B, 2, FALSE)</f>
        <v>Underweight</v>
      </c>
      <c r="K1859" t="str">
        <f>VLOOKUP($A1859, 'Medical Examinations'!A:D, 4, FALSE)</f>
        <v>Normal</v>
      </c>
    </row>
    <row r="1860" spans="1:11" ht="15.5" x14ac:dyDescent="0.35">
      <c r="A1860" s="1" t="s">
        <v>509</v>
      </c>
      <c r="B1860" t="str">
        <f>VLOOKUP($A1860, 'Customer Names'!A:D, 3, FALSE)</f>
        <v>Morton</v>
      </c>
      <c r="C1860">
        <f>VLOOKUP($A1860,'Medical Examinations'!A:C, 3, FALSE)</f>
        <v>24.3</v>
      </c>
      <c r="D1860" t="str">
        <f>VLOOKUP($A1860, 'Medical Examinations'!A:D, 4, FALSE)</f>
        <v>Normal</v>
      </c>
      <c r="E1860" t="str">
        <f>VLOOKUP($A1860, 'Medical Examinations'!A:F, 6, FALSE)</f>
        <v>yes</v>
      </c>
      <c r="F1860" t="str">
        <f>VLOOKUP($A1860, 'Medical Examinations'!A:G, 7, FALSE)</f>
        <v>No</v>
      </c>
      <c r="G1860" t="str">
        <f>VLOOKUP($A1860, 'Medical Examinations'!A:H, 8, FALSE)</f>
        <v>Yes</v>
      </c>
      <c r="H1860">
        <f>VLOOKUP($A1860, 'Medical Examinations'!A:J, 10, FALSE)</f>
        <v>1</v>
      </c>
      <c r="I1860" t="str">
        <f>VLOOKUP($A1860, 'Medical Examinations'!A:K, 11, FALSE)</f>
        <v>No</v>
      </c>
      <c r="J1860" t="str">
        <f>VLOOKUP($A1860, 'Medical Examinations'!A:B, 2, FALSE)</f>
        <v>Normal Weight</v>
      </c>
      <c r="K1860" t="str">
        <f>VLOOKUP($A1860, 'Medical Examinations'!A:D, 4, FALSE)</f>
        <v>Normal</v>
      </c>
    </row>
    <row r="1861" spans="1:11" ht="15.5" x14ac:dyDescent="0.35">
      <c r="A1861" s="1" t="s">
        <v>508</v>
      </c>
      <c r="B1861" t="str">
        <f>VLOOKUP($A1861, 'Customer Names'!A:D, 3, FALSE)</f>
        <v>Thomas</v>
      </c>
      <c r="C1861">
        <f>VLOOKUP($A1861,'Medical Examinations'!A:C, 3, FALSE)</f>
        <v>29.734999999999999</v>
      </c>
      <c r="D1861" t="str">
        <f>VLOOKUP($A1861, 'Medical Examinations'!A:D, 4, FALSE)</f>
        <v>Prediabetes</v>
      </c>
      <c r="E1861" t="str">
        <f>VLOOKUP($A1861, 'Medical Examinations'!A:F, 6, FALSE)</f>
        <v>No</v>
      </c>
      <c r="F1861" t="str">
        <f>VLOOKUP($A1861, 'Medical Examinations'!A:G, 7, FALSE)</f>
        <v>No</v>
      </c>
      <c r="G1861" t="str">
        <f>VLOOKUP($A1861, 'Medical Examinations'!A:H, 8, FALSE)</f>
        <v>No</v>
      </c>
      <c r="H1861" t="str">
        <f>VLOOKUP($A1861, 'Medical Examinations'!A:J, 10, FALSE)</f>
        <v>No major surgery</v>
      </c>
      <c r="I1861" t="str">
        <f>VLOOKUP($A1861, 'Medical Examinations'!A:K, 11, FALSE)</f>
        <v>No</v>
      </c>
      <c r="J1861" t="str">
        <f>VLOOKUP($A1861, 'Medical Examinations'!A:B, 2, FALSE)</f>
        <v>Overweight</v>
      </c>
      <c r="K1861" t="str">
        <f>VLOOKUP($A1861, 'Medical Examinations'!A:D, 4, FALSE)</f>
        <v>Prediabetes</v>
      </c>
    </row>
    <row r="1862" spans="1:11" ht="15.5" x14ac:dyDescent="0.35">
      <c r="A1862" s="1" t="s">
        <v>507</v>
      </c>
      <c r="B1862" t="str">
        <f>VLOOKUP($A1862, 'Customer Names'!A:D, 3, FALSE)</f>
        <v>Hillman</v>
      </c>
      <c r="C1862">
        <f>VLOOKUP($A1862,'Medical Examinations'!A:C, 3, FALSE)</f>
        <v>29.26</v>
      </c>
      <c r="D1862" t="str">
        <f>VLOOKUP($A1862, 'Medical Examinations'!A:D, 4, FALSE)</f>
        <v>Normal</v>
      </c>
      <c r="E1862" t="str">
        <f>VLOOKUP($A1862, 'Medical Examinations'!A:F, 6, FALSE)</f>
        <v>No</v>
      </c>
      <c r="F1862" t="str">
        <f>VLOOKUP($A1862, 'Medical Examinations'!A:G, 7, FALSE)</f>
        <v>No</v>
      </c>
      <c r="G1862" t="str">
        <f>VLOOKUP($A1862, 'Medical Examinations'!A:H, 8, FALSE)</f>
        <v>No</v>
      </c>
      <c r="H1862" t="str">
        <f>VLOOKUP($A1862, 'Medical Examinations'!A:J, 10, FALSE)</f>
        <v>No major surgery</v>
      </c>
      <c r="I1862" t="str">
        <f>VLOOKUP($A1862, 'Medical Examinations'!A:K, 11, FALSE)</f>
        <v>No</v>
      </c>
      <c r="J1862" t="str">
        <f>VLOOKUP($A1862, 'Medical Examinations'!A:B, 2, FALSE)</f>
        <v>Overweight</v>
      </c>
      <c r="K1862" t="str">
        <f>VLOOKUP($A1862, 'Medical Examinations'!A:D, 4, FALSE)</f>
        <v>Normal</v>
      </c>
    </row>
    <row r="1863" spans="1:11" ht="15.5" x14ac:dyDescent="0.35">
      <c r="A1863" s="1" t="s">
        <v>506</v>
      </c>
      <c r="B1863" t="str">
        <f>VLOOKUP($A1863, 'Customer Names'!A:D, 3, FALSE)</f>
        <v>Edwards</v>
      </c>
      <c r="C1863">
        <f>VLOOKUP($A1863,'Medical Examinations'!A:C, 3, FALSE)</f>
        <v>33</v>
      </c>
      <c r="D1863" t="str">
        <f>VLOOKUP($A1863, 'Medical Examinations'!A:D, 4, FALSE)</f>
        <v>Prediabetes</v>
      </c>
      <c r="E1863" t="str">
        <f>VLOOKUP($A1863, 'Medical Examinations'!A:F, 6, FALSE)</f>
        <v>No</v>
      </c>
      <c r="F1863" t="str">
        <f>VLOOKUP($A1863, 'Medical Examinations'!A:G, 7, FALSE)</f>
        <v>No</v>
      </c>
      <c r="G1863" t="str">
        <f>VLOOKUP($A1863, 'Medical Examinations'!A:H, 8, FALSE)</f>
        <v>No</v>
      </c>
      <c r="H1863" t="str">
        <f>VLOOKUP($A1863, 'Medical Examinations'!A:J, 10, FALSE)</f>
        <v>No major surgery</v>
      </c>
      <c r="I1863" t="str">
        <f>VLOOKUP($A1863, 'Medical Examinations'!A:K, 11, FALSE)</f>
        <v>No</v>
      </c>
      <c r="J1863" t="str">
        <f>VLOOKUP($A1863, 'Medical Examinations'!A:B, 2, FALSE)</f>
        <v>Obesity</v>
      </c>
      <c r="K1863" t="str">
        <f>VLOOKUP($A1863, 'Medical Examinations'!A:D, 4, FALSE)</f>
        <v>Prediabetes</v>
      </c>
    </row>
    <row r="1864" spans="1:11" ht="15.5" x14ac:dyDescent="0.35">
      <c r="A1864" s="1" t="s">
        <v>505</v>
      </c>
      <c r="B1864" t="str">
        <f>VLOOKUP($A1864, 'Customer Names'!A:D, 3, FALSE)</f>
        <v>Bartel</v>
      </c>
      <c r="C1864">
        <f>VLOOKUP($A1864,'Medical Examinations'!A:C, 3, FALSE)</f>
        <v>31.065000000000001</v>
      </c>
      <c r="D1864" t="str">
        <f>VLOOKUP($A1864, 'Medical Examinations'!A:D, 4, FALSE)</f>
        <v>Normal</v>
      </c>
      <c r="E1864" t="str">
        <f>VLOOKUP($A1864, 'Medical Examinations'!A:F, 6, FALSE)</f>
        <v>No</v>
      </c>
      <c r="F1864" t="str">
        <f>VLOOKUP($A1864, 'Medical Examinations'!A:G, 7, FALSE)</f>
        <v>No</v>
      </c>
      <c r="G1864" t="str">
        <f>VLOOKUP($A1864, 'Medical Examinations'!A:H, 8, FALSE)</f>
        <v>No</v>
      </c>
      <c r="H1864" t="str">
        <f>VLOOKUP($A1864, 'Medical Examinations'!A:J, 10, FALSE)</f>
        <v>No major surgery</v>
      </c>
      <c r="I1864" t="str">
        <f>VLOOKUP($A1864, 'Medical Examinations'!A:K, 11, FALSE)</f>
        <v>No</v>
      </c>
      <c r="J1864" t="str">
        <f>VLOOKUP($A1864, 'Medical Examinations'!A:B, 2, FALSE)</f>
        <v>Obesity</v>
      </c>
      <c r="K1864" t="str">
        <f>VLOOKUP($A1864, 'Medical Examinations'!A:D, 4, FALSE)</f>
        <v>Normal</v>
      </c>
    </row>
    <row r="1865" spans="1:11" ht="15.5" x14ac:dyDescent="0.35">
      <c r="A1865" s="1" t="s">
        <v>504</v>
      </c>
      <c r="B1865" t="str">
        <f>VLOOKUP($A1865, 'Customer Names'!A:D, 3, FALSE)</f>
        <v>Potekhina</v>
      </c>
      <c r="C1865">
        <f>VLOOKUP($A1865,'Medical Examinations'!A:C, 3, FALSE)</f>
        <v>26.51</v>
      </c>
      <c r="D1865" t="str">
        <f>VLOOKUP($A1865, 'Medical Examinations'!A:D, 4, FALSE)</f>
        <v>Prediabetes</v>
      </c>
      <c r="E1865" t="str">
        <f>VLOOKUP($A1865, 'Medical Examinations'!A:F, 6, FALSE)</f>
        <v>No</v>
      </c>
      <c r="F1865" t="str">
        <f>VLOOKUP($A1865, 'Medical Examinations'!A:G, 7, FALSE)</f>
        <v>No</v>
      </c>
      <c r="G1865" t="str">
        <f>VLOOKUP($A1865, 'Medical Examinations'!A:H, 8, FALSE)</f>
        <v>No</v>
      </c>
      <c r="H1865" t="str">
        <f>VLOOKUP($A1865, 'Medical Examinations'!A:J, 10, FALSE)</f>
        <v>No major surgery</v>
      </c>
      <c r="I1865" t="str">
        <f>VLOOKUP($A1865, 'Medical Examinations'!A:K, 11, FALSE)</f>
        <v>No</v>
      </c>
      <c r="J1865" t="str">
        <f>VLOOKUP($A1865, 'Medical Examinations'!A:B, 2, FALSE)</f>
        <v>Overweight</v>
      </c>
      <c r="K1865" t="str">
        <f>VLOOKUP($A1865, 'Medical Examinations'!A:D, 4, FALSE)</f>
        <v>Prediabetes</v>
      </c>
    </row>
    <row r="1866" spans="1:11" ht="15.5" x14ac:dyDescent="0.35">
      <c r="A1866" s="1" t="s">
        <v>503</v>
      </c>
      <c r="B1866" t="str">
        <f>VLOOKUP($A1866, 'Customer Names'!A:D, 3, FALSE)</f>
        <v>Kelly</v>
      </c>
      <c r="C1866">
        <f>VLOOKUP($A1866,'Medical Examinations'!A:C, 3, FALSE)</f>
        <v>28.88</v>
      </c>
      <c r="D1866" t="str">
        <f>VLOOKUP($A1866, 'Medical Examinations'!A:D, 4, FALSE)</f>
        <v>Normal</v>
      </c>
      <c r="E1866" t="str">
        <f>VLOOKUP($A1866, 'Medical Examinations'!A:F, 6, FALSE)</f>
        <v>No</v>
      </c>
      <c r="F1866" t="str">
        <f>VLOOKUP($A1866, 'Medical Examinations'!A:G, 7, FALSE)</f>
        <v>No</v>
      </c>
      <c r="G1866" t="str">
        <f>VLOOKUP($A1866, 'Medical Examinations'!A:H, 8, FALSE)</f>
        <v>No</v>
      </c>
      <c r="H1866" t="str">
        <f>VLOOKUP($A1866, 'Medical Examinations'!A:J, 10, FALSE)</f>
        <v>No major surgery</v>
      </c>
      <c r="I1866" t="str">
        <f>VLOOKUP($A1866, 'Medical Examinations'!A:K, 11, FALSE)</f>
        <v>No</v>
      </c>
      <c r="J1866" t="str">
        <f>VLOOKUP($A1866, 'Medical Examinations'!A:B, 2, FALSE)</f>
        <v>Overweight</v>
      </c>
      <c r="K1866" t="str">
        <f>VLOOKUP($A1866, 'Medical Examinations'!A:D, 4, FALSE)</f>
        <v>Normal</v>
      </c>
    </row>
    <row r="1867" spans="1:11" ht="15.5" x14ac:dyDescent="0.35">
      <c r="A1867" s="1" t="s">
        <v>502</v>
      </c>
      <c r="B1867" t="str">
        <f>VLOOKUP($A1867, 'Customer Names'!A:D, 3, FALSE)</f>
        <v>Lapp</v>
      </c>
      <c r="C1867">
        <f>VLOOKUP($A1867,'Medical Examinations'!A:C, 3, FALSE)</f>
        <v>35.814999999999998</v>
      </c>
      <c r="D1867" t="str">
        <f>VLOOKUP($A1867, 'Medical Examinations'!A:D, 4, FALSE)</f>
        <v>Normal</v>
      </c>
      <c r="E1867" t="str">
        <f>VLOOKUP($A1867, 'Medical Examinations'!A:F, 6, FALSE)</f>
        <v>yes</v>
      </c>
      <c r="F1867" t="str">
        <f>VLOOKUP($A1867, 'Medical Examinations'!A:G, 7, FALSE)</f>
        <v>No</v>
      </c>
      <c r="G1867" t="str">
        <f>VLOOKUP($A1867, 'Medical Examinations'!A:H, 8, FALSE)</f>
        <v>No</v>
      </c>
      <c r="H1867">
        <f>VLOOKUP($A1867, 'Medical Examinations'!A:J, 10, FALSE)</f>
        <v>1</v>
      </c>
      <c r="I1867" t="str">
        <f>VLOOKUP($A1867, 'Medical Examinations'!A:K, 11, FALSE)</f>
        <v>No</v>
      </c>
      <c r="J1867" t="str">
        <f>VLOOKUP($A1867, 'Medical Examinations'!A:B, 2, FALSE)</f>
        <v>Obesity</v>
      </c>
      <c r="K1867" t="str">
        <f>VLOOKUP($A1867, 'Medical Examinations'!A:D, 4, FALSE)</f>
        <v>Normal</v>
      </c>
    </row>
    <row r="1868" spans="1:11" ht="15.5" x14ac:dyDescent="0.35">
      <c r="A1868" s="1" t="s">
        <v>501</v>
      </c>
      <c r="B1868" t="str">
        <f>VLOOKUP($A1868, 'Customer Names'!A:D, 3, FALSE)</f>
        <v>Burke</v>
      </c>
      <c r="C1868">
        <f>VLOOKUP($A1868,'Medical Examinations'!A:C, 3, FALSE)</f>
        <v>21.28</v>
      </c>
      <c r="D1868" t="str">
        <f>VLOOKUP($A1868, 'Medical Examinations'!A:D, 4, FALSE)</f>
        <v>Normal</v>
      </c>
      <c r="E1868" t="str">
        <f>VLOOKUP($A1868, 'Medical Examinations'!A:F, 6, FALSE)</f>
        <v>No</v>
      </c>
      <c r="F1868" t="str">
        <f>VLOOKUP($A1868, 'Medical Examinations'!A:G, 7, FALSE)</f>
        <v>yes</v>
      </c>
      <c r="G1868" t="str">
        <f>VLOOKUP($A1868, 'Medical Examinations'!A:H, 8, FALSE)</f>
        <v>No</v>
      </c>
      <c r="H1868">
        <f>VLOOKUP($A1868, 'Medical Examinations'!A:J, 10, FALSE)</f>
        <v>1</v>
      </c>
      <c r="I1868" t="str">
        <f>VLOOKUP($A1868, 'Medical Examinations'!A:K, 11, FALSE)</f>
        <v>No</v>
      </c>
      <c r="J1868" t="str">
        <f>VLOOKUP($A1868, 'Medical Examinations'!A:B, 2, FALSE)</f>
        <v>Normal Weight</v>
      </c>
      <c r="K1868" t="str">
        <f>VLOOKUP($A1868, 'Medical Examinations'!A:D, 4, FALSE)</f>
        <v>Normal</v>
      </c>
    </row>
    <row r="1869" spans="1:11" ht="15.5" x14ac:dyDescent="0.35">
      <c r="A1869" s="1" t="s">
        <v>500</v>
      </c>
      <c r="B1869" t="str">
        <f>VLOOKUP($A1869, 'Customer Names'!A:D, 3, FALSE)</f>
        <v>Barry</v>
      </c>
      <c r="C1869">
        <f>VLOOKUP($A1869,'Medical Examinations'!A:C, 3, FALSE)</f>
        <v>33.81</v>
      </c>
      <c r="D1869" t="e">
        <f>VLOOKUP($A1869, 'Medical Examinations'!A:D, 4, FALSE)</f>
        <v>#N/A</v>
      </c>
      <c r="E1869" t="str">
        <f>VLOOKUP($A1869, 'Medical Examinations'!A:F, 6, FALSE)</f>
        <v>No</v>
      </c>
      <c r="F1869" t="str">
        <f>VLOOKUP($A1869, 'Medical Examinations'!A:G, 7, FALSE)</f>
        <v>No</v>
      </c>
      <c r="G1869" t="str">
        <f>VLOOKUP($A1869, 'Medical Examinations'!A:H, 8, FALSE)</f>
        <v>Yes</v>
      </c>
      <c r="H1869">
        <f>VLOOKUP($A1869, 'Medical Examinations'!A:J, 10, FALSE)</f>
        <v>1</v>
      </c>
      <c r="I1869" t="str">
        <f>VLOOKUP($A1869, 'Medical Examinations'!A:K, 11, FALSE)</f>
        <v>No</v>
      </c>
      <c r="J1869" t="str">
        <f>VLOOKUP($A1869, 'Medical Examinations'!A:B, 2, FALSE)</f>
        <v>Obesity</v>
      </c>
      <c r="K1869" t="e">
        <f>VLOOKUP($A1869, 'Medical Examinations'!A:D, 4, FALSE)</f>
        <v>#N/A</v>
      </c>
    </row>
    <row r="1870" spans="1:11" ht="15.5" x14ac:dyDescent="0.35">
      <c r="A1870" s="1" t="s">
        <v>499</v>
      </c>
      <c r="B1870" t="str">
        <f>VLOOKUP($A1870, 'Customer Names'!A:D, 3, FALSE)</f>
        <v>McCormick</v>
      </c>
      <c r="C1870">
        <f>VLOOKUP($A1870,'Medical Examinations'!A:C, 3, FALSE)</f>
        <v>44.22</v>
      </c>
      <c r="D1870" t="str">
        <f>VLOOKUP($A1870, 'Medical Examinations'!A:D, 4, FALSE)</f>
        <v>Normal</v>
      </c>
      <c r="E1870" t="str">
        <f>VLOOKUP($A1870, 'Medical Examinations'!A:F, 6, FALSE)</f>
        <v>No</v>
      </c>
      <c r="F1870" t="str">
        <f>VLOOKUP($A1870, 'Medical Examinations'!A:G, 7, FALSE)</f>
        <v>No</v>
      </c>
      <c r="G1870" t="str">
        <f>VLOOKUP($A1870, 'Medical Examinations'!A:H, 8, FALSE)</f>
        <v>No</v>
      </c>
      <c r="H1870">
        <f>VLOOKUP($A1870, 'Medical Examinations'!A:J, 10, FALSE)</f>
        <v>1</v>
      </c>
      <c r="I1870" t="str">
        <f>VLOOKUP($A1870, 'Medical Examinations'!A:K, 11, FALSE)</f>
        <v>No</v>
      </c>
      <c r="J1870" t="str">
        <f>VLOOKUP($A1870, 'Medical Examinations'!A:B, 2, FALSE)</f>
        <v>Obesity</v>
      </c>
      <c r="K1870" t="str">
        <f>VLOOKUP($A1870, 'Medical Examinations'!A:D, 4, FALSE)</f>
        <v>Normal</v>
      </c>
    </row>
    <row r="1871" spans="1:11" ht="15.5" x14ac:dyDescent="0.35">
      <c r="A1871" s="1" t="s">
        <v>498</v>
      </c>
      <c r="B1871" t="str">
        <f>VLOOKUP($A1871, 'Customer Names'!A:D, 3, FALSE)</f>
        <v>McElroy</v>
      </c>
      <c r="C1871">
        <f>VLOOKUP($A1871,'Medical Examinations'!A:C, 3, FALSE)</f>
        <v>15.46</v>
      </c>
      <c r="D1871" t="str">
        <f>VLOOKUP($A1871, 'Medical Examinations'!A:D, 4, FALSE)</f>
        <v>Normal</v>
      </c>
      <c r="E1871" t="str">
        <f>VLOOKUP($A1871, 'Medical Examinations'!A:F, 6, FALSE)</f>
        <v>yes</v>
      </c>
      <c r="F1871" t="str">
        <f>VLOOKUP($A1871, 'Medical Examinations'!A:G, 7, FALSE)</f>
        <v>No</v>
      </c>
      <c r="G1871" t="str">
        <f>VLOOKUP($A1871, 'Medical Examinations'!A:H, 8, FALSE)</f>
        <v>Yes</v>
      </c>
      <c r="H1871">
        <f>VLOOKUP($A1871, 'Medical Examinations'!A:J, 10, FALSE)</f>
        <v>1</v>
      </c>
      <c r="I1871" t="str">
        <f>VLOOKUP($A1871, 'Medical Examinations'!A:K, 11, FALSE)</f>
        <v>No</v>
      </c>
      <c r="J1871" t="str">
        <f>VLOOKUP($A1871, 'Medical Examinations'!A:B, 2, FALSE)</f>
        <v>Underweight</v>
      </c>
      <c r="K1871" t="str">
        <f>VLOOKUP($A1871, 'Medical Examinations'!A:D, 4, FALSE)</f>
        <v>Normal</v>
      </c>
    </row>
    <row r="1872" spans="1:11" ht="15.5" x14ac:dyDescent="0.35">
      <c r="A1872" s="1" t="s">
        <v>497</v>
      </c>
      <c r="B1872" t="str">
        <f>VLOOKUP($A1872, 'Customer Names'!A:D, 3, FALSE)</f>
        <v>Coffed</v>
      </c>
      <c r="C1872">
        <f>VLOOKUP($A1872,'Medical Examinations'!A:C, 3, FALSE)</f>
        <v>30.3</v>
      </c>
      <c r="D1872" t="str">
        <f>VLOOKUP($A1872, 'Medical Examinations'!A:D, 4, FALSE)</f>
        <v>Normal</v>
      </c>
      <c r="E1872" t="str">
        <f>VLOOKUP($A1872, 'Medical Examinations'!A:F, 6, FALSE)</f>
        <v>yes</v>
      </c>
      <c r="F1872" t="str">
        <f>VLOOKUP($A1872, 'Medical Examinations'!A:G, 7, FALSE)</f>
        <v>No</v>
      </c>
      <c r="G1872" t="str">
        <f>VLOOKUP($A1872, 'Medical Examinations'!A:H, 8, FALSE)</f>
        <v>No</v>
      </c>
      <c r="H1872">
        <f>VLOOKUP($A1872, 'Medical Examinations'!A:J, 10, FALSE)</f>
        <v>1</v>
      </c>
      <c r="I1872" t="str">
        <f>VLOOKUP($A1872, 'Medical Examinations'!A:K, 11, FALSE)</f>
        <v>No</v>
      </c>
      <c r="J1872" t="str">
        <f>VLOOKUP($A1872, 'Medical Examinations'!A:B, 2, FALSE)</f>
        <v>Obesity</v>
      </c>
      <c r="K1872" t="str">
        <f>VLOOKUP($A1872, 'Medical Examinations'!A:D, 4, FALSE)</f>
        <v>Normal</v>
      </c>
    </row>
    <row r="1873" spans="1:11" ht="15.5" x14ac:dyDescent="0.35">
      <c r="A1873" s="1" t="s">
        <v>496</v>
      </c>
      <c r="B1873" t="str">
        <f>VLOOKUP($A1873, 'Customer Names'!A:D, 3, FALSE)</f>
        <v>Estes</v>
      </c>
      <c r="C1873">
        <f>VLOOKUP($A1873,'Medical Examinations'!A:C, 3, FALSE)</f>
        <v>16.670000000000002</v>
      </c>
      <c r="D1873" t="str">
        <f>VLOOKUP($A1873, 'Medical Examinations'!A:D, 4, FALSE)</f>
        <v>Normal</v>
      </c>
      <c r="E1873" t="str">
        <f>VLOOKUP($A1873, 'Medical Examinations'!A:F, 6, FALSE)</f>
        <v>No</v>
      </c>
      <c r="F1873" t="str">
        <f>VLOOKUP($A1873, 'Medical Examinations'!A:G, 7, FALSE)</f>
        <v>No</v>
      </c>
      <c r="G1873" t="str">
        <f>VLOOKUP($A1873, 'Medical Examinations'!A:H, 8, FALSE)</f>
        <v>No</v>
      </c>
      <c r="H1873" t="str">
        <f>VLOOKUP($A1873, 'Medical Examinations'!A:J, 10, FALSE)</f>
        <v>No major surgery</v>
      </c>
      <c r="I1873" t="str">
        <f>VLOOKUP($A1873, 'Medical Examinations'!A:K, 11, FALSE)</f>
        <v>No</v>
      </c>
      <c r="J1873" t="str">
        <f>VLOOKUP($A1873, 'Medical Examinations'!A:B, 2, FALSE)</f>
        <v>Underweight</v>
      </c>
      <c r="K1873" t="str">
        <f>VLOOKUP($A1873, 'Medical Examinations'!A:D, 4, FALSE)</f>
        <v>Normal</v>
      </c>
    </row>
    <row r="1874" spans="1:11" ht="15.5" x14ac:dyDescent="0.35">
      <c r="A1874" s="1" t="s">
        <v>495</v>
      </c>
      <c r="B1874" t="str">
        <f>VLOOKUP($A1874, 'Customer Names'!A:D, 3, FALSE)</f>
        <v>Miles</v>
      </c>
      <c r="C1874">
        <f>VLOOKUP($A1874,'Medical Examinations'!A:C, 3, FALSE)</f>
        <v>28.594999999999999</v>
      </c>
      <c r="D1874" t="str">
        <f>VLOOKUP($A1874, 'Medical Examinations'!A:D, 4, FALSE)</f>
        <v>Normal</v>
      </c>
      <c r="E1874" t="str">
        <f>VLOOKUP($A1874, 'Medical Examinations'!A:F, 6, FALSE)</f>
        <v>No</v>
      </c>
      <c r="F1874" t="str">
        <f>VLOOKUP($A1874, 'Medical Examinations'!A:G, 7, FALSE)</f>
        <v>No</v>
      </c>
      <c r="G1874" t="str">
        <f>VLOOKUP($A1874, 'Medical Examinations'!A:H, 8, FALSE)</f>
        <v>No</v>
      </c>
      <c r="H1874" t="str">
        <f>VLOOKUP($A1874, 'Medical Examinations'!A:J, 10, FALSE)</f>
        <v>No major surgery</v>
      </c>
      <c r="I1874" t="str">
        <f>VLOOKUP($A1874, 'Medical Examinations'!A:K, 11, FALSE)</f>
        <v>No</v>
      </c>
      <c r="J1874" t="str">
        <f>VLOOKUP($A1874, 'Medical Examinations'!A:B, 2, FALSE)</f>
        <v>Overweight</v>
      </c>
      <c r="K1874" t="str">
        <f>VLOOKUP($A1874, 'Medical Examinations'!A:D, 4, FALSE)</f>
        <v>Normal</v>
      </c>
    </row>
    <row r="1875" spans="1:11" ht="15.5" x14ac:dyDescent="0.35">
      <c r="A1875" s="1" t="s">
        <v>494</v>
      </c>
      <c r="B1875" t="str">
        <f>VLOOKUP($A1875, 'Customer Names'!A:D, 3, FALSE)</f>
        <v>Zamore</v>
      </c>
      <c r="C1875">
        <f>VLOOKUP($A1875,'Medical Examinations'!A:C, 3, FALSE)</f>
        <v>25.934999999999999</v>
      </c>
      <c r="D1875" t="str">
        <f>VLOOKUP($A1875, 'Medical Examinations'!A:D, 4, FALSE)</f>
        <v>Normal</v>
      </c>
      <c r="E1875" t="str">
        <f>VLOOKUP($A1875, 'Medical Examinations'!A:F, 6, FALSE)</f>
        <v>No</v>
      </c>
      <c r="F1875" t="str">
        <f>VLOOKUP($A1875, 'Medical Examinations'!A:G, 7, FALSE)</f>
        <v>No</v>
      </c>
      <c r="G1875" t="str">
        <f>VLOOKUP($A1875, 'Medical Examinations'!A:H, 8, FALSE)</f>
        <v>No</v>
      </c>
      <c r="H1875" t="str">
        <f>VLOOKUP($A1875, 'Medical Examinations'!A:J, 10, FALSE)</f>
        <v>No major surgery</v>
      </c>
      <c r="I1875" t="str">
        <f>VLOOKUP($A1875, 'Medical Examinations'!A:K, 11, FALSE)</f>
        <v>No</v>
      </c>
      <c r="J1875" t="str">
        <f>VLOOKUP($A1875, 'Medical Examinations'!A:B, 2, FALSE)</f>
        <v>Overweight</v>
      </c>
      <c r="K1875" t="str">
        <f>VLOOKUP($A1875, 'Medical Examinations'!A:D, 4, FALSE)</f>
        <v>Normal</v>
      </c>
    </row>
    <row r="1876" spans="1:11" ht="15.5" x14ac:dyDescent="0.35">
      <c r="A1876" s="1" t="s">
        <v>493</v>
      </c>
      <c r="B1876" t="str">
        <f>VLOOKUP($A1876, 'Customer Names'!A:D, 3, FALSE)</f>
        <v>Donaghy</v>
      </c>
      <c r="C1876">
        <f>VLOOKUP($A1876,'Medical Examinations'!A:C, 3, FALSE)</f>
        <v>27.645</v>
      </c>
      <c r="D1876" t="str">
        <f>VLOOKUP($A1876, 'Medical Examinations'!A:D, 4, FALSE)</f>
        <v>Normal</v>
      </c>
      <c r="E1876" t="str">
        <f>VLOOKUP($A1876, 'Medical Examinations'!A:F, 6, FALSE)</f>
        <v>No</v>
      </c>
      <c r="F1876" t="str">
        <f>VLOOKUP($A1876, 'Medical Examinations'!A:G, 7, FALSE)</f>
        <v>No</v>
      </c>
      <c r="G1876" t="str">
        <f>VLOOKUP($A1876, 'Medical Examinations'!A:H, 8, FALSE)</f>
        <v>No</v>
      </c>
      <c r="H1876">
        <f>VLOOKUP($A1876, 'Medical Examinations'!A:J, 10, FALSE)</f>
        <v>1</v>
      </c>
      <c r="I1876" t="str">
        <f>VLOOKUP($A1876, 'Medical Examinations'!A:K, 11, FALSE)</f>
        <v>No</v>
      </c>
      <c r="J1876" t="str">
        <f>VLOOKUP($A1876, 'Medical Examinations'!A:B, 2, FALSE)</f>
        <v>Overweight</v>
      </c>
      <c r="K1876" t="str">
        <f>VLOOKUP($A1876, 'Medical Examinations'!A:D, 4, FALSE)</f>
        <v>Normal</v>
      </c>
    </row>
    <row r="1877" spans="1:11" ht="15.5" x14ac:dyDescent="0.35">
      <c r="A1877" s="1" t="s">
        <v>492</v>
      </c>
      <c r="B1877" t="str">
        <f>VLOOKUP($A1877, 'Customer Names'!A:D, 3, FALSE)</f>
        <v>Kennedy</v>
      </c>
      <c r="C1877">
        <f>VLOOKUP($A1877,'Medical Examinations'!A:C, 3, FALSE)</f>
        <v>30.1</v>
      </c>
      <c r="D1877" t="str">
        <f>VLOOKUP($A1877, 'Medical Examinations'!A:D, 4, FALSE)</f>
        <v>Normal</v>
      </c>
      <c r="E1877" t="str">
        <f>VLOOKUP($A1877, 'Medical Examinations'!A:F, 6, FALSE)</f>
        <v>No</v>
      </c>
      <c r="F1877" t="str">
        <f>VLOOKUP($A1877, 'Medical Examinations'!A:G, 7, FALSE)</f>
        <v>No</v>
      </c>
      <c r="G1877" t="str">
        <f>VLOOKUP($A1877, 'Medical Examinations'!A:H, 8, FALSE)</f>
        <v>No</v>
      </c>
      <c r="H1877">
        <f>VLOOKUP($A1877, 'Medical Examinations'!A:J, 10, FALSE)</f>
        <v>1</v>
      </c>
      <c r="I1877" t="str">
        <f>VLOOKUP($A1877, 'Medical Examinations'!A:K, 11, FALSE)</f>
        <v>No</v>
      </c>
      <c r="J1877" t="str">
        <f>VLOOKUP($A1877, 'Medical Examinations'!A:B, 2, FALSE)</f>
        <v>Obesity</v>
      </c>
      <c r="K1877" t="str">
        <f>VLOOKUP($A1877, 'Medical Examinations'!A:D, 4, FALSE)</f>
        <v>Normal</v>
      </c>
    </row>
    <row r="1878" spans="1:11" ht="15.5" x14ac:dyDescent="0.35">
      <c r="A1878" s="1" t="s">
        <v>491</v>
      </c>
      <c r="B1878" t="str">
        <f>VLOOKUP($A1878, 'Customer Names'!A:D, 3, FALSE)</f>
        <v>Fiorini</v>
      </c>
      <c r="C1878">
        <f>VLOOKUP($A1878,'Medical Examinations'!A:C, 3, FALSE)</f>
        <v>26.79</v>
      </c>
      <c r="D1878" t="str">
        <f>VLOOKUP($A1878, 'Medical Examinations'!A:D, 4, FALSE)</f>
        <v>Normal</v>
      </c>
      <c r="E1878" t="str">
        <f>VLOOKUP($A1878, 'Medical Examinations'!A:F, 6, FALSE)</f>
        <v>yes</v>
      </c>
      <c r="F1878" t="str">
        <f>VLOOKUP($A1878, 'Medical Examinations'!A:G, 7, FALSE)</f>
        <v>No</v>
      </c>
      <c r="G1878" t="str">
        <f>VLOOKUP($A1878, 'Medical Examinations'!A:H, 8, FALSE)</f>
        <v>Yes</v>
      </c>
      <c r="H1878">
        <f>VLOOKUP($A1878, 'Medical Examinations'!A:J, 10, FALSE)</f>
        <v>1</v>
      </c>
      <c r="I1878" t="str">
        <f>VLOOKUP($A1878, 'Medical Examinations'!A:K, 11, FALSE)</f>
        <v>No</v>
      </c>
      <c r="J1878" t="str">
        <f>VLOOKUP($A1878, 'Medical Examinations'!A:B, 2, FALSE)</f>
        <v>Overweight</v>
      </c>
      <c r="K1878" t="str">
        <f>VLOOKUP($A1878, 'Medical Examinations'!A:D, 4, FALSE)</f>
        <v>Normal</v>
      </c>
    </row>
    <row r="1879" spans="1:11" ht="15.5" x14ac:dyDescent="0.35">
      <c r="A1879" s="1" t="s">
        <v>490</v>
      </c>
      <c r="B1879" t="str">
        <f>VLOOKUP($A1879, 'Customer Names'!A:D, 3, FALSE)</f>
        <v>Alexander</v>
      </c>
      <c r="C1879">
        <f>VLOOKUP($A1879,'Medical Examinations'!A:C, 3, FALSE)</f>
        <v>27.1</v>
      </c>
      <c r="D1879" t="str">
        <f>VLOOKUP($A1879, 'Medical Examinations'!A:D, 4, FALSE)</f>
        <v>Normal</v>
      </c>
      <c r="E1879" t="str">
        <f>VLOOKUP($A1879, 'Medical Examinations'!A:F, 6, FALSE)</f>
        <v>yes</v>
      </c>
      <c r="F1879" t="str">
        <f>VLOOKUP($A1879, 'Medical Examinations'!A:G, 7, FALSE)</f>
        <v>No</v>
      </c>
      <c r="G1879" t="str">
        <f>VLOOKUP($A1879, 'Medical Examinations'!A:H, 8, FALSE)</f>
        <v>No</v>
      </c>
      <c r="H1879">
        <f>VLOOKUP($A1879, 'Medical Examinations'!A:J, 10, FALSE)</f>
        <v>1</v>
      </c>
      <c r="I1879" t="str">
        <f>VLOOKUP($A1879, 'Medical Examinations'!A:K, 11, FALSE)</f>
        <v>No</v>
      </c>
      <c r="J1879" t="str">
        <f>VLOOKUP($A1879, 'Medical Examinations'!A:B, 2, FALSE)</f>
        <v>Overweight</v>
      </c>
      <c r="K1879" t="str">
        <f>VLOOKUP($A1879, 'Medical Examinations'!A:D, 4, FALSE)</f>
        <v>Normal</v>
      </c>
    </row>
    <row r="1880" spans="1:11" ht="15.5" x14ac:dyDescent="0.35">
      <c r="A1880" s="1" t="s">
        <v>489</v>
      </c>
      <c r="B1880" t="str">
        <f>VLOOKUP($A1880, 'Customer Names'!A:D, 3, FALSE)</f>
        <v>Watkins</v>
      </c>
      <c r="C1880">
        <f>VLOOKUP($A1880,'Medical Examinations'!A:C, 3, FALSE)</f>
        <v>24.31</v>
      </c>
      <c r="D1880" t="str">
        <f>VLOOKUP($A1880, 'Medical Examinations'!A:D, 4, FALSE)</f>
        <v>Normal</v>
      </c>
      <c r="E1880" t="str">
        <f>VLOOKUP($A1880, 'Medical Examinations'!A:F, 6, FALSE)</f>
        <v>No</v>
      </c>
      <c r="F1880" t="str">
        <f>VLOOKUP($A1880, 'Medical Examinations'!A:G, 7, FALSE)</f>
        <v>No</v>
      </c>
      <c r="G1880" t="str">
        <f>VLOOKUP($A1880, 'Medical Examinations'!A:H, 8, FALSE)</f>
        <v>No</v>
      </c>
      <c r="H1880" t="str">
        <f>VLOOKUP($A1880, 'Medical Examinations'!A:J, 10, FALSE)</f>
        <v>No major surgery</v>
      </c>
      <c r="I1880" t="str">
        <f>VLOOKUP($A1880, 'Medical Examinations'!A:K, 11, FALSE)</f>
        <v>No</v>
      </c>
      <c r="J1880" t="str">
        <f>VLOOKUP($A1880, 'Medical Examinations'!A:B, 2, FALSE)</f>
        <v>Normal Weight</v>
      </c>
      <c r="K1880" t="str">
        <f>VLOOKUP($A1880, 'Medical Examinations'!A:D, 4, FALSE)</f>
        <v>Normal</v>
      </c>
    </row>
    <row r="1881" spans="1:11" ht="15.5" x14ac:dyDescent="0.35">
      <c r="A1881" s="1" t="s">
        <v>488</v>
      </c>
      <c r="B1881" t="str">
        <f>VLOOKUP($A1881, 'Customer Names'!A:D, 3, FALSE)</f>
        <v>Cassel</v>
      </c>
      <c r="C1881">
        <f>VLOOKUP($A1881,'Medical Examinations'!A:C, 3, FALSE)</f>
        <v>15.53</v>
      </c>
      <c r="D1881" t="str">
        <f>VLOOKUP($A1881, 'Medical Examinations'!A:D, 4, FALSE)</f>
        <v>Prediabetes</v>
      </c>
      <c r="E1881" t="str">
        <f>VLOOKUP($A1881, 'Medical Examinations'!A:F, 6, FALSE)</f>
        <v>No</v>
      </c>
      <c r="F1881" t="str">
        <f>VLOOKUP($A1881, 'Medical Examinations'!A:G, 7, FALSE)</f>
        <v>No</v>
      </c>
      <c r="G1881" t="str">
        <f>VLOOKUP($A1881, 'Medical Examinations'!A:H, 8, FALSE)</f>
        <v>No</v>
      </c>
      <c r="H1881">
        <f>VLOOKUP($A1881, 'Medical Examinations'!A:J, 10, FALSE)</f>
        <v>1</v>
      </c>
      <c r="I1881" t="str">
        <f>VLOOKUP($A1881, 'Medical Examinations'!A:K, 11, FALSE)</f>
        <v>No</v>
      </c>
      <c r="J1881" t="str">
        <f>VLOOKUP($A1881, 'Medical Examinations'!A:B, 2, FALSE)</f>
        <v>Underweight</v>
      </c>
      <c r="K1881" t="str">
        <f>VLOOKUP($A1881, 'Medical Examinations'!A:D, 4, FALSE)</f>
        <v>Prediabetes</v>
      </c>
    </row>
    <row r="1882" spans="1:11" ht="15.5" x14ac:dyDescent="0.35">
      <c r="A1882" s="1" t="s">
        <v>487</v>
      </c>
      <c r="B1882" t="str">
        <f>VLOOKUP($A1882, 'Customer Names'!A:D, 3, FALSE)</f>
        <v>Ferguson</v>
      </c>
      <c r="C1882">
        <f>VLOOKUP($A1882,'Medical Examinations'!A:C, 3, FALSE)</f>
        <v>30.7</v>
      </c>
      <c r="D1882" t="str">
        <f>VLOOKUP($A1882, 'Medical Examinations'!A:D, 4, FALSE)</f>
        <v>Prediabetes</v>
      </c>
      <c r="E1882" t="str">
        <f>VLOOKUP($A1882, 'Medical Examinations'!A:F, 6, FALSE)</f>
        <v>No</v>
      </c>
      <c r="F1882" t="str">
        <f>VLOOKUP($A1882, 'Medical Examinations'!A:G, 7, FALSE)</f>
        <v>No</v>
      </c>
      <c r="G1882" t="str">
        <f>VLOOKUP($A1882, 'Medical Examinations'!A:H, 8, FALSE)</f>
        <v>No</v>
      </c>
      <c r="H1882">
        <f>VLOOKUP($A1882, 'Medical Examinations'!A:J, 10, FALSE)</f>
        <v>1</v>
      </c>
      <c r="I1882" t="str">
        <f>VLOOKUP($A1882, 'Medical Examinations'!A:K, 11, FALSE)</f>
        <v>No</v>
      </c>
      <c r="J1882" t="str">
        <f>VLOOKUP($A1882, 'Medical Examinations'!A:B, 2, FALSE)</f>
        <v>Obesity</v>
      </c>
      <c r="K1882" t="str">
        <f>VLOOKUP($A1882, 'Medical Examinations'!A:D, 4, FALSE)</f>
        <v>Prediabetes</v>
      </c>
    </row>
    <row r="1883" spans="1:11" ht="15.5" x14ac:dyDescent="0.35">
      <c r="A1883" s="1" t="s">
        <v>486</v>
      </c>
      <c r="B1883" t="str">
        <f>VLOOKUP($A1883, 'Customer Names'!A:D, 3, FALSE)</f>
        <v>O'Sullivan</v>
      </c>
      <c r="C1883">
        <f>VLOOKUP($A1883,'Medical Examinations'!A:C, 3, FALSE)</f>
        <v>33.33</v>
      </c>
      <c r="D1883" t="str">
        <f>VLOOKUP($A1883, 'Medical Examinations'!A:D, 4, FALSE)</f>
        <v>Normal</v>
      </c>
      <c r="E1883" t="str">
        <f>VLOOKUP($A1883, 'Medical Examinations'!A:F, 6, FALSE)</f>
        <v>No</v>
      </c>
      <c r="F1883" t="str">
        <f>VLOOKUP($A1883, 'Medical Examinations'!A:G, 7, FALSE)</f>
        <v>No</v>
      </c>
      <c r="G1883" t="str">
        <f>VLOOKUP($A1883, 'Medical Examinations'!A:H, 8, FALSE)</f>
        <v>No</v>
      </c>
      <c r="H1883">
        <f>VLOOKUP($A1883, 'Medical Examinations'!A:J, 10, FALSE)</f>
        <v>1</v>
      </c>
      <c r="I1883" t="str">
        <f>VLOOKUP($A1883, 'Medical Examinations'!A:K, 11, FALSE)</f>
        <v>No</v>
      </c>
      <c r="J1883" t="str">
        <f>VLOOKUP($A1883, 'Medical Examinations'!A:B, 2, FALSE)</f>
        <v>Obesity</v>
      </c>
      <c r="K1883" t="str">
        <f>VLOOKUP($A1883, 'Medical Examinations'!A:D, 4, FALSE)</f>
        <v>Normal</v>
      </c>
    </row>
    <row r="1884" spans="1:11" ht="15.5" x14ac:dyDescent="0.35">
      <c r="A1884" s="1" t="s">
        <v>485</v>
      </c>
      <c r="B1884" t="str">
        <f>VLOOKUP($A1884, 'Customer Names'!A:D, 3, FALSE)</f>
        <v>Chepkirui</v>
      </c>
      <c r="C1884">
        <f>VLOOKUP($A1884,'Medical Examinations'!A:C, 3, FALSE)</f>
        <v>32.4</v>
      </c>
      <c r="D1884" t="str">
        <f>VLOOKUP($A1884, 'Medical Examinations'!A:D, 4, FALSE)</f>
        <v>Normal</v>
      </c>
      <c r="E1884" t="str">
        <f>VLOOKUP($A1884, 'Medical Examinations'!A:F, 6, FALSE)</f>
        <v>No</v>
      </c>
      <c r="F1884" t="str">
        <f>VLOOKUP($A1884, 'Medical Examinations'!A:G, 7, FALSE)</f>
        <v>No</v>
      </c>
      <c r="G1884" t="str">
        <f>VLOOKUP($A1884, 'Medical Examinations'!A:H, 8, FALSE)</f>
        <v>No</v>
      </c>
      <c r="H1884">
        <f>VLOOKUP($A1884, 'Medical Examinations'!A:J, 10, FALSE)</f>
        <v>1</v>
      </c>
      <c r="I1884" t="str">
        <f>VLOOKUP($A1884, 'Medical Examinations'!A:K, 11, FALSE)</f>
        <v>No</v>
      </c>
      <c r="J1884" t="str">
        <f>VLOOKUP($A1884, 'Medical Examinations'!A:B, 2, FALSE)</f>
        <v>Obesity</v>
      </c>
      <c r="K1884" t="str">
        <f>VLOOKUP($A1884, 'Medical Examinations'!A:D, 4, FALSE)</f>
        <v>Normal</v>
      </c>
    </row>
    <row r="1885" spans="1:11" ht="15.5" x14ac:dyDescent="0.35">
      <c r="A1885" s="1" t="s">
        <v>484</v>
      </c>
      <c r="B1885" t="str">
        <f>VLOOKUP($A1885, 'Customer Names'!A:D, 3, FALSE)</f>
        <v>Gurney</v>
      </c>
      <c r="C1885">
        <f>VLOOKUP($A1885,'Medical Examinations'!A:C, 3, FALSE)</f>
        <v>27.93</v>
      </c>
      <c r="D1885" t="str">
        <f>VLOOKUP($A1885, 'Medical Examinations'!A:D, 4, FALSE)</f>
        <v>Normal</v>
      </c>
      <c r="E1885" t="str">
        <f>VLOOKUP($A1885, 'Medical Examinations'!A:F, 6, FALSE)</f>
        <v>No</v>
      </c>
      <c r="F1885" t="str">
        <f>VLOOKUP($A1885, 'Medical Examinations'!A:G, 7, FALSE)</f>
        <v>No</v>
      </c>
      <c r="G1885" t="str">
        <f>VLOOKUP($A1885, 'Medical Examinations'!A:H, 8, FALSE)</f>
        <v>No</v>
      </c>
      <c r="H1885">
        <f>VLOOKUP($A1885, 'Medical Examinations'!A:J, 10, FALSE)</f>
        <v>1</v>
      </c>
      <c r="I1885" t="str">
        <f>VLOOKUP($A1885, 'Medical Examinations'!A:K, 11, FALSE)</f>
        <v>No</v>
      </c>
      <c r="J1885" t="str">
        <f>VLOOKUP($A1885, 'Medical Examinations'!A:B, 2, FALSE)</f>
        <v>Overweight</v>
      </c>
      <c r="K1885" t="str">
        <f>VLOOKUP($A1885, 'Medical Examinations'!A:D, 4, FALSE)</f>
        <v>Normal</v>
      </c>
    </row>
    <row r="1886" spans="1:11" ht="15.5" x14ac:dyDescent="0.35">
      <c r="A1886" s="1" t="s">
        <v>483</v>
      </c>
      <c r="B1886" t="str">
        <f>VLOOKUP($A1886, 'Customer Names'!A:D, 3, FALSE)</f>
        <v>Francis</v>
      </c>
      <c r="C1886">
        <f>VLOOKUP($A1886,'Medical Examinations'!A:C, 3, FALSE)</f>
        <v>21.754999999999999</v>
      </c>
      <c r="D1886" t="str">
        <f>VLOOKUP($A1886, 'Medical Examinations'!A:D, 4, FALSE)</f>
        <v>Normal</v>
      </c>
      <c r="E1886" t="str">
        <f>VLOOKUP($A1886, 'Medical Examinations'!A:F, 6, FALSE)</f>
        <v>No</v>
      </c>
      <c r="F1886" t="str">
        <f>VLOOKUP($A1886, 'Medical Examinations'!A:G, 7, FALSE)</f>
        <v>No</v>
      </c>
      <c r="G1886" t="str">
        <f>VLOOKUP($A1886, 'Medical Examinations'!A:H, 8, FALSE)</f>
        <v>No</v>
      </c>
      <c r="H1886" t="str">
        <f>VLOOKUP($A1886, 'Medical Examinations'!A:J, 10, FALSE)</f>
        <v>No major surgery</v>
      </c>
      <c r="I1886" t="str">
        <f>VLOOKUP($A1886, 'Medical Examinations'!A:K, 11, FALSE)</f>
        <v>No</v>
      </c>
      <c r="J1886" t="str">
        <f>VLOOKUP($A1886, 'Medical Examinations'!A:B, 2, FALSE)</f>
        <v>Normal Weight</v>
      </c>
      <c r="K1886" t="str">
        <f>VLOOKUP($A1886, 'Medical Examinations'!A:D, 4, FALSE)</f>
        <v>Normal</v>
      </c>
    </row>
    <row r="1887" spans="1:11" ht="15.5" x14ac:dyDescent="0.35">
      <c r="A1887" s="1" t="s">
        <v>482</v>
      </c>
      <c r="B1887" t="str">
        <f>VLOOKUP($A1887, 'Customer Names'!A:D, 3, FALSE)</f>
        <v>Gruca</v>
      </c>
      <c r="C1887">
        <f>VLOOKUP($A1887,'Medical Examinations'!A:C, 3, FALSE)</f>
        <v>25.934999999999999</v>
      </c>
      <c r="D1887" t="str">
        <f>VLOOKUP($A1887, 'Medical Examinations'!A:D, 4, FALSE)</f>
        <v>Normal</v>
      </c>
      <c r="E1887" t="str">
        <f>VLOOKUP($A1887, 'Medical Examinations'!A:F, 6, FALSE)</f>
        <v>No</v>
      </c>
      <c r="F1887" t="str">
        <f>VLOOKUP($A1887, 'Medical Examinations'!A:G, 7, FALSE)</f>
        <v>No</v>
      </c>
      <c r="G1887" t="str">
        <f>VLOOKUP($A1887, 'Medical Examinations'!A:H, 8, FALSE)</f>
        <v>No</v>
      </c>
      <c r="H1887" t="str">
        <f>VLOOKUP($A1887, 'Medical Examinations'!A:J, 10, FALSE)</f>
        <v>No major surgery</v>
      </c>
      <c r="I1887" t="str">
        <f>VLOOKUP($A1887, 'Medical Examinations'!A:K, 11, FALSE)</f>
        <v>No</v>
      </c>
      <c r="J1887" t="str">
        <f>VLOOKUP($A1887, 'Medical Examinations'!A:B, 2, FALSE)</f>
        <v>Overweight</v>
      </c>
      <c r="K1887" t="str">
        <f>VLOOKUP($A1887, 'Medical Examinations'!A:D, 4, FALSE)</f>
        <v>Normal</v>
      </c>
    </row>
    <row r="1888" spans="1:11" ht="15.5" x14ac:dyDescent="0.35">
      <c r="A1888" s="1" t="s">
        <v>481</v>
      </c>
      <c r="B1888" t="str">
        <f>VLOOKUP($A1888, 'Customer Names'!A:D, 3, FALSE)</f>
        <v>Rojas Alvarez</v>
      </c>
      <c r="C1888">
        <f>VLOOKUP($A1888,'Medical Examinations'!A:C, 3, FALSE)</f>
        <v>31.5</v>
      </c>
      <c r="D1888" t="str">
        <f>VLOOKUP($A1888, 'Medical Examinations'!A:D, 4, FALSE)</f>
        <v>Prediabetes</v>
      </c>
      <c r="E1888" t="str">
        <f>VLOOKUP($A1888, 'Medical Examinations'!A:F, 6, FALSE)</f>
        <v>No</v>
      </c>
      <c r="F1888" t="str">
        <f>VLOOKUP($A1888, 'Medical Examinations'!A:G, 7, FALSE)</f>
        <v>No</v>
      </c>
      <c r="G1888" t="str">
        <f>VLOOKUP($A1888, 'Medical Examinations'!A:H, 8, FALSE)</f>
        <v>No</v>
      </c>
      <c r="H1888" t="str">
        <f>VLOOKUP($A1888, 'Medical Examinations'!A:J, 10, FALSE)</f>
        <v>No major surgery</v>
      </c>
      <c r="I1888" t="str">
        <f>VLOOKUP($A1888, 'Medical Examinations'!A:K, 11, FALSE)</f>
        <v>No</v>
      </c>
      <c r="J1888" t="str">
        <f>VLOOKUP($A1888, 'Medical Examinations'!A:B, 2, FALSE)</f>
        <v>Obesity</v>
      </c>
      <c r="K1888" t="str">
        <f>VLOOKUP($A1888, 'Medical Examinations'!A:D, 4, FALSE)</f>
        <v>Prediabetes</v>
      </c>
    </row>
    <row r="1889" spans="1:11" ht="15.5" x14ac:dyDescent="0.35">
      <c r="A1889" s="1" t="s">
        <v>480</v>
      </c>
      <c r="B1889" t="str">
        <f>VLOOKUP($A1889, 'Customer Names'!A:D, 3, FALSE)</f>
        <v>Denton</v>
      </c>
      <c r="C1889">
        <f>VLOOKUP($A1889,'Medical Examinations'!A:C, 3, FALSE)</f>
        <v>30.03</v>
      </c>
      <c r="D1889" t="e">
        <f>VLOOKUP($A1889, 'Medical Examinations'!A:D, 4, FALSE)</f>
        <v>#N/A</v>
      </c>
      <c r="E1889" t="str">
        <f>VLOOKUP($A1889, 'Medical Examinations'!A:F, 6, FALSE)</f>
        <v>No</v>
      </c>
      <c r="F1889" t="str">
        <f>VLOOKUP($A1889, 'Medical Examinations'!A:G, 7, FALSE)</f>
        <v>No</v>
      </c>
      <c r="G1889" t="str">
        <f>VLOOKUP($A1889, 'Medical Examinations'!A:H, 8, FALSE)</f>
        <v>No</v>
      </c>
      <c r="H1889" t="str">
        <f>VLOOKUP($A1889, 'Medical Examinations'!A:J, 10, FALSE)</f>
        <v>No major surgery</v>
      </c>
      <c r="I1889" t="str">
        <f>VLOOKUP($A1889, 'Medical Examinations'!A:K, 11, FALSE)</f>
        <v>No</v>
      </c>
      <c r="J1889" t="str">
        <f>VLOOKUP($A1889, 'Medical Examinations'!A:B, 2, FALSE)</f>
        <v>Obesity</v>
      </c>
      <c r="K1889" t="e">
        <f>VLOOKUP($A1889, 'Medical Examinations'!A:D, 4, FALSE)</f>
        <v>#N/A</v>
      </c>
    </row>
    <row r="1890" spans="1:11" ht="15.5" x14ac:dyDescent="0.35">
      <c r="A1890" s="1" t="s">
        <v>479</v>
      </c>
      <c r="B1890" t="str">
        <f>VLOOKUP($A1890, 'Customer Names'!A:D, 3, FALSE)</f>
        <v>Mason</v>
      </c>
      <c r="C1890">
        <f>VLOOKUP($A1890,'Medical Examinations'!A:C, 3, FALSE)</f>
        <v>33.479999999999997</v>
      </c>
      <c r="D1890" t="str">
        <f>VLOOKUP($A1890, 'Medical Examinations'!A:D, 4, FALSE)</f>
        <v>Diabetes</v>
      </c>
      <c r="E1890" t="str">
        <f>VLOOKUP($A1890, 'Medical Examinations'!A:F, 6, FALSE)</f>
        <v>No</v>
      </c>
      <c r="F1890" t="str">
        <f>VLOOKUP($A1890, 'Medical Examinations'!A:G, 7, FALSE)</f>
        <v>No</v>
      </c>
      <c r="G1890" t="str">
        <f>VLOOKUP($A1890, 'Medical Examinations'!A:H, 8, FALSE)</f>
        <v>No</v>
      </c>
      <c r="H1890" t="str">
        <f>VLOOKUP($A1890, 'Medical Examinations'!A:J, 10, FALSE)</f>
        <v>No major surgery</v>
      </c>
      <c r="I1890" t="str">
        <f>VLOOKUP($A1890, 'Medical Examinations'!A:K, 11, FALSE)</f>
        <v>No</v>
      </c>
      <c r="J1890" t="str">
        <f>VLOOKUP($A1890, 'Medical Examinations'!A:B, 2, FALSE)</f>
        <v>Obesity</v>
      </c>
      <c r="K1890" t="str">
        <f>VLOOKUP($A1890, 'Medical Examinations'!A:D, 4, FALSE)</f>
        <v>Diabetes</v>
      </c>
    </row>
    <row r="1891" spans="1:11" ht="15.5" x14ac:dyDescent="0.35">
      <c r="A1891" s="1" t="s">
        <v>478</v>
      </c>
      <c r="B1891" t="str">
        <f>VLOOKUP($A1891, 'Customer Names'!A:D, 3, FALSE)</f>
        <v>Trout</v>
      </c>
      <c r="C1891">
        <f>VLOOKUP($A1891,'Medical Examinations'!A:C, 3, FALSE)</f>
        <v>16.510000000000002</v>
      </c>
      <c r="D1891" t="str">
        <f>VLOOKUP($A1891, 'Medical Examinations'!A:D, 4, FALSE)</f>
        <v>Normal</v>
      </c>
      <c r="E1891" t="str">
        <f>VLOOKUP($A1891, 'Medical Examinations'!A:F, 6, FALSE)</f>
        <v>yes</v>
      </c>
      <c r="F1891" t="str">
        <f>VLOOKUP($A1891, 'Medical Examinations'!A:G, 7, FALSE)</f>
        <v>No</v>
      </c>
      <c r="G1891" t="str">
        <f>VLOOKUP($A1891, 'Medical Examinations'!A:H, 8, FALSE)</f>
        <v>Yes</v>
      </c>
      <c r="H1891">
        <f>VLOOKUP($A1891, 'Medical Examinations'!A:J, 10, FALSE)</f>
        <v>1</v>
      </c>
      <c r="I1891" t="str">
        <f>VLOOKUP($A1891, 'Medical Examinations'!A:K, 11, FALSE)</f>
        <v>No</v>
      </c>
      <c r="J1891" t="str">
        <f>VLOOKUP($A1891, 'Medical Examinations'!A:B, 2, FALSE)</f>
        <v>Underweight</v>
      </c>
      <c r="K1891" t="str">
        <f>VLOOKUP($A1891, 'Medical Examinations'!A:D, 4, FALSE)</f>
        <v>Normal</v>
      </c>
    </row>
    <row r="1892" spans="1:11" ht="15.5" x14ac:dyDescent="0.35">
      <c r="A1892" s="1" t="s">
        <v>477</v>
      </c>
      <c r="B1892" t="str">
        <f>VLOOKUP($A1892, 'Customer Names'!A:D, 3, FALSE)</f>
        <v>Gilbert</v>
      </c>
      <c r="C1892">
        <f>VLOOKUP($A1892,'Medical Examinations'!A:C, 3, FALSE)</f>
        <v>33.155000000000001</v>
      </c>
      <c r="D1892" t="str">
        <f>VLOOKUP($A1892, 'Medical Examinations'!A:D, 4, FALSE)</f>
        <v>Normal</v>
      </c>
      <c r="E1892" t="str">
        <f>VLOOKUP($A1892, 'Medical Examinations'!A:F, 6, FALSE)</f>
        <v>yes</v>
      </c>
      <c r="F1892" t="str">
        <f>VLOOKUP($A1892, 'Medical Examinations'!A:G, 7, FALSE)</f>
        <v>No</v>
      </c>
      <c r="G1892" t="str">
        <f>VLOOKUP($A1892, 'Medical Examinations'!A:H, 8, FALSE)</f>
        <v>No</v>
      </c>
      <c r="H1892">
        <f>VLOOKUP($A1892, 'Medical Examinations'!A:J, 10, FALSE)</f>
        <v>1</v>
      </c>
      <c r="I1892" t="str">
        <f>VLOOKUP($A1892, 'Medical Examinations'!A:K, 11, FALSE)</f>
        <v>No</v>
      </c>
      <c r="J1892" t="str">
        <f>VLOOKUP($A1892, 'Medical Examinations'!A:B, 2, FALSE)</f>
        <v>Obesity</v>
      </c>
      <c r="K1892" t="str">
        <f>VLOOKUP($A1892, 'Medical Examinations'!A:D, 4, FALSE)</f>
        <v>Normal</v>
      </c>
    </row>
    <row r="1893" spans="1:11" ht="15.5" x14ac:dyDescent="0.35">
      <c r="A1893" s="1" t="s">
        <v>476</v>
      </c>
      <c r="B1893" t="str">
        <f>VLOOKUP($A1893, 'Customer Names'!A:D, 3, FALSE)</f>
        <v>Chong</v>
      </c>
      <c r="C1893">
        <f>VLOOKUP($A1893,'Medical Examinations'!A:C, 3, FALSE)</f>
        <v>37.29</v>
      </c>
      <c r="D1893" t="str">
        <f>VLOOKUP($A1893, 'Medical Examinations'!A:D, 4, FALSE)</f>
        <v>Normal</v>
      </c>
      <c r="E1893" t="str">
        <f>VLOOKUP($A1893, 'Medical Examinations'!A:F, 6, FALSE)</f>
        <v>No</v>
      </c>
      <c r="F1893" t="str">
        <f>VLOOKUP($A1893, 'Medical Examinations'!A:G, 7, FALSE)</f>
        <v>No</v>
      </c>
      <c r="G1893" t="str">
        <f>VLOOKUP($A1893, 'Medical Examinations'!A:H, 8, FALSE)</f>
        <v>Yes</v>
      </c>
      <c r="H1893">
        <f>VLOOKUP($A1893, 'Medical Examinations'!A:J, 10, FALSE)</f>
        <v>1</v>
      </c>
      <c r="I1893" t="str">
        <f>VLOOKUP($A1893, 'Medical Examinations'!A:K, 11, FALSE)</f>
        <v>No</v>
      </c>
      <c r="J1893" t="str">
        <f>VLOOKUP($A1893, 'Medical Examinations'!A:B, 2, FALSE)</f>
        <v>Obesity</v>
      </c>
      <c r="K1893" t="str">
        <f>VLOOKUP($A1893, 'Medical Examinations'!A:D, 4, FALSE)</f>
        <v>Normal</v>
      </c>
    </row>
    <row r="1894" spans="1:11" ht="15.5" x14ac:dyDescent="0.35">
      <c r="A1894" s="1" t="s">
        <v>475</v>
      </c>
      <c r="B1894" t="str">
        <f>VLOOKUP($A1894, 'Customer Names'!A:D, 3, FALSE)</f>
        <v>Henry</v>
      </c>
      <c r="C1894">
        <f>VLOOKUP($A1894,'Medical Examinations'!A:C, 3, FALSE)</f>
        <v>20.23</v>
      </c>
      <c r="D1894" t="str">
        <f>VLOOKUP($A1894, 'Medical Examinations'!A:D, 4, FALSE)</f>
        <v>Prediabetes</v>
      </c>
      <c r="E1894" t="str">
        <f>VLOOKUP($A1894, 'Medical Examinations'!A:F, 6, FALSE)</f>
        <v>yes</v>
      </c>
      <c r="F1894" t="str">
        <f>VLOOKUP($A1894, 'Medical Examinations'!A:G, 7, FALSE)</f>
        <v>No</v>
      </c>
      <c r="G1894" t="str">
        <f>VLOOKUP($A1894, 'Medical Examinations'!A:H, 8, FALSE)</f>
        <v>No</v>
      </c>
      <c r="H1894">
        <f>VLOOKUP($A1894, 'Medical Examinations'!A:J, 10, FALSE)</f>
        <v>1</v>
      </c>
      <c r="I1894" t="str">
        <f>VLOOKUP($A1894, 'Medical Examinations'!A:K, 11, FALSE)</f>
        <v>No</v>
      </c>
      <c r="J1894" t="str">
        <f>VLOOKUP($A1894, 'Medical Examinations'!A:B, 2, FALSE)</f>
        <v>Normal Weight</v>
      </c>
      <c r="K1894" t="str">
        <f>VLOOKUP($A1894, 'Medical Examinations'!A:D, 4, FALSE)</f>
        <v>Prediabetes</v>
      </c>
    </row>
    <row r="1895" spans="1:11" ht="15.5" x14ac:dyDescent="0.35">
      <c r="A1895" s="1" t="s">
        <v>474</v>
      </c>
      <c r="B1895" t="str">
        <f>VLOOKUP($A1895, 'Customer Names'!A:D, 3, FALSE)</f>
        <v>Brenneman</v>
      </c>
      <c r="C1895">
        <f>VLOOKUP($A1895,'Medical Examinations'!A:C, 3, FALSE)</f>
        <v>28.975000000000001</v>
      </c>
      <c r="D1895" t="str">
        <f>VLOOKUP($A1895, 'Medical Examinations'!A:D, 4, FALSE)</f>
        <v>Normal</v>
      </c>
      <c r="E1895" t="str">
        <f>VLOOKUP($A1895, 'Medical Examinations'!A:F, 6, FALSE)</f>
        <v>No</v>
      </c>
      <c r="F1895" t="str">
        <f>VLOOKUP($A1895, 'Medical Examinations'!A:G, 7, FALSE)</f>
        <v>No</v>
      </c>
      <c r="G1895" t="str">
        <f>VLOOKUP($A1895, 'Medical Examinations'!A:H, 8, FALSE)</f>
        <v>Yes</v>
      </c>
      <c r="H1895">
        <f>VLOOKUP($A1895, 'Medical Examinations'!A:J, 10, FALSE)</f>
        <v>1</v>
      </c>
      <c r="I1895" t="str">
        <f>VLOOKUP($A1895, 'Medical Examinations'!A:K, 11, FALSE)</f>
        <v>No</v>
      </c>
      <c r="J1895" t="str">
        <f>VLOOKUP($A1895, 'Medical Examinations'!A:B, 2, FALSE)</f>
        <v>Overweight</v>
      </c>
      <c r="K1895" t="str">
        <f>VLOOKUP($A1895, 'Medical Examinations'!A:D, 4, FALSE)</f>
        <v>Normal</v>
      </c>
    </row>
    <row r="1896" spans="1:11" ht="15.5" x14ac:dyDescent="0.35">
      <c r="A1896" s="1" t="s">
        <v>473</v>
      </c>
      <c r="B1896" t="str">
        <f>VLOOKUP($A1896, 'Customer Names'!A:D, 3, FALSE)</f>
        <v>Kemp</v>
      </c>
      <c r="C1896">
        <f>VLOOKUP($A1896,'Medical Examinations'!A:C, 3, FALSE)</f>
        <v>16.420000000000002</v>
      </c>
      <c r="D1896" t="str">
        <f>VLOOKUP($A1896, 'Medical Examinations'!A:D, 4, FALSE)</f>
        <v>Prediabetes</v>
      </c>
      <c r="E1896" t="str">
        <f>VLOOKUP($A1896, 'Medical Examinations'!A:F, 6, FALSE)</f>
        <v>yes</v>
      </c>
      <c r="F1896" t="str">
        <f>VLOOKUP($A1896, 'Medical Examinations'!A:G, 7, FALSE)</f>
        <v>No</v>
      </c>
      <c r="G1896" t="str">
        <f>VLOOKUP($A1896, 'Medical Examinations'!A:H, 8, FALSE)</f>
        <v>Yes</v>
      </c>
      <c r="H1896">
        <f>VLOOKUP($A1896, 'Medical Examinations'!A:J, 10, FALSE)</f>
        <v>1</v>
      </c>
      <c r="I1896" t="str">
        <f>VLOOKUP($A1896, 'Medical Examinations'!A:K, 11, FALSE)</f>
        <v>No</v>
      </c>
      <c r="J1896" t="str">
        <f>VLOOKUP($A1896, 'Medical Examinations'!A:B, 2, FALSE)</f>
        <v>Underweight</v>
      </c>
      <c r="K1896" t="str">
        <f>VLOOKUP($A1896, 'Medical Examinations'!A:D, 4, FALSE)</f>
        <v>Prediabetes</v>
      </c>
    </row>
    <row r="1897" spans="1:11" ht="15.5" x14ac:dyDescent="0.35">
      <c r="A1897" s="1" t="s">
        <v>472</v>
      </c>
      <c r="B1897" t="str">
        <f>VLOOKUP($A1897, 'Customer Names'!A:D, 3, FALSE)</f>
        <v>Wilson</v>
      </c>
      <c r="C1897">
        <f>VLOOKUP($A1897,'Medical Examinations'!A:C, 3, FALSE)</f>
        <v>17.559999999999999</v>
      </c>
      <c r="D1897" t="str">
        <f>VLOOKUP($A1897, 'Medical Examinations'!A:D, 4, FALSE)</f>
        <v>Prediabetes</v>
      </c>
      <c r="E1897" t="str">
        <f>VLOOKUP($A1897, 'Medical Examinations'!A:F, 6, FALSE)</f>
        <v>No</v>
      </c>
      <c r="F1897" t="str">
        <f>VLOOKUP($A1897, 'Medical Examinations'!A:G, 7, FALSE)</f>
        <v>No</v>
      </c>
      <c r="G1897" t="str">
        <f>VLOOKUP($A1897, 'Medical Examinations'!A:H, 8, FALSE)</f>
        <v>No</v>
      </c>
      <c r="H1897">
        <f>VLOOKUP($A1897, 'Medical Examinations'!A:J, 10, FALSE)</f>
        <v>1</v>
      </c>
      <c r="I1897" t="str">
        <f>VLOOKUP($A1897, 'Medical Examinations'!A:K, 11, FALSE)</f>
        <v>No</v>
      </c>
      <c r="J1897" t="str">
        <f>VLOOKUP($A1897, 'Medical Examinations'!A:B, 2, FALSE)</f>
        <v>Underweight</v>
      </c>
      <c r="K1897" t="str">
        <f>VLOOKUP($A1897, 'Medical Examinations'!A:D, 4, FALSE)</f>
        <v>Prediabetes</v>
      </c>
    </row>
    <row r="1898" spans="1:11" ht="15.5" x14ac:dyDescent="0.35">
      <c r="A1898" s="1" t="s">
        <v>471</v>
      </c>
      <c r="B1898" t="str">
        <f>VLOOKUP($A1898, 'Customer Names'!A:D, 3, FALSE)</f>
        <v>Hillyard</v>
      </c>
      <c r="C1898">
        <f>VLOOKUP($A1898,'Medical Examinations'!A:C, 3, FALSE)</f>
        <v>24.13</v>
      </c>
      <c r="D1898" t="str">
        <f>VLOOKUP($A1898, 'Medical Examinations'!A:D, 4, FALSE)</f>
        <v>Normal</v>
      </c>
      <c r="E1898" t="str">
        <f>VLOOKUP($A1898, 'Medical Examinations'!A:F, 6, FALSE)</f>
        <v>No</v>
      </c>
      <c r="F1898" t="str">
        <f>VLOOKUP($A1898, 'Medical Examinations'!A:G, 7, FALSE)</f>
        <v>No</v>
      </c>
      <c r="G1898" t="str">
        <f>VLOOKUP($A1898, 'Medical Examinations'!A:H, 8, FALSE)</f>
        <v>No</v>
      </c>
      <c r="H1898">
        <f>VLOOKUP($A1898, 'Medical Examinations'!A:J, 10, FALSE)</f>
        <v>1</v>
      </c>
      <c r="I1898" t="str">
        <f>VLOOKUP($A1898, 'Medical Examinations'!A:K, 11, FALSE)</f>
        <v>No</v>
      </c>
      <c r="J1898" t="str">
        <f>VLOOKUP($A1898, 'Medical Examinations'!A:B, 2, FALSE)</f>
        <v>Normal Weight</v>
      </c>
      <c r="K1898" t="str">
        <f>VLOOKUP($A1898, 'Medical Examinations'!A:D, 4, FALSE)</f>
        <v>Normal</v>
      </c>
    </row>
    <row r="1899" spans="1:11" ht="15.5" x14ac:dyDescent="0.35">
      <c r="A1899" s="1" t="s">
        <v>470</v>
      </c>
      <c r="B1899" t="str">
        <f>VLOOKUP($A1899, 'Customer Names'!A:D, 3, FALSE)</f>
        <v>Turner</v>
      </c>
      <c r="C1899">
        <f>VLOOKUP($A1899,'Medical Examinations'!A:C, 3, FALSE)</f>
        <v>19.95</v>
      </c>
      <c r="D1899" t="str">
        <f>VLOOKUP($A1899, 'Medical Examinations'!A:D, 4, FALSE)</f>
        <v>Normal</v>
      </c>
      <c r="E1899" t="str">
        <f>VLOOKUP($A1899, 'Medical Examinations'!A:F, 6, FALSE)</f>
        <v>No</v>
      </c>
      <c r="F1899" t="str">
        <f>VLOOKUP($A1899, 'Medical Examinations'!A:G, 7, FALSE)</f>
        <v>yes</v>
      </c>
      <c r="G1899" t="str">
        <f>VLOOKUP($A1899, 'Medical Examinations'!A:H, 8, FALSE)</f>
        <v>No</v>
      </c>
      <c r="H1899">
        <f>VLOOKUP($A1899, 'Medical Examinations'!A:J, 10, FALSE)</f>
        <v>2</v>
      </c>
      <c r="I1899" t="str">
        <f>VLOOKUP($A1899, 'Medical Examinations'!A:K, 11, FALSE)</f>
        <v>No</v>
      </c>
      <c r="J1899" t="str">
        <f>VLOOKUP($A1899, 'Medical Examinations'!A:B, 2, FALSE)</f>
        <v>Normal Weight</v>
      </c>
      <c r="K1899" t="str">
        <f>VLOOKUP($A1899, 'Medical Examinations'!A:D, 4, FALSE)</f>
        <v>Normal</v>
      </c>
    </row>
    <row r="1900" spans="1:11" ht="15.5" x14ac:dyDescent="0.35">
      <c r="A1900" s="1" t="s">
        <v>469</v>
      </c>
      <c r="B1900" t="str">
        <f>VLOOKUP($A1900, 'Customer Names'!A:D, 3, FALSE)</f>
        <v>Benestad</v>
      </c>
      <c r="C1900">
        <f>VLOOKUP($A1900,'Medical Examinations'!A:C, 3, FALSE)</f>
        <v>21.24</v>
      </c>
      <c r="D1900" t="str">
        <f>VLOOKUP($A1900, 'Medical Examinations'!A:D, 4, FALSE)</f>
        <v>Normal</v>
      </c>
      <c r="E1900" t="str">
        <f>VLOOKUP($A1900, 'Medical Examinations'!A:F, 6, FALSE)</f>
        <v>No</v>
      </c>
      <c r="F1900" t="str">
        <f>VLOOKUP($A1900, 'Medical Examinations'!A:G, 7, FALSE)</f>
        <v>No</v>
      </c>
      <c r="G1900" t="str">
        <f>VLOOKUP($A1900, 'Medical Examinations'!A:H, 8, FALSE)</f>
        <v>No</v>
      </c>
      <c r="H1900" t="str">
        <f>VLOOKUP($A1900, 'Medical Examinations'!A:J, 10, FALSE)</f>
        <v>No major surgery</v>
      </c>
      <c r="I1900" t="str">
        <f>VLOOKUP($A1900, 'Medical Examinations'!A:K, 11, FALSE)</f>
        <v>No</v>
      </c>
      <c r="J1900" t="str">
        <f>VLOOKUP($A1900, 'Medical Examinations'!A:B, 2, FALSE)</f>
        <v>Normal Weight</v>
      </c>
      <c r="K1900" t="str">
        <f>VLOOKUP($A1900, 'Medical Examinations'!A:D, 4, FALSE)</f>
        <v>Normal</v>
      </c>
    </row>
    <row r="1901" spans="1:11" ht="15.5" x14ac:dyDescent="0.35">
      <c r="A1901" s="1" t="s">
        <v>468</v>
      </c>
      <c r="B1901" t="str">
        <f>VLOOKUP($A1901, 'Customer Names'!A:D, 3, FALSE)</f>
        <v>Gonzales</v>
      </c>
      <c r="C1901">
        <f>VLOOKUP($A1901,'Medical Examinations'!A:C, 3, FALSE)</f>
        <v>44.22</v>
      </c>
      <c r="D1901" t="str">
        <f>VLOOKUP($A1901, 'Medical Examinations'!A:D, 4, FALSE)</f>
        <v>Prediabetes</v>
      </c>
      <c r="E1901" t="str">
        <f>VLOOKUP($A1901, 'Medical Examinations'!A:F, 6, FALSE)</f>
        <v>No</v>
      </c>
      <c r="F1901" t="str">
        <f>VLOOKUP($A1901, 'Medical Examinations'!A:G, 7, FALSE)</f>
        <v>No</v>
      </c>
      <c r="G1901" t="str">
        <f>VLOOKUP($A1901, 'Medical Examinations'!A:H, 8, FALSE)</f>
        <v>No</v>
      </c>
      <c r="H1901" t="str">
        <f>VLOOKUP($A1901, 'Medical Examinations'!A:J, 10, FALSE)</f>
        <v>No major surgery</v>
      </c>
      <c r="I1901" t="str">
        <f>VLOOKUP($A1901, 'Medical Examinations'!A:K, 11, FALSE)</f>
        <v>No</v>
      </c>
      <c r="J1901" t="str">
        <f>VLOOKUP($A1901, 'Medical Examinations'!A:B, 2, FALSE)</f>
        <v>Obesity</v>
      </c>
      <c r="K1901" t="str">
        <f>VLOOKUP($A1901, 'Medical Examinations'!A:D, 4, FALSE)</f>
        <v>Prediabetes</v>
      </c>
    </row>
    <row r="1902" spans="1:11" ht="15.5" x14ac:dyDescent="0.35">
      <c r="A1902" s="1" t="s">
        <v>467</v>
      </c>
      <c r="B1902" t="str">
        <f>VLOOKUP($A1902, 'Customer Names'!A:D, 3, FALSE)</f>
        <v>Newman</v>
      </c>
      <c r="C1902">
        <f>VLOOKUP($A1902,'Medical Examinations'!A:C, 3, FALSE)</f>
        <v>41.1</v>
      </c>
      <c r="D1902" t="str">
        <f>VLOOKUP($A1902, 'Medical Examinations'!A:D, 4, FALSE)</f>
        <v>Prediabetes</v>
      </c>
      <c r="E1902" t="str">
        <f>VLOOKUP($A1902, 'Medical Examinations'!A:F, 6, FALSE)</f>
        <v>No</v>
      </c>
      <c r="F1902" t="str">
        <f>VLOOKUP($A1902, 'Medical Examinations'!A:G, 7, FALSE)</f>
        <v>No</v>
      </c>
      <c r="G1902" t="str">
        <f>VLOOKUP($A1902, 'Medical Examinations'!A:H, 8, FALSE)</f>
        <v>No</v>
      </c>
      <c r="H1902" t="str">
        <f>VLOOKUP($A1902, 'Medical Examinations'!A:J, 10, FALSE)</f>
        <v>No major surgery</v>
      </c>
      <c r="I1902" t="str">
        <f>VLOOKUP($A1902, 'Medical Examinations'!A:K, 11, FALSE)</f>
        <v>No</v>
      </c>
      <c r="J1902" t="str">
        <f>VLOOKUP($A1902, 'Medical Examinations'!A:B, 2, FALSE)</f>
        <v>Obesity</v>
      </c>
      <c r="K1902" t="str">
        <f>VLOOKUP($A1902, 'Medical Examinations'!A:D, 4, FALSE)</f>
        <v>Prediabetes</v>
      </c>
    </row>
    <row r="1903" spans="1:11" ht="15.5" x14ac:dyDescent="0.35">
      <c r="A1903" s="1" t="s">
        <v>466</v>
      </c>
      <c r="B1903" t="str">
        <f>VLOOKUP($A1903, 'Customer Names'!A:D, 3, FALSE)</f>
        <v>Sayre</v>
      </c>
      <c r="C1903">
        <f>VLOOKUP($A1903,'Medical Examinations'!A:C, 3, FALSE)</f>
        <v>34.200000000000003</v>
      </c>
      <c r="D1903" t="str">
        <f>VLOOKUP($A1903, 'Medical Examinations'!A:D, 4, FALSE)</f>
        <v>Normal</v>
      </c>
      <c r="E1903" t="str">
        <f>VLOOKUP($A1903, 'Medical Examinations'!A:F, 6, FALSE)</f>
        <v>yes</v>
      </c>
      <c r="F1903" t="str">
        <f>VLOOKUP($A1903, 'Medical Examinations'!A:G, 7, FALSE)</f>
        <v>No</v>
      </c>
      <c r="G1903" t="str">
        <f>VLOOKUP($A1903, 'Medical Examinations'!A:H, 8, FALSE)</f>
        <v>No</v>
      </c>
      <c r="H1903" t="str">
        <f>VLOOKUP($A1903, 'Medical Examinations'!A:J, 10, FALSE)</f>
        <v>No major surgery</v>
      </c>
      <c r="I1903" t="str">
        <f>VLOOKUP($A1903, 'Medical Examinations'!A:K, 11, FALSE)</f>
        <v>No</v>
      </c>
      <c r="J1903" t="str">
        <f>VLOOKUP($A1903, 'Medical Examinations'!A:B, 2, FALSE)</f>
        <v>Obesity</v>
      </c>
      <c r="K1903" t="str">
        <f>VLOOKUP($A1903, 'Medical Examinations'!A:D, 4, FALSE)</f>
        <v>Normal</v>
      </c>
    </row>
    <row r="1904" spans="1:11" ht="15.5" x14ac:dyDescent="0.35">
      <c r="A1904" s="1" t="s">
        <v>465</v>
      </c>
      <c r="B1904" t="str">
        <f>VLOOKUP($A1904, 'Customer Names'!A:D, 3, FALSE)</f>
        <v>Panke</v>
      </c>
      <c r="C1904">
        <f>VLOOKUP($A1904,'Medical Examinations'!A:C, 3, FALSE)</f>
        <v>29.92</v>
      </c>
      <c r="D1904" t="str">
        <f>VLOOKUP($A1904, 'Medical Examinations'!A:D, 4, FALSE)</f>
        <v>Prediabetes</v>
      </c>
      <c r="E1904" t="str">
        <f>VLOOKUP($A1904, 'Medical Examinations'!A:F, 6, FALSE)</f>
        <v>yes</v>
      </c>
      <c r="F1904" t="str">
        <f>VLOOKUP($A1904, 'Medical Examinations'!A:G, 7, FALSE)</f>
        <v>No</v>
      </c>
      <c r="G1904" t="str">
        <f>VLOOKUP($A1904, 'Medical Examinations'!A:H, 8, FALSE)</f>
        <v>No</v>
      </c>
      <c r="H1904" t="str">
        <f>VLOOKUP($A1904, 'Medical Examinations'!A:J, 10, FALSE)</f>
        <v>No major surgery</v>
      </c>
      <c r="I1904" t="str">
        <f>VLOOKUP($A1904, 'Medical Examinations'!A:K, 11, FALSE)</f>
        <v>No</v>
      </c>
      <c r="J1904" t="e">
        <f>VLOOKUP($A1904, 'Medical Examinations'!A:B, 2, FALSE)</f>
        <v>#N/A</v>
      </c>
      <c r="K1904" t="str">
        <f>VLOOKUP($A1904, 'Medical Examinations'!A:D, 4, FALSE)</f>
        <v>Prediabetes</v>
      </c>
    </row>
    <row r="1905" spans="1:11" ht="15.5" x14ac:dyDescent="0.35">
      <c r="A1905" s="1" t="s">
        <v>464</v>
      </c>
      <c r="B1905" t="str">
        <f>VLOOKUP($A1905, 'Customer Names'!A:D, 3, FALSE)</f>
        <v>Brennan</v>
      </c>
      <c r="C1905">
        <f>VLOOKUP($A1905,'Medical Examinations'!A:C, 3, FALSE)</f>
        <v>28.93</v>
      </c>
      <c r="D1905" t="str">
        <f>VLOOKUP($A1905, 'Medical Examinations'!A:D, 4, FALSE)</f>
        <v>Normal</v>
      </c>
      <c r="E1905" t="str">
        <f>VLOOKUP($A1905, 'Medical Examinations'!A:F, 6, FALSE)</f>
        <v>No</v>
      </c>
      <c r="F1905" t="str">
        <f>VLOOKUP($A1905, 'Medical Examinations'!A:G, 7, FALSE)</f>
        <v>No</v>
      </c>
      <c r="G1905" t="str">
        <f>VLOOKUP($A1905, 'Medical Examinations'!A:H, 8, FALSE)</f>
        <v>No</v>
      </c>
      <c r="H1905" t="str">
        <f>VLOOKUP($A1905, 'Medical Examinations'!A:J, 10, FALSE)</f>
        <v>No major surgery</v>
      </c>
      <c r="I1905" t="str">
        <f>VLOOKUP($A1905, 'Medical Examinations'!A:K, 11, FALSE)</f>
        <v>No</v>
      </c>
      <c r="J1905" t="str">
        <f>VLOOKUP($A1905, 'Medical Examinations'!A:B, 2, FALSE)</f>
        <v>Overweight</v>
      </c>
      <c r="K1905" t="str">
        <f>VLOOKUP($A1905, 'Medical Examinations'!A:D, 4, FALSE)</f>
        <v>Normal</v>
      </c>
    </row>
    <row r="1906" spans="1:11" ht="15.5" x14ac:dyDescent="0.35">
      <c r="A1906" s="1" t="s">
        <v>463</v>
      </c>
      <c r="B1906" t="str">
        <f>VLOOKUP($A1906, 'Customer Names'!A:D, 3, FALSE)</f>
        <v>Ngo</v>
      </c>
      <c r="C1906">
        <f>VLOOKUP($A1906,'Medical Examinations'!A:C, 3, FALSE)</f>
        <v>31.254999999999999</v>
      </c>
      <c r="D1906" t="str">
        <f>VLOOKUP($A1906, 'Medical Examinations'!A:D, 4, FALSE)</f>
        <v>Prediabetes</v>
      </c>
      <c r="E1906" t="str">
        <f>VLOOKUP($A1906, 'Medical Examinations'!A:F, 6, FALSE)</f>
        <v>yes</v>
      </c>
      <c r="F1906" t="str">
        <f>VLOOKUP($A1906, 'Medical Examinations'!A:G, 7, FALSE)</f>
        <v>No</v>
      </c>
      <c r="G1906" t="str">
        <f>VLOOKUP($A1906, 'Medical Examinations'!A:H, 8, FALSE)</f>
        <v>No</v>
      </c>
      <c r="H1906">
        <f>VLOOKUP($A1906, 'Medical Examinations'!A:J, 10, FALSE)</f>
        <v>1</v>
      </c>
      <c r="I1906" t="str">
        <f>VLOOKUP($A1906, 'Medical Examinations'!A:K, 11, FALSE)</f>
        <v>No</v>
      </c>
      <c r="J1906" t="str">
        <f>VLOOKUP($A1906, 'Medical Examinations'!A:B, 2, FALSE)</f>
        <v>Obesity</v>
      </c>
      <c r="K1906" t="str">
        <f>VLOOKUP($A1906, 'Medical Examinations'!A:D, 4, FALSE)</f>
        <v>Prediabetes</v>
      </c>
    </row>
    <row r="1907" spans="1:11" ht="15.5" x14ac:dyDescent="0.35">
      <c r="A1907" s="1" t="s">
        <v>462</v>
      </c>
      <c r="B1907" t="str">
        <f>VLOOKUP($A1907, 'Customer Names'!A:D, 3, FALSE)</f>
        <v>Guerdan</v>
      </c>
      <c r="C1907">
        <f>VLOOKUP($A1907,'Medical Examinations'!A:C, 3, FALSE)</f>
        <v>29.83</v>
      </c>
      <c r="D1907" t="str">
        <f>VLOOKUP($A1907, 'Medical Examinations'!A:D, 4, FALSE)</f>
        <v>Normal</v>
      </c>
      <c r="E1907" t="str">
        <f>VLOOKUP($A1907, 'Medical Examinations'!A:F, 6, FALSE)</f>
        <v>No</v>
      </c>
      <c r="F1907" t="str">
        <f>VLOOKUP($A1907, 'Medical Examinations'!A:G, 7, FALSE)</f>
        <v>No</v>
      </c>
      <c r="G1907" t="str">
        <f>VLOOKUP($A1907, 'Medical Examinations'!A:H, 8, FALSE)</f>
        <v>No</v>
      </c>
      <c r="H1907" t="str">
        <f>VLOOKUP($A1907, 'Medical Examinations'!A:J, 10, FALSE)</f>
        <v>No major surgery</v>
      </c>
      <c r="I1907" t="str">
        <f>VLOOKUP($A1907, 'Medical Examinations'!A:K, 11, FALSE)</f>
        <v>No</v>
      </c>
      <c r="J1907" t="str">
        <f>VLOOKUP($A1907, 'Medical Examinations'!A:B, 2, FALSE)</f>
        <v>Overweight</v>
      </c>
      <c r="K1907" t="str">
        <f>VLOOKUP($A1907, 'Medical Examinations'!A:D, 4, FALSE)</f>
        <v>Normal</v>
      </c>
    </row>
    <row r="1908" spans="1:11" ht="15.5" x14ac:dyDescent="0.35">
      <c r="A1908" s="1" t="s">
        <v>461</v>
      </c>
      <c r="B1908" t="str">
        <f>VLOOKUP($A1908, 'Customer Names'!A:D, 3, FALSE)</f>
        <v>Shaw</v>
      </c>
      <c r="C1908">
        <f>VLOOKUP($A1908,'Medical Examinations'!A:C, 3, FALSE)</f>
        <v>29.59</v>
      </c>
      <c r="D1908" t="str">
        <f>VLOOKUP($A1908, 'Medical Examinations'!A:D, 4, FALSE)</f>
        <v>Prediabetes</v>
      </c>
      <c r="E1908" t="str">
        <f>VLOOKUP($A1908, 'Medical Examinations'!A:F, 6, FALSE)</f>
        <v>No</v>
      </c>
      <c r="F1908" t="str">
        <f>VLOOKUP($A1908, 'Medical Examinations'!A:G, 7, FALSE)</f>
        <v>No</v>
      </c>
      <c r="G1908" t="str">
        <f>VLOOKUP($A1908, 'Medical Examinations'!A:H, 8, FALSE)</f>
        <v>Yes</v>
      </c>
      <c r="H1908">
        <f>VLOOKUP($A1908, 'Medical Examinations'!A:J, 10, FALSE)</f>
        <v>1</v>
      </c>
      <c r="I1908" t="str">
        <f>VLOOKUP($A1908, 'Medical Examinations'!A:K, 11, FALSE)</f>
        <v>No</v>
      </c>
      <c r="J1908" t="str">
        <f>VLOOKUP($A1908, 'Medical Examinations'!A:B, 2, FALSE)</f>
        <v>Overweight</v>
      </c>
      <c r="K1908" t="str">
        <f>VLOOKUP($A1908, 'Medical Examinations'!A:D, 4, FALSE)</f>
        <v>Prediabetes</v>
      </c>
    </row>
    <row r="1909" spans="1:11" ht="15.5" x14ac:dyDescent="0.35">
      <c r="A1909" s="1" t="s">
        <v>460</v>
      </c>
      <c r="B1909" t="str">
        <f>VLOOKUP($A1909, 'Customer Names'!A:D, 3, FALSE)</f>
        <v>Mills-Honarvar</v>
      </c>
      <c r="C1909">
        <f>VLOOKUP($A1909,'Medical Examinations'!A:C, 3, FALSE)</f>
        <v>31.16</v>
      </c>
      <c r="D1909" t="str">
        <f>VLOOKUP($A1909, 'Medical Examinations'!A:D, 4, FALSE)</f>
        <v>Normal</v>
      </c>
      <c r="E1909" t="str">
        <f>VLOOKUP($A1909, 'Medical Examinations'!A:F, 6, FALSE)</f>
        <v>No</v>
      </c>
      <c r="F1909" t="str">
        <f>VLOOKUP($A1909, 'Medical Examinations'!A:G, 7, FALSE)</f>
        <v>No</v>
      </c>
      <c r="G1909" t="str">
        <f>VLOOKUP($A1909, 'Medical Examinations'!A:H, 8, FALSE)</f>
        <v>Yes</v>
      </c>
      <c r="H1909">
        <f>VLOOKUP($A1909, 'Medical Examinations'!A:J, 10, FALSE)</f>
        <v>1</v>
      </c>
      <c r="I1909" t="str">
        <f>VLOOKUP($A1909, 'Medical Examinations'!A:K, 11, FALSE)</f>
        <v>No</v>
      </c>
      <c r="J1909" t="str">
        <f>VLOOKUP($A1909, 'Medical Examinations'!A:B, 2, FALSE)</f>
        <v>Obesity</v>
      </c>
      <c r="K1909" t="str">
        <f>VLOOKUP($A1909, 'Medical Examinations'!A:D, 4, FALSE)</f>
        <v>Normal</v>
      </c>
    </row>
    <row r="1910" spans="1:11" ht="15.5" x14ac:dyDescent="0.35">
      <c r="A1910" s="1" t="s">
        <v>459</v>
      </c>
      <c r="B1910" t="str">
        <f>VLOOKUP($A1910, 'Customer Names'!A:D, 3, FALSE)</f>
        <v>Farvard</v>
      </c>
      <c r="C1910">
        <f>VLOOKUP($A1910,'Medical Examinations'!A:C, 3, FALSE)</f>
        <v>34.21</v>
      </c>
      <c r="D1910" t="str">
        <f>VLOOKUP($A1910, 'Medical Examinations'!A:D, 4, FALSE)</f>
        <v>Normal</v>
      </c>
      <c r="E1910" t="str">
        <f>VLOOKUP($A1910, 'Medical Examinations'!A:F, 6, FALSE)</f>
        <v>yes</v>
      </c>
      <c r="F1910" t="str">
        <f>VLOOKUP($A1910, 'Medical Examinations'!A:G, 7, FALSE)</f>
        <v>No</v>
      </c>
      <c r="G1910" t="str">
        <f>VLOOKUP($A1910, 'Medical Examinations'!A:H, 8, FALSE)</f>
        <v>No</v>
      </c>
      <c r="H1910">
        <f>VLOOKUP($A1910, 'Medical Examinations'!A:J, 10, FALSE)</f>
        <v>1</v>
      </c>
      <c r="I1910" t="str">
        <f>VLOOKUP($A1910, 'Medical Examinations'!A:K, 11, FALSE)</f>
        <v>No</v>
      </c>
      <c r="J1910" t="str">
        <f>VLOOKUP($A1910, 'Medical Examinations'!A:B, 2, FALSE)</f>
        <v>Obesity</v>
      </c>
      <c r="K1910" t="str">
        <f>VLOOKUP($A1910, 'Medical Examinations'!A:D, 4, FALSE)</f>
        <v>Normal</v>
      </c>
    </row>
    <row r="1911" spans="1:11" ht="15.5" x14ac:dyDescent="0.35">
      <c r="A1911" s="1" t="s">
        <v>458</v>
      </c>
      <c r="B1911" t="str">
        <f>VLOOKUP($A1911, 'Customer Names'!A:D, 3, FALSE)</f>
        <v>Kelly</v>
      </c>
      <c r="C1911">
        <f>VLOOKUP($A1911,'Medical Examinations'!A:C, 3, FALSE)</f>
        <v>34.86</v>
      </c>
      <c r="D1911" t="str">
        <f>VLOOKUP($A1911, 'Medical Examinations'!A:D, 4, FALSE)</f>
        <v>Diabetes</v>
      </c>
      <c r="E1911" t="str">
        <f>VLOOKUP($A1911, 'Medical Examinations'!A:F, 6, FALSE)</f>
        <v>No</v>
      </c>
      <c r="F1911" t="str">
        <f>VLOOKUP($A1911, 'Medical Examinations'!A:G, 7, FALSE)</f>
        <v>No</v>
      </c>
      <c r="G1911" t="str">
        <f>VLOOKUP($A1911, 'Medical Examinations'!A:H, 8, FALSE)</f>
        <v>No</v>
      </c>
      <c r="H1911" t="str">
        <f>VLOOKUP($A1911, 'Medical Examinations'!A:J, 10, FALSE)</f>
        <v>No major surgery</v>
      </c>
      <c r="I1911" t="str">
        <f>VLOOKUP($A1911, 'Medical Examinations'!A:K, 11, FALSE)</f>
        <v>No</v>
      </c>
      <c r="J1911" t="str">
        <f>VLOOKUP($A1911, 'Medical Examinations'!A:B, 2, FALSE)</f>
        <v>Obesity</v>
      </c>
      <c r="K1911" t="str">
        <f>VLOOKUP($A1911, 'Medical Examinations'!A:D, 4, FALSE)</f>
        <v>Diabetes</v>
      </c>
    </row>
    <row r="1912" spans="1:11" ht="15.5" x14ac:dyDescent="0.35">
      <c r="A1912" s="1" t="s">
        <v>457</v>
      </c>
      <c r="B1912" t="str">
        <f>VLOOKUP($A1912, 'Customer Names'!A:D, 3, FALSE)</f>
        <v>Skinner</v>
      </c>
      <c r="C1912">
        <f>VLOOKUP($A1912,'Medical Examinations'!A:C, 3, FALSE)</f>
        <v>34.58</v>
      </c>
      <c r="D1912" t="str">
        <f>VLOOKUP($A1912, 'Medical Examinations'!A:D, 4, FALSE)</f>
        <v>Normal</v>
      </c>
      <c r="E1912" t="str">
        <f>VLOOKUP($A1912, 'Medical Examinations'!A:F, 6, FALSE)</f>
        <v>No</v>
      </c>
      <c r="F1912" t="str">
        <f>VLOOKUP($A1912, 'Medical Examinations'!A:G, 7, FALSE)</f>
        <v>yes</v>
      </c>
      <c r="G1912" t="str">
        <f>VLOOKUP($A1912, 'Medical Examinations'!A:H, 8, FALSE)</f>
        <v>No</v>
      </c>
      <c r="H1912">
        <f>VLOOKUP($A1912, 'Medical Examinations'!A:J, 10, FALSE)</f>
        <v>2</v>
      </c>
      <c r="I1912" t="str">
        <f>VLOOKUP($A1912, 'Medical Examinations'!A:K, 11, FALSE)</f>
        <v>No</v>
      </c>
      <c r="J1912" t="str">
        <f>VLOOKUP($A1912, 'Medical Examinations'!A:B, 2, FALSE)</f>
        <v>Obesity</v>
      </c>
      <c r="K1912" t="str">
        <f>VLOOKUP($A1912, 'Medical Examinations'!A:D, 4, FALSE)</f>
        <v>Normal</v>
      </c>
    </row>
    <row r="1913" spans="1:11" ht="15.5" x14ac:dyDescent="0.35">
      <c r="A1913" s="1" t="s">
        <v>456</v>
      </c>
      <c r="B1913" t="str">
        <f>VLOOKUP($A1913, 'Customer Names'!A:D, 3, FALSE)</f>
        <v>Murphy</v>
      </c>
      <c r="C1913">
        <f>VLOOKUP($A1913,'Medical Examinations'!A:C, 3, FALSE)</f>
        <v>17.940000000000001</v>
      </c>
      <c r="D1913" t="str">
        <f>VLOOKUP($A1913, 'Medical Examinations'!A:D, 4, FALSE)</f>
        <v>Normal</v>
      </c>
      <c r="E1913" t="str">
        <f>VLOOKUP($A1913, 'Medical Examinations'!A:F, 6, FALSE)</f>
        <v>yes</v>
      </c>
      <c r="F1913" t="str">
        <f>VLOOKUP($A1913, 'Medical Examinations'!A:G, 7, FALSE)</f>
        <v>No</v>
      </c>
      <c r="G1913" t="str">
        <f>VLOOKUP($A1913, 'Medical Examinations'!A:H, 8, FALSE)</f>
        <v>No</v>
      </c>
      <c r="H1913" t="str">
        <f>VLOOKUP($A1913, 'Medical Examinations'!A:J, 10, FALSE)</f>
        <v>No major surgery</v>
      </c>
      <c r="I1913" t="str">
        <f>VLOOKUP($A1913, 'Medical Examinations'!A:K, 11, FALSE)</f>
        <v>No</v>
      </c>
      <c r="J1913" t="str">
        <f>VLOOKUP($A1913, 'Medical Examinations'!A:B, 2, FALSE)</f>
        <v>Underweight</v>
      </c>
      <c r="K1913" t="str">
        <f>VLOOKUP($A1913, 'Medical Examinations'!A:D, 4, FALSE)</f>
        <v>Normal</v>
      </c>
    </row>
    <row r="1914" spans="1:11" ht="15.5" x14ac:dyDescent="0.35">
      <c r="A1914" s="1" t="s">
        <v>455</v>
      </c>
      <c r="B1914" t="str">
        <f>VLOOKUP($A1914, 'Customer Names'!A:D, 3, FALSE)</f>
        <v>Shue</v>
      </c>
      <c r="C1914">
        <f>VLOOKUP($A1914,'Medical Examinations'!A:C, 3, FALSE)</f>
        <v>26.8</v>
      </c>
      <c r="D1914" t="str">
        <f>VLOOKUP($A1914, 'Medical Examinations'!A:D, 4, FALSE)</f>
        <v>Prediabetes</v>
      </c>
      <c r="E1914" t="str">
        <f>VLOOKUP($A1914, 'Medical Examinations'!A:F, 6, FALSE)</f>
        <v>yes</v>
      </c>
      <c r="F1914" t="str">
        <f>VLOOKUP($A1914, 'Medical Examinations'!A:G, 7, FALSE)</f>
        <v>No</v>
      </c>
      <c r="G1914" t="str">
        <f>VLOOKUP($A1914, 'Medical Examinations'!A:H, 8, FALSE)</f>
        <v>Yes</v>
      </c>
      <c r="H1914">
        <f>VLOOKUP($A1914, 'Medical Examinations'!A:J, 10, FALSE)</f>
        <v>1</v>
      </c>
      <c r="I1914" t="str">
        <f>VLOOKUP($A1914, 'Medical Examinations'!A:K, 11, FALSE)</f>
        <v>No</v>
      </c>
      <c r="J1914" t="str">
        <f>VLOOKUP($A1914, 'Medical Examinations'!A:B, 2, FALSE)</f>
        <v>Overweight</v>
      </c>
      <c r="K1914" t="str">
        <f>VLOOKUP($A1914, 'Medical Examinations'!A:D, 4, FALSE)</f>
        <v>Prediabetes</v>
      </c>
    </row>
    <row r="1915" spans="1:11" ht="15.5" x14ac:dyDescent="0.35">
      <c r="A1915" s="1" t="s">
        <v>454</v>
      </c>
      <c r="B1915" t="str">
        <f>VLOOKUP($A1915, 'Customer Names'!A:D, 3, FALSE)</f>
        <v>Reilly</v>
      </c>
      <c r="C1915">
        <f>VLOOKUP($A1915,'Medical Examinations'!A:C, 3, FALSE)</f>
        <v>17.690000000000001</v>
      </c>
      <c r="D1915" t="str">
        <f>VLOOKUP($A1915, 'Medical Examinations'!A:D, 4, FALSE)</f>
        <v>Diabetes</v>
      </c>
      <c r="E1915" t="str">
        <f>VLOOKUP($A1915, 'Medical Examinations'!A:F, 6, FALSE)</f>
        <v>yes</v>
      </c>
      <c r="F1915" t="str">
        <f>VLOOKUP($A1915, 'Medical Examinations'!A:G, 7, FALSE)</f>
        <v>No</v>
      </c>
      <c r="G1915" t="str">
        <f>VLOOKUP($A1915, 'Medical Examinations'!A:H, 8, FALSE)</f>
        <v>No</v>
      </c>
      <c r="H1915" t="str">
        <f>VLOOKUP($A1915, 'Medical Examinations'!A:J, 10, FALSE)</f>
        <v>No major surgery</v>
      </c>
      <c r="I1915" t="str">
        <f>VLOOKUP($A1915, 'Medical Examinations'!A:K, 11, FALSE)</f>
        <v>No</v>
      </c>
      <c r="J1915" t="str">
        <f>VLOOKUP($A1915, 'Medical Examinations'!A:B, 2, FALSE)</f>
        <v>Underweight</v>
      </c>
      <c r="K1915" t="str">
        <f>VLOOKUP($A1915, 'Medical Examinations'!A:D, 4, FALSE)</f>
        <v>Diabetes</v>
      </c>
    </row>
    <row r="1916" spans="1:11" ht="15.5" x14ac:dyDescent="0.35">
      <c r="A1916" s="1" t="s">
        <v>453</v>
      </c>
      <c r="B1916" t="str">
        <f>VLOOKUP($A1916, 'Customer Names'!A:D, 3, FALSE)</f>
        <v>Blinn</v>
      </c>
      <c r="C1916">
        <f>VLOOKUP($A1916,'Medical Examinations'!A:C, 3, FALSE)</f>
        <v>25.77</v>
      </c>
      <c r="D1916" t="str">
        <f>VLOOKUP($A1916, 'Medical Examinations'!A:D, 4, FALSE)</f>
        <v>Normal</v>
      </c>
      <c r="E1916" t="str">
        <f>VLOOKUP($A1916, 'Medical Examinations'!A:F, 6, FALSE)</f>
        <v>No</v>
      </c>
      <c r="F1916" t="str">
        <f>VLOOKUP($A1916, 'Medical Examinations'!A:G, 7, FALSE)</f>
        <v>No</v>
      </c>
      <c r="G1916" t="str">
        <f>VLOOKUP($A1916, 'Medical Examinations'!A:H, 8, FALSE)</f>
        <v>Yes</v>
      </c>
      <c r="H1916">
        <f>VLOOKUP($A1916, 'Medical Examinations'!A:J, 10, FALSE)</f>
        <v>1</v>
      </c>
      <c r="I1916" t="str">
        <f>VLOOKUP($A1916, 'Medical Examinations'!A:K, 11, FALSE)</f>
        <v>No</v>
      </c>
      <c r="J1916" t="str">
        <f>VLOOKUP($A1916, 'Medical Examinations'!A:B, 2, FALSE)</f>
        <v>Overweight</v>
      </c>
      <c r="K1916" t="str">
        <f>VLOOKUP($A1916, 'Medical Examinations'!A:D, 4, FALSE)</f>
        <v>Normal</v>
      </c>
    </row>
    <row r="1917" spans="1:11" ht="15.5" x14ac:dyDescent="0.35">
      <c r="A1917" s="1" t="s">
        <v>452</v>
      </c>
      <c r="B1917" t="str">
        <f>VLOOKUP($A1917, 'Customer Names'!A:D, 3, FALSE)</f>
        <v>Duyn</v>
      </c>
      <c r="C1917">
        <f>VLOOKUP($A1917,'Medical Examinations'!A:C, 3, FALSE)</f>
        <v>34.46</v>
      </c>
      <c r="D1917" t="str">
        <f>VLOOKUP($A1917, 'Medical Examinations'!A:D, 4, FALSE)</f>
        <v>Normal</v>
      </c>
      <c r="E1917" t="str">
        <f>VLOOKUP($A1917, 'Medical Examinations'!A:F, 6, FALSE)</f>
        <v>No</v>
      </c>
      <c r="F1917" t="str">
        <f>VLOOKUP($A1917, 'Medical Examinations'!A:G, 7, FALSE)</f>
        <v>yes</v>
      </c>
      <c r="G1917" t="str">
        <f>VLOOKUP($A1917, 'Medical Examinations'!A:H, 8, FALSE)</f>
        <v>No</v>
      </c>
      <c r="H1917">
        <f>VLOOKUP($A1917, 'Medical Examinations'!A:J, 10, FALSE)</f>
        <v>1</v>
      </c>
      <c r="I1917" t="str">
        <f>VLOOKUP($A1917, 'Medical Examinations'!A:K, 11, FALSE)</f>
        <v>No</v>
      </c>
      <c r="J1917" t="str">
        <f>VLOOKUP($A1917, 'Medical Examinations'!A:B, 2, FALSE)</f>
        <v>Obesity</v>
      </c>
      <c r="K1917" t="str">
        <f>VLOOKUP($A1917, 'Medical Examinations'!A:D, 4, FALSE)</f>
        <v>Normal</v>
      </c>
    </row>
    <row r="1918" spans="1:11" ht="15.5" x14ac:dyDescent="0.35">
      <c r="A1918" s="1" t="s">
        <v>451</v>
      </c>
      <c r="B1918" t="str">
        <f>VLOOKUP($A1918, 'Customer Names'!A:D, 3, FALSE)</f>
        <v>Wardian</v>
      </c>
      <c r="C1918">
        <f>VLOOKUP($A1918,'Medical Examinations'!A:C, 3, FALSE)</f>
        <v>30.875</v>
      </c>
      <c r="D1918" t="str">
        <f>VLOOKUP($A1918, 'Medical Examinations'!A:D, 4, FALSE)</f>
        <v>Normal</v>
      </c>
      <c r="E1918" t="str">
        <f>VLOOKUP($A1918, 'Medical Examinations'!A:F, 6, FALSE)</f>
        <v>yes</v>
      </c>
      <c r="F1918" t="str">
        <f>VLOOKUP($A1918, 'Medical Examinations'!A:G, 7, FALSE)</f>
        <v>No</v>
      </c>
      <c r="G1918" t="str">
        <f>VLOOKUP($A1918, 'Medical Examinations'!A:H, 8, FALSE)</f>
        <v>No</v>
      </c>
      <c r="H1918" t="str">
        <f>VLOOKUP($A1918, 'Medical Examinations'!A:J, 10, FALSE)</f>
        <v>No major surgery</v>
      </c>
      <c r="I1918" t="str">
        <f>VLOOKUP($A1918, 'Medical Examinations'!A:K, 11, FALSE)</f>
        <v>No</v>
      </c>
      <c r="J1918" t="str">
        <f>VLOOKUP($A1918, 'Medical Examinations'!A:B, 2, FALSE)</f>
        <v>Obesity</v>
      </c>
      <c r="K1918" t="str">
        <f>VLOOKUP($A1918, 'Medical Examinations'!A:D, 4, FALSE)</f>
        <v>Normal</v>
      </c>
    </row>
    <row r="1919" spans="1:11" ht="15.5" x14ac:dyDescent="0.35">
      <c r="A1919" s="1" t="s">
        <v>450</v>
      </c>
      <c r="B1919" t="str">
        <f>VLOOKUP($A1919, 'Customer Names'!A:D, 3, FALSE)</f>
        <v>Heuninck</v>
      </c>
      <c r="C1919">
        <f>VLOOKUP($A1919,'Medical Examinations'!A:C, 3, FALSE)</f>
        <v>39.49</v>
      </c>
      <c r="D1919" t="str">
        <f>VLOOKUP($A1919, 'Medical Examinations'!A:D, 4, FALSE)</f>
        <v>Normal</v>
      </c>
      <c r="E1919" t="str">
        <f>VLOOKUP($A1919, 'Medical Examinations'!A:F, 6, FALSE)</f>
        <v>No</v>
      </c>
      <c r="F1919" t="str">
        <f>VLOOKUP($A1919, 'Medical Examinations'!A:G, 7, FALSE)</f>
        <v>No</v>
      </c>
      <c r="G1919" t="str">
        <f>VLOOKUP($A1919, 'Medical Examinations'!A:H, 8, FALSE)</f>
        <v>No</v>
      </c>
      <c r="H1919" t="str">
        <f>VLOOKUP($A1919, 'Medical Examinations'!A:J, 10, FALSE)</f>
        <v>No major surgery</v>
      </c>
      <c r="I1919" t="str">
        <f>VLOOKUP($A1919, 'Medical Examinations'!A:K, 11, FALSE)</f>
        <v>No</v>
      </c>
      <c r="J1919" t="str">
        <f>VLOOKUP($A1919, 'Medical Examinations'!A:B, 2, FALSE)</f>
        <v>Obesity</v>
      </c>
      <c r="K1919" t="str">
        <f>VLOOKUP($A1919, 'Medical Examinations'!A:D, 4, FALSE)</f>
        <v>Normal</v>
      </c>
    </row>
    <row r="1920" spans="1:11" ht="15.5" x14ac:dyDescent="0.35">
      <c r="A1920" s="1" t="s">
        <v>449</v>
      </c>
      <c r="B1920" t="str">
        <f>VLOOKUP($A1920, 'Customer Names'!A:D, 3, FALSE)</f>
        <v>Kipyego</v>
      </c>
      <c r="C1920">
        <f>VLOOKUP($A1920,'Medical Examinations'!A:C, 3, FALSE)</f>
        <v>28.88</v>
      </c>
      <c r="D1920" t="str">
        <f>VLOOKUP($A1920, 'Medical Examinations'!A:D, 4, FALSE)</f>
        <v>Normal</v>
      </c>
      <c r="E1920" t="str">
        <f>VLOOKUP($A1920, 'Medical Examinations'!A:F, 6, FALSE)</f>
        <v>No</v>
      </c>
      <c r="F1920" t="str">
        <f>VLOOKUP($A1920, 'Medical Examinations'!A:G, 7, FALSE)</f>
        <v>No</v>
      </c>
      <c r="G1920" t="str">
        <f>VLOOKUP($A1920, 'Medical Examinations'!A:H, 8, FALSE)</f>
        <v>No</v>
      </c>
      <c r="H1920" t="str">
        <f>VLOOKUP($A1920, 'Medical Examinations'!A:J, 10, FALSE)</f>
        <v>No major surgery</v>
      </c>
      <c r="I1920" t="str">
        <f>VLOOKUP($A1920, 'Medical Examinations'!A:K, 11, FALSE)</f>
        <v>No</v>
      </c>
      <c r="J1920" t="str">
        <f>VLOOKUP($A1920, 'Medical Examinations'!A:B, 2, FALSE)</f>
        <v>Overweight</v>
      </c>
      <c r="K1920" t="str">
        <f>VLOOKUP($A1920, 'Medical Examinations'!A:D, 4, FALSE)</f>
        <v>Normal</v>
      </c>
    </row>
    <row r="1921" spans="1:11" ht="15.5" x14ac:dyDescent="0.35">
      <c r="A1921" s="1" t="s">
        <v>448</v>
      </c>
      <c r="B1921" t="str">
        <f>VLOOKUP($A1921, 'Customer Names'!A:D, 3, FALSE)</f>
        <v>Kuehl</v>
      </c>
      <c r="C1921">
        <f>VLOOKUP($A1921,'Medical Examinations'!A:C, 3, FALSE)</f>
        <v>20.234999999999999</v>
      </c>
      <c r="D1921" t="str">
        <f>VLOOKUP($A1921, 'Medical Examinations'!A:D, 4, FALSE)</f>
        <v>Normal</v>
      </c>
      <c r="E1921" t="str">
        <f>VLOOKUP($A1921, 'Medical Examinations'!A:F, 6, FALSE)</f>
        <v>yes</v>
      </c>
      <c r="F1921" t="str">
        <f>VLOOKUP($A1921, 'Medical Examinations'!A:G, 7, FALSE)</f>
        <v>No</v>
      </c>
      <c r="G1921" t="str">
        <f>VLOOKUP($A1921, 'Medical Examinations'!A:H, 8, FALSE)</f>
        <v>No</v>
      </c>
      <c r="H1921" t="str">
        <f>VLOOKUP($A1921, 'Medical Examinations'!A:J, 10, FALSE)</f>
        <v>No major surgery</v>
      </c>
      <c r="I1921" t="str">
        <f>VLOOKUP($A1921, 'Medical Examinations'!A:K, 11, FALSE)</f>
        <v>No</v>
      </c>
      <c r="J1921" t="str">
        <f>VLOOKUP($A1921, 'Medical Examinations'!A:B, 2, FALSE)</f>
        <v>Normal Weight</v>
      </c>
      <c r="K1921" t="str">
        <f>VLOOKUP($A1921, 'Medical Examinations'!A:D, 4, FALSE)</f>
        <v>Normal</v>
      </c>
    </row>
    <row r="1922" spans="1:11" ht="15.5" x14ac:dyDescent="0.35">
      <c r="A1922" s="1" t="s">
        <v>447</v>
      </c>
      <c r="B1922" t="str">
        <f>VLOOKUP($A1922, 'Customer Names'!A:D, 3, FALSE)</f>
        <v>Burkholder</v>
      </c>
      <c r="C1922">
        <f>VLOOKUP($A1922,'Medical Examinations'!A:C, 3, FALSE)</f>
        <v>30.67</v>
      </c>
      <c r="D1922" t="str">
        <f>VLOOKUP($A1922, 'Medical Examinations'!A:D, 4, FALSE)</f>
        <v>Normal</v>
      </c>
      <c r="E1922" t="str">
        <f>VLOOKUP($A1922, 'Medical Examinations'!A:F, 6, FALSE)</f>
        <v>yes</v>
      </c>
      <c r="F1922" t="str">
        <f>VLOOKUP($A1922, 'Medical Examinations'!A:G, 7, FALSE)</f>
        <v>No</v>
      </c>
      <c r="G1922" t="str">
        <f>VLOOKUP($A1922, 'Medical Examinations'!A:H, 8, FALSE)</f>
        <v>No</v>
      </c>
      <c r="H1922" t="str">
        <f>VLOOKUP($A1922, 'Medical Examinations'!A:J, 10, FALSE)</f>
        <v>No major surgery</v>
      </c>
      <c r="I1922" t="str">
        <f>VLOOKUP($A1922, 'Medical Examinations'!A:K, 11, FALSE)</f>
        <v>No</v>
      </c>
      <c r="J1922" t="str">
        <f>VLOOKUP($A1922, 'Medical Examinations'!A:B, 2, FALSE)</f>
        <v>Obesity</v>
      </c>
      <c r="K1922" t="str">
        <f>VLOOKUP($A1922, 'Medical Examinations'!A:D, 4, FALSE)</f>
        <v>Normal</v>
      </c>
    </row>
    <row r="1923" spans="1:11" ht="15.5" x14ac:dyDescent="0.35">
      <c r="A1923" s="1" t="s">
        <v>446</v>
      </c>
      <c r="B1923" t="str">
        <f>VLOOKUP($A1923, 'Customer Names'!A:D, 3, FALSE)</f>
        <v>Stadolnik</v>
      </c>
      <c r="C1923">
        <f>VLOOKUP($A1923,'Medical Examinations'!A:C, 3, FALSE)</f>
        <v>30.875</v>
      </c>
      <c r="D1923" t="e">
        <f>VLOOKUP($A1923, 'Medical Examinations'!A:D, 4, FALSE)</f>
        <v>#N/A</v>
      </c>
      <c r="E1923" t="str">
        <f>VLOOKUP($A1923, 'Medical Examinations'!A:F, 6, FALSE)</f>
        <v>No</v>
      </c>
      <c r="F1923" t="str">
        <f>VLOOKUP($A1923, 'Medical Examinations'!A:G, 7, FALSE)</f>
        <v>No</v>
      </c>
      <c r="G1923" t="str">
        <f>VLOOKUP($A1923, 'Medical Examinations'!A:H, 8, FALSE)</f>
        <v>No</v>
      </c>
      <c r="H1923" t="str">
        <f>VLOOKUP($A1923, 'Medical Examinations'!A:J, 10, FALSE)</f>
        <v>No major surgery</v>
      </c>
      <c r="I1923" t="str">
        <f>VLOOKUP($A1923, 'Medical Examinations'!A:K, 11, FALSE)</f>
        <v>No</v>
      </c>
      <c r="J1923" t="str">
        <f>VLOOKUP($A1923, 'Medical Examinations'!A:B, 2, FALSE)</f>
        <v>Obesity</v>
      </c>
      <c r="K1923" t="e">
        <f>VLOOKUP($A1923, 'Medical Examinations'!A:D, 4, FALSE)</f>
        <v>#N/A</v>
      </c>
    </row>
    <row r="1924" spans="1:11" ht="15.5" x14ac:dyDescent="0.35">
      <c r="A1924" s="1" t="s">
        <v>445</v>
      </c>
      <c r="B1924" t="str">
        <f>VLOOKUP($A1924, 'Customer Names'!A:D, 3, FALSE)</f>
        <v>Shields</v>
      </c>
      <c r="C1924">
        <f>VLOOKUP($A1924,'Medical Examinations'!A:C, 3, FALSE)</f>
        <v>23.8</v>
      </c>
      <c r="D1924" t="str">
        <f>VLOOKUP($A1924, 'Medical Examinations'!A:D, 4, FALSE)</f>
        <v>Normal</v>
      </c>
      <c r="E1924" t="str">
        <f>VLOOKUP($A1924, 'Medical Examinations'!A:F, 6, FALSE)</f>
        <v>No</v>
      </c>
      <c r="F1924" t="str">
        <f>VLOOKUP($A1924, 'Medical Examinations'!A:G, 7, FALSE)</f>
        <v>No</v>
      </c>
      <c r="G1924" t="str">
        <f>VLOOKUP($A1924, 'Medical Examinations'!A:H, 8, FALSE)</f>
        <v>No</v>
      </c>
      <c r="H1924" t="str">
        <f>VLOOKUP($A1924, 'Medical Examinations'!A:J, 10, FALSE)</f>
        <v>No major surgery</v>
      </c>
      <c r="I1924" t="str">
        <f>VLOOKUP($A1924, 'Medical Examinations'!A:K, 11, FALSE)</f>
        <v>No</v>
      </c>
      <c r="J1924" t="str">
        <f>VLOOKUP($A1924, 'Medical Examinations'!A:B, 2, FALSE)</f>
        <v>Normal Weight</v>
      </c>
      <c r="K1924" t="str">
        <f>VLOOKUP($A1924, 'Medical Examinations'!A:D, 4, FALSE)</f>
        <v>Normal</v>
      </c>
    </row>
    <row r="1925" spans="1:11" ht="15.5" x14ac:dyDescent="0.35">
      <c r="A1925" s="1" t="s">
        <v>444</v>
      </c>
      <c r="B1925" t="str">
        <f>VLOOKUP($A1925, 'Customer Names'!A:D, 3, FALSE)</f>
        <v>Margolis</v>
      </c>
      <c r="C1925">
        <f>VLOOKUP($A1925,'Medical Examinations'!A:C, 3, FALSE)</f>
        <v>15.37</v>
      </c>
      <c r="D1925" t="str">
        <f>VLOOKUP($A1925, 'Medical Examinations'!A:D, 4, FALSE)</f>
        <v>Diabetes</v>
      </c>
      <c r="E1925" t="str">
        <f>VLOOKUP($A1925, 'Medical Examinations'!A:F, 6, FALSE)</f>
        <v>yes</v>
      </c>
      <c r="F1925" t="str">
        <f>VLOOKUP($A1925, 'Medical Examinations'!A:G, 7, FALSE)</f>
        <v>No</v>
      </c>
      <c r="G1925" t="str">
        <f>VLOOKUP($A1925, 'Medical Examinations'!A:H, 8, FALSE)</f>
        <v>No</v>
      </c>
      <c r="H1925" t="str">
        <f>VLOOKUP($A1925, 'Medical Examinations'!A:J, 10, FALSE)</f>
        <v>No major surgery</v>
      </c>
      <c r="I1925" t="str">
        <f>VLOOKUP($A1925, 'Medical Examinations'!A:K, 11, FALSE)</f>
        <v>No</v>
      </c>
      <c r="J1925" t="str">
        <f>VLOOKUP($A1925, 'Medical Examinations'!A:B, 2, FALSE)</f>
        <v>Underweight</v>
      </c>
      <c r="K1925" t="str">
        <f>VLOOKUP($A1925, 'Medical Examinations'!A:D, 4, FALSE)</f>
        <v>Diabetes</v>
      </c>
    </row>
    <row r="1926" spans="1:11" ht="15.5" x14ac:dyDescent="0.35">
      <c r="A1926" s="1" t="s">
        <v>443</v>
      </c>
      <c r="B1926" t="str">
        <f>VLOOKUP($A1926, 'Customer Names'!A:D, 3, FALSE)</f>
        <v>Uffenbeck</v>
      </c>
      <c r="C1926">
        <f>VLOOKUP($A1926,'Medical Examinations'!A:C, 3, FALSE)</f>
        <v>30.4</v>
      </c>
      <c r="D1926" t="str">
        <f>VLOOKUP($A1926, 'Medical Examinations'!A:D, 4, FALSE)</f>
        <v>Normal</v>
      </c>
      <c r="E1926" t="str">
        <f>VLOOKUP($A1926, 'Medical Examinations'!A:F, 6, FALSE)</f>
        <v>No</v>
      </c>
      <c r="F1926" t="str">
        <f>VLOOKUP($A1926, 'Medical Examinations'!A:G, 7, FALSE)</f>
        <v>No</v>
      </c>
      <c r="G1926" t="str">
        <f>VLOOKUP($A1926, 'Medical Examinations'!A:H, 8, FALSE)</f>
        <v>No</v>
      </c>
      <c r="H1926" t="str">
        <f>VLOOKUP($A1926, 'Medical Examinations'!A:J, 10, FALSE)</f>
        <v>No major surgery</v>
      </c>
      <c r="I1926" t="str">
        <f>VLOOKUP($A1926, 'Medical Examinations'!A:K, 11, FALSE)</f>
        <v>No</v>
      </c>
      <c r="J1926" t="str">
        <f>VLOOKUP($A1926, 'Medical Examinations'!A:B, 2, FALSE)</f>
        <v>Obesity</v>
      </c>
      <c r="K1926" t="str">
        <f>VLOOKUP($A1926, 'Medical Examinations'!A:D, 4, FALSE)</f>
        <v>Normal</v>
      </c>
    </row>
    <row r="1927" spans="1:11" ht="15.5" x14ac:dyDescent="0.35">
      <c r="A1927" s="1" t="s">
        <v>442</v>
      </c>
      <c r="B1927" t="str">
        <f>VLOOKUP($A1927, 'Customer Names'!A:D, 3, FALSE)</f>
        <v>Brake</v>
      </c>
      <c r="C1927">
        <f>VLOOKUP($A1927,'Medical Examinations'!A:C, 3, FALSE)</f>
        <v>19.48</v>
      </c>
      <c r="D1927" t="str">
        <f>VLOOKUP($A1927, 'Medical Examinations'!A:D, 4, FALSE)</f>
        <v>Normal</v>
      </c>
      <c r="E1927" t="str">
        <f>VLOOKUP($A1927, 'Medical Examinations'!A:F, 6, FALSE)</f>
        <v>yes</v>
      </c>
      <c r="F1927" t="str">
        <f>VLOOKUP($A1927, 'Medical Examinations'!A:G, 7, FALSE)</f>
        <v>No</v>
      </c>
      <c r="G1927" t="str">
        <f>VLOOKUP($A1927, 'Medical Examinations'!A:H, 8, FALSE)</f>
        <v>No</v>
      </c>
      <c r="H1927">
        <f>VLOOKUP($A1927, 'Medical Examinations'!A:J, 10, FALSE)</f>
        <v>1</v>
      </c>
      <c r="I1927" t="str">
        <f>VLOOKUP($A1927, 'Medical Examinations'!A:K, 11, FALSE)</f>
        <v>No</v>
      </c>
      <c r="J1927" t="str">
        <f>VLOOKUP($A1927, 'Medical Examinations'!A:B, 2, FALSE)</f>
        <v>Normal Weight</v>
      </c>
      <c r="K1927" t="str">
        <f>VLOOKUP($A1927, 'Medical Examinations'!A:D, 4, FALSE)</f>
        <v>Normal</v>
      </c>
    </row>
    <row r="1928" spans="1:11" ht="15.5" x14ac:dyDescent="0.35">
      <c r="A1928" s="1" t="s">
        <v>441</v>
      </c>
      <c r="B1928" t="str">
        <f>VLOOKUP($A1928, 'Customer Names'!A:D, 3, FALSE)</f>
        <v>Stepanova</v>
      </c>
      <c r="C1928">
        <f>VLOOKUP($A1928,'Medical Examinations'!A:C, 3, FALSE)</f>
        <v>16.96</v>
      </c>
      <c r="D1928" t="str">
        <f>VLOOKUP($A1928, 'Medical Examinations'!A:D, 4, FALSE)</f>
        <v>Diabetes</v>
      </c>
      <c r="E1928" t="str">
        <f>VLOOKUP($A1928, 'Medical Examinations'!A:F, 6, FALSE)</f>
        <v>yes</v>
      </c>
      <c r="F1928" t="str">
        <f>VLOOKUP($A1928, 'Medical Examinations'!A:G, 7, FALSE)</f>
        <v>No</v>
      </c>
      <c r="G1928" t="str">
        <f>VLOOKUP($A1928, 'Medical Examinations'!A:H, 8, FALSE)</f>
        <v>No</v>
      </c>
      <c r="H1928" t="str">
        <f>VLOOKUP($A1928, 'Medical Examinations'!A:J, 10, FALSE)</f>
        <v>No major surgery</v>
      </c>
      <c r="I1928" t="str">
        <f>VLOOKUP($A1928, 'Medical Examinations'!A:K, 11, FALSE)</f>
        <v>No</v>
      </c>
      <c r="J1928" t="str">
        <f>VLOOKUP($A1928, 'Medical Examinations'!A:B, 2, FALSE)</f>
        <v>Underweight</v>
      </c>
      <c r="K1928" t="str">
        <f>VLOOKUP($A1928, 'Medical Examinations'!A:D, 4, FALSE)</f>
        <v>Diabetes</v>
      </c>
    </row>
    <row r="1929" spans="1:11" ht="15.5" x14ac:dyDescent="0.35">
      <c r="A1929" s="1" t="s">
        <v>440</v>
      </c>
      <c r="B1929" t="str">
        <f>VLOOKUP($A1929, 'Customer Names'!A:D, 3, FALSE)</f>
        <v>Verdi</v>
      </c>
      <c r="C1929">
        <f>VLOOKUP($A1929,'Medical Examinations'!A:C, 3, FALSE)</f>
        <v>19.05</v>
      </c>
      <c r="D1929" t="str">
        <f>VLOOKUP($A1929, 'Medical Examinations'!A:D, 4, FALSE)</f>
        <v>Normal</v>
      </c>
      <c r="E1929" t="str">
        <f>VLOOKUP($A1929, 'Medical Examinations'!A:F, 6, FALSE)</f>
        <v>No</v>
      </c>
      <c r="F1929" t="str">
        <f>VLOOKUP($A1929, 'Medical Examinations'!A:G, 7, FALSE)</f>
        <v>No</v>
      </c>
      <c r="G1929" t="str">
        <f>VLOOKUP($A1929, 'Medical Examinations'!A:H, 8, FALSE)</f>
        <v>No</v>
      </c>
      <c r="H1929">
        <f>VLOOKUP($A1929, 'Medical Examinations'!A:J, 10, FALSE)</f>
        <v>1</v>
      </c>
      <c r="I1929" t="str">
        <f>VLOOKUP($A1929, 'Medical Examinations'!A:K, 11, FALSE)</f>
        <v>No</v>
      </c>
      <c r="J1929" t="str">
        <f>VLOOKUP($A1929, 'Medical Examinations'!A:B, 2, FALSE)</f>
        <v>Normal Weight</v>
      </c>
      <c r="K1929" t="str">
        <f>VLOOKUP($A1929, 'Medical Examinations'!A:D, 4, FALSE)</f>
        <v>Normal</v>
      </c>
    </row>
    <row r="1930" spans="1:11" ht="15.5" x14ac:dyDescent="0.35">
      <c r="A1930" s="1" t="s">
        <v>439</v>
      </c>
      <c r="B1930" t="str">
        <f>VLOOKUP($A1930, 'Customer Names'!A:D, 3, FALSE)</f>
        <v>McLean</v>
      </c>
      <c r="C1930">
        <f>VLOOKUP($A1930,'Medical Examinations'!A:C, 3, FALSE)</f>
        <v>37.619999999999997</v>
      </c>
      <c r="D1930" t="str">
        <f>VLOOKUP($A1930, 'Medical Examinations'!A:D, 4, FALSE)</f>
        <v>Normal</v>
      </c>
      <c r="E1930" t="str">
        <f>VLOOKUP($A1930, 'Medical Examinations'!A:F, 6, FALSE)</f>
        <v>No</v>
      </c>
      <c r="F1930" t="str">
        <f>VLOOKUP($A1930, 'Medical Examinations'!A:G, 7, FALSE)</f>
        <v>No</v>
      </c>
      <c r="G1930" t="str">
        <f>VLOOKUP($A1930, 'Medical Examinations'!A:H, 8, FALSE)</f>
        <v>No</v>
      </c>
      <c r="H1930" t="str">
        <f>VLOOKUP($A1930, 'Medical Examinations'!A:J, 10, FALSE)</f>
        <v>No major surgery</v>
      </c>
      <c r="I1930" t="str">
        <f>VLOOKUP($A1930, 'Medical Examinations'!A:K, 11, FALSE)</f>
        <v>No</v>
      </c>
      <c r="J1930" t="str">
        <f>VLOOKUP($A1930, 'Medical Examinations'!A:B, 2, FALSE)</f>
        <v>Obesity</v>
      </c>
      <c r="K1930" t="str">
        <f>VLOOKUP($A1930, 'Medical Examinations'!A:D, 4, FALSE)</f>
        <v>Normal</v>
      </c>
    </row>
    <row r="1931" spans="1:11" ht="15.5" x14ac:dyDescent="0.35">
      <c r="A1931" s="1" t="s">
        <v>438</v>
      </c>
      <c r="B1931" t="str">
        <f>VLOOKUP($A1931, 'Customer Names'!A:D, 3, FALSE)</f>
        <v>Ryan</v>
      </c>
      <c r="C1931">
        <f>VLOOKUP($A1931,'Medical Examinations'!A:C, 3, FALSE)</f>
        <v>29.1</v>
      </c>
      <c r="D1931" t="str">
        <f>VLOOKUP($A1931, 'Medical Examinations'!A:D, 4, FALSE)</f>
        <v>Normal</v>
      </c>
      <c r="E1931" t="str">
        <f>VLOOKUP($A1931, 'Medical Examinations'!A:F, 6, FALSE)</f>
        <v>No</v>
      </c>
      <c r="F1931" t="str">
        <f>VLOOKUP($A1931, 'Medical Examinations'!A:G, 7, FALSE)</f>
        <v>No</v>
      </c>
      <c r="G1931" t="str">
        <f>VLOOKUP($A1931, 'Medical Examinations'!A:H, 8, FALSE)</f>
        <v>No</v>
      </c>
      <c r="H1931" t="str">
        <f>VLOOKUP($A1931, 'Medical Examinations'!A:J, 10, FALSE)</f>
        <v>No major surgery</v>
      </c>
      <c r="I1931" t="str">
        <f>VLOOKUP($A1931, 'Medical Examinations'!A:K, 11, FALSE)</f>
        <v>No</v>
      </c>
      <c r="J1931" t="str">
        <f>VLOOKUP($A1931, 'Medical Examinations'!A:B, 2, FALSE)</f>
        <v>Overweight</v>
      </c>
      <c r="K1931" t="str">
        <f>VLOOKUP($A1931, 'Medical Examinations'!A:D, 4, FALSE)</f>
        <v>Normal</v>
      </c>
    </row>
    <row r="1932" spans="1:11" ht="15.5" x14ac:dyDescent="0.35">
      <c r="A1932" s="1" t="s">
        <v>437</v>
      </c>
      <c r="B1932" t="str">
        <f>VLOOKUP($A1932, 'Customer Names'!A:D, 3, FALSE)</f>
        <v>Mickelson</v>
      </c>
      <c r="C1932">
        <f>VLOOKUP($A1932,'Medical Examinations'!A:C, 3, FALSE)</f>
        <v>26.62</v>
      </c>
      <c r="D1932" t="str">
        <f>VLOOKUP($A1932, 'Medical Examinations'!A:D, 4, FALSE)</f>
        <v>Prediabetes</v>
      </c>
      <c r="E1932" t="str">
        <f>VLOOKUP($A1932, 'Medical Examinations'!A:F, 6, FALSE)</f>
        <v>No</v>
      </c>
      <c r="F1932" t="str">
        <f>VLOOKUP($A1932, 'Medical Examinations'!A:G, 7, FALSE)</f>
        <v>No</v>
      </c>
      <c r="G1932" t="str">
        <f>VLOOKUP($A1932, 'Medical Examinations'!A:H, 8, FALSE)</f>
        <v>No</v>
      </c>
      <c r="H1932" t="str">
        <f>VLOOKUP($A1932, 'Medical Examinations'!A:J, 10, FALSE)</f>
        <v>No major surgery</v>
      </c>
      <c r="I1932" t="str">
        <f>VLOOKUP($A1932, 'Medical Examinations'!A:K, 11, FALSE)</f>
        <v>No</v>
      </c>
      <c r="J1932" t="str">
        <f>VLOOKUP($A1932, 'Medical Examinations'!A:B, 2, FALSE)</f>
        <v>Overweight</v>
      </c>
      <c r="K1932" t="str">
        <f>VLOOKUP($A1932, 'Medical Examinations'!A:D, 4, FALSE)</f>
        <v>Prediabetes</v>
      </c>
    </row>
    <row r="1933" spans="1:11" ht="15.5" x14ac:dyDescent="0.35">
      <c r="A1933" s="1" t="s">
        <v>436</v>
      </c>
      <c r="B1933" t="str">
        <f>VLOOKUP($A1933, 'Customer Names'!A:D, 3, FALSE)</f>
        <v>Dibaba</v>
      </c>
      <c r="C1933">
        <f>VLOOKUP($A1933,'Medical Examinations'!A:C, 3, FALSE)</f>
        <v>25.74</v>
      </c>
      <c r="D1933" t="str">
        <f>VLOOKUP($A1933, 'Medical Examinations'!A:D, 4, FALSE)</f>
        <v>Prediabetes</v>
      </c>
      <c r="E1933" t="str">
        <f>VLOOKUP($A1933, 'Medical Examinations'!A:F, 6, FALSE)</f>
        <v>No</v>
      </c>
      <c r="F1933" t="str">
        <f>VLOOKUP($A1933, 'Medical Examinations'!A:G, 7, FALSE)</f>
        <v>No</v>
      </c>
      <c r="G1933" t="str">
        <f>VLOOKUP($A1933, 'Medical Examinations'!A:H, 8, FALSE)</f>
        <v>No</v>
      </c>
      <c r="H1933" t="str">
        <f>VLOOKUP($A1933, 'Medical Examinations'!A:J, 10, FALSE)</f>
        <v>No major surgery</v>
      </c>
      <c r="I1933" t="str">
        <f>VLOOKUP($A1933, 'Medical Examinations'!A:K, 11, FALSE)</f>
        <v>No</v>
      </c>
      <c r="J1933" t="str">
        <f>VLOOKUP($A1933, 'Medical Examinations'!A:B, 2, FALSE)</f>
        <v>Overweight</v>
      </c>
      <c r="K1933" t="str">
        <f>VLOOKUP($A1933, 'Medical Examinations'!A:D, 4, FALSE)</f>
        <v>Prediabetes</v>
      </c>
    </row>
    <row r="1934" spans="1:11" ht="15.5" x14ac:dyDescent="0.35">
      <c r="A1934" s="1" t="s">
        <v>435</v>
      </c>
      <c r="B1934" t="str">
        <f>VLOOKUP($A1934, 'Customer Names'!A:D, 3, FALSE)</f>
        <v>Shilling</v>
      </c>
      <c r="C1934">
        <f>VLOOKUP($A1934,'Medical Examinations'!A:C, 3, FALSE)</f>
        <v>18.22</v>
      </c>
      <c r="D1934" t="str">
        <f>VLOOKUP($A1934, 'Medical Examinations'!A:D, 4, FALSE)</f>
        <v>Diabetes</v>
      </c>
      <c r="E1934" t="str">
        <f>VLOOKUP($A1934, 'Medical Examinations'!A:F, 6, FALSE)</f>
        <v>yes</v>
      </c>
      <c r="F1934" t="str">
        <f>VLOOKUP($A1934, 'Medical Examinations'!A:G, 7, FALSE)</f>
        <v>No</v>
      </c>
      <c r="G1934" t="str">
        <f>VLOOKUP($A1934, 'Medical Examinations'!A:H, 8, FALSE)</f>
        <v>No</v>
      </c>
      <c r="H1934">
        <f>VLOOKUP($A1934, 'Medical Examinations'!A:J, 10, FALSE)</f>
        <v>1</v>
      </c>
      <c r="I1934" t="str">
        <f>VLOOKUP($A1934, 'Medical Examinations'!A:K, 11, FALSE)</f>
        <v>No</v>
      </c>
      <c r="J1934" t="str">
        <f>VLOOKUP($A1934, 'Medical Examinations'!A:B, 2, FALSE)</f>
        <v>Underweight</v>
      </c>
      <c r="K1934" t="str">
        <f>VLOOKUP($A1934, 'Medical Examinations'!A:D, 4, FALSE)</f>
        <v>Diabetes</v>
      </c>
    </row>
    <row r="1935" spans="1:11" ht="15.5" x14ac:dyDescent="0.35">
      <c r="A1935" s="1" t="s">
        <v>434</v>
      </c>
      <c r="B1935" t="str">
        <f>VLOOKUP($A1935, 'Customer Names'!A:D, 3, FALSE)</f>
        <v>Bashaw</v>
      </c>
      <c r="C1935">
        <f>VLOOKUP($A1935,'Medical Examinations'!A:C, 3, FALSE)</f>
        <v>26.03</v>
      </c>
      <c r="D1935" t="str">
        <f>VLOOKUP($A1935, 'Medical Examinations'!A:D, 4, FALSE)</f>
        <v>Prediabetes</v>
      </c>
      <c r="E1935" t="str">
        <f>VLOOKUP($A1935, 'Medical Examinations'!A:F, 6, FALSE)</f>
        <v>No</v>
      </c>
      <c r="F1935" t="str">
        <f>VLOOKUP($A1935, 'Medical Examinations'!A:G, 7, FALSE)</f>
        <v>No</v>
      </c>
      <c r="G1935" t="str">
        <f>VLOOKUP($A1935, 'Medical Examinations'!A:H, 8, FALSE)</f>
        <v>Yes</v>
      </c>
      <c r="H1935">
        <f>VLOOKUP($A1935, 'Medical Examinations'!A:J, 10, FALSE)</f>
        <v>1</v>
      </c>
      <c r="I1935" t="str">
        <f>VLOOKUP($A1935, 'Medical Examinations'!A:K, 11, FALSE)</f>
        <v>No</v>
      </c>
      <c r="J1935" t="str">
        <f>VLOOKUP($A1935, 'Medical Examinations'!A:B, 2, FALSE)</f>
        <v>Overweight</v>
      </c>
      <c r="K1935" t="str">
        <f>VLOOKUP($A1935, 'Medical Examinations'!A:D, 4, FALSE)</f>
        <v>Prediabetes</v>
      </c>
    </row>
    <row r="1936" spans="1:11" ht="15.5" x14ac:dyDescent="0.35">
      <c r="A1936" s="1" t="s">
        <v>433</v>
      </c>
      <c r="B1936" t="str">
        <f>VLOOKUP($A1936, 'Customer Names'!A:D, 3, FALSE)</f>
        <v>Jacob</v>
      </c>
      <c r="C1936">
        <f>VLOOKUP($A1936,'Medical Examinations'!A:C, 3, FALSE)</f>
        <v>17.29</v>
      </c>
      <c r="D1936" t="str">
        <f>VLOOKUP($A1936, 'Medical Examinations'!A:D, 4, FALSE)</f>
        <v>Normal</v>
      </c>
      <c r="E1936" t="str">
        <f>VLOOKUP($A1936, 'Medical Examinations'!A:F, 6, FALSE)</f>
        <v>No</v>
      </c>
      <c r="F1936" t="str">
        <f>VLOOKUP($A1936, 'Medical Examinations'!A:G, 7, FALSE)</f>
        <v>No</v>
      </c>
      <c r="G1936" t="str">
        <f>VLOOKUP($A1936, 'Medical Examinations'!A:H, 8, FALSE)</f>
        <v>No</v>
      </c>
      <c r="H1936" t="str">
        <f>VLOOKUP($A1936, 'Medical Examinations'!A:J, 10, FALSE)</f>
        <v>No major surgery</v>
      </c>
      <c r="I1936" t="str">
        <f>VLOOKUP($A1936, 'Medical Examinations'!A:K, 11, FALSE)</f>
        <v>No</v>
      </c>
      <c r="J1936" t="str">
        <f>VLOOKUP($A1936, 'Medical Examinations'!A:B, 2, FALSE)</f>
        <v>Underweight</v>
      </c>
      <c r="K1936" t="str">
        <f>VLOOKUP($A1936, 'Medical Examinations'!A:D, 4, FALSE)</f>
        <v>Normal</v>
      </c>
    </row>
    <row r="1937" spans="1:11" ht="15.5" x14ac:dyDescent="0.35">
      <c r="A1937" s="1" t="s">
        <v>432</v>
      </c>
      <c r="B1937" t="str">
        <f>VLOOKUP($A1937, 'Customer Names'!A:D, 3, FALSE)</f>
        <v>McCutcheon</v>
      </c>
      <c r="C1937">
        <f>VLOOKUP($A1937,'Medical Examinations'!A:C, 3, FALSE)</f>
        <v>18.170000000000002</v>
      </c>
      <c r="D1937" t="str">
        <f>VLOOKUP($A1937, 'Medical Examinations'!A:D, 4, FALSE)</f>
        <v>Diabetes</v>
      </c>
      <c r="E1937" t="str">
        <f>VLOOKUP($A1937, 'Medical Examinations'!A:F, 6, FALSE)</f>
        <v>yes</v>
      </c>
      <c r="F1937" t="str">
        <f>VLOOKUP($A1937, 'Medical Examinations'!A:G, 7, FALSE)</f>
        <v>No</v>
      </c>
      <c r="G1937" t="str">
        <f>VLOOKUP($A1937, 'Medical Examinations'!A:H, 8, FALSE)</f>
        <v>No</v>
      </c>
      <c r="H1937">
        <f>VLOOKUP($A1937, 'Medical Examinations'!A:J, 10, FALSE)</f>
        <v>1</v>
      </c>
      <c r="I1937" t="str">
        <f>VLOOKUP($A1937, 'Medical Examinations'!A:K, 11, FALSE)</f>
        <v>No</v>
      </c>
      <c r="J1937" t="str">
        <f>VLOOKUP($A1937, 'Medical Examinations'!A:B, 2, FALSE)</f>
        <v>Underweight</v>
      </c>
      <c r="K1937" t="str">
        <f>VLOOKUP($A1937, 'Medical Examinations'!A:D, 4, FALSE)</f>
        <v>Diabetes</v>
      </c>
    </row>
    <row r="1938" spans="1:11" ht="15.5" x14ac:dyDescent="0.35">
      <c r="A1938" s="1" t="s">
        <v>431</v>
      </c>
      <c r="B1938" t="str">
        <f>VLOOKUP($A1938, 'Customer Names'!A:D, 3, FALSE)</f>
        <v>Connor</v>
      </c>
      <c r="C1938">
        <f>VLOOKUP($A1938,'Medical Examinations'!A:C, 3, FALSE)</f>
        <v>32.54</v>
      </c>
      <c r="D1938" t="str">
        <f>VLOOKUP($A1938, 'Medical Examinations'!A:D, 4, FALSE)</f>
        <v>Prediabetes</v>
      </c>
      <c r="E1938" t="str">
        <f>VLOOKUP($A1938, 'Medical Examinations'!A:F, 6, FALSE)</f>
        <v>No</v>
      </c>
      <c r="F1938" t="str">
        <f>VLOOKUP($A1938, 'Medical Examinations'!A:G, 7, FALSE)</f>
        <v>yes</v>
      </c>
      <c r="G1938" t="str">
        <f>VLOOKUP($A1938, 'Medical Examinations'!A:H, 8, FALSE)</f>
        <v>No</v>
      </c>
      <c r="H1938">
        <f>VLOOKUP($A1938, 'Medical Examinations'!A:J, 10, FALSE)</f>
        <v>1</v>
      </c>
      <c r="I1938" t="str">
        <f>VLOOKUP($A1938, 'Medical Examinations'!A:K, 11, FALSE)</f>
        <v>No</v>
      </c>
      <c r="J1938" t="str">
        <f>VLOOKUP($A1938, 'Medical Examinations'!A:B, 2, FALSE)</f>
        <v>Obesity</v>
      </c>
      <c r="K1938" t="str">
        <f>VLOOKUP($A1938, 'Medical Examinations'!A:D, 4, FALSE)</f>
        <v>Prediabetes</v>
      </c>
    </row>
    <row r="1939" spans="1:11" ht="15.5" x14ac:dyDescent="0.35">
      <c r="A1939" s="1" t="s">
        <v>430</v>
      </c>
      <c r="B1939" t="str">
        <f>VLOOKUP($A1939, 'Customer Names'!A:D, 3, FALSE)</f>
        <v>May</v>
      </c>
      <c r="C1939">
        <f>VLOOKUP($A1939,'Medical Examinations'!A:C, 3, FALSE)</f>
        <v>30.25</v>
      </c>
      <c r="D1939" t="str">
        <f>VLOOKUP($A1939, 'Medical Examinations'!A:D, 4, FALSE)</f>
        <v>Normal</v>
      </c>
      <c r="E1939" t="str">
        <f>VLOOKUP($A1939, 'Medical Examinations'!A:F, 6, FALSE)</f>
        <v>No</v>
      </c>
      <c r="F1939" t="str">
        <f>VLOOKUP($A1939, 'Medical Examinations'!A:G, 7, FALSE)</f>
        <v>No</v>
      </c>
      <c r="G1939" t="str">
        <f>VLOOKUP($A1939, 'Medical Examinations'!A:H, 8, FALSE)</f>
        <v>No</v>
      </c>
      <c r="H1939" t="str">
        <f>VLOOKUP($A1939, 'Medical Examinations'!A:J, 10, FALSE)</f>
        <v>No major surgery</v>
      </c>
      <c r="I1939" t="str">
        <f>VLOOKUP($A1939, 'Medical Examinations'!A:K, 11, FALSE)</f>
        <v>No</v>
      </c>
      <c r="J1939" t="str">
        <f>VLOOKUP($A1939, 'Medical Examinations'!A:B, 2, FALSE)</f>
        <v>Obesity</v>
      </c>
      <c r="K1939" t="str">
        <f>VLOOKUP($A1939, 'Medical Examinations'!A:D, 4, FALSE)</f>
        <v>Normal</v>
      </c>
    </row>
    <row r="1940" spans="1:11" ht="15.5" x14ac:dyDescent="0.35">
      <c r="A1940" s="1" t="s">
        <v>429</v>
      </c>
      <c r="B1940" t="str">
        <f>VLOOKUP($A1940, 'Customer Names'!A:D, 3, FALSE)</f>
        <v>Geoghegan</v>
      </c>
      <c r="C1940">
        <f>VLOOKUP($A1940,'Medical Examinations'!A:C, 3, FALSE)</f>
        <v>19.59</v>
      </c>
      <c r="D1940" t="str">
        <f>VLOOKUP($A1940, 'Medical Examinations'!A:D, 4, FALSE)</f>
        <v>Prediabetes</v>
      </c>
      <c r="E1940" t="str">
        <f>VLOOKUP($A1940, 'Medical Examinations'!A:F, 6, FALSE)</f>
        <v>yes</v>
      </c>
      <c r="F1940" t="str">
        <f>VLOOKUP($A1940, 'Medical Examinations'!A:G, 7, FALSE)</f>
        <v>No</v>
      </c>
      <c r="G1940" t="str">
        <f>VLOOKUP($A1940, 'Medical Examinations'!A:H, 8, FALSE)</f>
        <v>No</v>
      </c>
      <c r="H1940">
        <f>VLOOKUP($A1940, 'Medical Examinations'!A:J, 10, FALSE)</f>
        <v>1</v>
      </c>
      <c r="I1940" t="str">
        <f>VLOOKUP($A1940, 'Medical Examinations'!A:K, 11, FALSE)</f>
        <v>No</v>
      </c>
      <c r="J1940" t="str">
        <f>VLOOKUP($A1940, 'Medical Examinations'!A:B, 2, FALSE)</f>
        <v>Normal Weight</v>
      </c>
      <c r="K1940" t="str">
        <f>VLOOKUP($A1940, 'Medical Examinations'!A:D, 4, FALSE)</f>
        <v>Prediabetes</v>
      </c>
    </row>
    <row r="1941" spans="1:11" ht="15.5" x14ac:dyDescent="0.35">
      <c r="A1941" s="1" t="s">
        <v>428</v>
      </c>
      <c r="B1941" t="str">
        <f>VLOOKUP($A1941, 'Customer Names'!A:D, 3, FALSE)</f>
        <v>McGinn</v>
      </c>
      <c r="C1941">
        <f>VLOOKUP($A1941,'Medical Examinations'!A:C, 3, FALSE)</f>
        <v>45.9</v>
      </c>
      <c r="D1941" t="str">
        <f>VLOOKUP($A1941, 'Medical Examinations'!A:D, 4, FALSE)</f>
        <v>Normal</v>
      </c>
      <c r="E1941" t="str">
        <f>VLOOKUP($A1941, 'Medical Examinations'!A:F, 6, FALSE)</f>
        <v>yes</v>
      </c>
      <c r="F1941" t="str">
        <f>VLOOKUP($A1941, 'Medical Examinations'!A:G, 7, FALSE)</f>
        <v>No</v>
      </c>
      <c r="G1941" t="str">
        <f>VLOOKUP($A1941, 'Medical Examinations'!A:H, 8, FALSE)</f>
        <v>No</v>
      </c>
      <c r="H1941">
        <f>VLOOKUP($A1941, 'Medical Examinations'!A:J, 10, FALSE)</f>
        <v>1</v>
      </c>
      <c r="I1941" t="str">
        <f>VLOOKUP($A1941, 'Medical Examinations'!A:K, 11, FALSE)</f>
        <v>No</v>
      </c>
      <c r="J1941" t="str">
        <f>VLOOKUP($A1941, 'Medical Examinations'!A:B, 2, FALSE)</f>
        <v>Obesity</v>
      </c>
      <c r="K1941" t="str">
        <f>VLOOKUP($A1941, 'Medical Examinations'!A:D, 4, FALSE)</f>
        <v>Normal</v>
      </c>
    </row>
    <row r="1942" spans="1:11" ht="15.5" x14ac:dyDescent="0.35">
      <c r="A1942" s="1" t="s">
        <v>427</v>
      </c>
      <c r="B1942" t="str">
        <f>VLOOKUP($A1942, 'Customer Names'!A:D, 3, FALSE)</f>
        <v>Jones</v>
      </c>
      <c r="C1942">
        <f>VLOOKUP($A1942,'Medical Examinations'!A:C, 3, FALSE)</f>
        <v>17.059999999999999</v>
      </c>
      <c r="D1942" t="str">
        <f>VLOOKUP($A1942, 'Medical Examinations'!A:D, 4, FALSE)</f>
        <v>Diabetes</v>
      </c>
      <c r="E1942" t="str">
        <f>VLOOKUP($A1942, 'Medical Examinations'!A:F, 6, FALSE)</f>
        <v>yes</v>
      </c>
      <c r="F1942" t="str">
        <f>VLOOKUP($A1942, 'Medical Examinations'!A:G, 7, FALSE)</f>
        <v>No</v>
      </c>
      <c r="G1942" t="str">
        <f>VLOOKUP($A1942, 'Medical Examinations'!A:H, 8, FALSE)</f>
        <v>No</v>
      </c>
      <c r="H1942" t="str">
        <f>VLOOKUP($A1942, 'Medical Examinations'!A:J, 10, FALSE)</f>
        <v>No major surgery</v>
      </c>
      <c r="I1942" t="str">
        <f>VLOOKUP($A1942, 'Medical Examinations'!A:K, 11, FALSE)</f>
        <v>No</v>
      </c>
      <c r="J1942" t="str">
        <f>VLOOKUP($A1942, 'Medical Examinations'!A:B, 2, FALSE)</f>
        <v>Underweight</v>
      </c>
      <c r="K1942" t="str">
        <f>VLOOKUP($A1942, 'Medical Examinations'!A:D, 4, FALSE)</f>
        <v>Diabetes</v>
      </c>
    </row>
    <row r="1943" spans="1:11" ht="15.5" x14ac:dyDescent="0.35">
      <c r="A1943" s="1" t="s">
        <v>426</v>
      </c>
      <c r="B1943" t="str">
        <f>VLOOKUP($A1943, 'Customer Names'!A:D, 3, FALSE)</f>
        <v>Quinteros</v>
      </c>
      <c r="C1943">
        <f>VLOOKUP($A1943,'Medical Examinations'!A:C, 3, FALSE)</f>
        <v>32.07</v>
      </c>
      <c r="D1943" t="str">
        <f>VLOOKUP($A1943, 'Medical Examinations'!A:D, 4, FALSE)</f>
        <v>Normal</v>
      </c>
      <c r="E1943" t="str">
        <f>VLOOKUP($A1943, 'Medical Examinations'!A:F, 6, FALSE)</f>
        <v>No</v>
      </c>
      <c r="F1943" t="str">
        <f>VLOOKUP($A1943, 'Medical Examinations'!A:G, 7, FALSE)</f>
        <v>No</v>
      </c>
      <c r="G1943" t="str">
        <f>VLOOKUP($A1943, 'Medical Examinations'!A:H, 8, FALSE)</f>
        <v>Yes</v>
      </c>
      <c r="H1943">
        <f>VLOOKUP($A1943, 'Medical Examinations'!A:J, 10, FALSE)</f>
        <v>1</v>
      </c>
      <c r="I1943" t="str">
        <f>VLOOKUP($A1943, 'Medical Examinations'!A:K, 11, FALSE)</f>
        <v>No</v>
      </c>
      <c r="J1943" t="str">
        <f>VLOOKUP($A1943, 'Medical Examinations'!A:B, 2, FALSE)</f>
        <v>Obesity</v>
      </c>
      <c r="K1943" t="str">
        <f>VLOOKUP($A1943, 'Medical Examinations'!A:D, 4, FALSE)</f>
        <v>Normal</v>
      </c>
    </row>
    <row r="1944" spans="1:11" ht="15.5" x14ac:dyDescent="0.35">
      <c r="A1944" s="1" t="s">
        <v>425</v>
      </c>
      <c r="B1944" t="str">
        <f>VLOOKUP($A1944, 'Customer Names'!A:D, 3, FALSE)</f>
        <v>Loenser</v>
      </c>
      <c r="C1944">
        <f>VLOOKUP($A1944,'Medical Examinations'!A:C, 3, FALSE)</f>
        <v>16.5</v>
      </c>
      <c r="D1944" t="str">
        <f>VLOOKUP($A1944, 'Medical Examinations'!A:D, 4, FALSE)</f>
        <v>Normal</v>
      </c>
      <c r="E1944" t="str">
        <f>VLOOKUP($A1944, 'Medical Examinations'!A:F, 6, FALSE)</f>
        <v>No</v>
      </c>
      <c r="F1944" t="str">
        <f>VLOOKUP($A1944, 'Medical Examinations'!A:G, 7, FALSE)</f>
        <v>No</v>
      </c>
      <c r="G1944" t="str">
        <f>VLOOKUP($A1944, 'Medical Examinations'!A:H, 8, FALSE)</f>
        <v>No</v>
      </c>
      <c r="H1944">
        <f>VLOOKUP($A1944, 'Medical Examinations'!A:J, 10, FALSE)</f>
        <v>1</v>
      </c>
      <c r="I1944" t="str">
        <f>VLOOKUP($A1944, 'Medical Examinations'!A:K, 11, FALSE)</f>
        <v>No</v>
      </c>
      <c r="J1944" t="str">
        <f>VLOOKUP($A1944, 'Medical Examinations'!A:B, 2, FALSE)</f>
        <v>Underweight</v>
      </c>
      <c r="K1944" t="str">
        <f>VLOOKUP($A1944, 'Medical Examinations'!A:D, 4, FALSE)</f>
        <v>Normal</v>
      </c>
    </row>
    <row r="1945" spans="1:11" ht="15.5" x14ac:dyDescent="0.35">
      <c r="A1945" s="1" t="s">
        <v>424</v>
      </c>
      <c r="B1945" t="str">
        <f>VLOOKUP($A1945, 'Customer Names'!A:D, 3, FALSE)</f>
        <v>Aitken</v>
      </c>
      <c r="C1945">
        <f>VLOOKUP($A1945,'Medical Examinations'!A:C, 3, FALSE)</f>
        <v>31.4</v>
      </c>
      <c r="D1945" t="str">
        <f>VLOOKUP($A1945, 'Medical Examinations'!A:D, 4, FALSE)</f>
        <v>Prediabetes</v>
      </c>
      <c r="E1945" t="str">
        <f>VLOOKUP($A1945, 'Medical Examinations'!A:F, 6, FALSE)</f>
        <v>No</v>
      </c>
      <c r="F1945" t="str">
        <f>VLOOKUP($A1945, 'Medical Examinations'!A:G, 7, FALSE)</f>
        <v>No</v>
      </c>
      <c r="G1945" t="str">
        <f>VLOOKUP($A1945, 'Medical Examinations'!A:H, 8, FALSE)</f>
        <v>No</v>
      </c>
      <c r="H1945">
        <f>VLOOKUP($A1945, 'Medical Examinations'!A:J, 10, FALSE)</f>
        <v>1</v>
      </c>
      <c r="I1945" t="str">
        <f>VLOOKUP($A1945, 'Medical Examinations'!A:K, 11, FALSE)</f>
        <v>No</v>
      </c>
      <c r="J1945" t="str">
        <f>VLOOKUP($A1945, 'Medical Examinations'!A:B, 2, FALSE)</f>
        <v>Obesity</v>
      </c>
      <c r="K1945" t="str">
        <f>VLOOKUP($A1945, 'Medical Examinations'!A:D, 4, FALSE)</f>
        <v>Prediabetes</v>
      </c>
    </row>
    <row r="1946" spans="1:11" ht="15.5" x14ac:dyDescent="0.35">
      <c r="A1946" s="1" t="s">
        <v>423</v>
      </c>
      <c r="B1946" t="str">
        <f>VLOOKUP($A1946, 'Customer Names'!A:D, 3, FALSE)</f>
        <v>Furrer</v>
      </c>
      <c r="C1946">
        <f>VLOOKUP($A1946,'Medical Examinations'!A:C, 3, FALSE)</f>
        <v>20.36</v>
      </c>
      <c r="D1946" t="str">
        <f>VLOOKUP($A1946, 'Medical Examinations'!A:D, 4, FALSE)</f>
        <v>Normal</v>
      </c>
      <c r="E1946" t="str">
        <f>VLOOKUP($A1946, 'Medical Examinations'!A:F, 6, FALSE)</f>
        <v>No</v>
      </c>
      <c r="F1946" t="str">
        <f>VLOOKUP($A1946, 'Medical Examinations'!A:G, 7, FALSE)</f>
        <v>No</v>
      </c>
      <c r="G1946" t="str">
        <f>VLOOKUP($A1946, 'Medical Examinations'!A:H, 8, FALSE)</f>
        <v>No</v>
      </c>
      <c r="H1946" t="str">
        <f>VLOOKUP($A1946, 'Medical Examinations'!A:J, 10, FALSE)</f>
        <v>No major surgery</v>
      </c>
      <c r="I1946" t="str">
        <f>VLOOKUP($A1946, 'Medical Examinations'!A:K, 11, FALSE)</f>
        <v>No</v>
      </c>
      <c r="J1946" t="str">
        <f>VLOOKUP($A1946, 'Medical Examinations'!A:B, 2, FALSE)</f>
        <v>Normal Weight</v>
      </c>
      <c r="K1946" t="str">
        <f>VLOOKUP($A1946, 'Medical Examinations'!A:D, 4, FALSE)</f>
        <v>Normal</v>
      </c>
    </row>
    <row r="1947" spans="1:11" ht="15.5" x14ac:dyDescent="0.35">
      <c r="A1947" s="1" t="s">
        <v>422</v>
      </c>
      <c r="B1947" t="str">
        <f>VLOOKUP($A1947, 'Customer Names'!A:D, 3, FALSE)</f>
        <v>Konigs</v>
      </c>
      <c r="C1947">
        <f>VLOOKUP($A1947,'Medical Examinations'!A:C, 3, FALSE)</f>
        <v>25.46</v>
      </c>
      <c r="D1947" t="str">
        <f>VLOOKUP($A1947, 'Medical Examinations'!A:D, 4, FALSE)</f>
        <v>Normal</v>
      </c>
      <c r="E1947" t="str">
        <f>VLOOKUP($A1947, 'Medical Examinations'!A:F, 6, FALSE)</f>
        <v>No</v>
      </c>
      <c r="F1947" t="str">
        <f>VLOOKUP($A1947, 'Medical Examinations'!A:G, 7, FALSE)</f>
        <v>No</v>
      </c>
      <c r="G1947" t="str">
        <f>VLOOKUP($A1947, 'Medical Examinations'!A:H, 8, FALSE)</f>
        <v>No</v>
      </c>
      <c r="H1947">
        <f>VLOOKUP($A1947, 'Medical Examinations'!A:J, 10, FALSE)</f>
        <v>1</v>
      </c>
      <c r="I1947" t="str">
        <f>VLOOKUP($A1947, 'Medical Examinations'!A:K, 11, FALSE)</f>
        <v>No</v>
      </c>
      <c r="J1947" t="str">
        <f>VLOOKUP($A1947, 'Medical Examinations'!A:B, 2, FALSE)</f>
        <v>Overweight</v>
      </c>
      <c r="K1947" t="str">
        <f>VLOOKUP($A1947, 'Medical Examinations'!A:D, 4, FALSE)</f>
        <v>Normal</v>
      </c>
    </row>
    <row r="1948" spans="1:11" ht="15.5" x14ac:dyDescent="0.35">
      <c r="A1948" s="1" t="s">
        <v>421</v>
      </c>
      <c r="B1948" t="str">
        <f>VLOOKUP($A1948, 'Customer Names'!A:D, 3, FALSE)</f>
        <v>Tesdahl</v>
      </c>
      <c r="C1948">
        <f>VLOOKUP($A1948,'Medical Examinations'!A:C, 3, FALSE)</f>
        <v>17.09</v>
      </c>
      <c r="D1948" t="str">
        <f>VLOOKUP($A1948, 'Medical Examinations'!A:D, 4, FALSE)</f>
        <v>Prediabetes</v>
      </c>
      <c r="E1948" t="str">
        <f>VLOOKUP($A1948, 'Medical Examinations'!A:F, 6, FALSE)</f>
        <v>yes</v>
      </c>
      <c r="F1948" t="str">
        <f>VLOOKUP($A1948, 'Medical Examinations'!A:G, 7, FALSE)</f>
        <v>No</v>
      </c>
      <c r="G1948" t="str">
        <f>VLOOKUP($A1948, 'Medical Examinations'!A:H, 8, FALSE)</f>
        <v>No</v>
      </c>
      <c r="H1948" t="str">
        <f>VLOOKUP($A1948, 'Medical Examinations'!A:J, 10, FALSE)</f>
        <v>No major surgery</v>
      </c>
      <c r="I1948" t="str">
        <f>VLOOKUP($A1948, 'Medical Examinations'!A:K, 11, FALSE)</f>
        <v>No</v>
      </c>
      <c r="J1948" t="str">
        <f>VLOOKUP($A1948, 'Medical Examinations'!A:B, 2, FALSE)</f>
        <v>Underweight</v>
      </c>
      <c r="K1948" t="str">
        <f>VLOOKUP($A1948, 'Medical Examinations'!A:D, 4, FALSE)</f>
        <v>Prediabetes</v>
      </c>
    </row>
    <row r="1949" spans="1:11" ht="15.5" x14ac:dyDescent="0.35">
      <c r="A1949" s="1" t="s">
        <v>420</v>
      </c>
      <c r="B1949" t="str">
        <f>VLOOKUP($A1949, 'Customer Names'!A:D, 3, FALSE)</f>
        <v>Engel</v>
      </c>
      <c r="C1949">
        <f>VLOOKUP($A1949,'Medical Examinations'!A:C, 3, FALSE)</f>
        <v>20.83</v>
      </c>
      <c r="D1949" t="str">
        <f>VLOOKUP($A1949, 'Medical Examinations'!A:D, 4, FALSE)</f>
        <v>Normal</v>
      </c>
      <c r="E1949" t="str">
        <f>VLOOKUP($A1949, 'Medical Examinations'!A:F, 6, FALSE)</f>
        <v>No</v>
      </c>
      <c r="F1949" t="str">
        <f>VLOOKUP($A1949, 'Medical Examinations'!A:G, 7, FALSE)</f>
        <v>No</v>
      </c>
      <c r="G1949" t="str">
        <f>VLOOKUP($A1949, 'Medical Examinations'!A:H, 8, FALSE)</f>
        <v>No</v>
      </c>
      <c r="H1949" t="str">
        <f>VLOOKUP($A1949, 'Medical Examinations'!A:J, 10, FALSE)</f>
        <v>No major surgery</v>
      </c>
      <c r="I1949" t="str">
        <f>VLOOKUP($A1949, 'Medical Examinations'!A:K, 11, FALSE)</f>
        <v>No</v>
      </c>
      <c r="J1949" t="str">
        <f>VLOOKUP($A1949, 'Medical Examinations'!A:B, 2, FALSE)</f>
        <v>Normal Weight</v>
      </c>
      <c r="K1949" t="str">
        <f>VLOOKUP($A1949, 'Medical Examinations'!A:D, 4, FALSE)</f>
        <v>Normal</v>
      </c>
    </row>
    <row r="1950" spans="1:11" ht="15.5" x14ac:dyDescent="0.35">
      <c r="A1950" s="1" t="s">
        <v>419</v>
      </c>
      <c r="B1950" t="str">
        <f>VLOOKUP($A1950, 'Customer Names'!A:D, 3, FALSE)</f>
        <v>Kuck</v>
      </c>
      <c r="C1950">
        <f>VLOOKUP($A1950,'Medical Examinations'!A:C, 3, FALSE)</f>
        <v>18.920000000000002</v>
      </c>
      <c r="D1950" t="str">
        <f>VLOOKUP($A1950, 'Medical Examinations'!A:D, 4, FALSE)</f>
        <v>Prediabetes</v>
      </c>
      <c r="E1950" t="str">
        <f>VLOOKUP($A1950, 'Medical Examinations'!A:F, 6, FALSE)</f>
        <v>yes</v>
      </c>
      <c r="F1950" t="str">
        <f>VLOOKUP($A1950, 'Medical Examinations'!A:G, 7, FALSE)</f>
        <v>No</v>
      </c>
      <c r="G1950" t="str">
        <f>VLOOKUP($A1950, 'Medical Examinations'!A:H, 8, FALSE)</f>
        <v>No</v>
      </c>
      <c r="H1950">
        <f>VLOOKUP($A1950, 'Medical Examinations'!A:J, 10, FALSE)</f>
        <v>1</v>
      </c>
      <c r="I1950" t="str">
        <f>VLOOKUP($A1950, 'Medical Examinations'!A:K, 11, FALSE)</f>
        <v>No</v>
      </c>
      <c r="J1950" t="str">
        <f>VLOOKUP($A1950, 'Medical Examinations'!A:B, 2, FALSE)</f>
        <v>Normal Weight</v>
      </c>
      <c r="K1950" t="str">
        <f>VLOOKUP($A1950, 'Medical Examinations'!A:D, 4, FALSE)</f>
        <v>Prediabetes</v>
      </c>
    </row>
    <row r="1951" spans="1:11" ht="15.5" x14ac:dyDescent="0.35">
      <c r="A1951" s="1" t="s">
        <v>418</v>
      </c>
      <c r="B1951" t="str">
        <f>VLOOKUP($A1951, 'Customer Names'!A:D, 3, FALSE)</f>
        <v>Dillon</v>
      </c>
      <c r="C1951">
        <f>VLOOKUP($A1951,'Medical Examinations'!A:C, 3, FALSE)</f>
        <v>37.1</v>
      </c>
      <c r="D1951" t="str">
        <f>VLOOKUP($A1951, 'Medical Examinations'!A:D, 4, FALSE)</f>
        <v>Normal</v>
      </c>
      <c r="E1951" t="str">
        <f>VLOOKUP($A1951, 'Medical Examinations'!A:F, 6, FALSE)</f>
        <v>No</v>
      </c>
      <c r="F1951" t="str">
        <f>VLOOKUP($A1951, 'Medical Examinations'!A:G, 7, FALSE)</f>
        <v>No</v>
      </c>
      <c r="G1951" t="str">
        <f>VLOOKUP($A1951, 'Medical Examinations'!A:H, 8, FALSE)</f>
        <v>No</v>
      </c>
      <c r="H1951" t="str">
        <f>VLOOKUP($A1951, 'Medical Examinations'!A:J, 10, FALSE)</f>
        <v>No major surgery</v>
      </c>
      <c r="I1951" t="str">
        <f>VLOOKUP($A1951, 'Medical Examinations'!A:K, 11, FALSE)</f>
        <v>No</v>
      </c>
      <c r="J1951" t="str">
        <f>VLOOKUP($A1951, 'Medical Examinations'!A:B, 2, FALSE)</f>
        <v>Obesity</v>
      </c>
      <c r="K1951" t="str">
        <f>VLOOKUP($A1951, 'Medical Examinations'!A:D, 4, FALSE)</f>
        <v>Normal</v>
      </c>
    </row>
    <row r="1952" spans="1:11" ht="15.5" x14ac:dyDescent="0.35">
      <c r="A1952" s="1" t="s">
        <v>417</v>
      </c>
      <c r="B1952" t="str">
        <f>VLOOKUP($A1952, 'Customer Names'!A:D, 3, FALSE)</f>
        <v>Neuschel</v>
      </c>
      <c r="C1952">
        <f>VLOOKUP($A1952,'Medical Examinations'!A:C, 3, FALSE)</f>
        <v>22.515000000000001</v>
      </c>
      <c r="D1952" t="str">
        <f>VLOOKUP($A1952, 'Medical Examinations'!A:D, 4, FALSE)</f>
        <v>Normal</v>
      </c>
      <c r="E1952" t="str">
        <f>VLOOKUP($A1952, 'Medical Examinations'!A:F, 6, FALSE)</f>
        <v>yes</v>
      </c>
      <c r="F1952" t="str">
        <f>VLOOKUP($A1952, 'Medical Examinations'!A:G, 7, FALSE)</f>
        <v>No</v>
      </c>
      <c r="G1952" t="str">
        <f>VLOOKUP($A1952, 'Medical Examinations'!A:H, 8, FALSE)</f>
        <v>Yes</v>
      </c>
      <c r="H1952">
        <f>VLOOKUP($A1952, 'Medical Examinations'!A:J, 10, FALSE)</f>
        <v>1</v>
      </c>
      <c r="I1952" t="str">
        <f>VLOOKUP($A1952, 'Medical Examinations'!A:K, 11, FALSE)</f>
        <v>No</v>
      </c>
      <c r="J1952" t="str">
        <f>VLOOKUP($A1952, 'Medical Examinations'!A:B, 2, FALSE)</f>
        <v>Normal Weight</v>
      </c>
      <c r="K1952" t="str">
        <f>VLOOKUP($A1952, 'Medical Examinations'!A:D, 4, FALSE)</f>
        <v>Normal</v>
      </c>
    </row>
    <row r="1953" spans="1:11" ht="15.5" x14ac:dyDescent="0.35">
      <c r="A1953" s="1" t="s">
        <v>416</v>
      </c>
      <c r="B1953" t="str">
        <f>VLOOKUP($A1953, 'Customer Names'!A:D, 3, FALSE)</f>
        <v>Rosales Ramirez</v>
      </c>
      <c r="C1953">
        <f>VLOOKUP($A1953,'Medical Examinations'!A:C, 3, FALSE)</f>
        <v>32.700000000000003</v>
      </c>
      <c r="D1953" t="str">
        <f>VLOOKUP($A1953, 'Medical Examinations'!A:D, 4, FALSE)</f>
        <v>Normal</v>
      </c>
      <c r="E1953" t="str">
        <f>VLOOKUP($A1953, 'Medical Examinations'!A:F, 6, FALSE)</f>
        <v>No</v>
      </c>
      <c r="F1953" t="str">
        <f>VLOOKUP($A1953, 'Medical Examinations'!A:G, 7, FALSE)</f>
        <v>No</v>
      </c>
      <c r="G1953" t="str">
        <f>VLOOKUP($A1953, 'Medical Examinations'!A:H, 8, FALSE)</f>
        <v>No</v>
      </c>
      <c r="H1953" t="str">
        <f>VLOOKUP($A1953, 'Medical Examinations'!A:J, 10, FALSE)</f>
        <v>No major surgery</v>
      </c>
      <c r="I1953" t="str">
        <f>VLOOKUP($A1953, 'Medical Examinations'!A:K, 11, FALSE)</f>
        <v>No</v>
      </c>
      <c r="J1953" t="str">
        <f>VLOOKUP($A1953, 'Medical Examinations'!A:B, 2, FALSE)</f>
        <v>Obesity</v>
      </c>
      <c r="K1953" t="str">
        <f>VLOOKUP($A1953, 'Medical Examinations'!A:D, 4, FALSE)</f>
        <v>Normal</v>
      </c>
    </row>
    <row r="1954" spans="1:11" ht="15.5" x14ac:dyDescent="0.35">
      <c r="A1954" s="1" t="s">
        <v>415</v>
      </c>
      <c r="B1954" t="str">
        <f>VLOOKUP($A1954, 'Customer Names'!A:D, 3, FALSE)</f>
        <v>Marquez</v>
      </c>
      <c r="C1954">
        <f>VLOOKUP($A1954,'Medical Examinations'!A:C, 3, FALSE)</f>
        <v>17.75</v>
      </c>
      <c r="D1954" t="str">
        <f>VLOOKUP($A1954, 'Medical Examinations'!A:D, 4, FALSE)</f>
        <v>Diabetes</v>
      </c>
      <c r="E1954" t="str">
        <f>VLOOKUP($A1954, 'Medical Examinations'!A:F, 6, FALSE)</f>
        <v>yes</v>
      </c>
      <c r="F1954" t="str">
        <f>VLOOKUP($A1954, 'Medical Examinations'!A:G, 7, FALSE)</f>
        <v>No</v>
      </c>
      <c r="G1954" t="str">
        <f>VLOOKUP($A1954, 'Medical Examinations'!A:H, 8, FALSE)</f>
        <v>No</v>
      </c>
      <c r="H1954">
        <f>VLOOKUP($A1954, 'Medical Examinations'!A:J, 10, FALSE)</f>
        <v>1</v>
      </c>
      <c r="I1954" t="str">
        <f>VLOOKUP($A1954, 'Medical Examinations'!A:K, 11, FALSE)</f>
        <v>No</v>
      </c>
      <c r="J1954" t="str">
        <f>VLOOKUP($A1954, 'Medical Examinations'!A:B, 2, FALSE)</f>
        <v>Underweight</v>
      </c>
      <c r="K1954" t="str">
        <f>VLOOKUP($A1954, 'Medical Examinations'!A:D, 4, FALSE)</f>
        <v>Diabetes</v>
      </c>
    </row>
    <row r="1955" spans="1:11" ht="15.5" x14ac:dyDescent="0.35">
      <c r="A1955" s="1" t="s">
        <v>414</v>
      </c>
      <c r="B1955" t="str">
        <f>VLOOKUP($A1955, 'Customer Names'!A:D, 3, FALSE)</f>
        <v>Green</v>
      </c>
      <c r="C1955">
        <f>VLOOKUP($A1955,'Medical Examinations'!A:C, 3, FALSE)</f>
        <v>33.630000000000003</v>
      </c>
      <c r="D1955" t="str">
        <f>VLOOKUP($A1955, 'Medical Examinations'!A:D, 4, FALSE)</f>
        <v>Normal</v>
      </c>
      <c r="E1955" t="str">
        <f>VLOOKUP($A1955, 'Medical Examinations'!A:F, 6, FALSE)</f>
        <v>yes</v>
      </c>
      <c r="F1955" t="str">
        <f>VLOOKUP($A1955, 'Medical Examinations'!A:G, 7, FALSE)</f>
        <v>No</v>
      </c>
      <c r="G1955" t="str">
        <f>VLOOKUP($A1955, 'Medical Examinations'!A:H, 8, FALSE)</f>
        <v>No</v>
      </c>
      <c r="H1955" t="str">
        <f>VLOOKUP($A1955, 'Medical Examinations'!A:J, 10, FALSE)</f>
        <v>No major surgery</v>
      </c>
      <c r="I1955" t="str">
        <f>VLOOKUP($A1955, 'Medical Examinations'!A:K, 11, FALSE)</f>
        <v>No</v>
      </c>
      <c r="J1955" t="str">
        <f>VLOOKUP($A1955, 'Medical Examinations'!A:B, 2, FALSE)</f>
        <v>Obesity</v>
      </c>
      <c r="K1955" t="str">
        <f>VLOOKUP($A1955, 'Medical Examinations'!A:D, 4, FALSE)</f>
        <v>Normal</v>
      </c>
    </row>
    <row r="1956" spans="1:11" ht="15.5" x14ac:dyDescent="0.35">
      <c r="A1956" s="1" t="s">
        <v>413</v>
      </c>
      <c r="B1956" t="str">
        <f>VLOOKUP($A1956, 'Customer Names'!A:D, 3, FALSE)</f>
        <v>Schubel</v>
      </c>
      <c r="C1956">
        <f>VLOOKUP($A1956,'Medical Examinations'!A:C, 3, FALSE)</f>
        <v>34.799999999999997</v>
      </c>
      <c r="D1956" t="str">
        <f>VLOOKUP($A1956, 'Medical Examinations'!A:D, 4, FALSE)</f>
        <v>Normal</v>
      </c>
      <c r="E1956" t="str">
        <f>VLOOKUP($A1956, 'Medical Examinations'!A:F, 6, FALSE)</f>
        <v>yes</v>
      </c>
      <c r="F1956" t="str">
        <f>VLOOKUP($A1956, 'Medical Examinations'!A:G, 7, FALSE)</f>
        <v>No</v>
      </c>
      <c r="G1956" t="str">
        <f>VLOOKUP($A1956, 'Medical Examinations'!A:H, 8, FALSE)</f>
        <v>No</v>
      </c>
      <c r="H1956">
        <f>VLOOKUP($A1956, 'Medical Examinations'!A:J, 10, FALSE)</f>
        <v>1</v>
      </c>
      <c r="I1956" t="str">
        <f>VLOOKUP($A1956, 'Medical Examinations'!A:K, 11, FALSE)</f>
        <v>No</v>
      </c>
      <c r="J1956" t="str">
        <f>VLOOKUP($A1956, 'Medical Examinations'!A:B, 2, FALSE)</f>
        <v>Obesity</v>
      </c>
      <c r="K1956" t="str">
        <f>VLOOKUP($A1956, 'Medical Examinations'!A:D, 4, FALSE)</f>
        <v>Normal</v>
      </c>
    </row>
    <row r="1957" spans="1:11" ht="15.5" x14ac:dyDescent="0.35">
      <c r="A1957" s="1" t="s">
        <v>412</v>
      </c>
      <c r="B1957" t="str">
        <f>VLOOKUP($A1957, 'Customer Names'!A:D, 3, FALSE)</f>
        <v>Jimenez</v>
      </c>
      <c r="C1957">
        <f>VLOOKUP($A1957,'Medical Examinations'!A:C, 3, FALSE)</f>
        <v>16.809999999999999</v>
      </c>
      <c r="D1957" t="str">
        <f>VLOOKUP($A1957, 'Medical Examinations'!A:D, 4, FALSE)</f>
        <v>Normal</v>
      </c>
      <c r="E1957" t="str">
        <f>VLOOKUP($A1957, 'Medical Examinations'!A:F, 6, FALSE)</f>
        <v>yes</v>
      </c>
      <c r="F1957" t="str">
        <f>VLOOKUP($A1957, 'Medical Examinations'!A:G, 7, FALSE)</f>
        <v>No</v>
      </c>
      <c r="G1957" t="str">
        <f>VLOOKUP($A1957, 'Medical Examinations'!A:H, 8, FALSE)</f>
        <v>No</v>
      </c>
      <c r="H1957">
        <f>VLOOKUP($A1957, 'Medical Examinations'!A:J, 10, FALSE)</f>
        <v>1</v>
      </c>
      <c r="I1957" t="str">
        <f>VLOOKUP($A1957, 'Medical Examinations'!A:K, 11, FALSE)</f>
        <v>No</v>
      </c>
      <c r="J1957" t="str">
        <f>VLOOKUP($A1957, 'Medical Examinations'!A:B, 2, FALSE)</f>
        <v>Underweight</v>
      </c>
      <c r="K1957" t="str">
        <f>VLOOKUP($A1957, 'Medical Examinations'!A:D, 4, FALSE)</f>
        <v>Normal</v>
      </c>
    </row>
    <row r="1958" spans="1:11" ht="15.5" x14ac:dyDescent="0.35">
      <c r="A1958" s="1" t="s">
        <v>411</v>
      </c>
      <c r="B1958" t="str">
        <f>VLOOKUP($A1958, 'Customer Names'!A:D, 3, FALSE)</f>
        <v>Zimny-Schmitt</v>
      </c>
      <c r="C1958">
        <f>VLOOKUP($A1958,'Medical Examinations'!A:C, 3, FALSE)</f>
        <v>16.690000000000001</v>
      </c>
      <c r="D1958" t="str">
        <f>VLOOKUP($A1958, 'Medical Examinations'!A:D, 4, FALSE)</f>
        <v>Diabetes</v>
      </c>
      <c r="E1958" t="str">
        <f>VLOOKUP($A1958, 'Medical Examinations'!A:F, 6, FALSE)</f>
        <v>yes</v>
      </c>
      <c r="F1958" t="str">
        <f>VLOOKUP($A1958, 'Medical Examinations'!A:G, 7, FALSE)</f>
        <v>No</v>
      </c>
      <c r="G1958" t="str">
        <f>VLOOKUP($A1958, 'Medical Examinations'!A:H, 8, FALSE)</f>
        <v>No</v>
      </c>
      <c r="H1958" t="str">
        <f>VLOOKUP($A1958, 'Medical Examinations'!A:J, 10, FALSE)</f>
        <v>No major surgery</v>
      </c>
      <c r="I1958" t="str">
        <f>VLOOKUP($A1958, 'Medical Examinations'!A:K, 11, FALSE)</f>
        <v>No</v>
      </c>
      <c r="J1958" t="str">
        <f>VLOOKUP($A1958, 'Medical Examinations'!A:B, 2, FALSE)</f>
        <v>Underweight</v>
      </c>
      <c r="K1958" t="str">
        <f>VLOOKUP($A1958, 'Medical Examinations'!A:D, 4, FALSE)</f>
        <v>Diabetes</v>
      </c>
    </row>
    <row r="1959" spans="1:11" ht="15.5" x14ac:dyDescent="0.35">
      <c r="A1959" s="1" t="s">
        <v>410</v>
      </c>
      <c r="B1959" t="str">
        <f>VLOOKUP($A1959, 'Customer Names'!A:D, 3, FALSE)</f>
        <v>Hill</v>
      </c>
      <c r="C1959">
        <f>VLOOKUP($A1959,'Medical Examinations'!A:C, 3, FALSE)</f>
        <v>23.21</v>
      </c>
      <c r="D1959" t="str">
        <f>VLOOKUP($A1959, 'Medical Examinations'!A:D, 4, FALSE)</f>
        <v>Normal</v>
      </c>
      <c r="E1959" t="str">
        <f>VLOOKUP($A1959, 'Medical Examinations'!A:F, 6, FALSE)</f>
        <v>yes</v>
      </c>
      <c r="F1959" t="str">
        <f>VLOOKUP($A1959, 'Medical Examinations'!A:G, 7, FALSE)</f>
        <v>No</v>
      </c>
      <c r="G1959" t="str">
        <f>VLOOKUP($A1959, 'Medical Examinations'!A:H, 8, FALSE)</f>
        <v>No</v>
      </c>
      <c r="H1959">
        <f>VLOOKUP($A1959, 'Medical Examinations'!A:J, 10, FALSE)</f>
        <v>1</v>
      </c>
      <c r="I1959" t="str">
        <f>VLOOKUP($A1959, 'Medical Examinations'!A:K, 11, FALSE)</f>
        <v>No</v>
      </c>
      <c r="J1959" t="str">
        <f>VLOOKUP($A1959, 'Medical Examinations'!A:B, 2, FALSE)</f>
        <v>Normal Weight</v>
      </c>
      <c r="K1959" t="str">
        <f>VLOOKUP($A1959, 'Medical Examinations'!A:D, 4, FALSE)</f>
        <v>Normal</v>
      </c>
    </row>
    <row r="1960" spans="1:11" ht="15.5" x14ac:dyDescent="0.35">
      <c r="A1960" s="1" t="s">
        <v>409</v>
      </c>
      <c r="B1960" t="str">
        <f>VLOOKUP($A1960, 'Customer Names'!A:D, 3, FALSE)</f>
        <v>Brohart</v>
      </c>
      <c r="C1960">
        <f>VLOOKUP($A1960,'Medical Examinations'!A:C, 3, FALSE)</f>
        <v>25.175000000000001</v>
      </c>
      <c r="D1960" t="str">
        <f>VLOOKUP($A1960, 'Medical Examinations'!A:D, 4, FALSE)</f>
        <v>Normal</v>
      </c>
      <c r="E1960" t="str">
        <f>VLOOKUP($A1960, 'Medical Examinations'!A:F, 6, FALSE)</f>
        <v>yes</v>
      </c>
      <c r="F1960" t="str">
        <f>VLOOKUP($A1960, 'Medical Examinations'!A:G, 7, FALSE)</f>
        <v>No</v>
      </c>
      <c r="G1960" t="str">
        <f>VLOOKUP($A1960, 'Medical Examinations'!A:H, 8, FALSE)</f>
        <v>No</v>
      </c>
      <c r="H1960">
        <f>VLOOKUP($A1960, 'Medical Examinations'!A:J, 10, FALSE)</f>
        <v>1</v>
      </c>
      <c r="I1960" t="str">
        <f>VLOOKUP($A1960, 'Medical Examinations'!A:K, 11, FALSE)</f>
        <v>No</v>
      </c>
      <c r="J1960" t="str">
        <f>VLOOKUP($A1960, 'Medical Examinations'!A:B, 2, FALSE)</f>
        <v>Overweight</v>
      </c>
      <c r="K1960" t="str">
        <f>VLOOKUP($A1960, 'Medical Examinations'!A:D, 4, FALSE)</f>
        <v>Normal</v>
      </c>
    </row>
    <row r="1961" spans="1:11" ht="15.5" x14ac:dyDescent="0.35">
      <c r="A1961" s="1" t="s">
        <v>408</v>
      </c>
      <c r="B1961" t="str">
        <f>VLOOKUP($A1961, 'Customer Names'!A:D, 3, FALSE)</f>
        <v>Ryan</v>
      </c>
      <c r="C1961">
        <f>VLOOKUP($A1961,'Medical Examinations'!A:C, 3, FALSE)</f>
        <v>34.770000000000003</v>
      </c>
      <c r="D1961" t="str">
        <f>VLOOKUP($A1961, 'Medical Examinations'!A:D, 4, FALSE)</f>
        <v>Prediabetes</v>
      </c>
      <c r="E1961" t="str">
        <f>VLOOKUP($A1961, 'Medical Examinations'!A:F, 6, FALSE)</f>
        <v>No</v>
      </c>
      <c r="F1961" t="str">
        <f>VLOOKUP($A1961, 'Medical Examinations'!A:G, 7, FALSE)</f>
        <v>No</v>
      </c>
      <c r="G1961" t="str">
        <f>VLOOKUP($A1961, 'Medical Examinations'!A:H, 8, FALSE)</f>
        <v>No</v>
      </c>
      <c r="H1961" t="str">
        <f>VLOOKUP($A1961, 'Medical Examinations'!A:J, 10, FALSE)</f>
        <v>No major surgery</v>
      </c>
      <c r="I1961" t="str">
        <f>VLOOKUP($A1961, 'Medical Examinations'!A:K, 11, FALSE)</f>
        <v>No</v>
      </c>
      <c r="J1961" t="str">
        <f>VLOOKUP($A1961, 'Medical Examinations'!A:B, 2, FALSE)</f>
        <v>Obesity</v>
      </c>
      <c r="K1961" t="str">
        <f>VLOOKUP($A1961, 'Medical Examinations'!A:D, 4, FALSE)</f>
        <v>Prediabetes</v>
      </c>
    </row>
    <row r="1962" spans="1:11" ht="15.5" x14ac:dyDescent="0.35">
      <c r="A1962" s="1" t="s">
        <v>407</v>
      </c>
      <c r="B1962" t="str">
        <f>VLOOKUP($A1962, 'Customer Names'!A:D, 3, FALSE)</f>
        <v>Oka</v>
      </c>
      <c r="C1962">
        <f>VLOOKUP($A1962,'Medical Examinations'!A:C, 3, FALSE)</f>
        <v>27.7</v>
      </c>
      <c r="D1962" t="str">
        <f>VLOOKUP($A1962, 'Medical Examinations'!A:D, 4, FALSE)</f>
        <v>Normal</v>
      </c>
      <c r="E1962" t="str">
        <f>VLOOKUP($A1962, 'Medical Examinations'!A:F, 6, FALSE)</f>
        <v>No</v>
      </c>
      <c r="F1962" t="str">
        <f>VLOOKUP($A1962, 'Medical Examinations'!A:G, 7, FALSE)</f>
        <v>No</v>
      </c>
      <c r="G1962" t="str">
        <f>VLOOKUP($A1962, 'Medical Examinations'!A:H, 8, FALSE)</f>
        <v>No</v>
      </c>
      <c r="H1962">
        <f>VLOOKUP($A1962, 'Medical Examinations'!A:J, 10, FALSE)</f>
        <v>1</v>
      </c>
      <c r="I1962" t="str">
        <f>VLOOKUP($A1962, 'Medical Examinations'!A:K, 11, FALSE)</f>
        <v>No</v>
      </c>
      <c r="J1962" t="str">
        <f>VLOOKUP($A1962, 'Medical Examinations'!A:B, 2, FALSE)</f>
        <v>Overweight</v>
      </c>
      <c r="K1962" t="str">
        <f>VLOOKUP($A1962, 'Medical Examinations'!A:D, 4, FALSE)</f>
        <v>Normal</v>
      </c>
    </row>
    <row r="1963" spans="1:11" ht="15.5" x14ac:dyDescent="0.35">
      <c r="A1963" s="1" t="s">
        <v>406</v>
      </c>
      <c r="B1963" t="str">
        <f>VLOOKUP($A1963, 'Customer Names'!A:D, 3, FALSE)</f>
        <v>Newman</v>
      </c>
      <c r="C1963">
        <f>VLOOKUP($A1963,'Medical Examinations'!A:C, 3, FALSE)</f>
        <v>19.12</v>
      </c>
      <c r="D1963" t="str">
        <f>VLOOKUP($A1963, 'Medical Examinations'!A:D, 4, FALSE)</f>
        <v>Normal</v>
      </c>
      <c r="E1963" t="str">
        <f>VLOOKUP($A1963, 'Medical Examinations'!A:F, 6, FALSE)</f>
        <v>yes</v>
      </c>
      <c r="F1963" t="str">
        <f>VLOOKUP($A1963, 'Medical Examinations'!A:G, 7, FALSE)</f>
        <v>No</v>
      </c>
      <c r="G1963" t="str">
        <f>VLOOKUP($A1963, 'Medical Examinations'!A:H, 8, FALSE)</f>
        <v>No</v>
      </c>
      <c r="H1963">
        <f>VLOOKUP($A1963, 'Medical Examinations'!A:J, 10, FALSE)</f>
        <v>1</v>
      </c>
      <c r="I1963" t="str">
        <f>VLOOKUP($A1963, 'Medical Examinations'!A:K, 11, FALSE)</f>
        <v>No</v>
      </c>
      <c r="J1963" t="str">
        <f>VLOOKUP($A1963, 'Medical Examinations'!A:B, 2, FALSE)</f>
        <v>Normal Weight</v>
      </c>
      <c r="K1963" t="str">
        <f>VLOOKUP($A1963, 'Medical Examinations'!A:D, 4, FALSE)</f>
        <v>Normal</v>
      </c>
    </row>
    <row r="1964" spans="1:11" ht="15.5" x14ac:dyDescent="0.35">
      <c r="A1964" s="1" t="s">
        <v>405</v>
      </c>
      <c r="B1964" t="str">
        <f>VLOOKUP($A1964, 'Customer Names'!A:D, 3, FALSE)</f>
        <v>Metzger</v>
      </c>
      <c r="C1964">
        <f>VLOOKUP($A1964,'Medical Examinations'!A:C, 3, FALSE)</f>
        <v>32.67</v>
      </c>
      <c r="D1964" t="str">
        <f>VLOOKUP($A1964, 'Medical Examinations'!A:D, 4, FALSE)</f>
        <v>Normal</v>
      </c>
      <c r="E1964" t="str">
        <f>VLOOKUP($A1964, 'Medical Examinations'!A:F, 6, FALSE)</f>
        <v>No</v>
      </c>
      <c r="F1964" t="str">
        <f>VLOOKUP($A1964, 'Medical Examinations'!A:G, 7, FALSE)</f>
        <v>No</v>
      </c>
      <c r="G1964" t="str">
        <f>VLOOKUP($A1964, 'Medical Examinations'!A:H, 8, FALSE)</f>
        <v>Yes</v>
      </c>
      <c r="H1964">
        <f>VLOOKUP($A1964, 'Medical Examinations'!A:J, 10, FALSE)</f>
        <v>1</v>
      </c>
      <c r="I1964" t="str">
        <f>VLOOKUP($A1964, 'Medical Examinations'!A:K, 11, FALSE)</f>
        <v>No</v>
      </c>
      <c r="J1964" t="str">
        <f>VLOOKUP($A1964, 'Medical Examinations'!A:B, 2, FALSE)</f>
        <v>Obesity</v>
      </c>
      <c r="K1964" t="str">
        <f>VLOOKUP($A1964, 'Medical Examinations'!A:D, 4, FALSE)</f>
        <v>Normal</v>
      </c>
    </row>
    <row r="1965" spans="1:11" ht="15.5" x14ac:dyDescent="0.35">
      <c r="A1965" s="1" t="s">
        <v>404</v>
      </c>
      <c r="B1965" t="str">
        <f>VLOOKUP($A1965, 'Customer Names'!A:D, 3, FALSE)</f>
        <v>Gonzalez</v>
      </c>
      <c r="C1965">
        <f>VLOOKUP($A1965,'Medical Examinations'!A:C, 3, FALSE)</f>
        <v>28.5</v>
      </c>
      <c r="D1965" t="str">
        <f>VLOOKUP($A1965, 'Medical Examinations'!A:D, 4, FALSE)</f>
        <v>Prediabetes</v>
      </c>
      <c r="E1965" t="str">
        <f>VLOOKUP($A1965, 'Medical Examinations'!A:F, 6, FALSE)</f>
        <v>No</v>
      </c>
      <c r="F1965" t="str">
        <f>VLOOKUP($A1965, 'Medical Examinations'!A:G, 7, FALSE)</f>
        <v>No</v>
      </c>
      <c r="G1965" t="str">
        <f>VLOOKUP($A1965, 'Medical Examinations'!A:H, 8, FALSE)</f>
        <v>No</v>
      </c>
      <c r="H1965">
        <f>VLOOKUP($A1965, 'Medical Examinations'!A:J, 10, FALSE)</f>
        <v>1</v>
      </c>
      <c r="I1965" t="str">
        <f>VLOOKUP($A1965, 'Medical Examinations'!A:K, 11, FALSE)</f>
        <v>No</v>
      </c>
      <c r="J1965" t="str">
        <f>VLOOKUP($A1965, 'Medical Examinations'!A:B, 2, FALSE)</f>
        <v>Overweight</v>
      </c>
      <c r="K1965" t="str">
        <f>VLOOKUP($A1965, 'Medical Examinations'!A:D, 4, FALSE)</f>
        <v>Prediabetes</v>
      </c>
    </row>
    <row r="1966" spans="1:11" ht="15.5" x14ac:dyDescent="0.35">
      <c r="A1966" s="1" t="s">
        <v>403</v>
      </c>
      <c r="B1966" t="str">
        <f>VLOOKUP($A1966, 'Customer Names'!A:D, 3, FALSE)</f>
        <v>Vaughn</v>
      </c>
      <c r="C1966">
        <f>VLOOKUP($A1966,'Medical Examinations'!A:C, 3, FALSE)</f>
        <v>39.270000000000003</v>
      </c>
      <c r="D1966" t="str">
        <f>VLOOKUP($A1966, 'Medical Examinations'!A:D, 4, FALSE)</f>
        <v>Prediabetes</v>
      </c>
      <c r="E1966" t="str">
        <f>VLOOKUP($A1966, 'Medical Examinations'!A:F, 6, FALSE)</f>
        <v>No</v>
      </c>
      <c r="F1966" t="str">
        <f>VLOOKUP($A1966, 'Medical Examinations'!A:G, 7, FALSE)</f>
        <v>No</v>
      </c>
      <c r="G1966" t="str">
        <f>VLOOKUP($A1966, 'Medical Examinations'!A:H, 8, FALSE)</f>
        <v>No</v>
      </c>
      <c r="H1966" t="str">
        <f>VLOOKUP($A1966, 'Medical Examinations'!A:J, 10, FALSE)</f>
        <v>No major surgery</v>
      </c>
      <c r="I1966" t="str">
        <f>VLOOKUP($A1966, 'Medical Examinations'!A:K, 11, FALSE)</f>
        <v>No</v>
      </c>
      <c r="J1966" t="str">
        <f>VLOOKUP($A1966, 'Medical Examinations'!A:B, 2, FALSE)</f>
        <v>Obesity</v>
      </c>
      <c r="K1966" t="str">
        <f>VLOOKUP($A1966, 'Medical Examinations'!A:D, 4, FALSE)</f>
        <v>Prediabetes</v>
      </c>
    </row>
    <row r="1967" spans="1:11" ht="15.5" x14ac:dyDescent="0.35">
      <c r="A1967" s="1" t="s">
        <v>402</v>
      </c>
      <c r="B1967" t="str">
        <f>VLOOKUP($A1967, 'Customer Names'!A:D, 3, FALSE)</f>
        <v>Clifford</v>
      </c>
      <c r="C1967">
        <f>VLOOKUP($A1967,'Medical Examinations'!A:C, 3, FALSE)</f>
        <v>32.49</v>
      </c>
      <c r="D1967" t="str">
        <f>VLOOKUP($A1967, 'Medical Examinations'!A:D, 4, FALSE)</f>
        <v>Normal</v>
      </c>
      <c r="E1967" t="str">
        <f>VLOOKUP($A1967, 'Medical Examinations'!A:F, 6, FALSE)</f>
        <v>yes</v>
      </c>
      <c r="F1967" t="str">
        <f>VLOOKUP($A1967, 'Medical Examinations'!A:G, 7, FALSE)</f>
        <v>No</v>
      </c>
      <c r="G1967" t="str">
        <f>VLOOKUP($A1967, 'Medical Examinations'!A:H, 8, FALSE)</f>
        <v>No</v>
      </c>
      <c r="H1967" t="str">
        <f>VLOOKUP($A1967, 'Medical Examinations'!A:J, 10, FALSE)</f>
        <v>No major surgery</v>
      </c>
      <c r="I1967" t="str">
        <f>VLOOKUP($A1967, 'Medical Examinations'!A:K, 11, FALSE)</f>
        <v>No</v>
      </c>
      <c r="J1967" t="str">
        <f>VLOOKUP($A1967, 'Medical Examinations'!A:B, 2, FALSE)</f>
        <v>Obesity</v>
      </c>
      <c r="K1967" t="str">
        <f>VLOOKUP($A1967, 'Medical Examinations'!A:D, 4, FALSE)</f>
        <v>Normal</v>
      </c>
    </row>
    <row r="1968" spans="1:11" ht="15.5" x14ac:dyDescent="0.35">
      <c r="A1968" s="1" t="s">
        <v>401</v>
      </c>
      <c r="B1968" t="str">
        <f>VLOOKUP($A1968, 'Customer Names'!A:D, 3, FALSE)</f>
        <v>Petty</v>
      </c>
      <c r="C1968">
        <f>VLOOKUP($A1968,'Medical Examinations'!A:C, 3, FALSE)</f>
        <v>23.7</v>
      </c>
      <c r="D1968" t="str">
        <f>VLOOKUP($A1968, 'Medical Examinations'!A:D, 4, FALSE)</f>
        <v>Normal</v>
      </c>
      <c r="E1968" t="str">
        <f>VLOOKUP($A1968, 'Medical Examinations'!A:F, 6, FALSE)</f>
        <v>yes</v>
      </c>
      <c r="F1968" t="str">
        <f>VLOOKUP($A1968, 'Medical Examinations'!A:G, 7, FALSE)</f>
        <v>No</v>
      </c>
      <c r="G1968" t="str">
        <f>VLOOKUP($A1968, 'Medical Examinations'!A:H, 8, FALSE)</f>
        <v>No</v>
      </c>
      <c r="H1968" t="str">
        <f>VLOOKUP($A1968, 'Medical Examinations'!A:J, 10, FALSE)</f>
        <v>No major surgery</v>
      </c>
      <c r="I1968" t="str">
        <f>VLOOKUP($A1968, 'Medical Examinations'!A:K, 11, FALSE)</f>
        <v>No</v>
      </c>
      <c r="J1968" t="str">
        <f>VLOOKUP($A1968, 'Medical Examinations'!A:B, 2, FALSE)</f>
        <v>Normal Weight</v>
      </c>
      <c r="K1968" t="str">
        <f>VLOOKUP($A1968, 'Medical Examinations'!A:D, 4, FALSE)</f>
        <v>Normal</v>
      </c>
    </row>
    <row r="1969" spans="1:11" ht="15.5" x14ac:dyDescent="0.35">
      <c r="A1969" s="1" t="s">
        <v>400</v>
      </c>
      <c r="B1969" t="str">
        <f>VLOOKUP($A1969, 'Customer Names'!A:D, 3, FALSE)</f>
        <v>Sanford</v>
      </c>
      <c r="C1969">
        <f>VLOOKUP($A1969,'Medical Examinations'!A:C, 3, FALSE)</f>
        <v>30.4</v>
      </c>
      <c r="D1969" t="str">
        <f>VLOOKUP($A1969, 'Medical Examinations'!A:D, 4, FALSE)</f>
        <v>Prediabetes</v>
      </c>
      <c r="E1969" t="str">
        <f>VLOOKUP($A1969, 'Medical Examinations'!A:F, 6, FALSE)</f>
        <v>No</v>
      </c>
      <c r="F1969" t="str">
        <f>VLOOKUP($A1969, 'Medical Examinations'!A:G, 7, FALSE)</f>
        <v>yes</v>
      </c>
      <c r="G1969" t="str">
        <f>VLOOKUP($A1969, 'Medical Examinations'!A:H, 8, FALSE)</f>
        <v>No</v>
      </c>
      <c r="H1969">
        <f>VLOOKUP($A1969, 'Medical Examinations'!A:J, 10, FALSE)</f>
        <v>1</v>
      </c>
      <c r="I1969" t="str">
        <f>VLOOKUP($A1969, 'Medical Examinations'!A:K, 11, FALSE)</f>
        <v>No</v>
      </c>
      <c r="J1969" t="str">
        <f>VLOOKUP($A1969, 'Medical Examinations'!A:B, 2, FALSE)</f>
        <v>Obesity</v>
      </c>
      <c r="K1969" t="str">
        <f>VLOOKUP($A1969, 'Medical Examinations'!A:D, 4, FALSE)</f>
        <v>Prediabetes</v>
      </c>
    </row>
    <row r="1970" spans="1:11" ht="15.5" x14ac:dyDescent="0.35">
      <c r="A1970" s="1" t="s">
        <v>399</v>
      </c>
      <c r="B1970" t="str">
        <f>VLOOKUP($A1970, 'Customer Names'!A:D, 3, FALSE)</f>
        <v>Sprague</v>
      </c>
      <c r="C1970">
        <f>VLOOKUP($A1970,'Medical Examinations'!A:C, 3, FALSE)</f>
        <v>38.94</v>
      </c>
      <c r="D1970" t="str">
        <f>VLOOKUP($A1970, 'Medical Examinations'!A:D, 4, FALSE)</f>
        <v>Normal</v>
      </c>
      <c r="E1970" t="str">
        <f>VLOOKUP($A1970, 'Medical Examinations'!A:F, 6, FALSE)</f>
        <v>No</v>
      </c>
      <c r="F1970" t="str">
        <f>VLOOKUP($A1970, 'Medical Examinations'!A:G, 7, FALSE)</f>
        <v>No</v>
      </c>
      <c r="G1970" t="str">
        <f>VLOOKUP($A1970, 'Medical Examinations'!A:H, 8, FALSE)</f>
        <v>Yes</v>
      </c>
      <c r="H1970">
        <f>VLOOKUP($A1970, 'Medical Examinations'!A:J, 10, FALSE)</f>
        <v>1</v>
      </c>
      <c r="I1970" t="str">
        <f>VLOOKUP($A1970, 'Medical Examinations'!A:K, 11, FALSE)</f>
        <v>No</v>
      </c>
      <c r="J1970" t="str">
        <f>VLOOKUP($A1970, 'Medical Examinations'!A:B, 2, FALSE)</f>
        <v>Obesity</v>
      </c>
      <c r="K1970" t="str">
        <f>VLOOKUP($A1970, 'Medical Examinations'!A:D, 4, FALSE)</f>
        <v>Normal</v>
      </c>
    </row>
    <row r="1971" spans="1:11" ht="15.5" x14ac:dyDescent="0.35">
      <c r="A1971" s="1" t="s">
        <v>398</v>
      </c>
      <c r="B1971" t="str">
        <f>VLOOKUP($A1971, 'Customer Names'!A:D, 3, FALSE)</f>
        <v>Lasseron</v>
      </c>
      <c r="C1971">
        <f>VLOOKUP($A1971,'Medical Examinations'!A:C, 3, FALSE)</f>
        <v>31.02</v>
      </c>
      <c r="D1971" t="str">
        <f>VLOOKUP($A1971, 'Medical Examinations'!A:D, 4, FALSE)</f>
        <v>Normal</v>
      </c>
      <c r="E1971" t="str">
        <f>VLOOKUP($A1971, 'Medical Examinations'!A:F, 6, FALSE)</f>
        <v>No</v>
      </c>
      <c r="F1971" t="str">
        <f>VLOOKUP($A1971, 'Medical Examinations'!A:G, 7, FALSE)</f>
        <v>No</v>
      </c>
      <c r="G1971" t="str">
        <f>VLOOKUP($A1971, 'Medical Examinations'!A:H, 8, FALSE)</f>
        <v>Yes</v>
      </c>
      <c r="H1971">
        <f>VLOOKUP($A1971, 'Medical Examinations'!A:J, 10, FALSE)</f>
        <v>1</v>
      </c>
      <c r="I1971" t="str">
        <f>VLOOKUP($A1971, 'Medical Examinations'!A:K, 11, FALSE)</f>
        <v>No</v>
      </c>
      <c r="J1971" t="str">
        <f>VLOOKUP($A1971, 'Medical Examinations'!A:B, 2, FALSE)</f>
        <v>Obesity</v>
      </c>
      <c r="K1971" t="str">
        <f>VLOOKUP($A1971, 'Medical Examinations'!A:D, 4, FALSE)</f>
        <v>Normal</v>
      </c>
    </row>
    <row r="1972" spans="1:11" ht="15.5" x14ac:dyDescent="0.35">
      <c r="A1972" s="1" t="s">
        <v>397</v>
      </c>
      <c r="B1972" t="str">
        <f>VLOOKUP($A1972, 'Customer Names'!A:D, 3, FALSE)</f>
        <v>Bushong</v>
      </c>
      <c r="C1972">
        <f>VLOOKUP($A1972,'Medical Examinations'!A:C, 3, FALSE)</f>
        <v>17.5</v>
      </c>
      <c r="D1972" t="str">
        <f>VLOOKUP($A1972, 'Medical Examinations'!A:D, 4, FALSE)</f>
        <v>Normal</v>
      </c>
      <c r="E1972" t="str">
        <f>VLOOKUP($A1972, 'Medical Examinations'!A:F, 6, FALSE)</f>
        <v>No</v>
      </c>
      <c r="F1972" t="str">
        <f>VLOOKUP($A1972, 'Medical Examinations'!A:G, 7, FALSE)</f>
        <v>No</v>
      </c>
      <c r="G1972" t="str">
        <f>VLOOKUP($A1972, 'Medical Examinations'!A:H, 8, FALSE)</f>
        <v>No</v>
      </c>
      <c r="H1972">
        <f>VLOOKUP($A1972, 'Medical Examinations'!A:J, 10, FALSE)</f>
        <v>1</v>
      </c>
      <c r="I1972" t="str">
        <f>VLOOKUP($A1972, 'Medical Examinations'!A:K, 11, FALSE)</f>
        <v>No</v>
      </c>
      <c r="J1972" t="str">
        <f>VLOOKUP($A1972, 'Medical Examinations'!A:B, 2, FALSE)</f>
        <v>Underweight</v>
      </c>
      <c r="K1972" t="str">
        <f>VLOOKUP($A1972, 'Medical Examinations'!A:D, 4, FALSE)</f>
        <v>Normal</v>
      </c>
    </row>
    <row r="1973" spans="1:11" ht="15.5" x14ac:dyDescent="0.35">
      <c r="A1973" s="1" t="s">
        <v>396</v>
      </c>
      <c r="B1973" t="str">
        <f>VLOOKUP($A1973, 'Customer Names'!A:D, 3, FALSE)</f>
        <v>Dennison</v>
      </c>
      <c r="C1973">
        <f>VLOOKUP($A1973,'Medical Examinations'!A:C, 3, FALSE)</f>
        <v>34.799999999999997</v>
      </c>
      <c r="D1973" t="str">
        <f>VLOOKUP($A1973, 'Medical Examinations'!A:D, 4, FALSE)</f>
        <v>Normal</v>
      </c>
      <c r="E1973" t="str">
        <f>VLOOKUP($A1973, 'Medical Examinations'!A:F, 6, FALSE)</f>
        <v>yes</v>
      </c>
      <c r="F1973" t="str">
        <f>VLOOKUP($A1973, 'Medical Examinations'!A:G, 7, FALSE)</f>
        <v>yes</v>
      </c>
      <c r="G1973" t="str">
        <f>VLOOKUP($A1973, 'Medical Examinations'!A:H, 8, FALSE)</f>
        <v>No</v>
      </c>
      <c r="H1973">
        <f>VLOOKUP($A1973, 'Medical Examinations'!A:J, 10, FALSE)</f>
        <v>2</v>
      </c>
      <c r="I1973" t="str">
        <f>VLOOKUP($A1973, 'Medical Examinations'!A:K, 11, FALSE)</f>
        <v>No</v>
      </c>
      <c r="J1973" t="str">
        <f>VLOOKUP($A1973, 'Medical Examinations'!A:B, 2, FALSE)</f>
        <v>Obesity</v>
      </c>
      <c r="K1973" t="str">
        <f>VLOOKUP($A1973, 'Medical Examinations'!A:D, 4, FALSE)</f>
        <v>Normal</v>
      </c>
    </row>
    <row r="1974" spans="1:11" ht="15.5" x14ac:dyDescent="0.35">
      <c r="A1974" s="1" t="s">
        <v>395</v>
      </c>
      <c r="B1974" t="str">
        <f>VLOOKUP($A1974, 'Customer Names'!A:D, 3, FALSE)</f>
        <v>Lira</v>
      </c>
      <c r="C1974">
        <f>VLOOKUP($A1974,'Medical Examinations'!A:C, 3, FALSE)</f>
        <v>17.3</v>
      </c>
      <c r="D1974" t="str">
        <f>VLOOKUP($A1974, 'Medical Examinations'!A:D, 4, FALSE)</f>
        <v>Diabetes</v>
      </c>
      <c r="E1974" t="str">
        <f>VLOOKUP($A1974, 'Medical Examinations'!A:F, 6, FALSE)</f>
        <v>yes</v>
      </c>
      <c r="F1974" t="str">
        <f>VLOOKUP($A1974, 'Medical Examinations'!A:G, 7, FALSE)</f>
        <v>No</v>
      </c>
      <c r="G1974" t="str">
        <f>VLOOKUP($A1974, 'Medical Examinations'!A:H, 8, FALSE)</f>
        <v>No</v>
      </c>
      <c r="H1974">
        <f>VLOOKUP($A1974, 'Medical Examinations'!A:J, 10, FALSE)</f>
        <v>1</v>
      </c>
      <c r="I1974" t="str">
        <f>VLOOKUP($A1974, 'Medical Examinations'!A:K, 11, FALSE)</f>
        <v>No</v>
      </c>
      <c r="J1974" t="str">
        <f>VLOOKUP($A1974, 'Medical Examinations'!A:B, 2, FALSE)</f>
        <v>Underweight</v>
      </c>
      <c r="K1974" t="str">
        <f>VLOOKUP($A1974, 'Medical Examinations'!A:D, 4, FALSE)</f>
        <v>Diabetes</v>
      </c>
    </row>
    <row r="1975" spans="1:11" ht="15.5" x14ac:dyDescent="0.35">
      <c r="A1975" s="1" t="s">
        <v>394</v>
      </c>
      <c r="B1975" t="str">
        <f>VLOOKUP($A1975, 'Customer Names'!A:D, 3, FALSE)</f>
        <v>Nahigian</v>
      </c>
      <c r="C1975">
        <f>VLOOKUP($A1975,'Medical Examinations'!A:C, 3, FALSE)</f>
        <v>32.25</v>
      </c>
      <c r="D1975" t="str">
        <f>VLOOKUP($A1975, 'Medical Examinations'!A:D, 4, FALSE)</f>
        <v>Normal</v>
      </c>
      <c r="E1975" t="str">
        <f>VLOOKUP($A1975, 'Medical Examinations'!A:F, 6, FALSE)</f>
        <v>yes</v>
      </c>
      <c r="F1975" t="str">
        <f>VLOOKUP($A1975, 'Medical Examinations'!A:G, 7, FALSE)</f>
        <v>No</v>
      </c>
      <c r="G1975" t="str">
        <f>VLOOKUP($A1975, 'Medical Examinations'!A:H, 8, FALSE)</f>
        <v>No</v>
      </c>
      <c r="H1975" t="str">
        <f>VLOOKUP($A1975, 'Medical Examinations'!A:J, 10, FALSE)</f>
        <v>No major surgery</v>
      </c>
      <c r="I1975" t="str">
        <f>VLOOKUP($A1975, 'Medical Examinations'!A:K, 11, FALSE)</f>
        <v>No</v>
      </c>
      <c r="J1975" t="str">
        <f>VLOOKUP($A1975, 'Medical Examinations'!A:B, 2, FALSE)</f>
        <v>Obesity</v>
      </c>
      <c r="K1975" t="str">
        <f>VLOOKUP($A1975, 'Medical Examinations'!A:D, 4, FALSE)</f>
        <v>Normal</v>
      </c>
    </row>
    <row r="1976" spans="1:11" ht="15.5" x14ac:dyDescent="0.35">
      <c r="A1976" s="1" t="s">
        <v>393</v>
      </c>
      <c r="B1976" t="str">
        <f>VLOOKUP($A1976, 'Customer Names'!A:D, 3, FALSE)</f>
        <v>Cackett</v>
      </c>
      <c r="C1976">
        <f>VLOOKUP($A1976,'Medical Examinations'!A:C, 3, FALSE)</f>
        <v>42.4</v>
      </c>
      <c r="D1976" t="str">
        <f>VLOOKUP($A1976, 'Medical Examinations'!A:D, 4, FALSE)</f>
        <v>Normal</v>
      </c>
      <c r="E1976" t="str">
        <f>VLOOKUP($A1976, 'Medical Examinations'!A:F, 6, FALSE)</f>
        <v>yes</v>
      </c>
      <c r="F1976" t="str">
        <f>VLOOKUP($A1976, 'Medical Examinations'!A:G, 7, FALSE)</f>
        <v>No</v>
      </c>
      <c r="G1976" t="str">
        <f>VLOOKUP($A1976, 'Medical Examinations'!A:H, 8, FALSE)</f>
        <v>No</v>
      </c>
      <c r="H1976" t="str">
        <f>VLOOKUP($A1976, 'Medical Examinations'!A:J, 10, FALSE)</f>
        <v>No major surgery</v>
      </c>
      <c r="I1976" t="str">
        <f>VLOOKUP($A1976, 'Medical Examinations'!A:K, 11, FALSE)</f>
        <v>No</v>
      </c>
      <c r="J1976" t="str">
        <f>VLOOKUP($A1976, 'Medical Examinations'!A:B, 2, FALSE)</f>
        <v>Obesity</v>
      </c>
      <c r="K1976" t="str">
        <f>VLOOKUP($A1976, 'Medical Examinations'!A:D, 4, FALSE)</f>
        <v>Normal</v>
      </c>
    </row>
    <row r="1977" spans="1:11" ht="15.5" x14ac:dyDescent="0.35">
      <c r="A1977" s="1" t="s">
        <v>392</v>
      </c>
      <c r="B1977" t="str">
        <f>VLOOKUP($A1977, 'Customer Names'!A:D, 3, FALSE)</f>
        <v>Hunter-Galvan</v>
      </c>
      <c r="C1977">
        <f>VLOOKUP($A1977,'Medical Examinations'!A:C, 3, FALSE)</f>
        <v>38.664999999999999</v>
      </c>
      <c r="D1977" t="str">
        <f>VLOOKUP($A1977, 'Medical Examinations'!A:D, 4, FALSE)</f>
        <v>Normal</v>
      </c>
      <c r="E1977" t="str">
        <f>VLOOKUP($A1977, 'Medical Examinations'!A:F, 6, FALSE)</f>
        <v>No</v>
      </c>
      <c r="F1977" t="str">
        <f>VLOOKUP($A1977, 'Medical Examinations'!A:G, 7, FALSE)</f>
        <v>yes</v>
      </c>
      <c r="G1977" t="str">
        <f>VLOOKUP($A1977, 'Medical Examinations'!A:H, 8, FALSE)</f>
        <v>No</v>
      </c>
      <c r="H1977">
        <f>VLOOKUP($A1977, 'Medical Examinations'!A:J, 10, FALSE)</f>
        <v>1</v>
      </c>
      <c r="I1977" t="str">
        <f>VLOOKUP($A1977, 'Medical Examinations'!A:K, 11, FALSE)</f>
        <v>No</v>
      </c>
      <c r="J1977" t="str">
        <f>VLOOKUP($A1977, 'Medical Examinations'!A:B, 2, FALSE)</f>
        <v>Obesity</v>
      </c>
      <c r="K1977" t="str">
        <f>VLOOKUP($A1977, 'Medical Examinations'!A:D, 4, FALSE)</f>
        <v>Normal</v>
      </c>
    </row>
    <row r="1978" spans="1:11" ht="15.5" x14ac:dyDescent="0.35">
      <c r="A1978" s="1" t="s">
        <v>391</v>
      </c>
      <c r="B1978" t="str">
        <f>VLOOKUP($A1978, 'Customer Names'!A:D, 3, FALSE)</f>
        <v>Pierret</v>
      </c>
      <c r="C1978">
        <f>VLOOKUP($A1978,'Medical Examinations'!A:C, 3, FALSE)</f>
        <v>29.92</v>
      </c>
      <c r="D1978" t="str">
        <f>VLOOKUP($A1978, 'Medical Examinations'!A:D, 4, FALSE)</f>
        <v>Normal</v>
      </c>
      <c r="E1978" t="str">
        <f>VLOOKUP($A1978, 'Medical Examinations'!A:F, 6, FALSE)</f>
        <v>yes</v>
      </c>
      <c r="F1978" t="str">
        <f>VLOOKUP($A1978, 'Medical Examinations'!A:G, 7, FALSE)</f>
        <v>No</v>
      </c>
      <c r="G1978" t="str">
        <f>VLOOKUP($A1978, 'Medical Examinations'!A:H, 8, FALSE)</f>
        <v>No</v>
      </c>
      <c r="H1978" t="str">
        <f>VLOOKUP($A1978, 'Medical Examinations'!A:J, 10, FALSE)</f>
        <v>No major surgery</v>
      </c>
      <c r="I1978" t="str">
        <f>VLOOKUP($A1978, 'Medical Examinations'!A:K, 11, FALSE)</f>
        <v>No</v>
      </c>
      <c r="J1978" t="e">
        <f>VLOOKUP($A1978, 'Medical Examinations'!A:B, 2, FALSE)</f>
        <v>#N/A</v>
      </c>
      <c r="K1978" t="str">
        <f>VLOOKUP($A1978, 'Medical Examinations'!A:D, 4, FALSE)</f>
        <v>Normal</v>
      </c>
    </row>
    <row r="1979" spans="1:11" ht="15.5" x14ac:dyDescent="0.35">
      <c r="A1979" s="1" t="s">
        <v>390</v>
      </c>
      <c r="B1979" t="str">
        <f>VLOOKUP($A1979, 'Customer Names'!A:D, 3, FALSE)</f>
        <v>White</v>
      </c>
      <c r="C1979">
        <f>VLOOKUP($A1979,'Medical Examinations'!A:C, 3, FALSE)</f>
        <v>29.48</v>
      </c>
      <c r="D1979" t="str">
        <f>VLOOKUP($A1979, 'Medical Examinations'!A:D, 4, FALSE)</f>
        <v>Normal</v>
      </c>
      <c r="E1979" t="str">
        <f>VLOOKUP($A1979, 'Medical Examinations'!A:F, 6, FALSE)</f>
        <v>yes</v>
      </c>
      <c r="F1979" t="str">
        <f>VLOOKUP($A1979, 'Medical Examinations'!A:G, 7, FALSE)</f>
        <v>No</v>
      </c>
      <c r="G1979" t="str">
        <f>VLOOKUP($A1979, 'Medical Examinations'!A:H, 8, FALSE)</f>
        <v>No</v>
      </c>
      <c r="H1979" t="str">
        <f>VLOOKUP($A1979, 'Medical Examinations'!A:J, 10, FALSE)</f>
        <v>No major surgery</v>
      </c>
      <c r="I1979" t="str">
        <f>VLOOKUP($A1979, 'Medical Examinations'!A:K, 11, FALSE)</f>
        <v>No</v>
      </c>
      <c r="J1979" t="str">
        <f>VLOOKUP($A1979, 'Medical Examinations'!A:B, 2, FALSE)</f>
        <v>Overweight</v>
      </c>
      <c r="K1979" t="str">
        <f>VLOOKUP($A1979, 'Medical Examinations'!A:D, 4, FALSE)</f>
        <v>Normal</v>
      </c>
    </row>
    <row r="1980" spans="1:11" ht="15.5" x14ac:dyDescent="0.35">
      <c r="A1980" s="1" t="s">
        <v>389</v>
      </c>
      <c r="B1980" t="str">
        <f>VLOOKUP($A1980, 'Customer Names'!A:D, 3, FALSE)</f>
        <v>O'Neil</v>
      </c>
      <c r="C1980">
        <f>VLOOKUP($A1980,'Medical Examinations'!A:C, 3, FALSE)</f>
        <v>28.785</v>
      </c>
      <c r="D1980" t="str">
        <f>VLOOKUP($A1980, 'Medical Examinations'!A:D, 4, FALSE)</f>
        <v>Normal</v>
      </c>
      <c r="E1980" t="str">
        <f>VLOOKUP($A1980, 'Medical Examinations'!A:F, 6, FALSE)</f>
        <v>yes</v>
      </c>
      <c r="F1980" t="str">
        <f>VLOOKUP($A1980, 'Medical Examinations'!A:G, 7, FALSE)</f>
        <v>No</v>
      </c>
      <c r="G1980" t="str">
        <f>VLOOKUP($A1980, 'Medical Examinations'!A:H, 8, FALSE)</f>
        <v>No</v>
      </c>
      <c r="H1980" t="str">
        <f>VLOOKUP($A1980, 'Medical Examinations'!A:J, 10, FALSE)</f>
        <v>No major surgery</v>
      </c>
      <c r="I1980" t="str">
        <f>VLOOKUP($A1980, 'Medical Examinations'!A:K, 11, FALSE)</f>
        <v>No</v>
      </c>
      <c r="J1980" t="str">
        <f>VLOOKUP($A1980, 'Medical Examinations'!A:B, 2, FALSE)</f>
        <v>Overweight</v>
      </c>
      <c r="K1980" t="str">
        <f>VLOOKUP($A1980, 'Medical Examinations'!A:D, 4, FALSE)</f>
        <v>Normal</v>
      </c>
    </row>
    <row r="1981" spans="1:11" ht="15.5" x14ac:dyDescent="0.35">
      <c r="A1981" s="1" t="s">
        <v>388</v>
      </c>
      <c r="B1981" t="str">
        <f>VLOOKUP($A1981, 'Customer Names'!A:D, 3, FALSE)</f>
        <v>Leitz</v>
      </c>
      <c r="C1981">
        <f>VLOOKUP($A1981,'Medical Examinations'!A:C, 3, FALSE)</f>
        <v>19.8</v>
      </c>
      <c r="D1981" t="str">
        <f>VLOOKUP($A1981, 'Medical Examinations'!A:D, 4, FALSE)</f>
        <v>Normal</v>
      </c>
      <c r="E1981" t="str">
        <f>VLOOKUP($A1981, 'Medical Examinations'!A:F, 6, FALSE)</f>
        <v>yes</v>
      </c>
      <c r="F1981" t="str">
        <f>VLOOKUP($A1981, 'Medical Examinations'!A:G, 7, FALSE)</f>
        <v>No</v>
      </c>
      <c r="G1981" t="str">
        <f>VLOOKUP($A1981, 'Medical Examinations'!A:H, 8, FALSE)</f>
        <v>No</v>
      </c>
      <c r="H1981" t="str">
        <f>VLOOKUP($A1981, 'Medical Examinations'!A:J, 10, FALSE)</f>
        <v>No major surgery</v>
      </c>
      <c r="I1981" t="str">
        <f>VLOOKUP($A1981, 'Medical Examinations'!A:K, 11, FALSE)</f>
        <v>No</v>
      </c>
      <c r="J1981" t="str">
        <f>VLOOKUP($A1981, 'Medical Examinations'!A:B, 2, FALSE)</f>
        <v>Normal Weight</v>
      </c>
      <c r="K1981" t="str">
        <f>VLOOKUP($A1981, 'Medical Examinations'!A:D, 4, FALSE)</f>
        <v>Normal</v>
      </c>
    </row>
    <row r="1982" spans="1:11" ht="15.5" x14ac:dyDescent="0.35">
      <c r="A1982" s="1" t="s">
        <v>387</v>
      </c>
      <c r="B1982" t="str">
        <f>VLOOKUP($A1982, 'Customer Names'!A:D, 3, FALSE)</f>
        <v>Durfee</v>
      </c>
      <c r="C1982">
        <f>VLOOKUP($A1982,'Medical Examinations'!A:C, 3, FALSE)</f>
        <v>35.53</v>
      </c>
      <c r="D1982" t="str">
        <f>VLOOKUP($A1982, 'Medical Examinations'!A:D, 4, FALSE)</f>
        <v>Normal</v>
      </c>
      <c r="E1982" t="str">
        <f>VLOOKUP($A1982, 'Medical Examinations'!A:F, 6, FALSE)</f>
        <v>No</v>
      </c>
      <c r="F1982" t="str">
        <f>VLOOKUP($A1982, 'Medical Examinations'!A:G, 7, FALSE)</f>
        <v>No</v>
      </c>
      <c r="G1982" t="str">
        <f>VLOOKUP($A1982, 'Medical Examinations'!A:H, 8, FALSE)</f>
        <v>Yes</v>
      </c>
      <c r="H1982">
        <f>VLOOKUP($A1982, 'Medical Examinations'!A:J, 10, FALSE)</f>
        <v>1</v>
      </c>
      <c r="I1982" t="str">
        <f>VLOOKUP($A1982, 'Medical Examinations'!A:K, 11, FALSE)</f>
        <v>No</v>
      </c>
      <c r="J1982" t="str">
        <f>VLOOKUP($A1982, 'Medical Examinations'!A:B, 2, FALSE)</f>
        <v>Obesity</v>
      </c>
      <c r="K1982" t="str">
        <f>VLOOKUP($A1982, 'Medical Examinations'!A:D, 4, FALSE)</f>
        <v>Normal</v>
      </c>
    </row>
    <row r="1983" spans="1:11" ht="15.5" x14ac:dyDescent="0.35">
      <c r="A1983" s="1" t="s">
        <v>386</v>
      </c>
      <c r="B1983" t="str">
        <f>VLOOKUP($A1983, 'Customer Names'!A:D, 3, FALSE)</f>
        <v>Maylone</v>
      </c>
      <c r="C1983">
        <f>VLOOKUP($A1983,'Medical Examinations'!A:C, 3, FALSE)</f>
        <v>21.47</v>
      </c>
      <c r="D1983" t="str">
        <f>VLOOKUP($A1983, 'Medical Examinations'!A:D, 4, FALSE)</f>
        <v>Normal</v>
      </c>
      <c r="E1983" t="str">
        <f>VLOOKUP($A1983, 'Medical Examinations'!A:F, 6, FALSE)</f>
        <v>yes</v>
      </c>
      <c r="F1983" t="str">
        <f>VLOOKUP($A1983, 'Medical Examinations'!A:G, 7, FALSE)</f>
        <v>No</v>
      </c>
      <c r="G1983" t="str">
        <f>VLOOKUP($A1983, 'Medical Examinations'!A:H, 8, FALSE)</f>
        <v>No</v>
      </c>
      <c r="H1983">
        <f>VLOOKUP($A1983, 'Medical Examinations'!A:J, 10, FALSE)</f>
        <v>1</v>
      </c>
      <c r="I1983" t="str">
        <f>VLOOKUP($A1983, 'Medical Examinations'!A:K, 11, FALSE)</f>
        <v>No</v>
      </c>
      <c r="J1983" t="str">
        <f>VLOOKUP($A1983, 'Medical Examinations'!A:B, 2, FALSE)</f>
        <v>Normal Weight</v>
      </c>
      <c r="K1983" t="str">
        <f>VLOOKUP($A1983, 'Medical Examinations'!A:D, 4, FALSE)</f>
        <v>Normal</v>
      </c>
    </row>
    <row r="1984" spans="1:11" ht="15.5" x14ac:dyDescent="0.35">
      <c r="A1984" s="1" t="s">
        <v>385</v>
      </c>
      <c r="B1984" t="str">
        <f>VLOOKUP($A1984, 'Customer Names'!A:D, 3, FALSE)</f>
        <v>Reiland</v>
      </c>
      <c r="C1984">
        <f>VLOOKUP($A1984,'Medical Examinations'!A:C, 3, FALSE)</f>
        <v>25.9</v>
      </c>
      <c r="D1984" t="str">
        <f>VLOOKUP($A1984, 'Medical Examinations'!A:D, 4, FALSE)</f>
        <v>Normal</v>
      </c>
      <c r="E1984" t="str">
        <f>VLOOKUP($A1984, 'Medical Examinations'!A:F, 6, FALSE)</f>
        <v>No</v>
      </c>
      <c r="F1984" t="str">
        <f>VLOOKUP($A1984, 'Medical Examinations'!A:G, 7, FALSE)</f>
        <v>No</v>
      </c>
      <c r="G1984" t="str">
        <f>VLOOKUP($A1984, 'Medical Examinations'!A:H, 8, FALSE)</f>
        <v>Yes</v>
      </c>
      <c r="H1984">
        <f>VLOOKUP($A1984, 'Medical Examinations'!A:J, 10, FALSE)</f>
        <v>1</v>
      </c>
      <c r="I1984" t="str">
        <f>VLOOKUP($A1984, 'Medical Examinations'!A:K, 11, FALSE)</f>
        <v>No</v>
      </c>
      <c r="J1984" t="str">
        <f>VLOOKUP($A1984, 'Medical Examinations'!A:B, 2, FALSE)</f>
        <v>Overweight</v>
      </c>
      <c r="K1984" t="str">
        <f>VLOOKUP($A1984, 'Medical Examinations'!A:D, 4, FALSE)</f>
        <v>Normal</v>
      </c>
    </row>
    <row r="1985" spans="1:11" ht="15.5" x14ac:dyDescent="0.35">
      <c r="A1985" s="1" t="s">
        <v>384</v>
      </c>
      <c r="B1985" t="str">
        <f>VLOOKUP($A1985, 'Customer Names'!A:D, 3, FALSE)</f>
        <v>Hu</v>
      </c>
      <c r="C1985">
        <f>VLOOKUP($A1985,'Medical Examinations'!A:C, 3, FALSE)</f>
        <v>20.81</v>
      </c>
      <c r="D1985" t="str">
        <f>VLOOKUP($A1985, 'Medical Examinations'!A:D, 4, FALSE)</f>
        <v>Normal</v>
      </c>
      <c r="E1985" t="str">
        <f>VLOOKUP($A1985, 'Medical Examinations'!A:F, 6, FALSE)</f>
        <v>No</v>
      </c>
      <c r="F1985" t="str">
        <f>VLOOKUP($A1985, 'Medical Examinations'!A:G, 7, FALSE)</f>
        <v>No</v>
      </c>
      <c r="G1985" t="str">
        <f>VLOOKUP($A1985, 'Medical Examinations'!A:H, 8, FALSE)</f>
        <v>No</v>
      </c>
      <c r="H1985" t="str">
        <f>VLOOKUP($A1985, 'Medical Examinations'!A:J, 10, FALSE)</f>
        <v>No major surgery</v>
      </c>
      <c r="I1985" t="str">
        <f>VLOOKUP($A1985, 'Medical Examinations'!A:K, 11, FALSE)</f>
        <v>No</v>
      </c>
      <c r="J1985" t="str">
        <f>VLOOKUP($A1985, 'Medical Examinations'!A:B, 2, FALSE)</f>
        <v>Normal Weight</v>
      </c>
      <c r="K1985" t="str">
        <f>VLOOKUP($A1985, 'Medical Examinations'!A:D, 4, FALSE)</f>
        <v>Normal</v>
      </c>
    </row>
    <row r="1986" spans="1:11" ht="15.5" x14ac:dyDescent="0.35">
      <c r="A1986" s="1" t="s">
        <v>383</v>
      </c>
      <c r="B1986" t="str">
        <f>VLOOKUP($A1986, 'Customer Names'!A:D, 3, FALSE)</f>
        <v>Lessek</v>
      </c>
      <c r="C1986">
        <f>VLOOKUP($A1986,'Medical Examinations'!A:C, 3, FALSE)</f>
        <v>25.84</v>
      </c>
      <c r="D1986" t="str">
        <f>VLOOKUP($A1986, 'Medical Examinations'!A:D, 4, FALSE)</f>
        <v>Prediabetes</v>
      </c>
      <c r="E1986" t="str">
        <f>VLOOKUP($A1986, 'Medical Examinations'!A:F, 6, FALSE)</f>
        <v>yes</v>
      </c>
      <c r="F1986" t="str">
        <f>VLOOKUP($A1986, 'Medical Examinations'!A:G, 7, FALSE)</f>
        <v>No</v>
      </c>
      <c r="G1986" t="str">
        <f>VLOOKUP($A1986, 'Medical Examinations'!A:H, 8, FALSE)</f>
        <v>Yes</v>
      </c>
      <c r="H1986">
        <f>VLOOKUP($A1986, 'Medical Examinations'!A:J, 10, FALSE)</f>
        <v>1</v>
      </c>
      <c r="I1986" t="str">
        <f>VLOOKUP($A1986, 'Medical Examinations'!A:K, 11, FALSE)</f>
        <v>No</v>
      </c>
      <c r="J1986" t="str">
        <f>VLOOKUP($A1986, 'Medical Examinations'!A:B, 2, FALSE)</f>
        <v>Overweight</v>
      </c>
      <c r="K1986" t="str">
        <f>VLOOKUP($A1986, 'Medical Examinations'!A:D, 4, FALSE)</f>
        <v>Prediabetes</v>
      </c>
    </row>
    <row r="1987" spans="1:11" ht="15.5" x14ac:dyDescent="0.35">
      <c r="A1987" s="1" t="s">
        <v>382</v>
      </c>
      <c r="B1987" t="str">
        <f>VLOOKUP($A1987, 'Customer Names'!A:D, 3, FALSE)</f>
        <v>Colavincenzo</v>
      </c>
      <c r="C1987">
        <f>VLOOKUP($A1987,'Medical Examinations'!A:C, 3, FALSE)</f>
        <v>30.95</v>
      </c>
      <c r="D1987" t="str">
        <f>VLOOKUP($A1987, 'Medical Examinations'!A:D, 4, FALSE)</f>
        <v>Normal</v>
      </c>
      <c r="E1987" t="str">
        <f>VLOOKUP($A1987, 'Medical Examinations'!A:F, 6, FALSE)</f>
        <v>No</v>
      </c>
      <c r="F1987" t="str">
        <f>VLOOKUP($A1987, 'Medical Examinations'!A:G, 7, FALSE)</f>
        <v>No</v>
      </c>
      <c r="G1987" t="str">
        <f>VLOOKUP($A1987, 'Medical Examinations'!A:H, 8, FALSE)</f>
        <v>Yes</v>
      </c>
      <c r="H1987">
        <f>VLOOKUP($A1987, 'Medical Examinations'!A:J, 10, FALSE)</f>
        <v>1</v>
      </c>
      <c r="I1987" t="str">
        <f>VLOOKUP($A1987, 'Medical Examinations'!A:K, 11, FALSE)</f>
        <v>No</v>
      </c>
      <c r="J1987" t="str">
        <f>VLOOKUP($A1987, 'Medical Examinations'!A:B, 2, FALSE)</f>
        <v>Obesity</v>
      </c>
      <c r="K1987" t="str">
        <f>VLOOKUP($A1987, 'Medical Examinations'!A:D, 4, FALSE)</f>
        <v>Normal</v>
      </c>
    </row>
    <row r="1988" spans="1:11" ht="15.5" x14ac:dyDescent="0.35">
      <c r="A1988" s="1" t="s">
        <v>381</v>
      </c>
      <c r="B1988" t="str">
        <f>VLOOKUP($A1988, 'Customer Names'!A:D, 3, FALSE)</f>
        <v>Mendez-Karr</v>
      </c>
      <c r="C1988">
        <f>VLOOKUP($A1988,'Medical Examinations'!A:C, 3, FALSE)</f>
        <v>30.54</v>
      </c>
      <c r="D1988" t="str">
        <f>VLOOKUP($A1988, 'Medical Examinations'!A:D, 4, FALSE)</f>
        <v>Normal</v>
      </c>
      <c r="E1988" t="str">
        <f>VLOOKUP($A1988, 'Medical Examinations'!A:F, 6, FALSE)</f>
        <v>No</v>
      </c>
      <c r="F1988" t="str">
        <f>VLOOKUP($A1988, 'Medical Examinations'!A:G, 7, FALSE)</f>
        <v>No</v>
      </c>
      <c r="G1988" t="str">
        <f>VLOOKUP($A1988, 'Medical Examinations'!A:H, 8, FALSE)</f>
        <v>Yes</v>
      </c>
      <c r="H1988">
        <f>VLOOKUP($A1988, 'Medical Examinations'!A:J, 10, FALSE)</f>
        <v>1</v>
      </c>
      <c r="I1988" t="str">
        <f>VLOOKUP($A1988, 'Medical Examinations'!A:K, 11, FALSE)</f>
        <v>No</v>
      </c>
      <c r="J1988" t="str">
        <f>VLOOKUP($A1988, 'Medical Examinations'!A:B, 2, FALSE)</f>
        <v>Obesity</v>
      </c>
      <c r="K1988" t="str">
        <f>VLOOKUP($A1988, 'Medical Examinations'!A:D, 4, FALSE)</f>
        <v>Normal</v>
      </c>
    </row>
    <row r="1989" spans="1:11" ht="15.5" x14ac:dyDescent="0.35">
      <c r="A1989" s="1" t="s">
        <v>380</v>
      </c>
      <c r="B1989" t="str">
        <f>VLOOKUP($A1989, 'Customer Names'!A:D, 3, FALSE)</f>
        <v>Saulnier</v>
      </c>
      <c r="C1989">
        <f>VLOOKUP($A1989,'Medical Examinations'!A:C, 3, FALSE)</f>
        <v>33.914999999999999</v>
      </c>
      <c r="D1989" t="str">
        <f>VLOOKUP($A1989, 'Medical Examinations'!A:D, 4, FALSE)</f>
        <v>Prediabetes</v>
      </c>
      <c r="E1989" t="str">
        <f>VLOOKUP($A1989, 'Medical Examinations'!A:F, 6, FALSE)</f>
        <v>yes</v>
      </c>
      <c r="F1989" t="str">
        <f>VLOOKUP($A1989, 'Medical Examinations'!A:G, 7, FALSE)</f>
        <v>No</v>
      </c>
      <c r="G1989" t="str">
        <f>VLOOKUP($A1989, 'Medical Examinations'!A:H, 8, FALSE)</f>
        <v>No</v>
      </c>
      <c r="H1989" t="str">
        <f>VLOOKUP($A1989, 'Medical Examinations'!A:J, 10, FALSE)</f>
        <v>No major surgery</v>
      </c>
      <c r="I1989" t="str">
        <f>VLOOKUP($A1989, 'Medical Examinations'!A:K, 11, FALSE)</f>
        <v>No</v>
      </c>
      <c r="J1989" t="str">
        <f>VLOOKUP($A1989, 'Medical Examinations'!A:B, 2, FALSE)</f>
        <v>Obesity</v>
      </c>
      <c r="K1989" t="str">
        <f>VLOOKUP($A1989, 'Medical Examinations'!A:D, 4, FALSE)</f>
        <v>Prediabetes</v>
      </c>
    </row>
    <row r="1990" spans="1:11" ht="15.5" x14ac:dyDescent="0.35">
      <c r="A1990" s="1" t="s">
        <v>379</v>
      </c>
      <c r="B1990" t="str">
        <f>VLOOKUP($A1990, 'Customer Names'!A:D, 3, FALSE)</f>
        <v>Schoonover</v>
      </c>
      <c r="C1990">
        <f>VLOOKUP($A1990,'Medical Examinations'!A:C, 3, FALSE)</f>
        <v>33.31</v>
      </c>
      <c r="D1990" t="str">
        <f>VLOOKUP($A1990, 'Medical Examinations'!A:D, 4, FALSE)</f>
        <v>Normal</v>
      </c>
      <c r="E1990" t="str">
        <f>VLOOKUP($A1990, 'Medical Examinations'!A:F, 6, FALSE)</f>
        <v>No</v>
      </c>
      <c r="F1990" t="str">
        <f>VLOOKUP($A1990, 'Medical Examinations'!A:G, 7, FALSE)</f>
        <v>No</v>
      </c>
      <c r="G1990" t="str">
        <f>VLOOKUP($A1990, 'Medical Examinations'!A:H, 8, FALSE)</f>
        <v>Yes</v>
      </c>
      <c r="H1990">
        <f>VLOOKUP($A1990, 'Medical Examinations'!A:J, 10, FALSE)</f>
        <v>1</v>
      </c>
      <c r="I1990" t="str">
        <f>VLOOKUP($A1990, 'Medical Examinations'!A:K, 11, FALSE)</f>
        <v>No</v>
      </c>
      <c r="J1990" t="str">
        <f>VLOOKUP($A1990, 'Medical Examinations'!A:B, 2, FALSE)</f>
        <v>Obesity</v>
      </c>
      <c r="K1990" t="str">
        <f>VLOOKUP($A1990, 'Medical Examinations'!A:D, 4, FALSE)</f>
        <v>Normal</v>
      </c>
    </row>
    <row r="1991" spans="1:11" ht="15.5" x14ac:dyDescent="0.35">
      <c r="A1991" s="1" t="s">
        <v>378</v>
      </c>
      <c r="B1991" t="str">
        <f>VLOOKUP($A1991, 'Customer Names'!A:D, 3, FALSE)</f>
        <v>Hass</v>
      </c>
      <c r="C1991">
        <f>VLOOKUP($A1991,'Medical Examinations'!A:C, 3, FALSE)</f>
        <v>25.745000000000001</v>
      </c>
      <c r="D1991" t="str">
        <f>VLOOKUP($A1991, 'Medical Examinations'!A:D, 4, FALSE)</f>
        <v>Normal</v>
      </c>
      <c r="E1991" t="str">
        <f>VLOOKUP($A1991, 'Medical Examinations'!A:F, 6, FALSE)</f>
        <v>yes</v>
      </c>
      <c r="F1991" t="str">
        <f>VLOOKUP($A1991, 'Medical Examinations'!A:G, 7, FALSE)</f>
        <v>No</v>
      </c>
      <c r="G1991" t="str">
        <f>VLOOKUP($A1991, 'Medical Examinations'!A:H, 8, FALSE)</f>
        <v>No</v>
      </c>
      <c r="H1991" t="str">
        <f>VLOOKUP($A1991, 'Medical Examinations'!A:J, 10, FALSE)</f>
        <v>No major surgery</v>
      </c>
      <c r="I1991" t="str">
        <f>VLOOKUP($A1991, 'Medical Examinations'!A:K, 11, FALSE)</f>
        <v>No</v>
      </c>
      <c r="J1991" t="str">
        <f>VLOOKUP($A1991, 'Medical Examinations'!A:B, 2, FALSE)</f>
        <v>Overweight</v>
      </c>
      <c r="K1991" t="str">
        <f>VLOOKUP($A1991, 'Medical Examinations'!A:D, 4, FALSE)</f>
        <v>Normal</v>
      </c>
    </row>
    <row r="1992" spans="1:11" ht="15.5" x14ac:dyDescent="0.35">
      <c r="A1992" s="1" t="s">
        <v>377</v>
      </c>
      <c r="B1992" t="str">
        <f>VLOOKUP($A1992, 'Customer Names'!A:D, 3, FALSE)</f>
        <v>Cadotte</v>
      </c>
      <c r="C1992">
        <f>VLOOKUP($A1992,'Medical Examinations'!A:C, 3, FALSE)</f>
        <v>37.1</v>
      </c>
      <c r="D1992" t="str">
        <f>VLOOKUP($A1992, 'Medical Examinations'!A:D, 4, FALSE)</f>
        <v>Prediabetes</v>
      </c>
      <c r="E1992" t="str">
        <f>VLOOKUP($A1992, 'Medical Examinations'!A:F, 6, FALSE)</f>
        <v>No</v>
      </c>
      <c r="F1992" t="str">
        <f>VLOOKUP($A1992, 'Medical Examinations'!A:G, 7, FALSE)</f>
        <v>No</v>
      </c>
      <c r="G1992" t="str">
        <f>VLOOKUP($A1992, 'Medical Examinations'!A:H, 8, FALSE)</f>
        <v>No</v>
      </c>
      <c r="H1992" t="str">
        <f>VLOOKUP($A1992, 'Medical Examinations'!A:J, 10, FALSE)</f>
        <v>No major surgery</v>
      </c>
      <c r="I1992" t="str">
        <f>VLOOKUP($A1992, 'Medical Examinations'!A:K, 11, FALSE)</f>
        <v>No</v>
      </c>
      <c r="J1992" t="str">
        <f>VLOOKUP($A1992, 'Medical Examinations'!A:B, 2, FALSE)</f>
        <v>Obesity</v>
      </c>
      <c r="K1992" t="str">
        <f>VLOOKUP($A1992, 'Medical Examinations'!A:D, 4, FALSE)</f>
        <v>Prediabetes</v>
      </c>
    </row>
    <row r="1993" spans="1:11" ht="15.5" x14ac:dyDescent="0.35">
      <c r="A1993" s="1" t="s">
        <v>376</v>
      </c>
      <c r="B1993" t="str">
        <f>VLOOKUP($A1993, 'Customer Names'!A:D, 3, FALSE)</f>
        <v>Cacciapaglia</v>
      </c>
      <c r="C1993">
        <f>VLOOKUP($A1993,'Medical Examinations'!A:C, 3, FALSE)</f>
        <v>35.435000000000002</v>
      </c>
      <c r="D1993" t="str">
        <f>VLOOKUP($A1993, 'Medical Examinations'!A:D, 4, FALSE)</f>
        <v>Prediabetes</v>
      </c>
      <c r="E1993" t="str">
        <f>VLOOKUP($A1993, 'Medical Examinations'!A:F, 6, FALSE)</f>
        <v>No</v>
      </c>
      <c r="F1993" t="str">
        <f>VLOOKUP($A1993, 'Medical Examinations'!A:G, 7, FALSE)</f>
        <v>No</v>
      </c>
      <c r="G1993" t="str">
        <f>VLOOKUP($A1993, 'Medical Examinations'!A:H, 8, FALSE)</f>
        <v>No</v>
      </c>
      <c r="H1993" t="str">
        <f>VLOOKUP($A1993, 'Medical Examinations'!A:J, 10, FALSE)</f>
        <v>No major surgery</v>
      </c>
      <c r="I1993" t="str">
        <f>VLOOKUP($A1993, 'Medical Examinations'!A:K, 11, FALSE)</f>
        <v>No</v>
      </c>
      <c r="J1993" t="str">
        <f>VLOOKUP($A1993, 'Medical Examinations'!A:B, 2, FALSE)</f>
        <v>Obesity</v>
      </c>
      <c r="K1993" t="str">
        <f>VLOOKUP($A1993, 'Medical Examinations'!A:D, 4, FALSE)</f>
        <v>Prediabetes</v>
      </c>
    </row>
    <row r="1994" spans="1:11" ht="15.5" x14ac:dyDescent="0.35">
      <c r="A1994" s="1" t="s">
        <v>375</v>
      </c>
      <c r="B1994" t="str">
        <f>VLOOKUP($A1994, 'Customer Names'!A:D, 3, FALSE)</f>
        <v>Mininger</v>
      </c>
      <c r="C1994">
        <f>VLOOKUP($A1994,'Medical Examinations'!A:C, 3, FALSE)</f>
        <v>20.399999999999999</v>
      </c>
      <c r="D1994" t="str">
        <f>VLOOKUP($A1994, 'Medical Examinations'!A:D, 4, FALSE)</f>
        <v>Normal</v>
      </c>
      <c r="E1994" t="str">
        <f>VLOOKUP($A1994, 'Medical Examinations'!A:F, 6, FALSE)</f>
        <v>No</v>
      </c>
      <c r="F1994" t="str">
        <f>VLOOKUP($A1994, 'Medical Examinations'!A:G, 7, FALSE)</f>
        <v>No</v>
      </c>
      <c r="G1994" t="str">
        <f>VLOOKUP($A1994, 'Medical Examinations'!A:H, 8, FALSE)</f>
        <v>No</v>
      </c>
      <c r="H1994" t="str">
        <f>VLOOKUP($A1994, 'Medical Examinations'!A:J, 10, FALSE)</f>
        <v>No major surgery</v>
      </c>
      <c r="I1994" t="str">
        <f>VLOOKUP($A1994, 'Medical Examinations'!A:K, 11, FALSE)</f>
        <v>No</v>
      </c>
      <c r="J1994" t="str">
        <f>VLOOKUP($A1994, 'Medical Examinations'!A:B, 2, FALSE)</f>
        <v>Normal Weight</v>
      </c>
      <c r="K1994" t="str">
        <f>VLOOKUP($A1994, 'Medical Examinations'!A:D, 4, FALSE)</f>
        <v>Normal</v>
      </c>
    </row>
    <row r="1995" spans="1:11" ht="15.5" x14ac:dyDescent="0.35">
      <c r="A1995" s="1" t="s">
        <v>374</v>
      </c>
      <c r="B1995" t="str">
        <f>VLOOKUP($A1995, 'Customer Names'!A:D, 3, FALSE)</f>
        <v>Mayo</v>
      </c>
      <c r="C1995">
        <f>VLOOKUP($A1995,'Medical Examinations'!A:C, 3, FALSE)</f>
        <v>42.13</v>
      </c>
      <c r="D1995" t="str">
        <f>VLOOKUP($A1995, 'Medical Examinations'!A:D, 4, FALSE)</f>
        <v>Prediabetes</v>
      </c>
      <c r="E1995" t="str">
        <f>VLOOKUP($A1995, 'Medical Examinations'!A:F, 6, FALSE)</f>
        <v>yes</v>
      </c>
      <c r="F1995" t="str">
        <f>VLOOKUP($A1995, 'Medical Examinations'!A:G, 7, FALSE)</f>
        <v>No</v>
      </c>
      <c r="G1995" t="str">
        <f>VLOOKUP($A1995, 'Medical Examinations'!A:H, 8, FALSE)</f>
        <v>Yes</v>
      </c>
      <c r="H1995">
        <f>VLOOKUP($A1995, 'Medical Examinations'!A:J, 10, FALSE)</f>
        <v>1</v>
      </c>
      <c r="I1995" t="str">
        <f>VLOOKUP($A1995, 'Medical Examinations'!A:K, 11, FALSE)</f>
        <v>No</v>
      </c>
      <c r="J1995" t="str">
        <f>VLOOKUP($A1995, 'Medical Examinations'!A:B, 2, FALSE)</f>
        <v>Obesity</v>
      </c>
      <c r="K1995" t="str">
        <f>VLOOKUP($A1995, 'Medical Examinations'!A:D, 4, FALSE)</f>
        <v>Prediabetes</v>
      </c>
    </row>
    <row r="1996" spans="1:11" ht="15.5" x14ac:dyDescent="0.35">
      <c r="A1996" s="1" t="s">
        <v>373</v>
      </c>
      <c r="B1996" t="str">
        <f>VLOOKUP($A1996, 'Customer Names'!A:D, 3, FALSE)</f>
        <v>Zicko</v>
      </c>
      <c r="C1996">
        <f>VLOOKUP($A1996,'Medical Examinations'!A:C, 3, FALSE)</f>
        <v>33.99</v>
      </c>
      <c r="D1996" t="str">
        <f>VLOOKUP($A1996, 'Medical Examinations'!A:D, 4, FALSE)</f>
        <v>Normal</v>
      </c>
      <c r="E1996" t="str">
        <f>VLOOKUP($A1996, 'Medical Examinations'!A:F, 6, FALSE)</f>
        <v>yes</v>
      </c>
      <c r="F1996" t="str">
        <f>VLOOKUP($A1996, 'Medical Examinations'!A:G, 7, FALSE)</f>
        <v>No</v>
      </c>
      <c r="G1996" t="str">
        <f>VLOOKUP($A1996, 'Medical Examinations'!A:H, 8, FALSE)</f>
        <v>Yes</v>
      </c>
      <c r="H1996">
        <f>VLOOKUP($A1996, 'Medical Examinations'!A:J, 10, FALSE)</f>
        <v>1</v>
      </c>
      <c r="I1996" t="str">
        <f>VLOOKUP($A1996, 'Medical Examinations'!A:K, 11, FALSE)</f>
        <v>No</v>
      </c>
      <c r="J1996" t="str">
        <f>VLOOKUP($A1996, 'Medical Examinations'!A:B, 2, FALSE)</f>
        <v>Obesity</v>
      </c>
      <c r="K1996" t="str">
        <f>VLOOKUP($A1996, 'Medical Examinations'!A:D, 4, FALSE)</f>
        <v>Normal</v>
      </c>
    </row>
    <row r="1997" spans="1:11" ht="15.5" x14ac:dyDescent="0.35">
      <c r="A1997" s="1" t="s">
        <v>372</v>
      </c>
      <c r="B1997" t="str">
        <f>VLOOKUP($A1997, 'Customer Names'!A:D, 3, FALSE)</f>
        <v>Graham</v>
      </c>
      <c r="C1997">
        <f>VLOOKUP($A1997,'Medical Examinations'!A:C, 3, FALSE)</f>
        <v>28.594999999999999</v>
      </c>
      <c r="D1997" t="str">
        <f>VLOOKUP($A1997, 'Medical Examinations'!A:D, 4, FALSE)</f>
        <v>Normal</v>
      </c>
      <c r="E1997" t="str">
        <f>VLOOKUP($A1997, 'Medical Examinations'!A:F, 6, FALSE)</f>
        <v>yes</v>
      </c>
      <c r="F1997" t="str">
        <f>VLOOKUP($A1997, 'Medical Examinations'!A:G, 7, FALSE)</f>
        <v>No</v>
      </c>
      <c r="G1997" t="str">
        <f>VLOOKUP($A1997, 'Medical Examinations'!A:H, 8, FALSE)</f>
        <v>Yes</v>
      </c>
      <c r="H1997">
        <f>VLOOKUP($A1997, 'Medical Examinations'!A:J, 10, FALSE)</f>
        <v>1</v>
      </c>
      <c r="I1997" t="str">
        <f>VLOOKUP($A1997, 'Medical Examinations'!A:K, 11, FALSE)</f>
        <v>No</v>
      </c>
      <c r="J1997" t="str">
        <f>VLOOKUP($A1997, 'Medical Examinations'!A:B, 2, FALSE)</f>
        <v>Overweight</v>
      </c>
      <c r="K1997" t="str">
        <f>VLOOKUP($A1997, 'Medical Examinations'!A:D, 4, FALSE)</f>
        <v>Normal</v>
      </c>
    </row>
    <row r="1998" spans="1:11" ht="15.5" x14ac:dyDescent="0.35">
      <c r="A1998" s="1" t="s">
        <v>371</v>
      </c>
      <c r="B1998" t="str">
        <f>VLOOKUP($A1998, 'Customer Names'!A:D, 3, FALSE)</f>
        <v>Boland</v>
      </c>
      <c r="C1998">
        <f>VLOOKUP($A1998,'Medical Examinations'!A:C, 3, FALSE)</f>
        <v>20.8</v>
      </c>
      <c r="D1998" t="str">
        <f>VLOOKUP($A1998, 'Medical Examinations'!A:D, 4, FALSE)</f>
        <v>Normal</v>
      </c>
      <c r="E1998" t="str">
        <f>VLOOKUP($A1998, 'Medical Examinations'!A:F, 6, FALSE)</f>
        <v>yes</v>
      </c>
      <c r="F1998" t="str">
        <f>VLOOKUP($A1998, 'Medical Examinations'!A:G, 7, FALSE)</f>
        <v>No</v>
      </c>
      <c r="G1998" t="str">
        <f>VLOOKUP($A1998, 'Medical Examinations'!A:H, 8, FALSE)</f>
        <v>Yes</v>
      </c>
      <c r="H1998">
        <f>VLOOKUP($A1998, 'Medical Examinations'!A:J, 10, FALSE)</f>
        <v>1</v>
      </c>
      <c r="I1998" t="str">
        <f>VLOOKUP($A1998, 'Medical Examinations'!A:K, 11, FALSE)</f>
        <v>No</v>
      </c>
      <c r="J1998" t="str">
        <f>VLOOKUP($A1998, 'Medical Examinations'!A:B, 2, FALSE)</f>
        <v>Normal Weight</v>
      </c>
      <c r="K1998" t="str">
        <f>VLOOKUP($A1998, 'Medical Examinations'!A:D, 4, FALSE)</f>
        <v>Normal</v>
      </c>
    </row>
    <row r="1999" spans="1:11" ht="15.5" x14ac:dyDescent="0.35">
      <c r="A1999" s="1" t="s">
        <v>370</v>
      </c>
      <c r="B1999" t="str">
        <f>VLOOKUP($A1999, 'Customer Names'!A:D, 3, FALSE)</f>
        <v>Cupp</v>
      </c>
      <c r="C1999">
        <f>VLOOKUP($A1999,'Medical Examinations'!A:C, 3, FALSE)</f>
        <v>23.465</v>
      </c>
      <c r="D1999" t="str">
        <f>VLOOKUP($A1999, 'Medical Examinations'!A:D, 4, FALSE)</f>
        <v>Prediabetes</v>
      </c>
      <c r="E1999" t="str">
        <f>VLOOKUP($A1999, 'Medical Examinations'!A:F, 6, FALSE)</f>
        <v>yes</v>
      </c>
      <c r="F1999" t="str">
        <f>VLOOKUP($A1999, 'Medical Examinations'!A:G, 7, FALSE)</f>
        <v>No</v>
      </c>
      <c r="G1999" t="str">
        <f>VLOOKUP($A1999, 'Medical Examinations'!A:H, 8, FALSE)</f>
        <v>Yes</v>
      </c>
      <c r="H1999">
        <f>VLOOKUP($A1999, 'Medical Examinations'!A:J, 10, FALSE)</f>
        <v>1</v>
      </c>
      <c r="I1999" t="str">
        <f>VLOOKUP($A1999, 'Medical Examinations'!A:K, 11, FALSE)</f>
        <v>No</v>
      </c>
      <c r="J1999" t="str">
        <f>VLOOKUP($A1999, 'Medical Examinations'!A:B, 2, FALSE)</f>
        <v>Normal Weight</v>
      </c>
      <c r="K1999" t="str">
        <f>VLOOKUP($A1999, 'Medical Examinations'!A:D, 4, FALSE)</f>
        <v>Prediabetes</v>
      </c>
    </row>
    <row r="2000" spans="1:11" ht="15.5" x14ac:dyDescent="0.35">
      <c r="A2000" s="1" t="s">
        <v>369</v>
      </c>
      <c r="B2000" t="str">
        <f>VLOOKUP($A2000, 'Customer Names'!A:D, 3, FALSE)</f>
        <v>Shaw</v>
      </c>
      <c r="C2000">
        <f>VLOOKUP($A2000,'Medical Examinations'!A:C, 3, FALSE)</f>
        <v>40.185000000000002</v>
      </c>
      <c r="D2000" t="str">
        <f>VLOOKUP($A2000, 'Medical Examinations'!A:D, 4, FALSE)</f>
        <v>Prediabetes</v>
      </c>
      <c r="E2000" t="str">
        <f>VLOOKUP($A2000, 'Medical Examinations'!A:F, 6, FALSE)</f>
        <v>yes</v>
      </c>
      <c r="F2000" t="str">
        <f>VLOOKUP($A2000, 'Medical Examinations'!A:G, 7, FALSE)</f>
        <v>No</v>
      </c>
      <c r="G2000" t="str">
        <f>VLOOKUP($A2000, 'Medical Examinations'!A:H, 8, FALSE)</f>
        <v>No</v>
      </c>
      <c r="H2000" t="str">
        <f>VLOOKUP($A2000, 'Medical Examinations'!A:J, 10, FALSE)</f>
        <v>No major surgery</v>
      </c>
      <c r="I2000" t="str">
        <f>VLOOKUP($A2000, 'Medical Examinations'!A:K, 11, FALSE)</f>
        <v>No</v>
      </c>
      <c r="J2000" t="str">
        <f>VLOOKUP($A2000, 'Medical Examinations'!A:B, 2, FALSE)</f>
        <v>Obesity</v>
      </c>
      <c r="K2000" t="str">
        <f>VLOOKUP($A2000, 'Medical Examinations'!A:D, 4, FALSE)</f>
        <v>Prediabetes</v>
      </c>
    </row>
    <row r="2001" spans="1:11" ht="15.5" x14ac:dyDescent="0.35">
      <c r="A2001" s="1" t="s">
        <v>368</v>
      </c>
      <c r="B2001" t="str">
        <f>VLOOKUP($A2001, 'Customer Names'!A:D, 3, FALSE)</f>
        <v>Klassen</v>
      </c>
      <c r="C2001">
        <f>VLOOKUP($A2001,'Medical Examinations'!A:C, 3, FALSE)</f>
        <v>21.89</v>
      </c>
      <c r="D2001" t="str">
        <f>VLOOKUP($A2001, 'Medical Examinations'!A:D, 4, FALSE)</f>
        <v>Prediabetes</v>
      </c>
      <c r="E2001" t="str">
        <f>VLOOKUP($A2001, 'Medical Examinations'!A:F, 6, FALSE)</f>
        <v>yes</v>
      </c>
      <c r="F2001" t="str">
        <f>VLOOKUP($A2001, 'Medical Examinations'!A:G, 7, FALSE)</f>
        <v>No</v>
      </c>
      <c r="G2001" t="str">
        <f>VLOOKUP($A2001, 'Medical Examinations'!A:H, 8, FALSE)</f>
        <v>No</v>
      </c>
      <c r="H2001" t="str">
        <f>VLOOKUP($A2001, 'Medical Examinations'!A:J, 10, FALSE)</f>
        <v>No major surgery</v>
      </c>
      <c r="I2001" t="str">
        <f>VLOOKUP($A2001, 'Medical Examinations'!A:K, 11, FALSE)</f>
        <v>No</v>
      </c>
      <c r="J2001" t="str">
        <f>VLOOKUP($A2001, 'Medical Examinations'!A:B, 2, FALSE)</f>
        <v>Normal Weight</v>
      </c>
      <c r="K2001" t="str">
        <f>VLOOKUP($A2001, 'Medical Examinations'!A:D, 4, FALSE)</f>
        <v>Prediabetes</v>
      </c>
    </row>
    <row r="2002" spans="1:11" ht="15.5" x14ac:dyDescent="0.35">
      <c r="A2002" s="1" t="s">
        <v>367</v>
      </c>
      <c r="B2002" t="str">
        <f>VLOOKUP($A2002, 'Customer Names'!A:D, 3, FALSE)</f>
        <v>Musal</v>
      </c>
      <c r="C2002">
        <f>VLOOKUP($A2002,'Medical Examinations'!A:C, 3, FALSE)</f>
        <v>29.34</v>
      </c>
      <c r="D2002" t="str">
        <f>VLOOKUP($A2002, 'Medical Examinations'!A:D, 4, FALSE)</f>
        <v>Prediabetes</v>
      </c>
      <c r="E2002" t="str">
        <f>VLOOKUP($A2002, 'Medical Examinations'!A:F, 6, FALSE)</f>
        <v>yes</v>
      </c>
      <c r="F2002" t="str">
        <f>VLOOKUP($A2002, 'Medical Examinations'!A:G, 7, FALSE)</f>
        <v>yes</v>
      </c>
      <c r="G2002" t="str">
        <f>VLOOKUP($A2002, 'Medical Examinations'!A:H, 8, FALSE)</f>
        <v>No</v>
      </c>
      <c r="H2002">
        <f>VLOOKUP($A2002, 'Medical Examinations'!A:J, 10, FALSE)</f>
        <v>2</v>
      </c>
      <c r="I2002" t="str">
        <f>VLOOKUP($A2002, 'Medical Examinations'!A:K, 11, FALSE)</f>
        <v>No</v>
      </c>
      <c r="J2002" t="str">
        <f>VLOOKUP($A2002, 'Medical Examinations'!A:B, 2, FALSE)</f>
        <v>Overweight</v>
      </c>
      <c r="K2002" t="str">
        <f>VLOOKUP($A2002, 'Medical Examinations'!A:D, 4, FALSE)</f>
        <v>Prediabetes</v>
      </c>
    </row>
    <row r="2003" spans="1:11" ht="15.5" x14ac:dyDescent="0.35">
      <c r="A2003" s="1" t="s">
        <v>366</v>
      </c>
      <c r="B2003" t="str">
        <f>VLOOKUP($A2003, 'Customer Names'!A:D, 3, FALSE)</f>
        <v>Kitayama</v>
      </c>
      <c r="C2003">
        <f>VLOOKUP($A2003,'Medical Examinations'!A:C, 3, FALSE)</f>
        <v>22.61</v>
      </c>
      <c r="D2003" t="str">
        <f>VLOOKUP($A2003, 'Medical Examinations'!A:D, 4, FALSE)</f>
        <v>Normal</v>
      </c>
      <c r="E2003" t="str">
        <f>VLOOKUP($A2003, 'Medical Examinations'!A:F, 6, FALSE)</f>
        <v>yes</v>
      </c>
      <c r="F2003" t="str">
        <f>VLOOKUP($A2003, 'Medical Examinations'!A:G, 7, FALSE)</f>
        <v>No</v>
      </c>
      <c r="G2003" t="str">
        <f>VLOOKUP($A2003, 'Medical Examinations'!A:H, 8, FALSE)</f>
        <v>No</v>
      </c>
      <c r="H2003" t="str">
        <f>VLOOKUP($A2003, 'Medical Examinations'!A:J, 10, FALSE)</f>
        <v>No major surgery</v>
      </c>
      <c r="I2003" t="str">
        <f>VLOOKUP($A2003, 'Medical Examinations'!A:K, 11, FALSE)</f>
        <v>No</v>
      </c>
      <c r="J2003" t="str">
        <f>VLOOKUP($A2003, 'Medical Examinations'!A:B, 2, FALSE)</f>
        <v>Normal Weight</v>
      </c>
      <c r="K2003" t="str">
        <f>VLOOKUP($A2003, 'Medical Examinations'!A:D, 4, FALSE)</f>
        <v>Normal</v>
      </c>
    </row>
    <row r="2004" spans="1:11" ht="15.5" x14ac:dyDescent="0.35">
      <c r="A2004" s="1" t="s">
        <v>365</v>
      </c>
      <c r="B2004" t="str">
        <f>VLOOKUP($A2004, 'Customer Names'!A:D, 3, FALSE)</f>
        <v>Altman</v>
      </c>
      <c r="C2004">
        <f>VLOOKUP($A2004,'Medical Examinations'!A:C, 3, FALSE)</f>
        <v>22.23</v>
      </c>
      <c r="D2004" t="str">
        <f>VLOOKUP($A2004, 'Medical Examinations'!A:D, 4, FALSE)</f>
        <v>Prediabetes</v>
      </c>
      <c r="E2004" t="str">
        <f>VLOOKUP($A2004, 'Medical Examinations'!A:F, 6, FALSE)</f>
        <v>yes</v>
      </c>
      <c r="F2004" t="str">
        <f>VLOOKUP($A2004, 'Medical Examinations'!A:G, 7, FALSE)</f>
        <v>No</v>
      </c>
      <c r="G2004" t="str">
        <f>VLOOKUP($A2004, 'Medical Examinations'!A:H, 8, FALSE)</f>
        <v>No</v>
      </c>
      <c r="H2004" t="str">
        <f>VLOOKUP($A2004, 'Medical Examinations'!A:J, 10, FALSE)</f>
        <v>No major surgery</v>
      </c>
      <c r="I2004" t="str">
        <f>VLOOKUP($A2004, 'Medical Examinations'!A:K, 11, FALSE)</f>
        <v>No</v>
      </c>
      <c r="J2004" t="str">
        <f>VLOOKUP($A2004, 'Medical Examinations'!A:B, 2, FALSE)</f>
        <v>Normal Weight</v>
      </c>
      <c r="K2004" t="str">
        <f>VLOOKUP($A2004, 'Medical Examinations'!A:D, 4, FALSE)</f>
        <v>Prediabetes</v>
      </c>
    </row>
    <row r="2005" spans="1:11" ht="15.5" x14ac:dyDescent="0.35">
      <c r="A2005" s="1" t="s">
        <v>364</v>
      </c>
      <c r="B2005" t="str">
        <f>VLOOKUP($A2005, 'Customer Names'!A:D, 3, FALSE)</f>
        <v>Demchko</v>
      </c>
      <c r="C2005">
        <f>VLOOKUP($A2005,'Medical Examinations'!A:C, 3, FALSE)</f>
        <v>33.4</v>
      </c>
      <c r="D2005" t="str">
        <f>VLOOKUP($A2005, 'Medical Examinations'!A:D, 4, FALSE)</f>
        <v>Normal</v>
      </c>
      <c r="E2005" t="str">
        <f>VLOOKUP($A2005, 'Medical Examinations'!A:F, 6, FALSE)</f>
        <v>No</v>
      </c>
      <c r="F2005" t="str">
        <f>VLOOKUP($A2005, 'Medical Examinations'!A:G, 7, FALSE)</f>
        <v>No</v>
      </c>
      <c r="G2005" t="str">
        <f>VLOOKUP($A2005, 'Medical Examinations'!A:H, 8, FALSE)</f>
        <v>No</v>
      </c>
      <c r="H2005" t="str">
        <f>VLOOKUP($A2005, 'Medical Examinations'!A:J, 10, FALSE)</f>
        <v>No major surgery</v>
      </c>
      <c r="I2005" t="str">
        <f>VLOOKUP($A2005, 'Medical Examinations'!A:K, 11, FALSE)</f>
        <v>No</v>
      </c>
      <c r="J2005" t="str">
        <f>VLOOKUP($A2005, 'Medical Examinations'!A:B, 2, FALSE)</f>
        <v>Obesity</v>
      </c>
      <c r="K2005" t="str">
        <f>VLOOKUP($A2005, 'Medical Examinations'!A:D, 4, FALSE)</f>
        <v>Normal</v>
      </c>
    </row>
    <row r="2006" spans="1:11" ht="15.5" x14ac:dyDescent="0.35">
      <c r="A2006" s="1" t="s">
        <v>363</v>
      </c>
      <c r="B2006" t="str">
        <f>VLOOKUP($A2006, 'Customer Names'!A:D, 3, FALSE)</f>
        <v>Wild</v>
      </c>
      <c r="C2006">
        <f>VLOOKUP($A2006,'Medical Examinations'!A:C, 3, FALSE)</f>
        <v>33.11</v>
      </c>
      <c r="D2006" t="str">
        <f>VLOOKUP($A2006, 'Medical Examinations'!A:D, 4, FALSE)</f>
        <v>Normal</v>
      </c>
      <c r="E2006" t="str">
        <f>VLOOKUP($A2006, 'Medical Examinations'!A:F, 6, FALSE)</f>
        <v>No</v>
      </c>
      <c r="F2006" t="str">
        <f>VLOOKUP($A2006, 'Medical Examinations'!A:G, 7, FALSE)</f>
        <v>No</v>
      </c>
      <c r="G2006" t="str">
        <f>VLOOKUP($A2006, 'Medical Examinations'!A:H, 8, FALSE)</f>
        <v>No</v>
      </c>
      <c r="H2006" t="str">
        <f>VLOOKUP($A2006, 'Medical Examinations'!A:J, 10, FALSE)</f>
        <v>No major surgery</v>
      </c>
      <c r="I2006" t="str">
        <f>VLOOKUP($A2006, 'Medical Examinations'!A:K, 11, FALSE)</f>
        <v>No</v>
      </c>
      <c r="J2006" t="str">
        <f>VLOOKUP($A2006, 'Medical Examinations'!A:B, 2, FALSE)</f>
        <v>Obesity</v>
      </c>
      <c r="K2006" t="str">
        <f>VLOOKUP($A2006, 'Medical Examinations'!A:D, 4, FALSE)</f>
        <v>Normal</v>
      </c>
    </row>
    <row r="2007" spans="1:11" ht="15.5" x14ac:dyDescent="0.35">
      <c r="A2007" s="1" t="s">
        <v>362</v>
      </c>
      <c r="B2007" t="str">
        <f>VLOOKUP($A2007, 'Customer Names'!A:D, 3, FALSE)</f>
        <v>Betts</v>
      </c>
      <c r="C2007">
        <f>VLOOKUP($A2007,'Medical Examinations'!A:C, 3, FALSE)</f>
        <v>16.815000000000001</v>
      </c>
      <c r="D2007" t="str">
        <f>VLOOKUP($A2007, 'Medical Examinations'!A:D, 4, FALSE)</f>
        <v>Normal</v>
      </c>
      <c r="E2007" t="str">
        <f>VLOOKUP($A2007, 'Medical Examinations'!A:F, 6, FALSE)</f>
        <v>yes</v>
      </c>
      <c r="F2007" t="str">
        <f>VLOOKUP($A2007, 'Medical Examinations'!A:G, 7, FALSE)</f>
        <v>No</v>
      </c>
      <c r="G2007" t="str">
        <f>VLOOKUP($A2007, 'Medical Examinations'!A:H, 8, FALSE)</f>
        <v>No</v>
      </c>
      <c r="H2007" t="str">
        <f>VLOOKUP($A2007, 'Medical Examinations'!A:J, 10, FALSE)</f>
        <v>No major surgery</v>
      </c>
      <c r="I2007" t="str">
        <f>VLOOKUP($A2007, 'Medical Examinations'!A:K, 11, FALSE)</f>
        <v>No</v>
      </c>
      <c r="J2007" t="str">
        <f>VLOOKUP($A2007, 'Medical Examinations'!A:B, 2, FALSE)</f>
        <v>Underweight</v>
      </c>
      <c r="K2007" t="str">
        <f>VLOOKUP($A2007, 'Medical Examinations'!A:D, 4, FALSE)</f>
        <v>Normal</v>
      </c>
    </row>
    <row r="2008" spans="1:11" ht="15.5" x14ac:dyDescent="0.35">
      <c r="A2008" s="1" t="s">
        <v>361</v>
      </c>
      <c r="B2008" t="str">
        <f>VLOOKUP($A2008, 'Customer Names'!A:D, 3, FALSE)</f>
        <v>Martin</v>
      </c>
      <c r="C2008">
        <f>VLOOKUP($A2008,'Medical Examinations'!A:C, 3, FALSE)</f>
        <v>25.61</v>
      </c>
      <c r="D2008" t="str">
        <f>VLOOKUP($A2008, 'Medical Examinations'!A:D, 4, FALSE)</f>
        <v>Normal</v>
      </c>
      <c r="E2008" t="str">
        <f>VLOOKUP($A2008, 'Medical Examinations'!A:F, 6, FALSE)</f>
        <v>No</v>
      </c>
      <c r="F2008" t="str">
        <f>VLOOKUP($A2008, 'Medical Examinations'!A:G, 7, FALSE)</f>
        <v>No</v>
      </c>
      <c r="G2008" t="str">
        <f>VLOOKUP($A2008, 'Medical Examinations'!A:H, 8, FALSE)</f>
        <v>Yes</v>
      </c>
      <c r="H2008">
        <f>VLOOKUP($A2008, 'Medical Examinations'!A:J, 10, FALSE)</f>
        <v>1</v>
      </c>
      <c r="I2008" t="str">
        <f>VLOOKUP($A2008, 'Medical Examinations'!A:K, 11, FALSE)</f>
        <v>No</v>
      </c>
      <c r="J2008" t="str">
        <f>VLOOKUP($A2008, 'Medical Examinations'!A:B, 2, FALSE)</f>
        <v>Overweight</v>
      </c>
      <c r="K2008" t="str">
        <f>VLOOKUP($A2008, 'Medical Examinations'!A:D, 4, FALSE)</f>
        <v>Normal</v>
      </c>
    </row>
    <row r="2009" spans="1:11" ht="15.5" x14ac:dyDescent="0.35">
      <c r="A2009" s="1" t="s">
        <v>360</v>
      </c>
      <c r="B2009" t="str">
        <f>VLOOKUP($A2009, 'Customer Names'!A:D, 3, FALSE)</f>
        <v>Vandeventer</v>
      </c>
      <c r="C2009">
        <f>VLOOKUP($A2009,'Medical Examinations'!A:C, 3, FALSE)</f>
        <v>25.8</v>
      </c>
      <c r="D2009" t="str">
        <f>VLOOKUP($A2009, 'Medical Examinations'!A:D, 4, FALSE)</f>
        <v>Normal</v>
      </c>
      <c r="E2009" t="str">
        <f>VLOOKUP($A2009, 'Medical Examinations'!A:F, 6, FALSE)</f>
        <v>No</v>
      </c>
      <c r="F2009" t="str">
        <f>VLOOKUP($A2009, 'Medical Examinations'!A:G, 7, FALSE)</f>
        <v>No</v>
      </c>
      <c r="G2009" t="str">
        <f>VLOOKUP($A2009, 'Medical Examinations'!A:H, 8, FALSE)</f>
        <v>No</v>
      </c>
      <c r="H2009" t="str">
        <f>VLOOKUP($A2009, 'Medical Examinations'!A:J, 10, FALSE)</f>
        <v>No major surgery</v>
      </c>
      <c r="I2009" t="str">
        <f>VLOOKUP($A2009, 'Medical Examinations'!A:K, 11, FALSE)</f>
        <v>No</v>
      </c>
      <c r="J2009" t="str">
        <f>VLOOKUP($A2009, 'Medical Examinations'!A:B, 2, FALSE)</f>
        <v>Overweight</v>
      </c>
      <c r="K2009" t="str">
        <f>VLOOKUP($A2009, 'Medical Examinations'!A:D, 4, FALSE)</f>
        <v>Normal</v>
      </c>
    </row>
    <row r="2010" spans="1:11" ht="15.5" x14ac:dyDescent="0.35">
      <c r="A2010" s="1" t="s">
        <v>359</v>
      </c>
      <c r="B2010" t="str">
        <f>VLOOKUP($A2010, 'Customer Names'!A:D, 3, FALSE)</f>
        <v>Hirano</v>
      </c>
      <c r="C2010">
        <f>VLOOKUP($A2010,'Medical Examinations'!A:C, 3, FALSE)</f>
        <v>27.39</v>
      </c>
      <c r="D2010" t="str">
        <f>VLOOKUP($A2010, 'Medical Examinations'!A:D, 4, FALSE)</f>
        <v>Normal</v>
      </c>
      <c r="E2010" t="str">
        <f>VLOOKUP($A2010, 'Medical Examinations'!A:F, 6, FALSE)</f>
        <v>No</v>
      </c>
      <c r="F2010" t="str">
        <f>VLOOKUP($A2010, 'Medical Examinations'!A:G, 7, FALSE)</f>
        <v>No</v>
      </c>
      <c r="G2010" t="str">
        <f>VLOOKUP($A2010, 'Medical Examinations'!A:H, 8, FALSE)</f>
        <v>No</v>
      </c>
      <c r="H2010" t="str">
        <f>VLOOKUP($A2010, 'Medical Examinations'!A:J, 10, FALSE)</f>
        <v>No major surgery</v>
      </c>
      <c r="I2010" t="str">
        <f>VLOOKUP($A2010, 'Medical Examinations'!A:K, 11, FALSE)</f>
        <v>No</v>
      </c>
      <c r="J2010" t="str">
        <f>VLOOKUP($A2010, 'Medical Examinations'!A:B, 2, FALSE)</f>
        <v>Overweight</v>
      </c>
      <c r="K2010" t="str">
        <f>VLOOKUP($A2010, 'Medical Examinations'!A:D, 4, FALSE)</f>
        <v>Normal</v>
      </c>
    </row>
    <row r="2011" spans="1:11" ht="15.5" x14ac:dyDescent="0.35">
      <c r="A2011" s="1" t="s">
        <v>358</v>
      </c>
      <c r="B2011" t="str">
        <f>VLOOKUP($A2011, 'Customer Names'!A:D, 3, FALSE)</f>
        <v>Davi</v>
      </c>
      <c r="C2011">
        <f>VLOOKUP($A2011,'Medical Examinations'!A:C, 3, FALSE)</f>
        <v>17.03</v>
      </c>
      <c r="D2011" t="str">
        <f>VLOOKUP($A2011, 'Medical Examinations'!A:D, 4, FALSE)</f>
        <v>Normal</v>
      </c>
      <c r="E2011" t="str">
        <f>VLOOKUP($A2011, 'Medical Examinations'!A:F, 6, FALSE)</f>
        <v>No</v>
      </c>
      <c r="F2011" t="str">
        <f>VLOOKUP($A2011, 'Medical Examinations'!A:G, 7, FALSE)</f>
        <v>No</v>
      </c>
      <c r="G2011" t="str">
        <f>VLOOKUP($A2011, 'Medical Examinations'!A:H, 8, FALSE)</f>
        <v>No</v>
      </c>
      <c r="H2011">
        <f>VLOOKUP($A2011, 'Medical Examinations'!A:J, 10, FALSE)</f>
        <v>1</v>
      </c>
      <c r="I2011" t="str">
        <f>VLOOKUP($A2011, 'Medical Examinations'!A:K, 11, FALSE)</f>
        <v>No</v>
      </c>
      <c r="J2011" t="str">
        <f>VLOOKUP($A2011, 'Medical Examinations'!A:B, 2, FALSE)</f>
        <v>Underweight</v>
      </c>
      <c r="K2011" t="str">
        <f>VLOOKUP($A2011, 'Medical Examinations'!A:D, 4, FALSE)</f>
        <v>Normal</v>
      </c>
    </row>
    <row r="2012" spans="1:11" ht="15.5" x14ac:dyDescent="0.35">
      <c r="A2012" s="1" t="s">
        <v>357</v>
      </c>
      <c r="B2012" t="str">
        <f>VLOOKUP($A2012, 'Customer Names'!A:D, 3, FALSE)</f>
        <v>Sloan</v>
      </c>
      <c r="C2012">
        <f>VLOOKUP($A2012,'Medical Examinations'!A:C, 3, FALSE)</f>
        <v>23.75</v>
      </c>
      <c r="D2012" t="str">
        <f>VLOOKUP($A2012, 'Medical Examinations'!A:D, 4, FALSE)</f>
        <v>Normal</v>
      </c>
      <c r="E2012" t="str">
        <f>VLOOKUP($A2012, 'Medical Examinations'!A:F, 6, FALSE)</f>
        <v>yes</v>
      </c>
      <c r="F2012" t="str">
        <f>VLOOKUP($A2012, 'Medical Examinations'!A:G, 7, FALSE)</f>
        <v>No</v>
      </c>
      <c r="G2012" t="str">
        <f>VLOOKUP($A2012, 'Medical Examinations'!A:H, 8, FALSE)</f>
        <v>No</v>
      </c>
      <c r="H2012" t="str">
        <f>VLOOKUP($A2012, 'Medical Examinations'!A:J, 10, FALSE)</f>
        <v>No major surgery</v>
      </c>
      <c r="I2012" t="str">
        <f>VLOOKUP($A2012, 'Medical Examinations'!A:K, 11, FALSE)</f>
        <v>No</v>
      </c>
      <c r="J2012" t="str">
        <f>VLOOKUP($A2012, 'Medical Examinations'!A:B, 2, FALSE)</f>
        <v>Normal Weight</v>
      </c>
      <c r="K2012" t="str">
        <f>VLOOKUP($A2012, 'Medical Examinations'!A:D, 4, FALSE)</f>
        <v>Normal</v>
      </c>
    </row>
    <row r="2013" spans="1:11" ht="15.5" x14ac:dyDescent="0.35">
      <c r="A2013" s="1" t="s">
        <v>355</v>
      </c>
      <c r="B2013" t="str">
        <f>VLOOKUP($A2013, 'Customer Names'!A:D, 3, FALSE)</f>
        <v>Homich</v>
      </c>
      <c r="C2013">
        <f>VLOOKUP($A2013,'Medical Examinations'!A:C, 3, FALSE)</f>
        <v>26.03</v>
      </c>
      <c r="D2013" t="str">
        <f>VLOOKUP($A2013, 'Medical Examinations'!A:D, 4, FALSE)</f>
        <v>Normal</v>
      </c>
      <c r="E2013" t="str">
        <f>VLOOKUP($A2013, 'Medical Examinations'!A:F, 6, FALSE)</f>
        <v>yes</v>
      </c>
      <c r="F2013" t="str">
        <f>VLOOKUP($A2013, 'Medical Examinations'!A:G, 7, FALSE)</f>
        <v>No</v>
      </c>
      <c r="G2013" t="str">
        <f>VLOOKUP($A2013, 'Medical Examinations'!A:H, 8, FALSE)</f>
        <v>No</v>
      </c>
      <c r="H2013">
        <f>VLOOKUP($A2013, 'Medical Examinations'!A:J, 10, FALSE)</f>
        <v>1</v>
      </c>
      <c r="I2013" t="str">
        <f>VLOOKUP($A2013, 'Medical Examinations'!A:K, 11, FALSE)</f>
        <v>No</v>
      </c>
      <c r="J2013" t="str">
        <f>VLOOKUP($A2013, 'Medical Examinations'!A:B, 2, FALSE)</f>
        <v>Overweight</v>
      </c>
      <c r="K2013" t="str">
        <f>VLOOKUP($A2013, 'Medical Examinations'!A:D, 4, FALSE)</f>
        <v>Normal</v>
      </c>
    </row>
    <row r="2014" spans="1:11" ht="15.5" x14ac:dyDescent="0.35">
      <c r="A2014" s="1" t="s">
        <v>354</v>
      </c>
      <c r="B2014" t="str">
        <f>VLOOKUP($A2014, 'Customer Names'!A:D, 3, FALSE)</f>
        <v>Bell</v>
      </c>
      <c r="C2014">
        <f>VLOOKUP($A2014,'Medical Examinations'!A:C, 3, FALSE)</f>
        <v>16.079999999999998</v>
      </c>
      <c r="D2014" t="str">
        <f>VLOOKUP($A2014, 'Medical Examinations'!A:D, 4, FALSE)</f>
        <v>Prediabetes</v>
      </c>
      <c r="E2014" t="str">
        <f>VLOOKUP($A2014, 'Medical Examinations'!A:F, 6, FALSE)</f>
        <v>No</v>
      </c>
      <c r="F2014" t="str">
        <f>VLOOKUP($A2014, 'Medical Examinations'!A:G, 7, FALSE)</f>
        <v>No</v>
      </c>
      <c r="G2014" t="str">
        <f>VLOOKUP($A2014, 'Medical Examinations'!A:H, 8, FALSE)</f>
        <v>No</v>
      </c>
      <c r="H2014" t="str">
        <f>VLOOKUP($A2014, 'Medical Examinations'!A:J, 10, FALSE)</f>
        <v>No major surgery</v>
      </c>
      <c r="I2014" t="str">
        <f>VLOOKUP($A2014, 'Medical Examinations'!A:K, 11, FALSE)</f>
        <v>No</v>
      </c>
      <c r="J2014" t="str">
        <f>VLOOKUP($A2014, 'Medical Examinations'!A:B, 2, FALSE)</f>
        <v>Underweight</v>
      </c>
      <c r="K2014" t="str">
        <f>VLOOKUP($A2014, 'Medical Examinations'!A:D, 4, FALSE)</f>
        <v>Prediabetes</v>
      </c>
    </row>
    <row r="2015" spans="1:11" ht="15.5" x14ac:dyDescent="0.35">
      <c r="A2015" s="1" t="s">
        <v>353</v>
      </c>
      <c r="B2015" t="str">
        <f>VLOOKUP($A2015, 'Customer Names'!A:D, 3, FALSE)</f>
        <v>Kristjansson</v>
      </c>
      <c r="C2015">
        <f>VLOOKUP($A2015,'Medical Examinations'!A:C, 3, FALSE)</f>
        <v>30.875</v>
      </c>
      <c r="D2015" t="str">
        <f>VLOOKUP($A2015, 'Medical Examinations'!A:D, 4, FALSE)</f>
        <v>Normal</v>
      </c>
      <c r="E2015" t="str">
        <f>VLOOKUP($A2015, 'Medical Examinations'!A:F, 6, FALSE)</f>
        <v>No</v>
      </c>
      <c r="F2015" t="str">
        <f>VLOOKUP($A2015, 'Medical Examinations'!A:G, 7, FALSE)</f>
        <v>No</v>
      </c>
      <c r="G2015" t="str">
        <f>VLOOKUP($A2015, 'Medical Examinations'!A:H, 8, FALSE)</f>
        <v>No</v>
      </c>
      <c r="H2015" t="str">
        <f>VLOOKUP($A2015, 'Medical Examinations'!A:J, 10, FALSE)</f>
        <v>No major surgery</v>
      </c>
      <c r="I2015" t="str">
        <f>VLOOKUP($A2015, 'Medical Examinations'!A:K, 11, FALSE)</f>
        <v>No</v>
      </c>
      <c r="J2015" t="str">
        <f>VLOOKUP($A2015, 'Medical Examinations'!A:B, 2, FALSE)</f>
        <v>Obesity</v>
      </c>
      <c r="K2015" t="str">
        <f>VLOOKUP($A2015, 'Medical Examinations'!A:D, 4, FALSE)</f>
        <v>Normal</v>
      </c>
    </row>
    <row r="2016" spans="1:11" ht="15.5" x14ac:dyDescent="0.35">
      <c r="A2016" s="1" t="s">
        <v>352</v>
      </c>
      <c r="B2016" t="str">
        <f>VLOOKUP($A2016, 'Customer Names'!A:D, 3, FALSE)</f>
        <v>Pitman</v>
      </c>
      <c r="C2016">
        <f>VLOOKUP($A2016,'Medical Examinations'!A:C, 3, FALSE)</f>
        <v>31.79</v>
      </c>
      <c r="D2016" t="str">
        <f>VLOOKUP($A2016, 'Medical Examinations'!A:D, 4, FALSE)</f>
        <v>Diabetes</v>
      </c>
      <c r="E2016" t="str">
        <f>VLOOKUP($A2016, 'Medical Examinations'!A:F, 6, FALSE)</f>
        <v>No</v>
      </c>
      <c r="F2016" t="str">
        <f>VLOOKUP($A2016, 'Medical Examinations'!A:G, 7, FALSE)</f>
        <v>No</v>
      </c>
      <c r="G2016" t="str">
        <f>VLOOKUP($A2016, 'Medical Examinations'!A:H, 8, FALSE)</f>
        <v>No</v>
      </c>
      <c r="H2016" t="str">
        <f>VLOOKUP($A2016, 'Medical Examinations'!A:J, 10, FALSE)</f>
        <v>No major surgery</v>
      </c>
      <c r="I2016" t="str">
        <f>VLOOKUP($A2016, 'Medical Examinations'!A:K, 11, FALSE)</f>
        <v>No</v>
      </c>
      <c r="J2016" t="str">
        <f>VLOOKUP($A2016, 'Medical Examinations'!A:B, 2, FALSE)</f>
        <v>Obesity</v>
      </c>
      <c r="K2016" t="str">
        <f>VLOOKUP($A2016, 'Medical Examinations'!A:D, 4, FALSE)</f>
        <v>Diabetes</v>
      </c>
    </row>
    <row r="2017" spans="1:11" ht="15.5" x14ac:dyDescent="0.35">
      <c r="A2017" s="1" t="s">
        <v>351</v>
      </c>
      <c r="B2017" t="str">
        <f>VLOOKUP($A2017, 'Customer Names'!A:D, 3, FALSE)</f>
        <v>Curley</v>
      </c>
      <c r="C2017">
        <f>VLOOKUP($A2017,'Medical Examinations'!A:C, 3, FALSE)</f>
        <v>28.48</v>
      </c>
      <c r="D2017" t="str">
        <f>VLOOKUP($A2017, 'Medical Examinations'!A:D, 4, FALSE)</f>
        <v>Prediabetes</v>
      </c>
      <c r="E2017" t="str">
        <f>VLOOKUP($A2017, 'Medical Examinations'!A:F, 6, FALSE)</f>
        <v>yes</v>
      </c>
      <c r="F2017" t="str">
        <f>VLOOKUP($A2017, 'Medical Examinations'!A:G, 7, FALSE)</f>
        <v>No</v>
      </c>
      <c r="G2017" t="str">
        <f>VLOOKUP($A2017, 'Medical Examinations'!A:H, 8, FALSE)</f>
        <v>Yes</v>
      </c>
      <c r="H2017">
        <f>VLOOKUP($A2017, 'Medical Examinations'!A:J, 10, FALSE)</f>
        <v>1</v>
      </c>
      <c r="I2017" t="str">
        <f>VLOOKUP($A2017, 'Medical Examinations'!A:K, 11, FALSE)</f>
        <v>No</v>
      </c>
      <c r="J2017" t="str">
        <f>VLOOKUP($A2017, 'Medical Examinations'!A:B, 2, FALSE)</f>
        <v>Overweight</v>
      </c>
      <c r="K2017" t="str">
        <f>VLOOKUP($A2017, 'Medical Examinations'!A:D, 4, FALSE)</f>
        <v>Prediabetes</v>
      </c>
    </row>
    <row r="2018" spans="1:11" ht="15.5" x14ac:dyDescent="0.35">
      <c r="A2018" s="1" t="s">
        <v>350</v>
      </c>
      <c r="B2018" t="str">
        <f>VLOOKUP($A2018, 'Customer Names'!A:D, 3, FALSE)</f>
        <v>Zimmer</v>
      </c>
      <c r="C2018">
        <f>VLOOKUP($A2018,'Medical Examinations'!A:C, 3, FALSE)</f>
        <v>26.6</v>
      </c>
      <c r="D2018" t="str">
        <f>VLOOKUP($A2018, 'Medical Examinations'!A:D, 4, FALSE)</f>
        <v>Normal</v>
      </c>
      <c r="E2018" t="str">
        <f>VLOOKUP($A2018, 'Medical Examinations'!A:F, 6, FALSE)</f>
        <v>No</v>
      </c>
      <c r="F2018" t="str">
        <f>VLOOKUP($A2018, 'Medical Examinations'!A:G, 7, FALSE)</f>
        <v>No</v>
      </c>
      <c r="G2018" t="str">
        <f>VLOOKUP($A2018, 'Medical Examinations'!A:H, 8, FALSE)</f>
        <v>No</v>
      </c>
      <c r="H2018">
        <f>VLOOKUP($A2018, 'Medical Examinations'!A:J, 10, FALSE)</f>
        <v>1</v>
      </c>
      <c r="I2018" t="str">
        <f>VLOOKUP($A2018, 'Medical Examinations'!A:K, 11, FALSE)</f>
        <v>No</v>
      </c>
      <c r="J2018" t="str">
        <f>VLOOKUP($A2018, 'Medical Examinations'!A:B, 2, FALSE)</f>
        <v>Overweight</v>
      </c>
      <c r="K2018" t="str">
        <f>VLOOKUP($A2018, 'Medical Examinations'!A:D, 4, FALSE)</f>
        <v>Normal</v>
      </c>
    </row>
    <row r="2019" spans="1:11" ht="15.5" x14ac:dyDescent="0.35">
      <c r="A2019" s="1" t="s">
        <v>349</v>
      </c>
      <c r="B2019" t="str">
        <f>VLOOKUP($A2019, 'Customer Names'!A:D, 3, FALSE)</f>
        <v>Granski</v>
      </c>
      <c r="C2019">
        <f>VLOOKUP($A2019,'Medical Examinations'!A:C, 3, FALSE)</f>
        <v>25.27</v>
      </c>
      <c r="D2019" t="str">
        <f>VLOOKUP($A2019, 'Medical Examinations'!A:D, 4, FALSE)</f>
        <v>Prediabetes</v>
      </c>
      <c r="E2019" t="str">
        <f>VLOOKUP($A2019, 'Medical Examinations'!A:F, 6, FALSE)</f>
        <v>No</v>
      </c>
      <c r="F2019" t="str">
        <f>VLOOKUP($A2019, 'Medical Examinations'!A:G, 7, FALSE)</f>
        <v>No</v>
      </c>
      <c r="G2019" t="str">
        <f>VLOOKUP($A2019, 'Medical Examinations'!A:H, 8, FALSE)</f>
        <v>No</v>
      </c>
      <c r="H2019">
        <f>VLOOKUP($A2019, 'Medical Examinations'!A:J, 10, FALSE)</f>
        <v>1</v>
      </c>
      <c r="I2019" t="str">
        <f>VLOOKUP($A2019, 'Medical Examinations'!A:K, 11, FALSE)</f>
        <v>No</v>
      </c>
      <c r="J2019" t="str">
        <f>VLOOKUP($A2019, 'Medical Examinations'!A:B, 2, FALSE)</f>
        <v>Overweight</v>
      </c>
      <c r="K2019" t="str">
        <f>VLOOKUP($A2019, 'Medical Examinations'!A:D, 4, FALSE)</f>
        <v>Prediabetes</v>
      </c>
    </row>
    <row r="2020" spans="1:11" ht="15.5" x14ac:dyDescent="0.35">
      <c r="A2020" s="1" t="s">
        <v>348</v>
      </c>
      <c r="B2020" t="str">
        <f>VLOOKUP($A2020, 'Customer Names'!A:D, 3, FALSE)</f>
        <v>Dunn</v>
      </c>
      <c r="C2020">
        <f>VLOOKUP($A2020,'Medical Examinations'!A:C, 3, FALSE)</f>
        <v>34.484999999999999</v>
      </c>
      <c r="D2020" t="str">
        <f>VLOOKUP($A2020, 'Medical Examinations'!A:D, 4, FALSE)</f>
        <v>Normal</v>
      </c>
      <c r="E2020" t="str">
        <f>VLOOKUP($A2020, 'Medical Examinations'!A:F, 6, FALSE)</f>
        <v>yes</v>
      </c>
      <c r="F2020" t="str">
        <f>VLOOKUP($A2020, 'Medical Examinations'!A:G, 7, FALSE)</f>
        <v>No</v>
      </c>
      <c r="G2020" t="str">
        <f>VLOOKUP($A2020, 'Medical Examinations'!A:H, 8, FALSE)</f>
        <v>Yes</v>
      </c>
      <c r="H2020">
        <f>VLOOKUP($A2020, 'Medical Examinations'!A:J, 10, FALSE)</f>
        <v>1</v>
      </c>
      <c r="I2020" t="str">
        <f>VLOOKUP($A2020, 'Medical Examinations'!A:K, 11, FALSE)</f>
        <v>No</v>
      </c>
      <c r="J2020" t="str">
        <f>VLOOKUP($A2020, 'Medical Examinations'!A:B, 2, FALSE)</f>
        <v>Obesity</v>
      </c>
      <c r="K2020" t="str">
        <f>VLOOKUP($A2020, 'Medical Examinations'!A:D, 4, FALSE)</f>
        <v>Normal</v>
      </c>
    </row>
    <row r="2021" spans="1:11" ht="15.5" x14ac:dyDescent="0.35">
      <c r="A2021" s="1" t="s">
        <v>347</v>
      </c>
      <c r="B2021" t="str">
        <f>VLOOKUP($A2021, 'Customer Names'!A:D, 3, FALSE)</f>
        <v>Regina</v>
      </c>
      <c r="C2021">
        <f>VLOOKUP($A2021,'Medical Examinations'!A:C, 3, FALSE)</f>
        <v>15.57</v>
      </c>
      <c r="D2021" t="str">
        <f>VLOOKUP($A2021, 'Medical Examinations'!A:D, 4, FALSE)</f>
        <v>Normal</v>
      </c>
      <c r="E2021" t="str">
        <f>VLOOKUP($A2021, 'Medical Examinations'!A:F, 6, FALSE)</f>
        <v>yes</v>
      </c>
      <c r="F2021" t="str">
        <f>VLOOKUP($A2021, 'Medical Examinations'!A:G, 7, FALSE)</f>
        <v>No</v>
      </c>
      <c r="G2021" t="str">
        <f>VLOOKUP($A2021, 'Medical Examinations'!A:H, 8, FALSE)</f>
        <v>No</v>
      </c>
      <c r="H2021">
        <f>VLOOKUP($A2021, 'Medical Examinations'!A:J, 10, FALSE)</f>
        <v>1</v>
      </c>
      <c r="I2021" t="str">
        <f>VLOOKUP($A2021, 'Medical Examinations'!A:K, 11, FALSE)</f>
        <v>No</v>
      </c>
      <c r="J2021" t="str">
        <f>VLOOKUP($A2021, 'Medical Examinations'!A:B, 2, FALSE)</f>
        <v>Underweight</v>
      </c>
      <c r="K2021" t="str">
        <f>VLOOKUP($A2021, 'Medical Examinations'!A:D, 4, FALSE)</f>
        <v>Normal</v>
      </c>
    </row>
    <row r="2022" spans="1:11" ht="15.5" x14ac:dyDescent="0.35">
      <c r="A2022" s="1" t="s">
        <v>346</v>
      </c>
      <c r="B2022" t="str">
        <f>VLOOKUP($A2022, 'Customer Names'!A:D, 3, FALSE)</f>
        <v>O'Connor</v>
      </c>
      <c r="C2022">
        <f>VLOOKUP($A2022,'Medical Examinations'!A:C, 3, FALSE)</f>
        <v>30.36</v>
      </c>
      <c r="D2022" t="str">
        <f>VLOOKUP($A2022, 'Medical Examinations'!A:D, 4, FALSE)</f>
        <v>Diabetes</v>
      </c>
      <c r="E2022" t="str">
        <f>VLOOKUP($A2022, 'Medical Examinations'!A:F, 6, FALSE)</f>
        <v>No</v>
      </c>
      <c r="F2022" t="str">
        <f>VLOOKUP($A2022, 'Medical Examinations'!A:G, 7, FALSE)</f>
        <v>No</v>
      </c>
      <c r="G2022" t="str">
        <f>VLOOKUP($A2022, 'Medical Examinations'!A:H, 8, FALSE)</f>
        <v>No</v>
      </c>
      <c r="H2022" t="str">
        <f>VLOOKUP($A2022, 'Medical Examinations'!A:J, 10, FALSE)</f>
        <v>No major surgery</v>
      </c>
      <c r="I2022" t="str">
        <f>VLOOKUP($A2022, 'Medical Examinations'!A:K, 11, FALSE)</f>
        <v>No</v>
      </c>
      <c r="J2022" t="str">
        <f>VLOOKUP($A2022, 'Medical Examinations'!A:B, 2, FALSE)</f>
        <v>Obesity</v>
      </c>
      <c r="K2022" t="str">
        <f>VLOOKUP($A2022, 'Medical Examinations'!A:D, 4, FALSE)</f>
        <v>Diabetes</v>
      </c>
    </row>
    <row r="2023" spans="1:11" ht="15.5" x14ac:dyDescent="0.35">
      <c r="A2023" s="1" t="s">
        <v>345</v>
      </c>
      <c r="B2023" t="str">
        <f>VLOOKUP($A2023, 'Customer Names'!A:D, 3, FALSE)</f>
        <v>Howe</v>
      </c>
      <c r="C2023">
        <f>VLOOKUP($A2023,'Medical Examinations'!A:C, 3, FALSE)</f>
        <v>19.37</v>
      </c>
      <c r="D2023" t="str">
        <f>VLOOKUP($A2023, 'Medical Examinations'!A:D, 4, FALSE)</f>
        <v>Normal</v>
      </c>
      <c r="E2023" t="str">
        <f>VLOOKUP($A2023, 'Medical Examinations'!A:F, 6, FALSE)</f>
        <v>No</v>
      </c>
      <c r="F2023" t="str">
        <f>VLOOKUP($A2023, 'Medical Examinations'!A:G, 7, FALSE)</f>
        <v>No</v>
      </c>
      <c r="G2023" t="str">
        <f>VLOOKUP($A2023, 'Medical Examinations'!A:H, 8, FALSE)</f>
        <v>No</v>
      </c>
      <c r="H2023" t="str">
        <f>VLOOKUP($A2023, 'Medical Examinations'!A:J, 10, FALSE)</f>
        <v>No major surgery</v>
      </c>
      <c r="I2023" t="str">
        <f>VLOOKUP($A2023, 'Medical Examinations'!A:K, 11, FALSE)</f>
        <v>No</v>
      </c>
      <c r="J2023" t="str">
        <f>VLOOKUP($A2023, 'Medical Examinations'!A:B, 2, FALSE)</f>
        <v>Normal Weight</v>
      </c>
      <c r="K2023" t="str">
        <f>VLOOKUP($A2023, 'Medical Examinations'!A:D, 4, FALSE)</f>
        <v>Normal</v>
      </c>
    </row>
    <row r="2024" spans="1:11" ht="15.5" x14ac:dyDescent="0.35">
      <c r="A2024" s="1" t="s">
        <v>344</v>
      </c>
      <c r="B2024" t="str">
        <f>VLOOKUP($A2024, 'Customer Names'!A:D, 3, FALSE)</f>
        <v>Atwater</v>
      </c>
      <c r="C2024">
        <f>VLOOKUP($A2024,'Medical Examinations'!A:C, 3, FALSE)</f>
        <v>16.71</v>
      </c>
      <c r="D2024" t="str">
        <f>VLOOKUP($A2024, 'Medical Examinations'!A:D, 4, FALSE)</f>
        <v>Normal</v>
      </c>
      <c r="E2024" t="str">
        <f>VLOOKUP($A2024, 'Medical Examinations'!A:F, 6, FALSE)</f>
        <v>No</v>
      </c>
      <c r="F2024" t="str">
        <f>VLOOKUP($A2024, 'Medical Examinations'!A:G, 7, FALSE)</f>
        <v>No</v>
      </c>
      <c r="G2024" t="str">
        <f>VLOOKUP($A2024, 'Medical Examinations'!A:H, 8, FALSE)</f>
        <v>No</v>
      </c>
      <c r="H2024">
        <f>VLOOKUP($A2024, 'Medical Examinations'!A:J, 10, FALSE)</f>
        <v>1</v>
      </c>
      <c r="I2024" t="str">
        <f>VLOOKUP($A2024, 'Medical Examinations'!A:K, 11, FALSE)</f>
        <v>No</v>
      </c>
      <c r="J2024" t="str">
        <f>VLOOKUP($A2024, 'Medical Examinations'!A:B, 2, FALSE)</f>
        <v>Underweight</v>
      </c>
      <c r="K2024" t="str">
        <f>VLOOKUP($A2024, 'Medical Examinations'!A:D, 4, FALSE)</f>
        <v>Normal</v>
      </c>
    </row>
    <row r="2025" spans="1:11" ht="15.5" x14ac:dyDescent="0.35">
      <c r="A2025" s="1" t="s">
        <v>343</v>
      </c>
      <c r="B2025" t="str">
        <f>VLOOKUP($A2025, 'Customer Names'!A:D, 3, FALSE)</f>
        <v>Gurganus</v>
      </c>
      <c r="C2025">
        <f>VLOOKUP($A2025,'Medical Examinations'!A:C, 3, FALSE)</f>
        <v>24.1</v>
      </c>
      <c r="D2025" t="str">
        <f>VLOOKUP($A2025, 'Medical Examinations'!A:D, 4, FALSE)</f>
        <v>Normal</v>
      </c>
      <c r="E2025" t="str">
        <f>VLOOKUP($A2025, 'Medical Examinations'!A:F, 6, FALSE)</f>
        <v>yes</v>
      </c>
      <c r="F2025" t="str">
        <f>VLOOKUP($A2025, 'Medical Examinations'!A:G, 7, FALSE)</f>
        <v>No</v>
      </c>
      <c r="G2025" t="str">
        <f>VLOOKUP($A2025, 'Medical Examinations'!A:H, 8, FALSE)</f>
        <v>No</v>
      </c>
      <c r="H2025">
        <f>VLOOKUP($A2025, 'Medical Examinations'!A:J, 10, FALSE)</f>
        <v>1</v>
      </c>
      <c r="I2025" t="str">
        <f>VLOOKUP($A2025, 'Medical Examinations'!A:K, 11, FALSE)</f>
        <v>No</v>
      </c>
      <c r="J2025" t="str">
        <f>VLOOKUP($A2025, 'Medical Examinations'!A:B, 2, FALSE)</f>
        <v>Normal Weight</v>
      </c>
      <c r="K2025" t="str">
        <f>VLOOKUP($A2025, 'Medical Examinations'!A:D, 4, FALSE)</f>
        <v>Normal</v>
      </c>
    </row>
    <row r="2026" spans="1:11" ht="15.5" x14ac:dyDescent="0.35">
      <c r="A2026" s="1" t="s">
        <v>342</v>
      </c>
      <c r="B2026" t="str">
        <f>VLOOKUP($A2026, 'Customer Names'!A:D, 3, FALSE)</f>
        <v>Holden</v>
      </c>
      <c r="C2026">
        <f>VLOOKUP($A2026,'Medical Examinations'!A:C, 3, FALSE)</f>
        <v>29.77</v>
      </c>
      <c r="D2026" t="str">
        <f>VLOOKUP($A2026, 'Medical Examinations'!A:D, 4, FALSE)</f>
        <v>Diabetes</v>
      </c>
      <c r="E2026" t="str">
        <f>VLOOKUP($A2026, 'Medical Examinations'!A:F, 6, FALSE)</f>
        <v>No</v>
      </c>
      <c r="F2026" t="str">
        <f>VLOOKUP($A2026, 'Medical Examinations'!A:G, 7, FALSE)</f>
        <v>No</v>
      </c>
      <c r="G2026" t="str">
        <f>VLOOKUP($A2026, 'Medical Examinations'!A:H, 8, FALSE)</f>
        <v>No</v>
      </c>
      <c r="H2026" t="str">
        <f>VLOOKUP($A2026, 'Medical Examinations'!A:J, 10, FALSE)</f>
        <v>No major surgery</v>
      </c>
      <c r="I2026" t="str">
        <f>VLOOKUP($A2026, 'Medical Examinations'!A:K, 11, FALSE)</f>
        <v>No</v>
      </c>
      <c r="J2026" t="str">
        <f>VLOOKUP($A2026, 'Medical Examinations'!A:B, 2, FALSE)</f>
        <v>Overweight</v>
      </c>
      <c r="K2026" t="str">
        <f>VLOOKUP($A2026, 'Medical Examinations'!A:D, 4, FALSE)</f>
        <v>Diabetes</v>
      </c>
    </row>
    <row r="2027" spans="1:11" ht="15.5" x14ac:dyDescent="0.35">
      <c r="A2027" s="1" t="s">
        <v>341</v>
      </c>
      <c r="B2027" t="str">
        <f>VLOOKUP($A2027, 'Customer Names'!A:D, 3, FALSE)</f>
        <v>Parton</v>
      </c>
      <c r="C2027">
        <f>VLOOKUP($A2027,'Medical Examinations'!A:C, 3, FALSE)</f>
        <v>46.53</v>
      </c>
      <c r="D2027" t="str">
        <f>VLOOKUP($A2027, 'Medical Examinations'!A:D, 4, FALSE)</f>
        <v>Normal</v>
      </c>
      <c r="E2027" t="str">
        <f>VLOOKUP($A2027, 'Medical Examinations'!A:F, 6, FALSE)</f>
        <v>yes</v>
      </c>
      <c r="F2027" t="str">
        <f>VLOOKUP($A2027, 'Medical Examinations'!A:G, 7, FALSE)</f>
        <v>No</v>
      </c>
      <c r="G2027" t="str">
        <f>VLOOKUP($A2027, 'Medical Examinations'!A:H, 8, FALSE)</f>
        <v>No</v>
      </c>
      <c r="H2027" t="str">
        <f>VLOOKUP($A2027, 'Medical Examinations'!A:J, 10, FALSE)</f>
        <v>No major surgery</v>
      </c>
      <c r="I2027" t="str">
        <f>VLOOKUP($A2027, 'Medical Examinations'!A:K, 11, FALSE)</f>
        <v>No</v>
      </c>
      <c r="J2027" t="str">
        <f>VLOOKUP($A2027, 'Medical Examinations'!A:B, 2, FALSE)</f>
        <v>Obesity</v>
      </c>
      <c r="K2027" t="str">
        <f>VLOOKUP($A2027, 'Medical Examinations'!A:D, 4, FALSE)</f>
        <v>Normal</v>
      </c>
    </row>
    <row r="2028" spans="1:11" ht="15.5" x14ac:dyDescent="0.35">
      <c r="A2028" s="1" t="s">
        <v>340</v>
      </c>
      <c r="B2028" t="str">
        <f>VLOOKUP($A2028, 'Customer Names'!A:D, 3, FALSE)</f>
        <v>Downs</v>
      </c>
      <c r="C2028">
        <f>VLOOKUP($A2028,'Medical Examinations'!A:C, 3, FALSE)</f>
        <v>23.4</v>
      </c>
      <c r="D2028" t="str">
        <f>VLOOKUP($A2028, 'Medical Examinations'!A:D, 4, FALSE)</f>
        <v>Normal</v>
      </c>
      <c r="E2028" t="str">
        <f>VLOOKUP($A2028, 'Medical Examinations'!A:F, 6, FALSE)</f>
        <v>No</v>
      </c>
      <c r="F2028" t="str">
        <f>VLOOKUP($A2028, 'Medical Examinations'!A:G, 7, FALSE)</f>
        <v>No</v>
      </c>
      <c r="G2028" t="str">
        <f>VLOOKUP($A2028, 'Medical Examinations'!A:H, 8, FALSE)</f>
        <v>Yes</v>
      </c>
      <c r="H2028">
        <f>VLOOKUP($A2028, 'Medical Examinations'!A:J, 10, FALSE)</f>
        <v>1</v>
      </c>
      <c r="I2028" t="str">
        <f>VLOOKUP($A2028, 'Medical Examinations'!A:K, 11, FALSE)</f>
        <v>No</v>
      </c>
      <c r="J2028" t="str">
        <f>VLOOKUP($A2028, 'Medical Examinations'!A:B, 2, FALSE)</f>
        <v>Normal Weight</v>
      </c>
      <c r="K2028" t="str">
        <f>VLOOKUP($A2028, 'Medical Examinations'!A:D, 4, FALSE)</f>
        <v>Normal</v>
      </c>
    </row>
    <row r="2029" spans="1:11" ht="15.5" x14ac:dyDescent="0.35">
      <c r="A2029" s="1" t="s">
        <v>339</v>
      </c>
      <c r="B2029" t="str">
        <f>VLOOKUP($A2029, 'Customer Names'!A:D, 3, FALSE)</f>
        <v>Dent</v>
      </c>
      <c r="C2029">
        <f>VLOOKUP($A2029,'Medical Examinations'!A:C, 3, FALSE)</f>
        <v>30</v>
      </c>
      <c r="D2029" t="str">
        <f>VLOOKUP($A2029, 'Medical Examinations'!A:D, 4, FALSE)</f>
        <v>Normal</v>
      </c>
      <c r="E2029" t="str">
        <f>VLOOKUP($A2029, 'Medical Examinations'!A:F, 6, FALSE)</f>
        <v>yes</v>
      </c>
      <c r="F2029" t="str">
        <f>VLOOKUP($A2029, 'Medical Examinations'!A:G, 7, FALSE)</f>
        <v>No</v>
      </c>
      <c r="G2029" t="str">
        <f>VLOOKUP($A2029, 'Medical Examinations'!A:H, 8, FALSE)</f>
        <v>No</v>
      </c>
      <c r="H2029" t="str">
        <f>VLOOKUP($A2029, 'Medical Examinations'!A:J, 10, FALSE)</f>
        <v>No major surgery</v>
      </c>
      <c r="I2029" t="str">
        <f>VLOOKUP($A2029, 'Medical Examinations'!A:K, 11, FALSE)</f>
        <v>No</v>
      </c>
      <c r="J2029" t="str">
        <f>VLOOKUP($A2029, 'Medical Examinations'!A:B, 2, FALSE)</f>
        <v>Obesity</v>
      </c>
      <c r="K2029" t="str">
        <f>VLOOKUP($A2029, 'Medical Examinations'!A:D, 4, FALSE)</f>
        <v>Normal</v>
      </c>
    </row>
    <row r="2030" spans="1:11" ht="15.5" x14ac:dyDescent="0.35">
      <c r="A2030" s="1" t="s">
        <v>338</v>
      </c>
      <c r="B2030" t="str">
        <f>VLOOKUP($A2030, 'Customer Names'!A:D, 3, FALSE)</f>
        <v>Ranti</v>
      </c>
      <c r="C2030">
        <f>VLOOKUP($A2030,'Medical Examinations'!A:C, 3, FALSE)</f>
        <v>29.15</v>
      </c>
      <c r="D2030" t="str">
        <f>VLOOKUP($A2030, 'Medical Examinations'!A:D, 4, FALSE)</f>
        <v>Normal</v>
      </c>
      <c r="E2030" t="str">
        <f>VLOOKUP($A2030, 'Medical Examinations'!A:F, 6, FALSE)</f>
        <v>yes</v>
      </c>
      <c r="F2030" t="str">
        <f>VLOOKUP($A2030, 'Medical Examinations'!A:G, 7, FALSE)</f>
        <v>No</v>
      </c>
      <c r="G2030" t="str">
        <f>VLOOKUP($A2030, 'Medical Examinations'!A:H, 8, FALSE)</f>
        <v>No</v>
      </c>
      <c r="H2030" t="str">
        <f>VLOOKUP($A2030, 'Medical Examinations'!A:J, 10, FALSE)</f>
        <v>No major surgery</v>
      </c>
      <c r="I2030" t="str">
        <f>VLOOKUP($A2030, 'Medical Examinations'!A:K, 11, FALSE)</f>
        <v>No</v>
      </c>
      <c r="J2030" t="str">
        <f>VLOOKUP($A2030, 'Medical Examinations'!A:B, 2, FALSE)</f>
        <v>Overweight</v>
      </c>
      <c r="K2030" t="str">
        <f>VLOOKUP($A2030, 'Medical Examinations'!A:D, 4, FALSE)</f>
        <v>Normal</v>
      </c>
    </row>
    <row r="2031" spans="1:11" ht="15.5" x14ac:dyDescent="0.35">
      <c r="A2031" s="1" t="s">
        <v>337</v>
      </c>
      <c r="B2031" t="str">
        <f>VLOOKUP($A2031, 'Customer Names'!A:D, 3, FALSE)</f>
        <v>Ishaq</v>
      </c>
      <c r="C2031">
        <f>VLOOKUP($A2031,'Medical Examinations'!A:C, 3, FALSE)</f>
        <v>34.865000000000002</v>
      </c>
      <c r="D2031" t="str">
        <f>VLOOKUP($A2031, 'Medical Examinations'!A:D, 4, FALSE)</f>
        <v>Normal</v>
      </c>
      <c r="E2031" t="str">
        <f>VLOOKUP($A2031, 'Medical Examinations'!A:F, 6, FALSE)</f>
        <v>No</v>
      </c>
      <c r="F2031" t="str">
        <f>VLOOKUP($A2031, 'Medical Examinations'!A:G, 7, FALSE)</f>
        <v>No</v>
      </c>
      <c r="G2031" t="str">
        <f>VLOOKUP($A2031, 'Medical Examinations'!A:H, 8, FALSE)</f>
        <v>No</v>
      </c>
      <c r="H2031" t="str">
        <f>VLOOKUP($A2031, 'Medical Examinations'!A:J, 10, FALSE)</f>
        <v>No major surgery</v>
      </c>
      <c r="I2031" t="str">
        <f>VLOOKUP($A2031, 'Medical Examinations'!A:K, 11, FALSE)</f>
        <v>No</v>
      </c>
      <c r="J2031" t="str">
        <f>VLOOKUP($A2031, 'Medical Examinations'!A:B, 2, FALSE)</f>
        <v>Obesity</v>
      </c>
      <c r="K2031" t="str">
        <f>VLOOKUP($A2031, 'Medical Examinations'!A:D, 4, FALSE)</f>
        <v>Normal</v>
      </c>
    </row>
    <row r="2032" spans="1:11" ht="15.5" x14ac:dyDescent="0.35">
      <c r="A2032" s="1" t="s">
        <v>336</v>
      </c>
      <c r="B2032" t="str">
        <f>VLOOKUP($A2032, 'Customer Names'!A:D, 3, FALSE)</f>
        <v>Wiles</v>
      </c>
      <c r="C2032">
        <f>VLOOKUP($A2032,'Medical Examinations'!A:C, 3, FALSE)</f>
        <v>28.12</v>
      </c>
      <c r="D2032" t="str">
        <f>VLOOKUP($A2032, 'Medical Examinations'!A:D, 4, FALSE)</f>
        <v>Normal</v>
      </c>
      <c r="E2032" t="str">
        <f>VLOOKUP($A2032, 'Medical Examinations'!A:F, 6, FALSE)</f>
        <v>yes</v>
      </c>
      <c r="F2032" t="str">
        <f>VLOOKUP($A2032, 'Medical Examinations'!A:G, 7, FALSE)</f>
        <v>yes</v>
      </c>
      <c r="G2032" t="str">
        <f>VLOOKUP($A2032, 'Medical Examinations'!A:H, 8, FALSE)</f>
        <v>No</v>
      </c>
      <c r="H2032">
        <f>VLOOKUP($A2032, 'Medical Examinations'!A:J, 10, FALSE)</f>
        <v>2</v>
      </c>
      <c r="I2032" t="str">
        <f>VLOOKUP($A2032, 'Medical Examinations'!A:K, 11, FALSE)</f>
        <v>No</v>
      </c>
      <c r="J2032" t="str">
        <f>VLOOKUP($A2032, 'Medical Examinations'!A:B, 2, FALSE)</f>
        <v>Overweight</v>
      </c>
      <c r="K2032" t="str">
        <f>VLOOKUP($A2032, 'Medical Examinations'!A:D, 4, FALSE)</f>
        <v>Normal</v>
      </c>
    </row>
    <row r="2033" spans="1:11" ht="15.5" x14ac:dyDescent="0.35">
      <c r="A2033" s="1" t="s">
        <v>335</v>
      </c>
      <c r="B2033" t="str">
        <f>VLOOKUP($A2033, 'Customer Names'!A:D, 3, FALSE)</f>
        <v>Roberts</v>
      </c>
      <c r="C2033">
        <f>VLOOKUP($A2033,'Medical Examinations'!A:C, 3, FALSE)</f>
        <v>29.45</v>
      </c>
      <c r="D2033" t="str">
        <f>VLOOKUP($A2033, 'Medical Examinations'!A:D, 4, FALSE)</f>
        <v>Normal</v>
      </c>
      <c r="E2033" t="str">
        <f>VLOOKUP($A2033, 'Medical Examinations'!A:F, 6, FALSE)</f>
        <v>yes</v>
      </c>
      <c r="F2033" t="str">
        <f>VLOOKUP($A2033, 'Medical Examinations'!A:G, 7, FALSE)</f>
        <v>No</v>
      </c>
      <c r="G2033" t="str">
        <f>VLOOKUP($A2033, 'Medical Examinations'!A:H, 8, FALSE)</f>
        <v>No</v>
      </c>
      <c r="H2033" t="str">
        <f>VLOOKUP($A2033, 'Medical Examinations'!A:J, 10, FALSE)</f>
        <v>No major surgery</v>
      </c>
      <c r="I2033" t="str">
        <f>VLOOKUP($A2033, 'Medical Examinations'!A:K, 11, FALSE)</f>
        <v>No</v>
      </c>
      <c r="J2033" t="str">
        <f>VLOOKUP($A2033, 'Medical Examinations'!A:B, 2, FALSE)</f>
        <v>Overweight</v>
      </c>
      <c r="K2033" t="str">
        <f>VLOOKUP($A2033, 'Medical Examinations'!A:D, 4, FALSE)</f>
        <v>Normal</v>
      </c>
    </row>
    <row r="2034" spans="1:11" ht="15.5" x14ac:dyDescent="0.35">
      <c r="A2034" s="1" t="s">
        <v>334</v>
      </c>
      <c r="B2034" t="str">
        <f>VLOOKUP($A2034, 'Customer Names'!A:D, 3, FALSE)</f>
        <v>Serafini</v>
      </c>
      <c r="C2034">
        <f>VLOOKUP($A2034,'Medical Examinations'!A:C, 3, FALSE)</f>
        <v>27.94</v>
      </c>
      <c r="D2034" t="str">
        <f>VLOOKUP($A2034, 'Medical Examinations'!A:D, 4, FALSE)</f>
        <v>Prediabetes</v>
      </c>
      <c r="E2034" t="str">
        <f>VLOOKUP($A2034, 'Medical Examinations'!A:F, 6, FALSE)</f>
        <v>No</v>
      </c>
      <c r="F2034" t="str">
        <f>VLOOKUP($A2034, 'Medical Examinations'!A:G, 7, FALSE)</f>
        <v>No</v>
      </c>
      <c r="G2034" t="str">
        <f>VLOOKUP($A2034, 'Medical Examinations'!A:H, 8, FALSE)</f>
        <v>Yes</v>
      </c>
      <c r="H2034">
        <f>VLOOKUP($A2034, 'Medical Examinations'!A:J, 10, FALSE)</f>
        <v>1</v>
      </c>
      <c r="I2034" t="str">
        <f>VLOOKUP($A2034, 'Medical Examinations'!A:K, 11, FALSE)</f>
        <v>No</v>
      </c>
      <c r="J2034" t="str">
        <f>VLOOKUP($A2034, 'Medical Examinations'!A:B, 2, FALSE)</f>
        <v>Overweight</v>
      </c>
      <c r="K2034" t="str">
        <f>VLOOKUP($A2034, 'Medical Examinations'!A:D, 4, FALSE)</f>
        <v>Prediabetes</v>
      </c>
    </row>
    <row r="2035" spans="1:11" ht="15.5" x14ac:dyDescent="0.35">
      <c r="A2035" s="1" t="s">
        <v>333</v>
      </c>
      <c r="B2035" t="str">
        <f>VLOOKUP($A2035, 'Customer Names'!A:D, 3, FALSE)</f>
        <v>Button</v>
      </c>
      <c r="C2035">
        <f>VLOOKUP($A2035,'Medical Examinations'!A:C, 3, FALSE)</f>
        <v>27.2</v>
      </c>
      <c r="D2035" t="str">
        <f>VLOOKUP($A2035, 'Medical Examinations'!A:D, 4, FALSE)</f>
        <v>Prediabetes</v>
      </c>
      <c r="E2035" t="str">
        <f>VLOOKUP($A2035, 'Medical Examinations'!A:F, 6, FALSE)</f>
        <v>No</v>
      </c>
      <c r="F2035" t="str">
        <f>VLOOKUP($A2035, 'Medical Examinations'!A:G, 7, FALSE)</f>
        <v>No</v>
      </c>
      <c r="G2035" t="str">
        <f>VLOOKUP($A2035, 'Medical Examinations'!A:H, 8, FALSE)</f>
        <v>Yes</v>
      </c>
      <c r="H2035">
        <f>VLOOKUP($A2035, 'Medical Examinations'!A:J, 10, FALSE)</f>
        <v>1</v>
      </c>
      <c r="I2035" t="str">
        <f>VLOOKUP($A2035, 'Medical Examinations'!A:K, 11, FALSE)</f>
        <v>No</v>
      </c>
      <c r="J2035" t="str">
        <f>VLOOKUP($A2035, 'Medical Examinations'!A:B, 2, FALSE)</f>
        <v>Overweight</v>
      </c>
      <c r="K2035" t="str">
        <f>VLOOKUP($A2035, 'Medical Examinations'!A:D, 4, FALSE)</f>
        <v>Prediabetes</v>
      </c>
    </row>
    <row r="2036" spans="1:11" ht="15.5" x14ac:dyDescent="0.35">
      <c r="A2036" s="1" t="s">
        <v>332</v>
      </c>
      <c r="B2036" t="str">
        <f>VLOOKUP($A2036, 'Customer Names'!A:D, 3, FALSE)</f>
        <v>Gaal</v>
      </c>
      <c r="C2036">
        <f>VLOOKUP($A2036,'Medical Examinations'!A:C, 3, FALSE)</f>
        <v>33.344999999999999</v>
      </c>
      <c r="D2036" t="str">
        <f>VLOOKUP($A2036, 'Medical Examinations'!A:D, 4, FALSE)</f>
        <v>Normal</v>
      </c>
      <c r="E2036" t="str">
        <f>VLOOKUP($A2036, 'Medical Examinations'!A:F, 6, FALSE)</f>
        <v>No</v>
      </c>
      <c r="F2036" t="str">
        <f>VLOOKUP($A2036, 'Medical Examinations'!A:G, 7, FALSE)</f>
        <v>No</v>
      </c>
      <c r="G2036" t="str">
        <f>VLOOKUP($A2036, 'Medical Examinations'!A:H, 8, FALSE)</f>
        <v>No</v>
      </c>
      <c r="H2036">
        <f>VLOOKUP($A2036, 'Medical Examinations'!A:J, 10, FALSE)</f>
        <v>1</v>
      </c>
      <c r="I2036" t="str">
        <f>VLOOKUP($A2036, 'Medical Examinations'!A:K, 11, FALSE)</f>
        <v>No</v>
      </c>
      <c r="J2036" t="str">
        <f>VLOOKUP($A2036, 'Medical Examinations'!A:B, 2, FALSE)</f>
        <v>Obesity</v>
      </c>
      <c r="K2036" t="str">
        <f>VLOOKUP($A2036, 'Medical Examinations'!A:D, 4, FALSE)</f>
        <v>Normal</v>
      </c>
    </row>
    <row r="2037" spans="1:11" ht="15.5" x14ac:dyDescent="0.35">
      <c r="A2037" s="1" t="s">
        <v>331</v>
      </c>
      <c r="B2037" t="str">
        <f>VLOOKUP($A2037, 'Customer Names'!A:D, 3, FALSE)</f>
        <v>Liptak</v>
      </c>
      <c r="C2037">
        <f>VLOOKUP($A2037,'Medical Examinations'!A:C, 3, FALSE)</f>
        <v>29.925000000000001</v>
      </c>
      <c r="D2037" t="str">
        <f>VLOOKUP($A2037, 'Medical Examinations'!A:D, 4, FALSE)</f>
        <v>Normal</v>
      </c>
      <c r="E2037" t="str">
        <f>VLOOKUP($A2037, 'Medical Examinations'!A:F, 6, FALSE)</f>
        <v>No</v>
      </c>
      <c r="F2037" t="str">
        <f>VLOOKUP($A2037, 'Medical Examinations'!A:G, 7, FALSE)</f>
        <v>No</v>
      </c>
      <c r="G2037" t="str">
        <f>VLOOKUP($A2037, 'Medical Examinations'!A:H, 8, FALSE)</f>
        <v>No</v>
      </c>
      <c r="H2037">
        <f>VLOOKUP($A2037, 'Medical Examinations'!A:J, 10, FALSE)</f>
        <v>1</v>
      </c>
      <c r="I2037" t="str">
        <f>VLOOKUP($A2037, 'Medical Examinations'!A:K, 11, FALSE)</f>
        <v>No</v>
      </c>
      <c r="J2037" t="e">
        <f>VLOOKUP($A2037, 'Medical Examinations'!A:B, 2, FALSE)</f>
        <v>#N/A</v>
      </c>
      <c r="K2037" t="str">
        <f>VLOOKUP($A2037, 'Medical Examinations'!A:D, 4, FALSE)</f>
        <v>Normal</v>
      </c>
    </row>
    <row r="2038" spans="1:11" ht="15.5" x14ac:dyDescent="0.35">
      <c r="A2038" s="1" t="s">
        <v>330</v>
      </c>
      <c r="B2038" t="str">
        <f>VLOOKUP($A2038, 'Customer Names'!A:D, 3, FALSE)</f>
        <v>Kellam</v>
      </c>
      <c r="C2038">
        <f>VLOOKUP($A2038,'Medical Examinations'!A:C, 3, FALSE)</f>
        <v>24.225000000000001</v>
      </c>
      <c r="D2038" t="str">
        <f>VLOOKUP($A2038, 'Medical Examinations'!A:D, 4, FALSE)</f>
        <v>Normal</v>
      </c>
      <c r="E2038" t="str">
        <f>VLOOKUP($A2038, 'Medical Examinations'!A:F, 6, FALSE)</f>
        <v>No</v>
      </c>
      <c r="F2038" t="str">
        <f>VLOOKUP($A2038, 'Medical Examinations'!A:G, 7, FALSE)</f>
        <v>No</v>
      </c>
      <c r="G2038" t="str">
        <f>VLOOKUP($A2038, 'Medical Examinations'!A:H, 8, FALSE)</f>
        <v>No</v>
      </c>
      <c r="H2038">
        <f>VLOOKUP($A2038, 'Medical Examinations'!A:J, 10, FALSE)</f>
        <v>1</v>
      </c>
      <c r="I2038" t="str">
        <f>VLOOKUP($A2038, 'Medical Examinations'!A:K, 11, FALSE)</f>
        <v>No</v>
      </c>
      <c r="J2038" t="str">
        <f>VLOOKUP($A2038, 'Medical Examinations'!A:B, 2, FALSE)</f>
        <v>Normal Weight</v>
      </c>
      <c r="K2038" t="str">
        <f>VLOOKUP($A2038, 'Medical Examinations'!A:D, 4, FALSE)</f>
        <v>Normal</v>
      </c>
    </row>
    <row r="2039" spans="1:11" ht="15.5" x14ac:dyDescent="0.35">
      <c r="A2039" s="1" t="s">
        <v>329</v>
      </c>
      <c r="B2039" t="str">
        <f>VLOOKUP($A2039, 'Customer Names'!A:D, 3, FALSE)</f>
        <v>Gordon</v>
      </c>
      <c r="C2039">
        <f>VLOOKUP($A2039,'Medical Examinations'!A:C, 3, FALSE)</f>
        <v>29.68</v>
      </c>
      <c r="D2039" t="str">
        <f>VLOOKUP($A2039, 'Medical Examinations'!A:D, 4, FALSE)</f>
        <v>Normal</v>
      </c>
      <c r="E2039" t="str">
        <f>VLOOKUP($A2039, 'Medical Examinations'!A:F, 6, FALSE)</f>
        <v>No</v>
      </c>
      <c r="F2039" t="str">
        <f>VLOOKUP($A2039, 'Medical Examinations'!A:G, 7, FALSE)</f>
        <v>yes</v>
      </c>
      <c r="G2039" t="str">
        <f>VLOOKUP($A2039, 'Medical Examinations'!A:H, 8, FALSE)</f>
        <v>No</v>
      </c>
      <c r="H2039">
        <f>VLOOKUP($A2039, 'Medical Examinations'!A:J, 10, FALSE)</f>
        <v>1</v>
      </c>
      <c r="I2039" t="str">
        <f>VLOOKUP($A2039, 'Medical Examinations'!A:K, 11, FALSE)</f>
        <v>No</v>
      </c>
      <c r="J2039" t="str">
        <f>VLOOKUP($A2039, 'Medical Examinations'!A:B, 2, FALSE)</f>
        <v>Overweight</v>
      </c>
      <c r="K2039" t="str">
        <f>VLOOKUP($A2039, 'Medical Examinations'!A:D, 4, FALSE)</f>
        <v>Normal</v>
      </c>
    </row>
    <row r="2040" spans="1:11" ht="15.5" x14ac:dyDescent="0.35">
      <c r="A2040" s="1" t="s">
        <v>328</v>
      </c>
      <c r="B2040" t="str">
        <f>VLOOKUP($A2040, 'Customer Names'!A:D, 3, FALSE)</f>
        <v>Hyland</v>
      </c>
      <c r="C2040">
        <f>VLOOKUP($A2040,'Medical Examinations'!A:C, 3, FALSE)</f>
        <v>20.614999999999998</v>
      </c>
      <c r="D2040" t="str">
        <f>VLOOKUP($A2040, 'Medical Examinations'!A:D, 4, FALSE)</f>
        <v>Prediabetes</v>
      </c>
      <c r="E2040" t="str">
        <f>VLOOKUP($A2040, 'Medical Examinations'!A:F, 6, FALSE)</f>
        <v>No</v>
      </c>
      <c r="F2040" t="str">
        <f>VLOOKUP($A2040, 'Medical Examinations'!A:G, 7, FALSE)</f>
        <v>No</v>
      </c>
      <c r="G2040" t="str">
        <f>VLOOKUP($A2040, 'Medical Examinations'!A:H, 8, FALSE)</f>
        <v>Yes</v>
      </c>
      <c r="H2040">
        <f>VLOOKUP($A2040, 'Medical Examinations'!A:J, 10, FALSE)</f>
        <v>1</v>
      </c>
      <c r="I2040" t="str">
        <f>VLOOKUP($A2040, 'Medical Examinations'!A:K, 11, FALSE)</f>
        <v>No</v>
      </c>
      <c r="J2040" t="str">
        <f>VLOOKUP($A2040, 'Medical Examinations'!A:B, 2, FALSE)</f>
        <v>Normal Weight</v>
      </c>
      <c r="K2040" t="str">
        <f>VLOOKUP($A2040, 'Medical Examinations'!A:D, 4, FALSE)</f>
        <v>Prediabetes</v>
      </c>
    </row>
    <row r="2041" spans="1:11" ht="15.5" x14ac:dyDescent="0.35">
      <c r="A2041" s="1" t="s">
        <v>327</v>
      </c>
      <c r="B2041" t="str">
        <f>VLOOKUP($A2041, 'Customer Names'!A:D, 3, FALSE)</f>
        <v>Wagoner</v>
      </c>
      <c r="C2041">
        <f>VLOOKUP($A2041,'Medical Examinations'!A:C, 3, FALSE)</f>
        <v>32.119999999999997</v>
      </c>
      <c r="D2041" t="str">
        <f>VLOOKUP($A2041, 'Medical Examinations'!A:D, 4, FALSE)</f>
        <v>Normal</v>
      </c>
      <c r="E2041" t="str">
        <f>VLOOKUP($A2041, 'Medical Examinations'!A:F, 6, FALSE)</f>
        <v>No</v>
      </c>
      <c r="F2041" t="str">
        <f>VLOOKUP($A2041, 'Medical Examinations'!A:G, 7, FALSE)</f>
        <v>yes</v>
      </c>
      <c r="G2041" t="str">
        <f>VLOOKUP($A2041, 'Medical Examinations'!A:H, 8, FALSE)</f>
        <v>No</v>
      </c>
      <c r="H2041">
        <f>VLOOKUP($A2041, 'Medical Examinations'!A:J, 10, FALSE)</f>
        <v>1</v>
      </c>
      <c r="I2041" t="str">
        <f>VLOOKUP($A2041, 'Medical Examinations'!A:K, 11, FALSE)</f>
        <v>No</v>
      </c>
      <c r="J2041" t="str">
        <f>VLOOKUP($A2041, 'Medical Examinations'!A:B, 2, FALSE)</f>
        <v>Obesity</v>
      </c>
      <c r="K2041" t="str">
        <f>VLOOKUP($A2041, 'Medical Examinations'!A:D, 4, FALSE)</f>
        <v>Normal</v>
      </c>
    </row>
    <row r="2042" spans="1:11" ht="15.5" x14ac:dyDescent="0.35">
      <c r="A2042" s="1" t="s">
        <v>326</v>
      </c>
      <c r="B2042" t="str">
        <f>VLOOKUP($A2042, 'Customer Names'!A:D, 3, FALSE)</f>
        <v>Thomas</v>
      </c>
      <c r="C2042">
        <f>VLOOKUP($A2042,'Medical Examinations'!A:C, 3, FALSE)</f>
        <v>27.36</v>
      </c>
      <c r="D2042" t="str">
        <f>VLOOKUP($A2042, 'Medical Examinations'!A:D, 4, FALSE)</f>
        <v>Prediabetes</v>
      </c>
      <c r="E2042" t="str">
        <f>VLOOKUP($A2042, 'Medical Examinations'!A:F, 6, FALSE)</f>
        <v>No</v>
      </c>
      <c r="F2042" t="str">
        <f>VLOOKUP($A2042, 'Medical Examinations'!A:G, 7, FALSE)</f>
        <v>No</v>
      </c>
      <c r="G2042" t="str">
        <f>VLOOKUP($A2042, 'Medical Examinations'!A:H, 8, FALSE)</f>
        <v>No</v>
      </c>
      <c r="H2042" t="str">
        <f>VLOOKUP($A2042, 'Medical Examinations'!A:J, 10, FALSE)</f>
        <v>No major surgery</v>
      </c>
      <c r="I2042" t="str">
        <f>VLOOKUP($A2042, 'Medical Examinations'!A:K, 11, FALSE)</f>
        <v>No</v>
      </c>
      <c r="J2042" t="str">
        <f>VLOOKUP($A2042, 'Medical Examinations'!A:B, 2, FALSE)</f>
        <v>Overweight</v>
      </c>
      <c r="K2042" t="str">
        <f>VLOOKUP($A2042, 'Medical Examinations'!A:D, 4, FALSE)</f>
        <v>Prediabetes</v>
      </c>
    </row>
    <row r="2043" spans="1:11" ht="15.5" x14ac:dyDescent="0.35">
      <c r="A2043" s="1" t="s">
        <v>325</v>
      </c>
      <c r="B2043" t="str">
        <f>VLOOKUP($A2043, 'Customer Names'!A:D, 3, FALSE)</f>
        <v>Goffi</v>
      </c>
      <c r="C2043">
        <f>VLOOKUP($A2043,'Medical Examinations'!A:C, 3, FALSE)</f>
        <v>17.385000000000002</v>
      </c>
      <c r="D2043" t="str">
        <f>VLOOKUP($A2043, 'Medical Examinations'!A:D, 4, FALSE)</f>
        <v>Prediabetes</v>
      </c>
      <c r="E2043" t="str">
        <f>VLOOKUP($A2043, 'Medical Examinations'!A:F, 6, FALSE)</f>
        <v>No</v>
      </c>
      <c r="F2043" t="str">
        <f>VLOOKUP($A2043, 'Medical Examinations'!A:G, 7, FALSE)</f>
        <v>No</v>
      </c>
      <c r="G2043" t="str">
        <f>VLOOKUP($A2043, 'Medical Examinations'!A:H, 8, FALSE)</f>
        <v>No</v>
      </c>
      <c r="H2043" t="str">
        <f>VLOOKUP($A2043, 'Medical Examinations'!A:J, 10, FALSE)</f>
        <v>No major surgery</v>
      </c>
      <c r="I2043" t="str">
        <f>VLOOKUP($A2043, 'Medical Examinations'!A:K, 11, FALSE)</f>
        <v>No</v>
      </c>
      <c r="J2043" t="str">
        <f>VLOOKUP($A2043, 'Medical Examinations'!A:B, 2, FALSE)</f>
        <v>Underweight</v>
      </c>
      <c r="K2043" t="str">
        <f>VLOOKUP($A2043, 'Medical Examinations'!A:D, 4, FALSE)</f>
        <v>Prediabetes</v>
      </c>
    </row>
    <row r="2044" spans="1:11" ht="15.5" x14ac:dyDescent="0.35">
      <c r="A2044" s="1" t="s">
        <v>324</v>
      </c>
      <c r="B2044" t="str">
        <f>VLOOKUP($A2044, 'Customer Names'!A:D, 3, FALSE)</f>
        <v>Salovaara</v>
      </c>
      <c r="C2044">
        <f>VLOOKUP($A2044,'Medical Examinations'!A:C, 3, FALSE)</f>
        <v>30.13</v>
      </c>
      <c r="D2044" t="str">
        <f>VLOOKUP($A2044, 'Medical Examinations'!A:D, 4, FALSE)</f>
        <v>Prediabetes</v>
      </c>
      <c r="E2044" t="str">
        <f>VLOOKUP($A2044, 'Medical Examinations'!A:F, 6, FALSE)</f>
        <v>No</v>
      </c>
      <c r="F2044" t="str">
        <f>VLOOKUP($A2044, 'Medical Examinations'!A:G, 7, FALSE)</f>
        <v>yes</v>
      </c>
      <c r="G2044" t="str">
        <f>VLOOKUP($A2044, 'Medical Examinations'!A:H, 8, FALSE)</f>
        <v>No</v>
      </c>
      <c r="H2044">
        <f>VLOOKUP($A2044, 'Medical Examinations'!A:J, 10, FALSE)</f>
        <v>1</v>
      </c>
      <c r="I2044" t="str">
        <f>VLOOKUP($A2044, 'Medical Examinations'!A:K, 11, FALSE)</f>
        <v>No</v>
      </c>
      <c r="J2044" t="str">
        <f>VLOOKUP($A2044, 'Medical Examinations'!A:B, 2, FALSE)</f>
        <v>Obesity</v>
      </c>
      <c r="K2044" t="str">
        <f>VLOOKUP($A2044, 'Medical Examinations'!A:D, 4, FALSE)</f>
        <v>Prediabetes</v>
      </c>
    </row>
    <row r="2045" spans="1:11" ht="15.5" x14ac:dyDescent="0.35">
      <c r="A2045" s="1" t="s">
        <v>323</v>
      </c>
      <c r="B2045" t="str">
        <f>VLOOKUP($A2045, 'Customer Names'!A:D, 3, FALSE)</f>
        <v>Reid</v>
      </c>
      <c r="C2045">
        <f>VLOOKUP($A2045,'Medical Examinations'!A:C, 3, FALSE)</f>
        <v>25.44</v>
      </c>
      <c r="D2045" t="str">
        <f>VLOOKUP($A2045, 'Medical Examinations'!A:D, 4, FALSE)</f>
        <v>Prediabetes</v>
      </c>
      <c r="E2045" t="str">
        <f>VLOOKUP($A2045, 'Medical Examinations'!A:F, 6, FALSE)</f>
        <v>yes</v>
      </c>
      <c r="F2045" t="str">
        <f>VLOOKUP($A2045, 'Medical Examinations'!A:G, 7, FALSE)</f>
        <v>No</v>
      </c>
      <c r="G2045" t="str">
        <f>VLOOKUP($A2045, 'Medical Examinations'!A:H, 8, FALSE)</f>
        <v>Yes</v>
      </c>
      <c r="H2045">
        <f>VLOOKUP($A2045, 'Medical Examinations'!A:J, 10, FALSE)</f>
        <v>1</v>
      </c>
      <c r="I2045" t="str">
        <f>VLOOKUP($A2045, 'Medical Examinations'!A:K, 11, FALSE)</f>
        <v>No</v>
      </c>
      <c r="J2045" t="str">
        <f>VLOOKUP($A2045, 'Medical Examinations'!A:B, 2, FALSE)</f>
        <v>Overweight</v>
      </c>
      <c r="K2045" t="str">
        <f>VLOOKUP($A2045, 'Medical Examinations'!A:D, 4, FALSE)</f>
        <v>Prediabetes</v>
      </c>
    </row>
    <row r="2046" spans="1:11" ht="15.5" x14ac:dyDescent="0.35">
      <c r="A2046" s="1" t="s">
        <v>322</v>
      </c>
      <c r="B2046" t="str">
        <f>VLOOKUP($A2046, 'Customer Names'!A:D, 3, FALSE)</f>
        <v>Allan</v>
      </c>
      <c r="C2046">
        <f>VLOOKUP($A2046,'Medical Examinations'!A:C, 3, FALSE)</f>
        <v>39.805</v>
      </c>
      <c r="D2046" t="str">
        <f>VLOOKUP($A2046, 'Medical Examinations'!A:D, 4, FALSE)</f>
        <v>Normal</v>
      </c>
      <c r="E2046" t="str">
        <f>VLOOKUP($A2046, 'Medical Examinations'!A:F, 6, FALSE)</f>
        <v>No</v>
      </c>
      <c r="F2046" t="str">
        <f>VLOOKUP($A2046, 'Medical Examinations'!A:G, 7, FALSE)</f>
        <v>yes</v>
      </c>
      <c r="G2046" t="str">
        <f>VLOOKUP($A2046, 'Medical Examinations'!A:H, 8, FALSE)</f>
        <v>No</v>
      </c>
      <c r="H2046">
        <f>VLOOKUP($A2046, 'Medical Examinations'!A:J, 10, FALSE)</f>
        <v>1</v>
      </c>
      <c r="I2046" t="str">
        <f>VLOOKUP($A2046, 'Medical Examinations'!A:K, 11, FALSE)</f>
        <v>No</v>
      </c>
      <c r="J2046" t="str">
        <f>VLOOKUP($A2046, 'Medical Examinations'!A:B, 2, FALSE)</f>
        <v>Obesity</v>
      </c>
      <c r="K2046" t="str">
        <f>VLOOKUP($A2046, 'Medical Examinations'!A:D, 4, FALSE)</f>
        <v>Normal</v>
      </c>
    </row>
    <row r="2047" spans="1:11" ht="15.5" x14ac:dyDescent="0.35">
      <c r="A2047" s="1" t="s">
        <v>321</v>
      </c>
      <c r="B2047" t="str">
        <f>VLOOKUP($A2047, 'Customer Names'!A:D, 3, FALSE)</f>
        <v>McLaughlin</v>
      </c>
      <c r="C2047">
        <f>VLOOKUP($A2047,'Medical Examinations'!A:C, 3, FALSE)</f>
        <v>30.4</v>
      </c>
      <c r="D2047" t="str">
        <f>VLOOKUP($A2047, 'Medical Examinations'!A:D, 4, FALSE)</f>
        <v>Normal</v>
      </c>
      <c r="E2047" t="str">
        <f>VLOOKUP($A2047, 'Medical Examinations'!A:F, 6, FALSE)</f>
        <v>yes</v>
      </c>
      <c r="F2047" t="str">
        <f>VLOOKUP($A2047, 'Medical Examinations'!A:G, 7, FALSE)</f>
        <v>yes</v>
      </c>
      <c r="G2047" t="str">
        <f>VLOOKUP($A2047, 'Medical Examinations'!A:H, 8, FALSE)</f>
        <v>No</v>
      </c>
      <c r="H2047">
        <f>VLOOKUP($A2047, 'Medical Examinations'!A:J, 10, FALSE)</f>
        <v>1</v>
      </c>
      <c r="I2047" t="str">
        <f>VLOOKUP($A2047, 'Medical Examinations'!A:K, 11, FALSE)</f>
        <v>No</v>
      </c>
      <c r="J2047" t="str">
        <f>VLOOKUP($A2047, 'Medical Examinations'!A:B, 2, FALSE)</f>
        <v>Obesity</v>
      </c>
      <c r="K2047" t="str">
        <f>VLOOKUP($A2047, 'Medical Examinations'!A:D, 4, FALSE)</f>
        <v>Normal</v>
      </c>
    </row>
    <row r="2048" spans="1:11" ht="15.5" x14ac:dyDescent="0.35">
      <c r="A2048" s="1" t="s">
        <v>320</v>
      </c>
      <c r="B2048" t="str">
        <f>VLOOKUP($A2048, 'Customer Names'!A:D, 3, FALSE)</f>
        <v>Lee</v>
      </c>
      <c r="C2048">
        <f>VLOOKUP($A2048,'Medical Examinations'!A:C, 3, FALSE)</f>
        <v>23.18</v>
      </c>
      <c r="D2048" t="str">
        <f>VLOOKUP($A2048, 'Medical Examinations'!A:D, 4, FALSE)</f>
        <v>Normal</v>
      </c>
      <c r="E2048" t="str">
        <f>VLOOKUP($A2048, 'Medical Examinations'!A:F, 6, FALSE)</f>
        <v>No</v>
      </c>
      <c r="F2048" t="str">
        <f>VLOOKUP($A2048, 'Medical Examinations'!A:G, 7, FALSE)</f>
        <v>yes</v>
      </c>
      <c r="G2048" t="str">
        <f>VLOOKUP($A2048, 'Medical Examinations'!A:H, 8, FALSE)</f>
        <v>No</v>
      </c>
      <c r="H2048">
        <f>VLOOKUP($A2048, 'Medical Examinations'!A:J, 10, FALSE)</f>
        <v>1</v>
      </c>
      <c r="I2048" t="str">
        <f>VLOOKUP($A2048, 'Medical Examinations'!A:K, 11, FALSE)</f>
        <v>No</v>
      </c>
      <c r="J2048" t="str">
        <f>VLOOKUP($A2048, 'Medical Examinations'!A:B, 2, FALSE)</f>
        <v>Normal Weight</v>
      </c>
      <c r="K2048" t="str">
        <f>VLOOKUP($A2048, 'Medical Examinations'!A:D, 4, FALSE)</f>
        <v>Normal</v>
      </c>
    </row>
    <row r="2049" spans="1:11" ht="15.5" x14ac:dyDescent="0.35">
      <c r="A2049" s="1" t="s">
        <v>319</v>
      </c>
      <c r="B2049" t="str">
        <f>VLOOKUP($A2049, 'Customer Names'!A:D, 3, FALSE)</f>
        <v>Tang</v>
      </c>
      <c r="C2049">
        <f>VLOOKUP($A2049,'Medical Examinations'!A:C, 3, FALSE)</f>
        <v>39.615000000000002</v>
      </c>
      <c r="D2049" t="str">
        <f>VLOOKUP($A2049, 'Medical Examinations'!A:D, 4, FALSE)</f>
        <v>Prediabetes</v>
      </c>
      <c r="E2049" t="str">
        <f>VLOOKUP($A2049, 'Medical Examinations'!A:F, 6, FALSE)</f>
        <v>No</v>
      </c>
      <c r="F2049" t="str">
        <f>VLOOKUP($A2049, 'Medical Examinations'!A:G, 7, FALSE)</f>
        <v>No</v>
      </c>
      <c r="G2049" t="str">
        <f>VLOOKUP($A2049, 'Medical Examinations'!A:H, 8, FALSE)</f>
        <v>Yes</v>
      </c>
      <c r="H2049">
        <f>VLOOKUP($A2049, 'Medical Examinations'!A:J, 10, FALSE)</f>
        <v>1</v>
      </c>
      <c r="I2049" t="str">
        <f>VLOOKUP($A2049, 'Medical Examinations'!A:K, 11, FALSE)</f>
        <v>No</v>
      </c>
      <c r="J2049" t="str">
        <f>VLOOKUP($A2049, 'Medical Examinations'!A:B, 2, FALSE)</f>
        <v>Obesity</v>
      </c>
      <c r="K2049" t="str">
        <f>VLOOKUP($A2049, 'Medical Examinations'!A:D, 4, FALSE)</f>
        <v>Prediabetes</v>
      </c>
    </row>
    <row r="2050" spans="1:11" ht="15.5" x14ac:dyDescent="0.35">
      <c r="A2050" s="1" t="s">
        <v>318</v>
      </c>
      <c r="B2050" t="str">
        <f>VLOOKUP($A2050, 'Customer Names'!A:D, 3, FALSE)</f>
        <v>Kennedy</v>
      </c>
      <c r="C2050">
        <f>VLOOKUP($A2050,'Medical Examinations'!A:C, 3, FALSE)</f>
        <v>30.59</v>
      </c>
      <c r="D2050" t="str">
        <f>VLOOKUP($A2050, 'Medical Examinations'!A:D, 4, FALSE)</f>
        <v>Prediabetes</v>
      </c>
      <c r="E2050" t="str">
        <f>VLOOKUP($A2050, 'Medical Examinations'!A:F, 6, FALSE)</f>
        <v>yes</v>
      </c>
      <c r="F2050" t="str">
        <f>VLOOKUP($A2050, 'Medical Examinations'!A:G, 7, FALSE)</f>
        <v>No</v>
      </c>
      <c r="G2050" t="str">
        <f>VLOOKUP($A2050, 'Medical Examinations'!A:H, 8, FALSE)</f>
        <v>Yes</v>
      </c>
      <c r="H2050">
        <f>VLOOKUP($A2050, 'Medical Examinations'!A:J, 10, FALSE)</f>
        <v>1</v>
      </c>
      <c r="I2050" t="str">
        <f>VLOOKUP($A2050, 'Medical Examinations'!A:K, 11, FALSE)</f>
        <v>No</v>
      </c>
      <c r="J2050" t="str">
        <f>VLOOKUP($A2050, 'Medical Examinations'!A:B, 2, FALSE)</f>
        <v>Obesity</v>
      </c>
      <c r="K2050" t="str">
        <f>VLOOKUP($A2050, 'Medical Examinations'!A:D, 4, FALSE)</f>
        <v>Prediabetes</v>
      </c>
    </row>
    <row r="2051" spans="1:11" ht="15.5" x14ac:dyDescent="0.35">
      <c r="A2051" s="1" t="s">
        <v>317</v>
      </c>
      <c r="B2051" t="str">
        <f>VLOOKUP($A2051, 'Customer Names'!A:D, 3, FALSE)</f>
        <v>Condon</v>
      </c>
      <c r="C2051">
        <f>VLOOKUP($A2051,'Medical Examinations'!A:C, 3, FALSE)</f>
        <v>16.72</v>
      </c>
      <c r="D2051" t="str">
        <f>VLOOKUP($A2051, 'Medical Examinations'!A:D, 4, FALSE)</f>
        <v>Normal</v>
      </c>
      <c r="E2051" t="str">
        <f>VLOOKUP($A2051, 'Medical Examinations'!A:F, 6, FALSE)</f>
        <v>yes</v>
      </c>
      <c r="F2051" t="str">
        <f>VLOOKUP($A2051, 'Medical Examinations'!A:G, 7, FALSE)</f>
        <v>No</v>
      </c>
      <c r="G2051" t="str">
        <f>VLOOKUP($A2051, 'Medical Examinations'!A:H, 8, FALSE)</f>
        <v>No</v>
      </c>
      <c r="H2051">
        <f>VLOOKUP($A2051, 'Medical Examinations'!A:J, 10, FALSE)</f>
        <v>1</v>
      </c>
      <c r="I2051" t="str">
        <f>VLOOKUP($A2051, 'Medical Examinations'!A:K, 11, FALSE)</f>
        <v>No</v>
      </c>
      <c r="J2051" t="str">
        <f>VLOOKUP($A2051, 'Medical Examinations'!A:B, 2, FALSE)</f>
        <v>Underweight</v>
      </c>
      <c r="K2051" t="str">
        <f>VLOOKUP($A2051, 'Medical Examinations'!A:D, 4, FALSE)</f>
        <v>Normal</v>
      </c>
    </row>
    <row r="2052" spans="1:11" ht="15.5" x14ac:dyDescent="0.35">
      <c r="A2052" s="1" t="s">
        <v>316</v>
      </c>
      <c r="B2052" t="str">
        <f>VLOOKUP($A2052, 'Customer Names'!A:D, 3, FALSE)</f>
        <v>Chepkwony</v>
      </c>
      <c r="C2052">
        <f>VLOOKUP($A2052,'Medical Examinations'!A:C, 3, FALSE)</f>
        <v>26.22</v>
      </c>
      <c r="D2052" t="str">
        <f>VLOOKUP($A2052, 'Medical Examinations'!A:D, 4, FALSE)</f>
        <v>Normal</v>
      </c>
      <c r="E2052" t="str">
        <f>VLOOKUP($A2052, 'Medical Examinations'!A:F, 6, FALSE)</f>
        <v>yes</v>
      </c>
      <c r="F2052" t="str">
        <f>VLOOKUP($A2052, 'Medical Examinations'!A:G, 7, FALSE)</f>
        <v>No</v>
      </c>
      <c r="G2052" t="str">
        <f>VLOOKUP($A2052, 'Medical Examinations'!A:H, 8, FALSE)</f>
        <v>Yes</v>
      </c>
      <c r="H2052">
        <f>VLOOKUP($A2052, 'Medical Examinations'!A:J, 10, FALSE)</f>
        <v>1</v>
      </c>
      <c r="I2052" t="str">
        <f>VLOOKUP($A2052, 'Medical Examinations'!A:K, 11, FALSE)</f>
        <v>No</v>
      </c>
      <c r="J2052" t="str">
        <f>VLOOKUP($A2052, 'Medical Examinations'!A:B, 2, FALSE)</f>
        <v>Overweight</v>
      </c>
      <c r="K2052" t="str">
        <f>VLOOKUP($A2052, 'Medical Examinations'!A:D, 4, FALSE)</f>
        <v>Normal</v>
      </c>
    </row>
    <row r="2053" spans="1:11" ht="15.5" x14ac:dyDescent="0.35">
      <c r="A2053" s="1" t="s">
        <v>315</v>
      </c>
      <c r="B2053" t="str">
        <f>VLOOKUP($A2053, 'Customer Names'!A:D, 3, FALSE)</f>
        <v>Rodriguez</v>
      </c>
      <c r="C2053">
        <f>VLOOKUP($A2053,'Medical Examinations'!A:C, 3, FALSE)</f>
        <v>31.824999999999999</v>
      </c>
      <c r="D2053" t="str">
        <f>VLOOKUP($A2053, 'Medical Examinations'!A:D, 4, FALSE)</f>
        <v>Normal</v>
      </c>
      <c r="E2053" t="str">
        <f>VLOOKUP($A2053, 'Medical Examinations'!A:F, 6, FALSE)</f>
        <v>No</v>
      </c>
      <c r="F2053" t="str">
        <f>VLOOKUP($A2053, 'Medical Examinations'!A:G, 7, FALSE)</f>
        <v>No</v>
      </c>
      <c r="G2053" t="str">
        <f>VLOOKUP($A2053, 'Medical Examinations'!A:H, 8, FALSE)</f>
        <v>Yes</v>
      </c>
      <c r="H2053">
        <f>VLOOKUP($A2053, 'Medical Examinations'!A:J, 10, FALSE)</f>
        <v>1</v>
      </c>
      <c r="I2053" t="str">
        <f>VLOOKUP($A2053, 'Medical Examinations'!A:K, 11, FALSE)</f>
        <v>No</v>
      </c>
      <c r="J2053" t="str">
        <f>VLOOKUP($A2053, 'Medical Examinations'!A:B, 2, FALSE)</f>
        <v>Obesity</v>
      </c>
      <c r="K2053" t="str">
        <f>VLOOKUP($A2053, 'Medical Examinations'!A:D, 4, FALSE)</f>
        <v>Normal</v>
      </c>
    </row>
    <row r="2054" spans="1:11" ht="15.5" x14ac:dyDescent="0.35">
      <c r="A2054" s="1" t="s">
        <v>314</v>
      </c>
      <c r="B2054" t="str">
        <f>VLOOKUP($A2054, 'Customer Names'!A:D, 3, FALSE)</f>
        <v>Szynkarczuk</v>
      </c>
      <c r="C2054">
        <f>VLOOKUP($A2054,'Medical Examinations'!A:C, 3, FALSE)</f>
        <v>25.745000000000001</v>
      </c>
      <c r="D2054" t="str">
        <f>VLOOKUP($A2054, 'Medical Examinations'!A:D, 4, FALSE)</f>
        <v>Normal</v>
      </c>
      <c r="E2054" t="str">
        <f>VLOOKUP($A2054, 'Medical Examinations'!A:F, 6, FALSE)</f>
        <v>No</v>
      </c>
      <c r="F2054" t="str">
        <f>VLOOKUP($A2054, 'Medical Examinations'!A:G, 7, FALSE)</f>
        <v>No</v>
      </c>
      <c r="G2054" t="str">
        <f>VLOOKUP($A2054, 'Medical Examinations'!A:H, 8, FALSE)</f>
        <v>Yes</v>
      </c>
      <c r="H2054">
        <f>VLOOKUP($A2054, 'Medical Examinations'!A:J, 10, FALSE)</f>
        <v>1</v>
      </c>
      <c r="I2054" t="str">
        <f>VLOOKUP($A2054, 'Medical Examinations'!A:K, 11, FALSE)</f>
        <v>No</v>
      </c>
      <c r="J2054" t="str">
        <f>VLOOKUP($A2054, 'Medical Examinations'!A:B, 2, FALSE)</f>
        <v>Overweight</v>
      </c>
      <c r="K2054" t="str">
        <f>VLOOKUP($A2054, 'Medical Examinations'!A:D, 4, FALSE)</f>
        <v>Normal</v>
      </c>
    </row>
    <row r="2055" spans="1:11" ht="15.5" x14ac:dyDescent="0.35">
      <c r="A2055" s="1" t="s">
        <v>313</v>
      </c>
      <c r="B2055" t="str">
        <f>VLOOKUP($A2055, 'Customer Names'!A:D, 3, FALSE)</f>
        <v>Brill</v>
      </c>
      <c r="C2055">
        <f>VLOOKUP($A2055,'Medical Examinations'!A:C, 3, FALSE)</f>
        <v>24.605</v>
      </c>
      <c r="D2055" t="str">
        <f>VLOOKUP($A2055, 'Medical Examinations'!A:D, 4, FALSE)</f>
        <v>Normal</v>
      </c>
      <c r="E2055" t="str">
        <f>VLOOKUP($A2055, 'Medical Examinations'!A:F, 6, FALSE)</f>
        <v>No</v>
      </c>
      <c r="F2055" t="str">
        <f>VLOOKUP($A2055, 'Medical Examinations'!A:G, 7, FALSE)</f>
        <v>No</v>
      </c>
      <c r="G2055" t="str">
        <f>VLOOKUP($A2055, 'Medical Examinations'!A:H, 8, FALSE)</f>
        <v>Yes</v>
      </c>
      <c r="H2055">
        <f>VLOOKUP($A2055, 'Medical Examinations'!A:J, 10, FALSE)</f>
        <v>1</v>
      </c>
      <c r="I2055" t="str">
        <f>VLOOKUP($A2055, 'Medical Examinations'!A:K, 11, FALSE)</f>
        <v>No</v>
      </c>
      <c r="J2055" t="str">
        <f>VLOOKUP($A2055, 'Medical Examinations'!A:B, 2, FALSE)</f>
        <v>Normal Weight</v>
      </c>
      <c r="K2055" t="str">
        <f>VLOOKUP($A2055, 'Medical Examinations'!A:D, 4, FALSE)</f>
        <v>Normal</v>
      </c>
    </row>
    <row r="2056" spans="1:11" ht="15.5" x14ac:dyDescent="0.35">
      <c r="A2056" s="1" t="s">
        <v>312</v>
      </c>
      <c r="B2056" t="str">
        <f>VLOOKUP($A2056, 'Customer Names'!A:D, 3, FALSE)</f>
        <v>Adams</v>
      </c>
      <c r="C2056">
        <f>VLOOKUP($A2056,'Medical Examinations'!A:C, 3, FALSE)</f>
        <v>24.51</v>
      </c>
      <c r="D2056" t="str">
        <f>VLOOKUP($A2056, 'Medical Examinations'!A:D, 4, FALSE)</f>
        <v>Normal</v>
      </c>
      <c r="E2056" t="str">
        <f>VLOOKUP($A2056, 'Medical Examinations'!A:F, 6, FALSE)</f>
        <v>No</v>
      </c>
      <c r="F2056" t="str">
        <f>VLOOKUP($A2056, 'Medical Examinations'!A:G, 7, FALSE)</f>
        <v>No</v>
      </c>
      <c r="G2056" t="str">
        <f>VLOOKUP($A2056, 'Medical Examinations'!A:H, 8, FALSE)</f>
        <v>Yes</v>
      </c>
      <c r="H2056">
        <f>VLOOKUP($A2056, 'Medical Examinations'!A:J, 10, FALSE)</f>
        <v>1</v>
      </c>
      <c r="I2056" t="str">
        <f>VLOOKUP($A2056, 'Medical Examinations'!A:K, 11, FALSE)</f>
        <v>No</v>
      </c>
      <c r="J2056" t="str">
        <f>VLOOKUP($A2056, 'Medical Examinations'!A:B, 2, FALSE)</f>
        <v>Normal Weight</v>
      </c>
      <c r="K2056" t="str">
        <f>VLOOKUP($A2056, 'Medical Examinations'!A:D, 4, FALSE)</f>
        <v>Normal</v>
      </c>
    </row>
    <row r="2057" spans="1:11" ht="15.5" x14ac:dyDescent="0.35">
      <c r="A2057" s="1" t="s">
        <v>311</v>
      </c>
      <c r="B2057" t="str">
        <f>VLOOKUP($A2057, 'Customer Names'!A:D, 3, FALSE)</f>
        <v>Nunn</v>
      </c>
      <c r="C2057">
        <f>VLOOKUP($A2057,'Medical Examinations'!A:C, 3, FALSE)</f>
        <v>31.065000000000001</v>
      </c>
      <c r="D2057" t="str">
        <f>VLOOKUP($A2057, 'Medical Examinations'!A:D, 4, FALSE)</f>
        <v>Normal</v>
      </c>
      <c r="E2057" t="str">
        <f>VLOOKUP($A2057, 'Medical Examinations'!A:F, 6, FALSE)</f>
        <v>yes</v>
      </c>
      <c r="F2057" t="str">
        <f>VLOOKUP($A2057, 'Medical Examinations'!A:G, 7, FALSE)</f>
        <v>No</v>
      </c>
      <c r="G2057" t="str">
        <f>VLOOKUP($A2057, 'Medical Examinations'!A:H, 8, FALSE)</f>
        <v>No</v>
      </c>
      <c r="H2057" t="str">
        <f>VLOOKUP($A2057, 'Medical Examinations'!A:J, 10, FALSE)</f>
        <v>No major surgery</v>
      </c>
      <c r="I2057" t="str">
        <f>VLOOKUP($A2057, 'Medical Examinations'!A:K, 11, FALSE)</f>
        <v>No</v>
      </c>
      <c r="J2057" t="str">
        <f>VLOOKUP($A2057, 'Medical Examinations'!A:B, 2, FALSE)</f>
        <v>Obesity</v>
      </c>
      <c r="K2057" t="str">
        <f>VLOOKUP($A2057, 'Medical Examinations'!A:D, 4, FALSE)</f>
        <v>Normal</v>
      </c>
    </row>
    <row r="2058" spans="1:11" ht="15.5" x14ac:dyDescent="0.35">
      <c r="A2058" s="1" t="s">
        <v>310</v>
      </c>
      <c r="B2058" t="str">
        <f>VLOOKUP($A2058, 'Customer Names'!A:D, 3, FALSE)</f>
        <v>Blair</v>
      </c>
      <c r="C2058">
        <f>VLOOKUP($A2058,'Medical Examinations'!A:C, 3, FALSE)</f>
        <v>28.12</v>
      </c>
      <c r="D2058" t="str">
        <f>VLOOKUP($A2058, 'Medical Examinations'!A:D, 4, FALSE)</f>
        <v>Normal</v>
      </c>
      <c r="E2058" t="str">
        <f>VLOOKUP($A2058, 'Medical Examinations'!A:F, 6, FALSE)</f>
        <v>No</v>
      </c>
      <c r="F2058" t="str">
        <f>VLOOKUP($A2058, 'Medical Examinations'!A:G, 7, FALSE)</f>
        <v>No</v>
      </c>
      <c r="G2058" t="str">
        <f>VLOOKUP($A2058, 'Medical Examinations'!A:H, 8, FALSE)</f>
        <v>No</v>
      </c>
      <c r="H2058" t="str">
        <f>VLOOKUP($A2058, 'Medical Examinations'!A:J, 10, FALSE)</f>
        <v>No major surgery</v>
      </c>
      <c r="I2058" t="str">
        <f>VLOOKUP($A2058, 'Medical Examinations'!A:K, 11, FALSE)</f>
        <v>No</v>
      </c>
      <c r="J2058" t="str">
        <f>VLOOKUP($A2058, 'Medical Examinations'!A:B, 2, FALSE)</f>
        <v>Overweight</v>
      </c>
      <c r="K2058" t="str">
        <f>VLOOKUP($A2058, 'Medical Examinations'!A:D, 4, FALSE)</f>
        <v>Normal</v>
      </c>
    </row>
    <row r="2059" spans="1:11" ht="15.5" x14ac:dyDescent="0.35">
      <c r="A2059" s="1" t="s">
        <v>309</v>
      </c>
      <c r="B2059" t="str">
        <f>VLOOKUP($A2059, 'Customer Names'!A:D, 3, FALSE)</f>
        <v>Sharkey</v>
      </c>
      <c r="C2059">
        <f>VLOOKUP($A2059,'Medical Examinations'!A:C, 3, FALSE)</f>
        <v>38.06</v>
      </c>
      <c r="D2059" t="str">
        <f>VLOOKUP($A2059, 'Medical Examinations'!A:D, 4, FALSE)</f>
        <v>Prediabetes</v>
      </c>
      <c r="E2059" t="str">
        <f>VLOOKUP($A2059, 'Medical Examinations'!A:F, 6, FALSE)</f>
        <v>No</v>
      </c>
      <c r="F2059" t="str">
        <f>VLOOKUP($A2059, 'Medical Examinations'!A:G, 7, FALSE)</f>
        <v>No</v>
      </c>
      <c r="G2059" t="str">
        <f>VLOOKUP($A2059, 'Medical Examinations'!A:H, 8, FALSE)</f>
        <v>No</v>
      </c>
      <c r="H2059" t="str">
        <f>VLOOKUP($A2059, 'Medical Examinations'!A:J, 10, FALSE)</f>
        <v>No major surgery</v>
      </c>
      <c r="I2059" t="str">
        <f>VLOOKUP($A2059, 'Medical Examinations'!A:K, 11, FALSE)</f>
        <v>No</v>
      </c>
      <c r="J2059" t="str">
        <f>VLOOKUP($A2059, 'Medical Examinations'!A:B, 2, FALSE)</f>
        <v>Obesity</v>
      </c>
      <c r="K2059" t="str">
        <f>VLOOKUP($A2059, 'Medical Examinations'!A:D, 4, FALSE)</f>
        <v>Prediabetes</v>
      </c>
    </row>
    <row r="2060" spans="1:11" ht="15.5" x14ac:dyDescent="0.35">
      <c r="A2060" s="1" t="s">
        <v>308</v>
      </c>
      <c r="B2060" t="str">
        <f>VLOOKUP($A2060, 'Customer Names'!A:D, 3, FALSE)</f>
        <v>Scalard</v>
      </c>
      <c r="C2060">
        <f>VLOOKUP($A2060,'Medical Examinations'!A:C, 3, FALSE)</f>
        <v>24.96</v>
      </c>
      <c r="D2060" t="str">
        <f>VLOOKUP($A2060, 'Medical Examinations'!A:D, 4, FALSE)</f>
        <v>Normal</v>
      </c>
      <c r="E2060" t="str">
        <f>VLOOKUP($A2060, 'Medical Examinations'!A:F, 6, FALSE)</f>
        <v>No</v>
      </c>
      <c r="F2060" t="str">
        <f>VLOOKUP($A2060, 'Medical Examinations'!A:G, 7, FALSE)</f>
        <v>No</v>
      </c>
      <c r="G2060" t="str">
        <f>VLOOKUP($A2060, 'Medical Examinations'!A:H, 8, FALSE)</f>
        <v>No</v>
      </c>
      <c r="H2060" t="str">
        <f>VLOOKUP($A2060, 'Medical Examinations'!A:J, 10, FALSE)</f>
        <v>No major surgery</v>
      </c>
      <c r="I2060" t="str">
        <f>VLOOKUP($A2060, 'Medical Examinations'!A:K, 11, FALSE)</f>
        <v>No</v>
      </c>
      <c r="J2060" t="str">
        <f>VLOOKUP($A2060, 'Medical Examinations'!A:B, 2, FALSE)</f>
        <v>Overweight</v>
      </c>
      <c r="K2060" t="str">
        <f>VLOOKUP($A2060, 'Medical Examinations'!A:D, 4, FALSE)</f>
        <v>Normal</v>
      </c>
    </row>
    <row r="2061" spans="1:11" ht="15.5" x14ac:dyDescent="0.35">
      <c r="A2061" s="1" t="s">
        <v>307</v>
      </c>
      <c r="B2061" t="str">
        <f>VLOOKUP($A2061, 'Customer Names'!A:D, 3, FALSE)</f>
        <v>Burget</v>
      </c>
      <c r="C2061">
        <f>VLOOKUP($A2061,'Medical Examinations'!A:C, 3, FALSE)</f>
        <v>17.670000000000002</v>
      </c>
      <c r="D2061" t="str">
        <f>VLOOKUP($A2061, 'Medical Examinations'!A:D, 4, FALSE)</f>
        <v>Normal</v>
      </c>
      <c r="E2061" t="str">
        <f>VLOOKUP($A2061, 'Medical Examinations'!A:F, 6, FALSE)</f>
        <v>yes</v>
      </c>
      <c r="F2061" t="str">
        <f>VLOOKUP($A2061, 'Medical Examinations'!A:G, 7, FALSE)</f>
        <v>No</v>
      </c>
      <c r="G2061" t="str">
        <f>VLOOKUP($A2061, 'Medical Examinations'!A:H, 8, FALSE)</f>
        <v>No</v>
      </c>
      <c r="H2061" t="str">
        <f>VLOOKUP($A2061, 'Medical Examinations'!A:J, 10, FALSE)</f>
        <v>No major surgery</v>
      </c>
      <c r="I2061" t="str">
        <f>VLOOKUP($A2061, 'Medical Examinations'!A:K, 11, FALSE)</f>
        <v>No</v>
      </c>
      <c r="J2061" t="str">
        <f>VLOOKUP($A2061, 'Medical Examinations'!A:B, 2, FALSE)</f>
        <v>Underweight</v>
      </c>
      <c r="K2061" t="str">
        <f>VLOOKUP($A2061, 'Medical Examinations'!A:D, 4, FALSE)</f>
        <v>Normal</v>
      </c>
    </row>
    <row r="2062" spans="1:11" ht="15.5" x14ac:dyDescent="0.35">
      <c r="A2062" s="1" t="s">
        <v>306</v>
      </c>
      <c r="B2062" t="str">
        <f>VLOOKUP($A2062, 'Customer Names'!A:D, 3, FALSE)</f>
        <v>English</v>
      </c>
      <c r="C2062">
        <f>VLOOKUP($A2062,'Medical Examinations'!A:C, 3, FALSE)</f>
        <v>31.35</v>
      </c>
      <c r="D2062" t="str">
        <f>VLOOKUP($A2062, 'Medical Examinations'!A:D, 4, FALSE)</f>
        <v>Prediabetes</v>
      </c>
      <c r="E2062" t="str">
        <f>VLOOKUP($A2062, 'Medical Examinations'!A:F, 6, FALSE)</f>
        <v>No</v>
      </c>
      <c r="F2062" t="str">
        <f>VLOOKUP($A2062, 'Medical Examinations'!A:G, 7, FALSE)</f>
        <v>yes</v>
      </c>
      <c r="G2062" t="str">
        <f>VLOOKUP($A2062, 'Medical Examinations'!A:H, 8, FALSE)</f>
        <v>No</v>
      </c>
      <c r="H2062">
        <f>VLOOKUP($A2062, 'Medical Examinations'!A:J, 10, FALSE)</f>
        <v>1</v>
      </c>
      <c r="I2062" t="str">
        <f>VLOOKUP($A2062, 'Medical Examinations'!A:K, 11, FALSE)</f>
        <v>No</v>
      </c>
      <c r="J2062" t="str">
        <f>VLOOKUP($A2062, 'Medical Examinations'!A:B, 2, FALSE)</f>
        <v>Obesity</v>
      </c>
      <c r="K2062" t="str">
        <f>VLOOKUP($A2062, 'Medical Examinations'!A:D, 4, FALSE)</f>
        <v>Prediabetes</v>
      </c>
    </row>
    <row r="2063" spans="1:11" ht="15.5" x14ac:dyDescent="0.35">
      <c r="A2063" s="1" t="s">
        <v>305</v>
      </c>
      <c r="B2063" t="str">
        <f>VLOOKUP($A2063, 'Customer Names'!A:D, 3, FALSE)</f>
        <v>Hampton</v>
      </c>
      <c r="C2063">
        <f>VLOOKUP($A2063,'Medical Examinations'!A:C, 3, FALSE)</f>
        <v>28.31</v>
      </c>
      <c r="D2063" t="e">
        <f>VLOOKUP($A2063, 'Medical Examinations'!A:D, 4, FALSE)</f>
        <v>#N/A</v>
      </c>
      <c r="E2063" t="str">
        <f>VLOOKUP($A2063, 'Medical Examinations'!A:F, 6, FALSE)</f>
        <v>No</v>
      </c>
      <c r="F2063" t="str">
        <f>VLOOKUP($A2063, 'Medical Examinations'!A:G, 7, FALSE)</f>
        <v>yes</v>
      </c>
      <c r="G2063" t="str">
        <f>VLOOKUP($A2063, 'Medical Examinations'!A:H, 8, FALSE)</f>
        <v>No</v>
      </c>
      <c r="H2063">
        <f>VLOOKUP($A2063, 'Medical Examinations'!A:J, 10, FALSE)</f>
        <v>1</v>
      </c>
      <c r="I2063" t="str">
        <f>VLOOKUP($A2063, 'Medical Examinations'!A:K, 11, FALSE)</f>
        <v>No</v>
      </c>
      <c r="J2063" t="str">
        <f>VLOOKUP($A2063, 'Medical Examinations'!A:B, 2, FALSE)</f>
        <v>Overweight</v>
      </c>
      <c r="K2063" t="e">
        <f>VLOOKUP($A2063, 'Medical Examinations'!A:D, 4, FALSE)</f>
        <v>#N/A</v>
      </c>
    </row>
    <row r="2064" spans="1:11" ht="15.5" x14ac:dyDescent="0.35">
      <c r="A2064" s="1" t="s">
        <v>304</v>
      </c>
      <c r="B2064" t="str">
        <f>VLOOKUP($A2064, 'Customer Names'!A:D, 3, FALSE)</f>
        <v>Flynn</v>
      </c>
      <c r="C2064">
        <f>VLOOKUP($A2064,'Medical Examinations'!A:C, 3, FALSE)</f>
        <v>30.3</v>
      </c>
      <c r="D2064" t="str">
        <f>VLOOKUP($A2064, 'Medical Examinations'!A:D, 4, FALSE)</f>
        <v>Normal</v>
      </c>
      <c r="E2064" t="str">
        <f>VLOOKUP($A2064, 'Medical Examinations'!A:F, 6, FALSE)</f>
        <v>yes</v>
      </c>
      <c r="F2064" t="str">
        <f>VLOOKUP($A2064, 'Medical Examinations'!A:G, 7, FALSE)</f>
        <v>No</v>
      </c>
      <c r="G2064" t="str">
        <f>VLOOKUP($A2064, 'Medical Examinations'!A:H, 8, FALSE)</f>
        <v>Yes</v>
      </c>
      <c r="H2064">
        <f>VLOOKUP($A2064, 'Medical Examinations'!A:J, 10, FALSE)</f>
        <v>1</v>
      </c>
      <c r="I2064" t="str">
        <f>VLOOKUP($A2064, 'Medical Examinations'!A:K, 11, FALSE)</f>
        <v>No</v>
      </c>
      <c r="J2064" t="str">
        <f>VLOOKUP($A2064, 'Medical Examinations'!A:B, 2, FALSE)</f>
        <v>Obesity</v>
      </c>
      <c r="K2064" t="str">
        <f>VLOOKUP($A2064, 'Medical Examinations'!A:D, 4, FALSE)</f>
        <v>Normal</v>
      </c>
    </row>
    <row r="2065" spans="1:11" ht="15.5" x14ac:dyDescent="0.35">
      <c r="A2065" s="1" t="s">
        <v>303</v>
      </c>
      <c r="B2065" t="str">
        <f>VLOOKUP($A2065, 'Customer Names'!A:D, 3, FALSE)</f>
        <v>Knast</v>
      </c>
      <c r="C2065">
        <f>VLOOKUP($A2065,'Medical Examinations'!A:C, 3, FALSE)</f>
        <v>26.4</v>
      </c>
      <c r="D2065" t="str">
        <f>VLOOKUP($A2065, 'Medical Examinations'!A:D, 4, FALSE)</f>
        <v>Prediabetes</v>
      </c>
      <c r="E2065" t="str">
        <f>VLOOKUP($A2065, 'Medical Examinations'!A:F, 6, FALSE)</f>
        <v>yes</v>
      </c>
      <c r="F2065" t="str">
        <f>VLOOKUP($A2065, 'Medical Examinations'!A:G, 7, FALSE)</f>
        <v>No</v>
      </c>
      <c r="G2065" t="str">
        <f>VLOOKUP($A2065, 'Medical Examinations'!A:H, 8, FALSE)</f>
        <v>No</v>
      </c>
      <c r="H2065" t="str">
        <f>VLOOKUP($A2065, 'Medical Examinations'!A:J, 10, FALSE)</f>
        <v>No major surgery</v>
      </c>
      <c r="I2065" t="str">
        <f>VLOOKUP($A2065, 'Medical Examinations'!A:K, 11, FALSE)</f>
        <v>No</v>
      </c>
      <c r="J2065" t="str">
        <f>VLOOKUP($A2065, 'Medical Examinations'!A:B, 2, FALSE)</f>
        <v>Overweight</v>
      </c>
      <c r="K2065" t="str">
        <f>VLOOKUP($A2065, 'Medical Examinations'!A:D, 4, FALSE)</f>
        <v>Prediabetes</v>
      </c>
    </row>
    <row r="2066" spans="1:11" ht="15.5" x14ac:dyDescent="0.35">
      <c r="A2066" s="1" t="s">
        <v>302</v>
      </c>
      <c r="B2066" t="str">
        <f>VLOOKUP($A2066, 'Customer Names'!A:D, 3, FALSE)</f>
        <v>Lucas</v>
      </c>
      <c r="C2066">
        <f>VLOOKUP($A2066,'Medical Examinations'!A:C, 3, FALSE)</f>
        <v>22.135000000000002</v>
      </c>
      <c r="D2066" t="str">
        <f>VLOOKUP($A2066, 'Medical Examinations'!A:D, 4, FALSE)</f>
        <v>Normal</v>
      </c>
      <c r="E2066" t="str">
        <f>VLOOKUP($A2066, 'Medical Examinations'!A:F, 6, FALSE)</f>
        <v>yes</v>
      </c>
      <c r="F2066" t="str">
        <f>VLOOKUP($A2066, 'Medical Examinations'!A:G, 7, FALSE)</f>
        <v>No</v>
      </c>
      <c r="G2066" t="str">
        <f>VLOOKUP($A2066, 'Medical Examinations'!A:H, 8, FALSE)</f>
        <v>No</v>
      </c>
      <c r="H2066" t="str">
        <f>VLOOKUP($A2066, 'Medical Examinations'!A:J, 10, FALSE)</f>
        <v>No major surgery</v>
      </c>
      <c r="I2066" t="str">
        <f>VLOOKUP($A2066, 'Medical Examinations'!A:K, 11, FALSE)</f>
        <v>No</v>
      </c>
      <c r="J2066" t="str">
        <f>VLOOKUP($A2066, 'Medical Examinations'!A:B, 2, FALSE)</f>
        <v>Normal Weight</v>
      </c>
      <c r="K2066" t="str">
        <f>VLOOKUP($A2066, 'Medical Examinations'!A:D, 4, FALSE)</f>
        <v>Normal</v>
      </c>
    </row>
    <row r="2067" spans="1:11" ht="15.5" x14ac:dyDescent="0.35">
      <c r="A2067" s="1" t="s">
        <v>301</v>
      </c>
      <c r="B2067" t="str">
        <f>VLOOKUP($A2067, 'Customer Names'!A:D, 3, FALSE)</f>
        <v>Thomas</v>
      </c>
      <c r="C2067">
        <f>VLOOKUP($A2067,'Medical Examinations'!A:C, 3, FALSE)</f>
        <v>17.399999999999999</v>
      </c>
      <c r="D2067" t="str">
        <f>VLOOKUP($A2067, 'Medical Examinations'!A:D, 4, FALSE)</f>
        <v>Normal</v>
      </c>
      <c r="E2067" t="str">
        <f>VLOOKUP($A2067, 'Medical Examinations'!A:F, 6, FALSE)</f>
        <v>yes</v>
      </c>
      <c r="F2067" t="str">
        <f>VLOOKUP($A2067, 'Medical Examinations'!A:G, 7, FALSE)</f>
        <v>No</v>
      </c>
      <c r="G2067" t="str">
        <f>VLOOKUP($A2067, 'Medical Examinations'!A:H, 8, FALSE)</f>
        <v>No</v>
      </c>
      <c r="H2067" t="str">
        <f>VLOOKUP($A2067, 'Medical Examinations'!A:J, 10, FALSE)</f>
        <v>No major surgery</v>
      </c>
      <c r="I2067" t="str">
        <f>VLOOKUP($A2067, 'Medical Examinations'!A:K, 11, FALSE)</f>
        <v>No</v>
      </c>
      <c r="J2067" t="str">
        <f>VLOOKUP($A2067, 'Medical Examinations'!A:B, 2, FALSE)</f>
        <v>Underweight</v>
      </c>
      <c r="K2067" t="str">
        <f>VLOOKUP($A2067, 'Medical Examinations'!A:D, 4, FALSE)</f>
        <v>Normal</v>
      </c>
    </row>
    <row r="2068" spans="1:11" ht="15.5" x14ac:dyDescent="0.35">
      <c r="A2068" s="1" t="s">
        <v>299</v>
      </c>
      <c r="B2068" t="str">
        <f>VLOOKUP($A2068, 'Customer Names'!A:D, 3, FALSE)</f>
        <v>Cherewatti</v>
      </c>
      <c r="C2068">
        <f>VLOOKUP($A2068,'Medical Examinations'!A:C, 3, FALSE)</f>
        <v>28.06</v>
      </c>
      <c r="D2068" t="str">
        <f>VLOOKUP($A2068, 'Medical Examinations'!A:D, 4, FALSE)</f>
        <v>Diabetes</v>
      </c>
      <c r="E2068" t="str">
        <f>VLOOKUP($A2068, 'Medical Examinations'!A:F, 6, FALSE)</f>
        <v>No</v>
      </c>
      <c r="F2068" t="str">
        <f>VLOOKUP($A2068, 'Medical Examinations'!A:G, 7, FALSE)</f>
        <v>No</v>
      </c>
      <c r="G2068" t="str">
        <f>VLOOKUP($A2068, 'Medical Examinations'!A:H, 8, FALSE)</f>
        <v>No</v>
      </c>
      <c r="H2068" t="str">
        <f>VLOOKUP($A2068, 'Medical Examinations'!A:J, 10, FALSE)</f>
        <v>No major surgery</v>
      </c>
      <c r="I2068" t="str">
        <f>VLOOKUP($A2068, 'Medical Examinations'!A:K, 11, FALSE)</f>
        <v>No</v>
      </c>
      <c r="J2068" t="str">
        <f>VLOOKUP($A2068, 'Medical Examinations'!A:B, 2, FALSE)</f>
        <v>Overweight</v>
      </c>
      <c r="K2068" t="str">
        <f>VLOOKUP($A2068, 'Medical Examinations'!A:D, 4, FALSE)</f>
        <v>Diabetes</v>
      </c>
    </row>
    <row r="2069" spans="1:11" ht="15.5" x14ac:dyDescent="0.35">
      <c r="A2069" s="1" t="s">
        <v>298</v>
      </c>
      <c r="B2069" t="str">
        <f>VLOOKUP($A2069, 'Customer Names'!A:D, 3, FALSE)</f>
        <v>Olle</v>
      </c>
      <c r="C2069">
        <f>VLOOKUP($A2069,'Medical Examinations'!A:C, 3, FALSE)</f>
        <v>31.13</v>
      </c>
      <c r="D2069" t="str">
        <f>VLOOKUP($A2069, 'Medical Examinations'!A:D, 4, FALSE)</f>
        <v>Diabetes</v>
      </c>
      <c r="E2069" t="str">
        <f>VLOOKUP($A2069, 'Medical Examinations'!A:F, 6, FALSE)</f>
        <v>No</v>
      </c>
      <c r="F2069" t="str">
        <f>VLOOKUP($A2069, 'Medical Examinations'!A:G, 7, FALSE)</f>
        <v>No</v>
      </c>
      <c r="G2069" t="str">
        <f>VLOOKUP($A2069, 'Medical Examinations'!A:H, 8, FALSE)</f>
        <v>No</v>
      </c>
      <c r="H2069" t="str">
        <f>VLOOKUP($A2069, 'Medical Examinations'!A:J, 10, FALSE)</f>
        <v>No major surgery</v>
      </c>
      <c r="I2069" t="str">
        <f>VLOOKUP($A2069, 'Medical Examinations'!A:K, 11, FALSE)</f>
        <v>No</v>
      </c>
      <c r="J2069" t="str">
        <f>VLOOKUP($A2069, 'Medical Examinations'!A:B, 2, FALSE)</f>
        <v>Obesity</v>
      </c>
      <c r="K2069" t="str">
        <f>VLOOKUP($A2069, 'Medical Examinations'!A:D, 4, FALSE)</f>
        <v>Diabetes</v>
      </c>
    </row>
    <row r="2070" spans="1:11" ht="15.5" x14ac:dyDescent="0.35">
      <c r="A2070" s="1" t="s">
        <v>297</v>
      </c>
      <c r="B2070" t="str">
        <f>VLOOKUP($A2070, 'Customer Names'!A:D, 3, FALSE)</f>
        <v>Hamsi</v>
      </c>
      <c r="C2070">
        <f>VLOOKUP($A2070,'Medical Examinations'!A:C, 3, FALSE)</f>
        <v>18.46</v>
      </c>
      <c r="D2070" t="str">
        <f>VLOOKUP($A2070, 'Medical Examinations'!A:D, 4, FALSE)</f>
        <v>Normal</v>
      </c>
      <c r="E2070" t="str">
        <f>VLOOKUP($A2070, 'Medical Examinations'!A:F, 6, FALSE)</f>
        <v>No</v>
      </c>
      <c r="F2070" t="str">
        <f>VLOOKUP($A2070, 'Medical Examinations'!A:G, 7, FALSE)</f>
        <v>No</v>
      </c>
      <c r="G2070" t="str">
        <f>VLOOKUP($A2070, 'Medical Examinations'!A:H, 8, FALSE)</f>
        <v>No</v>
      </c>
      <c r="H2070" t="str">
        <f>VLOOKUP($A2070, 'Medical Examinations'!A:J, 10, FALSE)</f>
        <v>No major surgery</v>
      </c>
      <c r="I2070" t="str">
        <f>VLOOKUP($A2070, 'Medical Examinations'!A:K, 11, FALSE)</f>
        <v>No</v>
      </c>
      <c r="J2070" t="str">
        <f>VLOOKUP($A2070, 'Medical Examinations'!A:B, 2, FALSE)</f>
        <v>Underweight</v>
      </c>
      <c r="K2070" t="str">
        <f>VLOOKUP($A2070, 'Medical Examinations'!A:D, 4, FALSE)</f>
        <v>Normal</v>
      </c>
    </row>
    <row r="2071" spans="1:11" ht="15.5" x14ac:dyDescent="0.35">
      <c r="A2071" s="1" t="s">
        <v>296</v>
      </c>
      <c r="B2071" t="str">
        <f>VLOOKUP($A2071, 'Customer Names'!A:D, 3, FALSE)</f>
        <v>Finnegan</v>
      </c>
      <c r="C2071">
        <f>VLOOKUP($A2071,'Medical Examinations'!A:C, 3, FALSE)</f>
        <v>17.3</v>
      </c>
      <c r="D2071" t="str">
        <f>VLOOKUP($A2071, 'Medical Examinations'!A:D, 4, FALSE)</f>
        <v>Normal</v>
      </c>
      <c r="E2071" t="str">
        <f>VLOOKUP($A2071, 'Medical Examinations'!A:F, 6, FALSE)</f>
        <v>No</v>
      </c>
      <c r="F2071" t="str">
        <f>VLOOKUP($A2071, 'Medical Examinations'!A:G, 7, FALSE)</f>
        <v>No</v>
      </c>
      <c r="G2071" t="str">
        <f>VLOOKUP($A2071, 'Medical Examinations'!A:H, 8, FALSE)</f>
        <v>No</v>
      </c>
      <c r="H2071" t="str">
        <f>VLOOKUP($A2071, 'Medical Examinations'!A:J, 10, FALSE)</f>
        <v>No major surgery</v>
      </c>
      <c r="I2071" t="str">
        <f>VLOOKUP($A2071, 'Medical Examinations'!A:K, 11, FALSE)</f>
        <v>No</v>
      </c>
      <c r="J2071" t="str">
        <f>VLOOKUP($A2071, 'Medical Examinations'!A:B, 2, FALSE)</f>
        <v>Underweight</v>
      </c>
      <c r="K2071" t="str">
        <f>VLOOKUP($A2071, 'Medical Examinations'!A:D, 4, FALSE)</f>
        <v>Normal</v>
      </c>
    </row>
    <row r="2072" spans="1:11" ht="15.5" x14ac:dyDescent="0.35">
      <c r="A2072" s="1" t="s">
        <v>295</v>
      </c>
      <c r="B2072" t="str">
        <f>VLOOKUP($A2072, 'Customer Names'!A:D, 3, FALSE)</f>
        <v>Walsh</v>
      </c>
      <c r="C2072">
        <f>VLOOKUP($A2072,'Medical Examinations'!A:C, 3, FALSE)</f>
        <v>35.625</v>
      </c>
      <c r="D2072" t="str">
        <f>VLOOKUP($A2072, 'Medical Examinations'!A:D, 4, FALSE)</f>
        <v>Normal</v>
      </c>
      <c r="E2072" t="str">
        <f>VLOOKUP($A2072, 'Medical Examinations'!A:F, 6, FALSE)</f>
        <v>yes</v>
      </c>
      <c r="F2072" t="str">
        <f>VLOOKUP($A2072, 'Medical Examinations'!A:G, 7, FALSE)</f>
        <v>No</v>
      </c>
      <c r="G2072" t="str">
        <f>VLOOKUP($A2072, 'Medical Examinations'!A:H, 8, FALSE)</f>
        <v>Yes</v>
      </c>
      <c r="H2072">
        <f>VLOOKUP($A2072, 'Medical Examinations'!A:J, 10, FALSE)</f>
        <v>1</v>
      </c>
      <c r="I2072" t="str">
        <f>VLOOKUP($A2072, 'Medical Examinations'!A:K, 11, FALSE)</f>
        <v>No</v>
      </c>
      <c r="J2072" t="str">
        <f>VLOOKUP($A2072, 'Medical Examinations'!A:B, 2, FALSE)</f>
        <v>Obesity</v>
      </c>
      <c r="K2072" t="str">
        <f>VLOOKUP($A2072, 'Medical Examinations'!A:D, 4, FALSE)</f>
        <v>Normal</v>
      </c>
    </row>
    <row r="2073" spans="1:11" ht="15.5" x14ac:dyDescent="0.35">
      <c r="A2073" s="1" t="s">
        <v>294</v>
      </c>
      <c r="B2073" t="str">
        <f>VLOOKUP($A2073, 'Customer Names'!A:D, 3, FALSE)</f>
        <v>Villa</v>
      </c>
      <c r="C2073">
        <f>VLOOKUP($A2073,'Medical Examinations'!A:C, 3, FALSE)</f>
        <v>20.234999999999999</v>
      </c>
      <c r="D2073" t="str">
        <f>VLOOKUP($A2073, 'Medical Examinations'!A:D, 4, FALSE)</f>
        <v>Prediabetes</v>
      </c>
      <c r="E2073" t="str">
        <f>VLOOKUP($A2073, 'Medical Examinations'!A:F, 6, FALSE)</f>
        <v>yes</v>
      </c>
      <c r="F2073" t="str">
        <f>VLOOKUP($A2073, 'Medical Examinations'!A:G, 7, FALSE)</f>
        <v>yes</v>
      </c>
      <c r="G2073" t="str">
        <f>VLOOKUP($A2073, 'Medical Examinations'!A:H, 8, FALSE)</f>
        <v>No</v>
      </c>
      <c r="H2073">
        <f>VLOOKUP($A2073, 'Medical Examinations'!A:J, 10, FALSE)</f>
        <v>2</v>
      </c>
      <c r="I2073" t="str">
        <f>VLOOKUP($A2073, 'Medical Examinations'!A:K, 11, FALSE)</f>
        <v>No</v>
      </c>
      <c r="J2073" t="str">
        <f>VLOOKUP($A2073, 'Medical Examinations'!A:B, 2, FALSE)</f>
        <v>Normal Weight</v>
      </c>
      <c r="K2073" t="str">
        <f>VLOOKUP($A2073, 'Medical Examinations'!A:D, 4, FALSE)</f>
        <v>Prediabetes</v>
      </c>
    </row>
    <row r="2074" spans="1:11" ht="15.5" x14ac:dyDescent="0.35">
      <c r="A2074" s="1" t="s">
        <v>293</v>
      </c>
      <c r="B2074" t="str">
        <f>VLOOKUP($A2074, 'Customer Names'!A:D, 3, FALSE)</f>
        <v>Cable</v>
      </c>
      <c r="C2074">
        <f>VLOOKUP($A2074,'Medical Examinations'!A:C, 3, FALSE)</f>
        <v>27.55</v>
      </c>
      <c r="D2074" t="str">
        <f>VLOOKUP($A2074, 'Medical Examinations'!A:D, 4, FALSE)</f>
        <v>Normal</v>
      </c>
      <c r="E2074" t="str">
        <f>VLOOKUP($A2074, 'Medical Examinations'!A:F, 6, FALSE)</f>
        <v>yes</v>
      </c>
      <c r="F2074" t="str">
        <f>VLOOKUP($A2074, 'Medical Examinations'!A:G, 7, FALSE)</f>
        <v>No</v>
      </c>
      <c r="G2074" t="str">
        <f>VLOOKUP($A2074, 'Medical Examinations'!A:H, 8, FALSE)</f>
        <v>Yes</v>
      </c>
      <c r="H2074">
        <f>VLOOKUP($A2074, 'Medical Examinations'!A:J, 10, FALSE)</f>
        <v>1</v>
      </c>
      <c r="I2074" t="str">
        <f>VLOOKUP($A2074, 'Medical Examinations'!A:K, 11, FALSE)</f>
        <v>No</v>
      </c>
      <c r="J2074" t="str">
        <f>VLOOKUP($A2074, 'Medical Examinations'!A:B, 2, FALSE)</f>
        <v>Overweight</v>
      </c>
      <c r="K2074" t="str">
        <f>VLOOKUP($A2074, 'Medical Examinations'!A:D, 4, FALSE)</f>
        <v>Normal</v>
      </c>
    </row>
    <row r="2075" spans="1:11" ht="15.5" x14ac:dyDescent="0.35">
      <c r="A2075" s="1" t="s">
        <v>292</v>
      </c>
      <c r="B2075" t="str">
        <f>VLOOKUP($A2075, 'Customer Names'!A:D, 3, FALSE)</f>
        <v>Eiring</v>
      </c>
      <c r="C2075">
        <f>VLOOKUP($A2075,'Medical Examinations'!A:C, 3, FALSE)</f>
        <v>17.97</v>
      </c>
      <c r="D2075" t="str">
        <f>VLOOKUP($A2075, 'Medical Examinations'!A:D, 4, FALSE)</f>
        <v>Prediabetes</v>
      </c>
      <c r="E2075" t="str">
        <f>VLOOKUP($A2075, 'Medical Examinations'!A:F, 6, FALSE)</f>
        <v>No</v>
      </c>
      <c r="F2075" t="str">
        <f>VLOOKUP($A2075, 'Medical Examinations'!A:G, 7, FALSE)</f>
        <v>No</v>
      </c>
      <c r="G2075" t="str">
        <f>VLOOKUP($A2075, 'Medical Examinations'!A:H, 8, FALSE)</f>
        <v>No</v>
      </c>
      <c r="H2075" t="str">
        <f>VLOOKUP($A2075, 'Medical Examinations'!A:J, 10, FALSE)</f>
        <v>No major surgery</v>
      </c>
      <c r="I2075" t="str">
        <f>VLOOKUP($A2075, 'Medical Examinations'!A:K, 11, FALSE)</f>
        <v>No</v>
      </c>
      <c r="J2075" t="str">
        <f>VLOOKUP($A2075, 'Medical Examinations'!A:B, 2, FALSE)</f>
        <v>Underweight</v>
      </c>
      <c r="K2075" t="str">
        <f>VLOOKUP($A2075, 'Medical Examinations'!A:D, 4, FALSE)</f>
        <v>Prediabetes</v>
      </c>
    </row>
    <row r="2076" spans="1:11" ht="15.5" x14ac:dyDescent="0.35">
      <c r="A2076" s="1" t="s">
        <v>291</v>
      </c>
      <c r="B2076" t="str">
        <f>VLOOKUP($A2076, 'Customer Names'!A:D, 3, FALSE)</f>
        <v>Connor</v>
      </c>
      <c r="C2076">
        <f>VLOOKUP($A2076,'Medical Examinations'!A:C, 3, FALSE)</f>
        <v>29.98</v>
      </c>
      <c r="D2076" t="str">
        <f>VLOOKUP($A2076, 'Medical Examinations'!A:D, 4, FALSE)</f>
        <v>Prediabetes</v>
      </c>
      <c r="E2076" t="str">
        <f>VLOOKUP($A2076, 'Medical Examinations'!A:F, 6, FALSE)</f>
        <v>No</v>
      </c>
      <c r="F2076" t="str">
        <f>VLOOKUP($A2076, 'Medical Examinations'!A:G, 7, FALSE)</f>
        <v>yes</v>
      </c>
      <c r="G2076" t="str">
        <f>VLOOKUP($A2076, 'Medical Examinations'!A:H, 8, FALSE)</f>
        <v>No</v>
      </c>
      <c r="H2076">
        <f>VLOOKUP($A2076, 'Medical Examinations'!A:J, 10, FALSE)</f>
        <v>1</v>
      </c>
      <c r="I2076" t="str">
        <f>VLOOKUP($A2076, 'Medical Examinations'!A:K, 11, FALSE)</f>
        <v>No</v>
      </c>
      <c r="J2076" t="e">
        <f>VLOOKUP($A2076, 'Medical Examinations'!A:B, 2, FALSE)</f>
        <v>#N/A</v>
      </c>
      <c r="K2076" t="str">
        <f>VLOOKUP($A2076, 'Medical Examinations'!A:D, 4, FALSE)</f>
        <v>Prediabetes</v>
      </c>
    </row>
    <row r="2077" spans="1:11" ht="15.5" x14ac:dyDescent="0.35">
      <c r="A2077" s="1" t="s">
        <v>290</v>
      </c>
      <c r="B2077" t="str">
        <f>VLOOKUP($A2077, 'Customer Names'!A:D, 3, FALSE)</f>
        <v>Friedman</v>
      </c>
      <c r="C2077">
        <f>VLOOKUP($A2077,'Medical Examinations'!A:C, 3, FALSE)</f>
        <v>33.659999999999997</v>
      </c>
      <c r="D2077" t="str">
        <f>VLOOKUP($A2077, 'Medical Examinations'!A:D, 4, FALSE)</f>
        <v>Normal</v>
      </c>
      <c r="E2077" t="str">
        <f>VLOOKUP($A2077, 'Medical Examinations'!A:F, 6, FALSE)</f>
        <v>yes</v>
      </c>
      <c r="F2077" t="str">
        <f>VLOOKUP($A2077, 'Medical Examinations'!A:G, 7, FALSE)</f>
        <v>No</v>
      </c>
      <c r="G2077" t="str">
        <f>VLOOKUP($A2077, 'Medical Examinations'!A:H, 8, FALSE)</f>
        <v>No</v>
      </c>
      <c r="H2077">
        <f>VLOOKUP($A2077, 'Medical Examinations'!A:J, 10, FALSE)</f>
        <v>1</v>
      </c>
      <c r="I2077" t="str">
        <f>VLOOKUP($A2077, 'Medical Examinations'!A:K, 11, FALSE)</f>
        <v>No</v>
      </c>
      <c r="J2077" t="str">
        <f>VLOOKUP($A2077, 'Medical Examinations'!A:B, 2, FALSE)</f>
        <v>Obesity</v>
      </c>
      <c r="K2077" t="str">
        <f>VLOOKUP($A2077, 'Medical Examinations'!A:D, 4, FALSE)</f>
        <v>Normal</v>
      </c>
    </row>
    <row r="2078" spans="1:11" ht="15.5" x14ac:dyDescent="0.35">
      <c r="A2078" s="1" t="s">
        <v>289</v>
      </c>
      <c r="B2078" t="str">
        <f>VLOOKUP($A2078, 'Customer Names'!A:D, 3, FALSE)</f>
        <v>Croker</v>
      </c>
      <c r="C2078">
        <f>VLOOKUP($A2078,'Medical Examinations'!A:C, 3, FALSE)</f>
        <v>32.67</v>
      </c>
      <c r="D2078" t="str">
        <f>VLOOKUP($A2078, 'Medical Examinations'!A:D, 4, FALSE)</f>
        <v>Normal</v>
      </c>
      <c r="E2078" t="str">
        <f>VLOOKUP($A2078, 'Medical Examinations'!A:F, 6, FALSE)</f>
        <v>yes</v>
      </c>
      <c r="F2078" t="str">
        <f>VLOOKUP($A2078, 'Medical Examinations'!A:G, 7, FALSE)</f>
        <v>No</v>
      </c>
      <c r="G2078" t="str">
        <f>VLOOKUP($A2078, 'Medical Examinations'!A:H, 8, FALSE)</f>
        <v>No</v>
      </c>
      <c r="H2078">
        <f>VLOOKUP($A2078, 'Medical Examinations'!A:J, 10, FALSE)</f>
        <v>1</v>
      </c>
      <c r="I2078" t="str">
        <f>VLOOKUP($A2078, 'Medical Examinations'!A:K, 11, FALSE)</f>
        <v>No</v>
      </c>
      <c r="J2078" t="str">
        <f>VLOOKUP($A2078, 'Medical Examinations'!A:B, 2, FALSE)</f>
        <v>Obesity</v>
      </c>
      <c r="K2078" t="str">
        <f>VLOOKUP($A2078, 'Medical Examinations'!A:D, 4, FALSE)</f>
        <v>Normal</v>
      </c>
    </row>
    <row r="2079" spans="1:11" ht="15.5" x14ac:dyDescent="0.35">
      <c r="A2079" s="1" t="s">
        <v>288</v>
      </c>
      <c r="B2079" t="str">
        <f>VLOOKUP($A2079, 'Customer Names'!A:D, 3, FALSE)</f>
        <v>Beganics</v>
      </c>
      <c r="C2079">
        <f>VLOOKUP($A2079,'Medical Examinations'!A:C, 3, FALSE)</f>
        <v>30.5</v>
      </c>
      <c r="D2079" t="str">
        <f>VLOOKUP($A2079, 'Medical Examinations'!A:D, 4, FALSE)</f>
        <v>Prediabetes</v>
      </c>
      <c r="E2079" t="str">
        <f>VLOOKUP($A2079, 'Medical Examinations'!A:F, 6, FALSE)</f>
        <v>yes</v>
      </c>
      <c r="F2079" t="str">
        <f>VLOOKUP($A2079, 'Medical Examinations'!A:G, 7, FALSE)</f>
        <v>No</v>
      </c>
      <c r="G2079" t="str">
        <f>VLOOKUP($A2079, 'Medical Examinations'!A:H, 8, FALSE)</f>
        <v>No</v>
      </c>
      <c r="H2079">
        <f>VLOOKUP($A2079, 'Medical Examinations'!A:J, 10, FALSE)</f>
        <v>1</v>
      </c>
      <c r="I2079" t="str">
        <f>VLOOKUP($A2079, 'Medical Examinations'!A:K, 11, FALSE)</f>
        <v>No</v>
      </c>
      <c r="J2079" t="str">
        <f>VLOOKUP($A2079, 'Medical Examinations'!A:B, 2, FALSE)</f>
        <v>Obesity</v>
      </c>
      <c r="K2079" t="str">
        <f>VLOOKUP($A2079, 'Medical Examinations'!A:D, 4, FALSE)</f>
        <v>Prediabetes</v>
      </c>
    </row>
    <row r="2080" spans="1:11" ht="15.5" x14ac:dyDescent="0.35">
      <c r="A2080" s="1" t="s">
        <v>287</v>
      </c>
      <c r="B2080" t="str">
        <f>VLOOKUP($A2080, 'Customer Names'!A:D, 3, FALSE)</f>
        <v>Huberty</v>
      </c>
      <c r="C2080">
        <f>VLOOKUP($A2080,'Medical Examinations'!A:C, 3, FALSE)</f>
        <v>23.1</v>
      </c>
      <c r="D2080" t="str">
        <f>VLOOKUP($A2080, 'Medical Examinations'!A:D, 4, FALSE)</f>
        <v>Prediabetes</v>
      </c>
      <c r="E2080" t="str">
        <f>VLOOKUP($A2080, 'Medical Examinations'!A:F, 6, FALSE)</f>
        <v>yes</v>
      </c>
      <c r="F2080" t="str">
        <f>VLOOKUP($A2080, 'Medical Examinations'!A:G, 7, FALSE)</f>
        <v>No</v>
      </c>
      <c r="G2080" t="str">
        <f>VLOOKUP($A2080, 'Medical Examinations'!A:H, 8, FALSE)</f>
        <v>No</v>
      </c>
      <c r="H2080">
        <f>VLOOKUP($A2080, 'Medical Examinations'!A:J, 10, FALSE)</f>
        <v>1</v>
      </c>
      <c r="I2080" t="str">
        <f>VLOOKUP($A2080, 'Medical Examinations'!A:K, 11, FALSE)</f>
        <v>No</v>
      </c>
      <c r="J2080" t="str">
        <f>VLOOKUP($A2080, 'Medical Examinations'!A:B, 2, FALSE)</f>
        <v>Normal Weight</v>
      </c>
      <c r="K2080" t="str">
        <f>VLOOKUP($A2080, 'Medical Examinations'!A:D, 4, FALSE)</f>
        <v>Prediabetes</v>
      </c>
    </row>
    <row r="2081" spans="1:11" ht="15.5" x14ac:dyDescent="0.35">
      <c r="A2081" s="1" t="s">
        <v>286</v>
      </c>
      <c r="B2081" t="str">
        <f>VLOOKUP($A2081, 'Customer Names'!A:D, 3, FALSE)</f>
        <v>Jacobs</v>
      </c>
      <c r="C2081">
        <f>VLOOKUP($A2081,'Medical Examinations'!A:C, 3, FALSE)</f>
        <v>39.49</v>
      </c>
      <c r="D2081" t="str">
        <f>VLOOKUP($A2081, 'Medical Examinations'!A:D, 4, FALSE)</f>
        <v>Normal</v>
      </c>
      <c r="E2081" t="str">
        <f>VLOOKUP($A2081, 'Medical Examinations'!A:F, 6, FALSE)</f>
        <v>No</v>
      </c>
      <c r="F2081" t="str">
        <f>VLOOKUP($A2081, 'Medical Examinations'!A:G, 7, FALSE)</f>
        <v>No</v>
      </c>
      <c r="G2081" t="str">
        <f>VLOOKUP($A2081, 'Medical Examinations'!A:H, 8, FALSE)</f>
        <v>No</v>
      </c>
      <c r="H2081">
        <f>VLOOKUP($A2081, 'Medical Examinations'!A:J, 10, FALSE)</f>
        <v>1</v>
      </c>
      <c r="I2081" t="str">
        <f>VLOOKUP($A2081, 'Medical Examinations'!A:K, 11, FALSE)</f>
        <v>No</v>
      </c>
      <c r="J2081" t="str">
        <f>VLOOKUP($A2081, 'Medical Examinations'!A:B, 2, FALSE)</f>
        <v>Obesity</v>
      </c>
      <c r="K2081" t="str">
        <f>VLOOKUP($A2081, 'Medical Examinations'!A:D, 4, FALSE)</f>
        <v>Normal</v>
      </c>
    </row>
    <row r="2082" spans="1:11" ht="15.5" x14ac:dyDescent="0.35">
      <c r="A2082" s="1" t="s">
        <v>285</v>
      </c>
      <c r="B2082" t="str">
        <f>VLOOKUP($A2082, 'Customer Names'!A:D, 3, FALSE)</f>
        <v>Hazlehurst</v>
      </c>
      <c r="C2082">
        <f>VLOOKUP($A2082,'Medical Examinations'!A:C, 3, FALSE)</f>
        <v>33.99</v>
      </c>
      <c r="D2082" t="str">
        <f>VLOOKUP($A2082, 'Medical Examinations'!A:D, 4, FALSE)</f>
        <v>Normal</v>
      </c>
      <c r="E2082" t="str">
        <f>VLOOKUP($A2082, 'Medical Examinations'!A:F, 6, FALSE)</f>
        <v>No</v>
      </c>
      <c r="F2082" t="str">
        <f>VLOOKUP($A2082, 'Medical Examinations'!A:G, 7, FALSE)</f>
        <v>No</v>
      </c>
      <c r="G2082" t="str">
        <f>VLOOKUP($A2082, 'Medical Examinations'!A:H, 8, FALSE)</f>
        <v>No</v>
      </c>
      <c r="H2082">
        <f>VLOOKUP($A2082, 'Medical Examinations'!A:J, 10, FALSE)</f>
        <v>1</v>
      </c>
      <c r="I2082" t="str">
        <f>VLOOKUP($A2082, 'Medical Examinations'!A:K, 11, FALSE)</f>
        <v>No</v>
      </c>
      <c r="J2082" t="str">
        <f>VLOOKUP($A2082, 'Medical Examinations'!A:B, 2, FALSE)</f>
        <v>Obesity</v>
      </c>
      <c r="K2082" t="str">
        <f>VLOOKUP($A2082, 'Medical Examinations'!A:D, 4, FALSE)</f>
        <v>Normal</v>
      </c>
    </row>
    <row r="2083" spans="1:11" ht="15.5" x14ac:dyDescent="0.35">
      <c r="A2083" s="1" t="s">
        <v>284</v>
      </c>
      <c r="B2083" t="str">
        <f>VLOOKUP($A2083, 'Customer Names'!A:D, 3, FALSE)</f>
        <v>Marin</v>
      </c>
      <c r="C2083">
        <f>VLOOKUP($A2083,'Medical Examinations'!A:C, 3, FALSE)</f>
        <v>27.72</v>
      </c>
      <c r="D2083" t="e">
        <f>VLOOKUP($A2083, 'Medical Examinations'!A:D, 4, FALSE)</f>
        <v>#N/A</v>
      </c>
      <c r="E2083" t="str">
        <f>VLOOKUP($A2083, 'Medical Examinations'!A:F, 6, FALSE)</f>
        <v>No</v>
      </c>
      <c r="F2083" t="str">
        <f>VLOOKUP($A2083, 'Medical Examinations'!A:G, 7, FALSE)</f>
        <v>No</v>
      </c>
      <c r="G2083" t="str">
        <f>VLOOKUP($A2083, 'Medical Examinations'!A:H, 8, FALSE)</f>
        <v>No</v>
      </c>
      <c r="H2083">
        <f>VLOOKUP($A2083, 'Medical Examinations'!A:J, 10, FALSE)</f>
        <v>1</v>
      </c>
      <c r="I2083" t="str">
        <f>VLOOKUP($A2083, 'Medical Examinations'!A:K, 11, FALSE)</f>
        <v>No</v>
      </c>
      <c r="J2083" t="str">
        <f>VLOOKUP($A2083, 'Medical Examinations'!A:B, 2, FALSE)</f>
        <v>Overweight</v>
      </c>
      <c r="K2083" t="e">
        <f>VLOOKUP($A2083, 'Medical Examinations'!A:D, 4, FALSE)</f>
        <v>#N/A</v>
      </c>
    </row>
    <row r="2084" spans="1:11" ht="15.5" x14ac:dyDescent="0.35">
      <c r="A2084" s="1" t="s">
        <v>283</v>
      </c>
      <c r="B2084" t="str">
        <f>VLOOKUP($A2084, 'Customer Names'!A:D, 3, FALSE)</f>
        <v>Dear</v>
      </c>
      <c r="C2084">
        <f>VLOOKUP($A2084,'Medical Examinations'!A:C, 3, FALSE)</f>
        <v>30.59</v>
      </c>
      <c r="D2084" t="str">
        <f>VLOOKUP($A2084, 'Medical Examinations'!A:D, 4, FALSE)</f>
        <v>Diabetes</v>
      </c>
      <c r="E2084" t="str">
        <f>VLOOKUP($A2084, 'Medical Examinations'!A:F, 6, FALSE)</f>
        <v>No</v>
      </c>
      <c r="F2084" t="str">
        <f>VLOOKUP($A2084, 'Medical Examinations'!A:G, 7, FALSE)</f>
        <v>No</v>
      </c>
      <c r="G2084" t="str">
        <f>VLOOKUP($A2084, 'Medical Examinations'!A:H, 8, FALSE)</f>
        <v>No</v>
      </c>
      <c r="H2084" t="str">
        <f>VLOOKUP($A2084, 'Medical Examinations'!A:J, 10, FALSE)</f>
        <v>No major surgery</v>
      </c>
      <c r="I2084" t="str">
        <f>VLOOKUP($A2084, 'Medical Examinations'!A:K, 11, FALSE)</f>
        <v>No</v>
      </c>
      <c r="J2084" t="str">
        <f>VLOOKUP($A2084, 'Medical Examinations'!A:B, 2, FALSE)</f>
        <v>Obesity</v>
      </c>
      <c r="K2084" t="str">
        <f>VLOOKUP($A2084, 'Medical Examinations'!A:D, 4, FALSE)</f>
        <v>Diabetes</v>
      </c>
    </row>
    <row r="2085" spans="1:11" ht="15.5" x14ac:dyDescent="0.35">
      <c r="A2085" s="1" t="s">
        <v>282</v>
      </c>
      <c r="B2085" t="str">
        <f>VLOOKUP($A2085, 'Customer Names'!A:D, 3, FALSE)</f>
        <v>Lederer</v>
      </c>
      <c r="C2085">
        <f>VLOOKUP($A2085,'Medical Examinations'!A:C, 3, FALSE)</f>
        <v>22.6</v>
      </c>
      <c r="D2085" t="str">
        <f>VLOOKUP($A2085, 'Medical Examinations'!A:D, 4, FALSE)</f>
        <v>Prediabetes</v>
      </c>
      <c r="E2085" t="str">
        <f>VLOOKUP($A2085, 'Medical Examinations'!A:F, 6, FALSE)</f>
        <v>No</v>
      </c>
      <c r="F2085" t="str">
        <f>VLOOKUP($A2085, 'Medical Examinations'!A:G, 7, FALSE)</f>
        <v>No</v>
      </c>
      <c r="G2085" t="str">
        <f>VLOOKUP($A2085, 'Medical Examinations'!A:H, 8, FALSE)</f>
        <v>No</v>
      </c>
      <c r="H2085">
        <f>VLOOKUP($A2085, 'Medical Examinations'!A:J, 10, FALSE)</f>
        <v>1</v>
      </c>
      <c r="I2085" t="str">
        <f>VLOOKUP($A2085, 'Medical Examinations'!A:K, 11, FALSE)</f>
        <v>No</v>
      </c>
      <c r="J2085" t="str">
        <f>VLOOKUP($A2085, 'Medical Examinations'!A:B, 2, FALSE)</f>
        <v>Normal Weight</v>
      </c>
      <c r="K2085" t="str">
        <f>VLOOKUP($A2085, 'Medical Examinations'!A:D, 4, FALSE)</f>
        <v>Prediabetes</v>
      </c>
    </row>
    <row r="2086" spans="1:11" ht="15.5" x14ac:dyDescent="0.35">
      <c r="A2086" s="1" t="s">
        <v>281</v>
      </c>
      <c r="B2086" t="str">
        <f>VLOOKUP($A2086, 'Customer Names'!A:D, 3, FALSE)</f>
        <v>Robson</v>
      </c>
      <c r="C2086">
        <f>VLOOKUP($A2086,'Medical Examinations'!A:C, 3, FALSE)</f>
        <v>28.785</v>
      </c>
      <c r="D2086" t="str">
        <f>VLOOKUP($A2086, 'Medical Examinations'!A:D, 4, FALSE)</f>
        <v>Diabetes</v>
      </c>
      <c r="E2086" t="str">
        <f>VLOOKUP($A2086, 'Medical Examinations'!A:F, 6, FALSE)</f>
        <v>No</v>
      </c>
      <c r="F2086" t="str">
        <f>VLOOKUP($A2086, 'Medical Examinations'!A:G, 7, FALSE)</f>
        <v>No</v>
      </c>
      <c r="G2086" t="str">
        <f>VLOOKUP($A2086, 'Medical Examinations'!A:H, 8, FALSE)</f>
        <v>No</v>
      </c>
      <c r="H2086" t="str">
        <f>VLOOKUP($A2086, 'Medical Examinations'!A:J, 10, FALSE)</f>
        <v>No major surgery</v>
      </c>
      <c r="I2086" t="str">
        <f>VLOOKUP($A2086, 'Medical Examinations'!A:K, 11, FALSE)</f>
        <v>No</v>
      </c>
      <c r="J2086" t="str">
        <f>VLOOKUP($A2086, 'Medical Examinations'!A:B, 2, FALSE)</f>
        <v>Overweight</v>
      </c>
      <c r="K2086" t="str">
        <f>VLOOKUP($A2086, 'Medical Examinations'!A:D, 4, FALSE)</f>
        <v>Diabetes</v>
      </c>
    </row>
    <row r="2087" spans="1:11" ht="15.5" x14ac:dyDescent="0.35">
      <c r="A2087" s="1" t="s">
        <v>280</v>
      </c>
      <c r="B2087" t="str">
        <f>VLOOKUP($A2087, 'Customer Names'!A:D, 3, FALSE)</f>
        <v>Galvan</v>
      </c>
      <c r="C2087">
        <f>VLOOKUP($A2087,'Medical Examinations'!A:C, 3, FALSE)</f>
        <v>50.38</v>
      </c>
      <c r="D2087" t="str">
        <f>VLOOKUP($A2087, 'Medical Examinations'!A:D, 4, FALSE)</f>
        <v>Prediabetes</v>
      </c>
      <c r="E2087" t="str">
        <f>VLOOKUP($A2087, 'Medical Examinations'!A:F, 6, FALSE)</f>
        <v>No</v>
      </c>
      <c r="F2087" t="str">
        <f>VLOOKUP($A2087, 'Medical Examinations'!A:G, 7, FALSE)</f>
        <v>No</v>
      </c>
      <c r="G2087" t="str">
        <f>VLOOKUP($A2087, 'Medical Examinations'!A:H, 8, FALSE)</f>
        <v>No</v>
      </c>
      <c r="H2087" t="str">
        <f>VLOOKUP($A2087, 'Medical Examinations'!A:J, 10, FALSE)</f>
        <v>No major surgery</v>
      </c>
      <c r="I2087" t="str">
        <f>VLOOKUP($A2087, 'Medical Examinations'!A:K, 11, FALSE)</f>
        <v>No</v>
      </c>
      <c r="J2087" t="str">
        <f>VLOOKUP($A2087, 'Medical Examinations'!A:B, 2, FALSE)</f>
        <v>Obesity</v>
      </c>
      <c r="K2087" t="str">
        <f>VLOOKUP($A2087, 'Medical Examinations'!A:D, 4, FALSE)</f>
        <v>Prediabetes</v>
      </c>
    </row>
    <row r="2088" spans="1:11" ht="15.5" x14ac:dyDescent="0.35">
      <c r="A2088" s="1" t="s">
        <v>279</v>
      </c>
      <c r="B2088" t="str">
        <f>VLOOKUP($A2088, 'Customer Names'!A:D, 3, FALSE)</f>
        <v>Walsh</v>
      </c>
      <c r="C2088">
        <f>VLOOKUP($A2088,'Medical Examinations'!A:C, 3, FALSE)</f>
        <v>35.200000000000003</v>
      </c>
      <c r="D2088" t="str">
        <f>VLOOKUP($A2088, 'Medical Examinations'!A:D, 4, FALSE)</f>
        <v>Normal</v>
      </c>
      <c r="E2088" t="str">
        <f>VLOOKUP($A2088, 'Medical Examinations'!A:F, 6, FALSE)</f>
        <v>No</v>
      </c>
      <c r="F2088" t="str">
        <f>VLOOKUP($A2088, 'Medical Examinations'!A:G, 7, FALSE)</f>
        <v>No</v>
      </c>
      <c r="G2088" t="str">
        <f>VLOOKUP($A2088, 'Medical Examinations'!A:H, 8, FALSE)</f>
        <v>No</v>
      </c>
      <c r="H2088" t="str">
        <f>VLOOKUP($A2088, 'Medical Examinations'!A:J, 10, FALSE)</f>
        <v>No major surgery</v>
      </c>
      <c r="I2088" t="str">
        <f>VLOOKUP($A2088, 'Medical Examinations'!A:K, 11, FALSE)</f>
        <v>No</v>
      </c>
      <c r="J2088" t="str">
        <f>VLOOKUP($A2088, 'Medical Examinations'!A:B, 2, FALSE)</f>
        <v>Obesity</v>
      </c>
      <c r="K2088" t="str">
        <f>VLOOKUP($A2088, 'Medical Examinations'!A:D, 4, FALSE)</f>
        <v>Normal</v>
      </c>
    </row>
    <row r="2089" spans="1:11" ht="15.5" x14ac:dyDescent="0.35">
      <c r="A2089" s="1" t="s">
        <v>278</v>
      </c>
      <c r="B2089" t="str">
        <f>VLOOKUP($A2089, 'Customer Names'!A:D, 3, FALSE)</f>
        <v>Teeuwen</v>
      </c>
      <c r="C2089">
        <f>VLOOKUP($A2089,'Medical Examinations'!A:C, 3, FALSE)</f>
        <v>35.72</v>
      </c>
      <c r="D2089" t="str">
        <f>VLOOKUP($A2089, 'Medical Examinations'!A:D, 4, FALSE)</f>
        <v>Normal</v>
      </c>
      <c r="E2089" t="str">
        <f>VLOOKUP($A2089, 'Medical Examinations'!A:F, 6, FALSE)</f>
        <v>yes</v>
      </c>
      <c r="F2089" t="str">
        <f>VLOOKUP($A2089, 'Medical Examinations'!A:G, 7, FALSE)</f>
        <v>No</v>
      </c>
      <c r="G2089" t="str">
        <f>VLOOKUP($A2089, 'Medical Examinations'!A:H, 8, FALSE)</f>
        <v>No</v>
      </c>
      <c r="H2089" t="str">
        <f>VLOOKUP($A2089, 'Medical Examinations'!A:J, 10, FALSE)</f>
        <v>No major surgery</v>
      </c>
      <c r="I2089" t="str">
        <f>VLOOKUP($A2089, 'Medical Examinations'!A:K, 11, FALSE)</f>
        <v>No</v>
      </c>
      <c r="J2089" t="str">
        <f>VLOOKUP($A2089, 'Medical Examinations'!A:B, 2, FALSE)</f>
        <v>Obesity</v>
      </c>
      <c r="K2089" t="str">
        <f>VLOOKUP($A2089, 'Medical Examinations'!A:D, 4, FALSE)</f>
        <v>Normal</v>
      </c>
    </row>
    <row r="2090" spans="1:11" ht="15.5" x14ac:dyDescent="0.35">
      <c r="A2090" s="1" t="s">
        <v>277</v>
      </c>
      <c r="B2090" t="str">
        <f>VLOOKUP($A2090, 'Customer Names'!A:D, 3, FALSE)</f>
        <v>List</v>
      </c>
      <c r="C2090">
        <f>VLOOKUP($A2090,'Medical Examinations'!A:C, 3, FALSE)</f>
        <v>24.51</v>
      </c>
      <c r="D2090" t="str">
        <f>VLOOKUP($A2090, 'Medical Examinations'!A:D, 4, FALSE)</f>
        <v>Normal</v>
      </c>
      <c r="E2090" t="str">
        <f>VLOOKUP($A2090, 'Medical Examinations'!A:F, 6, FALSE)</f>
        <v>No</v>
      </c>
      <c r="F2090" t="str">
        <f>VLOOKUP($A2090, 'Medical Examinations'!A:G, 7, FALSE)</f>
        <v>No</v>
      </c>
      <c r="G2090" t="str">
        <f>VLOOKUP($A2090, 'Medical Examinations'!A:H, 8, FALSE)</f>
        <v>No</v>
      </c>
      <c r="H2090" t="str">
        <f>VLOOKUP($A2090, 'Medical Examinations'!A:J, 10, FALSE)</f>
        <v>No major surgery</v>
      </c>
      <c r="I2090" t="str">
        <f>VLOOKUP($A2090, 'Medical Examinations'!A:K, 11, FALSE)</f>
        <v>No</v>
      </c>
      <c r="J2090" t="str">
        <f>VLOOKUP($A2090, 'Medical Examinations'!A:B, 2, FALSE)</f>
        <v>Normal Weight</v>
      </c>
      <c r="K2090" t="str">
        <f>VLOOKUP($A2090, 'Medical Examinations'!A:D, 4, FALSE)</f>
        <v>Normal</v>
      </c>
    </row>
    <row r="2091" spans="1:11" ht="15.5" x14ac:dyDescent="0.35">
      <c r="A2091" s="1" t="s">
        <v>275</v>
      </c>
      <c r="B2091" t="str">
        <f>VLOOKUP($A2091, 'Customer Names'!A:D, 3, FALSE)</f>
        <v>Shafar</v>
      </c>
      <c r="C2091">
        <f>VLOOKUP($A2091,'Medical Examinations'!A:C, 3, FALSE)</f>
        <v>23.844999999999999</v>
      </c>
      <c r="D2091" t="str">
        <f>VLOOKUP($A2091, 'Medical Examinations'!A:D, 4, FALSE)</f>
        <v>Normal</v>
      </c>
      <c r="E2091" t="str">
        <f>VLOOKUP($A2091, 'Medical Examinations'!A:F, 6, FALSE)</f>
        <v>No</v>
      </c>
      <c r="F2091" t="str">
        <f>VLOOKUP($A2091, 'Medical Examinations'!A:G, 7, FALSE)</f>
        <v>No</v>
      </c>
      <c r="G2091" t="str">
        <f>VLOOKUP($A2091, 'Medical Examinations'!A:H, 8, FALSE)</f>
        <v>No</v>
      </c>
      <c r="H2091" t="str">
        <f>VLOOKUP($A2091, 'Medical Examinations'!A:J, 10, FALSE)</f>
        <v>No major surgery</v>
      </c>
      <c r="I2091" t="str">
        <f>VLOOKUP($A2091, 'Medical Examinations'!A:K, 11, FALSE)</f>
        <v>No</v>
      </c>
      <c r="J2091" t="str">
        <f>VLOOKUP($A2091, 'Medical Examinations'!A:B, 2, FALSE)</f>
        <v>Normal Weight</v>
      </c>
      <c r="K2091" t="str">
        <f>VLOOKUP($A2091, 'Medical Examinations'!A:D, 4, FALSE)</f>
        <v>Normal</v>
      </c>
    </row>
    <row r="2092" spans="1:11" ht="15.5" x14ac:dyDescent="0.35">
      <c r="A2092" s="1" t="s">
        <v>274</v>
      </c>
      <c r="B2092" t="str">
        <f>VLOOKUP($A2092, 'Customer Names'!A:D, 3, FALSE)</f>
        <v>Copenhaver</v>
      </c>
      <c r="C2092">
        <f>VLOOKUP($A2092,'Medical Examinations'!A:C, 3, FALSE)</f>
        <v>15.68</v>
      </c>
      <c r="D2092" t="str">
        <f>VLOOKUP($A2092, 'Medical Examinations'!A:D, 4, FALSE)</f>
        <v>Prediabetes</v>
      </c>
      <c r="E2092" t="str">
        <f>VLOOKUP($A2092, 'Medical Examinations'!A:F, 6, FALSE)</f>
        <v>yes</v>
      </c>
      <c r="F2092" t="str">
        <f>VLOOKUP($A2092, 'Medical Examinations'!A:G, 7, FALSE)</f>
        <v>No</v>
      </c>
      <c r="G2092" t="str">
        <f>VLOOKUP($A2092, 'Medical Examinations'!A:H, 8, FALSE)</f>
        <v>No</v>
      </c>
      <c r="H2092">
        <f>VLOOKUP($A2092, 'Medical Examinations'!A:J, 10, FALSE)</f>
        <v>1</v>
      </c>
      <c r="I2092" t="str">
        <f>VLOOKUP($A2092, 'Medical Examinations'!A:K, 11, FALSE)</f>
        <v>No</v>
      </c>
      <c r="J2092" t="str">
        <f>VLOOKUP($A2092, 'Medical Examinations'!A:B, 2, FALSE)</f>
        <v>Underweight</v>
      </c>
      <c r="K2092" t="str">
        <f>VLOOKUP($A2092, 'Medical Examinations'!A:D, 4, FALSE)</f>
        <v>Prediabetes</v>
      </c>
    </row>
    <row r="2093" spans="1:11" ht="15.5" x14ac:dyDescent="0.35">
      <c r="A2093" s="1" t="s">
        <v>273</v>
      </c>
      <c r="B2093" t="str">
        <f>VLOOKUP($A2093, 'Customer Names'!A:D, 3, FALSE)</f>
        <v>Stump</v>
      </c>
      <c r="C2093">
        <f>VLOOKUP($A2093,'Medical Examinations'!A:C, 3, FALSE)</f>
        <v>32.395000000000003</v>
      </c>
      <c r="D2093" t="str">
        <f>VLOOKUP($A2093, 'Medical Examinations'!A:D, 4, FALSE)</f>
        <v>Diabetes</v>
      </c>
      <c r="E2093" t="str">
        <f>VLOOKUP($A2093, 'Medical Examinations'!A:F, 6, FALSE)</f>
        <v>No</v>
      </c>
      <c r="F2093" t="str">
        <f>VLOOKUP($A2093, 'Medical Examinations'!A:G, 7, FALSE)</f>
        <v>No</v>
      </c>
      <c r="G2093" t="str">
        <f>VLOOKUP($A2093, 'Medical Examinations'!A:H, 8, FALSE)</f>
        <v>No</v>
      </c>
      <c r="H2093" t="str">
        <f>VLOOKUP($A2093, 'Medical Examinations'!A:J, 10, FALSE)</f>
        <v>No major surgery</v>
      </c>
      <c r="I2093" t="str">
        <f>VLOOKUP($A2093, 'Medical Examinations'!A:K, 11, FALSE)</f>
        <v>No</v>
      </c>
      <c r="J2093" t="str">
        <f>VLOOKUP($A2093, 'Medical Examinations'!A:B, 2, FALSE)</f>
        <v>Obesity</v>
      </c>
      <c r="K2093" t="str">
        <f>VLOOKUP($A2093, 'Medical Examinations'!A:D, 4, FALSE)</f>
        <v>Diabetes</v>
      </c>
    </row>
    <row r="2094" spans="1:11" ht="15.5" x14ac:dyDescent="0.35">
      <c r="A2094" s="1" t="s">
        <v>272</v>
      </c>
      <c r="B2094" t="str">
        <f>VLOOKUP($A2094, 'Customer Names'!A:D, 3, FALSE)</f>
        <v>Wehrman</v>
      </c>
      <c r="C2094">
        <f>VLOOKUP($A2094,'Medical Examinations'!A:C, 3, FALSE)</f>
        <v>23.655000000000001</v>
      </c>
      <c r="D2094" t="str">
        <f>VLOOKUP($A2094, 'Medical Examinations'!A:D, 4, FALSE)</f>
        <v>Prediabetes</v>
      </c>
      <c r="E2094" t="str">
        <f>VLOOKUP($A2094, 'Medical Examinations'!A:F, 6, FALSE)</f>
        <v>No</v>
      </c>
      <c r="F2094" t="str">
        <f>VLOOKUP($A2094, 'Medical Examinations'!A:G, 7, FALSE)</f>
        <v>No</v>
      </c>
      <c r="G2094" t="str">
        <f>VLOOKUP($A2094, 'Medical Examinations'!A:H, 8, FALSE)</f>
        <v>No</v>
      </c>
      <c r="H2094">
        <f>VLOOKUP($A2094, 'Medical Examinations'!A:J, 10, FALSE)</f>
        <v>1</v>
      </c>
      <c r="I2094" t="str">
        <f>VLOOKUP($A2094, 'Medical Examinations'!A:K, 11, FALSE)</f>
        <v>No</v>
      </c>
      <c r="J2094" t="str">
        <f>VLOOKUP($A2094, 'Medical Examinations'!A:B, 2, FALSE)</f>
        <v>Normal Weight</v>
      </c>
      <c r="K2094" t="str">
        <f>VLOOKUP($A2094, 'Medical Examinations'!A:D, 4, FALSE)</f>
        <v>Prediabetes</v>
      </c>
    </row>
    <row r="2095" spans="1:11" ht="15.5" x14ac:dyDescent="0.35">
      <c r="A2095" s="1" t="s">
        <v>271</v>
      </c>
      <c r="B2095" t="str">
        <f>VLOOKUP($A2095, 'Customer Names'!A:D, 3, FALSE)</f>
        <v>Sischo</v>
      </c>
      <c r="C2095">
        <f>VLOOKUP($A2095,'Medical Examinations'!A:C, 3, FALSE)</f>
        <v>28.4</v>
      </c>
      <c r="D2095" t="str">
        <f>VLOOKUP($A2095, 'Medical Examinations'!A:D, 4, FALSE)</f>
        <v>Prediabetes</v>
      </c>
      <c r="E2095" t="str">
        <f>VLOOKUP($A2095, 'Medical Examinations'!A:F, 6, FALSE)</f>
        <v>No</v>
      </c>
      <c r="F2095" t="str">
        <f>VLOOKUP($A2095, 'Medical Examinations'!A:G, 7, FALSE)</f>
        <v>No</v>
      </c>
      <c r="G2095" t="str">
        <f>VLOOKUP($A2095, 'Medical Examinations'!A:H, 8, FALSE)</f>
        <v>Yes</v>
      </c>
      <c r="H2095">
        <f>VLOOKUP($A2095, 'Medical Examinations'!A:J, 10, FALSE)</f>
        <v>1</v>
      </c>
      <c r="I2095" t="str">
        <f>VLOOKUP($A2095, 'Medical Examinations'!A:K, 11, FALSE)</f>
        <v>No</v>
      </c>
      <c r="J2095" t="str">
        <f>VLOOKUP($A2095, 'Medical Examinations'!A:B, 2, FALSE)</f>
        <v>Overweight</v>
      </c>
      <c r="K2095" t="str">
        <f>VLOOKUP($A2095, 'Medical Examinations'!A:D, 4, FALSE)</f>
        <v>Prediabetes</v>
      </c>
    </row>
    <row r="2096" spans="1:11" ht="15.5" x14ac:dyDescent="0.35">
      <c r="A2096" s="1" t="s">
        <v>270</v>
      </c>
      <c r="B2096" t="str">
        <f>VLOOKUP($A2096, 'Customer Names'!A:D, 3, FALSE)</f>
        <v>Fonti</v>
      </c>
      <c r="C2096">
        <f>VLOOKUP($A2096,'Medical Examinations'!A:C, 3, FALSE)</f>
        <v>35.42</v>
      </c>
      <c r="D2096" t="str">
        <f>VLOOKUP($A2096, 'Medical Examinations'!A:D, 4, FALSE)</f>
        <v>Normal</v>
      </c>
      <c r="E2096" t="str">
        <f>VLOOKUP($A2096, 'Medical Examinations'!A:F, 6, FALSE)</f>
        <v>yes</v>
      </c>
      <c r="F2096" t="str">
        <f>VLOOKUP($A2096, 'Medical Examinations'!A:G, 7, FALSE)</f>
        <v>No</v>
      </c>
      <c r="G2096" t="str">
        <f>VLOOKUP($A2096, 'Medical Examinations'!A:H, 8, FALSE)</f>
        <v>No</v>
      </c>
      <c r="H2096" t="str">
        <f>VLOOKUP($A2096, 'Medical Examinations'!A:J, 10, FALSE)</f>
        <v>No major surgery</v>
      </c>
      <c r="I2096" t="str">
        <f>VLOOKUP($A2096, 'Medical Examinations'!A:K, 11, FALSE)</f>
        <v>No</v>
      </c>
      <c r="J2096" t="str">
        <f>VLOOKUP($A2096, 'Medical Examinations'!A:B, 2, FALSE)</f>
        <v>Obesity</v>
      </c>
      <c r="K2096" t="str">
        <f>VLOOKUP($A2096, 'Medical Examinations'!A:D, 4, FALSE)</f>
        <v>Normal</v>
      </c>
    </row>
    <row r="2097" spans="1:11" ht="15.5" x14ac:dyDescent="0.35">
      <c r="A2097" s="1" t="s">
        <v>269</v>
      </c>
      <c r="B2097" t="str">
        <f>VLOOKUP($A2097, 'Customer Names'!A:D, 3, FALSE)</f>
        <v>Merlis</v>
      </c>
      <c r="C2097">
        <f>VLOOKUP($A2097,'Medical Examinations'!A:C, 3, FALSE)</f>
        <v>26.18</v>
      </c>
      <c r="D2097" t="str">
        <f>VLOOKUP($A2097, 'Medical Examinations'!A:D, 4, FALSE)</f>
        <v>Prediabetes</v>
      </c>
      <c r="E2097" t="str">
        <f>VLOOKUP($A2097, 'Medical Examinations'!A:F, 6, FALSE)</f>
        <v>No</v>
      </c>
      <c r="F2097" t="str">
        <f>VLOOKUP($A2097, 'Medical Examinations'!A:G, 7, FALSE)</f>
        <v>yes</v>
      </c>
      <c r="G2097" t="str">
        <f>VLOOKUP($A2097, 'Medical Examinations'!A:H, 8, FALSE)</f>
        <v>No</v>
      </c>
      <c r="H2097">
        <f>VLOOKUP($A2097, 'Medical Examinations'!A:J, 10, FALSE)</f>
        <v>1</v>
      </c>
      <c r="I2097" t="str">
        <f>VLOOKUP($A2097, 'Medical Examinations'!A:K, 11, FALSE)</f>
        <v>No</v>
      </c>
      <c r="J2097" t="str">
        <f>VLOOKUP($A2097, 'Medical Examinations'!A:B, 2, FALSE)</f>
        <v>Overweight</v>
      </c>
      <c r="K2097" t="str">
        <f>VLOOKUP($A2097, 'Medical Examinations'!A:D, 4, FALSE)</f>
        <v>Prediabetes</v>
      </c>
    </row>
    <row r="2098" spans="1:11" ht="15.5" x14ac:dyDescent="0.35">
      <c r="A2098" s="1" t="s">
        <v>268</v>
      </c>
      <c r="B2098" t="str">
        <f>VLOOKUP($A2098, 'Customer Names'!A:D, 3, FALSE)</f>
        <v>Hasegawa</v>
      </c>
      <c r="C2098">
        <f>VLOOKUP($A2098,'Medical Examinations'!A:C, 3, FALSE)</f>
        <v>20.8</v>
      </c>
      <c r="D2098" t="str">
        <f>VLOOKUP($A2098, 'Medical Examinations'!A:D, 4, FALSE)</f>
        <v>Normal</v>
      </c>
      <c r="E2098" t="str">
        <f>VLOOKUP($A2098, 'Medical Examinations'!A:F, 6, FALSE)</f>
        <v>yes</v>
      </c>
      <c r="F2098" t="str">
        <f>VLOOKUP($A2098, 'Medical Examinations'!A:G, 7, FALSE)</f>
        <v>No</v>
      </c>
      <c r="G2098" t="str">
        <f>VLOOKUP($A2098, 'Medical Examinations'!A:H, 8, FALSE)</f>
        <v>No</v>
      </c>
      <c r="H2098" t="str">
        <f>VLOOKUP($A2098, 'Medical Examinations'!A:J, 10, FALSE)</f>
        <v>No major surgery</v>
      </c>
      <c r="I2098" t="str">
        <f>VLOOKUP($A2098, 'Medical Examinations'!A:K, 11, FALSE)</f>
        <v>No</v>
      </c>
      <c r="J2098" t="str">
        <f>VLOOKUP($A2098, 'Medical Examinations'!A:B, 2, FALSE)</f>
        <v>Normal Weight</v>
      </c>
      <c r="K2098" t="str">
        <f>VLOOKUP($A2098, 'Medical Examinations'!A:D, 4, FALSE)</f>
        <v>Normal</v>
      </c>
    </row>
    <row r="2099" spans="1:11" ht="15.5" x14ac:dyDescent="0.35">
      <c r="A2099" s="1" t="s">
        <v>267</v>
      </c>
      <c r="B2099" t="str">
        <f>VLOOKUP($A2099, 'Customer Names'!A:D, 3, FALSE)</f>
        <v>Haselden</v>
      </c>
      <c r="C2099">
        <f>VLOOKUP($A2099,'Medical Examinations'!A:C, 3, FALSE)</f>
        <v>15.82</v>
      </c>
      <c r="D2099" t="str">
        <f>VLOOKUP($A2099, 'Medical Examinations'!A:D, 4, FALSE)</f>
        <v>Normal</v>
      </c>
      <c r="E2099" t="str">
        <f>VLOOKUP($A2099, 'Medical Examinations'!A:F, 6, FALSE)</f>
        <v>No</v>
      </c>
      <c r="F2099" t="str">
        <f>VLOOKUP($A2099, 'Medical Examinations'!A:G, 7, FALSE)</f>
        <v>No</v>
      </c>
      <c r="G2099" t="str">
        <f>VLOOKUP($A2099, 'Medical Examinations'!A:H, 8, FALSE)</f>
        <v>No</v>
      </c>
      <c r="H2099" t="str">
        <f>VLOOKUP($A2099, 'Medical Examinations'!A:J, 10, FALSE)</f>
        <v>No major surgery</v>
      </c>
      <c r="I2099" t="str">
        <f>VLOOKUP($A2099, 'Medical Examinations'!A:K, 11, FALSE)</f>
        <v>No</v>
      </c>
      <c r="J2099" t="str">
        <f>VLOOKUP($A2099, 'Medical Examinations'!A:B, 2, FALSE)</f>
        <v>Underweight</v>
      </c>
      <c r="K2099" t="str">
        <f>VLOOKUP($A2099, 'Medical Examinations'!A:D, 4, FALSE)</f>
        <v>Normal</v>
      </c>
    </row>
    <row r="2100" spans="1:11" ht="15.5" x14ac:dyDescent="0.35">
      <c r="A2100" s="1" t="s">
        <v>266</v>
      </c>
      <c r="B2100" t="str">
        <f>VLOOKUP($A2100, 'Customer Names'!A:D, 3, FALSE)</f>
        <v>Simonson</v>
      </c>
      <c r="C2100">
        <f>VLOOKUP($A2100,'Medical Examinations'!A:C, 3, FALSE)</f>
        <v>17.670000000000002</v>
      </c>
      <c r="D2100" t="str">
        <f>VLOOKUP($A2100, 'Medical Examinations'!A:D, 4, FALSE)</f>
        <v>Normal</v>
      </c>
      <c r="E2100" t="str">
        <f>VLOOKUP($A2100, 'Medical Examinations'!A:F, 6, FALSE)</f>
        <v>No</v>
      </c>
      <c r="F2100" t="str">
        <f>VLOOKUP($A2100, 'Medical Examinations'!A:G, 7, FALSE)</f>
        <v>No</v>
      </c>
      <c r="G2100" t="str">
        <f>VLOOKUP($A2100, 'Medical Examinations'!A:H, 8, FALSE)</f>
        <v>No</v>
      </c>
      <c r="H2100" t="str">
        <f>VLOOKUP($A2100, 'Medical Examinations'!A:J, 10, FALSE)</f>
        <v>No major surgery</v>
      </c>
      <c r="I2100" t="str">
        <f>VLOOKUP($A2100, 'Medical Examinations'!A:K, 11, FALSE)</f>
        <v>No</v>
      </c>
      <c r="J2100" t="str">
        <f>VLOOKUP($A2100, 'Medical Examinations'!A:B, 2, FALSE)</f>
        <v>Underweight</v>
      </c>
      <c r="K2100" t="str">
        <f>VLOOKUP($A2100, 'Medical Examinations'!A:D, 4, FALSE)</f>
        <v>Normal</v>
      </c>
    </row>
    <row r="2101" spans="1:11" ht="15.5" x14ac:dyDescent="0.35">
      <c r="A2101" s="1" t="s">
        <v>265</v>
      </c>
      <c r="B2101" t="str">
        <f>VLOOKUP($A2101, 'Customer Names'!A:D, 3, FALSE)</f>
        <v>Montag</v>
      </c>
      <c r="C2101">
        <f>VLOOKUP($A2101,'Medical Examinations'!A:C, 3, FALSE)</f>
        <v>31.92</v>
      </c>
      <c r="D2101" t="str">
        <f>VLOOKUP($A2101, 'Medical Examinations'!A:D, 4, FALSE)</f>
        <v>Diabetes</v>
      </c>
      <c r="E2101" t="str">
        <f>VLOOKUP($A2101, 'Medical Examinations'!A:F, 6, FALSE)</f>
        <v>No</v>
      </c>
      <c r="F2101" t="str">
        <f>VLOOKUP($A2101, 'Medical Examinations'!A:G, 7, FALSE)</f>
        <v>No</v>
      </c>
      <c r="G2101" t="str">
        <f>VLOOKUP($A2101, 'Medical Examinations'!A:H, 8, FALSE)</f>
        <v>No</v>
      </c>
      <c r="H2101" t="str">
        <f>VLOOKUP($A2101, 'Medical Examinations'!A:J, 10, FALSE)</f>
        <v>No major surgery</v>
      </c>
      <c r="I2101" t="str">
        <f>VLOOKUP($A2101, 'Medical Examinations'!A:K, 11, FALSE)</f>
        <v>No</v>
      </c>
      <c r="J2101" t="str">
        <f>VLOOKUP($A2101, 'Medical Examinations'!A:B, 2, FALSE)</f>
        <v>Obesity</v>
      </c>
      <c r="K2101" t="str">
        <f>VLOOKUP($A2101, 'Medical Examinations'!A:D, 4, FALSE)</f>
        <v>Diabetes</v>
      </c>
    </row>
    <row r="2102" spans="1:11" ht="15.5" x14ac:dyDescent="0.35">
      <c r="A2102" s="1" t="s">
        <v>264</v>
      </c>
      <c r="B2102" t="str">
        <f>VLOOKUP($A2102, 'Customer Names'!A:D, 3, FALSE)</f>
        <v>Deroian</v>
      </c>
      <c r="C2102">
        <f>VLOOKUP($A2102,'Medical Examinations'!A:C, 3, FALSE)</f>
        <v>28.975000000000001</v>
      </c>
      <c r="D2102" t="str">
        <f>VLOOKUP($A2102, 'Medical Examinations'!A:D, 4, FALSE)</f>
        <v>Diabetes</v>
      </c>
      <c r="E2102" t="str">
        <f>VLOOKUP($A2102, 'Medical Examinations'!A:F, 6, FALSE)</f>
        <v>No</v>
      </c>
      <c r="F2102" t="str">
        <f>VLOOKUP($A2102, 'Medical Examinations'!A:G, 7, FALSE)</f>
        <v>No</v>
      </c>
      <c r="G2102" t="str">
        <f>VLOOKUP($A2102, 'Medical Examinations'!A:H, 8, FALSE)</f>
        <v>No</v>
      </c>
      <c r="H2102" t="str">
        <f>VLOOKUP($A2102, 'Medical Examinations'!A:J, 10, FALSE)</f>
        <v>No major surgery</v>
      </c>
      <c r="I2102" t="str">
        <f>VLOOKUP($A2102, 'Medical Examinations'!A:K, 11, FALSE)</f>
        <v>No</v>
      </c>
      <c r="J2102" t="str">
        <f>VLOOKUP($A2102, 'Medical Examinations'!A:B, 2, FALSE)</f>
        <v>Overweight</v>
      </c>
      <c r="K2102" t="str">
        <f>VLOOKUP($A2102, 'Medical Examinations'!A:D, 4, FALSE)</f>
        <v>Diabetes</v>
      </c>
    </row>
    <row r="2103" spans="1:11" ht="15.5" x14ac:dyDescent="0.35">
      <c r="A2103" s="1" t="s">
        <v>263</v>
      </c>
      <c r="B2103" t="str">
        <f>VLOOKUP($A2103, 'Customer Names'!A:D, 3, FALSE)</f>
        <v>Goetz</v>
      </c>
      <c r="C2103">
        <f>VLOOKUP($A2103,'Medical Examinations'!A:C, 3, FALSE)</f>
        <v>31.73</v>
      </c>
      <c r="D2103" t="str">
        <f>VLOOKUP($A2103, 'Medical Examinations'!A:D, 4, FALSE)</f>
        <v>Normal</v>
      </c>
      <c r="E2103" t="str">
        <f>VLOOKUP($A2103, 'Medical Examinations'!A:F, 6, FALSE)</f>
        <v>yes</v>
      </c>
      <c r="F2103" t="str">
        <f>VLOOKUP($A2103, 'Medical Examinations'!A:G, 7, FALSE)</f>
        <v>yes</v>
      </c>
      <c r="G2103" t="str">
        <f>VLOOKUP($A2103, 'Medical Examinations'!A:H, 8, FALSE)</f>
        <v>No</v>
      </c>
      <c r="H2103">
        <f>VLOOKUP($A2103, 'Medical Examinations'!A:J, 10, FALSE)</f>
        <v>2</v>
      </c>
      <c r="I2103" t="str">
        <f>VLOOKUP($A2103, 'Medical Examinations'!A:K, 11, FALSE)</f>
        <v>No</v>
      </c>
      <c r="J2103" t="str">
        <f>VLOOKUP($A2103, 'Medical Examinations'!A:B, 2, FALSE)</f>
        <v>Obesity</v>
      </c>
      <c r="K2103" t="str">
        <f>VLOOKUP($A2103, 'Medical Examinations'!A:D, 4, FALSE)</f>
        <v>Normal</v>
      </c>
    </row>
    <row r="2104" spans="1:11" ht="15.5" x14ac:dyDescent="0.35">
      <c r="A2104" s="1" t="s">
        <v>262</v>
      </c>
      <c r="B2104" t="str">
        <f>VLOOKUP($A2104, 'Customer Names'!A:D, 3, FALSE)</f>
        <v>Brady</v>
      </c>
      <c r="C2104">
        <f>VLOOKUP($A2104,'Medical Examinations'!A:C, 3, FALSE)</f>
        <v>28.88</v>
      </c>
      <c r="D2104" t="str">
        <f>VLOOKUP($A2104, 'Medical Examinations'!A:D, 4, FALSE)</f>
        <v>Prediabetes</v>
      </c>
      <c r="E2104" t="str">
        <f>VLOOKUP($A2104, 'Medical Examinations'!A:F, 6, FALSE)</f>
        <v>yes</v>
      </c>
      <c r="F2104" t="str">
        <f>VLOOKUP($A2104, 'Medical Examinations'!A:G, 7, FALSE)</f>
        <v>yes</v>
      </c>
      <c r="G2104" t="str">
        <f>VLOOKUP($A2104, 'Medical Examinations'!A:H, 8, FALSE)</f>
        <v>No</v>
      </c>
      <c r="H2104">
        <f>VLOOKUP($A2104, 'Medical Examinations'!A:J, 10, FALSE)</f>
        <v>2</v>
      </c>
      <c r="I2104" t="str">
        <f>VLOOKUP($A2104, 'Medical Examinations'!A:K, 11, FALSE)</f>
        <v>No</v>
      </c>
      <c r="J2104" t="str">
        <f>VLOOKUP($A2104, 'Medical Examinations'!A:B, 2, FALSE)</f>
        <v>Overweight</v>
      </c>
      <c r="K2104" t="str">
        <f>VLOOKUP($A2104, 'Medical Examinations'!A:D, 4, FALSE)</f>
        <v>Prediabetes</v>
      </c>
    </row>
    <row r="2105" spans="1:11" ht="15.5" x14ac:dyDescent="0.35">
      <c r="A2105" s="1" t="s">
        <v>261</v>
      </c>
      <c r="B2105" t="str">
        <f>VLOOKUP($A2105, 'Customer Names'!A:D, 3, FALSE)</f>
        <v>Moran</v>
      </c>
      <c r="C2105">
        <f>VLOOKUP($A2105,'Medical Examinations'!A:C, 3, FALSE)</f>
        <v>25.555</v>
      </c>
      <c r="D2105" t="str">
        <f>VLOOKUP($A2105, 'Medical Examinations'!A:D, 4, FALSE)</f>
        <v>Normal</v>
      </c>
      <c r="E2105" t="str">
        <f>VLOOKUP($A2105, 'Medical Examinations'!A:F, 6, FALSE)</f>
        <v>No</v>
      </c>
      <c r="F2105" t="str">
        <f>VLOOKUP($A2105, 'Medical Examinations'!A:G, 7, FALSE)</f>
        <v>No</v>
      </c>
      <c r="G2105" t="str">
        <f>VLOOKUP($A2105, 'Medical Examinations'!A:H, 8, FALSE)</f>
        <v>Yes</v>
      </c>
      <c r="H2105">
        <f>VLOOKUP($A2105, 'Medical Examinations'!A:J, 10, FALSE)</f>
        <v>1</v>
      </c>
      <c r="I2105" t="str">
        <f>VLOOKUP($A2105, 'Medical Examinations'!A:K, 11, FALSE)</f>
        <v>No</v>
      </c>
      <c r="J2105" t="str">
        <f>VLOOKUP($A2105, 'Medical Examinations'!A:B, 2, FALSE)</f>
        <v>Overweight</v>
      </c>
      <c r="K2105" t="str">
        <f>VLOOKUP($A2105, 'Medical Examinations'!A:D, 4, FALSE)</f>
        <v>Normal</v>
      </c>
    </row>
    <row r="2106" spans="1:11" ht="15.5" x14ac:dyDescent="0.35">
      <c r="A2106" s="1" t="s">
        <v>260</v>
      </c>
      <c r="B2106" t="str">
        <f>VLOOKUP($A2106, 'Customer Names'!A:D, 3, FALSE)</f>
        <v>Strickler</v>
      </c>
      <c r="C2106">
        <f>VLOOKUP($A2106,'Medical Examinations'!A:C, 3, FALSE)</f>
        <v>37.29</v>
      </c>
      <c r="D2106" t="str">
        <f>VLOOKUP($A2106, 'Medical Examinations'!A:D, 4, FALSE)</f>
        <v>Normal</v>
      </c>
      <c r="E2106" t="str">
        <f>VLOOKUP($A2106, 'Medical Examinations'!A:F, 6, FALSE)</f>
        <v>No</v>
      </c>
      <c r="F2106" t="str">
        <f>VLOOKUP($A2106, 'Medical Examinations'!A:G, 7, FALSE)</f>
        <v>yes</v>
      </c>
      <c r="G2106" t="str">
        <f>VLOOKUP($A2106, 'Medical Examinations'!A:H, 8, FALSE)</f>
        <v>No</v>
      </c>
      <c r="H2106">
        <f>VLOOKUP($A2106, 'Medical Examinations'!A:J, 10, FALSE)</f>
        <v>1</v>
      </c>
      <c r="I2106" t="str">
        <f>VLOOKUP($A2106, 'Medical Examinations'!A:K, 11, FALSE)</f>
        <v>No</v>
      </c>
      <c r="J2106" t="str">
        <f>VLOOKUP($A2106, 'Medical Examinations'!A:B, 2, FALSE)</f>
        <v>Obesity</v>
      </c>
      <c r="K2106" t="str">
        <f>VLOOKUP($A2106, 'Medical Examinations'!A:D, 4, FALSE)</f>
        <v>Normal</v>
      </c>
    </row>
    <row r="2107" spans="1:11" ht="15.5" x14ac:dyDescent="0.35">
      <c r="A2107" s="1" t="s">
        <v>259</v>
      </c>
      <c r="B2107" t="str">
        <f>VLOOKUP($A2107, 'Customer Names'!A:D, 3, FALSE)</f>
        <v>Simone</v>
      </c>
      <c r="C2107">
        <f>VLOOKUP($A2107,'Medical Examinations'!A:C, 3, FALSE)</f>
        <v>40.28</v>
      </c>
      <c r="D2107" t="str">
        <f>VLOOKUP($A2107, 'Medical Examinations'!A:D, 4, FALSE)</f>
        <v>Prediabetes</v>
      </c>
      <c r="E2107" t="str">
        <f>VLOOKUP($A2107, 'Medical Examinations'!A:F, 6, FALSE)</f>
        <v>No</v>
      </c>
      <c r="F2107" t="str">
        <f>VLOOKUP($A2107, 'Medical Examinations'!A:G, 7, FALSE)</f>
        <v>yes</v>
      </c>
      <c r="G2107" t="str">
        <f>VLOOKUP($A2107, 'Medical Examinations'!A:H, 8, FALSE)</f>
        <v>No</v>
      </c>
      <c r="H2107">
        <f>VLOOKUP($A2107, 'Medical Examinations'!A:J, 10, FALSE)</f>
        <v>1</v>
      </c>
      <c r="I2107" t="str">
        <f>VLOOKUP($A2107, 'Medical Examinations'!A:K, 11, FALSE)</f>
        <v>No</v>
      </c>
      <c r="J2107" t="str">
        <f>VLOOKUP($A2107, 'Medical Examinations'!A:B, 2, FALSE)</f>
        <v>Obesity</v>
      </c>
      <c r="K2107" t="str">
        <f>VLOOKUP($A2107, 'Medical Examinations'!A:D, 4, FALSE)</f>
        <v>Prediabetes</v>
      </c>
    </row>
    <row r="2108" spans="1:11" ht="15.5" x14ac:dyDescent="0.35">
      <c r="A2108" s="1" t="s">
        <v>258</v>
      </c>
      <c r="B2108" t="str">
        <f>VLOOKUP($A2108, 'Customer Names'!A:D, 3, FALSE)</f>
        <v>Von Rock</v>
      </c>
      <c r="C2108">
        <f>VLOOKUP($A2108,'Medical Examinations'!A:C, 3, FALSE)</f>
        <v>40.185000000000002</v>
      </c>
      <c r="D2108" t="str">
        <f>VLOOKUP($A2108, 'Medical Examinations'!A:D, 4, FALSE)</f>
        <v>Normal</v>
      </c>
      <c r="E2108" t="str">
        <f>VLOOKUP($A2108, 'Medical Examinations'!A:F, 6, FALSE)</f>
        <v>No</v>
      </c>
      <c r="F2108" t="str">
        <f>VLOOKUP($A2108, 'Medical Examinations'!A:G, 7, FALSE)</f>
        <v>yes</v>
      </c>
      <c r="G2108" t="str">
        <f>VLOOKUP($A2108, 'Medical Examinations'!A:H, 8, FALSE)</f>
        <v>No</v>
      </c>
      <c r="H2108">
        <f>VLOOKUP($A2108, 'Medical Examinations'!A:J, 10, FALSE)</f>
        <v>1</v>
      </c>
      <c r="I2108" t="str">
        <f>VLOOKUP($A2108, 'Medical Examinations'!A:K, 11, FALSE)</f>
        <v>No</v>
      </c>
      <c r="J2108" t="str">
        <f>VLOOKUP($A2108, 'Medical Examinations'!A:B, 2, FALSE)</f>
        <v>Obesity</v>
      </c>
      <c r="K2108" t="str">
        <f>VLOOKUP($A2108, 'Medical Examinations'!A:D, 4, FALSE)</f>
        <v>Normal</v>
      </c>
    </row>
    <row r="2109" spans="1:11" ht="15.5" x14ac:dyDescent="0.35">
      <c r="A2109" s="1" t="s">
        <v>257</v>
      </c>
      <c r="B2109" t="str">
        <f>VLOOKUP($A2109, 'Customer Names'!A:D, 3, FALSE)</f>
        <v>Woodard</v>
      </c>
      <c r="C2109">
        <f>VLOOKUP($A2109,'Medical Examinations'!A:C, 3, FALSE)</f>
        <v>23.57</v>
      </c>
      <c r="D2109" t="str">
        <f>VLOOKUP($A2109, 'Medical Examinations'!A:D, 4, FALSE)</f>
        <v>Prediabetes</v>
      </c>
      <c r="E2109" t="str">
        <f>VLOOKUP($A2109, 'Medical Examinations'!A:F, 6, FALSE)</f>
        <v>No</v>
      </c>
      <c r="F2109" t="str">
        <f>VLOOKUP($A2109, 'Medical Examinations'!A:G, 7, FALSE)</f>
        <v>No</v>
      </c>
      <c r="G2109" t="str">
        <f>VLOOKUP($A2109, 'Medical Examinations'!A:H, 8, FALSE)</f>
        <v>No</v>
      </c>
      <c r="H2109" t="str">
        <f>VLOOKUP($A2109, 'Medical Examinations'!A:J, 10, FALSE)</f>
        <v>No major surgery</v>
      </c>
      <c r="I2109" t="str">
        <f>VLOOKUP($A2109, 'Medical Examinations'!A:K, 11, FALSE)</f>
        <v>No</v>
      </c>
      <c r="J2109" t="str">
        <f>VLOOKUP($A2109, 'Medical Examinations'!A:B, 2, FALSE)</f>
        <v>Normal Weight</v>
      </c>
      <c r="K2109" t="str">
        <f>VLOOKUP($A2109, 'Medical Examinations'!A:D, 4, FALSE)</f>
        <v>Prediabetes</v>
      </c>
    </row>
    <row r="2110" spans="1:11" ht="15.5" x14ac:dyDescent="0.35">
      <c r="A2110" s="1" t="s">
        <v>256</v>
      </c>
      <c r="B2110" t="str">
        <f>VLOOKUP($A2110, 'Customer Names'!A:D, 3, FALSE)</f>
        <v>Li</v>
      </c>
      <c r="C2110">
        <f>VLOOKUP($A2110,'Medical Examinations'!A:C, 3, FALSE)</f>
        <v>35.625</v>
      </c>
      <c r="D2110" t="str">
        <f>VLOOKUP($A2110, 'Medical Examinations'!A:D, 4, FALSE)</f>
        <v>Prediabetes</v>
      </c>
      <c r="E2110" t="str">
        <f>VLOOKUP($A2110, 'Medical Examinations'!A:F, 6, FALSE)</f>
        <v>No</v>
      </c>
      <c r="F2110" t="str">
        <f>VLOOKUP($A2110, 'Medical Examinations'!A:G, 7, FALSE)</f>
        <v>yes</v>
      </c>
      <c r="G2110" t="str">
        <f>VLOOKUP($A2110, 'Medical Examinations'!A:H, 8, FALSE)</f>
        <v>No</v>
      </c>
      <c r="H2110">
        <f>VLOOKUP($A2110, 'Medical Examinations'!A:J, 10, FALSE)</f>
        <v>1</v>
      </c>
      <c r="I2110" t="str">
        <f>VLOOKUP($A2110, 'Medical Examinations'!A:K, 11, FALSE)</f>
        <v>No</v>
      </c>
      <c r="J2110" t="str">
        <f>VLOOKUP($A2110, 'Medical Examinations'!A:B, 2, FALSE)</f>
        <v>Obesity</v>
      </c>
      <c r="K2110" t="str">
        <f>VLOOKUP($A2110, 'Medical Examinations'!A:D, 4, FALSE)</f>
        <v>Prediabetes</v>
      </c>
    </row>
    <row r="2111" spans="1:11" ht="15.5" x14ac:dyDescent="0.35">
      <c r="A2111" s="1" t="s">
        <v>255</v>
      </c>
      <c r="B2111" t="str">
        <f>VLOOKUP($A2111, 'Customer Names'!A:D, 3, FALSE)</f>
        <v>Sinda</v>
      </c>
      <c r="C2111">
        <f>VLOOKUP($A2111,'Medical Examinations'!A:C, 3, FALSE)</f>
        <v>33.155000000000001</v>
      </c>
      <c r="D2111" t="str">
        <f>VLOOKUP($A2111, 'Medical Examinations'!A:D, 4, FALSE)</f>
        <v>Normal</v>
      </c>
      <c r="E2111" t="str">
        <f>VLOOKUP($A2111, 'Medical Examinations'!A:F, 6, FALSE)</f>
        <v>No</v>
      </c>
      <c r="F2111" t="str">
        <f>VLOOKUP($A2111, 'Medical Examinations'!A:G, 7, FALSE)</f>
        <v>yes</v>
      </c>
      <c r="G2111" t="str">
        <f>VLOOKUP($A2111, 'Medical Examinations'!A:H, 8, FALSE)</f>
        <v>No</v>
      </c>
      <c r="H2111">
        <f>VLOOKUP($A2111, 'Medical Examinations'!A:J, 10, FALSE)</f>
        <v>1</v>
      </c>
      <c r="I2111" t="str">
        <f>VLOOKUP($A2111, 'Medical Examinations'!A:K, 11, FALSE)</f>
        <v>No</v>
      </c>
      <c r="J2111" t="str">
        <f>VLOOKUP($A2111, 'Medical Examinations'!A:B, 2, FALSE)</f>
        <v>Obesity</v>
      </c>
      <c r="K2111" t="str">
        <f>VLOOKUP($A2111, 'Medical Examinations'!A:D, 4, FALSE)</f>
        <v>Normal</v>
      </c>
    </row>
    <row r="2112" spans="1:11" ht="15.5" x14ac:dyDescent="0.35">
      <c r="A2112" s="1" t="s">
        <v>254</v>
      </c>
      <c r="B2112" t="str">
        <f>VLOOKUP($A2112, 'Customer Names'!A:D, 3, FALSE)</f>
        <v>Rydland</v>
      </c>
      <c r="C2112">
        <f>VLOOKUP($A2112,'Medical Examinations'!A:C, 3, FALSE)</f>
        <v>31.92</v>
      </c>
      <c r="D2112" t="str">
        <f>VLOOKUP($A2112, 'Medical Examinations'!A:D, 4, FALSE)</f>
        <v>Normal</v>
      </c>
      <c r="E2112" t="str">
        <f>VLOOKUP($A2112, 'Medical Examinations'!A:F, 6, FALSE)</f>
        <v>No</v>
      </c>
      <c r="F2112" t="str">
        <f>VLOOKUP($A2112, 'Medical Examinations'!A:G, 7, FALSE)</f>
        <v>yes</v>
      </c>
      <c r="G2112" t="str">
        <f>VLOOKUP($A2112, 'Medical Examinations'!A:H, 8, FALSE)</f>
        <v>No</v>
      </c>
      <c r="H2112">
        <f>VLOOKUP($A2112, 'Medical Examinations'!A:J, 10, FALSE)</f>
        <v>1</v>
      </c>
      <c r="I2112" t="str">
        <f>VLOOKUP($A2112, 'Medical Examinations'!A:K, 11, FALSE)</f>
        <v>No</v>
      </c>
      <c r="J2112" t="str">
        <f>VLOOKUP($A2112, 'Medical Examinations'!A:B, 2, FALSE)</f>
        <v>Obesity</v>
      </c>
      <c r="K2112" t="str">
        <f>VLOOKUP($A2112, 'Medical Examinations'!A:D, 4, FALSE)</f>
        <v>Normal</v>
      </c>
    </row>
    <row r="2113" spans="1:11" ht="15.5" x14ac:dyDescent="0.35">
      <c r="A2113" s="1" t="s">
        <v>253</v>
      </c>
      <c r="B2113" t="str">
        <f>VLOOKUP($A2113, 'Customer Names'!A:D, 3, FALSE)</f>
        <v>Vespa</v>
      </c>
      <c r="C2113">
        <f>VLOOKUP($A2113,'Medical Examinations'!A:C, 3, FALSE)</f>
        <v>30.305</v>
      </c>
      <c r="D2113" t="str">
        <f>VLOOKUP($A2113, 'Medical Examinations'!A:D, 4, FALSE)</f>
        <v>Normal</v>
      </c>
      <c r="E2113" t="str">
        <f>VLOOKUP($A2113, 'Medical Examinations'!A:F, 6, FALSE)</f>
        <v>No</v>
      </c>
      <c r="F2113" t="str">
        <f>VLOOKUP($A2113, 'Medical Examinations'!A:G, 7, FALSE)</f>
        <v>yes</v>
      </c>
      <c r="G2113" t="str">
        <f>VLOOKUP($A2113, 'Medical Examinations'!A:H, 8, FALSE)</f>
        <v>No</v>
      </c>
      <c r="H2113">
        <f>VLOOKUP($A2113, 'Medical Examinations'!A:J, 10, FALSE)</f>
        <v>1</v>
      </c>
      <c r="I2113" t="str">
        <f>VLOOKUP($A2113, 'Medical Examinations'!A:K, 11, FALSE)</f>
        <v>No</v>
      </c>
      <c r="J2113" t="str">
        <f>VLOOKUP($A2113, 'Medical Examinations'!A:B, 2, FALSE)</f>
        <v>Obesity</v>
      </c>
      <c r="K2113" t="str">
        <f>VLOOKUP($A2113, 'Medical Examinations'!A:D, 4, FALSE)</f>
        <v>Normal</v>
      </c>
    </row>
    <row r="2114" spans="1:11" ht="15.5" x14ac:dyDescent="0.35">
      <c r="A2114" s="1" t="s">
        <v>252</v>
      </c>
      <c r="B2114" t="str">
        <f>VLOOKUP($A2114, 'Customer Names'!A:D, 3, FALSE)</f>
        <v>Meadows</v>
      </c>
      <c r="C2114">
        <f>VLOOKUP($A2114,'Medical Examinations'!A:C, 3, FALSE)</f>
        <v>30.114999999999998</v>
      </c>
      <c r="D2114" t="str">
        <f>VLOOKUP($A2114, 'Medical Examinations'!A:D, 4, FALSE)</f>
        <v>Normal</v>
      </c>
      <c r="E2114" t="str">
        <f>VLOOKUP($A2114, 'Medical Examinations'!A:F, 6, FALSE)</f>
        <v>No</v>
      </c>
      <c r="F2114" t="str">
        <f>VLOOKUP($A2114, 'Medical Examinations'!A:G, 7, FALSE)</f>
        <v>yes</v>
      </c>
      <c r="G2114" t="str">
        <f>VLOOKUP($A2114, 'Medical Examinations'!A:H, 8, FALSE)</f>
        <v>No</v>
      </c>
      <c r="H2114">
        <f>VLOOKUP($A2114, 'Medical Examinations'!A:J, 10, FALSE)</f>
        <v>1</v>
      </c>
      <c r="I2114" t="str">
        <f>VLOOKUP($A2114, 'Medical Examinations'!A:K, 11, FALSE)</f>
        <v>No</v>
      </c>
      <c r="J2114" t="str">
        <f>VLOOKUP($A2114, 'Medical Examinations'!A:B, 2, FALSE)</f>
        <v>Obesity</v>
      </c>
      <c r="K2114" t="str">
        <f>VLOOKUP($A2114, 'Medical Examinations'!A:D, 4, FALSE)</f>
        <v>Normal</v>
      </c>
    </row>
    <row r="2115" spans="1:11" ht="15.5" x14ac:dyDescent="0.35">
      <c r="A2115" s="1" t="s">
        <v>251</v>
      </c>
      <c r="B2115" t="str">
        <f>VLOOKUP($A2115, 'Customer Names'!A:D, 3, FALSE)</f>
        <v>Toppen</v>
      </c>
      <c r="C2115">
        <f>VLOOKUP($A2115,'Medical Examinations'!A:C, 3, FALSE)</f>
        <v>24.09</v>
      </c>
      <c r="D2115" t="str">
        <f>VLOOKUP($A2115, 'Medical Examinations'!A:D, 4, FALSE)</f>
        <v>Normal</v>
      </c>
      <c r="E2115" t="str">
        <f>VLOOKUP($A2115, 'Medical Examinations'!A:F, 6, FALSE)</f>
        <v>No</v>
      </c>
      <c r="F2115" t="str">
        <f>VLOOKUP($A2115, 'Medical Examinations'!A:G, 7, FALSE)</f>
        <v>yes</v>
      </c>
      <c r="G2115" t="str">
        <f>VLOOKUP($A2115, 'Medical Examinations'!A:H, 8, FALSE)</f>
        <v>No</v>
      </c>
      <c r="H2115">
        <f>VLOOKUP($A2115, 'Medical Examinations'!A:J, 10, FALSE)</f>
        <v>1</v>
      </c>
      <c r="I2115" t="str">
        <f>VLOOKUP($A2115, 'Medical Examinations'!A:K, 11, FALSE)</f>
        <v>No</v>
      </c>
      <c r="J2115" t="str">
        <f>VLOOKUP($A2115, 'Medical Examinations'!A:B, 2, FALSE)</f>
        <v>Normal Weight</v>
      </c>
      <c r="K2115" t="str">
        <f>VLOOKUP($A2115, 'Medical Examinations'!A:D, 4, FALSE)</f>
        <v>Normal</v>
      </c>
    </row>
    <row r="2116" spans="1:11" ht="15.5" x14ac:dyDescent="0.35">
      <c r="A2116" s="1" t="s">
        <v>250</v>
      </c>
      <c r="B2116" t="str">
        <f>VLOOKUP($A2116, 'Customer Names'!A:D, 3, FALSE)</f>
        <v>Ermer</v>
      </c>
      <c r="C2116">
        <f>VLOOKUP($A2116,'Medical Examinations'!A:C, 3, FALSE)</f>
        <v>28.215</v>
      </c>
      <c r="D2116" t="str">
        <f>VLOOKUP($A2116, 'Medical Examinations'!A:D, 4, FALSE)</f>
        <v>Normal</v>
      </c>
      <c r="E2116" t="str">
        <f>VLOOKUP($A2116, 'Medical Examinations'!A:F, 6, FALSE)</f>
        <v>No</v>
      </c>
      <c r="F2116" t="str">
        <f>VLOOKUP($A2116, 'Medical Examinations'!A:G, 7, FALSE)</f>
        <v>yes</v>
      </c>
      <c r="G2116" t="str">
        <f>VLOOKUP($A2116, 'Medical Examinations'!A:H, 8, FALSE)</f>
        <v>No</v>
      </c>
      <c r="H2116">
        <f>VLOOKUP($A2116, 'Medical Examinations'!A:J, 10, FALSE)</f>
        <v>1</v>
      </c>
      <c r="I2116" t="str">
        <f>VLOOKUP($A2116, 'Medical Examinations'!A:K, 11, FALSE)</f>
        <v>No</v>
      </c>
      <c r="J2116" t="str">
        <f>VLOOKUP($A2116, 'Medical Examinations'!A:B, 2, FALSE)</f>
        <v>Overweight</v>
      </c>
      <c r="K2116" t="str">
        <f>VLOOKUP($A2116, 'Medical Examinations'!A:D, 4, FALSE)</f>
        <v>Normal</v>
      </c>
    </row>
    <row r="2117" spans="1:11" ht="15.5" x14ac:dyDescent="0.35">
      <c r="A2117" s="1" t="s">
        <v>248</v>
      </c>
      <c r="B2117" t="str">
        <f>VLOOKUP($A2117, 'Customer Names'!A:D, 3, FALSE)</f>
        <v>Dionne</v>
      </c>
      <c r="C2117">
        <f>VLOOKUP($A2117,'Medical Examinations'!A:C, 3, FALSE)</f>
        <v>26.315000000000001</v>
      </c>
      <c r="D2117" t="str">
        <f>VLOOKUP($A2117, 'Medical Examinations'!A:D, 4, FALSE)</f>
        <v>Normal</v>
      </c>
      <c r="E2117" t="str">
        <f>VLOOKUP($A2117, 'Medical Examinations'!A:F, 6, FALSE)</f>
        <v>No</v>
      </c>
      <c r="F2117" t="str">
        <f>VLOOKUP($A2117, 'Medical Examinations'!A:G, 7, FALSE)</f>
        <v>yes</v>
      </c>
      <c r="G2117" t="str">
        <f>VLOOKUP($A2117, 'Medical Examinations'!A:H, 8, FALSE)</f>
        <v>No</v>
      </c>
      <c r="H2117">
        <f>VLOOKUP($A2117, 'Medical Examinations'!A:J, 10, FALSE)</f>
        <v>1</v>
      </c>
      <c r="I2117" t="str">
        <f>VLOOKUP($A2117, 'Medical Examinations'!A:K, 11, FALSE)</f>
        <v>No</v>
      </c>
      <c r="J2117" t="str">
        <f>VLOOKUP($A2117, 'Medical Examinations'!A:B, 2, FALSE)</f>
        <v>Overweight</v>
      </c>
      <c r="K2117" t="str">
        <f>VLOOKUP($A2117, 'Medical Examinations'!A:D, 4, FALSE)</f>
        <v>Normal</v>
      </c>
    </row>
    <row r="2118" spans="1:11" ht="15.5" x14ac:dyDescent="0.35">
      <c r="A2118" s="1" t="s">
        <v>246</v>
      </c>
      <c r="B2118" t="str">
        <f>VLOOKUP($A2118, 'Customer Names'!A:D, 3, FALSE)</f>
        <v>Stasulli</v>
      </c>
      <c r="C2118">
        <f>VLOOKUP($A2118,'Medical Examinations'!A:C, 3, FALSE)</f>
        <v>25.08</v>
      </c>
      <c r="D2118" t="str">
        <f>VLOOKUP($A2118, 'Medical Examinations'!A:D, 4, FALSE)</f>
        <v>Normal</v>
      </c>
      <c r="E2118" t="str">
        <f>VLOOKUP($A2118, 'Medical Examinations'!A:F, 6, FALSE)</f>
        <v>No</v>
      </c>
      <c r="F2118" t="str">
        <f>VLOOKUP($A2118, 'Medical Examinations'!A:G, 7, FALSE)</f>
        <v>yes</v>
      </c>
      <c r="G2118" t="str">
        <f>VLOOKUP($A2118, 'Medical Examinations'!A:H, 8, FALSE)</f>
        <v>No</v>
      </c>
      <c r="H2118">
        <f>VLOOKUP($A2118, 'Medical Examinations'!A:J, 10, FALSE)</f>
        <v>1</v>
      </c>
      <c r="I2118" t="str">
        <f>VLOOKUP($A2118, 'Medical Examinations'!A:K, 11, FALSE)</f>
        <v>No</v>
      </c>
      <c r="J2118" t="str">
        <f>VLOOKUP($A2118, 'Medical Examinations'!A:B, 2, FALSE)</f>
        <v>Overweight</v>
      </c>
      <c r="K2118" t="str">
        <f>VLOOKUP($A2118, 'Medical Examinations'!A:D, 4, FALSE)</f>
        <v>Normal</v>
      </c>
    </row>
    <row r="2119" spans="1:11" ht="15.5" x14ac:dyDescent="0.35">
      <c r="A2119" s="1" t="s">
        <v>245</v>
      </c>
      <c r="B2119" t="str">
        <f>VLOOKUP($A2119, 'Customer Names'!A:D, 3, FALSE)</f>
        <v>Duran</v>
      </c>
      <c r="C2119">
        <f>VLOOKUP($A2119,'Medical Examinations'!A:C, 3, FALSE)</f>
        <v>15.41</v>
      </c>
      <c r="D2119" t="str">
        <f>VLOOKUP($A2119, 'Medical Examinations'!A:D, 4, FALSE)</f>
        <v>Normal</v>
      </c>
      <c r="E2119" t="str">
        <f>VLOOKUP($A2119, 'Medical Examinations'!A:F, 6, FALSE)</f>
        <v>No</v>
      </c>
      <c r="F2119" t="str">
        <f>VLOOKUP($A2119, 'Medical Examinations'!A:G, 7, FALSE)</f>
        <v>No</v>
      </c>
      <c r="G2119" t="str">
        <f>VLOOKUP($A2119, 'Medical Examinations'!A:H, 8, FALSE)</f>
        <v>No</v>
      </c>
      <c r="H2119" t="str">
        <f>VLOOKUP($A2119, 'Medical Examinations'!A:J, 10, FALSE)</f>
        <v>No major surgery</v>
      </c>
      <c r="I2119" t="str">
        <f>VLOOKUP($A2119, 'Medical Examinations'!A:K, 11, FALSE)</f>
        <v>No</v>
      </c>
      <c r="J2119" t="str">
        <f>VLOOKUP($A2119, 'Medical Examinations'!A:B, 2, FALSE)</f>
        <v>Underweight</v>
      </c>
      <c r="K2119" t="str">
        <f>VLOOKUP($A2119, 'Medical Examinations'!A:D, 4, FALSE)</f>
        <v>Normal</v>
      </c>
    </row>
    <row r="2120" spans="1:11" ht="15.5" x14ac:dyDescent="0.35">
      <c r="A2120" s="1" t="s">
        <v>244</v>
      </c>
      <c r="B2120" t="str">
        <f>VLOOKUP($A2120, 'Customer Names'!A:D, 3, FALSE)</f>
        <v>Klundt</v>
      </c>
      <c r="C2120">
        <f>VLOOKUP($A2120,'Medical Examinations'!A:C, 3, FALSE)</f>
        <v>23.83</v>
      </c>
      <c r="D2120" t="str">
        <f>VLOOKUP($A2120, 'Medical Examinations'!A:D, 4, FALSE)</f>
        <v>Normal</v>
      </c>
      <c r="E2120" t="str">
        <f>VLOOKUP($A2120, 'Medical Examinations'!A:F, 6, FALSE)</f>
        <v>No</v>
      </c>
      <c r="F2120" t="str">
        <f>VLOOKUP($A2120, 'Medical Examinations'!A:G, 7, FALSE)</f>
        <v>No</v>
      </c>
      <c r="G2120" t="str">
        <f>VLOOKUP($A2120, 'Medical Examinations'!A:H, 8, FALSE)</f>
        <v>No</v>
      </c>
      <c r="H2120" t="str">
        <f>VLOOKUP($A2120, 'Medical Examinations'!A:J, 10, FALSE)</f>
        <v>No major surgery</v>
      </c>
      <c r="I2120" t="str">
        <f>VLOOKUP($A2120, 'Medical Examinations'!A:K, 11, FALSE)</f>
        <v>No</v>
      </c>
      <c r="J2120" t="str">
        <f>VLOOKUP($A2120, 'Medical Examinations'!A:B, 2, FALSE)</f>
        <v>Normal Weight</v>
      </c>
      <c r="K2120" t="str">
        <f>VLOOKUP($A2120, 'Medical Examinations'!A:D, 4, FALSE)</f>
        <v>Normal</v>
      </c>
    </row>
    <row r="2121" spans="1:11" ht="15.5" x14ac:dyDescent="0.35">
      <c r="A2121" s="1" t="s">
        <v>243</v>
      </c>
      <c r="B2121" t="str">
        <f>VLOOKUP($A2121, 'Customer Names'!A:D, 3, FALSE)</f>
        <v>Waters</v>
      </c>
      <c r="C2121">
        <f>VLOOKUP($A2121,'Medical Examinations'!A:C, 3, FALSE)</f>
        <v>36</v>
      </c>
      <c r="D2121" t="str">
        <f>VLOOKUP($A2121, 'Medical Examinations'!A:D, 4, FALSE)</f>
        <v>Normal</v>
      </c>
      <c r="E2121" t="str">
        <f>VLOOKUP($A2121, 'Medical Examinations'!A:F, 6, FALSE)</f>
        <v>No</v>
      </c>
      <c r="F2121" t="str">
        <f>VLOOKUP($A2121, 'Medical Examinations'!A:G, 7, FALSE)</f>
        <v>yes</v>
      </c>
      <c r="G2121" t="str">
        <f>VLOOKUP($A2121, 'Medical Examinations'!A:H, 8, FALSE)</f>
        <v>No</v>
      </c>
      <c r="H2121">
        <f>VLOOKUP($A2121, 'Medical Examinations'!A:J, 10, FALSE)</f>
        <v>1</v>
      </c>
      <c r="I2121" t="str">
        <f>VLOOKUP($A2121, 'Medical Examinations'!A:K, 11, FALSE)</f>
        <v>No</v>
      </c>
      <c r="J2121" t="str">
        <f>VLOOKUP($A2121, 'Medical Examinations'!A:B, 2, FALSE)</f>
        <v>Obesity</v>
      </c>
      <c r="K2121" t="str">
        <f>VLOOKUP($A2121, 'Medical Examinations'!A:D, 4, FALSE)</f>
        <v>Normal</v>
      </c>
    </row>
    <row r="2122" spans="1:11" ht="15.5" x14ac:dyDescent="0.35">
      <c r="A2122" s="1" t="s">
        <v>242</v>
      </c>
      <c r="B2122" t="str">
        <f>VLOOKUP($A2122, 'Customer Names'!A:D, 3, FALSE)</f>
        <v>Rusk</v>
      </c>
      <c r="C2122">
        <f>VLOOKUP($A2122,'Medical Examinations'!A:C, 3, FALSE)</f>
        <v>28.82</v>
      </c>
      <c r="D2122" t="str">
        <f>VLOOKUP($A2122, 'Medical Examinations'!A:D, 4, FALSE)</f>
        <v>Normal</v>
      </c>
      <c r="E2122" t="str">
        <f>VLOOKUP($A2122, 'Medical Examinations'!A:F, 6, FALSE)</f>
        <v>No</v>
      </c>
      <c r="F2122" t="str">
        <f>VLOOKUP($A2122, 'Medical Examinations'!A:G, 7, FALSE)</f>
        <v>yes</v>
      </c>
      <c r="G2122" t="str">
        <f>VLOOKUP($A2122, 'Medical Examinations'!A:H, 8, FALSE)</f>
        <v>No</v>
      </c>
      <c r="H2122">
        <f>VLOOKUP($A2122, 'Medical Examinations'!A:J, 10, FALSE)</f>
        <v>1</v>
      </c>
      <c r="I2122" t="str">
        <f>VLOOKUP($A2122, 'Medical Examinations'!A:K, 11, FALSE)</f>
        <v>No</v>
      </c>
      <c r="J2122" t="str">
        <f>VLOOKUP($A2122, 'Medical Examinations'!A:B, 2, FALSE)</f>
        <v>Overweight</v>
      </c>
      <c r="K2122" t="str">
        <f>VLOOKUP($A2122, 'Medical Examinations'!A:D, 4, FALSE)</f>
        <v>Normal</v>
      </c>
    </row>
    <row r="2123" spans="1:11" ht="15.5" x14ac:dyDescent="0.35">
      <c r="A2123" s="1" t="s">
        <v>241</v>
      </c>
      <c r="B2123" t="str">
        <f>VLOOKUP($A2123, 'Customer Names'!A:D, 3, FALSE)</f>
        <v>Gersbach</v>
      </c>
      <c r="C2123">
        <f>VLOOKUP($A2123,'Medical Examinations'!A:C, 3, FALSE)</f>
        <v>28.05</v>
      </c>
      <c r="D2123" t="str">
        <f>VLOOKUP($A2123, 'Medical Examinations'!A:D, 4, FALSE)</f>
        <v>Prediabetes</v>
      </c>
      <c r="E2123" t="str">
        <f>VLOOKUP($A2123, 'Medical Examinations'!A:F, 6, FALSE)</f>
        <v>No</v>
      </c>
      <c r="F2123" t="str">
        <f>VLOOKUP($A2123, 'Medical Examinations'!A:G, 7, FALSE)</f>
        <v>yes</v>
      </c>
      <c r="G2123" t="str">
        <f>VLOOKUP($A2123, 'Medical Examinations'!A:H, 8, FALSE)</f>
        <v>No</v>
      </c>
      <c r="H2123">
        <f>VLOOKUP($A2123, 'Medical Examinations'!A:J, 10, FALSE)</f>
        <v>1</v>
      </c>
      <c r="I2123" t="str">
        <f>VLOOKUP($A2123, 'Medical Examinations'!A:K, 11, FALSE)</f>
        <v>No</v>
      </c>
      <c r="J2123" t="str">
        <f>VLOOKUP($A2123, 'Medical Examinations'!A:B, 2, FALSE)</f>
        <v>Overweight</v>
      </c>
      <c r="K2123" t="str">
        <f>VLOOKUP($A2123, 'Medical Examinations'!A:D, 4, FALSE)</f>
        <v>Prediabetes</v>
      </c>
    </row>
    <row r="2124" spans="1:11" ht="15.5" x14ac:dyDescent="0.35">
      <c r="A2124" s="1" t="s">
        <v>240</v>
      </c>
      <c r="B2124" t="str">
        <f>VLOOKUP($A2124, 'Customer Names'!A:D, 3, FALSE)</f>
        <v>Taylor-Watson</v>
      </c>
      <c r="C2124">
        <f>VLOOKUP($A2124,'Medical Examinations'!A:C, 3, FALSE)</f>
        <v>27.1</v>
      </c>
      <c r="D2124" t="str">
        <f>VLOOKUP($A2124, 'Medical Examinations'!A:D, 4, FALSE)</f>
        <v>Normal</v>
      </c>
      <c r="E2124" t="str">
        <f>VLOOKUP($A2124, 'Medical Examinations'!A:F, 6, FALSE)</f>
        <v>No</v>
      </c>
      <c r="F2124" t="str">
        <f>VLOOKUP($A2124, 'Medical Examinations'!A:G, 7, FALSE)</f>
        <v>yes</v>
      </c>
      <c r="G2124" t="str">
        <f>VLOOKUP($A2124, 'Medical Examinations'!A:H, 8, FALSE)</f>
        <v>No</v>
      </c>
      <c r="H2124">
        <f>VLOOKUP($A2124, 'Medical Examinations'!A:J, 10, FALSE)</f>
        <v>1</v>
      </c>
      <c r="I2124" t="str">
        <f>VLOOKUP($A2124, 'Medical Examinations'!A:K, 11, FALSE)</f>
        <v>No</v>
      </c>
      <c r="J2124" t="str">
        <f>VLOOKUP($A2124, 'Medical Examinations'!A:B, 2, FALSE)</f>
        <v>Overweight</v>
      </c>
      <c r="K2124" t="str">
        <f>VLOOKUP($A2124, 'Medical Examinations'!A:D, 4, FALSE)</f>
        <v>Normal</v>
      </c>
    </row>
    <row r="2125" spans="1:11" ht="15.5" x14ac:dyDescent="0.35">
      <c r="A2125" s="1" t="s">
        <v>239</v>
      </c>
      <c r="B2125" t="str">
        <f>VLOOKUP($A2125, 'Customer Names'!A:D, 3, FALSE)</f>
        <v>Crawford</v>
      </c>
      <c r="C2125">
        <f>VLOOKUP($A2125,'Medical Examinations'!A:C, 3, FALSE)</f>
        <v>24.3</v>
      </c>
      <c r="D2125" t="str">
        <f>VLOOKUP($A2125, 'Medical Examinations'!A:D, 4, FALSE)</f>
        <v>Prediabetes</v>
      </c>
      <c r="E2125" t="str">
        <f>VLOOKUP($A2125, 'Medical Examinations'!A:F, 6, FALSE)</f>
        <v>yes</v>
      </c>
      <c r="F2125" t="str">
        <f>VLOOKUP($A2125, 'Medical Examinations'!A:G, 7, FALSE)</f>
        <v>yes</v>
      </c>
      <c r="G2125" t="str">
        <f>VLOOKUP($A2125, 'Medical Examinations'!A:H, 8, FALSE)</f>
        <v>No</v>
      </c>
      <c r="H2125">
        <f>VLOOKUP($A2125, 'Medical Examinations'!A:J, 10, FALSE)</f>
        <v>1</v>
      </c>
      <c r="I2125" t="str">
        <f>VLOOKUP($A2125, 'Medical Examinations'!A:K, 11, FALSE)</f>
        <v>No</v>
      </c>
      <c r="J2125" t="str">
        <f>VLOOKUP($A2125, 'Medical Examinations'!A:B, 2, FALSE)</f>
        <v>Normal Weight</v>
      </c>
      <c r="K2125" t="str">
        <f>VLOOKUP($A2125, 'Medical Examinations'!A:D, 4, FALSE)</f>
        <v>Prediabetes</v>
      </c>
    </row>
    <row r="2126" spans="1:11" ht="15.5" x14ac:dyDescent="0.35">
      <c r="A2126" s="1" t="s">
        <v>238</v>
      </c>
      <c r="B2126" t="str">
        <f>VLOOKUP($A2126, 'Customer Names'!A:D, 3, FALSE)</f>
        <v>Levitsky</v>
      </c>
      <c r="C2126">
        <f>VLOOKUP($A2126,'Medical Examinations'!A:C, 3, FALSE)</f>
        <v>30.72</v>
      </c>
      <c r="D2126" t="str">
        <f>VLOOKUP($A2126, 'Medical Examinations'!A:D, 4, FALSE)</f>
        <v>Prediabetes</v>
      </c>
      <c r="E2126" t="str">
        <f>VLOOKUP($A2126, 'Medical Examinations'!A:F, 6, FALSE)</f>
        <v>No</v>
      </c>
      <c r="F2126" t="str">
        <f>VLOOKUP($A2126, 'Medical Examinations'!A:G, 7, FALSE)</f>
        <v>yes</v>
      </c>
      <c r="G2126" t="str">
        <f>VLOOKUP($A2126, 'Medical Examinations'!A:H, 8, FALSE)</f>
        <v>No</v>
      </c>
      <c r="H2126">
        <f>VLOOKUP($A2126, 'Medical Examinations'!A:J, 10, FALSE)</f>
        <v>1</v>
      </c>
      <c r="I2126" t="str">
        <f>VLOOKUP($A2126, 'Medical Examinations'!A:K, 11, FALSE)</f>
        <v>No</v>
      </c>
      <c r="J2126" t="str">
        <f>VLOOKUP($A2126, 'Medical Examinations'!A:B, 2, FALSE)</f>
        <v>Obesity</v>
      </c>
      <c r="K2126" t="str">
        <f>VLOOKUP($A2126, 'Medical Examinations'!A:D, 4, FALSE)</f>
        <v>Prediabetes</v>
      </c>
    </row>
    <row r="2127" spans="1:11" ht="15.5" x14ac:dyDescent="0.35">
      <c r="A2127" s="1" t="s">
        <v>237</v>
      </c>
      <c r="B2127" t="str">
        <f>VLOOKUP($A2127, 'Customer Names'!A:D, 3, FALSE)</f>
        <v>Carroll</v>
      </c>
      <c r="C2127">
        <f>VLOOKUP($A2127,'Medical Examinations'!A:C, 3, FALSE)</f>
        <v>37.43</v>
      </c>
      <c r="D2127" t="str">
        <f>VLOOKUP($A2127, 'Medical Examinations'!A:D, 4, FALSE)</f>
        <v>Normal</v>
      </c>
      <c r="E2127" t="str">
        <f>VLOOKUP($A2127, 'Medical Examinations'!A:F, 6, FALSE)</f>
        <v>No</v>
      </c>
      <c r="F2127" t="str">
        <f>VLOOKUP($A2127, 'Medical Examinations'!A:G, 7, FALSE)</f>
        <v>No</v>
      </c>
      <c r="G2127" t="str">
        <f>VLOOKUP($A2127, 'Medical Examinations'!A:H, 8, FALSE)</f>
        <v>Yes</v>
      </c>
      <c r="H2127">
        <f>VLOOKUP($A2127, 'Medical Examinations'!A:J, 10, FALSE)</f>
        <v>1</v>
      </c>
      <c r="I2127" t="str">
        <f>VLOOKUP($A2127, 'Medical Examinations'!A:K, 11, FALSE)</f>
        <v>No</v>
      </c>
      <c r="J2127" t="str">
        <f>VLOOKUP($A2127, 'Medical Examinations'!A:B, 2, FALSE)</f>
        <v>Obesity</v>
      </c>
      <c r="K2127" t="str">
        <f>VLOOKUP($A2127, 'Medical Examinations'!A:D, 4, FALSE)</f>
        <v>Normal</v>
      </c>
    </row>
    <row r="2128" spans="1:11" ht="15.5" x14ac:dyDescent="0.35">
      <c r="A2128" s="1" t="s">
        <v>236</v>
      </c>
      <c r="B2128" t="str">
        <f>VLOOKUP($A2128, 'Customer Names'!A:D, 3, FALSE)</f>
        <v>Campos</v>
      </c>
      <c r="C2128">
        <f>VLOOKUP($A2128,'Medical Examinations'!A:C, 3, FALSE)</f>
        <v>25.74</v>
      </c>
      <c r="D2128" t="e">
        <f>VLOOKUP($A2128, 'Medical Examinations'!A:D, 4, FALSE)</f>
        <v>#N/A</v>
      </c>
      <c r="E2128" t="str">
        <f>VLOOKUP($A2128, 'Medical Examinations'!A:F, 6, FALSE)</f>
        <v>yes</v>
      </c>
      <c r="F2128" t="str">
        <f>VLOOKUP($A2128, 'Medical Examinations'!A:G, 7, FALSE)</f>
        <v>No</v>
      </c>
      <c r="G2128" t="str">
        <f>VLOOKUP($A2128, 'Medical Examinations'!A:H, 8, FALSE)</f>
        <v>Yes</v>
      </c>
      <c r="H2128">
        <f>VLOOKUP($A2128, 'Medical Examinations'!A:J, 10, FALSE)</f>
        <v>1</v>
      </c>
      <c r="I2128" t="str">
        <f>VLOOKUP($A2128, 'Medical Examinations'!A:K, 11, FALSE)</f>
        <v>No</v>
      </c>
      <c r="J2128" t="str">
        <f>VLOOKUP($A2128, 'Medical Examinations'!A:B, 2, FALSE)</f>
        <v>Overweight</v>
      </c>
      <c r="K2128" t="e">
        <f>VLOOKUP($A2128, 'Medical Examinations'!A:D, 4, FALSE)</f>
        <v>#N/A</v>
      </c>
    </row>
    <row r="2129" spans="1:11" ht="15.5" x14ac:dyDescent="0.35">
      <c r="A2129" s="1" t="s">
        <v>235</v>
      </c>
      <c r="B2129" t="str">
        <f>VLOOKUP($A2129, 'Customer Names'!A:D, 3, FALSE)</f>
        <v>Flajslik</v>
      </c>
      <c r="C2129">
        <f>VLOOKUP($A2129,'Medical Examinations'!A:C, 3, FALSE)</f>
        <v>36.575000000000003</v>
      </c>
      <c r="D2129" t="str">
        <f>VLOOKUP($A2129, 'Medical Examinations'!A:D, 4, FALSE)</f>
        <v>Normal</v>
      </c>
      <c r="E2129" t="str">
        <f>VLOOKUP($A2129, 'Medical Examinations'!A:F, 6, FALSE)</f>
        <v>No</v>
      </c>
      <c r="F2129" t="str">
        <f>VLOOKUP($A2129, 'Medical Examinations'!A:G, 7, FALSE)</f>
        <v>No</v>
      </c>
      <c r="G2129" t="str">
        <f>VLOOKUP($A2129, 'Medical Examinations'!A:H, 8, FALSE)</f>
        <v>Yes</v>
      </c>
      <c r="H2129">
        <f>VLOOKUP($A2129, 'Medical Examinations'!A:J, 10, FALSE)</f>
        <v>1</v>
      </c>
      <c r="I2129" t="str">
        <f>VLOOKUP($A2129, 'Medical Examinations'!A:K, 11, FALSE)</f>
        <v>No</v>
      </c>
      <c r="J2129" t="str">
        <f>VLOOKUP($A2129, 'Medical Examinations'!A:B, 2, FALSE)</f>
        <v>Obesity</v>
      </c>
      <c r="K2129" t="str">
        <f>VLOOKUP($A2129, 'Medical Examinations'!A:D, 4, FALSE)</f>
        <v>Normal</v>
      </c>
    </row>
    <row r="2130" spans="1:11" ht="15.5" x14ac:dyDescent="0.35">
      <c r="A2130" s="1" t="s">
        <v>234</v>
      </c>
      <c r="B2130" t="str">
        <f>VLOOKUP($A2130, 'Customer Names'!A:D, 3, FALSE)</f>
        <v>Chua</v>
      </c>
      <c r="C2130">
        <f>VLOOKUP($A2130,'Medical Examinations'!A:C, 3, FALSE)</f>
        <v>35.15</v>
      </c>
      <c r="D2130" t="str">
        <f>VLOOKUP($A2130, 'Medical Examinations'!A:D, 4, FALSE)</f>
        <v>Normal</v>
      </c>
      <c r="E2130" t="str">
        <f>VLOOKUP($A2130, 'Medical Examinations'!A:F, 6, FALSE)</f>
        <v>No</v>
      </c>
      <c r="F2130" t="str">
        <f>VLOOKUP($A2130, 'Medical Examinations'!A:G, 7, FALSE)</f>
        <v>No</v>
      </c>
      <c r="G2130" t="str">
        <f>VLOOKUP($A2130, 'Medical Examinations'!A:H, 8, FALSE)</f>
        <v>Yes</v>
      </c>
      <c r="H2130">
        <f>VLOOKUP($A2130, 'Medical Examinations'!A:J, 10, FALSE)</f>
        <v>1</v>
      </c>
      <c r="I2130" t="str">
        <f>VLOOKUP($A2130, 'Medical Examinations'!A:K, 11, FALSE)</f>
        <v>No</v>
      </c>
      <c r="J2130" t="str">
        <f>VLOOKUP($A2130, 'Medical Examinations'!A:B, 2, FALSE)</f>
        <v>Obesity</v>
      </c>
      <c r="K2130" t="str">
        <f>VLOOKUP($A2130, 'Medical Examinations'!A:D, 4, FALSE)</f>
        <v>Normal</v>
      </c>
    </row>
    <row r="2131" spans="1:11" ht="15.5" x14ac:dyDescent="0.35">
      <c r="A2131" s="1" t="s">
        <v>233</v>
      </c>
      <c r="B2131" t="str">
        <f>VLOOKUP($A2131, 'Customer Names'!A:D, 3, FALSE)</f>
        <v>Wiltse</v>
      </c>
      <c r="C2131">
        <f>VLOOKUP($A2131,'Medical Examinations'!A:C, 3, FALSE)</f>
        <v>32.11</v>
      </c>
      <c r="D2131" t="str">
        <f>VLOOKUP($A2131, 'Medical Examinations'!A:D, 4, FALSE)</f>
        <v>Normal</v>
      </c>
      <c r="E2131" t="str">
        <f>VLOOKUP($A2131, 'Medical Examinations'!A:F, 6, FALSE)</f>
        <v>No</v>
      </c>
      <c r="F2131" t="str">
        <f>VLOOKUP($A2131, 'Medical Examinations'!A:G, 7, FALSE)</f>
        <v>No</v>
      </c>
      <c r="G2131" t="str">
        <f>VLOOKUP($A2131, 'Medical Examinations'!A:H, 8, FALSE)</f>
        <v>Yes</v>
      </c>
      <c r="H2131">
        <f>VLOOKUP($A2131, 'Medical Examinations'!A:J, 10, FALSE)</f>
        <v>1</v>
      </c>
      <c r="I2131" t="str">
        <f>VLOOKUP($A2131, 'Medical Examinations'!A:K, 11, FALSE)</f>
        <v>No</v>
      </c>
      <c r="J2131" t="str">
        <f>VLOOKUP($A2131, 'Medical Examinations'!A:B, 2, FALSE)</f>
        <v>Obesity</v>
      </c>
      <c r="K2131" t="str">
        <f>VLOOKUP($A2131, 'Medical Examinations'!A:D, 4, FALSE)</f>
        <v>Normal</v>
      </c>
    </row>
    <row r="2132" spans="1:11" ht="15.5" x14ac:dyDescent="0.35">
      <c r="A2132" s="1" t="s">
        <v>232</v>
      </c>
      <c r="B2132" t="str">
        <f>VLOOKUP($A2132, 'Customer Names'!A:D, 3, FALSE)</f>
        <v>Fisher</v>
      </c>
      <c r="C2132">
        <f>VLOOKUP($A2132,'Medical Examinations'!A:C, 3, FALSE)</f>
        <v>30.495000000000001</v>
      </c>
      <c r="D2132" t="str">
        <f>VLOOKUP($A2132, 'Medical Examinations'!A:D, 4, FALSE)</f>
        <v>Normal</v>
      </c>
      <c r="E2132" t="str">
        <f>VLOOKUP($A2132, 'Medical Examinations'!A:F, 6, FALSE)</f>
        <v>No</v>
      </c>
      <c r="F2132" t="str">
        <f>VLOOKUP($A2132, 'Medical Examinations'!A:G, 7, FALSE)</f>
        <v>No</v>
      </c>
      <c r="G2132" t="str">
        <f>VLOOKUP($A2132, 'Medical Examinations'!A:H, 8, FALSE)</f>
        <v>Yes</v>
      </c>
      <c r="H2132">
        <f>VLOOKUP($A2132, 'Medical Examinations'!A:J, 10, FALSE)</f>
        <v>1</v>
      </c>
      <c r="I2132" t="str">
        <f>VLOOKUP($A2132, 'Medical Examinations'!A:K, 11, FALSE)</f>
        <v>No</v>
      </c>
      <c r="J2132" t="str">
        <f>VLOOKUP($A2132, 'Medical Examinations'!A:B, 2, FALSE)</f>
        <v>Obesity</v>
      </c>
      <c r="K2132" t="str">
        <f>VLOOKUP($A2132, 'Medical Examinations'!A:D, 4, FALSE)</f>
        <v>Normal</v>
      </c>
    </row>
    <row r="2133" spans="1:11" ht="15.5" x14ac:dyDescent="0.35">
      <c r="A2133" s="1" t="s">
        <v>231</v>
      </c>
      <c r="B2133" t="str">
        <f>VLOOKUP($A2133, 'Customer Names'!A:D, 3, FALSE)</f>
        <v>Wilzbacher</v>
      </c>
      <c r="C2133">
        <f>VLOOKUP($A2133,'Medical Examinations'!A:C, 3, FALSE)</f>
        <v>29.24</v>
      </c>
      <c r="D2133" t="str">
        <f>VLOOKUP($A2133, 'Medical Examinations'!A:D, 4, FALSE)</f>
        <v>Normal</v>
      </c>
      <c r="E2133" t="str">
        <f>VLOOKUP($A2133, 'Medical Examinations'!A:F, 6, FALSE)</f>
        <v>No</v>
      </c>
      <c r="F2133" t="str">
        <f>VLOOKUP($A2133, 'Medical Examinations'!A:G, 7, FALSE)</f>
        <v>yes</v>
      </c>
      <c r="G2133" t="str">
        <f>VLOOKUP($A2133, 'Medical Examinations'!A:H, 8, FALSE)</f>
        <v>No</v>
      </c>
      <c r="H2133">
        <f>VLOOKUP($A2133, 'Medical Examinations'!A:J, 10, FALSE)</f>
        <v>1</v>
      </c>
      <c r="I2133" t="str">
        <f>VLOOKUP($A2133, 'Medical Examinations'!A:K, 11, FALSE)</f>
        <v>No</v>
      </c>
      <c r="J2133" t="str">
        <f>VLOOKUP($A2133, 'Medical Examinations'!A:B, 2, FALSE)</f>
        <v>Overweight</v>
      </c>
      <c r="K2133" t="str">
        <f>VLOOKUP($A2133, 'Medical Examinations'!A:D, 4, FALSE)</f>
        <v>Normal</v>
      </c>
    </row>
    <row r="2134" spans="1:11" ht="15.5" x14ac:dyDescent="0.35">
      <c r="A2134" s="1" t="s">
        <v>230</v>
      </c>
      <c r="B2134" t="str">
        <f>VLOOKUP($A2134, 'Customer Names'!A:D, 3, FALSE)</f>
        <v>Thayer</v>
      </c>
      <c r="C2134">
        <f>VLOOKUP($A2134,'Medical Examinations'!A:C, 3, FALSE)</f>
        <v>22.515000000000001</v>
      </c>
      <c r="D2134" t="str">
        <f>VLOOKUP($A2134, 'Medical Examinations'!A:D, 4, FALSE)</f>
        <v>Prediabetes</v>
      </c>
      <c r="E2134" t="str">
        <f>VLOOKUP($A2134, 'Medical Examinations'!A:F, 6, FALSE)</f>
        <v>No</v>
      </c>
      <c r="F2134" t="str">
        <f>VLOOKUP($A2134, 'Medical Examinations'!A:G, 7, FALSE)</f>
        <v>No</v>
      </c>
      <c r="G2134" t="str">
        <f>VLOOKUP($A2134, 'Medical Examinations'!A:H, 8, FALSE)</f>
        <v>Yes</v>
      </c>
      <c r="H2134">
        <f>VLOOKUP($A2134, 'Medical Examinations'!A:J, 10, FALSE)</f>
        <v>1</v>
      </c>
      <c r="I2134" t="str">
        <f>VLOOKUP($A2134, 'Medical Examinations'!A:K, 11, FALSE)</f>
        <v>No</v>
      </c>
      <c r="J2134" t="str">
        <f>VLOOKUP($A2134, 'Medical Examinations'!A:B, 2, FALSE)</f>
        <v>Normal Weight</v>
      </c>
      <c r="K2134" t="str">
        <f>VLOOKUP($A2134, 'Medical Examinations'!A:D, 4, FALSE)</f>
        <v>Prediabetes</v>
      </c>
    </row>
    <row r="2135" spans="1:11" ht="15.5" x14ac:dyDescent="0.35">
      <c r="A2135" s="1" t="s">
        <v>229</v>
      </c>
      <c r="B2135" t="str">
        <f>VLOOKUP($A2135, 'Customer Names'!A:D, 3, FALSE)</f>
        <v>Brosseau</v>
      </c>
      <c r="C2135">
        <f>VLOOKUP($A2135,'Medical Examinations'!A:C, 3, FALSE)</f>
        <v>15.65</v>
      </c>
      <c r="D2135" t="str">
        <f>VLOOKUP($A2135, 'Medical Examinations'!A:D, 4, FALSE)</f>
        <v>Normal</v>
      </c>
      <c r="E2135" t="str">
        <f>VLOOKUP($A2135, 'Medical Examinations'!A:F, 6, FALSE)</f>
        <v>No</v>
      </c>
      <c r="F2135" t="str">
        <f>VLOOKUP($A2135, 'Medical Examinations'!A:G, 7, FALSE)</f>
        <v>No</v>
      </c>
      <c r="G2135" t="str">
        <f>VLOOKUP($A2135, 'Medical Examinations'!A:H, 8, FALSE)</f>
        <v>No</v>
      </c>
      <c r="H2135" t="str">
        <f>VLOOKUP($A2135, 'Medical Examinations'!A:J, 10, FALSE)</f>
        <v>No major surgery</v>
      </c>
      <c r="I2135" t="str">
        <f>VLOOKUP($A2135, 'Medical Examinations'!A:K, 11, FALSE)</f>
        <v>No</v>
      </c>
      <c r="J2135" t="str">
        <f>VLOOKUP($A2135, 'Medical Examinations'!A:B, 2, FALSE)</f>
        <v>Underweight</v>
      </c>
      <c r="K2135" t="str">
        <f>VLOOKUP($A2135, 'Medical Examinations'!A:D, 4, FALSE)</f>
        <v>Normal</v>
      </c>
    </row>
    <row r="2136" spans="1:11" ht="15.5" x14ac:dyDescent="0.35">
      <c r="A2136" s="1" t="s">
        <v>228</v>
      </c>
      <c r="B2136" t="str">
        <f>VLOOKUP($A2136, 'Customer Names'!A:D, 3, FALSE)</f>
        <v>Phares</v>
      </c>
      <c r="C2136">
        <f>VLOOKUP($A2136,'Medical Examinations'!A:C, 3, FALSE)</f>
        <v>27.36</v>
      </c>
      <c r="D2136" t="str">
        <f>VLOOKUP($A2136, 'Medical Examinations'!A:D, 4, FALSE)</f>
        <v>Normal</v>
      </c>
      <c r="E2136" t="str">
        <f>VLOOKUP($A2136, 'Medical Examinations'!A:F, 6, FALSE)</f>
        <v>yes</v>
      </c>
      <c r="F2136" t="str">
        <f>VLOOKUP($A2136, 'Medical Examinations'!A:G, 7, FALSE)</f>
        <v>No</v>
      </c>
      <c r="G2136" t="str">
        <f>VLOOKUP($A2136, 'Medical Examinations'!A:H, 8, FALSE)</f>
        <v>No</v>
      </c>
      <c r="H2136" t="str">
        <f>VLOOKUP($A2136, 'Medical Examinations'!A:J, 10, FALSE)</f>
        <v>No major surgery</v>
      </c>
      <c r="I2136" t="str">
        <f>VLOOKUP($A2136, 'Medical Examinations'!A:K, 11, FALSE)</f>
        <v>No</v>
      </c>
      <c r="J2136" t="str">
        <f>VLOOKUP($A2136, 'Medical Examinations'!A:B, 2, FALSE)</f>
        <v>Overweight</v>
      </c>
      <c r="K2136" t="str">
        <f>VLOOKUP($A2136, 'Medical Examinations'!A:D, 4, FALSE)</f>
        <v>Normal</v>
      </c>
    </row>
    <row r="2137" spans="1:11" ht="15.5" x14ac:dyDescent="0.35">
      <c r="A2137" s="1" t="s">
        <v>227</v>
      </c>
      <c r="B2137" t="str">
        <f>VLOOKUP($A2137, 'Customer Names'!A:D, 3, FALSE)</f>
        <v>Curley</v>
      </c>
      <c r="C2137">
        <f>VLOOKUP($A2137,'Medical Examinations'!A:C, 3, FALSE)</f>
        <v>22.3</v>
      </c>
      <c r="D2137" t="str">
        <f>VLOOKUP($A2137, 'Medical Examinations'!A:D, 4, FALSE)</f>
        <v>Normal</v>
      </c>
      <c r="E2137" t="str">
        <f>VLOOKUP($A2137, 'Medical Examinations'!A:F, 6, FALSE)</f>
        <v>yes</v>
      </c>
      <c r="F2137" t="str">
        <f>VLOOKUP($A2137, 'Medical Examinations'!A:G, 7, FALSE)</f>
        <v>No</v>
      </c>
      <c r="G2137" t="str">
        <f>VLOOKUP($A2137, 'Medical Examinations'!A:H, 8, FALSE)</f>
        <v>No</v>
      </c>
      <c r="H2137" t="str">
        <f>VLOOKUP($A2137, 'Medical Examinations'!A:J, 10, FALSE)</f>
        <v>No major surgery</v>
      </c>
      <c r="I2137" t="str">
        <f>VLOOKUP($A2137, 'Medical Examinations'!A:K, 11, FALSE)</f>
        <v>No</v>
      </c>
      <c r="J2137" t="str">
        <f>VLOOKUP($A2137, 'Medical Examinations'!A:B, 2, FALSE)</f>
        <v>Normal Weight</v>
      </c>
      <c r="K2137" t="str">
        <f>VLOOKUP($A2137, 'Medical Examinations'!A:D, 4, FALSE)</f>
        <v>Normal</v>
      </c>
    </row>
    <row r="2138" spans="1:11" ht="15.5" x14ac:dyDescent="0.35">
      <c r="A2138" s="1" t="s">
        <v>226</v>
      </c>
      <c r="B2138" t="str">
        <f>VLOOKUP($A2138, 'Customer Names'!A:D, 3, FALSE)</f>
        <v>Johnston</v>
      </c>
      <c r="C2138">
        <f>VLOOKUP($A2138,'Medical Examinations'!A:C, 3, FALSE)</f>
        <v>26.03</v>
      </c>
      <c r="D2138" t="str">
        <f>VLOOKUP($A2138, 'Medical Examinations'!A:D, 4, FALSE)</f>
        <v>Prediabetes</v>
      </c>
      <c r="E2138" t="str">
        <f>VLOOKUP($A2138, 'Medical Examinations'!A:F, 6, FALSE)</f>
        <v>yes</v>
      </c>
      <c r="F2138" t="str">
        <f>VLOOKUP($A2138, 'Medical Examinations'!A:G, 7, FALSE)</f>
        <v>No</v>
      </c>
      <c r="G2138" t="str">
        <f>VLOOKUP($A2138, 'Medical Examinations'!A:H, 8, FALSE)</f>
        <v>No</v>
      </c>
      <c r="H2138" t="str">
        <f>VLOOKUP($A2138, 'Medical Examinations'!A:J, 10, FALSE)</f>
        <v>No major surgery</v>
      </c>
      <c r="I2138" t="str">
        <f>VLOOKUP($A2138, 'Medical Examinations'!A:K, 11, FALSE)</f>
        <v>No</v>
      </c>
      <c r="J2138" t="str">
        <f>VLOOKUP($A2138, 'Medical Examinations'!A:B, 2, FALSE)</f>
        <v>Overweight</v>
      </c>
      <c r="K2138" t="str">
        <f>VLOOKUP($A2138, 'Medical Examinations'!A:D, 4, FALSE)</f>
        <v>Prediabetes</v>
      </c>
    </row>
    <row r="2139" spans="1:11" ht="15.5" x14ac:dyDescent="0.35">
      <c r="A2139" s="1" t="s">
        <v>225</v>
      </c>
      <c r="B2139" t="str">
        <f>VLOOKUP($A2139, 'Customer Names'!A:D, 3, FALSE)</f>
        <v>Padula</v>
      </c>
      <c r="C2139">
        <f>VLOOKUP($A2139,'Medical Examinations'!A:C, 3, FALSE)</f>
        <v>27.74</v>
      </c>
      <c r="D2139" t="str">
        <f>VLOOKUP($A2139, 'Medical Examinations'!A:D, 4, FALSE)</f>
        <v>Normal</v>
      </c>
      <c r="E2139" t="str">
        <f>VLOOKUP($A2139, 'Medical Examinations'!A:F, 6, FALSE)</f>
        <v>No</v>
      </c>
      <c r="F2139" t="str">
        <f>VLOOKUP($A2139, 'Medical Examinations'!A:G, 7, FALSE)</f>
        <v>yes</v>
      </c>
      <c r="G2139" t="str">
        <f>VLOOKUP($A2139, 'Medical Examinations'!A:H, 8, FALSE)</f>
        <v>No</v>
      </c>
      <c r="H2139">
        <f>VLOOKUP($A2139, 'Medical Examinations'!A:J, 10, FALSE)</f>
        <v>1</v>
      </c>
      <c r="I2139" t="str">
        <f>VLOOKUP($A2139, 'Medical Examinations'!A:K, 11, FALSE)</f>
        <v>No</v>
      </c>
      <c r="J2139" t="str">
        <f>VLOOKUP($A2139, 'Medical Examinations'!A:B, 2, FALSE)</f>
        <v>Overweight</v>
      </c>
      <c r="K2139" t="str">
        <f>VLOOKUP($A2139, 'Medical Examinations'!A:D, 4, FALSE)</f>
        <v>Normal</v>
      </c>
    </row>
    <row r="2140" spans="1:11" ht="15.5" x14ac:dyDescent="0.35">
      <c r="A2140" s="1" t="s">
        <v>224</v>
      </c>
      <c r="B2140" t="str">
        <f>VLOOKUP($A2140, 'Customer Names'!A:D, 3, FALSE)</f>
        <v>Gamirov</v>
      </c>
      <c r="C2140">
        <f>VLOOKUP($A2140,'Medical Examinations'!A:C, 3, FALSE)</f>
        <v>32.11</v>
      </c>
      <c r="D2140" t="str">
        <f>VLOOKUP($A2140, 'Medical Examinations'!A:D, 4, FALSE)</f>
        <v>Normal</v>
      </c>
      <c r="E2140" t="str">
        <f>VLOOKUP($A2140, 'Medical Examinations'!A:F, 6, FALSE)</f>
        <v>yes</v>
      </c>
      <c r="F2140" t="str">
        <f>VLOOKUP($A2140, 'Medical Examinations'!A:G, 7, FALSE)</f>
        <v>yes</v>
      </c>
      <c r="G2140" t="str">
        <f>VLOOKUP($A2140, 'Medical Examinations'!A:H, 8, FALSE)</f>
        <v>No</v>
      </c>
      <c r="H2140">
        <f>VLOOKUP($A2140, 'Medical Examinations'!A:J, 10, FALSE)</f>
        <v>2</v>
      </c>
      <c r="I2140" t="str">
        <f>VLOOKUP($A2140, 'Medical Examinations'!A:K, 11, FALSE)</f>
        <v>No</v>
      </c>
      <c r="J2140" t="str">
        <f>VLOOKUP($A2140, 'Medical Examinations'!A:B, 2, FALSE)</f>
        <v>Obesity</v>
      </c>
      <c r="K2140" t="str">
        <f>VLOOKUP($A2140, 'Medical Examinations'!A:D, 4, FALSE)</f>
        <v>Normal</v>
      </c>
    </row>
    <row r="2141" spans="1:11" ht="15.5" x14ac:dyDescent="0.35">
      <c r="A2141" s="1" t="s">
        <v>223</v>
      </c>
      <c r="B2141" t="str">
        <f>VLOOKUP($A2141, 'Customer Names'!A:D, 3, FALSE)</f>
        <v>Briot</v>
      </c>
      <c r="C2141">
        <f>VLOOKUP($A2141,'Medical Examinations'!A:C, 3, FALSE)</f>
        <v>25.175000000000001</v>
      </c>
      <c r="D2141" t="str">
        <f>VLOOKUP($A2141, 'Medical Examinations'!A:D, 4, FALSE)</f>
        <v>Prediabetes</v>
      </c>
      <c r="E2141" t="str">
        <f>VLOOKUP($A2141, 'Medical Examinations'!A:F, 6, FALSE)</f>
        <v>yes</v>
      </c>
      <c r="F2141" t="str">
        <f>VLOOKUP($A2141, 'Medical Examinations'!A:G, 7, FALSE)</f>
        <v>yes</v>
      </c>
      <c r="G2141" t="str">
        <f>VLOOKUP($A2141, 'Medical Examinations'!A:H, 8, FALSE)</f>
        <v>No</v>
      </c>
      <c r="H2141">
        <f>VLOOKUP($A2141, 'Medical Examinations'!A:J, 10, FALSE)</f>
        <v>2</v>
      </c>
      <c r="I2141" t="str">
        <f>VLOOKUP($A2141, 'Medical Examinations'!A:K, 11, FALSE)</f>
        <v>No</v>
      </c>
      <c r="J2141" t="str">
        <f>VLOOKUP($A2141, 'Medical Examinations'!A:B, 2, FALSE)</f>
        <v>Overweight</v>
      </c>
      <c r="K2141" t="str">
        <f>VLOOKUP($A2141, 'Medical Examinations'!A:D, 4, FALSE)</f>
        <v>Prediabetes</v>
      </c>
    </row>
    <row r="2142" spans="1:11" ht="15.5" x14ac:dyDescent="0.35">
      <c r="A2142" s="1" t="s">
        <v>222</v>
      </c>
      <c r="B2142" t="str">
        <f>VLOOKUP($A2142, 'Customer Names'!A:D, 3, FALSE)</f>
        <v>De Hueck</v>
      </c>
      <c r="C2142">
        <f>VLOOKUP($A2142,'Medical Examinations'!A:C, 3, FALSE)</f>
        <v>39.49</v>
      </c>
      <c r="D2142" t="str">
        <f>VLOOKUP($A2142, 'Medical Examinations'!A:D, 4, FALSE)</f>
        <v>Normal</v>
      </c>
      <c r="E2142" t="str">
        <f>VLOOKUP($A2142, 'Medical Examinations'!A:F, 6, FALSE)</f>
        <v>yes</v>
      </c>
      <c r="F2142" t="str">
        <f>VLOOKUP($A2142, 'Medical Examinations'!A:G, 7, FALSE)</f>
        <v>No</v>
      </c>
      <c r="G2142" t="str">
        <f>VLOOKUP($A2142, 'Medical Examinations'!A:H, 8, FALSE)</f>
        <v>No</v>
      </c>
      <c r="H2142" t="str">
        <f>VLOOKUP($A2142, 'Medical Examinations'!A:J, 10, FALSE)</f>
        <v>No major surgery</v>
      </c>
      <c r="I2142" t="str">
        <f>VLOOKUP($A2142, 'Medical Examinations'!A:K, 11, FALSE)</f>
        <v>No</v>
      </c>
      <c r="J2142" t="str">
        <f>VLOOKUP($A2142, 'Medical Examinations'!A:B, 2, FALSE)</f>
        <v>Obesity</v>
      </c>
      <c r="K2142" t="str">
        <f>VLOOKUP($A2142, 'Medical Examinations'!A:D, 4, FALSE)</f>
        <v>Normal</v>
      </c>
    </row>
    <row r="2143" spans="1:11" ht="15.5" x14ac:dyDescent="0.35">
      <c r="A2143" s="1" t="s">
        <v>221</v>
      </c>
      <c r="B2143" t="str">
        <f>VLOOKUP($A2143, 'Customer Names'!A:D, 3, FALSE)</f>
        <v>Putt</v>
      </c>
      <c r="C2143">
        <f>VLOOKUP($A2143,'Medical Examinations'!A:C, 3, FALSE)</f>
        <v>34.869999999999997</v>
      </c>
      <c r="D2143" t="str">
        <f>VLOOKUP($A2143, 'Medical Examinations'!A:D, 4, FALSE)</f>
        <v>Normal</v>
      </c>
      <c r="E2143" t="str">
        <f>VLOOKUP($A2143, 'Medical Examinations'!A:F, 6, FALSE)</f>
        <v>yes</v>
      </c>
      <c r="F2143" t="str">
        <f>VLOOKUP($A2143, 'Medical Examinations'!A:G, 7, FALSE)</f>
        <v>No</v>
      </c>
      <c r="G2143" t="str">
        <f>VLOOKUP($A2143, 'Medical Examinations'!A:H, 8, FALSE)</f>
        <v>No</v>
      </c>
      <c r="H2143" t="str">
        <f>VLOOKUP($A2143, 'Medical Examinations'!A:J, 10, FALSE)</f>
        <v>No major surgery</v>
      </c>
      <c r="I2143" t="str">
        <f>VLOOKUP($A2143, 'Medical Examinations'!A:K, 11, FALSE)</f>
        <v>No</v>
      </c>
      <c r="J2143" t="str">
        <f>VLOOKUP($A2143, 'Medical Examinations'!A:B, 2, FALSE)</f>
        <v>Obesity</v>
      </c>
      <c r="K2143" t="str">
        <f>VLOOKUP($A2143, 'Medical Examinations'!A:D, 4, FALSE)</f>
        <v>Normal</v>
      </c>
    </row>
    <row r="2144" spans="1:11" ht="15.5" x14ac:dyDescent="0.35">
      <c r="A2144" s="1" t="s">
        <v>220</v>
      </c>
      <c r="B2144" t="str">
        <f>VLOOKUP($A2144, 'Customer Names'!A:D, 3, FALSE)</f>
        <v>Deiman</v>
      </c>
      <c r="C2144">
        <f>VLOOKUP($A2144,'Medical Examinations'!A:C, 3, FALSE)</f>
        <v>34.6</v>
      </c>
      <c r="D2144" t="str">
        <f>VLOOKUP($A2144, 'Medical Examinations'!A:D, 4, FALSE)</f>
        <v>Normal</v>
      </c>
      <c r="E2144" t="str">
        <f>VLOOKUP($A2144, 'Medical Examinations'!A:F, 6, FALSE)</f>
        <v>yes</v>
      </c>
      <c r="F2144" t="str">
        <f>VLOOKUP($A2144, 'Medical Examinations'!A:G, 7, FALSE)</f>
        <v>No</v>
      </c>
      <c r="G2144" t="str">
        <f>VLOOKUP($A2144, 'Medical Examinations'!A:H, 8, FALSE)</f>
        <v>No</v>
      </c>
      <c r="H2144" t="str">
        <f>VLOOKUP($A2144, 'Medical Examinations'!A:J, 10, FALSE)</f>
        <v>No major surgery</v>
      </c>
      <c r="I2144" t="str">
        <f>VLOOKUP($A2144, 'Medical Examinations'!A:K, 11, FALSE)</f>
        <v>No</v>
      </c>
      <c r="J2144" t="str">
        <f>VLOOKUP($A2144, 'Medical Examinations'!A:B, 2, FALSE)</f>
        <v>Obesity</v>
      </c>
      <c r="K2144" t="str">
        <f>VLOOKUP($A2144, 'Medical Examinations'!A:D, 4, FALSE)</f>
        <v>Normal</v>
      </c>
    </row>
    <row r="2145" spans="1:11" ht="15.5" x14ac:dyDescent="0.35">
      <c r="A2145" s="1" t="s">
        <v>219</v>
      </c>
      <c r="B2145" t="str">
        <f>VLOOKUP($A2145, 'Customer Names'!A:D, 3, FALSE)</f>
        <v>Bonanni</v>
      </c>
      <c r="C2145">
        <f>VLOOKUP($A2145,'Medical Examinations'!A:C, 3, FALSE)</f>
        <v>25.8</v>
      </c>
      <c r="D2145" t="str">
        <f>VLOOKUP($A2145, 'Medical Examinations'!A:D, 4, FALSE)</f>
        <v>Prediabetes</v>
      </c>
      <c r="E2145" t="str">
        <f>VLOOKUP($A2145, 'Medical Examinations'!A:F, 6, FALSE)</f>
        <v>yes</v>
      </c>
      <c r="F2145" t="str">
        <f>VLOOKUP($A2145, 'Medical Examinations'!A:G, 7, FALSE)</f>
        <v>No</v>
      </c>
      <c r="G2145" t="str">
        <f>VLOOKUP($A2145, 'Medical Examinations'!A:H, 8, FALSE)</f>
        <v>No</v>
      </c>
      <c r="H2145" t="str">
        <f>VLOOKUP($A2145, 'Medical Examinations'!A:J, 10, FALSE)</f>
        <v>No major surgery</v>
      </c>
      <c r="I2145" t="str">
        <f>VLOOKUP($A2145, 'Medical Examinations'!A:K, 11, FALSE)</f>
        <v>No</v>
      </c>
      <c r="J2145" t="str">
        <f>VLOOKUP($A2145, 'Medical Examinations'!A:B, 2, FALSE)</f>
        <v>Overweight</v>
      </c>
      <c r="K2145" t="str">
        <f>VLOOKUP($A2145, 'Medical Examinations'!A:D, 4, FALSE)</f>
        <v>Prediabetes</v>
      </c>
    </row>
    <row r="2146" spans="1:11" ht="15.5" x14ac:dyDescent="0.35">
      <c r="A2146" s="1" t="s">
        <v>218</v>
      </c>
      <c r="B2146" t="str">
        <f>VLOOKUP($A2146, 'Customer Names'!A:D, 3, FALSE)</f>
        <v>Stein</v>
      </c>
      <c r="C2146">
        <f>VLOOKUP($A2146,'Medical Examinations'!A:C, 3, FALSE)</f>
        <v>35.86</v>
      </c>
      <c r="D2146" t="str">
        <f>VLOOKUP($A2146, 'Medical Examinations'!A:D, 4, FALSE)</f>
        <v>Normal</v>
      </c>
      <c r="E2146" t="str">
        <f>VLOOKUP($A2146, 'Medical Examinations'!A:F, 6, FALSE)</f>
        <v>No</v>
      </c>
      <c r="F2146" t="str">
        <f>VLOOKUP($A2146, 'Medical Examinations'!A:G, 7, FALSE)</f>
        <v>No</v>
      </c>
      <c r="G2146" t="str">
        <f>VLOOKUP($A2146, 'Medical Examinations'!A:H, 8, FALSE)</f>
        <v>No</v>
      </c>
      <c r="H2146">
        <f>VLOOKUP($A2146, 'Medical Examinations'!A:J, 10, FALSE)</f>
        <v>1</v>
      </c>
      <c r="I2146" t="str">
        <f>VLOOKUP($A2146, 'Medical Examinations'!A:K, 11, FALSE)</f>
        <v>No</v>
      </c>
      <c r="J2146" t="str">
        <f>VLOOKUP($A2146, 'Medical Examinations'!A:B, 2, FALSE)</f>
        <v>Obesity</v>
      </c>
      <c r="K2146" t="str">
        <f>VLOOKUP($A2146, 'Medical Examinations'!A:D, 4, FALSE)</f>
        <v>Normal</v>
      </c>
    </row>
    <row r="2147" spans="1:11" ht="15.5" x14ac:dyDescent="0.35">
      <c r="A2147" s="1" t="s">
        <v>217</v>
      </c>
      <c r="B2147" t="str">
        <f>VLOOKUP($A2147, 'Customer Names'!A:D, 3, FALSE)</f>
        <v>Laumann</v>
      </c>
      <c r="C2147">
        <f>VLOOKUP($A2147,'Medical Examinations'!A:C, 3, FALSE)</f>
        <v>40.47</v>
      </c>
      <c r="D2147" t="str">
        <f>VLOOKUP($A2147, 'Medical Examinations'!A:D, 4, FALSE)</f>
        <v>Diabetes</v>
      </c>
      <c r="E2147" t="str">
        <f>VLOOKUP($A2147, 'Medical Examinations'!A:F, 6, FALSE)</f>
        <v>No</v>
      </c>
      <c r="F2147" t="str">
        <f>VLOOKUP($A2147, 'Medical Examinations'!A:G, 7, FALSE)</f>
        <v>No</v>
      </c>
      <c r="G2147" t="str">
        <f>VLOOKUP($A2147, 'Medical Examinations'!A:H, 8, FALSE)</f>
        <v>No</v>
      </c>
      <c r="H2147" t="str">
        <f>VLOOKUP($A2147, 'Medical Examinations'!A:J, 10, FALSE)</f>
        <v>No major surgery</v>
      </c>
      <c r="I2147" t="str">
        <f>VLOOKUP($A2147, 'Medical Examinations'!A:K, 11, FALSE)</f>
        <v>No</v>
      </c>
      <c r="J2147" t="str">
        <f>VLOOKUP($A2147, 'Medical Examinations'!A:B, 2, FALSE)</f>
        <v>Obesity</v>
      </c>
      <c r="K2147" t="str">
        <f>VLOOKUP($A2147, 'Medical Examinations'!A:D, 4, FALSE)</f>
        <v>Diabetes</v>
      </c>
    </row>
    <row r="2148" spans="1:11" ht="15.5" x14ac:dyDescent="0.35">
      <c r="A2148" s="1" t="s">
        <v>216</v>
      </c>
      <c r="B2148" t="str">
        <f>VLOOKUP($A2148, 'Customer Names'!A:D, 3, FALSE)</f>
        <v>Galaviz</v>
      </c>
      <c r="C2148">
        <f>VLOOKUP($A2148,'Medical Examinations'!A:C, 3, FALSE)</f>
        <v>32.01</v>
      </c>
      <c r="D2148" t="e">
        <f>VLOOKUP($A2148, 'Medical Examinations'!A:D, 4, FALSE)</f>
        <v>#N/A</v>
      </c>
      <c r="E2148" t="str">
        <f>VLOOKUP($A2148, 'Medical Examinations'!A:F, 6, FALSE)</f>
        <v>No</v>
      </c>
      <c r="F2148" t="str">
        <f>VLOOKUP($A2148, 'Medical Examinations'!A:G, 7, FALSE)</f>
        <v>No</v>
      </c>
      <c r="G2148" t="str">
        <f>VLOOKUP($A2148, 'Medical Examinations'!A:H, 8, FALSE)</f>
        <v>No</v>
      </c>
      <c r="H2148">
        <f>VLOOKUP($A2148, 'Medical Examinations'!A:J, 10, FALSE)</f>
        <v>1</v>
      </c>
      <c r="I2148" t="str">
        <f>VLOOKUP($A2148, 'Medical Examinations'!A:K, 11, FALSE)</f>
        <v>No</v>
      </c>
      <c r="J2148" t="str">
        <f>VLOOKUP($A2148, 'Medical Examinations'!A:B, 2, FALSE)</f>
        <v>Obesity</v>
      </c>
      <c r="K2148" t="e">
        <f>VLOOKUP($A2148, 'Medical Examinations'!A:D, 4, FALSE)</f>
        <v>#N/A</v>
      </c>
    </row>
    <row r="2149" spans="1:11" ht="15.5" x14ac:dyDescent="0.35">
      <c r="A2149" s="1" t="s">
        <v>215</v>
      </c>
      <c r="B2149" t="str">
        <f>VLOOKUP($A2149, 'Customer Names'!A:D, 3, FALSE)</f>
        <v>Piper</v>
      </c>
      <c r="C2149">
        <f>VLOOKUP($A2149,'Medical Examinations'!A:C, 3, FALSE)</f>
        <v>33</v>
      </c>
      <c r="D2149" t="str">
        <f>VLOOKUP($A2149, 'Medical Examinations'!A:D, 4, FALSE)</f>
        <v>Diabetes</v>
      </c>
      <c r="E2149" t="str">
        <f>VLOOKUP($A2149, 'Medical Examinations'!A:F, 6, FALSE)</f>
        <v>No</v>
      </c>
      <c r="F2149" t="str">
        <f>VLOOKUP($A2149, 'Medical Examinations'!A:G, 7, FALSE)</f>
        <v>No</v>
      </c>
      <c r="G2149" t="str">
        <f>VLOOKUP($A2149, 'Medical Examinations'!A:H, 8, FALSE)</f>
        <v>No</v>
      </c>
      <c r="H2149" t="str">
        <f>VLOOKUP($A2149, 'Medical Examinations'!A:J, 10, FALSE)</f>
        <v>No major surgery</v>
      </c>
      <c r="I2149" t="str">
        <f>VLOOKUP($A2149, 'Medical Examinations'!A:K, 11, FALSE)</f>
        <v>No</v>
      </c>
      <c r="J2149" t="str">
        <f>VLOOKUP($A2149, 'Medical Examinations'!A:B, 2, FALSE)</f>
        <v>Obesity</v>
      </c>
      <c r="K2149" t="str">
        <f>VLOOKUP($A2149, 'Medical Examinations'!A:D, 4, FALSE)</f>
        <v>Diabetes</v>
      </c>
    </row>
    <row r="2150" spans="1:11" ht="15.5" x14ac:dyDescent="0.35">
      <c r="A2150" s="1" t="s">
        <v>214</v>
      </c>
      <c r="B2150" t="str">
        <f>VLOOKUP($A2150, 'Customer Names'!A:D, 3, FALSE)</f>
        <v>Cantini</v>
      </c>
      <c r="C2150">
        <f>VLOOKUP($A2150,'Medical Examinations'!A:C, 3, FALSE)</f>
        <v>29.3</v>
      </c>
      <c r="D2150" t="str">
        <f>VLOOKUP($A2150, 'Medical Examinations'!A:D, 4, FALSE)</f>
        <v>Prediabetes</v>
      </c>
      <c r="E2150" t="str">
        <f>VLOOKUP($A2150, 'Medical Examinations'!A:F, 6, FALSE)</f>
        <v>No</v>
      </c>
      <c r="F2150" t="str">
        <f>VLOOKUP($A2150, 'Medical Examinations'!A:G, 7, FALSE)</f>
        <v>No</v>
      </c>
      <c r="G2150" t="str">
        <f>VLOOKUP($A2150, 'Medical Examinations'!A:H, 8, FALSE)</f>
        <v>No</v>
      </c>
      <c r="H2150">
        <f>VLOOKUP($A2150, 'Medical Examinations'!A:J, 10, FALSE)</f>
        <v>1</v>
      </c>
      <c r="I2150" t="str">
        <f>VLOOKUP($A2150, 'Medical Examinations'!A:K, 11, FALSE)</f>
        <v>No</v>
      </c>
      <c r="J2150" t="str">
        <f>VLOOKUP($A2150, 'Medical Examinations'!A:B, 2, FALSE)</f>
        <v>Overweight</v>
      </c>
      <c r="K2150" t="str">
        <f>VLOOKUP($A2150, 'Medical Examinations'!A:D, 4, FALSE)</f>
        <v>Prediabetes</v>
      </c>
    </row>
    <row r="2151" spans="1:11" ht="15.5" x14ac:dyDescent="0.35">
      <c r="A2151" s="1" t="s">
        <v>213</v>
      </c>
      <c r="B2151" t="str">
        <f>VLOOKUP($A2151, 'Customer Names'!A:D, 3, FALSE)</f>
        <v>Hartman</v>
      </c>
      <c r="C2151">
        <f>VLOOKUP($A2151,'Medical Examinations'!A:C, 3, FALSE)</f>
        <v>25.8</v>
      </c>
      <c r="D2151" t="str">
        <f>VLOOKUP($A2151, 'Medical Examinations'!A:D, 4, FALSE)</f>
        <v>Normal</v>
      </c>
      <c r="E2151" t="str">
        <f>VLOOKUP($A2151, 'Medical Examinations'!A:F, 6, FALSE)</f>
        <v>No</v>
      </c>
      <c r="F2151" t="str">
        <f>VLOOKUP($A2151, 'Medical Examinations'!A:G, 7, FALSE)</f>
        <v>No</v>
      </c>
      <c r="G2151" t="str">
        <f>VLOOKUP($A2151, 'Medical Examinations'!A:H, 8, FALSE)</f>
        <v>No</v>
      </c>
      <c r="H2151">
        <f>VLOOKUP($A2151, 'Medical Examinations'!A:J, 10, FALSE)</f>
        <v>1</v>
      </c>
      <c r="I2151" t="str">
        <f>VLOOKUP($A2151, 'Medical Examinations'!A:K, 11, FALSE)</f>
        <v>No</v>
      </c>
      <c r="J2151" t="str">
        <f>VLOOKUP($A2151, 'Medical Examinations'!A:B, 2, FALSE)</f>
        <v>Overweight</v>
      </c>
      <c r="K2151" t="str">
        <f>VLOOKUP($A2151, 'Medical Examinations'!A:D, 4, FALSE)</f>
        <v>Normal</v>
      </c>
    </row>
    <row r="2152" spans="1:11" ht="15.5" x14ac:dyDescent="0.35">
      <c r="A2152" s="1" t="s">
        <v>212</v>
      </c>
      <c r="B2152" t="str">
        <f>VLOOKUP($A2152, 'Customer Names'!A:D, 3, FALSE)</f>
        <v>Werhane</v>
      </c>
      <c r="C2152">
        <f>VLOOKUP($A2152,'Medical Examinations'!A:C, 3, FALSE)</f>
        <v>23.4</v>
      </c>
      <c r="D2152" t="str">
        <f>VLOOKUP($A2152, 'Medical Examinations'!A:D, 4, FALSE)</f>
        <v>Normal</v>
      </c>
      <c r="E2152" t="str">
        <f>VLOOKUP($A2152, 'Medical Examinations'!A:F, 6, FALSE)</f>
        <v>No</v>
      </c>
      <c r="F2152" t="str">
        <f>VLOOKUP($A2152, 'Medical Examinations'!A:G, 7, FALSE)</f>
        <v>No</v>
      </c>
      <c r="G2152" t="str">
        <f>VLOOKUP($A2152, 'Medical Examinations'!A:H, 8, FALSE)</f>
        <v>No</v>
      </c>
      <c r="H2152">
        <f>VLOOKUP($A2152, 'Medical Examinations'!A:J, 10, FALSE)</f>
        <v>1</v>
      </c>
      <c r="I2152" t="str">
        <f>VLOOKUP($A2152, 'Medical Examinations'!A:K, 11, FALSE)</f>
        <v>No</v>
      </c>
      <c r="J2152" t="str">
        <f>VLOOKUP($A2152, 'Medical Examinations'!A:B, 2, FALSE)</f>
        <v>Normal Weight</v>
      </c>
      <c r="K2152" t="str">
        <f>VLOOKUP($A2152, 'Medical Examinations'!A:D, 4, FALSE)</f>
        <v>Normal</v>
      </c>
    </row>
    <row r="2153" spans="1:11" ht="15.5" x14ac:dyDescent="0.35">
      <c r="A2153" s="1" t="s">
        <v>211</v>
      </c>
      <c r="B2153" t="str">
        <f>VLOOKUP($A2153, 'Customer Names'!A:D, 3, FALSE)</f>
        <v>Davies</v>
      </c>
      <c r="C2153">
        <f>VLOOKUP($A2153,'Medical Examinations'!A:C, 3, FALSE)</f>
        <v>27.93</v>
      </c>
      <c r="D2153" t="str">
        <f>VLOOKUP($A2153, 'Medical Examinations'!A:D, 4, FALSE)</f>
        <v>Diabetes</v>
      </c>
      <c r="E2153" t="str">
        <f>VLOOKUP($A2153, 'Medical Examinations'!A:F, 6, FALSE)</f>
        <v>No</v>
      </c>
      <c r="F2153" t="str">
        <f>VLOOKUP($A2153, 'Medical Examinations'!A:G, 7, FALSE)</f>
        <v>No</v>
      </c>
      <c r="G2153" t="str">
        <f>VLOOKUP($A2153, 'Medical Examinations'!A:H, 8, FALSE)</f>
        <v>No</v>
      </c>
      <c r="H2153" t="str">
        <f>VLOOKUP($A2153, 'Medical Examinations'!A:J, 10, FALSE)</f>
        <v>No major surgery</v>
      </c>
      <c r="I2153" t="str">
        <f>VLOOKUP($A2153, 'Medical Examinations'!A:K, 11, FALSE)</f>
        <v>No</v>
      </c>
      <c r="J2153" t="str">
        <f>VLOOKUP($A2153, 'Medical Examinations'!A:B, 2, FALSE)</f>
        <v>Overweight</v>
      </c>
      <c r="K2153" t="str">
        <f>VLOOKUP($A2153, 'Medical Examinations'!A:D, 4, FALSE)</f>
        <v>Diabetes</v>
      </c>
    </row>
    <row r="2154" spans="1:11" ht="15.5" x14ac:dyDescent="0.35">
      <c r="A2154" s="1" t="s">
        <v>210</v>
      </c>
      <c r="B2154" t="str">
        <f>VLOOKUP($A2154, 'Customer Names'!A:D, 3, FALSE)</f>
        <v>Hummel</v>
      </c>
      <c r="C2154">
        <f>VLOOKUP($A2154,'Medical Examinations'!A:C, 3, FALSE)</f>
        <v>22</v>
      </c>
      <c r="D2154" t="str">
        <f>VLOOKUP($A2154, 'Medical Examinations'!A:D, 4, FALSE)</f>
        <v>Diabetes</v>
      </c>
      <c r="E2154" t="str">
        <f>VLOOKUP($A2154, 'Medical Examinations'!A:F, 6, FALSE)</f>
        <v>No</v>
      </c>
      <c r="F2154" t="str">
        <f>VLOOKUP($A2154, 'Medical Examinations'!A:G, 7, FALSE)</f>
        <v>No</v>
      </c>
      <c r="G2154" t="str">
        <f>VLOOKUP($A2154, 'Medical Examinations'!A:H, 8, FALSE)</f>
        <v>No</v>
      </c>
      <c r="H2154" t="str">
        <f>VLOOKUP($A2154, 'Medical Examinations'!A:J, 10, FALSE)</f>
        <v>No major surgery</v>
      </c>
      <c r="I2154" t="str">
        <f>VLOOKUP($A2154, 'Medical Examinations'!A:K, 11, FALSE)</f>
        <v>No</v>
      </c>
      <c r="J2154" t="str">
        <f>VLOOKUP($A2154, 'Medical Examinations'!A:B, 2, FALSE)</f>
        <v>Normal Weight</v>
      </c>
      <c r="K2154" t="str">
        <f>VLOOKUP($A2154, 'Medical Examinations'!A:D, 4, FALSE)</f>
        <v>Diabetes</v>
      </c>
    </row>
    <row r="2155" spans="1:11" ht="15.5" x14ac:dyDescent="0.35">
      <c r="A2155" s="1" t="s">
        <v>209</v>
      </c>
      <c r="B2155" t="str">
        <f>VLOOKUP($A2155, 'Customer Names'!A:D, 3, FALSE)</f>
        <v>Lutz</v>
      </c>
      <c r="C2155">
        <f>VLOOKUP($A2155,'Medical Examinations'!A:C, 3, FALSE)</f>
        <v>36.86</v>
      </c>
      <c r="D2155" t="str">
        <f>VLOOKUP($A2155, 'Medical Examinations'!A:D, 4, FALSE)</f>
        <v>Normal</v>
      </c>
      <c r="E2155" t="str">
        <f>VLOOKUP($A2155, 'Medical Examinations'!A:F, 6, FALSE)</f>
        <v>yes</v>
      </c>
      <c r="F2155" t="str">
        <f>VLOOKUP($A2155, 'Medical Examinations'!A:G, 7, FALSE)</f>
        <v>No</v>
      </c>
      <c r="G2155" t="str">
        <f>VLOOKUP($A2155, 'Medical Examinations'!A:H, 8, FALSE)</f>
        <v>No</v>
      </c>
      <c r="H2155" t="str">
        <f>VLOOKUP($A2155, 'Medical Examinations'!A:J, 10, FALSE)</f>
        <v>No major surgery</v>
      </c>
      <c r="I2155" t="str">
        <f>VLOOKUP($A2155, 'Medical Examinations'!A:K, 11, FALSE)</f>
        <v>No</v>
      </c>
      <c r="J2155" t="str">
        <f>VLOOKUP($A2155, 'Medical Examinations'!A:B, 2, FALSE)</f>
        <v>Obesity</v>
      </c>
      <c r="K2155" t="str">
        <f>VLOOKUP($A2155, 'Medical Examinations'!A:D, 4, FALSE)</f>
        <v>Normal</v>
      </c>
    </row>
    <row r="2156" spans="1:11" ht="15.5" x14ac:dyDescent="0.35">
      <c r="A2156" s="1" t="s">
        <v>208</v>
      </c>
      <c r="B2156" t="str">
        <f>VLOOKUP($A2156, 'Customer Names'!A:D, 3, FALSE)</f>
        <v>Waters</v>
      </c>
      <c r="C2156">
        <f>VLOOKUP($A2156,'Medical Examinations'!A:C, 3, FALSE)</f>
        <v>31.254999999999999</v>
      </c>
      <c r="D2156" t="str">
        <f>VLOOKUP($A2156, 'Medical Examinations'!A:D, 4, FALSE)</f>
        <v>Normal</v>
      </c>
      <c r="E2156" t="str">
        <f>VLOOKUP($A2156, 'Medical Examinations'!A:F, 6, FALSE)</f>
        <v>yes</v>
      </c>
      <c r="F2156" t="str">
        <f>VLOOKUP($A2156, 'Medical Examinations'!A:G, 7, FALSE)</f>
        <v>No</v>
      </c>
      <c r="G2156" t="str">
        <f>VLOOKUP($A2156, 'Medical Examinations'!A:H, 8, FALSE)</f>
        <v>No</v>
      </c>
      <c r="H2156" t="str">
        <f>VLOOKUP($A2156, 'Medical Examinations'!A:J, 10, FALSE)</f>
        <v>No major surgery</v>
      </c>
      <c r="I2156" t="str">
        <f>VLOOKUP($A2156, 'Medical Examinations'!A:K, 11, FALSE)</f>
        <v>No</v>
      </c>
      <c r="J2156" t="str">
        <f>VLOOKUP($A2156, 'Medical Examinations'!A:B, 2, FALSE)</f>
        <v>Obesity</v>
      </c>
      <c r="K2156" t="str">
        <f>VLOOKUP($A2156, 'Medical Examinations'!A:D, 4, FALSE)</f>
        <v>Normal</v>
      </c>
    </row>
    <row r="2157" spans="1:11" ht="15.5" x14ac:dyDescent="0.35">
      <c r="A2157" s="1" t="s">
        <v>207</v>
      </c>
      <c r="B2157" t="str">
        <f>VLOOKUP($A2157, 'Customer Names'!A:D, 3, FALSE)</f>
        <v>Viglienzoni</v>
      </c>
      <c r="C2157">
        <f>VLOOKUP($A2157,'Medical Examinations'!A:C, 3, FALSE)</f>
        <v>23.06</v>
      </c>
      <c r="D2157" t="str">
        <f>VLOOKUP($A2157, 'Medical Examinations'!A:D, 4, FALSE)</f>
        <v>Normal</v>
      </c>
      <c r="E2157" t="str">
        <f>VLOOKUP($A2157, 'Medical Examinations'!A:F, 6, FALSE)</f>
        <v>No</v>
      </c>
      <c r="F2157" t="str">
        <f>VLOOKUP($A2157, 'Medical Examinations'!A:G, 7, FALSE)</f>
        <v>No</v>
      </c>
      <c r="G2157" t="str">
        <f>VLOOKUP($A2157, 'Medical Examinations'!A:H, 8, FALSE)</f>
        <v>No</v>
      </c>
      <c r="H2157" t="str">
        <f>VLOOKUP($A2157, 'Medical Examinations'!A:J, 10, FALSE)</f>
        <v>No major surgery</v>
      </c>
      <c r="I2157" t="str">
        <f>VLOOKUP($A2157, 'Medical Examinations'!A:K, 11, FALSE)</f>
        <v>No</v>
      </c>
      <c r="J2157" t="str">
        <f>VLOOKUP($A2157, 'Medical Examinations'!A:B, 2, FALSE)</f>
        <v>Normal Weight</v>
      </c>
      <c r="K2157" t="str">
        <f>VLOOKUP($A2157, 'Medical Examinations'!A:D, 4, FALSE)</f>
        <v>Normal</v>
      </c>
    </row>
    <row r="2158" spans="1:11" ht="15.5" x14ac:dyDescent="0.35">
      <c r="A2158" s="1" t="s">
        <v>206</v>
      </c>
      <c r="B2158" t="str">
        <f>VLOOKUP($A2158, 'Customer Names'!A:D, 3, FALSE)</f>
        <v>Rathbun</v>
      </c>
      <c r="C2158">
        <f>VLOOKUP($A2158,'Medical Examinations'!A:C, 3, FALSE)</f>
        <v>28.975000000000001</v>
      </c>
      <c r="D2158" t="str">
        <f>VLOOKUP($A2158, 'Medical Examinations'!A:D, 4, FALSE)</f>
        <v>Normal</v>
      </c>
      <c r="E2158" t="str">
        <f>VLOOKUP($A2158, 'Medical Examinations'!A:F, 6, FALSE)</f>
        <v>yes</v>
      </c>
      <c r="F2158" t="str">
        <f>VLOOKUP($A2158, 'Medical Examinations'!A:G, 7, FALSE)</f>
        <v>No</v>
      </c>
      <c r="G2158" t="str">
        <f>VLOOKUP($A2158, 'Medical Examinations'!A:H, 8, FALSE)</f>
        <v>No</v>
      </c>
      <c r="H2158" t="str">
        <f>VLOOKUP($A2158, 'Medical Examinations'!A:J, 10, FALSE)</f>
        <v>No major surgery</v>
      </c>
      <c r="I2158" t="str">
        <f>VLOOKUP($A2158, 'Medical Examinations'!A:K, 11, FALSE)</f>
        <v>No</v>
      </c>
      <c r="J2158" t="str">
        <f>VLOOKUP($A2158, 'Medical Examinations'!A:B, 2, FALSE)</f>
        <v>Overweight</v>
      </c>
      <c r="K2158" t="str">
        <f>VLOOKUP($A2158, 'Medical Examinations'!A:D, 4, FALSE)</f>
        <v>Normal</v>
      </c>
    </row>
    <row r="2159" spans="1:11" ht="15.5" x14ac:dyDescent="0.35">
      <c r="A2159" s="1" t="s">
        <v>205</v>
      </c>
      <c r="B2159" t="str">
        <f>VLOOKUP($A2159, 'Customer Names'!A:D, 3, FALSE)</f>
        <v>crane</v>
      </c>
      <c r="C2159">
        <f>VLOOKUP($A2159,'Medical Examinations'!A:C, 3, FALSE)</f>
        <v>33.299999999999997</v>
      </c>
      <c r="D2159" t="str">
        <f>VLOOKUP($A2159, 'Medical Examinations'!A:D, 4, FALSE)</f>
        <v>Diabetes</v>
      </c>
      <c r="E2159" t="str">
        <f>VLOOKUP($A2159, 'Medical Examinations'!A:F, 6, FALSE)</f>
        <v>No</v>
      </c>
      <c r="F2159" t="str">
        <f>VLOOKUP($A2159, 'Medical Examinations'!A:G, 7, FALSE)</f>
        <v>No</v>
      </c>
      <c r="G2159" t="str">
        <f>VLOOKUP($A2159, 'Medical Examinations'!A:H, 8, FALSE)</f>
        <v>No</v>
      </c>
      <c r="H2159" t="str">
        <f>VLOOKUP($A2159, 'Medical Examinations'!A:J, 10, FALSE)</f>
        <v>No major surgery</v>
      </c>
      <c r="I2159" t="str">
        <f>VLOOKUP($A2159, 'Medical Examinations'!A:K, 11, FALSE)</f>
        <v>No</v>
      </c>
      <c r="J2159" t="str">
        <f>VLOOKUP($A2159, 'Medical Examinations'!A:B, 2, FALSE)</f>
        <v>Obesity</v>
      </c>
      <c r="K2159" t="str">
        <f>VLOOKUP($A2159, 'Medical Examinations'!A:D, 4, FALSE)</f>
        <v>Diabetes</v>
      </c>
    </row>
    <row r="2160" spans="1:11" ht="15.5" x14ac:dyDescent="0.35">
      <c r="A2160" s="1" t="s">
        <v>204</v>
      </c>
      <c r="B2160" t="str">
        <f>VLOOKUP($A2160, 'Customer Names'!A:D, 3, FALSE)</f>
        <v>Conant</v>
      </c>
      <c r="C2160">
        <f>VLOOKUP($A2160,'Medical Examinations'!A:C, 3, FALSE)</f>
        <v>33</v>
      </c>
      <c r="D2160" t="str">
        <f>VLOOKUP($A2160, 'Medical Examinations'!A:D, 4, FALSE)</f>
        <v>Diabetes</v>
      </c>
      <c r="E2160" t="str">
        <f>VLOOKUP($A2160, 'Medical Examinations'!A:F, 6, FALSE)</f>
        <v>No</v>
      </c>
      <c r="F2160" t="str">
        <f>VLOOKUP($A2160, 'Medical Examinations'!A:G, 7, FALSE)</f>
        <v>No</v>
      </c>
      <c r="G2160" t="str">
        <f>VLOOKUP($A2160, 'Medical Examinations'!A:H, 8, FALSE)</f>
        <v>No</v>
      </c>
      <c r="H2160" t="str">
        <f>VLOOKUP($A2160, 'Medical Examinations'!A:J, 10, FALSE)</f>
        <v>No major surgery</v>
      </c>
      <c r="I2160" t="str">
        <f>VLOOKUP($A2160, 'Medical Examinations'!A:K, 11, FALSE)</f>
        <v>No</v>
      </c>
      <c r="J2160" t="str">
        <f>VLOOKUP($A2160, 'Medical Examinations'!A:B, 2, FALSE)</f>
        <v>Obesity</v>
      </c>
      <c r="K2160" t="str">
        <f>VLOOKUP($A2160, 'Medical Examinations'!A:D, 4, FALSE)</f>
        <v>Diabetes</v>
      </c>
    </row>
    <row r="2161" spans="1:11" ht="15.5" x14ac:dyDescent="0.35">
      <c r="A2161" s="1" t="s">
        <v>203</v>
      </c>
      <c r="B2161" t="str">
        <f>VLOOKUP($A2161, 'Customer Names'!A:D, 3, FALSE)</f>
        <v>Huyser-Wierenga</v>
      </c>
      <c r="C2161">
        <f>VLOOKUP($A2161,'Medical Examinations'!A:C, 3, FALSE)</f>
        <v>31.46</v>
      </c>
      <c r="D2161" t="str">
        <f>VLOOKUP($A2161, 'Medical Examinations'!A:D, 4, FALSE)</f>
        <v>Diabetes</v>
      </c>
      <c r="E2161" t="str">
        <f>VLOOKUP($A2161, 'Medical Examinations'!A:F, 6, FALSE)</f>
        <v>No</v>
      </c>
      <c r="F2161" t="str">
        <f>VLOOKUP($A2161, 'Medical Examinations'!A:G, 7, FALSE)</f>
        <v>No</v>
      </c>
      <c r="G2161" t="str">
        <f>VLOOKUP($A2161, 'Medical Examinations'!A:H, 8, FALSE)</f>
        <v>No</v>
      </c>
      <c r="H2161" t="str">
        <f>VLOOKUP($A2161, 'Medical Examinations'!A:J, 10, FALSE)</f>
        <v>No major surgery</v>
      </c>
      <c r="I2161" t="str">
        <f>VLOOKUP($A2161, 'Medical Examinations'!A:K, 11, FALSE)</f>
        <v>No</v>
      </c>
      <c r="J2161" t="str">
        <f>VLOOKUP($A2161, 'Medical Examinations'!A:B, 2, FALSE)</f>
        <v>Obesity</v>
      </c>
      <c r="K2161" t="str">
        <f>VLOOKUP($A2161, 'Medical Examinations'!A:D, 4, FALSE)</f>
        <v>Diabetes</v>
      </c>
    </row>
    <row r="2162" spans="1:11" ht="15.5" x14ac:dyDescent="0.35">
      <c r="A2162" s="1" t="s">
        <v>202</v>
      </c>
      <c r="B2162" t="str">
        <f>VLOOKUP($A2162, 'Customer Names'!A:D, 3, FALSE)</f>
        <v>Natalini</v>
      </c>
      <c r="C2162">
        <f>VLOOKUP($A2162,'Medical Examinations'!A:C, 3, FALSE)</f>
        <v>29.6</v>
      </c>
      <c r="D2162" t="str">
        <f>VLOOKUP($A2162, 'Medical Examinations'!A:D, 4, FALSE)</f>
        <v>Diabetes</v>
      </c>
      <c r="E2162" t="str">
        <f>VLOOKUP($A2162, 'Medical Examinations'!A:F, 6, FALSE)</f>
        <v>No</v>
      </c>
      <c r="F2162" t="str">
        <f>VLOOKUP($A2162, 'Medical Examinations'!A:G, 7, FALSE)</f>
        <v>No</v>
      </c>
      <c r="G2162" t="str">
        <f>VLOOKUP($A2162, 'Medical Examinations'!A:H, 8, FALSE)</f>
        <v>No</v>
      </c>
      <c r="H2162" t="str">
        <f>VLOOKUP($A2162, 'Medical Examinations'!A:J, 10, FALSE)</f>
        <v>No major surgery</v>
      </c>
      <c r="I2162" t="str">
        <f>VLOOKUP($A2162, 'Medical Examinations'!A:K, 11, FALSE)</f>
        <v>No</v>
      </c>
      <c r="J2162" t="str">
        <f>VLOOKUP($A2162, 'Medical Examinations'!A:B, 2, FALSE)</f>
        <v>Overweight</v>
      </c>
      <c r="K2162" t="str">
        <f>VLOOKUP($A2162, 'Medical Examinations'!A:D, 4, FALSE)</f>
        <v>Diabetes</v>
      </c>
    </row>
    <row r="2163" spans="1:11" ht="15.5" x14ac:dyDescent="0.35">
      <c r="A2163" s="1" t="s">
        <v>201</v>
      </c>
      <c r="B2163" t="str">
        <f>VLOOKUP($A2163, 'Customer Names'!A:D, 3, FALSE)</f>
        <v>Robbins</v>
      </c>
      <c r="C2163">
        <f>VLOOKUP($A2163,'Medical Examinations'!A:C, 3, FALSE)</f>
        <v>22.05</v>
      </c>
      <c r="D2163" t="str">
        <f>VLOOKUP($A2163, 'Medical Examinations'!A:D, 4, FALSE)</f>
        <v>Normal</v>
      </c>
      <c r="E2163" t="str">
        <f>VLOOKUP($A2163, 'Medical Examinations'!A:F, 6, FALSE)</f>
        <v>yes</v>
      </c>
      <c r="F2163" t="str">
        <f>VLOOKUP($A2163, 'Medical Examinations'!A:G, 7, FALSE)</f>
        <v>No</v>
      </c>
      <c r="G2163" t="str">
        <f>VLOOKUP($A2163, 'Medical Examinations'!A:H, 8, FALSE)</f>
        <v>No</v>
      </c>
      <c r="H2163" t="str">
        <f>VLOOKUP($A2163, 'Medical Examinations'!A:J, 10, FALSE)</f>
        <v>No major surgery</v>
      </c>
      <c r="I2163" t="str">
        <f>VLOOKUP($A2163, 'Medical Examinations'!A:K, 11, FALSE)</f>
        <v>No</v>
      </c>
      <c r="J2163" t="str">
        <f>VLOOKUP($A2163, 'Medical Examinations'!A:B, 2, FALSE)</f>
        <v>Normal Weight</v>
      </c>
      <c r="K2163" t="str">
        <f>VLOOKUP($A2163, 'Medical Examinations'!A:D, 4, FALSE)</f>
        <v>Normal</v>
      </c>
    </row>
    <row r="2164" spans="1:11" ht="15.5" x14ac:dyDescent="0.35">
      <c r="A2164" s="1" t="s">
        <v>199</v>
      </c>
      <c r="B2164" t="str">
        <f>VLOOKUP($A2164, 'Customer Names'!A:D, 3, FALSE)</f>
        <v>Stanislav</v>
      </c>
      <c r="C2164">
        <f>VLOOKUP($A2164,'Medical Examinations'!A:C, 3, FALSE)</f>
        <v>27.06</v>
      </c>
      <c r="D2164" t="str">
        <f>VLOOKUP($A2164, 'Medical Examinations'!A:D, 4, FALSE)</f>
        <v>Prediabetes</v>
      </c>
      <c r="E2164" t="str">
        <f>VLOOKUP($A2164, 'Medical Examinations'!A:F, 6, FALSE)</f>
        <v>No</v>
      </c>
      <c r="F2164" t="str">
        <f>VLOOKUP($A2164, 'Medical Examinations'!A:G, 7, FALSE)</f>
        <v>yes</v>
      </c>
      <c r="G2164" t="str">
        <f>VLOOKUP($A2164, 'Medical Examinations'!A:H, 8, FALSE)</f>
        <v>No</v>
      </c>
      <c r="H2164">
        <f>VLOOKUP($A2164, 'Medical Examinations'!A:J, 10, FALSE)</f>
        <v>1</v>
      </c>
      <c r="I2164" t="str">
        <f>VLOOKUP($A2164, 'Medical Examinations'!A:K, 11, FALSE)</f>
        <v>No</v>
      </c>
      <c r="J2164" t="str">
        <f>VLOOKUP($A2164, 'Medical Examinations'!A:B, 2, FALSE)</f>
        <v>Overweight</v>
      </c>
      <c r="K2164" t="str">
        <f>VLOOKUP($A2164, 'Medical Examinations'!A:D, 4, FALSE)</f>
        <v>Prediabetes</v>
      </c>
    </row>
    <row r="2165" spans="1:11" ht="15.5" x14ac:dyDescent="0.35">
      <c r="A2165" s="1" t="s">
        <v>198</v>
      </c>
      <c r="B2165" t="str">
        <f>VLOOKUP($A2165, 'Customer Names'!A:D, 3, FALSE)</f>
        <v>Meyer</v>
      </c>
      <c r="C2165">
        <f>VLOOKUP($A2165,'Medical Examinations'!A:C, 3, FALSE)</f>
        <v>20.49</v>
      </c>
      <c r="D2165" t="str">
        <f>VLOOKUP($A2165, 'Medical Examinations'!A:D, 4, FALSE)</f>
        <v>Normal</v>
      </c>
      <c r="E2165" t="str">
        <f>VLOOKUP($A2165, 'Medical Examinations'!A:F, 6, FALSE)</f>
        <v>No</v>
      </c>
      <c r="F2165" t="str">
        <f>VLOOKUP($A2165, 'Medical Examinations'!A:G, 7, FALSE)</f>
        <v>No</v>
      </c>
      <c r="G2165" t="str">
        <f>VLOOKUP($A2165, 'Medical Examinations'!A:H, 8, FALSE)</f>
        <v>No</v>
      </c>
      <c r="H2165" t="str">
        <f>VLOOKUP($A2165, 'Medical Examinations'!A:J, 10, FALSE)</f>
        <v>No major surgery</v>
      </c>
      <c r="I2165" t="str">
        <f>VLOOKUP($A2165, 'Medical Examinations'!A:K, 11, FALSE)</f>
        <v>No</v>
      </c>
      <c r="J2165" t="str">
        <f>VLOOKUP($A2165, 'Medical Examinations'!A:B, 2, FALSE)</f>
        <v>Normal Weight</v>
      </c>
      <c r="K2165" t="str">
        <f>VLOOKUP($A2165, 'Medical Examinations'!A:D, 4, FALSE)</f>
        <v>Normal</v>
      </c>
    </row>
    <row r="2166" spans="1:11" ht="15.5" x14ac:dyDescent="0.35">
      <c r="A2166" s="1" t="s">
        <v>197</v>
      </c>
      <c r="B2166" t="str">
        <f>VLOOKUP($A2166, 'Customer Names'!A:D, 3, FALSE)</f>
        <v>Mears</v>
      </c>
      <c r="C2166">
        <f>VLOOKUP($A2166,'Medical Examinations'!A:C, 3, FALSE)</f>
        <v>28.4</v>
      </c>
      <c r="D2166" t="str">
        <f>VLOOKUP($A2166, 'Medical Examinations'!A:D, 4, FALSE)</f>
        <v>Normal</v>
      </c>
      <c r="E2166" t="str">
        <f>VLOOKUP($A2166, 'Medical Examinations'!A:F, 6, FALSE)</f>
        <v>No</v>
      </c>
      <c r="F2166" t="str">
        <f>VLOOKUP($A2166, 'Medical Examinations'!A:G, 7, FALSE)</f>
        <v>No</v>
      </c>
      <c r="G2166" t="str">
        <f>VLOOKUP($A2166, 'Medical Examinations'!A:H, 8, FALSE)</f>
        <v>Yes</v>
      </c>
      <c r="H2166">
        <f>VLOOKUP($A2166, 'Medical Examinations'!A:J, 10, FALSE)</f>
        <v>1</v>
      </c>
      <c r="I2166" t="str">
        <f>VLOOKUP($A2166, 'Medical Examinations'!A:K, 11, FALSE)</f>
        <v>No</v>
      </c>
      <c r="J2166" t="str">
        <f>VLOOKUP($A2166, 'Medical Examinations'!A:B, 2, FALSE)</f>
        <v>Overweight</v>
      </c>
      <c r="K2166" t="str">
        <f>VLOOKUP($A2166, 'Medical Examinations'!A:D, 4, FALSE)</f>
        <v>Normal</v>
      </c>
    </row>
    <row r="2167" spans="1:11" ht="15.5" x14ac:dyDescent="0.35">
      <c r="A2167" s="1" t="s">
        <v>196</v>
      </c>
      <c r="B2167" t="str">
        <f>VLOOKUP($A2167, 'Customer Names'!A:D, 3, FALSE)</f>
        <v>Neill</v>
      </c>
      <c r="C2167">
        <f>VLOOKUP($A2167,'Medical Examinations'!A:C, 3, FALSE)</f>
        <v>41.91</v>
      </c>
      <c r="D2167" t="str">
        <f>VLOOKUP($A2167, 'Medical Examinations'!A:D, 4, FALSE)</f>
        <v>Prediabetes</v>
      </c>
      <c r="E2167" t="str">
        <f>VLOOKUP($A2167, 'Medical Examinations'!A:F, 6, FALSE)</f>
        <v>No</v>
      </c>
      <c r="F2167" t="str">
        <f>VLOOKUP($A2167, 'Medical Examinations'!A:G, 7, FALSE)</f>
        <v>No</v>
      </c>
      <c r="G2167" t="str">
        <f>VLOOKUP($A2167, 'Medical Examinations'!A:H, 8, FALSE)</f>
        <v>No</v>
      </c>
      <c r="H2167" t="str">
        <f>VLOOKUP($A2167, 'Medical Examinations'!A:J, 10, FALSE)</f>
        <v>No major surgery</v>
      </c>
      <c r="I2167" t="str">
        <f>VLOOKUP($A2167, 'Medical Examinations'!A:K, 11, FALSE)</f>
        <v>No</v>
      </c>
      <c r="J2167" t="str">
        <f>VLOOKUP($A2167, 'Medical Examinations'!A:B, 2, FALSE)</f>
        <v>Obesity</v>
      </c>
      <c r="K2167" t="str">
        <f>VLOOKUP($A2167, 'Medical Examinations'!A:D, 4, FALSE)</f>
        <v>Prediabetes</v>
      </c>
    </row>
    <row r="2168" spans="1:11" ht="15.5" x14ac:dyDescent="0.35">
      <c r="A2168" s="1" t="s">
        <v>195</v>
      </c>
      <c r="B2168" t="str">
        <f>VLOOKUP($A2168, 'Customer Names'!A:D, 3, FALSE)</f>
        <v>Tola</v>
      </c>
      <c r="C2168">
        <f>VLOOKUP($A2168,'Medical Examinations'!A:C, 3, FALSE)</f>
        <v>24.6</v>
      </c>
      <c r="D2168" t="str">
        <f>VLOOKUP($A2168, 'Medical Examinations'!A:D, 4, FALSE)</f>
        <v>Prediabetes</v>
      </c>
      <c r="E2168" t="str">
        <f>VLOOKUP($A2168, 'Medical Examinations'!A:F, 6, FALSE)</f>
        <v>No</v>
      </c>
      <c r="F2168" t="str">
        <f>VLOOKUP($A2168, 'Medical Examinations'!A:G, 7, FALSE)</f>
        <v>No</v>
      </c>
      <c r="G2168" t="str">
        <f>VLOOKUP($A2168, 'Medical Examinations'!A:H, 8, FALSE)</f>
        <v>Yes</v>
      </c>
      <c r="H2168">
        <f>VLOOKUP($A2168, 'Medical Examinations'!A:J, 10, FALSE)</f>
        <v>1</v>
      </c>
      <c r="I2168" t="str">
        <f>VLOOKUP($A2168, 'Medical Examinations'!A:K, 11, FALSE)</f>
        <v>No</v>
      </c>
      <c r="J2168" t="str">
        <f>VLOOKUP($A2168, 'Medical Examinations'!A:B, 2, FALSE)</f>
        <v>Normal Weight</v>
      </c>
      <c r="K2168" t="str">
        <f>VLOOKUP($A2168, 'Medical Examinations'!A:D, 4, FALSE)</f>
        <v>Prediabetes</v>
      </c>
    </row>
    <row r="2169" spans="1:11" ht="15.5" x14ac:dyDescent="0.35">
      <c r="A2169" s="1" t="s">
        <v>194</v>
      </c>
      <c r="B2169" t="str">
        <f>VLOOKUP($A2169, 'Customer Names'!A:D, 3, FALSE)</f>
        <v>Briskman</v>
      </c>
      <c r="C2169">
        <f>VLOOKUP($A2169,'Medical Examinations'!A:C, 3, FALSE)</f>
        <v>20.9</v>
      </c>
      <c r="D2169" t="str">
        <f>VLOOKUP($A2169, 'Medical Examinations'!A:D, 4, FALSE)</f>
        <v>Normal</v>
      </c>
      <c r="E2169" t="str">
        <f>VLOOKUP($A2169, 'Medical Examinations'!A:F, 6, FALSE)</f>
        <v>No</v>
      </c>
      <c r="F2169" t="str">
        <f>VLOOKUP($A2169, 'Medical Examinations'!A:G, 7, FALSE)</f>
        <v>No</v>
      </c>
      <c r="G2169" t="str">
        <f>VLOOKUP($A2169, 'Medical Examinations'!A:H, 8, FALSE)</f>
        <v>Yes</v>
      </c>
      <c r="H2169">
        <f>VLOOKUP($A2169, 'Medical Examinations'!A:J, 10, FALSE)</f>
        <v>1</v>
      </c>
      <c r="I2169" t="str">
        <f>VLOOKUP($A2169, 'Medical Examinations'!A:K, 11, FALSE)</f>
        <v>No</v>
      </c>
      <c r="J2169" t="str">
        <f>VLOOKUP($A2169, 'Medical Examinations'!A:B, 2, FALSE)</f>
        <v>Normal Weight</v>
      </c>
      <c r="K2169" t="str">
        <f>VLOOKUP($A2169, 'Medical Examinations'!A:D, 4, FALSE)</f>
        <v>Normal</v>
      </c>
    </row>
    <row r="2170" spans="1:11" ht="15.5" x14ac:dyDescent="0.35">
      <c r="A2170" s="1" t="s">
        <v>193</v>
      </c>
      <c r="B2170" t="str">
        <f>VLOOKUP($A2170, 'Customer Names'!A:D, 3, FALSE)</f>
        <v>Ritzenhein</v>
      </c>
      <c r="C2170">
        <f>VLOOKUP($A2170,'Medical Examinations'!A:C, 3, FALSE)</f>
        <v>34.4</v>
      </c>
      <c r="D2170" t="str">
        <f>VLOOKUP($A2170, 'Medical Examinations'!A:D, 4, FALSE)</f>
        <v>Normal</v>
      </c>
      <c r="E2170" t="str">
        <f>VLOOKUP($A2170, 'Medical Examinations'!A:F, 6, FALSE)</f>
        <v>No</v>
      </c>
      <c r="F2170" t="str">
        <f>VLOOKUP($A2170, 'Medical Examinations'!A:G, 7, FALSE)</f>
        <v>No</v>
      </c>
      <c r="G2170" t="str">
        <f>VLOOKUP($A2170, 'Medical Examinations'!A:H, 8, FALSE)</f>
        <v>No</v>
      </c>
      <c r="H2170" t="str">
        <f>VLOOKUP($A2170, 'Medical Examinations'!A:J, 10, FALSE)</f>
        <v>No major surgery</v>
      </c>
      <c r="I2170" t="str">
        <f>VLOOKUP($A2170, 'Medical Examinations'!A:K, 11, FALSE)</f>
        <v>No</v>
      </c>
      <c r="J2170" t="str">
        <f>VLOOKUP($A2170, 'Medical Examinations'!A:B, 2, FALSE)</f>
        <v>Obesity</v>
      </c>
      <c r="K2170" t="str">
        <f>VLOOKUP($A2170, 'Medical Examinations'!A:D, 4, FALSE)</f>
        <v>Normal</v>
      </c>
    </row>
    <row r="2171" spans="1:11" ht="15.5" x14ac:dyDescent="0.35">
      <c r="A2171" s="1" t="s">
        <v>192</v>
      </c>
      <c r="B2171" t="str">
        <f>VLOOKUP($A2171, 'Customer Names'!A:D, 3, FALSE)</f>
        <v>Malkowski</v>
      </c>
      <c r="C2171">
        <f>VLOOKUP($A2171,'Medical Examinations'!A:C, 3, FALSE)</f>
        <v>32.56</v>
      </c>
      <c r="D2171" t="str">
        <f>VLOOKUP($A2171, 'Medical Examinations'!A:D, 4, FALSE)</f>
        <v>Normal</v>
      </c>
      <c r="E2171" t="str">
        <f>VLOOKUP($A2171, 'Medical Examinations'!A:F, 6, FALSE)</f>
        <v>No</v>
      </c>
      <c r="F2171" t="str">
        <f>VLOOKUP($A2171, 'Medical Examinations'!A:G, 7, FALSE)</f>
        <v>No</v>
      </c>
      <c r="G2171" t="str">
        <f>VLOOKUP($A2171, 'Medical Examinations'!A:H, 8, FALSE)</f>
        <v>No</v>
      </c>
      <c r="H2171" t="str">
        <f>VLOOKUP($A2171, 'Medical Examinations'!A:J, 10, FALSE)</f>
        <v>No major surgery</v>
      </c>
      <c r="I2171" t="str">
        <f>VLOOKUP($A2171, 'Medical Examinations'!A:K, 11, FALSE)</f>
        <v>No</v>
      </c>
      <c r="J2171" t="str">
        <f>VLOOKUP($A2171, 'Medical Examinations'!A:B, 2, FALSE)</f>
        <v>Obesity</v>
      </c>
      <c r="K2171" t="str">
        <f>VLOOKUP($A2171, 'Medical Examinations'!A:D, 4, FALSE)</f>
        <v>Normal</v>
      </c>
    </row>
    <row r="2172" spans="1:11" ht="15.5" x14ac:dyDescent="0.35">
      <c r="A2172" s="1" t="s">
        <v>191</v>
      </c>
      <c r="B2172" t="str">
        <f>VLOOKUP($A2172, 'Customer Names'!A:D, 3, FALSE)</f>
        <v>Andreyko</v>
      </c>
      <c r="C2172">
        <f>VLOOKUP($A2172,'Medical Examinations'!A:C, 3, FALSE)</f>
        <v>27.98</v>
      </c>
      <c r="D2172" t="str">
        <f>VLOOKUP($A2172, 'Medical Examinations'!A:D, 4, FALSE)</f>
        <v>Normal</v>
      </c>
      <c r="E2172" t="str">
        <f>VLOOKUP($A2172, 'Medical Examinations'!A:F, 6, FALSE)</f>
        <v>No</v>
      </c>
      <c r="F2172" t="str">
        <f>VLOOKUP($A2172, 'Medical Examinations'!A:G, 7, FALSE)</f>
        <v>yes</v>
      </c>
      <c r="G2172" t="str">
        <f>VLOOKUP($A2172, 'Medical Examinations'!A:H, 8, FALSE)</f>
        <v>No</v>
      </c>
      <c r="H2172">
        <f>VLOOKUP($A2172, 'Medical Examinations'!A:J, 10, FALSE)</f>
        <v>1</v>
      </c>
      <c r="I2172" t="str">
        <f>VLOOKUP($A2172, 'Medical Examinations'!A:K, 11, FALSE)</f>
        <v>No</v>
      </c>
      <c r="J2172" t="str">
        <f>VLOOKUP($A2172, 'Medical Examinations'!A:B, 2, FALSE)</f>
        <v>Overweight</v>
      </c>
      <c r="K2172" t="str">
        <f>VLOOKUP($A2172, 'Medical Examinations'!A:D, 4, FALSE)</f>
        <v>Normal</v>
      </c>
    </row>
    <row r="2173" spans="1:11" ht="15.5" x14ac:dyDescent="0.35">
      <c r="A2173" s="1" t="s">
        <v>190</v>
      </c>
      <c r="B2173" t="str">
        <f>VLOOKUP($A2173, 'Customer Names'!A:D, 3, FALSE)</f>
        <v>Landry</v>
      </c>
      <c r="C2173">
        <f>VLOOKUP($A2173,'Medical Examinations'!A:C, 3, FALSE)</f>
        <v>26.51</v>
      </c>
      <c r="D2173" t="str">
        <f>VLOOKUP($A2173, 'Medical Examinations'!A:D, 4, FALSE)</f>
        <v>Normal</v>
      </c>
      <c r="E2173" t="str">
        <f>VLOOKUP($A2173, 'Medical Examinations'!A:F, 6, FALSE)</f>
        <v>No</v>
      </c>
      <c r="F2173" t="str">
        <f>VLOOKUP($A2173, 'Medical Examinations'!A:G, 7, FALSE)</f>
        <v>No</v>
      </c>
      <c r="G2173" t="str">
        <f>VLOOKUP($A2173, 'Medical Examinations'!A:H, 8, FALSE)</f>
        <v>No</v>
      </c>
      <c r="H2173" t="str">
        <f>VLOOKUP($A2173, 'Medical Examinations'!A:J, 10, FALSE)</f>
        <v>No major surgery</v>
      </c>
      <c r="I2173" t="str">
        <f>VLOOKUP($A2173, 'Medical Examinations'!A:K, 11, FALSE)</f>
        <v>No</v>
      </c>
      <c r="J2173" t="str">
        <f>VLOOKUP($A2173, 'Medical Examinations'!A:B, 2, FALSE)</f>
        <v>Overweight</v>
      </c>
      <c r="K2173" t="str">
        <f>VLOOKUP($A2173, 'Medical Examinations'!A:D, 4, FALSE)</f>
        <v>Normal</v>
      </c>
    </row>
    <row r="2174" spans="1:11" ht="15.5" x14ac:dyDescent="0.35">
      <c r="A2174" s="1" t="s">
        <v>189</v>
      </c>
      <c r="B2174" t="str">
        <f>VLOOKUP($A2174, 'Customer Names'!A:D, 3, FALSE)</f>
        <v>Lozier</v>
      </c>
      <c r="C2174">
        <f>VLOOKUP($A2174,'Medical Examinations'!A:C, 3, FALSE)</f>
        <v>29.734999999999999</v>
      </c>
      <c r="D2174" t="str">
        <f>VLOOKUP($A2174, 'Medical Examinations'!A:D, 4, FALSE)</f>
        <v>Diabetes</v>
      </c>
      <c r="E2174" t="str">
        <f>VLOOKUP($A2174, 'Medical Examinations'!A:F, 6, FALSE)</f>
        <v>No</v>
      </c>
      <c r="F2174" t="str">
        <f>VLOOKUP($A2174, 'Medical Examinations'!A:G, 7, FALSE)</f>
        <v>No</v>
      </c>
      <c r="G2174" t="str">
        <f>VLOOKUP($A2174, 'Medical Examinations'!A:H, 8, FALSE)</f>
        <v>No</v>
      </c>
      <c r="H2174" t="str">
        <f>VLOOKUP($A2174, 'Medical Examinations'!A:J, 10, FALSE)</f>
        <v>No major surgery</v>
      </c>
      <c r="I2174" t="str">
        <f>VLOOKUP($A2174, 'Medical Examinations'!A:K, 11, FALSE)</f>
        <v>No</v>
      </c>
      <c r="J2174" t="str">
        <f>VLOOKUP($A2174, 'Medical Examinations'!A:B, 2, FALSE)</f>
        <v>Overweight</v>
      </c>
      <c r="K2174" t="str">
        <f>VLOOKUP($A2174, 'Medical Examinations'!A:D, 4, FALSE)</f>
        <v>Diabetes</v>
      </c>
    </row>
    <row r="2175" spans="1:11" ht="15.5" x14ac:dyDescent="0.35">
      <c r="A2175" s="1" t="s">
        <v>188</v>
      </c>
      <c r="B2175" t="str">
        <f>VLOOKUP($A2175, 'Customer Names'!A:D, 3, FALSE)</f>
        <v>O'Brien</v>
      </c>
      <c r="C2175">
        <f>VLOOKUP($A2175,'Medical Examinations'!A:C, 3, FALSE)</f>
        <v>40.5</v>
      </c>
      <c r="D2175" t="str">
        <f>VLOOKUP($A2175, 'Medical Examinations'!A:D, 4, FALSE)</f>
        <v>Normal</v>
      </c>
      <c r="E2175" t="str">
        <f>VLOOKUP($A2175, 'Medical Examinations'!A:F, 6, FALSE)</f>
        <v>No</v>
      </c>
      <c r="F2175" t="str">
        <f>VLOOKUP($A2175, 'Medical Examinations'!A:G, 7, FALSE)</f>
        <v>No</v>
      </c>
      <c r="G2175" t="str">
        <f>VLOOKUP($A2175, 'Medical Examinations'!A:H, 8, FALSE)</f>
        <v>Yes</v>
      </c>
      <c r="H2175">
        <f>VLOOKUP($A2175, 'Medical Examinations'!A:J, 10, FALSE)</f>
        <v>1</v>
      </c>
      <c r="I2175" t="str">
        <f>VLOOKUP($A2175, 'Medical Examinations'!A:K, 11, FALSE)</f>
        <v>No</v>
      </c>
      <c r="J2175" t="str">
        <f>VLOOKUP($A2175, 'Medical Examinations'!A:B, 2, FALSE)</f>
        <v>Obesity</v>
      </c>
      <c r="K2175" t="str">
        <f>VLOOKUP($A2175, 'Medical Examinations'!A:D, 4, FALSE)</f>
        <v>Normal</v>
      </c>
    </row>
    <row r="2176" spans="1:11" ht="15.5" x14ac:dyDescent="0.35">
      <c r="A2176" s="1" t="s">
        <v>187</v>
      </c>
      <c r="B2176" t="str">
        <f>VLOOKUP($A2176, 'Customer Names'!A:D, 3, FALSE)</f>
        <v>Rodas</v>
      </c>
      <c r="C2176">
        <f>VLOOKUP($A2176,'Medical Examinations'!A:C, 3, FALSE)</f>
        <v>25.64</v>
      </c>
      <c r="D2176" t="str">
        <f>VLOOKUP($A2176, 'Medical Examinations'!A:D, 4, FALSE)</f>
        <v>Normal</v>
      </c>
      <c r="E2176" t="str">
        <f>VLOOKUP($A2176, 'Medical Examinations'!A:F, 6, FALSE)</f>
        <v>No</v>
      </c>
      <c r="F2176" t="str">
        <f>VLOOKUP($A2176, 'Medical Examinations'!A:G, 7, FALSE)</f>
        <v>No</v>
      </c>
      <c r="G2176" t="str">
        <f>VLOOKUP($A2176, 'Medical Examinations'!A:H, 8, FALSE)</f>
        <v>No</v>
      </c>
      <c r="H2176">
        <f>VLOOKUP($A2176, 'Medical Examinations'!A:J, 10, FALSE)</f>
        <v>1</v>
      </c>
      <c r="I2176" t="str">
        <f>VLOOKUP($A2176, 'Medical Examinations'!A:K, 11, FALSE)</f>
        <v>No</v>
      </c>
      <c r="J2176" t="str">
        <f>VLOOKUP($A2176, 'Medical Examinations'!A:B, 2, FALSE)</f>
        <v>Overweight</v>
      </c>
      <c r="K2176" t="str">
        <f>VLOOKUP($A2176, 'Medical Examinations'!A:D, 4, FALSE)</f>
        <v>Normal</v>
      </c>
    </row>
    <row r="2177" spans="1:11" ht="15.5" x14ac:dyDescent="0.35">
      <c r="A2177" s="1" t="s">
        <v>186</v>
      </c>
      <c r="B2177" t="str">
        <f>VLOOKUP($A2177, 'Customer Names'!A:D, 3, FALSE)</f>
        <v>O'Connor</v>
      </c>
      <c r="C2177">
        <f>VLOOKUP($A2177,'Medical Examinations'!A:C, 3, FALSE)</f>
        <v>32.9</v>
      </c>
      <c r="D2177" t="str">
        <f>VLOOKUP($A2177, 'Medical Examinations'!A:D, 4, FALSE)</f>
        <v>Normal</v>
      </c>
      <c r="E2177" t="str">
        <f>VLOOKUP($A2177, 'Medical Examinations'!A:F, 6, FALSE)</f>
        <v>No</v>
      </c>
      <c r="F2177" t="str">
        <f>VLOOKUP($A2177, 'Medical Examinations'!A:G, 7, FALSE)</f>
        <v>No</v>
      </c>
      <c r="G2177" t="str">
        <f>VLOOKUP($A2177, 'Medical Examinations'!A:H, 8, FALSE)</f>
        <v>Yes</v>
      </c>
      <c r="H2177">
        <f>VLOOKUP($A2177, 'Medical Examinations'!A:J, 10, FALSE)</f>
        <v>1</v>
      </c>
      <c r="I2177" t="str">
        <f>VLOOKUP($A2177, 'Medical Examinations'!A:K, 11, FALSE)</f>
        <v>No</v>
      </c>
      <c r="J2177" t="str">
        <f>VLOOKUP($A2177, 'Medical Examinations'!A:B, 2, FALSE)</f>
        <v>Obesity</v>
      </c>
      <c r="K2177" t="str">
        <f>VLOOKUP($A2177, 'Medical Examinations'!A:D, 4, FALSE)</f>
        <v>Normal</v>
      </c>
    </row>
    <row r="2178" spans="1:11" ht="15.5" x14ac:dyDescent="0.35">
      <c r="A2178" s="1" t="s">
        <v>185</v>
      </c>
      <c r="B2178" t="str">
        <f>VLOOKUP($A2178, 'Customer Names'!A:D, 3, FALSE)</f>
        <v>White</v>
      </c>
      <c r="C2178">
        <f>VLOOKUP($A2178,'Medical Examinations'!A:C, 3, FALSE)</f>
        <v>29.8</v>
      </c>
      <c r="D2178" t="str">
        <f>VLOOKUP($A2178, 'Medical Examinations'!A:D, 4, FALSE)</f>
        <v>Normal</v>
      </c>
      <c r="E2178" t="str">
        <f>VLOOKUP($A2178, 'Medical Examinations'!A:F, 6, FALSE)</f>
        <v>No</v>
      </c>
      <c r="F2178" t="str">
        <f>VLOOKUP($A2178, 'Medical Examinations'!A:G, 7, FALSE)</f>
        <v>No</v>
      </c>
      <c r="G2178" t="str">
        <f>VLOOKUP($A2178, 'Medical Examinations'!A:H, 8, FALSE)</f>
        <v>Yes</v>
      </c>
      <c r="H2178">
        <f>VLOOKUP($A2178, 'Medical Examinations'!A:J, 10, FALSE)</f>
        <v>1</v>
      </c>
      <c r="I2178" t="str">
        <f>VLOOKUP($A2178, 'Medical Examinations'!A:K, 11, FALSE)</f>
        <v>No</v>
      </c>
      <c r="J2178" t="str">
        <f>VLOOKUP($A2178, 'Medical Examinations'!A:B, 2, FALSE)</f>
        <v>Overweight</v>
      </c>
      <c r="K2178" t="str">
        <f>VLOOKUP($A2178, 'Medical Examinations'!A:D, 4, FALSE)</f>
        <v>Normal</v>
      </c>
    </row>
    <row r="2179" spans="1:11" ht="15.5" x14ac:dyDescent="0.35">
      <c r="A2179" s="1" t="s">
        <v>184</v>
      </c>
      <c r="B2179" t="str">
        <f>VLOOKUP($A2179, 'Customer Names'!A:D, 3, FALSE)</f>
        <v>Davenport</v>
      </c>
      <c r="C2179">
        <f>VLOOKUP($A2179,'Medical Examinations'!A:C, 3, FALSE)</f>
        <v>28.9</v>
      </c>
      <c r="D2179" t="str">
        <f>VLOOKUP($A2179, 'Medical Examinations'!A:D, 4, FALSE)</f>
        <v>Prediabetes</v>
      </c>
      <c r="E2179" t="str">
        <f>VLOOKUP($A2179, 'Medical Examinations'!A:F, 6, FALSE)</f>
        <v>No</v>
      </c>
      <c r="F2179" t="str">
        <f>VLOOKUP($A2179, 'Medical Examinations'!A:G, 7, FALSE)</f>
        <v>No</v>
      </c>
      <c r="G2179" t="str">
        <f>VLOOKUP($A2179, 'Medical Examinations'!A:H, 8, FALSE)</f>
        <v>Yes</v>
      </c>
      <c r="H2179">
        <f>VLOOKUP($A2179, 'Medical Examinations'!A:J, 10, FALSE)</f>
        <v>1</v>
      </c>
      <c r="I2179" t="str">
        <f>VLOOKUP($A2179, 'Medical Examinations'!A:K, 11, FALSE)</f>
        <v>No</v>
      </c>
      <c r="J2179" t="str">
        <f>VLOOKUP($A2179, 'Medical Examinations'!A:B, 2, FALSE)</f>
        <v>Overweight</v>
      </c>
      <c r="K2179" t="str">
        <f>VLOOKUP($A2179, 'Medical Examinations'!A:D, 4, FALSE)</f>
        <v>Prediabetes</v>
      </c>
    </row>
    <row r="2180" spans="1:11" ht="15.5" x14ac:dyDescent="0.35">
      <c r="A2180" s="1" t="s">
        <v>183</v>
      </c>
      <c r="B2180" t="str">
        <f>VLOOKUP($A2180, 'Customer Names'!A:D, 3, FALSE)</f>
        <v>Karmen</v>
      </c>
      <c r="C2180">
        <f>VLOOKUP($A2180,'Medical Examinations'!A:C, 3, FALSE)</f>
        <v>24.7</v>
      </c>
      <c r="D2180" t="str">
        <f>VLOOKUP($A2180, 'Medical Examinations'!A:D, 4, FALSE)</f>
        <v>Normal</v>
      </c>
      <c r="E2180" t="str">
        <f>VLOOKUP($A2180, 'Medical Examinations'!A:F, 6, FALSE)</f>
        <v>No</v>
      </c>
      <c r="F2180" t="str">
        <f>VLOOKUP($A2180, 'Medical Examinations'!A:G, 7, FALSE)</f>
        <v>No</v>
      </c>
      <c r="G2180" t="str">
        <f>VLOOKUP($A2180, 'Medical Examinations'!A:H, 8, FALSE)</f>
        <v>Yes</v>
      </c>
      <c r="H2180">
        <f>VLOOKUP($A2180, 'Medical Examinations'!A:J, 10, FALSE)</f>
        <v>1</v>
      </c>
      <c r="I2180" t="str">
        <f>VLOOKUP($A2180, 'Medical Examinations'!A:K, 11, FALSE)</f>
        <v>No</v>
      </c>
      <c r="J2180" t="str">
        <f>VLOOKUP($A2180, 'Medical Examinations'!A:B, 2, FALSE)</f>
        <v>Normal Weight</v>
      </c>
      <c r="K2180" t="str">
        <f>VLOOKUP($A2180, 'Medical Examinations'!A:D, 4, FALSE)</f>
        <v>Normal</v>
      </c>
    </row>
    <row r="2181" spans="1:11" ht="15.5" x14ac:dyDescent="0.35">
      <c r="A2181" s="1" t="s">
        <v>182</v>
      </c>
      <c r="B2181" t="str">
        <f>VLOOKUP($A2181, 'Customer Names'!A:D, 3, FALSE)</f>
        <v>Miller</v>
      </c>
      <c r="C2181">
        <f>VLOOKUP($A2181,'Medical Examinations'!A:C, 3, FALSE)</f>
        <v>20.6</v>
      </c>
      <c r="D2181" t="str">
        <f>VLOOKUP($A2181, 'Medical Examinations'!A:D, 4, FALSE)</f>
        <v>Normal</v>
      </c>
      <c r="E2181" t="str">
        <f>VLOOKUP($A2181, 'Medical Examinations'!A:F, 6, FALSE)</f>
        <v>No</v>
      </c>
      <c r="F2181" t="str">
        <f>VLOOKUP($A2181, 'Medical Examinations'!A:G, 7, FALSE)</f>
        <v>No</v>
      </c>
      <c r="G2181" t="str">
        <f>VLOOKUP($A2181, 'Medical Examinations'!A:H, 8, FALSE)</f>
        <v>Yes</v>
      </c>
      <c r="H2181">
        <f>VLOOKUP($A2181, 'Medical Examinations'!A:J, 10, FALSE)</f>
        <v>1</v>
      </c>
      <c r="I2181" t="str">
        <f>VLOOKUP($A2181, 'Medical Examinations'!A:K, 11, FALSE)</f>
        <v>No</v>
      </c>
      <c r="J2181" t="str">
        <f>VLOOKUP($A2181, 'Medical Examinations'!A:B, 2, FALSE)</f>
        <v>Normal Weight</v>
      </c>
      <c r="K2181" t="str">
        <f>VLOOKUP($A2181, 'Medical Examinations'!A:D, 4, FALSE)</f>
        <v>Normal</v>
      </c>
    </row>
    <row r="2182" spans="1:11" ht="15.5" x14ac:dyDescent="0.35">
      <c r="A2182" s="1" t="s">
        <v>181</v>
      </c>
      <c r="B2182" t="str">
        <f>VLOOKUP($A2182, 'Customer Names'!A:D, 3, FALSE)</f>
        <v>Lippmann</v>
      </c>
      <c r="C2182">
        <f>VLOOKUP($A2182,'Medical Examinations'!A:C, 3, FALSE)</f>
        <v>18.600000000000001</v>
      </c>
      <c r="D2182" t="str">
        <f>VLOOKUP($A2182, 'Medical Examinations'!A:D, 4, FALSE)</f>
        <v>Normal</v>
      </c>
      <c r="E2182" t="str">
        <f>VLOOKUP($A2182, 'Medical Examinations'!A:F, 6, FALSE)</f>
        <v>No</v>
      </c>
      <c r="F2182" t="str">
        <f>VLOOKUP($A2182, 'Medical Examinations'!A:G, 7, FALSE)</f>
        <v>No</v>
      </c>
      <c r="G2182" t="str">
        <f>VLOOKUP($A2182, 'Medical Examinations'!A:H, 8, FALSE)</f>
        <v>Yes</v>
      </c>
      <c r="H2182">
        <f>VLOOKUP($A2182, 'Medical Examinations'!A:J, 10, FALSE)</f>
        <v>1</v>
      </c>
      <c r="I2182" t="str">
        <f>VLOOKUP($A2182, 'Medical Examinations'!A:K, 11, FALSE)</f>
        <v>No</v>
      </c>
      <c r="J2182" t="str">
        <f>VLOOKUP($A2182, 'Medical Examinations'!A:B, 2, FALSE)</f>
        <v>Normal Weight</v>
      </c>
      <c r="K2182" t="str">
        <f>VLOOKUP($A2182, 'Medical Examinations'!A:D, 4, FALSE)</f>
        <v>Normal</v>
      </c>
    </row>
    <row r="2183" spans="1:11" ht="15.5" x14ac:dyDescent="0.35">
      <c r="A2183" s="1" t="s">
        <v>180</v>
      </c>
      <c r="B2183" t="str">
        <f>VLOOKUP($A2183, 'Customer Names'!A:D, 3, FALSE)</f>
        <v>Klehm</v>
      </c>
      <c r="C2183">
        <f>VLOOKUP($A2183,'Medical Examinations'!A:C, 3, FALSE)</f>
        <v>17.8</v>
      </c>
      <c r="D2183" t="str">
        <f>VLOOKUP($A2183, 'Medical Examinations'!A:D, 4, FALSE)</f>
        <v>Normal</v>
      </c>
      <c r="E2183" t="str">
        <f>VLOOKUP($A2183, 'Medical Examinations'!A:F, 6, FALSE)</f>
        <v>No</v>
      </c>
      <c r="F2183" t="str">
        <f>VLOOKUP($A2183, 'Medical Examinations'!A:G, 7, FALSE)</f>
        <v>No</v>
      </c>
      <c r="G2183" t="str">
        <f>VLOOKUP($A2183, 'Medical Examinations'!A:H, 8, FALSE)</f>
        <v>Yes</v>
      </c>
      <c r="H2183">
        <f>VLOOKUP($A2183, 'Medical Examinations'!A:J, 10, FALSE)</f>
        <v>1</v>
      </c>
      <c r="I2183" t="str">
        <f>VLOOKUP($A2183, 'Medical Examinations'!A:K, 11, FALSE)</f>
        <v>No</v>
      </c>
      <c r="J2183" t="str">
        <f>VLOOKUP($A2183, 'Medical Examinations'!A:B, 2, FALSE)</f>
        <v>Underweight</v>
      </c>
      <c r="K2183" t="str">
        <f>VLOOKUP($A2183, 'Medical Examinations'!A:D, 4, FALSE)</f>
        <v>Normal</v>
      </c>
    </row>
    <row r="2184" spans="1:11" ht="15.5" x14ac:dyDescent="0.35">
      <c r="A2184" s="1" t="s">
        <v>179</v>
      </c>
      <c r="B2184" t="str">
        <f>VLOOKUP($A2184, 'Customer Names'!A:D, 3, FALSE)</f>
        <v>Murphy</v>
      </c>
      <c r="C2184">
        <f>VLOOKUP($A2184,'Medical Examinations'!A:C, 3, FALSE)</f>
        <v>35.200000000000003</v>
      </c>
      <c r="D2184" t="str">
        <f>VLOOKUP($A2184, 'Medical Examinations'!A:D, 4, FALSE)</f>
        <v>Prediabetes</v>
      </c>
      <c r="E2184" t="str">
        <f>VLOOKUP($A2184, 'Medical Examinations'!A:F, 6, FALSE)</f>
        <v>No</v>
      </c>
      <c r="F2184" t="str">
        <f>VLOOKUP($A2184, 'Medical Examinations'!A:G, 7, FALSE)</f>
        <v>yes</v>
      </c>
      <c r="G2184" t="str">
        <f>VLOOKUP($A2184, 'Medical Examinations'!A:H, 8, FALSE)</f>
        <v>No</v>
      </c>
      <c r="H2184">
        <f>VLOOKUP($A2184, 'Medical Examinations'!A:J, 10, FALSE)</f>
        <v>1</v>
      </c>
      <c r="I2184" t="str">
        <f>VLOOKUP($A2184, 'Medical Examinations'!A:K, 11, FALSE)</f>
        <v>No</v>
      </c>
      <c r="J2184" t="str">
        <f>VLOOKUP($A2184, 'Medical Examinations'!A:B, 2, FALSE)</f>
        <v>Obesity</v>
      </c>
      <c r="K2184" t="str">
        <f>VLOOKUP($A2184, 'Medical Examinations'!A:D, 4, FALSE)</f>
        <v>Prediabetes</v>
      </c>
    </row>
    <row r="2185" spans="1:11" ht="15.5" x14ac:dyDescent="0.35">
      <c r="A2185" s="1" t="s">
        <v>178</v>
      </c>
      <c r="B2185" t="str">
        <f>VLOOKUP($A2185, 'Customer Names'!A:D, 3, FALSE)</f>
        <v>Desisa</v>
      </c>
      <c r="C2185">
        <f>VLOOKUP($A2185,'Medical Examinations'!A:C, 3, FALSE)</f>
        <v>33.770000000000003</v>
      </c>
      <c r="D2185" t="str">
        <f>VLOOKUP($A2185, 'Medical Examinations'!A:D, 4, FALSE)</f>
        <v>Normal</v>
      </c>
      <c r="E2185" t="str">
        <f>VLOOKUP($A2185, 'Medical Examinations'!A:F, 6, FALSE)</f>
        <v>No</v>
      </c>
      <c r="F2185" t="str">
        <f>VLOOKUP($A2185, 'Medical Examinations'!A:G, 7, FALSE)</f>
        <v>yes</v>
      </c>
      <c r="G2185" t="str">
        <f>VLOOKUP($A2185, 'Medical Examinations'!A:H, 8, FALSE)</f>
        <v>No</v>
      </c>
      <c r="H2185">
        <f>VLOOKUP($A2185, 'Medical Examinations'!A:J, 10, FALSE)</f>
        <v>1</v>
      </c>
      <c r="I2185" t="str">
        <f>VLOOKUP($A2185, 'Medical Examinations'!A:K, 11, FALSE)</f>
        <v>No</v>
      </c>
      <c r="J2185" t="str">
        <f>VLOOKUP($A2185, 'Medical Examinations'!A:B, 2, FALSE)</f>
        <v>Obesity</v>
      </c>
      <c r="K2185" t="str">
        <f>VLOOKUP($A2185, 'Medical Examinations'!A:D, 4, FALSE)</f>
        <v>Normal</v>
      </c>
    </row>
    <row r="2186" spans="1:11" ht="15.5" x14ac:dyDescent="0.35">
      <c r="A2186" s="1" t="s">
        <v>177</v>
      </c>
      <c r="B2186" t="str">
        <f>VLOOKUP($A2186, 'Customer Names'!A:D, 3, FALSE)</f>
        <v>Brooks</v>
      </c>
      <c r="C2186">
        <f>VLOOKUP($A2186,'Medical Examinations'!A:C, 3, FALSE)</f>
        <v>30.03</v>
      </c>
      <c r="D2186" t="str">
        <f>VLOOKUP($A2186, 'Medical Examinations'!A:D, 4, FALSE)</f>
        <v>Normal</v>
      </c>
      <c r="E2186" t="str">
        <f>VLOOKUP($A2186, 'Medical Examinations'!A:F, 6, FALSE)</f>
        <v>No</v>
      </c>
      <c r="F2186" t="str">
        <f>VLOOKUP($A2186, 'Medical Examinations'!A:G, 7, FALSE)</f>
        <v>yes</v>
      </c>
      <c r="G2186" t="str">
        <f>VLOOKUP($A2186, 'Medical Examinations'!A:H, 8, FALSE)</f>
        <v>No</v>
      </c>
      <c r="H2186">
        <f>VLOOKUP($A2186, 'Medical Examinations'!A:J, 10, FALSE)</f>
        <v>1</v>
      </c>
      <c r="I2186" t="str">
        <f>VLOOKUP($A2186, 'Medical Examinations'!A:K, 11, FALSE)</f>
        <v>No</v>
      </c>
      <c r="J2186" t="str">
        <f>VLOOKUP($A2186, 'Medical Examinations'!A:B, 2, FALSE)</f>
        <v>Obesity</v>
      </c>
      <c r="K2186" t="str">
        <f>VLOOKUP($A2186, 'Medical Examinations'!A:D, 4, FALSE)</f>
        <v>Normal</v>
      </c>
    </row>
    <row r="2187" spans="1:11" ht="15.5" x14ac:dyDescent="0.35">
      <c r="A2187" s="1" t="s">
        <v>176</v>
      </c>
      <c r="B2187" t="str">
        <f>VLOOKUP($A2187, 'Customer Names'!A:D, 3, FALSE)</f>
        <v>Stone</v>
      </c>
      <c r="C2187">
        <f>VLOOKUP($A2187,'Medical Examinations'!A:C, 3, FALSE)</f>
        <v>29.37</v>
      </c>
      <c r="D2187" t="str">
        <f>VLOOKUP($A2187, 'Medical Examinations'!A:D, 4, FALSE)</f>
        <v>Normal</v>
      </c>
      <c r="E2187" t="str">
        <f>VLOOKUP($A2187, 'Medical Examinations'!A:F, 6, FALSE)</f>
        <v>No</v>
      </c>
      <c r="F2187" t="str">
        <f>VLOOKUP($A2187, 'Medical Examinations'!A:G, 7, FALSE)</f>
        <v>yes</v>
      </c>
      <c r="G2187" t="str">
        <f>VLOOKUP($A2187, 'Medical Examinations'!A:H, 8, FALSE)</f>
        <v>No</v>
      </c>
      <c r="H2187">
        <f>VLOOKUP($A2187, 'Medical Examinations'!A:J, 10, FALSE)</f>
        <v>1</v>
      </c>
      <c r="I2187" t="str">
        <f>VLOOKUP($A2187, 'Medical Examinations'!A:K, 11, FALSE)</f>
        <v>No</v>
      </c>
      <c r="J2187" t="str">
        <f>VLOOKUP($A2187, 'Medical Examinations'!A:B, 2, FALSE)</f>
        <v>Overweight</v>
      </c>
      <c r="K2187" t="str">
        <f>VLOOKUP($A2187, 'Medical Examinations'!A:D, 4, FALSE)</f>
        <v>Normal</v>
      </c>
    </row>
    <row r="2188" spans="1:11" ht="15.5" x14ac:dyDescent="0.35">
      <c r="A2188" s="1" t="s">
        <v>175</v>
      </c>
      <c r="B2188" t="str">
        <f>VLOOKUP($A2188, 'Customer Names'!A:D, 3, FALSE)</f>
        <v>Weispfennig</v>
      </c>
      <c r="C2188">
        <f>VLOOKUP($A2188,'Medical Examinations'!A:C, 3, FALSE)</f>
        <v>28.5</v>
      </c>
      <c r="D2188" t="str">
        <f>VLOOKUP($A2188, 'Medical Examinations'!A:D, 4, FALSE)</f>
        <v>Normal</v>
      </c>
      <c r="E2188" t="str">
        <f>VLOOKUP($A2188, 'Medical Examinations'!A:F, 6, FALSE)</f>
        <v>No</v>
      </c>
      <c r="F2188" t="str">
        <f>VLOOKUP($A2188, 'Medical Examinations'!A:G, 7, FALSE)</f>
        <v>yes</v>
      </c>
      <c r="G2188" t="str">
        <f>VLOOKUP($A2188, 'Medical Examinations'!A:H, 8, FALSE)</f>
        <v>No</v>
      </c>
      <c r="H2188">
        <f>VLOOKUP($A2188, 'Medical Examinations'!A:J, 10, FALSE)</f>
        <v>1</v>
      </c>
      <c r="I2188" t="str">
        <f>VLOOKUP($A2188, 'Medical Examinations'!A:K, 11, FALSE)</f>
        <v>No</v>
      </c>
      <c r="J2188" t="str">
        <f>VLOOKUP($A2188, 'Medical Examinations'!A:B, 2, FALSE)</f>
        <v>Overweight</v>
      </c>
      <c r="K2188" t="str">
        <f>VLOOKUP($A2188, 'Medical Examinations'!A:D, 4, FALSE)</f>
        <v>Normal</v>
      </c>
    </row>
    <row r="2189" spans="1:11" ht="15.5" x14ac:dyDescent="0.35">
      <c r="A2189" s="1" t="s">
        <v>174</v>
      </c>
      <c r="B2189" t="str">
        <f>VLOOKUP($A2189, 'Customer Names'!A:D, 3, FALSE)</f>
        <v>Sorrell</v>
      </c>
      <c r="C2189">
        <f>VLOOKUP($A2189,'Medical Examinations'!A:C, 3, FALSE)</f>
        <v>23.32</v>
      </c>
      <c r="D2189" t="str">
        <f>VLOOKUP($A2189, 'Medical Examinations'!A:D, 4, FALSE)</f>
        <v>Normal</v>
      </c>
      <c r="E2189" t="str">
        <f>VLOOKUP($A2189, 'Medical Examinations'!A:F, 6, FALSE)</f>
        <v>No</v>
      </c>
      <c r="F2189" t="str">
        <f>VLOOKUP($A2189, 'Medical Examinations'!A:G, 7, FALSE)</f>
        <v>yes</v>
      </c>
      <c r="G2189" t="str">
        <f>VLOOKUP($A2189, 'Medical Examinations'!A:H, 8, FALSE)</f>
        <v>No</v>
      </c>
      <c r="H2189">
        <f>VLOOKUP($A2189, 'Medical Examinations'!A:J, 10, FALSE)</f>
        <v>1</v>
      </c>
      <c r="I2189" t="str">
        <f>VLOOKUP($A2189, 'Medical Examinations'!A:K, 11, FALSE)</f>
        <v>No</v>
      </c>
      <c r="J2189" t="str">
        <f>VLOOKUP($A2189, 'Medical Examinations'!A:B, 2, FALSE)</f>
        <v>Normal Weight</v>
      </c>
      <c r="K2189" t="str">
        <f>VLOOKUP($A2189, 'Medical Examinations'!A:D, 4, FALSE)</f>
        <v>Normal</v>
      </c>
    </row>
    <row r="2190" spans="1:11" ht="15.5" x14ac:dyDescent="0.35">
      <c r="A2190" s="1" t="s">
        <v>173</v>
      </c>
      <c r="B2190" t="str">
        <f>VLOOKUP($A2190, 'Customer Names'!A:D, 3, FALSE)</f>
        <v>Morris</v>
      </c>
      <c r="C2190">
        <f>VLOOKUP($A2190,'Medical Examinations'!A:C, 3, FALSE)</f>
        <v>26.125</v>
      </c>
      <c r="D2190" t="str">
        <f>VLOOKUP($A2190, 'Medical Examinations'!A:D, 4, FALSE)</f>
        <v>Normal</v>
      </c>
      <c r="E2190" t="str">
        <f>VLOOKUP($A2190, 'Medical Examinations'!A:F, 6, FALSE)</f>
        <v>No</v>
      </c>
      <c r="F2190" t="str">
        <f>VLOOKUP($A2190, 'Medical Examinations'!A:G, 7, FALSE)</f>
        <v>yes</v>
      </c>
      <c r="G2190" t="str">
        <f>VLOOKUP($A2190, 'Medical Examinations'!A:H, 8, FALSE)</f>
        <v>No</v>
      </c>
      <c r="H2190">
        <f>VLOOKUP($A2190, 'Medical Examinations'!A:J, 10, FALSE)</f>
        <v>1</v>
      </c>
      <c r="I2190" t="str">
        <f>VLOOKUP($A2190, 'Medical Examinations'!A:K, 11, FALSE)</f>
        <v>No</v>
      </c>
      <c r="J2190" t="str">
        <f>VLOOKUP($A2190, 'Medical Examinations'!A:B, 2, FALSE)</f>
        <v>Overweight</v>
      </c>
      <c r="K2190" t="str">
        <f>VLOOKUP($A2190, 'Medical Examinations'!A:D, 4, FALSE)</f>
        <v>Normal</v>
      </c>
    </row>
    <row r="2191" spans="1:11" ht="15.5" x14ac:dyDescent="0.35">
      <c r="A2191" s="1" t="s">
        <v>172</v>
      </c>
      <c r="B2191" t="str">
        <f>VLOOKUP($A2191, 'Customer Names'!A:D, 3, FALSE)</f>
        <v>Marek</v>
      </c>
      <c r="C2191">
        <f>VLOOKUP($A2191,'Medical Examinations'!A:C, 3, FALSE)</f>
        <v>25.46</v>
      </c>
      <c r="D2191" t="str">
        <f>VLOOKUP($A2191, 'Medical Examinations'!A:D, 4, FALSE)</f>
        <v>Normal</v>
      </c>
      <c r="E2191" t="str">
        <f>VLOOKUP($A2191, 'Medical Examinations'!A:F, 6, FALSE)</f>
        <v>No</v>
      </c>
      <c r="F2191" t="str">
        <f>VLOOKUP($A2191, 'Medical Examinations'!A:G, 7, FALSE)</f>
        <v>yes</v>
      </c>
      <c r="G2191" t="str">
        <f>VLOOKUP($A2191, 'Medical Examinations'!A:H, 8, FALSE)</f>
        <v>No</v>
      </c>
      <c r="H2191">
        <f>VLOOKUP($A2191, 'Medical Examinations'!A:J, 10, FALSE)</f>
        <v>1</v>
      </c>
      <c r="I2191" t="str">
        <f>VLOOKUP($A2191, 'Medical Examinations'!A:K, 11, FALSE)</f>
        <v>No</v>
      </c>
      <c r="J2191" t="str">
        <f>VLOOKUP($A2191, 'Medical Examinations'!A:B, 2, FALSE)</f>
        <v>Overweight</v>
      </c>
      <c r="K2191" t="str">
        <f>VLOOKUP($A2191, 'Medical Examinations'!A:D, 4, FALSE)</f>
        <v>Normal</v>
      </c>
    </row>
    <row r="2192" spans="1:11" ht="15.5" x14ac:dyDescent="0.35">
      <c r="A2192" s="1" t="s">
        <v>171</v>
      </c>
      <c r="B2192" t="str">
        <f>VLOOKUP($A2192, 'Customer Names'!A:D, 3, FALSE)</f>
        <v>Armstrong</v>
      </c>
      <c r="C2192">
        <f>VLOOKUP($A2192,'Medical Examinations'!A:C, 3, FALSE)</f>
        <v>23.75</v>
      </c>
      <c r="D2192" t="str">
        <f>VLOOKUP($A2192, 'Medical Examinations'!A:D, 4, FALSE)</f>
        <v>Normal</v>
      </c>
      <c r="E2192" t="str">
        <f>VLOOKUP($A2192, 'Medical Examinations'!A:F, 6, FALSE)</f>
        <v>No</v>
      </c>
      <c r="F2192" t="str">
        <f>VLOOKUP($A2192, 'Medical Examinations'!A:G, 7, FALSE)</f>
        <v>yes</v>
      </c>
      <c r="G2192" t="str">
        <f>VLOOKUP($A2192, 'Medical Examinations'!A:H, 8, FALSE)</f>
        <v>No</v>
      </c>
      <c r="H2192">
        <f>VLOOKUP($A2192, 'Medical Examinations'!A:J, 10, FALSE)</f>
        <v>1</v>
      </c>
      <c r="I2192" t="str">
        <f>VLOOKUP($A2192, 'Medical Examinations'!A:K, 11, FALSE)</f>
        <v>No</v>
      </c>
      <c r="J2192" t="str">
        <f>VLOOKUP($A2192, 'Medical Examinations'!A:B, 2, FALSE)</f>
        <v>Normal Weight</v>
      </c>
      <c r="K2192" t="str">
        <f>VLOOKUP($A2192, 'Medical Examinations'!A:D, 4, FALSE)</f>
        <v>Normal</v>
      </c>
    </row>
    <row r="2193" spans="1:11" ht="15.5" x14ac:dyDescent="0.35">
      <c r="A2193" s="1" t="s">
        <v>169</v>
      </c>
      <c r="B2193" t="str">
        <f>VLOOKUP($A2193, 'Customer Names'!A:D, 3, FALSE)</f>
        <v>Werner</v>
      </c>
      <c r="C2193">
        <f>VLOOKUP($A2193,'Medical Examinations'!A:C, 3, FALSE)</f>
        <v>23.085000000000001</v>
      </c>
      <c r="D2193" t="str">
        <f>VLOOKUP($A2193, 'Medical Examinations'!A:D, 4, FALSE)</f>
        <v>Normal</v>
      </c>
      <c r="E2193" t="str">
        <f>VLOOKUP($A2193, 'Medical Examinations'!A:F, 6, FALSE)</f>
        <v>No</v>
      </c>
      <c r="F2193" t="str">
        <f>VLOOKUP($A2193, 'Medical Examinations'!A:G, 7, FALSE)</f>
        <v>yes</v>
      </c>
      <c r="G2193" t="str">
        <f>VLOOKUP($A2193, 'Medical Examinations'!A:H, 8, FALSE)</f>
        <v>No</v>
      </c>
      <c r="H2193">
        <f>VLOOKUP($A2193, 'Medical Examinations'!A:J, 10, FALSE)</f>
        <v>1</v>
      </c>
      <c r="I2193" t="str">
        <f>VLOOKUP($A2193, 'Medical Examinations'!A:K, 11, FALSE)</f>
        <v>No</v>
      </c>
      <c r="J2193" t="str">
        <f>VLOOKUP($A2193, 'Medical Examinations'!A:B, 2, FALSE)</f>
        <v>Normal Weight</v>
      </c>
      <c r="K2193" t="str">
        <f>VLOOKUP($A2193, 'Medical Examinations'!A:D, 4, FALSE)</f>
        <v>Normal</v>
      </c>
    </row>
    <row r="2194" spans="1:11" ht="15.5" x14ac:dyDescent="0.35">
      <c r="A2194" s="1" t="s">
        <v>167</v>
      </c>
      <c r="B2194" t="str">
        <f>VLOOKUP($A2194, 'Customer Names'!A:D, 3, FALSE)</f>
        <v>Gries</v>
      </c>
      <c r="C2194">
        <f>VLOOKUP($A2194,'Medical Examinations'!A:C, 3, FALSE)</f>
        <v>22.99</v>
      </c>
      <c r="D2194" t="str">
        <f>VLOOKUP($A2194, 'Medical Examinations'!A:D, 4, FALSE)</f>
        <v>Normal</v>
      </c>
      <c r="E2194" t="str">
        <f>VLOOKUP($A2194, 'Medical Examinations'!A:F, 6, FALSE)</f>
        <v>No</v>
      </c>
      <c r="F2194" t="str">
        <f>VLOOKUP($A2194, 'Medical Examinations'!A:G, 7, FALSE)</f>
        <v>yes</v>
      </c>
      <c r="G2194" t="str">
        <f>VLOOKUP($A2194, 'Medical Examinations'!A:H, 8, FALSE)</f>
        <v>No</v>
      </c>
      <c r="H2194">
        <f>VLOOKUP($A2194, 'Medical Examinations'!A:J, 10, FALSE)</f>
        <v>1</v>
      </c>
      <c r="I2194" t="str">
        <f>VLOOKUP($A2194, 'Medical Examinations'!A:K, 11, FALSE)</f>
        <v>No</v>
      </c>
      <c r="J2194" t="str">
        <f>VLOOKUP($A2194, 'Medical Examinations'!A:B, 2, FALSE)</f>
        <v>Normal Weight</v>
      </c>
      <c r="K2194" t="str">
        <f>VLOOKUP($A2194, 'Medical Examinations'!A:D, 4, FALSE)</f>
        <v>Normal</v>
      </c>
    </row>
    <row r="2195" spans="1:11" ht="15.5" x14ac:dyDescent="0.35">
      <c r="A2195" s="1" t="s">
        <v>165</v>
      </c>
      <c r="B2195" t="str">
        <f>VLOOKUP($A2195, 'Customer Names'!A:D, 3, FALSE)</f>
        <v>Mills</v>
      </c>
      <c r="C2195">
        <f>VLOOKUP($A2195,'Medical Examinations'!A:C, 3, FALSE)</f>
        <v>21.47</v>
      </c>
      <c r="D2195" t="str">
        <f>VLOOKUP($A2195, 'Medical Examinations'!A:D, 4, FALSE)</f>
        <v>Normal</v>
      </c>
      <c r="E2195" t="str">
        <f>VLOOKUP($A2195, 'Medical Examinations'!A:F, 6, FALSE)</f>
        <v>No</v>
      </c>
      <c r="F2195" t="str">
        <f>VLOOKUP($A2195, 'Medical Examinations'!A:G, 7, FALSE)</f>
        <v>yes</v>
      </c>
      <c r="G2195" t="str">
        <f>VLOOKUP($A2195, 'Medical Examinations'!A:H, 8, FALSE)</f>
        <v>No</v>
      </c>
      <c r="H2195">
        <f>VLOOKUP($A2195, 'Medical Examinations'!A:J, 10, FALSE)</f>
        <v>1</v>
      </c>
      <c r="I2195" t="str">
        <f>VLOOKUP($A2195, 'Medical Examinations'!A:K, 11, FALSE)</f>
        <v>No</v>
      </c>
      <c r="J2195" t="str">
        <f>VLOOKUP($A2195, 'Medical Examinations'!A:B, 2, FALSE)</f>
        <v>Normal Weight</v>
      </c>
      <c r="K2195" t="str">
        <f>VLOOKUP($A2195, 'Medical Examinations'!A:D, 4, FALSE)</f>
        <v>Normal</v>
      </c>
    </row>
    <row r="2196" spans="1:11" ht="15.5" x14ac:dyDescent="0.35">
      <c r="A2196" s="1" t="s">
        <v>163</v>
      </c>
      <c r="B2196" t="str">
        <f>VLOOKUP($A2196, 'Customer Names'!A:D, 3, FALSE)</f>
        <v>Penny</v>
      </c>
      <c r="C2196">
        <f>VLOOKUP($A2196,'Medical Examinations'!A:C, 3, FALSE)</f>
        <v>15.96</v>
      </c>
      <c r="D2196" t="str">
        <f>VLOOKUP($A2196, 'Medical Examinations'!A:D, 4, FALSE)</f>
        <v>Normal</v>
      </c>
      <c r="E2196" t="str">
        <f>VLOOKUP($A2196, 'Medical Examinations'!A:F, 6, FALSE)</f>
        <v>No</v>
      </c>
      <c r="F2196" t="str">
        <f>VLOOKUP($A2196, 'Medical Examinations'!A:G, 7, FALSE)</f>
        <v>yes</v>
      </c>
      <c r="G2196" t="str">
        <f>VLOOKUP($A2196, 'Medical Examinations'!A:H, 8, FALSE)</f>
        <v>No</v>
      </c>
      <c r="H2196">
        <f>VLOOKUP($A2196, 'Medical Examinations'!A:J, 10, FALSE)</f>
        <v>1</v>
      </c>
      <c r="I2196" t="str">
        <f>VLOOKUP($A2196, 'Medical Examinations'!A:K, 11, FALSE)</f>
        <v>No</v>
      </c>
      <c r="J2196" t="str">
        <f>VLOOKUP($A2196, 'Medical Examinations'!A:B, 2, FALSE)</f>
        <v>Underweight</v>
      </c>
      <c r="K2196" t="str">
        <f>VLOOKUP($A2196, 'Medical Examinations'!A:D, 4, FALSE)</f>
        <v>Normal</v>
      </c>
    </row>
    <row r="2197" spans="1:11" ht="15.5" x14ac:dyDescent="0.35">
      <c r="A2197" s="1" t="s">
        <v>162</v>
      </c>
      <c r="B2197" t="str">
        <f>VLOOKUP($A2197, 'Customer Names'!A:D, 3, FALSE)</f>
        <v>Hicks</v>
      </c>
      <c r="C2197">
        <f>VLOOKUP($A2197,'Medical Examinations'!A:C, 3, FALSE)</f>
        <v>39.5</v>
      </c>
      <c r="D2197" t="str">
        <f>VLOOKUP($A2197, 'Medical Examinations'!A:D, 4, FALSE)</f>
        <v>Normal</v>
      </c>
      <c r="E2197" t="str">
        <f>VLOOKUP($A2197, 'Medical Examinations'!A:F, 6, FALSE)</f>
        <v>No</v>
      </c>
      <c r="F2197" t="str">
        <f>VLOOKUP($A2197, 'Medical Examinations'!A:G, 7, FALSE)</f>
        <v>yes</v>
      </c>
      <c r="G2197" t="str">
        <f>VLOOKUP($A2197, 'Medical Examinations'!A:H, 8, FALSE)</f>
        <v>No</v>
      </c>
      <c r="H2197">
        <f>VLOOKUP($A2197, 'Medical Examinations'!A:J, 10, FALSE)</f>
        <v>1</v>
      </c>
      <c r="I2197" t="str">
        <f>VLOOKUP($A2197, 'Medical Examinations'!A:K, 11, FALSE)</f>
        <v>No</v>
      </c>
      <c r="J2197" t="str">
        <f>VLOOKUP($A2197, 'Medical Examinations'!A:B, 2, FALSE)</f>
        <v>Obesity</v>
      </c>
      <c r="K2197" t="str">
        <f>VLOOKUP($A2197, 'Medical Examinations'!A:D, 4, FALSE)</f>
        <v>Normal</v>
      </c>
    </row>
    <row r="2198" spans="1:11" ht="15.5" x14ac:dyDescent="0.35">
      <c r="A2198" s="1" t="s">
        <v>161</v>
      </c>
      <c r="B2198" t="str">
        <f>VLOOKUP($A2198, 'Customer Names'!A:D, 3, FALSE)</f>
        <v>Masayesva</v>
      </c>
      <c r="C2198">
        <f>VLOOKUP($A2198,'Medical Examinations'!A:C, 3, FALSE)</f>
        <v>33.770000000000003</v>
      </c>
      <c r="D2198" t="str">
        <f>VLOOKUP($A2198, 'Medical Examinations'!A:D, 4, FALSE)</f>
        <v>Prediabetes</v>
      </c>
      <c r="E2198" t="str">
        <f>VLOOKUP($A2198, 'Medical Examinations'!A:F, 6, FALSE)</f>
        <v>No</v>
      </c>
      <c r="F2198" t="str">
        <f>VLOOKUP($A2198, 'Medical Examinations'!A:G, 7, FALSE)</f>
        <v>yes</v>
      </c>
      <c r="G2198" t="str">
        <f>VLOOKUP($A2198, 'Medical Examinations'!A:H, 8, FALSE)</f>
        <v>No</v>
      </c>
      <c r="H2198">
        <f>VLOOKUP($A2198, 'Medical Examinations'!A:J, 10, FALSE)</f>
        <v>1</v>
      </c>
      <c r="I2198" t="str">
        <f>VLOOKUP($A2198, 'Medical Examinations'!A:K, 11, FALSE)</f>
        <v>No</v>
      </c>
      <c r="J2198" t="str">
        <f>VLOOKUP($A2198, 'Medical Examinations'!A:B, 2, FALSE)</f>
        <v>Obesity</v>
      </c>
      <c r="K2198" t="str">
        <f>VLOOKUP($A2198, 'Medical Examinations'!A:D, 4, FALSE)</f>
        <v>Prediabetes</v>
      </c>
    </row>
    <row r="2199" spans="1:11" ht="15.5" x14ac:dyDescent="0.35">
      <c r="A2199" s="1" t="s">
        <v>160</v>
      </c>
      <c r="B2199" t="str">
        <f>VLOOKUP($A2199, 'Customer Names'!A:D, 3, FALSE)</f>
        <v>Paavola</v>
      </c>
      <c r="C2199">
        <f>VLOOKUP($A2199,'Medical Examinations'!A:C, 3, FALSE)</f>
        <v>26.84</v>
      </c>
      <c r="D2199" t="str">
        <f>VLOOKUP($A2199, 'Medical Examinations'!A:D, 4, FALSE)</f>
        <v>Prediabetes</v>
      </c>
      <c r="E2199" t="str">
        <f>VLOOKUP($A2199, 'Medical Examinations'!A:F, 6, FALSE)</f>
        <v>yes</v>
      </c>
      <c r="F2199" t="str">
        <f>VLOOKUP($A2199, 'Medical Examinations'!A:G, 7, FALSE)</f>
        <v>yes</v>
      </c>
      <c r="G2199" t="str">
        <f>VLOOKUP($A2199, 'Medical Examinations'!A:H, 8, FALSE)</f>
        <v>No</v>
      </c>
      <c r="H2199">
        <f>VLOOKUP($A2199, 'Medical Examinations'!A:J, 10, FALSE)</f>
        <v>1</v>
      </c>
      <c r="I2199" t="str">
        <f>VLOOKUP($A2199, 'Medical Examinations'!A:K, 11, FALSE)</f>
        <v>No</v>
      </c>
      <c r="J2199" t="str">
        <f>VLOOKUP($A2199, 'Medical Examinations'!A:B, 2, FALSE)</f>
        <v>Overweight</v>
      </c>
      <c r="K2199" t="str">
        <f>VLOOKUP($A2199, 'Medical Examinations'!A:D, 4, FALSE)</f>
        <v>Prediabetes</v>
      </c>
    </row>
    <row r="2200" spans="1:11" ht="15.5" x14ac:dyDescent="0.35">
      <c r="A2200" s="1" t="s">
        <v>159</v>
      </c>
      <c r="B2200" t="str">
        <f>VLOOKUP($A2200, 'Customer Names'!A:D, 3, FALSE)</f>
        <v>Gehlsen</v>
      </c>
      <c r="C2200">
        <f>VLOOKUP($A2200,'Medical Examinations'!A:C, 3, FALSE)</f>
        <v>35.53</v>
      </c>
      <c r="D2200" t="str">
        <f>VLOOKUP($A2200, 'Medical Examinations'!A:D, 4, FALSE)</f>
        <v>Normal</v>
      </c>
      <c r="E2200" t="str">
        <f>VLOOKUP($A2200, 'Medical Examinations'!A:F, 6, FALSE)</f>
        <v>No</v>
      </c>
      <c r="F2200" t="str">
        <f>VLOOKUP($A2200, 'Medical Examinations'!A:G, 7, FALSE)</f>
        <v>No</v>
      </c>
      <c r="G2200" t="str">
        <f>VLOOKUP($A2200, 'Medical Examinations'!A:H, 8, FALSE)</f>
        <v>Yes</v>
      </c>
      <c r="H2200">
        <f>VLOOKUP($A2200, 'Medical Examinations'!A:J, 10, FALSE)</f>
        <v>1</v>
      </c>
      <c r="I2200" t="str">
        <f>VLOOKUP($A2200, 'Medical Examinations'!A:K, 11, FALSE)</f>
        <v>No</v>
      </c>
      <c r="J2200" t="str">
        <f>VLOOKUP($A2200, 'Medical Examinations'!A:B, 2, FALSE)</f>
        <v>Obesity</v>
      </c>
      <c r="K2200" t="str">
        <f>VLOOKUP($A2200, 'Medical Examinations'!A:D, 4, FALSE)</f>
        <v>Normal</v>
      </c>
    </row>
    <row r="2201" spans="1:11" ht="15.5" x14ac:dyDescent="0.35">
      <c r="A2201" s="1" t="s">
        <v>158</v>
      </c>
      <c r="B2201" t="str">
        <f>VLOOKUP($A2201, 'Customer Names'!A:D, 3, FALSE)</f>
        <v>Roche</v>
      </c>
      <c r="C2201">
        <f>VLOOKUP($A2201,'Medical Examinations'!A:C, 3, FALSE)</f>
        <v>30.59</v>
      </c>
      <c r="D2201" t="str">
        <f>VLOOKUP($A2201, 'Medical Examinations'!A:D, 4, FALSE)</f>
        <v>Normal</v>
      </c>
      <c r="E2201" t="str">
        <f>VLOOKUP($A2201, 'Medical Examinations'!A:F, 6, FALSE)</f>
        <v>No</v>
      </c>
      <c r="F2201" t="str">
        <f>VLOOKUP($A2201, 'Medical Examinations'!A:G, 7, FALSE)</f>
        <v>No</v>
      </c>
      <c r="G2201" t="str">
        <f>VLOOKUP($A2201, 'Medical Examinations'!A:H, 8, FALSE)</f>
        <v>Yes</v>
      </c>
      <c r="H2201">
        <f>VLOOKUP($A2201, 'Medical Examinations'!A:J, 10, FALSE)</f>
        <v>1</v>
      </c>
      <c r="I2201" t="str">
        <f>VLOOKUP($A2201, 'Medical Examinations'!A:K, 11, FALSE)</f>
        <v>No</v>
      </c>
      <c r="J2201" t="str">
        <f>VLOOKUP($A2201, 'Medical Examinations'!A:B, 2, FALSE)</f>
        <v>Obesity</v>
      </c>
      <c r="K2201" t="str">
        <f>VLOOKUP($A2201, 'Medical Examinations'!A:D, 4, FALSE)</f>
        <v>Normal</v>
      </c>
    </row>
    <row r="2202" spans="1:11" ht="15.5" x14ac:dyDescent="0.35">
      <c r="A2202" s="1" t="s">
        <v>157</v>
      </c>
      <c r="B2202" t="str">
        <f>VLOOKUP($A2202, 'Customer Names'!A:D, 3, FALSE)</f>
        <v>Hearn</v>
      </c>
      <c r="C2202">
        <f>VLOOKUP($A2202,'Medical Examinations'!A:C, 3, FALSE)</f>
        <v>30.59</v>
      </c>
      <c r="D2202" t="str">
        <f>VLOOKUP($A2202, 'Medical Examinations'!A:D, 4, FALSE)</f>
        <v>Normal</v>
      </c>
      <c r="E2202" t="str">
        <f>VLOOKUP($A2202, 'Medical Examinations'!A:F, 6, FALSE)</f>
        <v>No</v>
      </c>
      <c r="F2202" t="str">
        <f>VLOOKUP($A2202, 'Medical Examinations'!A:G, 7, FALSE)</f>
        <v>No</v>
      </c>
      <c r="G2202" t="str">
        <f>VLOOKUP($A2202, 'Medical Examinations'!A:H, 8, FALSE)</f>
        <v>Yes</v>
      </c>
      <c r="H2202">
        <f>VLOOKUP($A2202, 'Medical Examinations'!A:J, 10, FALSE)</f>
        <v>1</v>
      </c>
      <c r="I2202" t="str">
        <f>VLOOKUP($A2202, 'Medical Examinations'!A:K, 11, FALSE)</f>
        <v>No</v>
      </c>
      <c r="J2202" t="str">
        <f>VLOOKUP($A2202, 'Medical Examinations'!A:B, 2, FALSE)</f>
        <v>Obesity</v>
      </c>
      <c r="K2202" t="str">
        <f>VLOOKUP($A2202, 'Medical Examinations'!A:D, 4, FALSE)</f>
        <v>Normal</v>
      </c>
    </row>
    <row r="2203" spans="1:11" ht="15.5" x14ac:dyDescent="0.35">
      <c r="A2203" s="1" t="s">
        <v>156</v>
      </c>
      <c r="B2203" t="str">
        <f>VLOOKUP($A2203, 'Customer Names'!A:D, 3, FALSE)</f>
        <v>Dimson</v>
      </c>
      <c r="C2203">
        <f>VLOOKUP($A2203,'Medical Examinations'!A:C, 3, FALSE)</f>
        <v>27.835000000000001</v>
      </c>
      <c r="D2203" t="str">
        <f>VLOOKUP($A2203, 'Medical Examinations'!A:D, 4, FALSE)</f>
        <v>Normal</v>
      </c>
      <c r="E2203" t="str">
        <f>VLOOKUP($A2203, 'Medical Examinations'!A:F, 6, FALSE)</f>
        <v>No</v>
      </c>
      <c r="F2203" t="str">
        <f>VLOOKUP($A2203, 'Medical Examinations'!A:G, 7, FALSE)</f>
        <v>No</v>
      </c>
      <c r="G2203" t="str">
        <f>VLOOKUP($A2203, 'Medical Examinations'!A:H, 8, FALSE)</f>
        <v>Yes</v>
      </c>
      <c r="H2203">
        <f>VLOOKUP($A2203, 'Medical Examinations'!A:J, 10, FALSE)</f>
        <v>1</v>
      </c>
      <c r="I2203" t="str">
        <f>VLOOKUP($A2203, 'Medical Examinations'!A:K, 11, FALSE)</f>
        <v>No</v>
      </c>
      <c r="J2203" t="str">
        <f>VLOOKUP($A2203, 'Medical Examinations'!A:B, 2, FALSE)</f>
        <v>Overweight</v>
      </c>
      <c r="K2203" t="str">
        <f>VLOOKUP($A2203, 'Medical Examinations'!A:D, 4, FALSE)</f>
        <v>Normal</v>
      </c>
    </row>
    <row r="2204" spans="1:11" ht="15.5" x14ac:dyDescent="0.35">
      <c r="A2204" s="1" t="s">
        <v>155</v>
      </c>
      <c r="B2204" t="str">
        <f>VLOOKUP($A2204, 'Customer Names'!A:D, 3, FALSE)</f>
        <v>Slason</v>
      </c>
      <c r="C2204">
        <f>VLOOKUP($A2204,'Medical Examinations'!A:C, 3, FALSE)</f>
        <v>40.26</v>
      </c>
      <c r="D2204" t="str">
        <f>VLOOKUP($A2204, 'Medical Examinations'!A:D, 4, FALSE)</f>
        <v>Normal</v>
      </c>
      <c r="E2204" t="str">
        <f>VLOOKUP($A2204, 'Medical Examinations'!A:F, 6, FALSE)</f>
        <v>No</v>
      </c>
      <c r="F2204" t="str">
        <f>VLOOKUP($A2204, 'Medical Examinations'!A:G, 7, FALSE)</f>
        <v>yes</v>
      </c>
      <c r="G2204" t="str">
        <f>VLOOKUP($A2204, 'Medical Examinations'!A:H, 8, FALSE)</f>
        <v>No</v>
      </c>
      <c r="H2204">
        <f>VLOOKUP($A2204, 'Medical Examinations'!A:J, 10, FALSE)</f>
        <v>1</v>
      </c>
      <c r="I2204" t="str">
        <f>VLOOKUP($A2204, 'Medical Examinations'!A:K, 11, FALSE)</f>
        <v>No</v>
      </c>
      <c r="J2204" t="str">
        <f>VLOOKUP($A2204, 'Medical Examinations'!A:B, 2, FALSE)</f>
        <v>Obesity</v>
      </c>
      <c r="K2204" t="str">
        <f>VLOOKUP($A2204, 'Medical Examinations'!A:D, 4, FALSE)</f>
        <v>Normal</v>
      </c>
    </row>
    <row r="2205" spans="1:11" ht="15.5" x14ac:dyDescent="0.35">
      <c r="A2205" s="1" t="s">
        <v>154</v>
      </c>
      <c r="B2205" t="str">
        <f>VLOOKUP($A2205, 'Customer Names'!A:D, 3, FALSE)</f>
        <v>Gibson</v>
      </c>
      <c r="C2205">
        <f>VLOOKUP($A2205,'Medical Examinations'!A:C, 3, FALSE)</f>
        <v>39.82</v>
      </c>
      <c r="D2205" t="str">
        <f>VLOOKUP($A2205, 'Medical Examinations'!A:D, 4, FALSE)</f>
        <v>Prediabetes</v>
      </c>
      <c r="E2205" t="str">
        <f>VLOOKUP($A2205, 'Medical Examinations'!A:F, 6, FALSE)</f>
        <v>No</v>
      </c>
      <c r="F2205" t="str">
        <f>VLOOKUP($A2205, 'Medical Examinations'!A:G, 7, FALSE)</f>
        <v>yes</v>
      </c>
      <c r="G2205" t="str">
        <f>VLOOKUP($A2205, 'Medical Examinations'!A:H, 8, FALSE)</f>
        <v>No</v>
      </c>
      <c r="H2205">
        <f>VLOOKUP($A2205, 'Medical Examinations'!A:J, 10, FALSE)</f>
        <v>1</v>
      </c>
      <c r="I2205" t="str">
        <f>VLOOKUP($A2205, 'Medical Examinations'!A:K, 11, FALSE)</f>
        <v>No</v>
      </c>
      <c r="J2205" t="str">
        <f>VLOOKUP($A2205, 'Medical Examinations'!A:B, 2, FALSE)</f>
        <v>Obesity</v>
      </c>
      <c r="K2205" t="str">
        <f>VLOOKUP($A2205, 'Medical Examinations'!A:D, 4, FALSE)</f>
        <v>Prediabetes</v>
      </c>
    </row>
    <row r="2206" spans="1:11" ht="15.5" x14ac:dyDescent="0.35">
      <c r="A2206" s="1" t="s">
        <v>153</v>
      </c>
      <c r="B2206" t="str">
        <f>VLOOKUP($A2206, 'Customer Names'!A:D, 3, FALSE)</f>
        <v>Erdos</v>
      </c>
      <c r="C2206">
        <f>VLOOKUP($A2206,'Medical Examinations'!A:C, 3, FALSE)</f>
        <v>39.159999999999997</v>
      </c>
      <c r="D2206" t="str">
        <f>VLOOKUP($A2206, 'Medical Examinations'!A:D, 4, FALSE)</f>
        <v>Prediabetes</v>
      </c>
      <c r="E2206" t="str">
        <f>VLOOKUP($A2206, 'Medical Examinations'!A:F, 6, FALSE)</f>
        <v>No</v>
      </c>
      <c r="F2206" t="str">
        <f>VLOOKUP($A2206, 'Medical Examinations'!A:G, 7, FALSE)</f>
        <v>yes</v>
      </c>
      <c r="G2206" t="str">
        <f>VLOOKUP($A2206, 'Medical Examinations'!A:H, 8, FALSE)</f>
        <v>No</v>
      </c>
      <c r="H2206">
        <f>VLOOKUP($A2206, 'Medical Examinations'!A:J, 10, FALSE)</f>
        <v>1</v>
      </c>
      <c r="I2206" t="str">
        <f>VLOOKUP($A2206, 'Medical Examinations'!A:K, 11, FALSE)</f>
        <v>No</v>
      </c>
      <c r="J2206" t="str">
        <f>VLOOKUP($A2206, 'Medical Examinations'!A:B, 2, FALSE)</f>
        <v>Obesity</v>
      </c>
      <c r="K2206" t="str">
        <f>VLOOKUP($A2206, 'Medical Examinations'!A:D, 4, FALSE)</f>
        <v>Prediabetes</v>
      </c>
    </row>
    <row r="2207" spans="1:11" ht="15.5" x14ac:dyDescent="0.35">
      <c r="A2207" s="1" t="s">
        <v>152</v>
      </c>
      <c r="B2207" t="str">
        <f>VLOOKUP($A2207, 'Customer Names'!A:D, 3, FALSE)</f>
        <v>Cushman</v>
      </c>
      <c r="C2207">
        <f>VLOOKUP($A2207,'Medical Examinations'!A:C, 3, FALSE)</f>
        <v>25.555</v>
      </c>
      <c r="D2207" t="str">
        <f>VLOOKUP($A2207, 'Medical Examinations'!A:D, 4, FALSE)</f>
        <v>Normal</v>
      </c>
      <c r="E2207" t="str">
        <f>VLOOKUP($A2207, 'Medical Examinations'!A:F, 6, FALSE)</f>
        <v>No</v>
      </c>
      <c r="F2207" t="str">
        <f>VLOOKUP($A2207, 'Medical Examinations'!A:G, 7, FALSE)</f>
        <v>No</v>
      </c>
      <c r="G2207" t="str">
        <f>VLOOKUP($A2207, 'Medical Examinations'!A:H, 8, FALSE)</f>
        <v>Yes</v>
      </c>
      <c r="H2207">
        <f>VLOOKUP($A2207, 'Medical Examinations'!A:J, 10, FALSE)</f>
        <v>1</v>
      </c>
      <c r="I2207" t="str">
        <f>VLOOKUP($A2207, 'Medical Examinations'!A:K, 11, FALSE)</f>
        <v>No</v>
      </c>
      <c r="J2207" t="str">
        <f>VLOOKUP($A2207, 'Medical Examinations'!A:B, 2, FALSE)</f>
        <v>Overweight</v>
      </c>
      <c r="K2207" t="str">
        <f>VLOOKUP($A2207, 'Medical Examinations'!A:D, 4, FALSE)</f>
        <v>Normal</v>
      </c>
    </row>
    <row r="2208" spans="1:11" ht="15.5" x14ac:dyDescent="0.35">
      <c r="A2208" s="1" t="s">
        <v>151</v>
      </c>
      <c r="B2208" t="str">
        <f>VLOOKUP($A2208, 'Customer Names'!A:D, 3, FALSE)</f>
        <v>Hammel</v>
      </c>
      <c r="C2208">
        <f>VLOOKUP($A2208,'Medical Examinations'!A:C, 3, FALSE)</f>
        <v>25.175000000000001</v>
      </c>
      <c r="D2208" t="str">
        <f>VLOOKUP($A2208, 'Medical Examinations'!A:D, 4, FALSE)</f>
        <v>Prediabetes</v>
      </c>
      <c r="E2208" t="str">
        <f>VLOOKUP($A2208, 'Medical Examinations'!A:F, 6, FALSE)</f>
        <v>No</v>
      </c>
      <c r="F2208" t="str">
        <f>VLOOKUP($A2208, 'Medical Examinations'!A:G, 7, FALSE)</f>
        <v>No</v>
      </c>
      <c r="G2208" t="str">
        <f>VLOOKUP($A2208, 'Medical Examinations'!A:H, 8, FALSE)</f>
        <v>Yes</v>
      </c>
      <c r="H2208">
        <f>VLOOKUP($A2208, 'Medical Examinations'!A:J, 10, FALSE)</f>
        <v>1</v>
      </c>
      <c r="I2208" t="str">
        <f>VLOOKUP($A2208, 'Medical Examinations'!A:K, 11, FALSE)</f>
        <v>No</v>
      </c>
      <c r="J2208" t="str">
        <f>VLOOKUP($A2208, 'Medical Examinations'!A:B, 2, FALSE)</f>
        <v>Overweight</v>
      </c>
      <c r="K2208" t="str">
        <f>VLOOKUP($A2208, 'Medical Examinations'!A:D, 4, FALSE)</f>
        <v>Prediabetes</v>
      </c>
    </row>
    <row r="2209" spans="1:11" ht="15.5" x14ac:dyDescent="0.35">
      <c r="A2209" s="1" t="s">
        <v>150</v>
      </c>
      <c r="B2209" t="str">
        <f>VLOOKUP($A2209, 'Customer Names'!A:D, 3, FALSE)</f>
        <v>Ytterstad</v>
      </c>
      <c r="C2209">
        <f>VLOOKUP($A2209,'Medical Examinations'!A:C, 3, FALSE)</f>
        <v>38.28</v>
      </c>
      <c r="D2209" t="str">
        <f>VLOOKUP($A2209, 'Medical Examinations'!A:D, 4, FALSE)</f>
        <v>Normal</v>
      </c>
      <c r="E2209" t="str">
        <f>VLOOKUP($A2209, 'Medical Examinations'!A:F, 6, FALSE)</f>
        <v>No</v>
      </c>
      <c r="F2209" t="str">
        <f>VLOOKUP($A2209, 'Medical Examinations'!A:G, 7, FALSE)</f>
        <v>yes</v>
      </c>
      <c r="G2209" t="str">
        <f>VLOOKUP($A2209, 'Medical Examinations'!A:H, 8, FALSE)</f>
        <v>No</v>
      </c>
      <c r="H2209">
        <f>VLOOKUP($A2209, 'Medical Examinations'!A:J, 10, FALSE)</f>
        <v>1</v>
      </c>
      <c r="I2209" t="str">
        <f>VLOOKUP($A2209, 'Medical Examinations'!A:K, 11, FALSE)</f>
        <v>No</v>
      </c>
      <c r="J2209" t="str">
        <f>VLOOKUP($A2209, 'Medical Examinations'!A:B, 2, FALSE)</f>
        <v>Obesity</v>
      </c>
      <c r="K2209" t="str">
        <f>VLOOKUP($A2209, 'Medical Examinations'!A:D, 4, FALSE)</f>
        <v>Normal</v>
      </c>
    </row>
    <row r="2210" spans="1:11" ht="15.5" x14ac:dyDescent="0.35">
      <c r="A2210" s="1" t="s">
        <v>149</v>
      </c>
      <c r="B2210" t="str">
        <f>VLOOKUP($A2210, 'Customer Names'!A:D, 3, FALSE)</f>
        <v>Prince</v>
      </c>
      <c r="C2210">
        <f>VLOOKUP($A2210,'Medical Examinations'!A:C, 3, FALSE)</f>
        <v>38.17</v>
      </c>
      <c r="D2210" t="str">
        <f>VLOOKUP($A2210, 'Medical Examinations'!A:D, 4, FALSE)</f>
        <v>Normal</v>
      </c>
      <c r="E2210" t="str">
        <f>VLOOKUP($A2210, 'Medical Examinations'!A:F, 6, FALSE)</f>
        <v>No</v>
      </c>
      <c r="F2210" t="str">
        <f>VLOOKUP($A2210, 'Medical Examinations'!A:G, 7, FALSE)</f>
        <v>yes</v>
      </c>
      <c r="G2210" t="str">
        <f>VLOOKUP($A2210, 'Medical Examinations'!A:H, 8, FALSE)</f>
        <v>No</v>
      </c>
      <c r="H2210">
        <f>VLOOKUP($A2210, 'Medical Examinations'!A:J, 10, FALSE)</f>
        <v>1</v>
      </c>
      <c r="I2210" t="str">
        <f>VLOOKUP($A2210, 'Medical Examinations'!A:K, 11, FALSE)</f>
        <v>No</v>
      </c>
      <c r="J2210" t="str">
        <f>VLOOKUP($A2210, 'Medical Examinations'!A:B, 2, FALSE)</f>
        <v>Obesity</v>
      </c>
      <c r="K2210" t="str">
        <f>VLOOKUP($A2210, 'Medical Examinations'!A:D, 4, FALSE)</f>
        <v>Normal</v>
      </c>
    </row>
    <row r="2211" spans="1:11" ht="15.5" x14ac:dyDescent="0.35">
      <c r="A2211" s="1" t="s">
        <v>148</v>
      </c>
      <c r="B2211" t="str">
        <f>VLOOKUP($A2211, 'Customer Names'!A:D, 3, FALSE)</f>
        <v>Freeman</v>
      </c>
      <c r="C2211">
        <f>VLOOKUP($A2211,'Medical Examinations'!A:C, 3, FALSE)</f>
        <v>36.85</v>
      </c>
      <c r="D2211" t="str">
        <f>VLOOKUP($A2211, 'Medical Examinations'!A:D, 4, FALSE)</f>
        <v>Normal</v>
      </c>
      <c r="E2211" t="str">
        <f>VLOOKUP($A2211, 'Medical Examinations'!A:F, 6, FALSE)</f>
        <v>No</v>
      </c>
      <c r="F2211" t="str">
        <f>VLOOKUP($A2211, 'Medical Examinations'!A:G, 7, FALSE)</f>
        <v>yes</v>
      </c>
      <c r="G2211" t="str">
        <f>VLOOKUP($A2211, 'Medical Examinations'!A:H, 8, FALSE)</f>
        <v>No</v>
      </c>
      <c r="H2211">
        <f>VLOOKUP($A2211, 'Medical Examinations'!A:J, 10, FALSE)</f>
        <v>1</v>
      </c>
      <c r="I2211" t="str">
        <f>VLOOKUP($A2211, 'Medical Examinations'!A:K, 11, FALSE)</f>
        <v>No</v>
      </c>
      <c r="J2211" t="str">
        <f>VLOOKUP($A2211, 'Medical Examinations'!A:B, 2, FALSE)</f>
        <v>Obesity</v>
      </c>
      <c r="K2211" t="str">
        <f>VLOOKUP($A2211, 'Medical Examinations'!A:D, 4, FALSE)</f>
        <v>Normal</v>
      </c>
    </row>
    <row r="2212" spans="1:11" ht="15.5" x14ac:dyDescent="0.35">
      <c r="A2212" s="1" t="s">
        <v>147</v>
      </c>
      <c r="B2212" t="str">
        <f>VLOOKUP($A2212, 'Customer Names'!A:D, 3, FALSE)</f>
        <v>Petrulak</v>
      </c>
      <c r="C2212">
        <f>VLOOKUP($A2212,'Medical Examinations'!A:C, 3, FALSE)</f>
        <v>22.61</v>
      </c>
      <c r="D2212" t="str">
        <f>VLOOKUP($A2212, 'Medical Examinations'!A:D, 4, FALSE)</f>
        <v>Normal</v>
      </c>
      <c r="E2212" t="str">
        <f>VLOOKUP($A2212, 'Medical Examinations'!A:F, 6, FALSE)</f>
        <v>No</v>
      </c>
      <c r="F2212" t="str">
        <f>VLOOKUP($A2212, 'Medical Examinations'!A:G, 7, FALSE)</f>
        <v>No</v>
      </c>
      <c r="G2212" t="str">
        <f>VLOOKUP($A2212, 'Medical Examinations'!A:H, 8, FALSE)</f>
        <v>Yes</v>
      </c>
      <c r="H2212">
        <f>VLOOKUP($A2212, 'Medical Examinations'!A:J, 10, FALSE)</f>
        <v>1</v>
      </c>
      <c r="I2212" t="str">
        <f>VLOOKUP($A2212, 'Medical Examinations'!A:K, 11, FALSE)</f>
        <v>No</v>
      </c>
      <c r="J2212" t="str">
        <f>VLOOKUP($A2212, 'Medical Examinations'!A:B, 2, FALSE)</f>
        <v>Normal Weight</v>
      </c>
      <c r="K2212" t="str">
        <f>VLOOKUP($A2212, 'Medical Examinations'!A:D, 4, FALSE)</f>
        <v>Normal</v>
      </c>
    </row>
    <row r="2213" spans="1:11" ht="15.5" x14ac:dyDescent="0.35">
      <c r="A2213" s="1" t="s">
        <v>146</v>
      </c>
      <c r="B2213" t="str">
        <f>VLOOKUP($A2213, 'Customer Names'!A:D, 3, FALSE)</f>
        <v>Lloyd</v>
      </c>
      <c r="C2213">
        <f>VLOOKUP($A2213,'Medical Examinations'!A:C, 3, FALSE)</f>
        <v>21.754999999999999</v>
      </c>
      <c r="D2213" t="str">
        <f>VLOOKUP($A2213, 'Medical Examinations'!A:D, 4, FALSE)</f>
        <v>Prediabetes</v>
      </c>
      <c r="E2213" t="str">
        <f>VLOOKUP($A2213, 'Medical Examinations'!A:F, 6, FALSE)</f>
        <v>No</v>
      </c>
      <c r="F2213" t="str">
        <f>VLOOKUP($A2213, 'Medical Examinations'!A:G, 7, FALSE)</f>
        <v>No</v>
      </c>
      <c r="G2213" t="str">
        <f>VLOOKUP($A2213, 'Medical Examinations'!A:H, 8, FALSE)</f>
        <v>Yes</v>
      </c>
      <c r="H2213">
        <f>VLOOKUP($A2213, 'Medical Examinations'!A:J, 10, FALSE)</f>
        <v>1</v>
      </c>
      <c r="I2213" t="str">
        <f>VLOOKUP($A2213, 'Medical Examinations'!A:K, 11, FALSE)</f>
        <v>No</v>
      </c>
      <c r="J2213" t="str">
        <f>VLOOKUP($A2213, 'Medical Examinations'!A:B, 2, FALSE)</f>
        <v>Normal Weight</v>
      </c>
      <c r="K2213" t="str">
        <f>VLOOKUP($A2213, 'Medical Examinations'!A:D, 4, FALSE)</f>
        <v>Prediabetes</v>
      </c>
    </row>
    <row r="2214" spans="1:11" ht="15.5" x14ac:dyDescent="0.35">
      <c r="A2214" s="1" t="s">
        <v>145</v>
      </c>
      <c r="B2214" t="str">
        <f>VLOOKUP($A2214, 'Customer Names'!A:D, 3, FALSE)</f>
        <v>Zablocki</v>
      </c>
      <c r="C2214">
        <f>VLOOKUP($A2214,'Medical Examinations'!A:C, 3, FALSE)</f>
        <v>20.425000000000001</v>
      </c>
      <c r="D2214" t="str">
        <f>VLOOKUP($A2214, 'Medical Examinations'!A:D, 4, FALSE)</f>
        <v>Normal</v>
      </c>
      <c r="E2214" t="str">
        <f>VLOOKUP($A2214, 'Medical Examinations'!A:F, 6, FALSE)</f>
        <v>No</v>
      </c>
      <c r="F2214" t="str">
        <f>VLOOKUP($A2214, 'Medical Examinations'!A:G, 7, FALSE)</f>
        <v>No</v>
      </c>
      <c r="G2214" t="str">
        <f>VLOOKUP($A2214, 'Medical Examinations'!A:H, 8, FALSE)</f>
        <v>Yes</v>
      </c>
      <c r="H2214">
        <f>VLOOKUP($A2214, 'Medical Examinations'!A:J, 10, FALSE)</f>
        <v>1</v>
      </c>
      <c r="I2214" t="str">
        <f>VLOOKUP($A2214, 'Medical Examinations'!A:K, 11, FALSE)</f>
        <v>No</v>
      </c>
      <c r="J2214" t="str">
        <f>VLOOKUP($A2214, 'Medical Examinations'!A:B, 2, FALSE)</f>
        <v>Normal Weight</v>
      </c>
      <c r="K2214" t="str">
        <f>VLOOKUP($A2214, 'Medical Examinations'!A:D, 4, FALSE)</f>
        <v>Normal</v>
      </c>
    </row>
    <row r="2215" spans="1:11" ht="15.5" x14ac:dyDescent="0.35">
      <c r="A2215" s="1" t="s">
        <v>144</v>
      </c>
      <c r="B2215" t="str">
        <f>VLOOKUP($A2215, 'Customer Names'!A:D, 3, FALSE)</f>
        <v>Van Meter</v>
      </c>
      <c r="C2215">
        <f>VLOOKUP($A2215,'Medical Examinations'!A:C, 3, FALSE)</f>
        <v>31.35</v>
      </c>
      <c r="D2215" t="str">
        <f>VLOOKUP($A2215, 'Medical Examinations'!A:D, 4, FALSE)</f>
        <v>Normal</v>
      </c>
      <c r="E2215" t="str">
        <f>VLOOKUP($A2215, 'Medical Examinations'!A:F, 6, FALSE)</f>
        <v>No</v>
      </c>
      <c r="F2215" t="str">
        <f>VLOOKUP($A2215, 'Medical Examinations'!A:G, 7, FALSE)</f>
        <v>yes</v>
      </c>
      <c r="G2215" t="str">
        <f>VLOOKUP($A2215, 'Medical Examinations'!A:H, 8, FALSE)</f>
        <v>No</v>
      </c>
      <c r="H2215">
        <f>VLOOKUP($A2215, 'Medical Examinations'!A:J, 10, FALSE)</f>
        <v>1</v>
      </c>
      <c r="I2215" t="str">
        <f>VLOOKUP($A2215, 'Medical Examinations'!A:K, 11, FALSE)</f>
        <v>No</v>
      </c>
      <c r="J2215" t="str">
        <f>VLOOKUP($A2215, 'Medical Examinations'!A:B, 2, FALSE)</f>
        <v>Obesity</v>
      </c>
      <c r="K2215" t="str">
        <f>VLOOKUP($A2215, 'Medical Examinations'!A:D, 4, FALSE)</f>
        <v>Normal</v>
      </c>
    </row>
    <row r="2216" spans="1:11" ht="15.5" x14ac:dyDescent="0.35">
      <c r="A2216" s="1" t="s">
        <v>143</v>
      </c>
      <c r="B2216" t="str">
        <f>VLOOKUP($A2216, 'Customer Names'!A:D, 3, FALSE)</f>
        <v>Babay</v>
      </c>
      <c r="C2216">
        <f>VLOOKUP($A2216,'Medical Examinations'!A:C, 3, FALSE)</f>
        <v>31.13</v>
      </c>
      <c r="D2216" t="str">
        <f>VLOOKUP($A2216, 'Medical Examinations'!A:D, 4, FALSE)</f>
        <v>Prediabetes</v>
      </c>
      <c r="E2216" t="str">
        <f>VLOOKUP($A2216, 'Medical Examinations'!A:F, 6, FALSE)</f>
        <v>No</v>
      </c>
      <c r="F2216" t="str">
        <f>VLOOKUP($A2216, 'Medical Examinations'!A:G, 7, FALSE)</f>
        <v>yes</v>
      </c>
      <c r="G2216" t="str">
        <f>VLOOKUP($A2216, 'Medical Examinations'!A:H, 8, FALSE)</f>
        <v>No</v>
      </c>
      <c r="H2216">
        <f>VLOOKUP($A2216, 'Medical Examinations'!A:J, 10, FALSE)</f>
        <v>1</v>
      </c>
      <c r="I2216" t="str">
        <f>VLOOKUP($A2216, 'Medical Examinations'!A:K, 11, FALSE)</f>
        <v>No</v>
      </c>
      <c r="J2216" t="str">
        <f>VLOOKUP($A2216, 'Medical Examinations'!A:B, 2, FALSE)</f>
        <v>Obesity</v>
      </c>
      <c r="K2216" t="str">
        <f>VLOOKUP($A2216, 'Medical Examinations'!A:D, 4, FALSE)</f>
        <v>Prediabetes</v>
      </c>
    </row>
    <row r="2217" spans="1:11" ht="15.5" x14ac:dyDescent="0.35">
      <c r="A2217" s="1" t="s">
        <v>142</v>
      </c>
      <c r="B2217" t="str">
        <f>VLOOKUP($A2217, 'Customer Names'!A:D, 3, FALSE)</f>
        <v>Taylor</v>
      </c>
      <c r="C2217">
        <f>VLOOKUP($A2217,'Medical Examinations'!A:C, 3, FALSE)</f>
        <v>17.48</v>
      </c>
      <c r="D2217" t="str">
        <f>VLOOKUP($A2217, 'Medical Examinations'!A:D, 4, FALSE)</f>
        <v>Normal</v>
      </c>
      <c r="E2217" t="str">
        <f>VLOOKUP($A2217, 'Medical Examinations'!A:F, 6, FALSE)</f>
        <v>No</v>
      </c>
      <c r="F2217" t="str">
        <f>VLOOKUP($A2217, 'Medical Examinations'!A:G, 7, FALSE)</f>
        <v>No</v>
      </c>
      <c r="G2217" t="str">
        <f>VLOOKUP($A2217, 'Medical Examinations'!A:H, 8, FALSE)</f>
        <v>Yes</v>
      </c>
      <c r="H2217">
        <f>VLOOKUP($A2217, 'Medical Examinations'!A:J, 10, FALSE)</f>
        <v>1</v>
      </c>
      <c r="I2217" t="str">
        <f>VLOOKUP($A2217, 'Medical Examinations'!A:K, 11, FALSE)</f>
        <v>No</v>
      </c>
      <c r="J2217" t="str">
        <f>VLOOKUP($A2217, 'Medical Examinations'!A:B, 2, FALSE)</f>
        <v>Underweight</v>
      </c>
      <c r="K2217" t="str">
        <f>VLOOKUP($A2217, 'Medical Examinations'!A:D, 4, FALSE)</f>
        <v>Normal</v>
      </c>
    </row>
    <row r="2218" spans="1:11" ht="15.5" x14ac:dyDescent="0.35">
      <c r="A2218" s="1" t="s">
        <v>141</v>
      </c>
      <c r="B2218" t="str">
        <f>VLOOKUP($A2218, 'Customer Names'!A:D, 3, FALSE)</f>
        <v>Smith</v>
      </c>
      <c r="C2218">
        <f>VLOOKUP($A2218,'Medical Examinations'!A:C, 3, FALSE)</f>
        <v>22.57</v>
      </c>
      <c r="D2218" t="str">
        <f>VLOOKUP($A2218, 'Medical Examinations'!A:D, 4, FALSE)</f>
        <v>Prediabetes</v>
      </c>
      <c r="E2218" t="str">
        <f>VLOOKUP($A2218, 'Medical Examinations'!A:F, 6, FALSE)</f>
        <v>yes</v>
      </c>
      <c r="F2218" t="str">
        <f>VLOOKUP($A2218, 'Medical Examinations'!A:G, 7, FALSE)</f>
        <v>No</v>
      </c>
      <c r="G2218" t="str">
        <f>VLOOKUP($A2218, 'Medical Examinations'!A:H, 8, FALSE)</f>
        <v>No</v>
      </c>
      <c r="H2218">
        <f>VLOOKUP($A2218, 'Medical Examinations'!A:J, 10, FALSE)</f>
        <v>1</v>
      </c>
      <c r="I2218" t="str">
        <f>VLOOKUP($A2218, 'Medical Examinations'!A:K, 11, FALSE)</f>
        <v>No</v>
      </c>
      <c r="J2218" t="str">
        <f>VLOOKUP($A2218, 'Medical Examinations'!A:B, 2, FALSE)</f>
        <v>Normal Weight</v>
      </c>
      <c r="K2218" t="str">
        <f>VLOOKUP($A2218, 'Medical Examinations'!A:D, 4, FALSE)</f>
        <v>Prediabetes</v>
      </c>
    </row>
    <row r="2219" spans="1:11" ht="15.5" x14ac:dyDescent="0.35">
      <c r="A2219" s="1" t="s">
        <v>140</v>
      </c>
      <c r="B2219" t="str">
        <f>VLOOKUP($A2219, 'Customer Names'!A:D, 3, FALSE)</f>
        <v>Moody</v>
      </c>
      <c r="C2219">
        <f>VLOOKUP($A2219,'Medical Examinations'!A:C, 3, FALSE)</f>
        <v>26.73</v>
      </c>
      <c r="D2219" t="str">
        <f>VLOOKUP($A2219, 'Medical Examinations'!A:D, 4, FALSE)</f>
        <v>Normal</v>
      </c>
      <c r="E2219" t="str">
        <f>VLOOKUP($A2219, 'Medical Examinations'!A:F, 6, FALSE)</f>
        <v>No</v>
      </c>
      <c r="F2219" t="str">
        <f>VLOOKUP($A2219, 'Medical Examinations'!A:G, 7, FALSE)</f>
        <v>yes</v>
      </c>
      <c r="G2219" t="str">
        <f>VLOOKUP($A2219, 'Medical Examinations'!A:H, 8, FALSE)</f>
        <v>No</v>
      </c>
      <c r="H2219">
        <f>VLOOKUP($A2219, 'Medical Examinations'!A:J, 10, FALSE)</f>
        <v>1</v>
      </c>
      <c r="I2219" t="str">
        <f>VLOOKUP($A2219, 'Medical Examinations'!A:K, 11, FALSE)</f>
        <v>No</v>
      </c>
      <c r="J2219" t="str">
        <f>VLOOKUP($A2219, 'Medical Examinations'!A:B, 2, FALSE)</f>
        <v>Overweight</v>
      </c>
      <c r="K2219" t="str">
        <f>VLOOKUP($A2219, 'Medical Examinations'!A:D, 4, FALSE)</f>
        <v>Normal</v>
      </c>
    </row>
    <row r="2220" spans="1:11" ht="15.5" x14ac:dyDescent="0.35">
      <c r="A2220" s="1" t="s">
        <v>139</v>
      </c>
      <c r="B2220" t="str">
        <f>VLOOKUP($A2220, 'Customer Names'!A:D, 3, FALSE)</f>
        <v>Swierzbinski</v>
      </c>
      <c r="C2220">
        <f>VLOOKUP($A2220,'Medical Examinations'!A:C, 3, FALSE)</f>
        <v>20.79</v>
      </c>
      <c r="D2220" t="str">
        <f>VLOOKUP($A2220, 'Medical Examinations'!A:D, 4, FALSE)</f>
        <v>Prediabetes</v>
      </c>
      <c r="E2220" t="str">
        <f>VLOOKUP($A2220, 'Medical Examinations'!A:F, 6, FALSE)</f>
        <v>No</v>
      </c>
      <c r="F2220" t="str">
        <f>VLOOKUP($A2220, 'Medical Examinations'!A:G, 7, FALSE)</f>
        <v>yes</v>
      </c>
      <c r="G2220" t="str">
        <f>VLOOKUP($A2220, 'Medical Examinations'!A:H, 8, FALSE)</f>
        <v>No</v>
      </c>
      <c r="H2220">
        <f>VLOOKUP($A2220, 'Medical Examinations'!A:J, 10, FALSE)</f>
        <v>1</v>
      </c>
      <c r="I2220" t="str">
        <f>VLOOKUP($A2220, 'Medical Examinations'!A:K, 11, FALSE)</f>
        <v>No</v>
      </c>
      <c r="J2220" t="str">
        <f>VLOOKUP($A2220, 'Medical Examinations'!A:B, 2, FALSE)</f>
        <v>Normal Weight</v>
      </c>
      <c r="K2220" t="str">
        <f>VLOOKUP($A2220, 'Medical Examinations'!A:D, 4, FALSE)</f>
        <v>Prediabetes</v>
      </c>
    </row>
    <row r="2221" spans="1:11" ht="15.5" x14ac:dyDescent="0.35">
      <c r="A2221" s="1" t="s">
        <v>138</v>
      </c>
      <c r="B2221" t="str">
        <f>VLOOKUP($A2221, 'Customer Names'!A:D, 3, FALSE)</f>
        <v>Schwartz</v>
      </c>
      <c r="C2221">
        <f>VLOOKUP($A2221,'Medical Examinations'!A:C, 3, FALSE)</f>
        <v>20.149999999999999</v>
      </c>
      <c r="D2221" t="str">
        <f>VLOOKUP($A2221, 'Medical Examinations'!A:D, 4, FALSE)</f>
        <v>Normal</v>
      </c>
      <c r="E2221" t="str">
        <f>VLOOKUP($A2221, 'Medical Examinations'!A:F, 6, FALSE)</f>
        <v>No</v>
      </c>
      <c r="F2221" t="str">
        <f>VLOOKUP($A2221, 'Medical Examinations'!A:G, 7, FALSE)</f>
        <v>No</v>
      </c>
      <c r="G2221" t="str">
        <f>VLOOKUP($A2221, 'Medical Examinations'!A:H, 8, FALSE)</f>
        <v>No</v>
      </c>
      <c r="H2221">
        <f>VLOOKUP($A2221, 'Medical Examinations'!A:J, 10, FALSE)</f>
        <v>1</v>
      </c>
      <c r="I2221" t="str">
        <f>VLOOKUP($A2221, 'Medical Examinations'!A:K, 11, FALSE)</f>
        <v>No</v>
      </c>
      <c r="J2221" t="str">
        <f>VLOOKUP($A2221, 'Medical Examinations'!A:B, 2, FALSE)</f>
        <v>Normal Weight</v>
      </c>
      <c r="K2221" t="str">
        <f>VLOOKUP($A2221, 'Medical Examinations'!A:D, 4, FALSE)</f>
        <v>Normal</v>
      </c>
    </row>
    <row r="2222" spans="1:11" ht="15.5" x14ac:dyDescent="0.35">
      <c r="A2222" s="1" t="s">
        <v>137</v>
      </c>
      <c r="B2222" t="str">
        <f>VLOOKUP($A2222, 'Customer Names'!A:D, 3, FALSE)</f>
        <v>Sanseverino</v>
      </c>
      <c r="C2222">
        <f>VLOOKUP($A2222,'Medical Examinations'!A:C, 3, FALSE)</f>
        <v>36.85</v>
      </c>
      <c r="D2222" t="str">
        <f>VLOOKUP($A2222, 'Medical Examinations'!A:D, 4, FALSE)</f>
        <v>Normal</v>
      </c>
      <c r="E2222" t="str">
        <f>VLOOKUP($A2222, 'Medical Examinations'!A:F, 6, FALSE)</f>
        <v>yes</v>
      </c>
      <c r="F2222" t="str">
        <f>VLOOKUP($A2222, 'Medical Examinations'!A:G, 7, FALSE)</f>
        <v>No</v>
      </c>
      <c r="G2222" t="str">
        <f>VLOOKUP($A2222, 'Medical Examinations'!A:H, 8, FALSE)</f>
        <v>No</v>
      </c>
      <c r="H2222" t="str">
        <f>VLOOKUP($A2222, 'Medical Examinations'!A:J, 10, FALSE)</f>
        <v>No major surgery</v>
      </c>
      <c r="I2222" t="str">
        <f>VLOOKUP($A2222, 'Medical Examinations'!A:K, 11, FALSE)</f>
        <v>No</v>
      </c>
      <c r="J2222" t="str">
        <f>VLOOKUP($A2222, 'Medical Examinations'!A:B, 2, FALSE)</f>
        <v>Obesity</v>
      </c>
      <c r="K2222" t="str">
        <f>VLOOKUP($A2222, 'Medical Examinations'!A:D, 4, FALSE)</f>
        <v>Normal</v>
      </c>
    </row>
    <row r="2223" spans="1:11" ht="15.5" x14ac:dyDescent="0.35">
      <c r="A2223" s="1" t="s">
        <v>136</v>
      </c>
      <c r="B2223" t="str">
        <f>VLOOKUP($A2223, 'Customer Names'!A:D, 3, FALSE)</f>
        <v>Lawder</v>
      </c>
      <c r="C2223">
        <f>VLOOKUP($A2223,'Medical Examinations'!A:C, 3, FALSE)</f>
        <v>35.53</v>
      </c>
      <c r="D2223" t="str">
        <f>VLOOKUP($A2223, 'Medical Examinations'!A:D, 4, FALSE)</f>
        <v>Normal</v>
      </c>
      <c r="E2223" t="str">
        <f>VLOOKUP($A2223, 'Medical Examinations'!A:F, 6, FALSE)</f>
        <v>yes</v>
      </c>
      <c r="F2223" t="str">
        <f>VLOOKUP($A2223, 'Medical Examinations'!A:G, 7, FALSE)</f>
        <v>No</v>
      </c>
      <c r="G2223" t="str">
        <f>VLOOKUP($A2223, 'Medical Examinations'!A:H, 8, FALSE)</f>
        <v>No</v>
      </c>
      <c r="H2223" t="str">
        <f>VLOOKUP($A2223, 'Medical Examinations'!A:J, 10, FALSE)</f>
        <v>No major surgery</v>
      </c>
      <c r="I2223" t="str">
        <f>VLOOKUP($A2223, 'Medical Examinations'!A:K, 11, FALSE)</f>
        <v>No</v>
      </c>
      <c r="J2223" t="str">
        <f>VLOOKUP($A2223, 'Medical Examinations'!A:B, 2, FALSE)</f>
        <v>Obesity</v>
      </c>
      <c r="K2223" t="str">
        <f>VLOOKUP($A2223, 'Medical Examinations'!A:D, 4, FALSE)</f>
        <v>Normal</v>
      </c>
    </row>
    <row r="2224" spans="1:11" ht="15.5" x14ac:dyDescent="0.35">
      <c r="A2224" s="1" t="s">
        <v>135</v>
      </c>
      <c r="B2224" t="str">
        <f>VLOOKUP($A2224, 'Customer Names'!A:D, 3, FALSE)</f>
        <v>Young</v>
      </c>
      <c r="C2224">
        <f>VLOOKUP($A2224,'Medical Examinations'!A:C, 3, FALSE)</f>
        <v>31.1</v>
      </c>
      <c r="D2224" t="str">
        <f>VLOOKUP($A2224, 'Medical Examinations'!A:D, 4, FALSE)</f>
        <v>Normal</v>
      </c>
      <c r="E2224" t="str">
        <f>VLOOKUP($A2224, 'Medical Examinations'!A:F, 6, FALSE)</f>
        <v>yes</v>
      </c>
      <c r="F2224" t="str">
        <f>VLOOKUP($A2224, 'Medical Examinations'!A:G, 7, FALSE)</f>
        <v>No</v>
      </c>
      <c r="G2224" t="str">
        <f>VLOOKUP($A2224, 'Medical Examinations'!A:H, 8, FALSE)</f>
        <v>No</v>
      </c>
      <c r="H2224" t="str">
        <f>VLOOKUP($A2224, 'Medical Examinations'!A:J, 10, FALSE)</f>
        <v>No major surgery</v>
      </c>
      <c r="I2224" t="str">
        <f>VLOOKUP($A2224, 'Medical Examinations'!A:K, 11, FALSE)</f>
        <v>No</v>
      </c>
      <c r="J2224" t="str">
        <f>VLOOKUP($A2224, 'Medical Examinations'!A:B, 2, FALSE)</f>
        <v>Obesity</v>
      </c>
      <c r="K2224" t="str">
        <f>VLOOKUP($A2224, 'Medical Examinations'!A:D, 4, FALSE)</f>
        <v>Normal</v>
      </c>
    </row>
    <row r="2225" spans="1:11" ht="15.5" x14ac:dyDescent="0.35">
      <c r="A2225" s="1" t="s">
        <v>134</v>
      </c>
      <c r="B2225" t="str">
        <f>VLOOKUP($A2225, 'Customer Names'!A:D, 3, FALSE)</f>
        <v>Hoerner</v>
      </c>
      <c r="C2225">
        <f>VLOOKUP($A2225,'Medical Examinations'!A:C, 3, FALSE)</f>
        <v>23.21</v>
      </c>
      <c r="D2225" t="str">
        <f>VLOOKUP($A2225, 'Medical Examinations'!A:D, 4, FALSE)</f>
        <v>Normal</v>
      </c>
      <c r="E2225" t="str">
        <f>VLOOKUP($A2225, 'Medical Examinations'!A:F, 6, FALSE)</f>
        <v>yes</v>
      </c>
      <c r="F2225" t="str">
        <f>VLOOKUP($A2225, 'Medical Examinations'!A:G, 7, FALSE)</f>
        <v>No</v>
      </c>
      <c r="G2225" t="str">
        <f>VLOOKUP($A2225, 'Medical Examinations'!A:H, 8, FALSE)</f>
        <v>No</v>
      </c>
      <c r="H2225" t="str">
        <f>VLOOKUP($A2225, 'Medical Examinations'!A:J, 10, FALSE)</f>
        <v>No major surgery</v>
      </c>
      <c r="I2225" t="str">
        <f>VLOOKUP($A2225, 'Medical Examinations'!A:K, 11, FALSE)</f>
        <v>No</v>
      </c>
      <c r="J2225" t="str">
        <f>VLOOKUP($A2225, 'Medical Examinations'!A:B, 2, FALSE)</f>
        <v>Normal Weight</v>
      </c>
      <c r="K2225" t="str">
        <f>VLOOKUP($A2225, 'Medical Examinations'!A:D, 4, FALSE)</f>
        <v>Normal</v>
      </c>
    </row>
    <row r="2226" spans="1:11" ht="15.5" x14ac:dyDescent="0.35">
      <c r="A2226" s="1" t="s">
        <v>133</v>
      </c>
      <c r="B2226" t="str">
        <f>VLOOKUP($A2226, 'Customer Names'!A:D, 3, FALSE)</f>
        <v>Benson</v>
      </c>
      <c r="C2226">
        <f>VLOOKUP($A2226,'Medical Examinations'!A:C, 3, FALSE)</f>
        <v>18.36</v>
      </c>
      <c r="D2226" t="str">
        <f>VLOOKUP($A2226, 'Medical Examinations'!A:D, 4, FALSE)</f>
        <v>Prediabetes</v>
      </c>
      <c r="E2226" t="str">
        <f>VLOOKUP($A2226, 'Medical Examinations'!A:F, 6, FALSE)</f>
        <v>No</v>
      </c>
      <c r="F2226" t="str">
        <f>VLOOKUP($A2226, 'Medical Examinations'!A:G, 7, FALSE)</f>
        <v>No</v>
      </c>
      <c r="G2226" t="str">
        <f>VLOOKUP($A2226, 'Medical Examinations'!A:H, 8, FALSE)</f>
        <v>No</v>
      </c>
      <c r="H2226">
        <f>VLOOKUP($A2226, 'Medical Examinations'!A:J, 10, FALSE)</f>
        <v>1</v>
      </c>
      <c r="I2226" t="str">
        <f>VLOOKUP($A2226, 'Medical Examinations'!A:K, 11, FALSE)</f>
        <v>No</v>
      </c>
      <c r="J2226" t="str">
        <f>VLOOKUP($A2226, 'Medical Examinations'!A:B, 2, FALSE)</f>
        <v>Underweight</v>
      </c>
      <c r="K2226" t="str">
        <f>VLOOKUP($A2226, 'Medical Examinations'!A:D, 4, FALSE)</f>
        <v>Prediabetes</v>
      </c>
    </row>
    <row r="2227" spans="1:11" ht="15.5" x14ac:dyDescent="0.35">
      <c r="A2227" s="1" t="s">
        <v>132</v>
      </c>
      <c r="B2227" t="str">
        <f>VLOOKUP($A2227, 'Customer Names'!A:D, 3, FALSE)</f>
        <v>Horton</v>
      </c>
      <c r="C2227">
        <f>VLOOKUP($A2227,'Medical Examinations'!A:C, 3, FALSE)</f>
        <v>15.92</v>
      </c>
      <c r="D2227" t="str">
        <f>VLOOKUP($A2227, 'Medical Examinations'!A:D, 4, FALSE)</f>
        <v>Normal</v>
      </c>
      <c r="E2227" t="str">
        <f>VLOOKUP($A2227, 'Medical Examinations'!A:F, 6, FALSE)</f>
        <v>yes</v>
      </c>
      <c r="F2227" t="str">
        <f>VLOOKUP($A2227, 'Medical Examinations'!A:G, 7, FALSE)</f>
        <v>No</v>
      </c>
      <c r="G2227" t="str">
        <f>VLOOKUP($A2227, 'Medical Examinations'!A:H, 8, FALSE)</f>
        <v>No</v>
      </c>
      <c r="H2227">
        <f>VLOOKUP($A2227, 'Medical Examinations'!A:J, 10, FALSE)</f>
        <v>1</v>
      </c>
      <c r="I2227" t="str">
        <f>VLOOKUP($A2227, 'Medical Examinations'!A:K, 11, FALSE)</f>
        <v>No</v>
      </c>
      <c r="J2227" t="str">
        <f>VLOOKUP($A2227, 'Medical Examinations'!A:B, 2, FALSE)</f>
        <v>Underweight</v>
      </c>
      <c r="K2227" t="str">
        <f>VLOOKUP($A2227, 'Medical Examinations'!A:D, 4, FALSE)</f>
        <v>Normal</v>
      </c>
    </row>
    <row r="2228" spans="1:11" ht="15.5" x14ac:dyDescent="0.35">
      <c r="A2228" s="1" t="s">
        <v>131</v>
      </c>
      <c r="B2228" t="str">
        <f>VLOOKUP($A2228, 'Customer Names'!A:D, 3, FALSE)</f>
        <v>McGraw</v>
      </c>
      <c r="C2228">
        <f>VLOOKUP($A2228,'Medical Examinations'!A:C, 3, FALSE)</f>
        <v>15.17</v>
      </c>
      <c r="D2228" t="str">
        <f>VLOOKUP($A2228, 'Medical Examinations'!A:D, 4, FALSE)</f>
        <v>Normal</v>
      </c>
      <c r="E2228" t="str">
        <f>VLOOKUP($A2228, 'Medical Examinations'!A:F, 6, FALSE)</f>
        <v>yes</v>
      </c>
      <c r="F2228" t="str">
        <f>VLOOKUP($A2228, 'Medical Examinations'!A:G, 7, FALSE)</f>
        <v>No</v>
      </c>
      <c r="G2228" t="str">
        <f>VLOOKUP($A2228, 'Medical Examinations'!A:H, 8, FALSE)</f>
        <v>Yes</v>
      </c>
      <c r="H2228">
        <f>VLOOKUP($A2228, 'Medical Examinations'!A:J, 10, FALSE)</f>
        <v>1</v>
      </c>
      <c r="I2228" t="str">
        <f>VLOOKUP($A2228, 'Medical Examinations'!A:K, 11, FALSE)</f>
        <v>No</v>
      </c>
      <c r="J2228" t="str">
        <f>VLOOKUP($A2228, 'Medical Examinations'!A:B, 2, FALSE)</f>
        <v>Underweight</v>
      </c>
      <c r="K2228" t="str">
        <f>VLOOKUP($A2228, 'Medical Examinations'!A:D, 4, FALSE)</f>
        <v>Normal</v>
      </c>
    </row>
    <row r="2229" spans="1:11" ht="15.5" x14ac:dyDescent="0.35">
      <c r="A2229" s="1" t="s">
        <v>130</v>
      </c>
      <c r="B2229" t="str">
        <f>VLOOKUP($A2229, 'Customer Names'!A:D, 3, FALSE)</f>
        <v>Beaulne</v>
      </c>
      <c r="C2229">
        <f>VLOOKUP($A2229,'Medical Examinations'!A:C, 3, FALSE)</f>
        <v>16.63</v>
      </c>
      <c r="D2229" t="str">
        <f>VLOOKUP($A2229, 'Medical Examinations'!A:D, 4, FALSE)</f>
        <v>Normal</v>
      </c>
      <c r="E2229" t="str">
        <f>VLOOKUP($A2229, 'Medical Examinations'!A:F, 6, FALSE)</f>
        <v>No</v>
      </c>
      <c r="F2229" t="str">
        <f>VLOOKUP($A2229, 'Medical Examinations'!A:G, 7, FALSE)</f>
        <v>No</v>
      </c>
      <c r="G2229" t="str">
        <f>VLOOKUP($A2229, 'Medical Examinations'!A:H, 8, FALSE)</f>
        <v>No</v>
      </c>
      <c r="H2229">
        <f>VLOOKUP($A2229, 'Medical Examinations'!A:J, 10, FALSE)</f>
        <v>1</v>
      </c>
      <c r="I2229" t="str">
        <f>VLOOKUP($A2229, 'Medical Examinations'!A:K, 11, FALSE)</f>
        <v>No</v>
      </c>
      <c r="J2229" t="str">
        <f>VLOOKUP($A2229, 'Medical Examinations'!A:B, 2, FALSE)</f>
        <v>Underweight</v>
      </c>
      <c r="K2229" t="str">
        <f>VLOOKUP($A2229, 'Medical Examinations'!A:D, 4, FALSE)</f>
        <v>Normal</v>
      </c>
    </row>
    <row r="2230" spans="1:11" ht="15.5" x14ac:dyDescent="0.35">
      <c r="A2230" s="1" t="s">
        <v>129</v>
      </c>
      <c r="B2230" t="str">
        <f>VLOOKUP($A2230, 'Customer Names'!A:D, 3, FALSE)</f>
        <v>Lunz</v>
      </c>
      <c r="C2230">
        <f>VLOOKUP($A2230,'Medical Examinations'!A:C, 3, FALSE)</f>
        <v>19.39</v>
      </c>
      <c r="D2230" t="str">
        <f>VLOOKUP($A2230, 'Medical Examinations'!A:D, 4, FALSE)</f>
        <v>Normal</v>
      </c>
      <c r="E2230" t="str">
        <f>VLOOKUP($A2230, 'Medical Examinations'!A:F, 6, FALSE)</f>
        <v>No</v>
      </c>
      <c r="F2230" t="str">
        <f>VLOOKUP($A2230, 'Medical Examinations'!A:G, 7, FALSE)</f>
        <v>No</v>
      </c>
      <c r="G2230" t="str">
        <f>VLOOKUP($A2230, 'Medical Examinations'!A:H, 8, FALSE)</f>
        <v>Yes</v>
      </c>
      <c r="H2230">
        <f>VLOOKUP($A2230, 'Medical Examinations'!A:J, 10, FALSE)</f>
        <v>1</v>
      </c>
      <c r="I2230" t="str">
        <f>VLOOKUP($A2230, 'Medical Examinations'!A:K, 11, FALSE)</f>
        <v>No</v>
      </c>
      <c r="J2230" t="str">
        <f>VLOOKUP($A2230, 'Medical Examinations'!A:B, 2, FALSE)</f>
        <v>Normal Weight</v>
      </c>
      <c r="K2230" t="str">
        <f>VLOOKUP($A2230, 'Medical Examinations'!A:D, 4, FALSE)</f>
        <v>Normal</v>
      </c>
    </row>
    <row r="2231" spans="1:11" ht="15.5" x14ac:dyDescent="0.35">
      <c r="A2231" s="1" t="s">
        <v>128</v>
      </c>
      <c r="B2231" t="str">
        <f>VLOOKUP($A2231, 'Customer Names'!A:D, 3, FALSE)</f>
        <v>Kyle</v>
      </c>
      <c r="C2231">
        <f>VLOOKUP($A2231,'Medical Examinations'!A:C, 3, FALSE)</f>
        <v>17.34</v>
      </c>
      <c r="D2231" t="str">
        <f>VLOOKUP($A2231, 'Medical Examinations'!A:D, 4, FALSE)</f>
        <v>Prediabetes</v>
      </c>
      <c r="E2231" t="str">
        <f>VLOOKUP($A2231, 'Medical Examinations'!A:F, 6, FALSE)</f>
        <v>yes</v>
      </c>
      <c r="F2231" t="str">
        <f>VLOOKUP($A2231, 'Medical Examinations'!A:G, 7, FALSE)</f>
        <v>No</v>
      </c>
      <c r="G2231" t="str">
        <f>VLOOKUP($A2231, 'Medical Examinations'!A:H, 8, FALSE)</f>
        <v>Yes</v>
      </c>
      <c r="H2231">
        <f>VLOOKUP($A2231, 'Medical Examinations'!A:J, 10, FALSE)</f>
        <v>1</v>
      </c>
      <c r="I2231" t="str">
        <f>VLOOKUP($A2231, 'Medical Examinations'!A:K, 11, FALSE)</f>
        <v>No</v>
      </c>
      <c r="J2231" t="str">
        <f>VLOOKUP($A2231, 'Medical Examinations'!A:B, 2, FALSE)</f>
        <v>Underweight</v>
      </c>
      <c r="K2231" t="str">
        <f>VLOOKUP($A2231, 'Medical Examinations'!A:D, 4, FALSE)</f>
        <v>Prediabetes</v>
      </c>
    </row>
    <row r="2232" spans="1:11" ht="15.5" x14ac:dyDescent="0.35">
      <c r="A2232" s="1" t="s">
        <v>127</v>
      </c>
      <c r="B2232" t="str">
        <f>VLOOKUP($A2232, 'Customer Names'!A:D, 3, FALSE)</f>
        <v>Brackenwagen</v>
      </c>
      <c r="C2232">
        <f>VLOOKUP($A2232,'Medical Examinations'!A:C, 3, FALSE)</f>
        <v>17.940000000000001</v>
      </c>
      <c r="D2232" t="str">
        <f>VLOOKUP($A2232, 'Medical Examinations'!A:D, 4, FALSE)</f>
        <v>Normal</v>
      </c>
      <c r="E2232" t="str">
        <f>VLOOKUP($A2232, 'Medical Examinations'!A:F, 6, FALSE)</f>
        <v>No</v>
      </c>
      <c r="F2232" t="str">
        <f>VLOOKUP($A2232, 'Medical Examinations'!A:G, 7, FALSE)</f>
        <v>yes</v>
      </c>
      <c r="G2232" t="str">
        <f>VLOOKUP($A2232, 'Medical Examinations'!A:H, 8, FALSE)</f>
        <v>No</v>
      </c>
      <c r="H2232">
        <f>VLOOKUP($A2232, 'Medical Examinations'!A:J, 10, FALSE)</f>
        <v>1</v>
      </c>
      <c r="I2232" t="str">
        <f>VLOOKUP($A2232, 'Medical Examinations'!A:K, 11, FALSE)</f>
        <v>No</v>
      </c>
      <c r="J2232" t="str">
        <f>VLOOKUP($A2232, 'Medical Examinations'!A:B, 2, FALSE)</f>
        <v>Underweight</v>
      </c>
      <c r="K2232" t="str">
        <f>VLOOKUP($A2232, 'Medical Examinations'!A:D, 4, FALSE)</f>
        <v>Normal</v>
      </c>
    </row>
    <row r="2233" spans="1:11" ht="15.5" x14ac:dyDescent="0.35">
      <c r="A2233" s="1" t="s">
        <v>126</v>
      </c>
      <c r="B2233" t="str">
        <f>VLOOKUP($A2233, 'Customer Names'!A:D, 3, FALSE)</f>
        <v>Schmitt</v>
      </c>
      <c r="C2233">
        <f>VLOOKUP($A2233,'Medical Examinations'!A:C, 3, FALSE)</f>
        <v>16.670000000000002</v>
      </c>
      <c r="D2233" t="str">
        <f>VLOOKUP($A2233, 'Medical Examinations'!A:D, 4, FALSE)</f>
        <v>Normal</v>
      </c>
      <c r="E2233" t="str">
        <f>VLOOKUP($A2233, 'Medical Examinations'!A:F, 6, FALSE)</f>
        <v>yes</v>
      </c>
      <c r="F2233" t="str">
        <f>VLOOKUP($A2233, 'Medical Examinations'!A:G, 7, FALSE)</f>
        <v>No</v>
      </c>
      <c r="G2233" t="str">
        <f>VLOOKUP($A2233, 'Medical Examinations'!A:H, 8, FALSE)</f>
        <v>Yes</v>
      </c>
      <c r="H2233">
        <f>VLOOKUP($A2233, 'Medical Examinations'!A:J, 10, FALSE)</f>
        <v>1</v>
      </c>
      <c r="I2233" t="str">
        <f>VLOOKUP($A2233, 'Medical Examinations'!A:K, 11, FALSE)</f>
        <v>No</v>
      </c>
      <c r="J2233" t="str">
        <f>VLOOKUP($A2233, 'Medical Examinations'!A:B, 2, FALSE)</f>
        <v>Underweight</v>
      </c>
      <c r="K2233" t="str">
        <f>VLOOKUP($A2233, 'Medical Examinations'!A:D, 4, FALSE)</f>
        <v>Normal</v>
      </c>
    </row>
    <row r="2234" spans="1:11" ht="15.5" x14ac:dyDescent="0.35">
      <c r="A2234" s="1" t="s">
        <v>125</v>
      </c>
      <c r="B2234" t="str">
        <f>VLOOKUP($A2234, 'Customer Names'!A:D, 3, FALSE)</f>
        <v>Borden</v>
      </c>
      <c r="C2234">
        <f>VLOOKUP($A2234,'Medical Examinations'!A:C, 3, FALSE)</f>
        <v>20.58</v>
      </c>
      <c r="D2234" t="str">
        <f>VLOOKUP($A2234, 'Medical Examinations'!A:D, 4, FALSE)</f>
        <v>Normal</v>
      </c>
      <c r="E2234" t="str">
        <f>VLOOKUP($A2234, 'Medical Examinations'!A:F, 6, FALSE)</f>
        <v>yes</v>
      </c>
      <c r="F2234" t="str">
        <f>VLOOKUP($A2234, 'Medical Examinations'!A:G, 7, FALSE)</f>
        <v>No</v>
      </c>
      <c r="G2234" t="str">
        <f>VLOOKUP($A2234, 'Medical Examinations'!A:H, 8, FALSE)</f>
        <v>No</v>
      </c>
      <c r="H2234" t="str">
        <f>VLOOKUP($A2234, 'Medical Examinations'!A:J, 10, FALSE)</f>
        <v>No major surgery</v>
      </c>
      <c r="I2234" t="str">
        <f>VLOOKUP($A2234, 'Medical Examinations'!A:K, 11, FALSE)</f>
        <v>No</v>
      </c>
      <c r="J2234" t="str">
        <f>VLOOKUP($A2234, 'Medical Examinations'!A:B, 2, FALSE)</f>
        <v>Normal Weight</v>
      </c>
      <c r="K2234" t="str">
        <f>VLOOKUP($A2234, 'Medical Examinations'!A:D, 4, FALSE)</f>
        <v>Normal</v>
      </c>
    </row>
    <row r="2235" spans="1:11" ht="15.5" x14ac:dyDescent="0.35">
      <c r="A2235" s="1" t="s">
        <v>124</v>
      </c>
      <c r="B2235" t="str">
        <f>VLOOKUP($A2235, 'Customer Names'!A:D, 3, FALSE)</f>
        <v>McLean</v>
      </c>
      <c r="C2235">
        <f>VLOOKUP($A2235,'Medical Examinations'!A:C, 3, FALSE)</f>
        <v>16.5</v>
      </c>
      <c r="D2235" t="str">
        <f>VLOOKUP($A2235, 'Medical Examinations'!A:D, 4, FALSE)</f>
        <v>Normal</v>
      </c>
      <c r="E2235" t="str">
        <f>VLOOKUP($A2235, 'Medical Examinations'!A:F, 6, FALSE)</f>
        <v>yes</v>
      </c>
      <c r="F2235" t="str">
        <f>VLOOKUP($A2235, 'Medical Examinations'!A:G, 7, FALSE)</f>
        <v>No</v>
      </c>
      <c r="G2235" t="str">
        <f>VLOOKUP($A2235, 'Medical Examinations'!A:H, 8, FALSE)</f>
        <v>No</v>
      </c>
      <c r="H2235" t="str">
        <f>VLOOKUP($A2235, 'Medical Examinations'!A:J, 10, FALSE)</f>
        <v>No major surgery</v>
      </c>
      <c r="I2235" t="str">
        <f>VLOOKUP($A2235, 'Medical Examinations'!A:K, 11, FALSE)</f>
        <v>No</v>
      </c>
      <c r="J2235" t="str">
        <f>VLOOKUP($A2235, 'Medical Examinations'!A:B, 2, FALSE)</f>
        <v>Underweight</v>
      </c>
      <c r="K2235" t="str">
        <f>VLOOKUP($A2235, 'Medical Examinations'!A:D, 4, FALSE)</f>
        <v>Normal</v>
      </c>
    </row>
    <row r="2236" spans="1:11" ht="15.5" x14ac:dyDescent="0.35">
      <c r="A2236" s="1" t="s">
        <v>123</v>
      </c>
      <c r="B2236" t="str">
        <f>VLOOKUP($A2236, 'Customer Names'!A:D, 3, FALSE)</f>
        <v>Regan</v>
      </c>
      <c r="C2236">
        <f>VLOOKUP($A2236,'Medical Examinations'!A:C, 3, FALSE)</f>
        <v>15.41</v>
      </c>
      <c r="D2236" t="str">
        <f>VLOOKUP($A2236, 'Medical Examinations'!A:D, 4, FALSE)</f>
        <v>Normal</v>
      </c>
      <c r="E2236" t="str">
        <f>VLOOKUP($A2236, 'Medical Examinations'!A:F, 6, FALSE)</f>
        <v>yes</v>
      </c>
      <c r="F2236" t="str">
        <f>VLOOKUP($A2236, 'Medical Examinations'!A:G, 7, FALSE)</f>
        <v>No</v>
      </c>
      <c r="G2236" t="str">
        <f>VLOOKUP($A2236, 'Medical Examinations'!A:H, 8, FALSE)</f>
        <v>Yes</v>
      </c>
      <c r="H2236">
        <f>VLOOKUP($A2236, 'Medical Examinations'!A:J, 10, FALSE)</f>
        <v>1</v>
      </c>
      <c r="I2236" t="str">
        <f>VLOOKUP($A2236, 'Medical Examinations'!A:K, 11, FALSE)</f>
        <v>No</v>
      </c>
      <c r="J2236" t="str">
        <f>VLOOKUP($A2236, 'Medical Examinations'!A:B, 2, FALSE)</f>
        <v>Underweight</v>
      </c>
      <c r="K2236" t="str">
        <f>VLOOKUP($A2236, 'Medical Examinations'!A:D, 4, FALSE)</f>
        <v>Normal</v>
      </c>
    </row>
    <row r="2237" spans="1:11" ht="15.5" x14ac:dyDescent="0.35">
      <c r="A2237" s="1" t="s">
        <v>122</v>
      </c>
      <c r="B2237" t="str">
        <f>VLOOKUP($A2237, 'Customer Names'!A:D, 3, FALSE)</f>
        <v>Koenis</v>
      </c>
      <c r="C2237">
        <f>VLOOKUP($A2237,'Medical Examinations'!A:C, 3, FALSE)</f>
        <v>24.59</v>
      </c>
      <c r="D2237" t="str">
        <f>VLOOKUP($A2237, 'Medical Examinations'!A:D, 4, FALSE)</f>
        <v>Normal</v>
      </c>
      <c r="E2237" t="str">
        <f>VLOOKUP($A2237, 'Medical Examinations'!A:F, 6, FALSE)</f>
        <v>No</v>
      </c>
      <c r="F2237" t="str">
        <f>VLOOKUP($A2237, 'Medical Examinations'!A:G, 7, FALSE)</f>
        <v>No</v>
      </c>
      <c r="G2237" t="str">
        <f>VLOOKUP($A2237, 'Medical Examinations'!A:H, 8, FALSE)</f>
        <v>No</v>
      </c>
      <c r="H2237">
        <f>VLOOKUP($A2237, 'Medical Examinations'!A:J, 10, FALSE)</f>
        <v>1</v>
      </c>
      <c r="I2237" t="str">
        <f>VLOOKUP($A2237, 'Medical Examinations'!A:K, 11, FALSE)</f>
        <v>No</v>
      </c>
      <c r="J2237" t="str">
        <f>VLOOKUP($A2237, 'Medical Examinations'!A:B, 2, FALSE)</f>
        <v>Normal Weight</v>
      </c>
      <c r="K2237" t="str">
        <f>VLOOKUP($A2237, 'Medical Examinations'!A:D, 4, FALSE)</f>
        <v>Normal</v>
      </c>
    </row>
    <row r="2238" spans="1:11" ht="15.5" x14ac:dyDescent="0.35">
      <c r="A2238" s="1" t="s">
        <v>121</v>
      </c>
      <c r="B2238" t="str">
        <f>VLOOKUP($A2238, 'Customer Names'!A:D, 3, FALSE)</f>
        <v>Kittaka</v>
      </c>
      <c r="C2238">
        <f>VLOOKUP($A2238,'Medical Examinations'!A:C, 3, FALSE)</f>
        <v>33.33</v>
      </c>
      <c r="D2238" t="str">
        <f>VLOOKUP($A2238, 'Medical Examinations'!A:D, 4, FALSE)</f>
        <v>Diabetes</v>
      </c>
      <c r="E2238" t="str">
        <f>VLOOKUP($A2238, 'Medical Examinations'!A:F, 6, FALSE)</f>
        <v>No</v>
      </c>
      <c r="F2238" t="str">
        <f>VLOOKUP($A2238, 'Medical Examinations'!A:G, 7, FALSE)</f>
        <v>No</v>
      </c>
      <c r="G2238" t="str">
        <f>VLOOKUP($A2238, 'Medical Examinations'!A:H, 8, FALSE)</f>
        <v>No</v>
      </c>
      <c r="H2238" t="str">
        <f>VLOOKUP($A2238, 'Medical Examinations'!A:J, 10, FALSE)</f>
        <v>No major surgery</v>
      </c>
      <c r="I2238" t="str">
        <f>VLOOKUP($A2238, 'Medical Examinations'!A:K, 11, FALSE)</f>
        <v>No</v>
      </c>
      <c r="J2238" t="str">
        <f>VLOOKUP($A2238, 'Medical Examinations'!A:B, 2, FALSE)</f>
        <v>Obesity</v>
      </c>
      <c r="K2238" t="str">
        <f>VLOOKUP($A2238, 'Medical Examinations'!A:D, 4, FALSE)</f>
        <v>Diabetes</v>
      </c>
    </row>
    <row r="2239" spans="1:11" ht="15.5" x14ac:dyDescent="0.35">
      <c r="A2239" s="1" t="s">
        <v>120</v>
      </c>
      <c r="B2239" t="str">
        <f>VLOOKUP($A2239, 'Customer Names'!A:D, 3, FALSE)</f>
        <v>Concannon</v>
      </c>
      <c r="C2239">
        <f>VLOOKUP($A2239,'Medical Examinations'!A:C, 3, FALSE)</f>
        <v>18.5</v>
      </c>
      <c r="D2239" t="str">
        <f>VLOOKUP($A2239, 'Medical Examinations'!A:D, 4, FALSE)</f>
        <v>Diabetes</v>
      </c>
      <c r="E2239" t="str">
        <f>VLOOKUP($A2239, 'Medical Examinations'!A:F, 6, FALSE)</f>
        <v>No</v>
      </c>
      <c r="F2239" t="str">
        <f>VLOOKUP($A2239, 'Medical Examinations'!A:G, 7, FALSE)</f>
        <v>No</v>
      </c>
      <c r="G2239" t="str">
        <f>VLOOKUP($A2239, 'Medical Examinations'!A:H, 8, FALSE)</f>
        <v>No</v>
      </c>
      <c r="H2239" t="str">
        <f>VLOOKUP($A2239, 'Medical Examinations'!A:J, 10, FALSE)</f>
        <v>No major surgery</v>
      </c>
      <c r="I2239" t="str">
        <f>VLOOKUP($A2239, 'Medical Examinations'!A:K, 11, FALSE)</f>
        <v>No</v>
      </c>
      <c r="J2239" t="str">
        <f>VLOOKUP($A2239, 'Medical Examinations'!A:B, 2, FALSE)</f>
        <v>Normal Weight</v>
      </c>
      <c r="K2239" t="str">
        <f>VLOOKUP($A2239, 'Medical Examinations'!A:D, 4, FALSE)</f>
        <v>Diabetes</v>
      </c>
    </row>
    <row r="2240" spans="1:11" ht="15.5" x14ac:dyDescent="0.35">
      <c r="A2240" s="1" t="s">
        <v>119</v>
      </c>
      <c r="B2240" t="str">
        <f>VLOOKUP($A2240, 'Customer Names'!A:D, 3, FALSE)</f>
        <v>Johnson</v>
      </c>
      <c r="C2240">
        <f>VLOOKUP($A2240,'Medical Examinations'!A:C, 3, FALSE)</f>
        <v>18.579999999999998</v>
      </c>
      <c r="D2240" t="str">
        <f>VLOOKUP($A2240, 'Medical Examinations'!A:D, 4, FALSE)</f>
        <v>Prediabetes</v>
      </c>
      <c r="E2240" t="str">
        <f>VLOOKUP($A2240, 'Medical Examinations'!A:F, 6, FALSE)</f>
        <v>No</v>
      </c>
      <c r="F2240" t="str">
        <f>VLOOKUP($A2240, 'Medical Examinations'!A:G, 7, FALSE)</f>
        <v>No</v>
      </c>
      <c r="G2240" t="str">
        <f>VLOOKUP($A2240, 'Medical Examinations'!A:H, 8, FALSE)</f>
        <v>No</v>
      </c>
      <c r="H2240" t="str">
        <f>VLOOKUP($A2240, 'Medical Examinations'!A:J, 10, FALSE)</f>
        <v>No major surgery</v>
      </c>
      <c r="I2240" t="str">
        <f>VLOOKUP($A2240, 'Medical Examinations'!A:K, 11, FALSE)</f>
        <v>No</v>
      </c>
      <c r="J2240" t="str">
        <f>VLOOKUP($A2240, 'Medical Examinations'!A:B, 2, FALSE)</f>
        <v>Normal Weight</v>
      </c>
      <c r="K2240" t="str">
        <f>VLOOKUP($A2240, 'Medical Examinations'!A:D, 4, FALSE)</f>
        <v>Prediabetes</v>
      </c>
    </row>
    <row r="2241" spans="1:11" ht="15.5" x14ac:dyDescent="0.35">
      <c r="A2241" s="1" t="s">
        <v>118</v>
      </c>
      <c r="B2241" t="str">
        <f>VLOOKUP($A2241, 'Customer Names'!A:D, 3, FALSE)</f>
        <v>Schultz</v>
      </c>
      <c r="C2241">
        <f>VLOOKUP($A2241,'Medical Examinations'!A:C, 3, FALSE)</f>
        <v>16.64</v>
      </c>
      <c r="D2241" t="str">
        <f>VLOOKUP($A2241, 'Medical Examinations'!A:D, 4, FALSE)</f>
        <v>Diabetes</v>
      </c>
      <c r="E2241" t="str">
        <f>VLOOKUP($A2241, 'Medical Examinations'!A:F, 6, FALSE)</f>
        <v>No</v>
      </c>
      <c r="F2241" t="str">
        <f>VLOOKUP($A2241, 'Medical Examinations'!A:G, 7, FALSE)</f>
        <v>No</v>
      </c>
      <c r="G2241" t="str">
        <f>VLOOKUP($A2241, 'Medical Examinations'!A:H, 8, FALSE)</f>
        <v>No</v>
      </c>
      <c r="H2241" t="str">
        <f>VLOOKUP($A2241, 'Medical Examinations'!A:J, 10, FALSE)</f>
        <v>No major surgery</v>
      </c>
      <c r="I2241" t="str">
        <f>VLOOKUP($A2241, 'Medical Examinations'!A:K, 11, FALSE)</f>
        <v>No</v>
      </c>
      <c r="J2241" t="str">
        <f>VLOOKUP($A2241, 'Medical Examinations'!A:B, 2, FALSE)</f>
        <v>Underweight</v>
      </c>
      <c r="K2241" t="str">
        <f>VLOOKUP($A2241, 'Medical Examinations'!A:D, 4, FALSE)</f>
        <v>Diabetes</v>
      </c>
    </row>
    <row r="2242" spans="1:11" ht="15.5" x14ac:dyDescent="0.35">
      <c r="A2242" s="1" t="s">
        <v>117</v>
      </c>
      <c r="B2242" t="str">
        <f>VLOOKUP($A2242, 'Customer Names'!A:D, 3, FALSE)</f>
        <v>Brannigan</v>
      </c>
      <c r="C2242">
        <f>VLOOKUP($A2242,'Medical Examinations'!A:C, 3, FALSE)</f>
        <v>19.329999999999998</v>
      </c>
      <c r="D2242" t="str">
        <f>VLOOKUP($A2242, 'Medical Examinations'!A:D, 4, FALSE)</f>
        <v>Normal</v>
      </c>
      <c r="E2242" t="str">
        <f>VLOOKUP($A2242, 'Medical Examinations'!A:F, 6, FALSE)</f>
        <v>No</v>
      </c>
      <c r="F2242" t="str">
        <f>VLOOKUP($A2242, 'Medical Examinations'!A:G, 7, FALSE)</f>
        <v>No</v>
      </c>
      <c r="G2242" t="str">
        <f>VLOOKUP($A2242, 'Medical Examinations'!A:H, 8, FALSE)</f>
        <v>No</v>
      </c>
      <c r="H2242">
        <f>VLOOKUP($A2242, 'Medical Examinations'!A:J, 10, FALSE)</f>
        <v>1</v>
      </c>
      <c r="I2242" t="str">
        <f>VLOOKUP($A2242, 'Medical Examinations'!A:K, 11, FALSE)</f>
        <v>No</v>
      </c>
      <c r="J2242" t="str">
        <f>VLOOKUP($A2242, 'Medical Examinations'!A:B, 2, FALSE)</f>
        <v>Normal Weight</v>
      </c>
      <c r="K2242" t="str">
        <f>VLOOKUP($A2242, 'Medical Examinations'!A:D, 4, FALSE)</f>
        <v>Normal</v>
      </c>
    </row>
    <row r="2243" spans="1:11" ht="15.5" x14ac:dyDescent="0.35">
      <c r="A2243" s="1" t="s">
        <v>116</v>
      </c>
      <c r="B2243" t="str">
        <f>VLOOKUP($A2243, 'Customer Names'!A:D, 3, FALSE)</f>
        <v>Cavallo</v>
      </c>
      <c r="C2243">
        <f>VLOOKUP($A2243,'Medical Examinations'!A:C, 3, FALSE)</f>
        <v>21.26</v>
      </c>
      <c r="D2243" t="str">
        <f>VLOOKUP($A2243, 'Medical Examinations'!A:D, 4, FALSE)</f>
        <v>Normal</v>
      </c>
      <c r="E2243" t="str">
        <f>VLOOKUP($A2243, 'Medical Examinations'!A:F, 6, FALSE)</f>
        <v>yes</v>
      </c>
      <c r="F2243" t="str">
        <f>VLOOKUP($A2243, 'Medical Examinations'!A:G, 7, FALSE)</f>
        <v>No</v>
      </c>
      <c r="G2243" t="str">
        <f>VLOOKUP($A2243, 'Medical Examinations'!A:H, 8, FALSE)</f>
        <v>Yes</v>
      </c>
      <c r="H2243">
        <f>VLOOKUP($A2243, 'Medical Examinations'!A:J, 10, FALSE)</f>
        <v>1</v>
      </c>
      <c r="I2243" t="str">
        <f>VLOOKUP($A2243, 'Medical Examinations'!A:K, 11, FALSE)</f>
        <v>No</v>
      </c>
      <c r="J2243" t="str">
        <f>VLOOKUP($A2243, 'Medical Examinations'!A:B, 2, FALSE)</f>
        <v>Normal Weight</v>
      </c>
      <c r="K2243" t="str">
        <f>VLOOKUP($A2243, 'Medical Examinations'!A:D, 4, FALSE)</f>
        <v>Normal</v>
      </c>
    </row>
    <row r="2244" spans="1:11" ht="15.5" x14ac:dyDescent="0.35">
      <c r="A2244" s="1" t="s">
        <v>115</v>
      </c>
      <c r="B2244" t="str">
        <f>VLOOKUP($A2244, 'Customer Names'!A:D, 3, FALSE)</f>
        <v>Chang</v>
      </c>
      <c r="C2244">
        <f>VLOOKUP($A2244,'Medical Examinations'!A:C, 3, FALSE)</f>
        <v>15.6</v>
      </c>
      <c r="D2244" t="str">
        <f>VLOOKUP($A2244, 'Medical Examinations'!A:D, 4, FALSE)</f>
        <v>Normal</v>
      </c>
      <c r="E2244" t="str">
        <f>VLOOKUP($A2244, 'Medical Examinations'!A:F, 6, FALSE)</f>
        <v>yes</v>
      </c>
      <c r="F2244" t="str">
        <f>VLOOKUP($A2244, 'Medical Examinations'!A:G, 7, FALSE)</f>
        <v>No</v>
      </c>
      <c r="G2244" t="str">
        <f>VLOOKUP($A2244, 'Medical Examinations'!A:H, 8, FALSE)</f>
        <v>No</v>
      </c>
      <c r="H2244">
        <f>VLOOKUP($A2244, 'Medical Examinations'!A:J, 10, FALSE)</f>
        <v>1</v>
      </c>
      <c r="I2244" t="str">
        <f>VLOOKUP($A2244, 'Medical Examinations'!A:K, 11, FALSE)</f>
        <v>No</v>
      </c>
      <c r="J2244" t="str">
        <f>VLOOKUP($A2244, 'Medical Examinations'!A:B, 2, FALSE)</f>
        <v>Underweight</v>
      </c>
      <c r="K2244" t="str">
        <f>VLOOKUP($A2244, 'Medical Examinations'!A:D, 4, FALSE)</f>
        <v>Normal</v>
      </c>
    </row>
    <row r="2245" spans="1:11" ht="15.5" x14ac:dyDescent="0.35">
      <c r="A2245" s="1" t="s">
        <v>114</v>
      </c>
      <c r="B2245" t="str">
        <f>VLOOKUP($A2245, 'Customer Names'!A:D, 3, FALSE)</f>
        <v>Axelrod</v>
      </c>
      <c r="C2245">
        <f>VLOOKUP($A2245,'Medical Examinations'!A:C, 3, FALSE)</f>
        <v>24.39</v>
      </c>
      <c r="D2245" t="str">
        <f>VLOOKUP($A2245, 'Medical Examinations'!A:D, 4, FALSE)</f>
        <v>Prediabetes</v>
      </c>
      <c r="E2245" t="str">
        <f>VLOOKUP($A2245, 'Medical Examinations'!A:F, 6, FALSE)</f>
        <v>No</v>
      </c>
      <c r="F2245" t="str">
        <f>VLOOKUP($A2245, 'Medical Examinations'!A:G, 7, FALSE)</f>
        <v>No</v>
      </c>
      <c r="G2245" t="str">
        <f>VLOOKUP($A2245, 'Medical Examinations'!A:H, 8, FALSE)</f>
        <v>No</v>
      </c>
      <c r="H2245">
        <f>VLOOKUP($A2245, 'Medical Examinations'!A:J, 10, FALSE)</f>
        <v>1</v>
      </c>
      <c r="I2245" t="str">
        <f>VLOOKUP($A2245, 'Medical Examinations'!A:K, 11, FALSE)</f>
        <v>No</v>
      </c>
      <c r="J2245" t="str">
        <f>VLOOKUP($A2245, 'Medical Examinations'!A:B, 2, FALSE)</f>
        <v>Normal Weight</v>
      </c>
      <c r="K2245" t="str">
        <f>VLOOKUP($A2245, 'Medical Examinations'!A:D, 4, FALSE)</f>
        <v>Prediabetes</v>
      </c>
    </row>
    <row r="2246" spans="1:11" ht="15.5" x14ac:dyDescent="0.35">
      <c r="A2246" s="1" t="s">
        <v>113</v>
      </c>
      <c r="B2246" t="str">
        <f>VLOOKUP($A2246, 'Customer Names'!A:D, 3, FALSE)</f>
        <v>Davenport</v>
      </c>
      <c r="C2246">
        <f>VLOOKUP($A2246,'Medical Examinations'!A:C, 3, FALSE)</f>
        <v>24.75</v>
      </c>
      <c r="D2246" t="str">
        <f>VLOOKUP($A2246, 'Medical Examinations'!A:D, 4, FALSE)</f>
        <v>Normal</v>
      </c>
      <c r="E2246" t="str">
        <f>VLOOKUP($A2246, 'Medical Examinations'!A:F, 6, FALSE)</f>
        <v>No</v>
      </c>
      <c r="F2246" t="str">
        <f>VLOOKUP($A2246, 'Medical Examinations'!A:G, 7, FALSE)</f>
        <v>No</v>
      </c>
      <c r="G2246" t="str">
        <f>VLOOKUP($A2246, 'Medical Examinations'!A:H, 8, FALSE)</f>
        <v>No</v>
      </c>
      <c r="H2246" t="str">
        <f>VLOOKUP($A2246, 'Medical Examinations'!A:J, 10, FALSE)</f>
        <v>No major surgery</v>
      </c>
      <c r="I2246" t="str">
        <f>VLOOKUP($A2246, 'Medical Examinations'!A:K, 11, FALSE)</f>
        <v>No</v>
      </c>
      <c r="J2246" t="str">
        <f>VLOOKUP($A2246, 'Medical Examinations'!A:B, 2, FALSE)</f>
        <v>Normal Weight</v>
      </c>
      <c r="K2246" t="str">
        <f>VLOOKUP($A2246, 'Medical Examinations'!A:D, 4, FALSE)</f>
        <v>Normal</v>
      </c>
    </row>
    <row r="2247" spans="1:11" ht="15.5" x14ac:dyDescent="0.35">
      <c r="A2247" s="1" t="s">
        <v>112</v>
      </c>
      <c r="B2247" t="str">
        <f>VLOOKUP($A2247, 'Customer Names'!A:D, 3, FALSE)</f>
        <v>Roberge</v>
      </c>
      <c r="C2247">
        <f>VLOOKUP($A2247,'Medical Examinations'!A:C, 3, FALSE)</f>
        <v>20.88</v>
      </c>
      <c r="D2247" t="str">
        <f>VLOOKUP($A2247, 'Medical Examinations'!A:D, 4, FALSE)</f>
        <v>Diabetes</v>
      </c>
      <c r="E2247" t="str">
        <f>VLOOKUP($A2247, 'Medical Examinations'!A:F, 6, FALSE)</f>
        <v>No</v>
      </c>
      <c r="F2247" t="str">
        <f>VLOOKUP($A2247, 'Medical Examinations'!A:G, 7, FALSE)</f>
        <v>No</v>
      </c>
      <c r="G2247" t="str">
        <f>VLOOKUP($A2247, 'Medical Examinations'!A:H, 8, FALSE)</f>
        <v>No</v>
      </c>
      <c r="H2247" t="str">
        <f>VLOOKUP($A2247, 'Medical Examinations'!A:J, 10, FALSE)</f>
        <v>No major surgery</v>
      </c>
      <c r="I2247" t="str">
        <f>VLOOKUP($A2247, 'Medical Examinations'!A:K, 11, FALSE)</f>
        <v>No</v>
      </c>
      <c r="J2247" t="str">
        <f>VLOOKUP($A2247, 'Medical Examinations'!A:B, 2, FALSE)</f>
        <v>Normal Weight</v>
      </c>
      <c r="K2247" t="str">
        <f>VLOOKUP($A2247, 'Medical Examinations'!A:D, 4, FALSE)</f>
        <v>Diabetes</v>
      </c>
    </row>
    <row r="2248" spans="1:11" ht="15.5" x14ac:dyDescent="0.35">
      <c r="A2248" s="1" t="s">
        <v>111</v>
      </c>
      <c r="B2248" t="str">
        <f>VLOOKUP($A2248, 'Customer Names'!A:D, 3, FALSE)</f>
        <v>Schmidt</v>
      </c>
      <c r="C2248">
        <f>VLOOKUP($A2248,'Medical Examinations'!A:C, 3, FALSE)</f>
        <v>20.43</v>
      </c>
      <c r="D2248" t="str">
        <f>VLOOKUP($A2248, 'Medical Examinations'!A:D, 4, FALSE)</f>
        <v>Normal</v>
      </c>
      <c r="E2248" t="str">
        <f>VLOOKUP($A2248, 'Medical Examinations'!A:F, 6, FALSE)</f>
        <v>No</v>
      </c>
      <c r="F2248" t="str">
        <f>VLOOKUP($A2248, 'Medical Examinations'!A:G, 7, FALSE)</f>
        <v>No</v>
      </c>
      <c r="G2248" t="str">
        <f>VLOOKUP($A2248, 'Medical Examinations'!A:H, 8, FALSE)</f>
        <v>No</v>
      </c>
      <c r="H2248" t="str">
        <f>VLOOKUP($A2248, 'Medical Examinations'!A:J, 10, FALSE)</f>
        <v>No major surgery</v>
      </c>
      <c r="I2248" t="str">
        <f>VLOOKUP($A2248, 'Medical Examinations'!A:K, 11, FALSE)</f>
        <v>No</v>
      </c>
      <c r="J2248" t="str">
        <f>VLOOKUP($A2248, 'Medical Examinations'!A:B, 2, FALSE)</f>
        <v>Normal Weight</v>
      </c>
      <c r="K2248" t="str">
        <f>VLOOKUP($A2248, 'Medical Examinations'!A:D, 4, FALSE)</f>
        <v>Normal</v>
      </c>
    </row>
    <row r="2249" spans="1:11" ht="15.5" x14ac:dyDescent="0.35">
      <c r="A2249" s="1" t="s">
        <v>110</v>
      </c>
      <c r="B2249" t="str">
        <f>VLOOKUP($A2249, 'Customer Names'!A:D, 3, FALSE)</f>
        <v>Kosters</v>
      </c>
      <c r="C2249">
        <f>VLOOKUP($A2249,'Medical Examinations'!A:C, 3, FALSE)</f>
        <v>15.18</v>
      </c>
      <c r="D2249" t="str">
        <f>VLOOKUP($A2249, 'Medical Examinations'!A:D, 4, FALSE)</f>
        <v>Diabetes</v>
      </c>
      <c r="E2249" t="str">
        <f>VLOOKUP($A2249, 'Medical Examinations'!A:F, 6, FALSE)</f>
        <v>No</v>
      </c>
      <c r="F2249" t="str">
        <f>VLOOKUP($A2249, 'Medical Examinations'!A:G, 7, FALSE)</f>
        <v>No</v>
      </c>
      <c r="G2249" t="str">
        <f>VLOOKUP($A2249, 'Medical Examinations'!A:H, 8, FALSE)</f>
        <v>No</v>
      </c>
      <c r="H2249" t="str">
        <f>VLOOKUP($A2249, 'Medical Examinations'!A:J, 10, FALSE)</f>
        <v>No major surgery</v>
      </c>
      <c r="I2249" t="str">
        <f>VLOOKUP($A2249, 'Medical Examinations'!A:K, 11, FALSE)</f>
        <v>No</v>
      </c>
      <c r="J2249" t="str">
        <f>VLOOKUP($A2249, 'Medical Examinations'!A:B, 2, FALSE)</f>
        <v>Underweight</v>
      </c>
      <c r="K2249" t="str">
        <f>VLOOKUP($A2249, 'Medical Examinations'!A:D, 4, FALSE)</f>
        <v>Diabetes</v>
      </c>
    </row>
    <row r="2250" spans="1:11" ht="15.5" x14ac:dyDescent="0.35">
      <c r="A2250" s="1" t="s">
        <v>109</v>
      </c>
      <c r="B2250" t="str">
        <f>VLOOKUP($A2250, 'Customer Names'!A:D, 3, FALSE)</f>
        <v>Dykes</v>
      </c>
      <c r="C2250">
        <f>VLOOKUP($A2250,'Medical Examinations'!A:C, 3, FALSE)</f>
        <v>15.12</v>
      </c>
      <c r="D2250" t="str">
        <f>VLOOKUP($A2250, 'Medical Examinations'!A:D, 4, FALSE)</f>
        <v>Normal</v>
      </c>
      <c r="E2250" t="str">
        <f>VLOOKUP($A2250, 'Medical Examinations'!A:F, 6, FALSE)</f>
        <v>yes</v>
      </c>
      <c r="F2250" t="str">
        <f>VLOOKUP($A2250, 'Medical Examinations'!A:G, 7, FALSE)</f>
        <v>No</v>
      </c>
      <c r="G2250" t="str">
        <f>VLOOKUP($A2250, 'Medical Examinations'!A:H, 8, FALSE)</f>
        <v>No</v>
      </c>
      <c r="H2250" t="str">
        <f>VLOOKUP($A2250, 'Medical Examinations'!A:J, 10, FALSE)</f>
        <v>No major surgery</v>
      </c>
      <c r="I2250" t="str">
        <f>VLOOKUP($A2250, 'Medical Examinations'!A:K, 11, FALSE)</f>
        <v>No</v>
      </c>
      <c r="J2250" t="str">
        <f>VLOOKUP($A2250, 'Medical Examinations'!A:B, 2, FALSE)</f>
        <v>Underweight</v>
      </c>
      <c r="K2250" t="str">
        <f>VLOOKUP($A2250, 'Medical Examinations'!A:D, 4, FALSE)</f>
        <v>Normal</v>
      </c>
    </row>
    <row r="2251" spans="1:11" ht="15.5" x14ac:dyDescent="0.35">
      <c r="A2251" s="1" t="s">
        <v>108</v>
      </c>
      <c r="B2251" t="str">
        <f>VLOOKUP($A2251, 'Customer Names'!A:D, 3, FALSE)</f>
        <v>Velan</v>
      </c>
      <c r="C2251">
        <f>VLOOKUP($A2251,'Medical Examinations'!A:C, 3, FALSE)</f>
        <v>23.88</v>
      </c>
      <c r="D2251" t="str">
        <f>VLOOKUP($A2251, 'Medical Examinations'!A:D, 4, FALSE)</f>
        <v>Normal</v>
      </c>
      <c r="E2251" t="str">
        <f>VLOOKUP($A2251, 'Medical Examinations'!A:F, 6, FALSE)</f>
        <v>No</v>
      </c>
      <c r="F2251" t="str">
        <f>VLOOKUP($A2251, 'Medical Examinations'!A:G, 7, FALSE)</f>
        <v>No</v>
      </c>
      <c r="G2251" t="str">
        <f>VLOOKUP($A2251, 'Medical Examinations'!A:H, 8, FALSE)</f>
        <v>No</v>
      </c>
      <c r="H2251">
        <f>VLOOKUP($A2251, 'Medical Examinations'!A:J, 10, FALSE)</f>
        <v>1</v>
      </c>
      <c r="I2251" t="str">
        <f>VLOOKUP($A2251, 'Medical Examinations'!A:K, 11, FALSE)</f>
        <v>No</v>
      </c>
      <c r="J2251" t="str">
        <f>VLOOKUP($A2251, 'Medical Examinations'!A:B, 2, FALSE)</f>
        <v>Normal Weight</v>
      </c>
      <c r="K2251" t="str">
        <f>VLOOKUP($A2251, 'Medical Examinations'!A:D, 4, FALSE)</f>
        <v>Normal</v>
      </c>
    </row>
    <row r="2252" spans="1:11" ht="15.5" x14ac:dyDescent="0.35">
      <c r="A2252" s="1" t="s">
        <v>107</v>
      </c>
      <c r="B2252" t="str">
        <f>VLOOKUP($A2252, 'Customer Names'!A:D, 3, FALSE)</f>
        <v>Goolik</v>
      </c>
      <c r="C2252">
        <f>VLOOKUP($A2252,'Medical Examinations'!A:C, 3, FALSE)</f>
        <v>16.13</v>
      </c>
      <c r="D2252" t="str">
        <f>VLOOKUP($A2252, 'Medical Examinations'!A:D, 4, FALSE)</f>
        <v>Normal</v>
      </c>
      <c r="E2252" t="str">
        <f>VLOOKUP($A2252, 'Medical Examinations'!A:F, 6, FALSE)</f>
        <v>No</v>
      </c>
      <c r="F2252" t="str">
        <f>VLOOKUP($A2252, 'Medical Examinations'!A:G, 7, FALSE)</f>
        <v>yes</v>
      </c>
      <c r="G2252" t="str">
        <f>VLOOKUP($A2252, 'Medical Examinations'!A:H, 8, FALSE)</f>
        <v>No</v>
      </c>
      <c r="H2252">
        <f>VLOOKUP($A2252, 'Medical Examinations'!A:J, 10, FALSE)</f>
        <v>1</v>
      </c>
      <c r="I2252" t="str">
        <f>VLOOKUP($A2252, 'Medical Examinations'!A:K, 11, FALSE)</f>
        <v>No</v>
      </c>
      <c r="J2252" t="str">
        <f>VLOOKUP($A2252, 'Medical Examinations'!A:B, 2, FALSE)</f>
        <v>Underweight</v>
      </c>
      <c r="K2252" t="str">
        <f>VLOOKUP($A2252, 'Medical Examinations'!A:D, 4, FALSE)</f>
        <v>Normal</v>
      </c>
    </row>
    <row r="2253" spans="1:11" ht="15.5" x14ac:dyDescent="0.35">
      <c r="A2253" s="1" t="s">
        <v>106</v>
      </c>
      <c r="B2253" t="str">
        <f>VLOOKUP($A2253, 'Customer Names'!A:D, 3, FALSE)</f>
        <v>Bain</v>
      </c>
      <c r="C2253">
        <f>VLOOKUP($A2253,'Medical Examinations'!A:C, 3, FALSE)</f>
        <v>24.09</v>
      </c>
      <c r="D2253" t="str">
        <f>VLOOKUP($A2253, 'Medical Examinations'!A:D, 4, FALSE)</f>
        <v>Normal</v>
      </c>
      <c r="E2253" t="str">
        <f>VLOOKUP($A2253, 'Medical Examinations'!A:F, 6, FALSE)</f>
        <v>No</v>
      </c>
      <c r="F2253" t="str">
        <f>VLOOKUP($A2253, 'Medical Examinations'!A:G, 7, FALSE)</f>
        <v>yes</v>
      </c>
      <c r="G2253" t="str">
        <f>VLOOKUP($A2253, 'Medical Examinations'!A:H, 8, FALSE)</f>
        <v>No</v>
      </c>
      <c r="H2253">
        <f>VLOOKUP($A2253, 'Medical Examinations'!A:J, 10, FALSE)</f>
        <v>1</v>
      </c>
      <c r="I2253" t="str">
        <f>VLOOKUP($A2253, 'Medical Examinations'!A:K, 11, FALSE)</f>
        <v>No</v>
      </c>
      <c r="J2253" t="str">
        <f>VLOOKUP($A2253, 'Medical Examinations'!A:B, 2, FALSE)</f>
        <v>Normal Weight</v>
      </c>
      <c r="K2253" t="str">
        <f>VLOOKUP($A2253, 'Medical Examinations'!A:D, 4, FALSE)</f>
        <v>Normal</v>
      </c>
    </row>
    <row r="2254" spans="1:11" ht="15.5" x14ac:dyDescent="0.35">
      <c r="A2254" s="1" t="s">
        <v>105</v>
      </c>
      <c r="B2254" t="str">
        <f>VLOOKUP($A2254, 'Customer Names'!A:D, 3, FALSE)</f>
        <v>Wieck</v>
      </c>
      <c r="C2254">
        <f>VLOOKUP($A2254,'Medical Examinations'!A:C, 3, FALSE)</f>
        <v>19.43</v>
      </c>
      <c r="D2254" t="str">
        <f>VLOOKUP($A2254, 'Medical Examinations'!A:D, 4, FALSE)</f>
        <v>Prediabetes</v>
      </c>
      <c r="E2254" t="str">
        <f>VLOOKUP($A2254, 'Medical Examinations'!A:F, 6, FALSE)</f>
        <v>No</v>
      </c>
      <c r="F2254" t="str">
        <f>VLOOKUP($A2254, 'Medical Examinations'!A:G, 7, FALSE)</f>
        <v>yes</v>
      </c>
      <c r="G2254" t="str">
        <f>VLOOKUP($A2254, 'Medical Examinations'!A:H, 8, FALSE)</f>
        <v>No</v>
      </c>
      <c r="H2254">
        <f>VLOOKUP($A2254, 'Medical Examinations'!A:J, 10, FALSE)</f>
        <v>1</v>
      </c>
      <c r="I2254" t="str">
        <f>VLOOKUP($A2254, 'Medical Examinations'!A:K, 11, FALSE)</f>
        <v>No</v>
      </c>
      <c r="J2254" t="str">
        <f>VLOOKUP($A2254, 'Medical Examinations'!A:B, 2, FALSE)</f>
        <v>Normal Weight</v>
      </c>
      <c r="K2254" t="str">
        <f>VLOOKUP($A2254, 'Medical Examinations'!A:D, 4, FALSE)</f>
        <v>Prediabetes</v>
      </c>
    </row>
    <row r="2255" spans="1:11" ht="15.5" x14ac:dyDescent="0.35">
      <c r="A2255" s="1" t="s">
        <v>104</v>
      </c>
      <c r="B2255" t="str">
        <f>VLOOKUP($A2255, 'Customer Names'!A:D, 3, FALSE)</f>
        <v>Friel</v>
      </c>
      <c r="C2255">
        <f>VLOOKUP($A2255,'Medical Examinations'!A:C, 3, FALSE)</f>
        <v>15.22</v>
      </c>
      <c r="D2255" t="str">
        <f>VLOOKUP($A2255, 'Medical Examinations'!A:D, 4, FALSE)</f>
        <v>Normal</v>
      </c>
      <c r="E2255" t="str">
        <f>VLOOKUP($A2255, 'Medical Examinations'!A:F, 6, FALSE)</f>
        <v>yes</v>
      </c>
      <c r="F2255" t="str">
        <f>VLOOKUP($A2255, 'Medical Examinations'!A:G, 7, FALSE)</f>
        <v>No</v>
      </c>
      <c r="G2255" t="str">
        <f>VLOOKUP($A2255, 'Medical Examinations'!A:H, 8, FALSE)</f>
        <v>Yes</v>
      </c>
      <c r="H2255">
        <f>VLOOKUP($A2255, 'Medical Examinations'!A:J, 10, FALSE)</f>
        <v>1</v>
      </c>
      <c r="I2255" t="str">
        <f>VLOOKUP($A2255, 'Medical Examinations'!A:K, 11, FALSE)</f>
        <v>No</v>
      </c>
      <c r="J2255" t="str">
        <f>VLOOKUP($A2255, 'Medical Examinations'!A:B, 2, FALSE)</f>
        <v>Underweight</v>
      </c>
      <c r="K2255" t="str">
        <f>VLOOKUP($A2255, 'Medical Examinations'!A:D, 4, FALSE)</f>
        <v>Normal</v>
      </c>
    </row>
    <row r="2256" spans="1:11" ht="15.5" x14ac:dyDescent="0.35">
      <c r="A2256" s="1" t="s">
        <v>103</v>
      </c>
      <c r="B2256" t="str">
        <f>VLOOKUP($A2256, 'Customer Names'!A:D, 3, FALSE)</f>
        <v>Santandreu</v>
      </c>
      <c r="C2256">
        <f>VLOOKUP($A2256,'Medical Examinations'!A:C, 3, FALSE)</f>
        <v>20.72</v>
      </c>
      <c r="D2256" t="str">
        <f>VLOOKUP($A2256, 'Medical Examinations'!A:D, 4, FALSE)</f>
        <v>Diabetes</v>
      </c>
      <c r="E2256" t="str">
        <f>VLOOKUP($A2256, 'Medical Examinations'!A:F, 6, FALSE)</f>
        <v>No</v>
      </c>
      <c r="F2256" t="str">
        <f>VLOOKUP($A2256, 'Medical Examinations'!A:G, 7, FALSE)</f>
        <v>No</v>
      </c>
      <c r="G2256" t="str">
        <f>VLOOKUP($A2256, 'Medical Examinations'!A:H, 8, FALSE)</f>
        <v>No</v>
      </c>
      <c r="H2256" t="str">
        <f>VLOOKUP($A2256, 'Medical Examinations'!A:J, 10, FALSE)</f>
        <v>No major surgery</v>
      </c>
      <c r="I2256" t="str">
        <f>VLOOKUP($A2256, 'Medical Examinations'!A:K, 11, FALSE)</f>
        <v>No</v>
      </c>
      <c r="J2256" t="str">
        <f>VLOOKUP($A2256, 'Medical Examinations'!A:B, 2, FALSE)</f>
        <v>Normal Weight</v>
      </c>
      <c r="K2256" t="str">
        <f>VLOOKUP($A2256, 'Medical Examinations'!A:D, 4, FALSE)</f>
        <v>Diabetes</v>
      </c>
    </row>
    <row r="2257" spans="1:11" ht="15.5" x14ac:dyDescent="0.35">
      <c r="A2257" s="1" t="s">
        <v>102</v>
      </c>
      <c r="B2257" t="str">
        <f>VLOOKUP($A2257, 'Customer Names'!A:D, 3, FALSE)</f>
        <v>Johnson</v>
      </c>
      <c r="C2257">
        <f>VLOOKUP($A2257,'Medical Examinations'!A:C, 3, FALSE)</f>
        <v>35.4</v>
      </c>
      <c r="D2257" t="str">
        <f>VLOOKUP($A2257, 'Medical Examinations'!A:D, 4, FALSE)</f>
        <v>Prediabetes</v>
      </c>
      <c r="E2257" t="str">
        <f>VLOOKUP($A2257, 'Medical Examinations'!A:F, 6, FALSE)</f>
        <v>No</v>
      </c>
      <c r="F2257" t="str">
        <f>VLOOKUP($A2257, 'Medical Examinations'!A:G, 7, FALSE)</f>
        <v>No</v>
      </c>
      <c r="G2257" t="str">
        <f>VLOOKUP($A2257, 'Medical Examinations'!A:H, 8, FALSE)</f>
        <v>Yes</v>
      </c>
      <c r="H2257">
        <f>VLOOKUP($A2257, 'Medical Examinations'!A:J, 10, FALSE)</f>
        <v>1</v>
      </c>
      <c r="I2257" t="str">
        <f>VLOOKUP($A2257, 'Medical Examinations'!A:K, 11, FALSE)</f>
        <v>No</v>
      </c>
      <c r="J2257" t="str">
        <f>VLOOKUP($A2257, 'Medical Examinations'!A:B, 2, FALSE)</f>
        <v>Obesity</v>
      </c>
      <c r="K2257" t="str">
        <f>VLOOKUP($A2257, 'Medical Examinations'!A:D, 4, FALSE)</f>
        <v>Prediabetes</v>
      </c>
    </row>
    <row r="2258" spans="1:11" ht="15.5" x14ac:dyDescent="0.35">
      <c r="A2258" s="1" t="s">
        <v>101</v>
      </c>
      <c r="B2258" t="str">
        <f>VLOOKUP($A2258, 'Customer Names'!A:D, 3, FALSE)</f>
        <v>Gerber</v>
      </c>
      <c r="C2258">
        <f>VLOOKUP($A2258,'Medical Examinations'!A:C, 3, FALSE)</f>
        <v>34.4</v>
      </c>
      <c r="D2258" t="str">
        <f>VLOOKUP($A2258, 'Medical Examinations'!A:D, 4, FALSE)</f>
        <v>Prediabetes</v>
      </c>
      <c r="E2258" t="str">
        <f>VLOOKUP($A2258, 'Medical Examinations'!A:F, 6, FALSE)</f>
        <v>No</v>
      </c>
      <c r="F2258" t="str">
        <f>VLOOKUP($A2258, 'Medical Examinations'!A:G, 7, FALSE)</f>
        <v>No</v>
      </c>
      <c r="G2258" t="str">
        <f>VLOOKUP($A2258, 'Medical Examinations'!A:H, 8, FALSE)</f>
        <v>Yes</v>
      </c>
      <c r="H2258">
        <f>VLOOKUP($A2258, 'Medical Examinations'!A:J, 10, FALSE)</f>
        <v>1</v>
      </c>
      <c r="I2258" t="str">
        <f>VLOOKUP($A2258, 'Medical Examinations'!A:K, 11, FALSE)</f>
        <v>No</v>
      </c>
      <c r="J2258" t="str">
        <f>VLOOKUP($A2258, 'Medical Examinations'!A:B, 2, FALSE)</f>
        <v>Obesity</v>
      </c>
      <c r="K2258" t="str">
        <f>VLOOKUP($A2258, 'Medical Examinations'!A:D, 4, FALSE)</f>
        <v>Prediabetes</v>
      </c>
    </row>
    <row r="2259" spans="1:11" ht="15.5" x14ac:dyDescent="0.35">
      <c r="A2259" s="1" t="s">
        <v>100</v>
      </c>
      <c r="B2259" t="str">
        <f>VLOOKUP($A2259, 'Customer Names'!A:D, 3, FALSE)</f>
        <v>Benadum</v>
      </c>
      <c r="C2259">
        <f>VLOOKUP($A2259,'Medical Examinations'!A:C, 3, FALSE)</f>
        <v>34.1</v>
      </c>
      <c r="D2259" t="str">
        <f>VLOOKUP($A2259, 'Medical Examinations'!A:D, 4, FALSE)</f>
        <v>Normal</v>
      </c>
      <c r="E2259" t="str">
        <f>VLOOKUP($A2259, 'Medical Examinations'!A:F, 6, FALSE)</f>
        <v>No</v>
      </c>
      <c r="F2259" t="str">
        <f>VLOOKUP($A2259, 'Medical Examinations'!A:G, 7, FALSE)</f>
        <v>No</v>
      </c>
      <c r="G2259" t="str">
        <f>VLOOKUP($A2259, 'Medical Examinations'!A:H, 8, FALSE)</f>
        <v>Yes</v>
      </c>
      <c r="H2259">
        <f>VLOOKUP($A2259, 'Medical Examinations'!A:J, 10, FALSE)</f>
        <v>1</v>
      </c>
      <c r="I2259" t="str">
        <f>VLOOKUP($A2259, 'Medical Examinations'!A:K, 11, FALSE)</f>
        <v>No</v>
      </c>
      <c r="J2259" t="str">
        <f>VLOOKUP($A2259, 'Medical Examinations'!A:B, 2, FALSE)</f>
        <v>Obesity</v>
      </c>
      <c r="K2259" t="str">
        <f>VLOOKUP($A2259, 'Medical Examinations'!A:D, 4, FALSE)</f>
        <v>Normal</v>
      </c>
    </row>
    <row r="2260" spans="1:11" ht="15.5" x14ac:dyDescent="0.35">
      <c r="A2260" s="1" t="s">
        <v>99</v>
      </c>
      <c r="B2260" t="str">
        <f>VLOOKUP($A2260, 'Customer Names'!A:D, 3, FALSE)</f>
        <v>Ragazzini</v>
      </c>
      <c r="C2260">
        <f>VLOOKUP($A2260,'Medical Examinations'!A:C, 3, FALSE)</f>
        <v>30.4</v>
      </c>
      <c r="D2260" t="str">
        <f>VLOOKUP($A2260, 'Medical Examinations'!A:D, 4, FALSE)</f>
        <v>Normal</v>
      </c>
      <c r="E2260" t="str">
        <f>VLOOKUP($A2260, 'Medical Examinations'!A:F, 6, FALSE)</f>
        <v>No</v>
      </c>
      <c r="F2260" t="str">
        <f>VLOOKUP($A2260, 'Medical Examinations'!A:G, 7, FALSE)</f>
        <v>No</v>
      </c>
      <c r="G2260" t="str">
        <f>VLOOKUP($A2260, 'Medical Examinations'!A:H, 8, FALSE)</f>
        <v>Yes</v>
      </c>
      <c r="H2260">
        <f>VLOOKUP($A2260, 'Medical Examinations'!A:J, 10, FALSE)</f>
        <v>1</v>
      </c>
      <c r="I2260" t="str">
        <f>VLOOKUP($A2260, 'Medical Examinations'!A:K, 11, FALSE)</f>
        <v>No</v>
      </c>
      <c r="J2260" t="str">
        <f>VLOOKUP($A2260, 'Medical Examinations'!A:B, 2, FALSE)</f>
        <v>Obesity</v>
      </c>
      <c r="K2260" t="str">
        <f>VLOOKUP($A2260, 'Medical Examinations'!A:D, 4, FALSE)</f>
        <v>Normal</v>
      </c>
    </row>
    <row r="2261" spans="1:11" ht="15.5" x14ac:dyDescent="0.35">
      <c r="A2261" s="1" t="s">
        <v>98</v>
      </c>
      <c r="B2261" t="str">
        <f>VLOOKUP($A2261, 'Customer Names'!A:D, 3, FALSE)</f>
        <v>Kessinger</v>
      </c>
      <c r="C2261">
        <f>VLOOKUP($A2261,'Medical Examinations'!A:C, 3, FALSE)</f>
        <v>28.7</v>
      </c>
      <c r="D2261" t="str">
        <f>VLOOKUP($A2261, 'Medical Examinations'!A:D, 4, FALSE)</f>
        <v>Normal</v>
      </c>
      <c r="E2261" t="str">
        <f>VLOOKUP($A2261, 'Medical Examinations'!A:F, 6, FALSE)</f>
        <v>No</v>
      </c>
      <c r="F2261" t="str">
        <f>VLOOKUP($A2261, 'Medical Examinations'!A:G, 7, FALSE)</f>
        <v>No</v>
      </c>
      <c r="G2261" t="str">
        <f>VLOOKUP($A2261, 'Medical Examinations'!A:H, 8, FALSE)</f>
        <v>Yes</v>
      </c>
      <c r="H2261">
        <f>VLOOKUP($A2261, 'Medical Examinations'!A:J, 10, FALSE)</f>
        <v>1</v>
      </c>
      <c r="I2261" t="str">
        <f>VLOOKUP($A2261, 'Medical Examinations'!A:K, 11, FALSE)</f>
        <v>No</v>
      </c>
      <c r="J2261" t="str">
        <f>VLOOKUP($A2261, 'Medical Examinations'!A:B, 2, FALSE)</f>
        <v>Overweight</v>
      </c>
      <c r="K2261" t="str">
        <f>VLOOKUP($A2261, 'Medical Examinations'!A:D, 4, FALSE)</f>
        <v>Normal</v>
      </c>
    </row>
    <row r="2262" spans="1:11" ht="15.5" x14ac:dyDescent="0.35">
      <c r="A2262" s="1" t="s">
        <v>97</v>
      </c>
      <c r="B2262" t="str">
        <f>VLOOKUP($A2262, 'Customer Names'!A:D, 3, FALSE)</f>
        <v>Bezgin</v>
      </c>
      <c r="C2262">
        <f>VLOOKUP($A2262,'Medical Examinations'!A:C, 3, FALSE)</f>
        <v>17.440000000000001</v>
      </c>
      <c r="D2262" t="str">
        <f>VLOOKUP($A2262, 'Medical Examinations'!A:D, 4, FALSE)</f>
        <v>Normal</v>
      </c>
      <c r="E2262" t="str">
        <f>VLOOKUP($A2262, 'Medical Examinations'!A:F, 6, FALSE)</f>
        <v>yes</v>
      </c>
      <c r="F2262" t="str">
        <f>VLOOKUP($A2262, 'Medical Examinations'!A:G, 7, FALSE)</f>
        <v>No</v>
      </c>
      <c r="G2262" t="str">
        <f>VLOOKUP($A2262, 'Medical Examinations'!A:H, 8, FALSE)</f>
        <v>Yes</v>
      </c>
      <c r="H2262">
        <f>VLOOKUP($A2262, 'Medical Examinations'!A:J, 10, FALSE)</f>
        <v>1</v>
      </c>
      <c r="I2262" t="str">
        <f>VLOOKUP($A2262, 'Medical Examinations'!A:K, 11, FALSE)</f>
        <v>No</v>
      </c>
      <c r="J2262" t="str">
        <f>VLOOKUP($A2262, 'Medical Examinations'!A:B, 2, FALSE)</f>
        <v>Underweight</v>
      </c>
      <c r="K2262" t="str">
        <f>VLOOKUP($A2262, 'Medical Examinations'!A:D, 4, FALSE)</f>
        <v>Normal</v>
      </c>
    </row>
    <row r="2263" spans="1:11" ht="15.5" x14ac:dyDescent="0.35">
      <c r="A2263" s="1" t="s">
        <v>96</v>
      </c>
      <c r="B2263" t="str">
        <f>VLOOKUP($A2263, 'Customer Names'!A:D, 3, FALSE)</f>
        <v>Woldesilassie</v>
      </c>
      <c r="C2263">
        <f>VLOOKUP($A2263,'Medical Examinations'!A:C, 3, FALSE)</f>
        <v>27.6</v>
      </c>
      <c r="D2263" t="str">
        <f>VLOOKUP($A2263, 'Medical Examinations'!A:D, 4, FALSE)</f>
        <v>Normal</v>
      </c>
      <c r="E2263" t="str">
        <f>VLOOKUP($A2263, 'Medical Examinations'!A:F, 6, FALSE)</f>
        <v>No</v>
      </c>
      <c r="F2263" t="str">
        <f>VLOOKUP($A2263, 'Medical Examinations'!A:G, 7, FALSE)</f>
        <v>No</v>
      </c>
      <c r="G2263" t="str">
        <f>VLOOKUP($A2263, 'Medical Examinations'!A:H, 8, FALSE)</f>
        <v>Yes</v>
      </c>
      <c r="H2263">
        <f>VLOOKUP($A2263, 'Medical Examinations'!A:J, 10, FALSE)</f>
        <v>1</v>
      </c>
      <c r="I2263" t="str">
        <f>VLOOKUP($A2263, 'Medical Examinations'!A:K, 11, FALSE)</f>
        <v>No</v>
      </c>
      <c r="J2263" t="str">
        <f>VLOOKUP($A2263, 'Medical Examinations'!A:B, 2, FALSE)</f>
        <v>Overweight</v>
      </c>
      <c r="K2263" t="str">
        <f>VLOOKUP($A2263, 'Medical Examinations'!A:D, 4, FALSE)</f>
        <v>Normal</v>
      </c>
    </row>
    <row r="2264" spans="1:11" ht="15.5" x14ac:dyDescent="0.35">
      <c r="A2264" s="1" t="s">
        <v>95</v>
      </c>
      <c r="B2264" t="str">
        <f>VLOOKUP($A2264, 'Customer Names'!A:D, 3, FALSE)</f>
        <v>Ruiz Herrero</v>
      </c>
      <c r="C2264">
        <f>VLOOKUP($A2264,'Medical Examinations'!A:C, 3, FALSE)</f>
        <v>20.7</v>
      </c>
      <c r="D2264" t="str">
        <f>VLOOKUP($A2264, 'Medical Examinations'!A:D, 4, FALSE)</f>
        <v>Normal</v>
      </c>
      <c r="E2264" t="str">
        <f>VLOOKUP($A2264, 'Medical Examinations'!A:F, 6, FALSE)</f>
        <v>No</v>
      </c>
      <c r="F2264" t="str">
        <f>VLOOKUP($A2264, 'Medical Examinations'!A:G, 7, FALSE)</f>
        <v>No</v>
      </c>
      <c r="G2264" t="str">
        <f>VLOOKUP($A2264, 'Medical Examinations'!A:H, 8, FALSE)</f>
        <v>Yes</v>
      </c>
      <c r="H2264">
        <f>VLOOKUP($A2264, 'Medical Examinations'!A:J, 10, FALSE)</f>
        <v>1</v>
      </c>
      <c r="I2264" t="str">
        <f>VLOOKUP($A2264, 'Medical Examinations'!A:K, 11, FALSE)</f>
        <v>No</v>
      </c>
      <c r="J2264" t="str">
        <f>VLOOKUP($A2264, 'Medical Examinations'!A:B, 2, FALSE)</f>
        <v>Normal Weight</v>
      </c>
      <c r="K2264" t="str">
        <f>VLOOKUP($A2264, 'Medical Examinations'!A:D, 4, FALSE)</f>
        <v>Normal</v>
      </c>
    </row>
    <row r="2265" spans="1:11" ht="15.5" x14ac:dyDescent="0.35">
      <c r="A2265" s="1" t="s">
        <v>94</v>
      </c>
      <c r="B2265" t="str">
        <f>VLOOKUP($A2265, 'Customer Names'!A:D, 3, FALSE)</f>
        <v>Bin Alias</v>
      </c>
      <c r="C2265">
        <f>VLOOKUP($A2265,'Medical Examinations'!A:C, 3, FALSE)</f>
        <v>20.3</v>
      </c>
      <c r="D2265" t="str">
        <f>VLOOKUP($A2265, 'Medical Examinations'!A:D, 4, FALSE)</f>
        <v>Prediabetes</v>
      </c>
      <c r="E2265" t="str">
        <f>VLOOKUP($A2265, 'Medical Examinations'!A:F, 6, FALSE)</f>
        <v>No</v>
      </c>
      <c r="F2265" t="str">
        <f>VLOOKUP($A2265, 'Medical Examinations'!A:G, 7, FALSE)</f>
        <v>No</v>
      </c>
      <c r="G2265" t="str">
        <f>VLOOKUP($A2265, 'Medical Examinations'!A:H, 8, FALSE)</f>
        <v>Yes</v>
      </c>
      <c r="H2265">
        <f>VLOOKUP($A2265, 'Medical Examinations'!A:J, 10, FALSE)</f>
        <v>1</v>
      </c>
      <c r="I2265" t="str">
        <f>VLOOKUP($A2265, 'Medical Examinations'!A:K, 11, FALSE)</f>
        <v>No</v>
      </c>
      <c r="J2265" t="str">
        <f>VLOOKUP($A2265, 'Medical Examinations'!A:B, 2, FALSE)</f>
        <v>Normal Weight</v>
      </c>
      <c r="K2265" t="str">
        <f>VLOOKUP($A2265, 'Medical Examinations'!A:D, 4, FALSE)</f>
        <v>Prediabetes</v>
      </c>
    </row>
    <row r="2266" spans="1:11" ht="15.5" x14ac:dyDescent="0.35">
      <c r="A2266" s="1" t="s">
        <v>93</v>
      </c>
      <c r="B2266" t="str">
        <f>VLOOKUP($A2266, 'Customer Names'!A:D, 3, FALSE)</f>
        <v>Fischer-Daly</v>
      </c>
      <c r="C2266">
        <f>VLOOKUP($A2266,'Medical Examinations'!A:C, 3, FALSE)</f>
        <v>19.8</v>
      </c>
      <c r="D2266" t="str">
        <f>VLOOKUP($A2266, 'Medical Examinations'!A:D, 4, FALSE)</f>
        <v>Normal</v>
      </c>
      <c r="E2266" t="str">
        <f>VLOOKUP($A2266, 'Medical Examinations'!A:F, 6, FALSE)</f>
        <v>No</v>
      </c>
      <c r="F2266" t="str">
        <f>VLOOKUP($A2266, 'Medical Examinations'!A:G, 7, FALSE)</f>
        <v>No</v>
      </c>
      <c r="G2266" t="str">
        <f>VLOOKUP($A2266, 'Medical Examinations'!A:H, 8, FALSE)</f>
        <v>Yes</v>
      </c>
      <c r="H2266">
        <f>VLOOKUP($A2266, 'Medical Examinations'!A:J, 10, FALSE)</f>
        <v>1</v>
      </c>
      <c r="I2266" t="str">
        <f>VLOOKUP($A2266, 'Medical Examinations'!A:K, 11, FALSE)</f>
        <v>No</v>
      </c>
      <c r="J2266" t="str">
        <f>VLOOKUP($A2266, 'Medical Examinations'!A:B, 2, FALSE)</f>
        <v>Normal Weight</v>
      </c>
      <c r="K2266" t="str">
        <f>VLOOKUP($A2266, 'Medical Examinations'!A:D, 4, FALSE)</f>
        <v>Normal</v>
      </c>
    </row>
    <row r="2267" spans="1:11" ht="15.5" x14ac:dyDescent="0.35">
      <c r="A2267" s="1" t="s">
        <v>92</v>
      </c>
      <c r="B2267" t="str">
        <f>VLOOKUP($A2267, 'Customer Names'!A:D, 3, FALSE)</f>
        <v>Pulliam</v>
      </c>
      <c r="C2267">
        <f>VLOOKUP($A2267,'Medical Examinations'!A:C, 3, FALSE)</f>
        <v>21.87</v>
      </c>
      <c r="D2267" t="str">
        <f>VLOOKUP($A2267, 'Medical Examinations'!A:D, 4, FALSE)</f>
        <v>Diabetes</v>
      </c>
      <c r="E2267" t="str">
        <f>VLOOKUP($A2267, 'Medical Examinations'!A:F, 6, FALSE)</f>
        <v>No</v>
      </c>
      <c r="F2267" t="str">
        <f>VLOOKUP($A2267, 'Medical Examinations'!A:G, 7, FALSE)</f>
        <v>No</v>
      </c>
      <c r="G2267" t="str">
        <f>VLOOKUP($A2267, 'Medical Examinations'!A:H, 8, FALSE)</f>
        <v>No</v>
      </c>
      <c r="H2267" t="str">
        <f>VLOOKUP($A2267, 'Medical Examinations'!A:J, 10, FALSE)</f>
        <v>No major surgery</v>
      </c>
      <c r="I2267" t="str">
        <f>VLOOKUP($A2267, 'Medical Examinations'!A:K, 11, FALSE)</f>
        <v>No</v>
      </c>
      <c r="J2267" t="str">
        <f>VLOOKUP($A2267, 'Medical Examinations'!A:B, 2, FALSE)</f>
        <v>Normal Weight</v>
      </c>
      <c r="K2267" t="str">
        <f>VLOOKUP($A2267, 'Medical Examinations'!A:D, 4, FALSE)</f>
        <v>Diabetes</v>
      </c>
    </row>
    <row r="2268" spans="1:11" ht="15.5" x14ac:dyDescent="0.35">
      <c r="A2268" s="1" t="s">
        <v>91</v>
      </c>
      <c r="B2268" t="str">
        <f>VLOOKUP($A2268, 'Customer Names'!A:D, 3, FALSE)</f>
        <v>Guisinger</v>
      </c>
      <c r="C2268">
        <f>VLOOKUP($A2268,'Medical Examinations'!A:C, 3, FALSE)</f>
        <v>16.600000000000001</v>
      </c>
      <c r="D2268" t="str">
        <f>VLOOKUP($A2268, 'Medical Examinations'!A:D, 4, FALSE)</f>
        <v>Prediabetes</v>
      </c>
      <c r="E2268" t="str">
        <f>VLOOKUP($A2268, 'Medical Examinations'!A:F, 6, FALSE)</f>
        <v>No</v>
      </c>
      <c r="F2268" t="str">
        <f>VLOOKUP($A2268, 'Medical Examinations'!A:G, 7, FALSE)</f>
        <v>No</v>
      </c>
      <c r="G2268" t="str">
        <f>VLOOKUP($A2268, 'Medical Examinations'!A:H, 8, FALSE)</f>
        <v>No</v>
      </c>
      <c r="H2268">
        <f>VLOOKUP($A2268, 'Medical Examinations'!A:J, 10, FALSE)</f>
        <v>1</v>
      </c>
      <c r="I2268" t="str">
        <f>VLOOKUP($A2268, 'Medical Examinations'!A:K, 11, FALSE)</f>
        <v>No</v>
      </c>
      <c r="J2268" t="str">
        <f>VLOOKUP($A2268, 'Medical Examinations'!A:B, 2, FALSE)</f>
        <v>Underweight</v>
      </c>
      <c r="K2268" t="str">
        <f>VLOOKUP($A2268, 'Medical Examinations'!A:D, 4, FALSE)</f>
        <v>Prediabetes</v>
      </c>
    </row>
    <row r="2269" spans="1:11" ht="15.5" x14ac:dyDescent="0.35">
      <c r="A2269" s="1" t="s">
        <v>90</v>
      </c>
      <c r="B2269" t="str">
        <f>VLOOKUP($A2269, 'Customer Names'!A:D, 3, FALSE)</f>
        <v>Arnerich</v>
      </c>
      <c r="C2269">
        <f>VLOOKUP($A2269,'Medical Examinations'!A:C, 3, FALSE)</f>
        <v>21.98</v>
      </c>
      <c r="D2269" t="str">
        <f>VLOOKUP($A2269, 'Medical Examinations'!A:D, 4, FALSE)</f>
        <v>Diabetes</v>
      </c>
      <c r="E2269" t="str">
        <f>VLOOKUP($A2269, 'Medical Examinations'!A:F, 6, FALSE)</f>
        <v>No</v>
      </c>
      <c r="F2269" t="str">
        <f>VLOOKUP($A2269, 'Medical Examinations'!A:G, 7, FALSE)</f>
        <v>No</v>
      </c>
      <c r="G2269" t="str">
        <f>VLOOKUP($A2269, 'Medical Examinations'!A:H, 8, FALSE)</f>
        <v>No</v>
      </c>
      <c r="H2269" t="str">
        <f>VLOOKUP($A2269, 'Medical Examinations'!A:J, 10, FALSE)</f>
        <v>No major surgery</v>
      </c>
      <c r="I2269" t="str">
        <f>VLOOKUP($A2269, 'Medical Examinations'!A:K, 11, FALSE)</f>
        <v>No</v>
      </c>
      <c r="J2269" t="str">
        <f>VLOOKUP($A2269, 'Medical Examinations'!A:B, 2, FALSE)</f>
        <v>Normal Weight</v>
      </c>
      <c r="K2269" t="str">
        <f>VLOOKUP($A2269, 'Medical Examinations'!A:D, 4, FALSE)</f>
        <v>Diabetes</v>
      </c>
    </row>
    <row r="2270" spans="1:11" ht="15.5" x14ac:dyDescent="0.35">
      <c r="A2270" s="1" t="s">
        <v>89</v>
      </c>
      <c r="B2270" t="str">
        <f>VLOOKUP($A2270, 'Customer Names'!A:D, 3, FALSE)</f>
        <v>Lynch</v>
      </c>
      <c r="C2270">
        <f>VLOOKUP($A2270,'Medical Examinations'!A:C, 3, FALSE)</f>
        <v>19.7</v>
      </c>
      <c r="D2270" t="str">
        <f>VLOOKUP($A2270, 'Medical Examinations'!A:D, 4, FALSE)</f>
        <v>Normal</v>
      </c>
      <c r="E2270" t="str">
        <f>VLOOKUP($A2270, 'Medical Examinations'!A:F, 6, FALSE)</f>
        <v>No</v>
      </c>
      <c r="F2270" t="str">
        <f>VLOOKUP($A2270, 'Medical Examinations'!A:G, 7, FALSE)</f>
        <v>No</v>
      </c>
      <c r="G2270" t="str">
        <f>VLOOKUP($A2270, 'Medical Examinations'!A:H, 8, FALSE)</f>
        <v>No</v>
      </c>
      <c r="H2270">
        <f>VLOOKUP($A2270, 'Medical Examinations'!A:J, 10, FALSE)</f>
        <v>1</v>
      </c>
      <c r="I2270" t="str">
        <f>VLOOKUP($A2270, 'Medical Examinations'!A:K, 11, FALSE)</f>
        <v>No</v>
      </c>
      <c r="J2270" t="str">
        <f>VLOOKUP($A2270, 'Medical Examinations'!A:B, 2, FALSE)</f>
        <v>Normal Weight</v>
      </c>
      <c r="K2270" t="str">
        <f>VLOOKUP($A2270, 'Medical Examinations'!A:D, 4, FALSE)</f>
        <v>Normal</v>
      </c>
    </row>
    <row r="2271" spans="1:11" ht="15.5" x14ac:dyDescent="0.35">
      <c r="A2271" s="1" t="s">
        <v>88</v>
      </c>
      <c r="B2271" t="str">
        <f>VLOOKUP($A2271, 'Customer Names'!A:D, 3, FALSE)</f>
        <v>Reilly</v>
      </c>
      <c r="C2271">
        <f>VLOOKUP($A2271,'Medical Examinations'!A:C, 3, FALSE)</f>
        <v>19.21</v>
      </c>
      <c r="D2271" t="str">
        <f>VLOOKUP($A2271, 'Medical Examinations'!A:D, 4, FALSE)</f>
        <v>Normal</v>
      </c>
      <c r="E2271" t="str">
        <f>VLOOKUP($A2271, 'Medical Examinations'!A:F, 6, FALSE)</f>
        <v>No</v>
      </c>
      <c r="F2271" t="str">
        <f>VLOOKUP($A2271, 'Medical Examinations'!A:G, 7, FALSE)</f>
        <v>yes</v>
      </c>
      <c r="G2271" t="str">
        <f>VLOOKUP($A2271, 'Medical Examinations'!A:H, 8, FALSE)</f>
        <v>No</v>
      </c>
      <c r="H2271">
        <f>VLOOKUP($A2271, 'Medical Examinations'!A:J, 10, FALSE)</f>
        <v>1</v>
      </c>
      <c r="I2271" t="str">
        <f>VLOOKUP($A2271, 'Medical Examinations'!A:K, 11, FALSE)</f>
        <v>No</v>
      </c>
      <c r="J2271" t="str">
        <f>VLOOKUP($A2271, 'Medical Examinations'!A:B, 2, FALSE)</f>
        <v>Normal Weight</v>
      </c>
      <c r="K2271" t="str">
        <f>VLOOKUP($A2271, 'Medical Examinations'!A:D, 4, FALSE)</f>
        <v>Normal</v>
      </c>
    </row>
    <row r="2272" spans="1:11" ht="15.5" x14ac:dyDescent="0.35">
      <c r="A2272" s="1" t="s">
        <v>87</v>
      </c>
      <c r="B2272" t="str">
        <f>VLOOKUP($A2272, 'Customer Names'!A:D, 3, FALSE)</f>
        <v>Nolette</v>
      </c>
      <c r="C2272">
        <f>VLOOKUP($A2272,'Medical Examinations'!A:C, 3, FALSE)</f>
        <v>19.3</v>
      </c>
      <c r="D2272" t="str">
        <f>VLOOKUP($A2272, 'Medical Examinations'!A:D, 4, FALSE)</f>
        <v>Normal</v>
      </c>
      <c r="E2272" t="str">
        <f>VLOOKUP($A2272, 'Medical Examinations'!A:F, 6, FALSE)</f>
        <v>No</v>
      </c>
      <c r="F2272" t="str">
        <f>VLOOKUP($A2272, 'Medical Examinations'!A:G, 7, FALSE)</f>
        <v>yes</v>
      </c>
      <c r="G2272" t="str">
        <f>VLOOKUP($A2272, 'Medical Examinations'!A:H, 8, FALSE)</f>
        <v>No</v>
      </c>
      <c r="H2272">
        <f>VLOOKUP($A2272, 'Medical Examinations'!A:J, 10, FALSE)</f>
        <v>1</v>
      </c>
      <c r="I2272" t="str">
        <f>VLOOKUP($A2272, 'Medical Examinations'!A:K, 11, FALSE)</f>
        <v>No</v>
      </c>
      <c r="J2272" t="str">
        <f>VLOOKUP($A2272, 'Medical Examinations'!A:B, 2, FALSE)</f>
        <v>Normal Weight</v>
      </c>
      <c r="K2272" t="str">
        <f>VLOOKUP($A2272, 'Medical Examinations'!A:D, 4, FALSE)</f>
        <v>Normal</v>
      </c>
    </row>
    <row r="2273" spans="1:11" ht="15.5" x14ac:dyDescent="0.35">
      <c r="A2273" s="1" t="s">
        <v>86</v>
      </c>
      <c r="B2273" t="str">
        <f>VLOOKUP($A2273, 'Customer Names'!A:D, 3, FALSE)</f>
        <v>Chabrier</v>
      </c>
      <c r="C2273">
        <f>VLOOKUP($A2273,'Medical Examinations'!A:C, 3, FALSE)</f>
        <v>16.22</v>
      </c>
      <c r="D2273" t="str">
        <f>VLOOKUP($A2273, 'Medical Examinations'!A:D, 4, FALSE)</f>
        <v>Prediabetes</v>
      </c>
      <c r="E2273" t="str">
        <f>VLOOKUP($A2273, 'Medical Examinations'!A:F, 6, FALSE)</f>
        <v>yes</v>
      </c>
      <c r="F2273" t="str">
        <f>VLOOKUP($A2273, 'Medical Examinations'!A:G, 7, FALSE)</f>
        <v>No</v>
      </c>
      <c r="G2273" t="str">
        <f>VLOOKUP($A2273, 'Medical Examinations'!A:H, 8, FALSE)</f>
        <v>No</v>
      </c>
      <c r="H2273" t="str">
        <f>VLOOKUP($A2273, 'Medical Examinations'!A:J, 10, FALSE)</f>
        <v>No major surgery</v>
      </c>
      <c r="I2273" t="str">
        <f>VLOOKUP($A2273, 'Medical Examinations'!A:K, 11, FALSE)</f>
        <v>No</v>
      </c>
      <c r="J2273" t="str">
        <f>VLOOKUP($A2273, 'Medical Examinations'!A:B, 2, FALSE)</f>
        <v>Underweight</v>
      </c>
      <c r="K2273" t="str">
        <f>VLOOKUP($A2273, 'Medical Examinations'!A:D, 4, FALSE)</f>
        <v>Prediabetes</v>
      </c>
    </row>
    <row r="2274" spans="1:11" ht="15.5" x14ac:dyDescent="0.35">
      <c r="A2274" s="1" t="s">
        <v>85</v>
      </c>
      <c r="B2274" t="str">
        <f>VLOOKUP($A2274, 'Customer Names'!A:D, 3, FALSE)</f>
        <v>Lee</v>
      </c>
      <c r="C2274">
        <f>VLOOKUP($A2274,'Medical Examinations'!A:C, 3, FALSE)</f>
        <v>17.12</v>
      </c>
      <c r="D2274" t="str">
        <f>VLOOKUP($A2274, 'Medical Examinations'!A:D, 4, FALSE)</f>
        <v>Normal</v>
      </c>
      <c r="E2274" t="str">
        <f>VLOOKUP($A2274, 'Medical Examinations'!A:F, 6, FALSE)</f>
        <v>No</v>
      </c>
      <c r="F2274" t="str">
        <f>VLOOKUP($A2274, 'Medical Examinations'!A:G, 7, FALSE)</f>
        <v>yes</v>
      </c>
      <c r="G2274" t="str">
        <f>VLOOKUP($A2274, 'Medical Examinations'!A:H, 8, FALSE)</f>
        <v>No</v>
      </c>
      <c r="H2274">
        <f>VLOOKUP($A2274, 'Medical Examinations'!A:J, 10, FALSE)</f>
        <v>1</v>
      </c>
      <c r="I2274" t="str">
        <f>VLOOKUP($A2274, 'Medical Examinations'!A:K, 11, FALSE)</f>
        <v>No</v>
      </c>
      <c r="J2274" t="str">
        <f>VLOOKUP($A2274, 'Medical Examinations'!A:B, 2, FALSE)</f>
        <v>Underweight</v>
      </c>
      <c r="K2274" t="str">
        <f>VLOOKUP($A2274, 'Medical Examinations'!A:D, 4, FALSE)</f>
        <v>Normal</v>
      </c>
    </row>
    <row r="2275" spans="1:11" ht="15.5" x14ac:dyDescent="0.35">
      <c r="A2275" s="1" t="s">
        <v>84</v>
      </c>
      <c r="B2275" t="str">
        <f>VLOOKUP($A2275, 'Customer Names'!A:D, 3, FALSE)</f>
        <v>Knotts</v>
      </c>
      <c r="C2275">
        <f>VLOOKUP($A2275,'Medical Examinations'!A:C, 3, FALSE)</f>
        <v>19.07</v>
      </c>
      <c r="D2275" t="str">
        <f>VLOOKUP($A2275, 'Medical Examinations'!A:D, 4, FALSE)</f>
        <v>Normal</v>
      </c>
      <c r="E2275" t="str">
        <f>VLOOKUP($A2275, 'Medical Examinations'!A:F, 6, FALSE)</f>
        <v>No</v>
      </c>
      <c r="F2275" t="str">
        <f>VLOOKUP($A2275, 'Medical Examinations'!A:G, 7, FALSE)</f>
        <v>No</v>
      </c>
      <c r="G2275" t="str">
        <f>VLOOKUP($A2275, 'Medical Examinations'!A:H, 8, FALSE)</f>
        <v>No</v>
      </c>
      <c r="H2275">
        <f>VLOOKUP($A2275, 'Medical Examinations'!A:J, 10, FALSE)</f>
        <v>1</v>
      </c>
      <c r="I2275" t="str">
        <f>VLOOKUP($A2275, 'Medical Examinations'!A:K, 11, FALSE)</f>
        <v>No</v>
      </c>
      <c r="J2275" t="str">
        <f>VLOOKUP($A2275, 'Medical Examinations'!A:B, 2, FALSE)</f>
        <v>Normal Weight</v>
      </c>
      <c r="K2275" t="str">
        <f>VLOOKUP($A2275, 'Medical Examinations'!A:D, 4, FALSE)</f>
        <v>Normal</v>
      </c>
    </row>
    <row r="2276" spans="1:11" ht="15.5" x14ac:dyDescent="0.35">
      <c r="A2276" s="1" t="s">
        <v>83</v>
      </c>
      <c r="B2276" t="str">
        <f>VLOOKUP($A2276, 'Customer Names'!A:D, 3, FALSE)</f>
        <v>Pultorak</v>
      </c>
      <c r="C2276">
        <f>VLOOKUP($A2276,'Medical Examinations'!A:C, 3, FALSE)</f>
        <v>15.56</v>
      </c>
      <c r="D2276" t="str">
        <f>VLOOKUP($A2276, 'Medical Examinations'!A:D, 4, FALSE)</f>
        <v>Normal</v>
      </c>
      <c r="E2276" t="str">
        <f>VLOOKUP($A2276, 'Medical Examinations'!A:F, 6, FALSE)</f>
        <v>No</v>
      </c>
      <c r="F2276" t="str">
        <f>VLOOKUP($A2276, 'Medical Examinations'!A:G, 7, FALSE)</f>
        <v>No</v>
      </c>
      <c r="G2276" t="str">
        <f>VLOOKUP($A2276, 'Medical Examinations'!A:H, 8, FALSE)</f>
        <v>No</v>
      </c>
      <c r="H2276" t="str">
        <f>VLOOKUP($A2276, 'Medical Examinations'!A:J, 10, FALSE)</f>
        <v>No major surgery</v>
      </c>
      <c r="I2276" t="str">
        <f>VLOOKUP($A2276, 'Medical Examinations'!A:K, 11, FALSE)</f>
        <v>No</v>
      </c>
      <c r="J2276" t="str">
        <f>VLOOKUP($A2276, 'Medical Examinations'!A:B, 2, FALSE)</f>
        <v>Underweight</v>
      </c>
      <c r="K2276" t="str">
        <f>VLOOKUP($A2276, 'Medical Examinations'!A:D, 4, FALSE)</f>
        <v>Normal</v>
      </c>
    </row>
    <row r="2277" spans="1:11" ht="15.5" x14ac:dyDescent="0.35">
      <c r="A2277" s="1" t="s">
        <v>82</v>
      </c>
      <c r="B2277" t="str">
        <f>VLOOKUP($A2277, 'Customer Names'!A:D, 3, FALSE)</f>
        <v>Maxon</v>
      </c>
      <c r="C2277">
        <f>VLOOKUP($A2277,'Medical Examinations'!A:C, 3, FALSE)</f>
        <v>22.76</v>
      </c>
      <c r="D2277" t="str">
        <f>VLOOKUP($A2277, 'Medical Examinations'!A:D, 4, FALSE)</f>
        <v>Diabetes</v>
      </c>
      <c r="E2277" t="str">
        <f>VLOOKUP($A2277, 'Medical Examinations'!A:F, 6, FALSE)</f>
        <v>No</v>
      </c>
      <c r="F2277" t="str">
        <f>VLOOKUP($A2277, 'Medical Examinations'!A:G, 7, FALSE)</f>
        <v>No</v>
      </c>
      <c r="G2277" t="str">
        <f>VLOOKUP($A2277, 'Medical Examinations'!A:H, 8, FALSE)</f>
        <v>No</v>
      </c>
      <c r="H2277" t="str">
        <f>VLOOKUP($A2277, 'Medical Examinations'!A:J, 10, FALSE)</f>
        <v>No major surgery</v>
      </c>
      <c r="I2277" t="str">
        <f>VLOOKUP($A2277, 'Medical Examinations'!A:K, 11, FALSE)</f>
        <v>No</v>
      </c>
      <c r="J2277" t="str">
        <f>VLOOKUP($A2277, 'Medical Examinations'!A:B, 2, FALSE)</f>
        <v>Normal Weight</v>
      </c>
      <c r="K2277" t="str">
        <f>VLOOKUP($A2277, 'Medical Examinations'!A:D, 4, FALSE)</f>
        <v>Diabetes</v>
      </c>
    </row>
    <row r="2278" spans="1:11" ht="15.5" x14ac:dyDescent="0.35">
      <c r="A2278" s="1" t="s">
        <v>81</v>
      </c>
      <c r="B2278" t="str">
        <f>VLOOKUP($A2278, 'Customer Names'!A:D, 3, FALSE)</f>
        <v>Kraai</v>
      </c>
      <c r="C2278">
        <f>VLOOKUP($A2278,'Medical Examinations'!A:C, 3, FALSE)</f>
        <v>22.79</v>
      </c>
      <c r="D2278" t="str">
        <f>VLOOKUP($A2278, 'Medical Examinations'!A:D, 4, FALSE)</f>
        <v>Prediabetes</v>
      </c>
      <c r="E2278" t="str">
        <f>VLOOKUP($A2278, 'Medical Examinations'!A:F, 6, FALSE)</f>
        <v>yes</v>
      </c>
      <c r="F2278" t="str">
        <f>VLOOKUP($A2278, 'Medical Examinations'!A:G, 7, FALSE)</f>
        <v>No</v>
      </c>
      <c r="G2278" t="str">
        <f>VLOOKUP($A2278, 'Medical Examinations'!A:H, 8, FALSE)</f>
        <v>Yes</v>
      </c>
      <c r="H2278">
        <f>VLOOKUP($A2278, 'Medical Examinations'!A:J, 10, FALSE)</f>
        <v>1</v>
      </c>
      <c r="I2278" t="str">
        <f>VLOOKUP($A2278, 'Medical Examinations'!A:K, 11, FALSE)</f>
        <v>No</v>
      </c>
      <c r="J2278" t="str">
        <f>VLOOKUP($A2278, 'Medical Examinations'!A:B, 2, FALSE)</f>
        <v>Normal Weight</v>
      </c>
      <c r="K2278" t="str">
        <f>VLOOKUP($A2278, 'Medical Examinations'!A:D, 4, FALSE)</f>
        <v>Prediabetes</v>
      </c>
    </row>
    <row r="2279" spans="1:11" ht="15.5" x14ac:dyDescent="0.35">
      <c r="A2279" s="1" t="s">
        <v>80</v>
      </c>
      <c r="B2279" t="str">
        <f>VLOOKUP($A2279, 'Customer Names'!A:D, 3, FALSE)</f>
        <v>Larosa</v>
      </c>
      <c r="C2279">
        <f>VLOOKUP($A2279,'Medical Examinations'!A:C, 3, FALSE)</f>
        <v>17.41</v>
      </c>
      <c r="D2279" t="str">
        <f>VLOOKUP($A2279, 'Medical Examinations'!A:D, 4, FALSE)</f>
        <v>Normal</v>
      </c>
      <c r="E2279" t="str">
        <f>VLOOKUP($A2279, 'Medical Examinations'!A:F, 6, FALSE)</f>
        <v>yes</v>
      </c>
      <c r="F2279" t="str">
        <f>VLOOKUP($A2279, 'Medical Examinations'!A:G, 7, FALSE)</f>
        <v>No</v>
      </c>
      <c r="G2279" t="str">
        <f>VLOOKUP($A2279, 'Medical Examinations'!A:H, 8, FALSE)</f>
        <v>No</v>
      </c>
      <c r="H2279" t="str">
        <f>VLOOKUP($A2279, 'Medical Examinations'!A:J, 10, FALSE)</f>
        <v>No major surgery</v>
      </c>
      <c r="I2279" t="str">
        <f>VLOOKUP($A2279, 'Medical Examinations'!A:K, 11, FALSE)</f>
        <v>No</v>
      </c>
      <c r="J2279" t="str">
        <f>VLOOKUP($A2279, 'Medical Examinations'!A:B, 2, FALSE)</f>
        <v>Underweight</v>
      </c>
      <c r="K2279" t="str">
        <f>VLOOKUP($A2279, 'Medical Examinations'!A:D, 4, FALSE)</f>
        <v>Normal</v>
      </c>
    </row>
    <row r="2280" spans="1:11" ht="15.5" x14ac:dyDescent="0.35">
      <c r="A2280" s="1" t="s">
        <v>79</v>
      </c>
      <c r="B2280" t="str">
        <f>VLOOKUP($A2280, 'Customer Names'!A:D, 3, FALSE)</f>
        <v>King</v>
      </c>
      <c r="C2280">
        <f>VLOOKUP($A2280,'Medical Examinations'!A:C, 3, FALSE)</f>
        <v>19.32</v>
      </c>
      <c r="D2280" t="str">
        <f>VLOOKUP($A2280, 'Medical Examinations'!A:D, 4, FALSE)</f>
        <v>Normal</v>
      </c>
      <c r="E2280" t="str">
        <f>VLOOKUP($A2280, 'Medical Examinations'!A:F, 6, FALSE)</f>
        <v>yes</v>
      </c>
      <c r="F2280" t="str">
        <f>VLOOKUP($A2280, 'Medical Examinations'!A:G, 7, FALSE)</f>
        <v>No</v>
      </c>
      <c r="G2280" t="str">
        <f>VLOOKUP($A2280, 'Medical Examinations'!A:H, 8, FALSE)</f>
        <v>No</v>
      </c>
      <c r="H2280" t="str">
        <f>VLOOKUP($A2280, 'Medical Examinations'!A:J, 10, FALSE)</f>
        <v>No major surgery</v>
      </c>
      <c r="I2280" t="str">
        <f>VLOOKUP($A2280, 'Medical Examinations'!A:K, 11, FALSE)</f>
        <v>No</v>
      </c>
      <c r="J2280" t="str">
        <f>VLOOKUP($A2280, 'Medical Examinations'!A:B, 2, FALSE)</f>
        <v>Normal Weight</v>
      </c>
      <c r="K2280" t="str">
        <f>VLOOKUP($A2280, 'Medical Examinations'!A:D, 4, FALSE)</f>
        <v>Normal</v>
      </c>
    </row>
    <row r="2281" spans="1:11" ht="15.5" x14ac:dyDescent="0.35">
      <c r="A2281" s="1" t="s">
        <v>78</v>
      </c>
      <c r="B2281" t="str">
        <f>VLOOKUP($A2281, 'Customer Names'!A:D, 3, FALSE)</f>
        <v>Haney</v>
      </c>
      <c r="C2281">
        <f>VLOOKUP($A2281,'Medical Examinations'!A:C, 3, FALSE)</f>
        <v>18.25</v>
      </c>
      <c r="D2281" t="str">
        <f>VLOOKUP($A2281, 'Medical Examinations'!A:D, 4, FALSE)</f>
        <v>Diabetes</v>
      </c>
      <c r="E2281" t="str">
        <f>VLOOKUP($A2281, 'Medical Examinations'!A:F, 6, FALSE)</f>
        <v>No</v>
      </c>
      <c r="F2281" t="str">
        <f>VLOOKUP($A2281, 'Medical Examinations'!A:G, 7, FALSE)</f>
        <v>No</v>
      </c>
      <c r="G2281" t="str">
        <f>VLOOKUP($A2281, 'Medical Examinations'!A:H, 8, FALSE)</f>
        <v>No</v>
      </c>
      <c r="H2281" t="str">
        <f>VLOOKUP($A2281, 'Medical Examinations'!A:J, 10, FALSE)</f>
        <v>No major surgery</v>
      </c>
      <c r="I2281" t="str">
        <f>VLOOKUP($A2281, 'Medical Examinations'!A:K, 11, FALSE)</f>
        <v>No</v>
      </c>
      <c r="J2281" t="str">
        <f>VLOOKUP($A2281, 'Medical Examinations'!A:B, 2, FALSE)</f>
        <v>Underweight</v>
      </c>
      <c r="K2281" t="str">
        <f>VLOOKUP($A2281, 'Medical Examinations'!A:D, 4, FALSE)</f>
        <v>Diabetes</v>
      </c>
    </row>
    <row r="2282" spans="1:11" ht="15.5" x14ac:dyDescent="0.35">
      <c r="A2282" s="1" t="s">
        <v>77</v>
      </c>
      <c r="B2282" t="str">
        <f>VLOOKUP($A2282, 'Customer Names'!A:D, 3, FALSE)</f>
        <v>Boulay</v>
      </c>
      <c r="C2282">
        <f>VLOOKUP($A2282,'Medical Examinations'!A:C, 3, FALSE)</f>
        <v>53.13</v>
      </c>
      <c r="D2282" t="str">
        <f>VLOOKUP($A2282, 'Medical Examinations'!A:D, 4, FALSE)</f>
        <v>Normal</v>
      </c>
      <c r="E2282" t="str">
        <f>VLOOKUP($A2282, 'Medical Examinations'!A:F, 6, FALSE)</f>
        <v>No</v>
      </c>
      <c r="F2282" t="str">
        <f>VLOOKUP($A2282, 'Medical Examinations'!A:G, 7, FALSE)</f>
        <v>yes</v>
      </c>
      <c r="G2282" t="str">
        <f>VLOOKUP($A2282, 'Medical Examinations'!A:H, 8, FALSE)</f>
        <v>No</v>
      </c>
      <c r="H2282">
        <f>VLOOKUP($A2282, 'Medical Examinations'!A:J, 10, FALSE)</f>
        <v>1</v>
      </c>
      <c r="I2282" t="str">
        <f>VLOOKUP($A2282, 'Medical Examinations'!A:K, 11, FALSE)</f>
        <v>No</v>
      </c>
      <c r="J2282" t="str">
        <f>VLOOKUP($A2282, 'Medical Examinations'!A:B, 2, FALSE)</f>
        <v>Obesity</v>
      </c>
      <c r="K2282" t="str">
        <f>VLOOKUP($A2282, 'Medical Examinations'!A:D, 4, FALSE)</f>
        <v>Normal</v>
      </c>
    </row>
    <row r="2283" spans="1:11" ht="15.5" x14ac:dyDescent="0.35">
      <c r="A2283" s="1" t="s">
        <v>76</v>
      </c>
      <c r="B2283" t="str">
        <f>VLOOKUP($A2283, 'Customer Names'!A:D, 3, FALSE)</f>
        <v>Peters</v>
      </c>
      <c r="C2283">
        <f>VLOOKUP($A2283,'Medical Examinations'!A:C, 3, FALSE)</f>
        <v>20.46</v>
      </c>
      <c r="D2283" t="str">
        <f>VLOOKUP($A2283, 'Medical Examinations'!A:D, 4, FALSE)</f>
        <v>Normal</v>
      </c>
      <c r="E2283" t="str">
        <f>VLOOKUP($A2283, 'Medical Examinations'!A:F, 6, FALSE)</f>
        <v>No</v>
      </c>
      <c r="F2283" t="str">
        <f>VLOOKUP($A2283, 'Medical Examinations'!A:G, 7, FALSE)</f>
        <v>No</v>
      </c>
      <c r="G2283" t="str">
        <f>VLOOKUP($A2283, 'Medical Examinations'!A:H, 8, FALSE)</f>
        <v>No</v>
      </c>
      <c r="H2283" t="str">
        <f>VLOOKUP($A2283, 'Medical Examinations'!A:J, 10, FALSE)</f>
        <v>No major surgery</v>
      </c>
      <c r="I2283" t="str">
        <f>VLOOKUP($A2283, 'Medical Examinations'!A:K, 11, FALSE)</f>
        <v>No</v>
      </c>
      <c r="J2283" t="str">
        <f>VLOOKUP($A2283, 'Medical Examinations'!A:B, 2, FALSE)</f>
        <v>Normal Weight</v>
      </c>
      <c r="K2283" t="str">
        <f>VLOOKUP($A2283, 'Medical Examinations'!A:D, 4, FALSE)</f>
        <v>Normal</v>
      </c>
    </row>
    <row r="2284" spans="1:11" ht="15.5" x14ac:dyDescent="0.35">
      <c r="A2284" s="1" t="s">
        <v>75</v>
      </c>
      <c r="B2284" t="str">
        <f>VLOOKUP($A2284, 'Customer Names'!A:D, 3, FALSE)</f>
        <v>Luy</v>
      </c>
      <c r="C2284">
        <f>VLOOKUP($A2284,'Medical Examinations'!A:C, 3, FALSE)</f>
        <v>43.01</v>
      </c>
      <c r="D2284" t="str">
        <f>VLOOKUP($A2284, 'Medical Examinations'!A:D, 4, FALSE)</f>
        <v>Normal</v>
      </c>
      <c r="E2284" t="str">
        <f>VLOOKUP($A2284, 'Medical Examinations'!A:F, 6, FALSE)</f>
        <v>No</v>
      </c>
      <c r="F2284" t="str">
        <f>VLOOKUP($A2284, 'Medical Examinations'!A:G, 7, FALSE)</f>
        <v>yes</v>
      </c>
      <c r="G2284" t="str">
        <f>VLOOKUP($A2284, 'Medical Examinations'!A:H, 8, FALSE)</f>
        <v>No</v>
      </c>
      <c r="H2284">
        <f>VLOOKUP($A2284, 'Medical Examinations'!A:J, 10, FALSE)</f>
        <v>1</v>
      </c>
      <c r="I2284" t="str">
        <f>VLOOKUP($A2284, 'Medical Examinations'!A:K, 11, FALSE)</f>
        <v>No</v>
      </c>
      <c r="J2284" t="str">
        <f>VLOOKUP($A2284, 'Medical Examinations'!A:B, 2, FALSE)</f>
        <v>Obesity</v>
      </c>
      <c r="K2284" t="str">
        <f>VLOOKUP($A2284, 'Medical Examinations'!A:D, 4, FALSE)</f>
        <v>Normal</v>
      </c>
    </row>
    <row r="2285" spans="1:11" ht="15.5" x14ac:dyDescent="0.35">
      <c r="A2285" s="1" t="s">
        <v>74</v>
      </c>
      <c r="B2285" t="str">
        <f>VLOOKUP($A2285, 'Customer Names'!A:D, 3, FALSE)</f>
        <v>Fava</v>
      </c>
      <c r="C2285">
        <f>VLOOKUP($A2285,'Medical Examinations'!A:C, 3, FALSE)</f>
        <v>15.01</v>
      </c>
      <c r="D2285" t="str">
        <f>VLOOKUP($A2285, 'Medical Examinations'!A:D, 4, FALSE)</f>
        <v>Normal</v>
      </c>
      <c r="E2285" t="str">
        <f>VLOOKUP($A2285, 'Medical Examinations'!A:F, 6, FALSE)</f>
        <v>No</v>
      </c>
      <c r="F2285" t="str">
        <f>VLOOKUP($A2285, 'Medical Examinations'!A:G, 7, FALSE)</f>
        <v>No</v>
      </c>
      <c r="G2285" t="str">
        <f>VLOOKUP($A2285, 'Medical Examinations'!A:H, 8, FALSE)</f>
        <v>Yes</v>
      </c>
      <c r="H2285">
        <f>VLOOKUP($A2285, 'Medical Examinations'!A:J, 10, FALSE)</f>
        <v>1</v>
      </c>
      <c r="I2285" t="str">
        <f>VLOOKUP($A2285, 'Medical Examinations'!A:K, 11, FALSE)</f>
        <v>No</v>
      </c>
      <c r="J2285" t="str">
        <f>VLOOKUP($A2285, 'Medical Examinations'!A:B, 2, FALSE)</f>
        <v>Underweight</v>
      </c>
      <c r="K2285" t="str">
        <f>VLOOKUP($A2285, 'Medical Examinations'!A:D, 4, FALSE)</f>
        <v>Normal</v>
      </c>
    </row>
    <row r="2286" spans="1:11" ht="15.5" x14ac:dyDescent="0.35">
      <c r="A2286" s="1" t="s">
        <v>73</v>
      </c>
      <c r="B2286" t="str">
        <f>VLOOKUP($A2286, 'Customer Names'!A:D, 3, FALSE)</f>
        <v>Montoya</v>
      </c>
      <c r="C2286">
        <f>VLOOKUP($A2286,'Medical Examinations'!A:C, 3, FALSE)</f>
        <v>41.14</v>
      </c>
      <c r="D2286" t="str">
        <f>VLOOKUP($A2286, 'Medical Examinations'!A:D, 4, FALSE)</f>
        <v>Prediabetes</v>
      </c>
      <c r="E2286" t="str">
        <f>VLOOKUP($A2286, 'Medical Examinations'!A:F, 6, FALSE)</f>
        <v>No</v>
      </c>
      <c r="F2286" t="str">
        <f>VLOOKUP($A2286, 'Medical Examinations'!A:G, 7, FALSE)</f>
        <v>yes</v>
      </c>
      <c r="G2286" t="str">
        <f>VLOOKUP($A2286, 'Medical Examinations'!A:H, 8, FALSE)</f>
        <v>No</v>
      </c>
      <c r="H2286">
        <f>VLOOKUP($A2286, 'Medical Examinations'!A:J, 10, FALSE)</f>
        <v>1</v>
      </c>
      <c r="I2286" t="str">
        <f>VLOOKUP($A2286, 'Medical Examinations'!A:K, 11, FALSE)</f>
        <v>No</v>
      </c>
      <c r="J2286" t="str">
        <f>VLOOKUP($A2286, 'Medical Examinations'!A:B, 2, FALSE)</f>
        <v>Obesity</v>
      </c>
      <c r="K2286" t="str">
        <f>VLOOKUP($A2286, 'Medical Examinations'!A:D, 4, FALSE)</f>
        <v>Prediabetes</v>
      </c>
    </row>
    <row r="2287" spans="1:11" ht="15.5" x14ac:dyDescent="0.35">
      <c r="A2287" s="1" t="s">
        <v>72</v>
      </c>
      <c r="B2287" t="str">
        <f>VLOOKUP($A2287, 'Customer Names'!A:D, 3, FALSE)</f>
        <v>Bain</v>
      </c>
      <c r="C2287">
        <f>VLOOKUP($A2287,'Medical Examinations'!A:C, 3, FALSE)</f>
        <v>16.55</v>
      </c>
      <c r="D2287" t="str">
        <f>VLOOKUP($A2287, 'Medical Examinations'!A:D, 4, FALSE)</f>
        <v>Diabetes</v>
      </c>
      <c r="E2287" t="str">
        <f>VLOOKUP($A2287, 'Medical Examinations'!A:F, 6, FALSE)</f>
        <v>No</v>
      </c>
      <c r="F2287" t="str">
        <f>VLOOKUP($A2287, 'Medical Examinations'!A:G, 7, FALSE)</f>
        <v>No</v>
      </c>
      <c r="G2287" t="str">
        <f>VLOOKUP($A2287, 'Medical Examinations'!A:H, 8, FALSE)</f>
        <v>No</v>
      </c>
      <c r="H2287" t="str">
        <f>VLOOKUP($A2287, 'Medical Examinations'!A:J, 10, FALSE)</f>
        <v>No major surgery</v>
      </c>
      <c r="I2287" t="str">
        <f>VLOOKUP($A2287, 'Medical Examinations'!A:K, 11, FALSE)</f>
        <v>No</v>
      </c>
      <c r="J2287" t="str">
        <f>VLOOKUP($A2287, 'Medical Examinations'!A:B, 2, FALSE)</f>
        <v>Underweight</v>
      </c>
      <c r="K2287" t="str">
        <f>VLOOKUP($A2287, 'Medical Examinations'!A:D, 4, FALSE)</f>
        <v>Diabetes</v>
      </c>
    </row>
    <row r="2288" spans="1:11" ht="15.5" x14ac:dyDescent="0.35">
      <c r="A2288" s="1" t="s">
        <v>71</v>
      </c>
      <c r="B2288" t="str">
        <f>VLOOKUP($A2288, 'Customer Names'!A:D, 3, FALSE)</f>
        <v>Albertson</v>
      </c>
      <c r="C2288">
        <f>VLOOKUP($A2288,'Medical Examinations'!A:C, 3, FALSE)</f>
        <v>37.29</v>
      </c>
      <c r="D2288" t="str">
        <f>VLOOKUP($A2288, 'Medical Examinations'!A:D, 4, FALSE)</f>
        <v>Normal</v>
      </c>
      <c r="E2288" t="str">
        <f>VLOOKUP($A2288, 'Medical Examinations'!A:F, 6, FALSE)</f>
        <v>No</v>
      </c>
      <c r="F2288" t="str">
        <f>VLOOKUP($A2288, 'Medical Examinations'!A:G, 7, FALSE)</f>
        <v>yes</v>
      </c>
      <c r="G2288" t="str">
        <f>VLOOKUP($A2288, 'Medical Examinations'!A:H, 8, FALSE)</f>
        <v>No</v>
      </c>
      <c r="H2288">
        <f>VLOOKUP($A2288, 'Medical Examinations'!A:J, 10, FALSE)</f>
        <v>1</v>
      </c>
      <c r="I2288" t="str">
        <f>VLOOKUP($A2288, 'Medical Examinations'!A:K, 11, FALSE)</f>
        <v>No</v>
      </c>
      <c r="J2288" t="str">
        <f>VLOOKUP($A2288, 'Medical Examinations'!A:B, 2, FALSE)</f>
        <v>Obesity</v>
      </c>
      <c r="K2288" t="str">
        <f>VLOOKUP($A2288, 'Medical Examinations'!A:D, 4, FALSE)</f>
        <v>Normal</v>
      </c>
    </row>
    <row r="2289" spans="1:11" ht="15.5" x14ac:dyDescent="0.35">
      <c r="A2289" s="1" t="s">
        <v>70</v>
      </c>
      <c r="B2289" t="str">
        <f>VLOOKUP($A2289, 'Customer Names'!A:D, 3, FALSE)</f>
        <v>Barger</v>
      </c>
      <c r="C2289">
        <f>VLOOKUP($A2289,'Medical Examinations'!A:C, 3, FALSE)</f>
        <v>16.739999999999998</v>
      </c>
      <c r="D2289" t="str">
        <f>VLOOKUP($A2289, 'Medical Examinations'!A:D, 4, FALSE)</f>
        <v>Normal</v>
      </c>
      <c r="E2289" t="str">
        <f>VLOOKUP($A2289, 'Medical Examinations'!A:F, 6, FALSE)</f>
        <v>yes</v>
      </c>
      <c r="F2289" t="str">
        <f>VLOOKUP($A2289, 'Medical Examinations'!A:G, 7, FALSE)</f>
        <v>No</v>
      </c>
      <c r="G2289" t="str">
        <f>VLOOKUP($A2289, 'Medical Examinations'!A:H, 8, FALSE)</f>
        <v>No</v>
      </c>
      <c r="H2289" t="str">
        <f>VLOOKUP($A2289, 'Medical Examinations'!A:J, 10, FALSE)</f>
        <v>No major surgery</v>
      </c>
      <c r="I2289" t="str">
        <f>VLOOKUP($A2289, 'Medical Examinations'!A:K, 11, FALSE)</f>
        <v>No</v>
      </c>
      <c r="J2289" t="str">
        <f>VLOOKUP($A2289, 'Medical Examinations'!A:B, 2, FALSE)</f>
        <v>Underweight</v>
      </c>
      <c r="K2289" t="str">
        <f>VLOOKUP($A2289, 'Medical Examinations'!A:D, 4, FALSE)</f>
        <v>Normal</v>
      </c>
    </row>
    <row r="2290" spans="1:11" ht="15.5" x14ac:dyDescent="0.35">
      <c r="A2290" s="1" t="s">
        <v>69</v>
      </c>
      <c r="B2290" t="str">
        <f>VLOOKUP($A2290, 'Customer Names'!A:D, 3, FALSE)</f>
        <v>Fraioli</v>
      </c>
      <c r="C2290">
        <f>VLOOKUP($A2290,'Medical Examinations'!A:C, 3, FALSE)</f>
        <v>34.43</v>
      </c>
      <c r="D2290" t="str">
        <f>VLOOKUP($A2290, 'Medical Examinations'!A:D, 4, FALSE)</f>
        <v>Normal</v>
      </c>
      <c r="E2290" t="str">
        <f>VLOOKUP($A2290, 'Medical Examinations'!A:F, 6, FALSE)</f>
        <v>No</v>
      </c>
      <c r="F2290" t="str">
        <f>VLOOKUP($A2290, 'Medical Examinations'!A:G, 7, FALSE)</f>
        <v>yes</v>
      </c>
      <c r="G2290" t="str">
        <f>VLOOKUP($A2290, 'Medical Examinations'!A:H, 8, FALSE)</f>
        <v>No</v>
      </c>
      <c r="H2290">
        <f>VLOOKUP($A2290, 'Medical Examinations'!A:J, 10, FALSE)</f>
        <v>1</v>
      </c>
      <c r="I2290" t="str">
        <f>VLOOKUP($A2290, 'Medical Examinations'!A:K, 11, FALSE)</f>
        <v>No</v>
      </c>
      <c r="J2290" t="str">
        <f>VLOOKUP($A2290, 'Medical Examinations'!A:B, 2, FALSE)</f>
        <v>Obesity</v>
      </c>
      <c r="K2290" t="str">
        <f>VLOOKUP($A2290, 'Medical Examinations'!A:D, 4, FALSE)</f>
        <v>Normal</v>
      </c>
    </row>
    <row r="2291" spans="1:11" ht="15.5" x14ac:dyDescent="0.35">
      <c r="A2291" s="1" t="s">
        <v>68</v>
      </c>
      <c r="B2291" t="str">
        <f>VLOOKUP($A2291, 'Customer Names'!A:D, 3, FALSE)</f>
        <v>April</v>
      </c>
      <c r="C2291">
        <f>VLOOKUP($A2291,'Medical Examinations'!A:C, 3, FALSE)</f>
        <v>34.1</v>
      </c>
      <c r="D2291" t="str">
        <f>VLOOKUP($A2291, 'Medical Examinations'!A:D, 4, FALSE)</f>
        <v>Normal</v>
      </c>
      <c r="E2291" t="str">
        <f>VLOOKUP($A2291, 'Medical Examinations'!A:F, 6, FALSE)</f>
        <v>No</v>
      </c>
      <c r="F2291" t="str">
        <f>VLOOKUP($A2291, 'Medical Examinations'!A:G, 7, FALSE)</f>
        <v>yes</v>
      </c>
      <c r="G2291" t="str">
        <f>VLOOKUP($A2291, 'Medical Examinations'!A:H, 8, FALSE)</f>
        <v>No</v>
      </c>
      <c r="H2291">
        <f>VLOOKUP($A2291, 'Medical Examinations'!A:J, 10, FALSE)</f>
        <v>1</v>
      </c>
      <c r="I2291" t="str">
        <f>VLOOKUP($A2291, 'Medical Examinations'!A:K, 11, FALSE)</f>
        <v>No</v>
      </c>
      <c r="J2291" t="str">
        <f>VLOOKUP($A2291, 'Medical Examinations'!A:B, 2, FALSE)</f>
        <v>Obesity</v>
      </c>
      <c r="K2291" t="str">
        <f>VLOOKUP($A2291, 'Medical Examinations'!A:D, 4, FALSE)</f>
        <v>Normal</v>
      </c>
    </row>
    <row r="2292" spans="1:11" ht="15.5" x14ac:dyDescent="0.35">
      <c r="A2292" s="1" t="s">
        <v>67</v>
      </c>
      <c r="B2292" t="str">
        <f>VLOOKUP($A2292, 'Customer Names'!A:D, 3, FALSE)</f>
        <v>King</v>
      </c>
      <c r="C2292">
        <f>VLOOKUP($A2292,'Medical Examinations'!A:C, 3, FALSE)</f>
        <v>19.3</v>
      </c>
      <c r="D2292" t="str">
        <f>VLOOKUP($A2292, 'Medical Examinations'!A:D, 4, FALSE)</f>
        <v>Diabetes</v>
      </c>
      <c r="E2292" t="str">
        <f>VLOOKUP($A2292, 'Medical Examinations'!A:F, 6, FALSE)</f>
        <v>No</v>
      </c>
      <c r="F2292" t="str">
        <f>VLOOKUP($A2292, 'Medical Examinations'!A:G, 7, FALSE)</f>
        <v>No</v>
      </c>
      <c r="G2292" t="str">
        <f>VLOOKUP($A2292, 'Medical Examinations'!A:H, 8, FALSE)</f>
        <v>No</v>
      </c>
      <c r="H2292" t="str">
        <f>VLOOKUP($A2292, 'Medical Examinations'!A:J, 10, FALSE)</f>
        <v>No major surgery</v>
      </c>
      <c r="I2292" t="str">
        <f>VLOOKUP($A2292, 'Medical Examinations'!A:K, 11, FALSE)</f>
        <v>No</v>
      </c>
      <c r="J2292" t="str">
        <f>VLOOKUP($A2292, 'Medical Examinations'!A:B, 2, FALSE)</f>
        <v>Normal Weight</v>
      </c>
      <c r="K2292" t="str">
        <f>VLOOKUP($A2292, 'Medical Examinations'!A:D, 4, FALSE)</f>
        <v>Diabetes</v>
      </c>
    </row>
    <row r="2293" spans="1:11" ht="15.5" x14ac:dyDescent="0.35">
      <c r="A2293" s="1" t="s">
        <v>66</v>
      </c>
      <c r="B2293" t="str">
        <f>VLOOKUP($A2293, 'Customer Names'!A:D, 3, FALSE)</f>
        <v>Talhelm</v>
      </c>
      <c r="C2293">
        <f>VLOOKUP($A2293,'Medical Examinations'!A:C, 3, FALSE)</f>
        <v>33.659999999999997</v>
      </c>
      <c r="D2293" t="str">
        <f>VLOOKUP($A2293, 'Medical Examinations'!A:D, 4, FALSE)</f>
        <v>Prediabetes</v>
      </c>
      <c r="E2293" t="str">
        <f>VLOOKUP($A2293, 'Medical Examinations'!A:F, 6, FALSE)</f>
        <v>No</v>
      </c>
      <c r="F2293" t="str">
        <f>VLOOKUP($A2293, 'Medical Examinations'!A:G, 7, FALSE)</f>
        <v>yes</v>
      </c>
      <c r="G2293" t="str">
        <f>VLOOKUP($A2293, 'Medical Examinations'!A:H, 8, FALSE)</f>
        <v>No</v>
      </c>
      <c r="H2293">
        <f>VLOOKUP($A2293, 'Medical Examinations'!A:J, 10, FALSE)</f>
        <v>1</v>
      </c>
      <c r="I2293" t="str">
        <f>VLOOKUP($A2293, 'Medical Examinations'!A:K, 11, FALSE)</f>
        <v>No</v>
      </c>
      <c r="J2293" t="str">
        <f>VLOOKUP($A2293, 'Medical Examinations'!A:B, 2, FALSE)</f>
        <v>Obesity</v>
      </c>
      <c r="K2293" t="str">
        <f>VLOOKUP($A2293, 'Medical Examinations'!A:D, 4, FALSE)</f>
        <v>Prediabetes</v>
      </c>
    </row>
    <row r="2294" spans="1:11" ht="15.5" x14ac:dyDescent="0.35">
      <c r="A2294" s="1" t="s">
        <v>65</v>
      </c>
      <c r="B2294" t="str">
        <f>VLOOKUP($A2294, 'Customer Names'!A:D, 3, FALSE)</f>
        <v>Regnier</v>
      </c>
      <c r="C2294">
        <f>VLOOKUP($A2294,'Medical Examinations'!A:C, 3, FALSE)</f>
        <v>33.33</v>
      </c>
      <c r="D2294" t="str">
        <f>VLOOKUP($A2294, 'Medical Examinations'!A:D, 4, FALSE)</f>
        <v>Prediabetes</v>
      </c>
      <c r="E2294" t="str">
        <f>VLOOKUP($A2294, 'Medical Examinations'!A:F, 6, FALSE)</f>
        <v>No</v>
      </c>
      <c r="F2294" t="str">
        <f>VLOOKUP($A2294, 'Medical Examinations'!A:G, 7, FALSE)</f>
        <v>yes</v>
      </c>
      <c r="G2294" t="str">
        <f>VLOOKUP($A2294, 'Medical Examinations'!A:H, 8, FALSE)</f>
        <v>No</v>
      </c>
      <c r="H2294">
        <f>VLOOKUP($A2294, 'Medical Examinations'!A:J, 10, FALSE)</f>
        <v>1</v>
      </c>
      <c r="I2294" t="str">
        <f>VLOOKUP($A2294, 'Medical Examinations'!A:K, 11, FALSE)</f>
        <v>No</v>
      </c>
      <c r="J2294" t="str">
        <f>VLOOKUP($A2294, 'Medical Examinations'!A:B, 2, FALSE)</f>
        <v>Obesity</v>
      </c>
      <c r="K2294" t="str">
        <f>VLOOKUP($A2294, 'Medical Examinations'!A:D, 4, FALSE)</f>
        <v>Prediabetes</v>
      </c>
    </row>
    <row r="2295" spans="1:11" ht="15.5" x14ac:dyDescent="0.35">
      <c r="A2295" s="1" t="s">
        <v>64</v>
      </c>
      <c r="B2295" t="str">
        <f>VLOOKUP($A2295, 'Customer Names'!A:D, 3, FALSE)</f>
        <v>Treece</v>
      </c>
      <c r="C2295">
        <f>VLOOKUP($A2295,'Medical Examinations'!A:C, 3, FALSE)</f>
        <v>21.84</v>
      </c>
      <c r="D2295" t="str">
        <f>VLOOKUP($A2295, 'Medical Examinations'!A:D, 4, FALSE)</f>
        <v>Prediabetes</v>
      </c>
      <c r="E2295" t="str">
        <f>VLOOKUP($A2295, 'Medical Examinations'!A:F, 6, FALSE)</f>
        <v>No</v>
      </c>
      <c r="F2295" t="str">
        <f>VLOOKUP($A2295, 'Medical Examinations'!A:G, 7, FALSE)</f>
        <v>yes</v>
      </c>
      <c r="G2295" t="str">
        <f>VLOOKUP($A2295, 'Medical Examinations'!A:H, 8, FALSE)</f>
        <v>No</v>
      </c>
      <c r="H2295">
        <f>VLOOKUP($A2295, 'Medical Examinations'!A:J, 10, FALSE)</f>
        <v>1</v>
      </c>
      <c r="I2295" t="str">
        <f>VLOOKUP($A2295, 'Medical Examinations'!A:K, 11, FALSE)</f>
        <v>No</v>
      </c>
      <c r="J2295" t="str">
        <f>VLOOKUP($A2295, 'Medical Examinations'!A:B, 2, FALSE)</f>
        <v>Normal Weight</v>
      </c>
      <c r="K2295" t="str">
        <f>VLOOKUP($A2295, 'Medical Examinations'!A:D, 4, FALSE)</f>
        <v>Prediabetes</v>
      </c>
    </row>
    <row r="2296" spans="1:11" ht="15.5" x14ac:dyDescent="0.35">
      <c r="A2296" s="1" t="s">
        <v>63</v>
      </c>
      <c r="B2296" t="str">
        <f>VLOOKUP($A2296, 'Customer Names'!A:D, 3, FALSE)</f>
        <v>Beisel</v>
      </c>
      <c r="C2296">
        <f>VLOOKUP($A2296,'Medical Examinations'!A:C, 3, FALSE)</f>
        <v>16.87</v>
      </c>
      <c r="D2296" t="str">
        <f>VLOOKUP($A2296, 'Medical Examinations'!A:D, 4, FALSE)</f>
        <v>Diabetes</v>
      </c>
      <c r="E2296" t="str">
        <f>VLOOKUP($A2296, 'Medical Examinations'!A:F, 6, FALSE)</f>
        <v>No</v>
      </c>
      <c r="F2296" t="str">
        <f>VLOOKUP($A2296, 'Medical Examinations'!A:G, 7, FALSE)</f>
        <v>No</v>
      </c>
      <c r="G2296" t="str">
        <f>VLOOKUP($A2296, 'Medical Examinations'!A:H, 8, FALSE)</f>
        <v>No</v>
      </c>
      <c r="H2296" t="str">
        <f>VLOOKUP($A2296, 'Medical Examinations'!A:J, 10, FALSE)</f>
        <v>No major surgery</v>
      </c>
      <c r="I2296" t="str">
        <f>VLOOKUP($A2296, 'Medical Examinations'!A:K, 11, FALSE)</f>
        <v>No</v>
      </c>
      <c r="J2296" t="str">
        <f>VLOOKUP($A2296, 'Medical Examinations'!A:B, 2, FALSE)</f>
        <v>Underweight</v>
      </c>
      <c r="K2296" t="str">
        <f>VLOOKUP($A2296, 'Medical Examinations'!A:D, 4, FALSE)</f>
        <v>Diabetes</v>
      </c>
    </row>
    <row r="2297" spans="1:11" ht="15.5" x14ac:dyDescent="0.35">
      <c r="A2297" s="1" t="s">
        <v>62</v>
      </c>
      <c r="B2297" t="str">
        <f>VLOOKUP($A2297, 'Customer Names'!A:D, 3, FALSE)</f>
        <v>Enke</v>
      </c>
      <c r="C2297">
        <f>VLOOKUP($A2297,'Medical Examinations'!A:C, 3, FALSE)</f>
        <v>30.14</v>
      </c>
      <c r="D2297" t="str">
        <f>VLOOKUP($A2297, 'Medical Examinations'!A:D, 4, FALSE)</f>
        <v>Normal</v>
      </c>
      <c r="E2297" t="str">
        <f>VLOOKUP($A2297, 'Medical Examinations'!A:F, 6, FALSE)</f>
        <v>No</v>
      </c>
      <c r="F2297" t="str">
        <f>VLOOKUP($A2297, 'Medical Examinations'!A:G, 7, FALSE)</f>
        <v>yes</v>
      </c>
      <c r="G2297" t="str">
        <f>VLOOKUP($A2297, 'Medical Examinations'!A:H, 8, FALSE)</f>
        <v>No</v>
      </c>
      <c r="H2297">
        <f>VLOOKUP($A2297, 'Medical Examinations'!A:J, 10, FALSE)</f>
        <v>1</v>
      </c>
      <c r="I2297" t="str">
        <f>VLOOKUP($A2297, 'Medical Examinations'!A:K, 11, FALSE)</f>
        <v>No</v>
      </c>
      <c r="J2297" t="str">
        <f>VLOOKUP($A2297, 'Medical Examinations'!A:B, 2, FALSE)</f>
        <v>Obesity</v>
      </c>
      <c r="K2297" t="str">
        <f>VLOOKUP($A2297, 'Medical Examinations'!A:D, 4, FALSE)</f>
        <v>Normal</v>
      </c>
    </row>
    <row r="2298" spans="1:11" ht="15.5" x14ac:dyDescent="0.35">
      <c r="A2298" s="1" t="s">
        <v>61</v>
      </c>
      <c r="B2298" t="str">
        <f>VLOOKUP($A2298, 'Customer Names'!A:D, 3, FALSE)</f>
        <v>Ruiz-Tagle Barros</v>
      </c>
      <c r="C2298">
        <f>VLOOKUP($A2298,'Medical Examinations'!A:C, 3, FALSE)</f>
        <v>23.21</v>
      </c>
      <c r="D2298" t="str">
        <f>VLOOKUP($A2298, 'Medical Examinations'!A:D, 4, FALSE)</f>
        <v>Normal</v>
      </c>
      <c r="E2298" t="str">
        <f>VLOOKUP($A2298, 'Medical Examinations'!A:F, 6, FALSE)</f>
        <v>No</v>
      </c>
      <c r="F2298" t="str">
        <f>VLOOKUP($A2298, 'Medical Examinations'!A:G, 7, FALSE)</f>
        <v>yes</v>
      </c>
      <c r="G2298" t="str">
        <f>VLOOKUP($A2298, 'Medical Examinations'!A:H, 8, FALSE)</f>
        <v>No</v>
      </c>
      <c r="H2298">
        <f>VLOOKUP($A2298, 'Medical Examinations'!A:J, 10, FALSE)</f>
        <v>1</v>
      </c>
      <c r="I2298" t="str">
        <f>VLOOKUP($A2298, 'Medical Examinations'!A:K, 11, FALSE)</f>
        <v>No</v>
      </c>
      <c r="J2298" t="str">
        <f>VLOOKUP($A2298, 'Medical Examinations'!A:B, 2, FALSE)</f>
        <v>Normal Weight</v>
      </c>
      <c r="K2298" t="str">
        <f>VLOOKUP($A2298, 'Medical Examinations'!A:D, 4, FALSE)</f>
        <v>Normal</v>
      </c>
    </row>
    <row r="2299" spans="1:11" ht="15.5" x14ac:dyDescent="0.35">
      <c r="A2299" s="1" t="s">
        <v>60</v>
      </c>
      <c r="B2299" t="str">
        <f>VLOOKUP($A2299, 'Customer Names'!A:D, 3, FALSE)</f>
        <v>Ferrell</v>
      </c>
      <c r="C2299">
        <f>VLOOKUP($A2299,'Medical Examinations'!A:C, 3, FALSE)</f>
        <v>17.170000000000002</v>
      </c>
      <c r="D2299" t="str">
        <f>VLOOKUP($A2299, 'Medical Examinations'!A:D, 4, FALSE)</f>
        <v>Diabetes</v>
      </c>
      <c r="E2299" t="str">
        <f>VLOOKUP($A2299, 'Medical Examinations'!A:F, 6, FALSE)</f>
        <v>No</v>
      </c>
      <c r="F2299" t="str">
        <f>VLOOKUP($A2299, 'Medical Examinations'!A:G, 7, FALSE)</f>
        <v>No</v>
      </c>
      <c r="G2299" t="str">
        <f>VLOOKUP($A2299, 'Medical Examinations'!A:H, 8, FALSE)</f>
        <v>No</v>
      </c>
      <c r="H2299" t="str">
        <f>VLOOKUP($A2299, 'Medical Examinations'!A:J, 10, FALSE)</f>
        <v>No major surgery</v>
      </c>
      <c r="I2299" t="str">
        <f>VLOOKUP($A2299, 'Medical Examinations'!A:K, 11, FALSE)</f>
        <v>No</v>
      </c>
      <c r="J2299" t="str">
        <f>VLOOKUP($A2299, 'Medical Examinations'!A:B, 2, FALSE)</f>
        <v>Underweight</v>
      </c>
      <c r="K2299" t="str">
        <f>VLOOKUP($A2299, 'Medical Examinations'!A:D, 4, FALSE)</f>
        <v>Diabetes</v>
      </c>
    </row>
    <row r="2300" spans="1:11" ht="15.5" x14ac:dyDescent="0.35">
      <c r="A2300" s="1" t="s">
        <v>59</v>
      </c>
      <c r="B2300" t="str">
        <f>VLOOKUP($A2300, 'Customer Names'!A:D, 3, FALSE)</f>
        <v>Gates</v>
      </c>
      <c r="C2300">
        <f>VLOOKUP($A2300,'Medical Examinations'!A:C, 3, FALSE)</f>
        <v>15.61</v>
      </c>
      <c r="D2300" t="str">
        <f>VLOOKUP($A2300, 'Medical Examinations'!A:D, 4, FALSE)</f>
        <v>Normal</v>
      </c>
      <c r="E2300" t="str">
        <f>VLOOKUP($A2300, 'Medical Examinations'!A:F, 6, FALSE)</f>
        <v>No</v>
      </c>
      <c r="F2300" t="str">
        <f>VLOOKUP($A2300, 'Medical Examinations'!A:G, 7, FALSE)</f>
        <v>No</v>
      </c>
      <c r="G2300" t="str">
        <f>VLOOKUP($A2300, 'Medical Examinations'!A:H, 8, FALSE)</f>
        <v>No</v>
      </c>
      <c r="H2300">
        <f>VLOOKUP($A2300, 'Medical Examinations'!A:J, 10, FALSE)</f>
        <v>1</v>
      </c>
      <c r="I2300" t="str">
        <f>VLOOKUP($A2300, 'Medical Examinations'!A:K, 11, FALSE)</f>
        <v>No</v>
      </c>
      <c r="J2300" t="str">
        <f>VLOOKUP($A2300, 'Medical Examinations'!A:B, 2, FALSE)</f>
        <v>Underweight</v>
      </c>
      <c r="K2300" t="str">
        <f>VLOOKUP($A2300, 'Medical Examinations'!A:D, 4, FALSE)</f>
        <v>Normal</v>
      </c>
    </row>
    <row r="2301" spans="1:11" ht="15.5" x14ac:dyDescent="0.35">
      <c r="A2301" s="1" t="s">
        <v>58</v>
      </c>
      <c r="B2301" t="str">
        <f>VLOOKUP($A2301, 'Customer Names'!A:D, 3, FALSE)</f>
        <v>Jeffers</v>
      </c>
      <c r="C2301">
        <f>VLOOKUP($A2301,'Medical Examinations'!A:C, 3, FALSE)</f>
        <v>17.98</v>
      </c>
      <c r="D2301" t="str">
        <f>VLOOKUP($A2301, 'Medical Examinations'!A:D, 4, FALSE)</f>
        <v>Normal</v>
      </c>
      <c r="E2301" t="str">
        <f>VLOOKUP($A2301, 'Medical Examinations'!A:F, 6, FALSE)</f>
        <v>yes</v>
      </c>
      <c r="F2301" t="str">
        <f>VLOOKUP($A2301, 'Medical Examinations'!A:G, 7, FALSE)</f>
        <v>No</v>
      </c>
      <c r="G2301" t="str">
        <f>VLOOKUP($A2301, 'Medical Examinations'!A:H, 8, FALSE)</f>
        <v>Yes</v>
      </c>
      <c r="H2301">
        <f>VLOOKUP($A2301, 'Medical Examinations'!A:J, 10, FALSE)</f>
        <v>1</v>
      </c>
      <c r="I2301" t="str">
        <f>VLOOKUP($A2301, 'Medical Examinations'!A:K, 11, FALSE)</f>
        <v>No</v>
      </c>
      <c r="J2301" t="str">
        <f>VLOOKUP($A2301, 'Medical Examinations'!A:B, 2, FALSE)</f>
        <v>Underweight</v>
      </c>
      <c r="K2301" t="str">
        <f>VLOOKUP($A2301, 'Medical Examinations'!A:D, 4, FALSE)</f>
        <v>Normal</v>
      </c>
    </row>
    <row r="2302" spans="1:11" ht="15.5" x14ac:dyDescent="0.35">
      <c r="A2302" s="1" t="s">
        <v>57</v>
      </c>
      <c r="B2302" t="str">
        <f>VLOOKUP($A2302, 'Customer Names'!A:D, 3, FALSE)</f>
        <v>Sulhanek</v>
      </c>
      <c r="C2302">
        <f>VLOOKUP($A2302,'Medical Examinations'!A:C, 3, FALSE)</f>
        <v>21.64</v>
      </c>
      <c r="D2302" t="str">
        <f>VLOOKUP($A2302, 'Medical Examinations'!A:D, 4, FALSE)</f>
        <v>Normal</v>
      </c>
      <c r="E2302" t="str">
        <f>VLOOKUP($A2302, 'Medical Examinations'!A:F, 6, FALSE)</f>
        <v>No</v>
      </c>
      <c r="F2302" t="str">
        <f>VLOOKUP($A2302, 'Medical Examinations'!A:G, 7, FALSE)</f>
        <v>yes</v>
      </c>
      <c r="G2302" t="str">
        <f>VLOOKUP($A2302, 'Medical Examinations'!A:H, 8, FALSE)</f>
        <v>No</v>
      </c>
      <c r="H2302">
        <f>VLOOKUP($A2302, 'Medical Examinations'!A:J, 10, FALSE)</f>
        <v>1</v>
      </c>
      <c r="I2302" t="str">
        <f>VLOOKUP($A2302, 'Medical Examinations'!A:K, 11, FALSE)</f>
        <v>No</v>
      </c>
      <c r="J2302" t="str">
        <f>VLOOKUP($A2302, 'Medical Examinations'!A:B, 2, FALSE)</f>
        <v>Normal Weight</v>
      </c>
      <c r="K2302" t="str">
        <f>VLOOKUP($A2302, 'Medical Examinations'!A:D, 4, FALSE)</f>
        <v>Normal</v>
      </c>
    </row>
    <row r="2303" spans="1:11" ht="15.5" x14ac:dyDescent="0.35">
      <c r="A2303" s="1" t="s">
        <v>56</v>
      </c>
      <c r="B2303" t="str">
        <f>VLOOKUP($A2303, 'Customer Names'!A:D, 3, FALSE)</f>
        <v>Ozahowski</v>
      </c>
      <c r="C2303">
        <f>VLOOKUP($A2303,'Medical Examinations'!A:C, 3, FALSE)</f>
        <v>16.399999999999999</v>
      </c>
      <c r="D2303" t="str">
        <f>VLOOKUP($A2303, 'Medical Examinations'!A:D, 4, FALSE)</f>
        <v>Normal</v>
      </c>
      <c r="E2303" t="str">
        <f>VLOOKUP($A2303, 'Medical Examinations'!A:F, 6, FALSE)</f>
        <v>No</v>
      </c>
      <c r="F2303" t="str">
        <f>VLOOKUP($A2303, 'Medical Examinations'!A:G, 7, FALSE)</f>
        <v>No</v>
      </c>
      <c r="G2303" t="str">
        <f>VLOOKUP($A2303, 'Medical Examinations'!A:H, 8, FALSE)</f>
        <v>Yes</v>
      </c>
      <c r="H2303">
        <f>VLOOKUP($A2303, 'Medical Examinations'!A:J, 10, FALSE)</f>
        <v>1</v>
      </c>
      <c r="I2303" t="str">
        <f>VLOOKUP($A2303, 'Medical Examinations'!A:K, 11, FALSE)</f>
        <v>No</v>
      </c>
      <c r="J2303" t="str">
        <f>VLOOKUP($A2303, 'Medical Examinations'!A:B, 2, FALSE)</f>
        <v>Underweight</v>
      </c>
      <c r="K2303" t="str">
        <f>VLOOKUP($A2303, 'Medical Examinations'!A:D, 4, FALSE)</f>
        <v>Normal</v>
      </c>
    </row>
    <row r="2304" spans="1:11" ht="15.5" x14ac:dyDescent="0.35">
      <c r="A2304" s="1" t="s">
        <v>55</v>
      </c>
      <c r="B2304" t="str">
        <f>VLOOKUP($A2304, 'Customer Names'!A:D, 3, FALSE)</f>
        <v>Caron</v>
      </c>
      <c r="C2304">
        <f>VLOOKUP($A2304,'Medical Examinations'!A:C, 3, FALSE)</f>
        <v>15.77</v>
      </c>
      <c r="D2304" t="str">
        <f>VLOOKUP($A2304, 'Medical Examinations'!A:D, 4, FALSE)</f>
        <v>Prediabetes</v>
      </c>
      <c r="E2304" t="str">
        <f>VLOOKUP($A2304, 'Medical Examinations'!A:F, 6, FALSE)</f>
        <v>yes</v>
      </c>
      <c r="F2304" t="str">
        <f>VLOOKUP($A2304, 'Medical Examinations'!A:G, 7, FALSE)</f>
        <v>No</v>
      </c>
      <c r="G2304" t="str">
        <f>VLOOKUP($A2304, 'Medical Examinations'!A:H, 8, FALSE)</f>
        <v>No</v>
      </c>
      <c r="H2304">
        <f>VLOOKUP($A2304, 'Medical Examinations'!A:J, 10, FALSE)</f>
        <v>1</v>
      </c>
      <c r="I2304" t="str">
        <f>VLOOKUP($A2304, 'Medical Examinations'!A:K, 11, FALSE)</f>
        <v>No</v>
      </c>
      <c r="J2304" t="str">
        <f>VLOOKUP($A2304, 'Medical Examinations'!A:B, 2, FALSE)</f>
        <v>Underweight</v>
      </c>
      <c r="K2304" t="str">
        <f>VLOOKUP($A2304, 'Medical Examinations'!A:D, 4, FALSE)</f>
        <v>Prediabetes</v>
      </c>
    </row>
    <row r="2305" spans="1:11" ht="15.5" x14ac:dyDescent="0.35">
      <c r="A2305" s="1" t="s">
        <v>54</v>
      </c>
      <c r="B2305" t="str">
        <f>VLOOKUP($A2305, 'Customer Names'!A:D, 3, FALSE)</f>
        <v>Fullarton</v>
      </c>
      <c r="C2305">
        <f>VLOOKUP($A2305,'Medical Examinations'!A:C, 3, FALSE)</f>
        <v>18.27</v>
      </c>
      <c r="D2305" t="str">
        <f>VLOOKUP($A2305, 'Medical Examinations'!A:D, 4, FALSE)</f>
        <v>Diabetes</v>
      </c>
      <c r="E2305" t="str">
        <f>VLOOKUP($A2305, 'Medical Examinations'!A:F, 6, FALSE)</f>
        <v>No</v>
      </c>
      <c r="F2305" t="str">
        <f>VLOOKUP($A2305, 'Medical Examinations'!A:G, 7, FALSE)</f>
        <v>No</v>
      </c>
      <c r="G2305" t="str">
        <f>VLOOKUP($A2305, 'Medical Examinations'!A:H, 8, FALSE)</f>
        <v>No</v>
      </c>
      <c r="H2305" t="str">
        <f>VLOOKUP($A2305, 'Medical Examinations'!A:J, 10, FALSE)</f>
        <v>No major surgery</v>
      </c>
      <c r="I2305" t="str">
        <f>VLOOKUP($A2305, 'Medical Examinations'!A:K, 11, FALSE)</f>
        <v>No</v>
      </c>
      <c r="J2305" t="str">
        <f>VLOOKUP($A2305, 'Medical Examinations'!A:B, 2, FALSE)</f>
        <v>Underweight</v>
      </c>
      <c r="K2305" t="str">
        <f>VLOOKUP($A2305, 'Medical Examinations'!A:D, 4, FALSE)</f>
        <v>Diabetes</v>
      </c>
    </row>
    <row r="2306" spans="1:11" ht="15.5" x14ac:dyDescent="0.35">
      <c r="A2306" s="1" t="s">
        <v>53</v>
      </c>
      <c r="B2306" t="str">
        <f>VLOOKUP($A2306, 'Customer Names'!A:D, 3, FALSE)</f>
        <v>Lindgren</v>
      </c>
      <c r="C2306">
        <f>VLOOKUP($A2306,'Medical Examinations'!A:C, 3, FALSE)</f>
        <v>16.489999999999998</v>
      </c>
      <c r="D2306" t="str">
        <f>VLOOKUP($A2306, 'Medical Examinations'!A:D, 4, FALSE)</f>
        <v>Diabetes</v>
      </c>
      <c r="E2306" t="str">
        <f>VLOOKUP($A2306, 'Medical Examinations'!A:F, 6, FALSE)</f>
        <v>No</v>
      </c>
      <c r="F2306" t="str">
        <f>VLOOKUP($A2306, 'Medical Examinations'!A:G, 7, FALSE)</f>
        <v>No</v>
      </c>
      <c r="G2306" t="str">
        <f>VLOOKUP($A2306, 'Medical Examinations'!A:H, 8, FALSE)</f>
        <v>No</v>
      </c>
      <c r="H2306" t="str">
        <f>VLOOKUP($A2306, 'Medical Examinations'!A:J, 10, FALSE)</f>
        <v>No major surgery</v>
      </c>
      <c r="I2306" t="str">
        <f>VLOOKUP($A2306, 'Medical Examinations'!A:K, 11, FALSE)</f>
        <v>No</v>
      </c>
      <c r="J2306" t="str">
        <f>VLOOKUP($A2306, 'Medical Examinations'!A:B, 2, FALSE)</f>
        <v>Underweight</v>
      </c>
      <c r="K2306" t="str">
        <f>VLOOKUP($A2306, 'Medical Examinations'!A:D, 4, FALSE)</f>
        <v>Diabetes</v>
      </c>
    </row>
    <row r="2307" spans="1:11" ht="15.5" x14ac:dyDescent="0.35">
      <c r="A2307" s="1" t="s">
        <v>52</v>
      </c>
      <c r="B2307" t="str">
        <f>VLOOKUP($A2307, 'Customer Names'!A:D, 3, FALSE)</f>
        <v>Akiha</v>
      </c>
      <c r="C2307">
        <f>VLOOKUP($A2307,'Medical Examinations'!A:C, 3, FALSE)</f>
        <v>16.14</v>
      </c>
      <c r="D2307" t="str">
        <f>VLOOKUP($A2307, 'Medical Examinations'!A:D, 4, FALSE)</f>
        <v>Normal</v>
      </c>
      <c r="E2307" t="str">
        <f>VLOOKUP($A2307, 'Medical Examinations'!A:F, 6, FALSE)</f>
        <v>No</v>
      </c>
      <c r="F2307" t="str">
        <f>VLOOKUP($A2307, 'Medical Examinations'!A:G, 7, FALSE)</f>
        <v>No</v>
      </c>
      <c r="G2307" t="str">
        <f>VLOOKUP($A2307, 'Medical Examinations'!A:H, 8, FALSE)</f>
        <v>No</v>
      </c>
      <c r="H2307" t="str">
        <f>VLOOKUP($A2307, 'Medical Examinations'!A:J, 10, FALSE)</f>
        <v>No major surgery</v>
      </c>
      <c r="I2307" t="str">
        <f>VLOOKUP($A2307, 'Medical Examinations'!A:K, 11, FALSE)</f>
        <v>No</v>
      </c>
      <c r="J2307" t="str">
        <f>VLOOKUP($A2307, 'Medical Examinations'!A:B, 2, FALSE)</f>
        <v>Underweight</v>
      </c>
      <c r="K2307" t="str">
        <f>VLOOKUP($A2307, 'Medical Examinations'!A:D, 4, FALSE)</f>
        <v>Normal</v>
      </c>
    </row>
    <row r="2308" spans="1:11" ht="15.5" x14ac:dyDescent="0.35">
      <c r="A2308" s="1" t="s">
        <v>51</v>
      </c>
      <c r="B2308" t="str">
        <f>VLOOKUP($A2308, 'Customer Names'!A:D, 3, FALSE)</f>
        <v>Sweny</v>
      </c>
      <c r="C2308">
        <f>VLOOKUP($A2308,'Medical Examinations'!A:C, 3, FALSE)</f>
        <v>20.85</v>
      </c>
      <c r="D2308" t="str">
        <f>VLOOKUP($A2308, 'Medical Examinations'!A:D, 4, FALSE)</f>
        <v>Normal</v>
      </c>
      <c r="E2308" t="str">
        <f>VLOOKUP($A2308, 'Medical Examinations'!A:F, 6, FALSE)</f>
        <v>yes</v>
      </c>
      <c r="F2308" t="str">
        <f>VLOOKUP($A2308, 'Medical Examinations'!A:G, 7, FALSE)</f>
        <v>No</v>
      </c>
      <c r="G2308" t="str">
        <f>VLOOKUP($A2308, 'Medical Examinations'!A:H, 8, FALSE)</f>
        <v>No</v>
      </c>
      <c r="H2308">
        <f>VLOOKUP($A2308, 'Medical Examinations'!A:J, 10, FALSE)</f>
        <v>1</v>
      </c>
      <c r="I2308" t="str">
        <f>VLOOKUP($A2308, 'Medical Examinations'!A:K, 11, FALSE)</f>
        <v>No</v>
      </c>
      <c r="J2308" t="str">
        <f>VLOOKUP($A2308, 'Medical Examinations'!A:B, 2, FALSE)</f>
        <v>Normal Weight</v>
      </c>
      <c r="K2308" t="str">
        <f>VLOOKUP($A2308, 'Medical Examinations'!A:D, 4, FALSE)</f>
        <v>Normal</v>
      </c>
    </row>
    <row r="2309" spans="1:11" ht="15.5" x14ac:dyDescent="0.35">
      <c r="A2309" s="1" t="s">
        <v>50</v>
      </c>
      <c r="B2309" t="str">
        <f>VLOOKUP($A2309, 'Customer Names'!A:D, 3, FALSE)</f>
        <v>Tobin</v>
      </c>
      <c r="C2309">
        <f>VLOOKUP($A2309,'Medical Examinations'!A:C, 3, FALSE)</f>
        <v>15.88</v>
      </c>
      <c r="D2309" t="str">
        <f>VLOOKUP($A2309, 'Medical Examinations'!A:D, 4, FALSE)</f>
        <v>Normal</v>
      </c>
      <c r="E2309" t="str">
        <f>VLOOKUP($A2309, 'Medical Examinations'!A:F, 6, FALSE)</f>
        <v>No</v>
      </c>
      <c r="F2309" t="str">
        <f>VLOOKUP($A2309, 'Medical Examinations'!A:G, 7, FALSE)</f>
        <v>No</v>
      </c>
      <c r="G2309" t="str">
        <f>VLOOKUP($A2309, 'Medical Examinations'!A:H, 8, FALSE)</f>
        <v>No</v>
      </c>
      <c r="H2309" t="str">
        <f>VLOOKUP($A2309, 'Medical Examinations'!A:J, 10, FALSE)</f>
        <v>No major surgery</v>
      </c>
      <c r="I2309" t="str">
        <f>VLOOKUP($A2309, 'Medical Examinations'!A:K, 11, FALSE)</f>
        <v>No</v>
      </c>
      <c r="J2309" t="str">
        <f>VLOOKUP($A2309, 'Medical Examinations'!A:B, 2, FALSE)</f>
        <v>Underweight</v>
      </c>
      <c r="K2309" t="str">
        <f>VLOOKUP($A2309, 'Medical Examinations'!A:D, 4, FALSE)</f>
        <v>Normal</v>
      </c>
    </row>
    <row r="2310" spans="1:11" ht="15.5" x14ac:dyDescent="0.35">
      <c r="A2310" s="1" t="s">
        <v>49</v>
      </c>
      <c r="B2310" t="str">
        <f>VLOOKUP($A2310, 'Customer Names'!A:D, 3, FALSE)</f>
        <v>Pedersen</v>
      </c>
      <c r="C2310">
        <f>VLOOKUP($A2310,'Medical Examinations'!A:C, 3, FALSE)</f>
        <v>20.66</v>
      </c>
      <c r="D2310" t="str">
        <f>VLOOKUP($A2310, 'Medical Examinations'!A:D, 4, FALSE)</f>
        <v>Prediabetes</v>
      </c>
      <c r="E2310" t="str">
        <f>VLOOKUP($A2310, 'Medical Examinations'!A:F, 6, FALSE)</f>
        <v>No</v>
      </c>
      <c r="F2310" t="str">
        <f>VLOOKUP($A2310, 'Medical Examinations'!A:G, 7, FALSE)</f>
        <v>yes</v>
      </c>
      <c r="G2310" t="str">
        <f>VLOOKUP($A2310, 'Medical Examinations'!A:H, 8, FALSE)</f>
        <v>No</v>
      </c>
      <c r="H2310">
        <f>VLOOKUP($A2310, 'Medical Examinations'!A:J, 10, FALSE)</f>
        <v>1</v>
      </c>
      <c r="I2310" t="str">
        <f>VLOOKUP($A2310, 'Medical Examinations'!A:K, 11, FALSE)</f>
        <v>No</v>
      </c>
      <c r="J2310" t="str">
        <f>VLOOKUP($A2310, 'Medical Examinations'!A:B, 2, FALSE)</f>
        <v>Normal Weight</v>
      </c>
      <c r="K2310" t="str">
        <f>VLOOKUP($A2310, 'Medical Examinations'!A:D, 4, FALSE)</f>
        <v>Prediabetes</v>
      </c>
    </row>
    <row r="2311" spans="1:11" ht="15.5" x14ac:dyDescent="0.35">
      <c r="A2311" s="1" t="s">
        <v>48</v>
      </c>
      <c r="B2311" t="str">
        <f>VLOOKUP($A2311, 'Customer Names'!A:D, 3, FALSE)</f>
        <v>Lynch</v>
      </c>
      <c r="C2311">
        <f>VLOOKUP($A2311,'Medical Examinations'!A:C, 3, FALSE)</f>
        <v>20.399999999999999</v>
      </c>
      <c r="D2311" t="str">
        <f>VLOOKUP($A2311, 'Medical Examinations'!A:D, 4, FALSE)</f>
        <v>Normal</v>
      </c>
      <c r="E2311" t="str">
        <f>VLOOKUP($A2311, 'Medical Examinations'!A:F, 6, FALSE)</f>
        <v>No</v>
      </c>
      <c r="F2311" t="str">
        <f>VLOOKUP($A2311, 'Medical Examinations'!A:G, 7, FALSE)</f>
        <v>No</v>
      </c>
      <c r="G2311" t="str">
        <f>VLOOKUP($A2311, 'Medical Examinations'!A:H, 8, FALSE)</f>
        <v>No</v>
      </c>
      <c r="H2311" t="str">
        <f>VLOOKUP($A2311, 'Medical Examinations'!A:J, 10, FALSE)</f>
        <v>No major surgery</v>
      </c>
      <c r="I2311" t="str">
        <f>VLOOKUP($A2311, 'Medical Examinations'!A:K, 11, FALSE)</f>
        <v>No</v>
      </c>
      <c r="J2311" t="str">
        <f>VLOOKUP($A2311, 'Medical Examinations'!A:B, 2, FALSE)</f>
        <v>Normal Weight</v>
      </c>
      <c r="K2311" t="str">
        <f>VLOOKUP($A2311, 'Medical Examinations'!A:D, 4, FALSE)</f>
        <v>Normal</v>
      </c>
    </row>
    <row r="2312" spans="1:11" ht="15.5" x14ac:dyDescent="0.35">
      <c r="A2312" s="1" t="s">
        <v>47</v>
      </c>
      <c r="B2312" t="str">
        <f>VLOOKUP($A2312, 'Customer Names'!A:D, 3, FALSE)</f>
        <v>Keys</v>
      </c>
      <c r="C2312">
        <f>VLOOKUP($A2312,'Medical Examinations'!A:C, 3, FALSE)</f>
        <v>25.19</v>
      </c>
      <c r="D2312" t="str">
        <f>VLOOKUP($A2312, 'Medical Examinations'!A:D, 4, FALSE)</f>
        <v>Normal</v>
      </c>
      <c r="E2312" t="str">
        <f>VLOOKUP($A2312, 'Medical Examinations'!A:F, 6, FALSE)</f>
        <v>yes</v>
      </c>
      <c r="F2312" t="str">
        <f>VLOOKUP($A2312, 'Medical Examinations'!A:G, 7, FALSE)</f>
        <v>No</v>
      </c>
      <c r="G2312" t="str">
        <f>VLOOKUP($A2312, 'Medical Examinations'!A:H, 8, FALSE)</f>
        <v>No</v>
      </c>
      <c r="H2312" t="str">
        <f>VLOOKUP($A2312, 'Medical Examinations'!A:J, 10, FALSE)</f>
        <v>No major surgery</v>
      </c>
      <c r="I2312" t="str">
        <f>VLOOKUP($A2312, 'Medical Examinations'!A:K, 11, FALSE)</f>
        <v>No</v>
      </c>
      <c r="J2312" t="str">
        <f>VLOOKUP($A2312, 'Medical Examinations'!A:B, 2, FALSE)</f>
        <v>Overweight</v>
      </c>
      <c r="K2312" t="str">
        <f>VLOOKUP($A2312, 'Medical Examinations'!A:D, 4, FALSE)</f>
        <v>Normal</v>
      </c>
    </row>
    <row r="2313" spans="1:11" ht="15.5" x14ac:dyDescent="0.35">
      <c r="A2313" s="1" t="s">
        <v>46</v>
      </c>
      <c r="B2313" t="str">
        <f>VLOOKUP($A2313, 'Customer Names'!A:D, 3, FALSE)</f>
        <v>Wilbur</v>
      </c>
      <c r="C2313">
        <f>VLOOKUP($A2313,'Medical Examinations'!A:C, 3, FALSE)</f>
        <v>20.54</v>
      </c>
      <c r="D2313" t="str">
        <f>VLOOKUP($A2313, 'Medical Examinations'!A:D, 4, FALSE)</f>
        <v>Normal</v>
      </c>
      <c r="E2313" t="str">
        <f>VLOOKUP($A2313, 'Medical Examinations'!A:F, 6, FALSE)</f>
        <v>yes</v>
      </c>
      <c r="F2313" t="str">
        <f>VLOOKUP($A2313, 'Medical Examinations'!A:G, 7, FALSE)</f>
        <v>No</v>
      </c>
      <c r="G2313" t="str">
        <f>VLOOKUP($A2313, 'Medical Examinations'!A:H, 8, FALSE)</f>
        <v>No</v>
      </c>
      <c r="H2313">
        <f>VLOOKUP($A2313, 'Medical Examinations'!A:J, 10, FALSE)</f>
        <v>1</v>
      </c>
      <c r="I2313" t="str">
        <f>VLOOKUP($A2313, 'Medical Examinations'!A:K, 11, FALSE)</f>
        <v>No</v>
      </c>
      <c r="J2313" t="str">
        <f>VLOOKUP($A2313, 'Medical Examinations'!A:B, 2, FALSE)</f>
        <v>Normal Weight</v>
      </c>
      <c r="K2313" t="str">
        <f>VLOOKUP($A2313, 'Medical Examinations'!A:D, 4, FALSE)</f>
        <v>Normal</v>
      </c>
    </row>
    <row r="2314" spans="1:11" ht="15.5" x14ac:dyDescent="0.35">
      <c r="A2314" s="1" t="s">
        <v>45</v>
      </c>
      <c r="B2314" t="str">
        <f>VLOOKUP($A2314, 'Customer Names'!A:D, 3, FALSE)</f>
        <v>Ditota</v>
      </c>
      <c r="C2314">
        <f>VLOOKUP($A2314,'Medical Examinations'!A:C, 3, FALSE)</f>
        <v>20.13</v>
      </c>
      <c r="D2314" t="str">
        <f>VLOOKUP($A2314, 'Medical Examinations'!A:D, 4, FALSE)</f>
        <v>Normal</v>
      </c>
      <c r="E2314" t="str">
        <f>VLOOKUP($A2314, 'Medical Examinations'!A:F, 6, FALSE)</f>
        <v>No</v>
      </c>
      <c r="F2314" t="str">
        <f>VLOOKUP($A2314, 'Medical Examinations'!A:G, 7, FALSE)</f>
        <v>No</v>
      </c>
      <c r="G2314" t="str">
        <f>VLOOKUP($A2314, 'Medical Examinations'!A:H, 8, FALSE)</f>
        <v>No</v>
      </c>
      <c r="H2314" t="str">
        <f>VLOOKUP($A2314, 'Medical Examinations'!A:J, 10, FALSE)</f>
        <v>No major surgery</v>
      </c>
      <c r="I2314" t="str">
        <f>VLOOKUP($A2314, 'Medical Examinations'!A:K, 11, FALSE)</f>
        <v>No</v>
      </c>
      <c r="J2314" t="str">
        <f>VLOOKUP($A2314, 'Medical Examinations'!A:B, 2, FALSE)</f>
        <v>Normal Weight</v>
      </c>
      <c r="K2314" t="str">
        <f>VLOOKUP($A2314, 'Medical Examinations'!A:D, 4, FALSE)</f>
        <v>Normal</v>
      </c>
    </row>
    <row r="2315" spans="1:11" ht="15.5" x14ac:dyDescent="0.35">
      <c r="A2315" s="1" t="s">
        <v>44</v>
      </c>
      <c r="B2315" t="str">
        <f>VLOOKUP($A2315, 'Customer Names'!A:D, 3, FALSE)</f>
        <v>Horbol</v>
      </c>
      <c r="C2315">
        <f>VLOOKUP($A2315,'Medical Examinations'!A:C, 3, FALSE)</f>
        <v>18.93</v>
      </c>
      <c r="D2315" t="str">
        <f>VLOOKUP($A2315, 'Medical Examinations'!A:D, 4, FALSE)</f>
        <v>Prediabetes</v>
      </c>
      <c r="E2315" t="str">
        <f>VLOOKUP($A2315, 'Medical Examinations'!A:F, 6, FALSE)</f>
        <v>No</v>
      </c>
      <c r="F2315" t="str">
        <f>VLOOKUP($A2315, 'Medical Examinations'!A:G, 7, FALSE)</f>
        <v>No</v>
      </c>
      <c r="G2315" t="str">
        <f>VLOOKUP($A2315, 'Medical Examinations'!A:H, 8, FALSE)</f>
        <v>Yes</v>
      </c>
      <c r="H2315">
        <f>VLOOKUP($A2315, 'Medical Examinations'!A:J, 10, FALSE)</f>
        <v>1</v>
      </c>
      <c r="I2315" t="str">
        <f>VLOOKUP($A2315, 'Medical Examinations'!A:K, 11, FALSE)</f>
        <v>No</v>
      </c>
      <c r="J2315" t="str">
        <f>VLOOKUP($A2315, 'Medical Examinations'!A:B, 2, FALSE)</f>
        <v>Normal Weight</v>
      </c>
      <c r="K2315" t="str">
        <f>VLOOKUP($A2315, 'Medical Examinations'!A:D, 4, FALSE)</f>
        <v>Prediabetes</v>
      </c>
    </row>
    <row r="2316" spans="1:11" ht="15.5" x14ac:dyDescent="0.35">
      <c r="A2316" s="1" t="s">
        <v>43</v>
      </c>
      <c r="B2316" t="str">
        <f>VLOOKUP($A2316, 'Customer Names'!A:D, 3, FALSE)</f>
        <v>O'Rourke</v>
      </c>
      <c r="C2316">
        <f>VLOOKUP($A2316,'Medical Examinations'!A:C, 3, FALSE)</f>
        <v>24.14</v>
      </c>
      <c r="D2316" t="str">
        <f>VLOOKUP($A2316, 'Medical Examinations'!A:D, 4, FALSE)</f>
        <v>Normal</v>
      </c>
      <c r="E2316" t="str">
        <f>VLOOKUP($A2316, 'Medical Examinations'!A:F, 6, FALSE)</f>
        <v>No</v>
      </c>
      <c r="F2316" t="str">
        <f>VLOOKUP($A2316, 'Medical Examinations'!A:G, 7, FALSE)</f>
        <v>yes</v>
      </c>
      <c r="G2316" t="str">
        <f>VLOOKUP($A2316, 'Medical Examinations'!A:H, 8, FALSE)</f>
        <v>No</v>
      </c>
      <c r="H2316">
        <f>VLOOKUP($A2316, 'Medical Examinations'!A:J, 10, FALSE)</f>
        <v>1</v>
      </c>
      <c r="I2316" t="str">
        <f>VLOOKUP($A2316, 'Medical Examinations'!A:K, 11, FALSE)</f>
        <v>No</v>
      </c>
      <c r="J2316" t="str">
        <f>VLOOKUP($A2316, 'Medical Examinations'!A:B, 2, FALSE)</f>
        <v>Normal Weight</v>
      </c>
      <c r="K2316" t="str">
        <f>VLOOKUP($A2316, 'Medical Examinations'!A:D, 4, FALSE)</f>
        <v>Normal</v>
      </c>
    </row>
    <row r="2317" spans="1:11" ht="15.5" x14ac:dyDescent="0.35">
      <c r="A2317" s="1" t="s">
        <v>41</v>
      </c>
      <c r="B2317" t="str">
        <f>VLOOKUP($A2317, 'Customer Names'!A:D, 3, FALSE)</f>
        <v>Williams</v>
      </c>
      <c r="C2317">
        <f>VLOOKUP($A2317,'Medical Examinations'!A:C, 3, FALSE)</f>
        <v>25.03</v>
      </c>
      <c r="D2317" t="str">
        <f>VLOOKUP($A2317, 'Medical Examinations'!A:D, 4, FALSE)</f>
        <v>Prediabetes</v>
      </c>
      <c r="E2317" t="str">
        <f>VLOOKUP($A2317, 'Medical Examinations'!A:F, 6, FALSE)</f>
        <v>No</v>
      </c>
      <c r="F2317" t="str">
        <f>VLOOKUP($A2317, 'Medical Examinations'!A:G, 7, FALSE)</f>
        <v>yes</v>
      </c>
      <c r="G2317" t="str">
        <f>VLOOKUP($A2317, 'Medical Examinations'!A:H, 8, FALSE)</f>
        <v>No</v>
      </c>
      <c r="H2317">
        <f>VLOOKUP($A2317, 'Medical Examinations'!A:J, 10, FALSE)</f>
        <v>1</v>
      </c>
      <c r="I2317" t="str">
        <f>VLOOKUP($A2317, 'Medical Examinations'!A:K, 11, FALSE)</f>
        <v>No</v>
      </c>
      <c r="J2317" t="str">
        <f>VLOOKUP($A2317, 'Medical Examinations'!A:B, 2, FALSE)</f>
        <v>Overweight</v>
      </c>
      <c r="K2317" t="str">
        <f>VLOOKUP($A2317, 'Medical Examinations'!A:D, 4, FALSE)</f>
        <v>Prediabetes</v>
      </c>
    </row>
    <row r="2318" spans="1:11" ht="15.5" x14ac:dyDescent="0.35">
      <c r="A2318" s="1" t="s">
        <v>40</v>
      </c>
      <c r="B2318" t="str">
        <f>VLOOKUP($A2318, 'Customer Names'!A:D, 3, FALSE)</f>
        <v>Murakami</v>
      </c>
      <c r="C2318">
        <f>VLOOKUP($A2318,'Medical Examinations'!A:C, 3, FALSE)</f>
        <v>20.47</v>
      </c>
      <c r="D2318" t="str">
        <f>VLOOKUP($A2318, 'Medical Examinations'!A:D, 4, FALSE)</f>
        <v>Prediabetes</v>
      </c>
      <c r="E2318" t="str">
        <f>VLOOKUP($A2318, 'Medical Examinations'!A:F, 6, FALSE)</f>
        <v>yes</v>
      </c>
      <c r="F2318" t="str">
        <f>VLOOKUP($A2318, 'Medical Examinations'!A:G, 7, FALSE)</f>
        <v>No</v>
      </c>
      <c r="G2318" t="str">
        <f>VLOOKUP($A2318, 'Medical Examinations'!A:H, 8, FALSE)</f>
        <v>No</v>
      </c>
      <c r="H2318">
        <f>VLOOKUP($A2318, 'Medical Examinations'!A:J, 10, FALSE)</f>
        <v>1</v>
      </c>
      <c r="I2318" t="str">
        <f>VLOOKUP($A2318, 'Medical Examinations'!A:K, 11, FALSE)</f>
        <v>No</v>
      </c>
      <c r="J2318" t="str">
        <f>VLOOKUP($A2318, 'Medical Examinations'!A:B, 2, FALSE)</f>
        <v>Normal Weight</v>
      </c>
      <c r="K2318" t="str">
        <f>VLOOKUP($A2318, 'Medical Examinations'!A:D, 4, FALSE)</f>
        <v>Prediabetes</v>
      </c>
    </row>
    <row r="2319" spans="1:11" ht="15.5" x14ac:dyDescent="0.35">
      <c r="A2319" s="1" t="s">
        <v>39</v>
      </c>
      <c r="B2319" t="str">
        <f>VLOOKUP($A2319, 'Customer Names'!A:D, 3, FALSE)</f>
        <v>Gagnon</v>
      </c>
      <c r="C2319">
        <f>VLOOKUP($A2319,'Medical Examinations'!A:C, 3, FALSE)</f>
        <v>18.82</v>
      </c>
      <c r="D2319" t="str">
        <f>VLOOKUP($A2319, 'Medical Examinations'!A:D, 4, FALSE)</f>
        <v>Normal</v>
      </c>
      <c r="E2319" t="str">
        <f>VLOOKUP($A2319, 'Medical Examinations'!A:F, 6, FALSE)</f>
        <v>yes</v>
      </c>
      <c r="F2319" t="str">
        <f>VLOOKUP($A2319, 'Medical Examinations'!A:G, 7, FALSE)</f>
        <v>No</v>
      </c>
      <c r="G2319" t="str">
        <f>VLOOKUP($A2319, 'Medical Examinations'!A:H, 8, FALSE)</f>
        <v>No</v>
      </c>
      <c r="H2319" t="str">
        <f>VLOOKUP($A2319, 'Medical Examinations'!A:J, 10, FALSE)</f>
        <v>No major surgery</v>
      </c>
      <c r="I2319" t="str">
        <f>VLOOKUP($A2319, 'Medical Examinations'!A:K, 11, FALSE)</f>
        <v>No</v>
      </c>
      <c r="J2319" t="str">
        <f>VLOOKUP($A2319, 'Medical Examinations'!A:B, 2, FALSE)</f>
        <v>Normal Weight</v>
      </c>
      <c r="K2319" t="str">
        <f>VLOOKUP($A2319, 'Medical Examinations'!A:D, 4, FALSE)</f>
        <v>Normal</v>
      </c>
    </row>
    <row r="2320" spans="1:11" ht="15.5" x14ac:dyDescent="0.35">
      <c r="A2320" s="1" t="s">
        <v>38</v>
      </c>
      <c r="B2320" t="str">
        <f>VLOOKUP($A2320, 'Customer Names'!A:D, 3, FALSE)</f>
        <v>Petermann</v>
      </c>
      <c r="C2320">
        <f>VLOOKUP($A2320,'Medical Examinations'!A:C, 3, FALSE)</f>
        <v>17.079999999999998</v>
      </c>
      <c r="D2320" t="str">
        <f>VLOOKUP($A2320, 'Medical Examinations'!A:D, 4, FALSE)</f>
        <v>Prediabetes</v>
      </c>
      <c r="E2320" t="str">
        <f>VLOOKUP($A2320, 'Medical Examinations'!A:F, 6, FALSE)</f>
        <v>No</v>
      </c>
      <c r="F2320" t="str">
        <f>VLOOKUP($A2320, 'Medical Examinations'!A:G, 7, FALSE)</f>
        <v>No</v>
      </c>
      <c r="G2320" t="str">
        <f>VLOOKUP($A2320, 'Medical Examinations'!A:H, 8, FALSE)</f>
        <v>Yes</v>
      </c>
      <c r="H2320">
        <f>VLOOKUP($A2320, 'Medical Examinations'!A:J, 10, FALSE)</f>
        <v>1</v>
      </c>
      <c r="I2320" t="str">
        <f>VLOOKUP($A2320, 'Medical Examinations'!A:K, 11, FALSE)</f>
        <v>No</v>
      </c>
      <c r="J2320" t="str">
        <f>VLOOKUP($A2320, 'Medical Examinations'!A:B, 2, FALSE)</f>
        <v>Underweight</v>
      </c>
      <c r="K2320" t="str">
        <f>VLOOKUP($A2320, 'Medical Examinations'!A:D, 4, FALSE)</f>
        <v>Prediabetes</v>
      </c>
    </row>
    <row r="2321" spans="1:11" ht="15.5" x14ac:dyDescent="0.35">
      <c r="A2321" s="1" t="s">
        <v>36</v>
      </c>
      <c r="B2321" t="str">
        <f>VLOOKUP($A2321, 'Customer Names'!A:D, 3, FALSE)</f>
        <v>Graves - Rostro</v>
      </c>
      <c r="C2321">
        <f>VLOOKUP($A2321,'Medical Examinations'!A:C, 3, FALSE)</f>
        <v>19.21</v>
      </c>
      <c r="D2321" t="str">
        <f>VLOOKUP($A2321, 'Medical Examinations'!A:D, 4, FALSE)</f>
        <v>Normal</v>
      </c>
      <c r="E2321" t="str">
        <f>VLOOKUP($A2321, 'Medical Examinations'!A:F, 6, FALSE)</f>
        <v>yes</v>
      </c>
      <c r="F2321" t="str">
        <f>VLOOKUP($A2321, 'Medical Examinations'!A:G, 7, FALSE)</f>
        <v>No</v>
      </c>
      <c r="G2321" t="str">
        <f>VLOOKUP($A2321, 'Medical Examinations'!A:H, 8, FALSE)</f>
        <v>No</v>
      </c>
      <c r="H2321" t="str">
        <f>VLOOKUP($A2321, 'Medical Examinations'!A:J, 10, FALSE)</f>
        <v>No major surgery</v>
      </c>
      <c r="I2321" t="str">
        <f>VLOOKUP($A2321, 'Medical Examinations'!A:K, 11, FALSE)</f>
        <v>No</v>
      </c>
      <c r="J2321" t="str">
        <f>VLOOKUP($A2321, 'Medical Examinations'!A:B, 2, FALSE)</f>
        <v>Normal Weight</v>
      </c>
      <c r="K2321" t="str">
        <f>VLOOKUP($A2321, 'Medical Examinations'!A:D, 4, FALSE)</f>
        <v>Normal</v>
      </c>
    </row>
    <row r="2322" spans="1:11" ht="15.5" x14ac:dyDescent="0.35">
      <c r="A2322" s="1" t="s">
        <v>34</v>
      </c>
      <c r="B2322" t="str">
        <f>VLOOKUP($A2322, 'Customer Names'!A:D, 3, FALSE)</f>
        <v>Danielson</v>
      </c>
      <c r="C2322">
        <f>VLOOKUP($A2322,'Medical Examinations'!A:C, 3, FALSE)</f>
        <v>17.86</v>
      </c>
      <c r="D2322" t="str">
        <f>VLOOKUP($A2322, 'Medical Examinations'!A:D, 4, FALSE)</f>
        <v>Normal</v>
      </c>
      <c r="E2322" t="str">
        <f>VLOOKUP($A2322, 'Medical Examinations'!A:F, 6, FALSE)</f>
        <v>No</v>
      </c>
      <c r="F2322" t="str">
        <f>VLOOKUP($A2322, 'Medical Examinations'!A:G, 7, FALSE)</f>
        <v>No</v>
      </c>
      <c r="G2322" t="str">
        <f>VLOOKUP($A2322, 'Medical Examinations'!A:H, 8, FALSE)</f>
        <v>Yes</v>
      </c>
      <c r="H2322">
        <f>VLOOKUP($A2322, 'Medical Examinations'!A:J, 10, FALSE)</f>
        <v>1</v>
      </c>
      <c r="I2322" t="str">
        <f>VLOOKUP($A2322, 'Medical Examinations'!A:K, 11, FALSE)</f>
        <v>No</v>
      </c>
      <c r="J2322" t="str">
        <f>VLOOKUP($A2322, 'Medical Examinations'!A:B, 2, FALSE)</f>
        <v>Underweight</v>
      </c>
      <c r="K2322" t="str">
        <f>VLOOKUP($A2322, 'Medical Examinations'!A:D, 4, FALSE)</f>
        <v>Normal</v>
      </c>
    </row>
    <row r="2323" spans="1:11" ht="15.5" x14ac:dyDescent="0.35">
      <c r="A2323" s="1" t="s">
        <v>33</v>
      </c>
      <c r="B2323" t="str">
        <f>VLOOKUP($A2323, 'Customer Names'!A:D, 3, FALSE)</f>
        <v>Street</v>
      </c>
      <c r="C2323">
        <f>VLOOKUP($A2323,'Medical Examinations'!A:C, 3, FALSE)</f>
        <v>21.38</v>
      </c>
      <c r="D2323" t="str">
        <f>VLOOKUP($A2323, 'Medical Examinations'!A:D, 4, FALSE)</f>
        <v>Diabetes</v>
      </c>
      <c r="E2323" t="str">
        <f>VLOOKUP($A2323, 'Medical Examinations'!A:F, 6, FALSE)</f>
        <v>No</v>
      </c>
      <c r="F2323" t="str">
        <f>VLOOKUP($A2323, 'Medical Examinations'!A:G, 7, FALSE)</f>
        <v>No</v>
      </c>
      <c r="G2323" t="str">
        <f>VLOOKUP($A2323, 'Medical Examinations'!A:H, 8, FALSE)</f>
        <v>No</v>
      </c>
      <c r="H2323" t="str">
        <f>VLOOKUP($A2323, 'Medical Examinations'!A:J, 10, FALSE)</f>
        <v>No major surgery</v>
      </c>
      <c r="I2323" t="str">
        <f>VLOOKUP($A2323, 'Medical Examinations'!A:K, 11, FALSE)</f>
        <v>No</v>
      </c>
      <c r="J2323" t="str">
        <f>VLOOKUP($A2323, 'Medical Examinations'!A:B, 2, FALSE)</f>
        <v>Normal Weight</v>
      </c>
      <c r="K2323" t="str">
        <f>VLOOKUP($A2323, 'Medical Examinations'!A:D, 4, FALSE)</f>
        <v>Diabetes</v>
      </c>
    </row>
    <row r="2324" spans="1:11" ht="15.5" x14ac:dyDescent="0.35">
      <c r="A2324" s="1" t="s">
        <v>32</v>
      </c>
      <c r="B2324" t="str">
        <f>VLOOKUP($A2324, 'Customer Names'!A:D, 3, FALSE)</f>
        <v>Buss</v>
      </c>
      <c r="C2324">
        <f>VLOOKUP($A2324,'Medical Examinations'!A:C, 3, FALSE)</f>
        <v>23.35</v>
      </c>
      <c r="D2324" t="str">
        <f>VLOOKUP($A2324, 'Medical Examinations'!A:D, 4, FALSE)</f>
        <v>Prediabetes</v>
      </c>
      <c r="E2324" t="str">
        <f>VLOOKUP($A2324, 'Medical Examinations'!A:F, 6, FALSE)</f>
        <v>No</v>
      </c>
      <c r="F2324" t="str">
        <f>VLOOKUP($A2324, 'Medical Examinations'!A:G, 7, FALSE)</f>
        <v>No</v>
      </c>
      <c r="G2324" t="str">
        <f>VLOOKUP($A2324, 'Medical Examinations'!A:H, 8, FALSE)</f>
        <v>No</v>
      </c>
      <c r="H2324" t="str">
        <f>VLOOKUP($A2324, 'Medical Examinations'!A:J, 10, FALSE)</f>
        <v>No major surgery</v>
      </c>
      <c r="I2324" t="str">
        <f>VLOOKUP($A2324, 'Medical Examinations'!A:K, 11, FALSE)</f>
        <v>No</v>
      </c>
      <c r="J2324" t="str">
        <f>VLOOKUP($A2324, 'Medical Examinations'!A:B, 2, FALSE)</f>
        <v>Normal Weight</v>
      </c>
      <c r="K2324" t="str">
        <f>VLOOKUP($A2324, 'Medical Examinations'!A:D, 4, FALSE)</f>
        <v>Prediabetes</v>
      </c>
    </row>
    <row r="2325" spans="1:11" ht="15.5" x14ac:dyDescent="0.35">
      <c r="A2325" s="1" t="s">
        <v>29</v>
      </c>
      <c r="B2325" t="str">
        <f>VLOOKUP($A2325, 'Customer Names'!A:D, 3, FALSE)</f>
        <v>Duffy</v>
      </c>
      <c r="C2325">
        <f>VLOOKUP($A2325,'Medical Examinations'!A:C, 3, FALSE)</f>
        <v>22.24</v>
      </c>
      <c r="D2325" t="str">
        <f>VLOOKUP($A2325, 'Medical Examinations'!A:D, 4, FALSE)</f>
        <v>Normal</v>
      </c>
      <c r="E2325" t="str">
        <f>VLOOKUP($A2325, 'Medical Examinations'!A:F, 6, FALSE)</f>
        <v>No</v>
      </c>
      <c r="F2325" t="str">
        <f>VLOOKUP($A2325, 'Medical Examinations'!A:G, 7, FALSE)</f>
        <v>No</v>
      </c>
      <c r="G2325" t="str">
        <f>VLOOKUP($A2325, 'Medical Examinations'!A:H, 8, FALSE)</f>
        <v>No</v>
      </c>
      <c r="H2325" t="str">
        <f>VLOOKUP($A2325, 'Medical Examinations'!A:J, 10, FALSE)</f>
        <v>No major surgery</v>
      </c>
      <c r="I2325" t="str">
        <f>VLOOKUP($A2325, 'Medical Examinations'!A:K, 11, FALSE)</f>
        <v>No</v>
      </c>
      <c r="J2325" t="str">
        <f>VLOOKUP($A2325, 'Medical Examinations'!A:B, 2, FALSE)</f>
        <v>Normal Weight</v>
      </c>
      <c r="K2325" t="str">
        <f>VLOOKUP($A2325, 'Medical Examinations'!A:D, 4, FALSE)</f>
        <v>Normal</v>
      </c>
    </row>
    <row r="2326" spans="1:11" ht="15.5" x14ac:dyDescent="0.35">
      <c r="A2326" s="1" t="s">
        <v>28</v>
      </c>
      <c r="B2326" t="str">
        <f>VLOOKUP($A2326, 'Customer Names'!A:D, 3, FALSE)</f>
        <v>Hines</v>
      </c>
      <c r="C2326">
        <f>VLOOKUP($A2326,'Medical Examinations'!A:C, 3, FALSE)</f>
        <v>24.76</v>
      </c>
      <c r="D2326" t="str">
        <f>VLOOKUP($A2326, 'Medical Examinations'!A:D, 4, FALSE)</f>
        <v>Normal</v>
      </c>
      <c r="E2326" t="str">
        <f>VLOOKUP($A2326, 'Medical Examinations'!A:F, 6, FALSE)</f>
        <v>yes</v>
      </c>
      <c r="F2326" t="str">
        <f>VLOOKUP($A2326, 'Medical Examinations'!A:G, 7, FALSE)</f>
        <v>No</v>
      </c>
      <c r="G2326" t="str">
        <f>VLOOKUP($A2326, 'Medical Examinations'!A:H, 8, FALSE)</f>
        <v>No</v>
      </c>
      <c r="H2326" t="str">
        <f>VLOOKUP($A2326, 'Medical Examinations'!A:J, 10, FALSE)</f>
        <v>No major surgery</v>
      </c>
      <c r="I2326" t="str">
        <f>VLOOKUP($A2326, 'Medical Examinations'!A:K, 11, FALSE)</f>
        <v>No</v>
      </c>
      <c r="J2326" t="str">
        <f>VLOOKUP($A2326, 'Medical Examinations'!A:B, 2, FALSE)</f>
        <v>Normal Weight</v>
      </c>
      <c r="K2326" t="str">
        <f>VLOOKUP($A2326, 'Medical Examinations'!A:D, 4, FALSE)</f>
        <v>Normal</v>
      </c>
    </row>
    <row r="2327" spans="1:11" ht="15.5" x14ac:dyDescent="0.35">
      <c r="A2327" s="1" t="s">
        <v>27</v>
      </c>
      <c r="B2327" t="str">
        <f>VLOOKUP($A2327, 'Customer Names'!A:D, 3, FALSE)</f>
        <v>Castro</v>
      </c>
      <c r="C2327">
        <f>VLOOKUP($A2327,'Medical Examinations'!A:C, 3, FALSE)</f>
        <v>20.100000000000001</v>
      </c>
      <c r="D2327" t="str">
        <f>VLOOKUP($A2327, 'Medical Examinations'!A:D, 4, FALSE)</f>
        <v>Normal</v>
      </c>
      <c r="E2327" t="str">
        <f>VLOOKUP($A2327, 'Medical Examinations'!A:F, 6, FALSE)</f>
        <v>yes</v>
      </c>
      <c r="F2327" t="str">
        <f>VLOOKUP($A2327, 'Medical Examinations'!A:G, 7, FALSE)</f>
        <v>No</v>
      </c>
      <c r="G2327" t="str">
        <f>VLOOKUP($A2327, 'Medical Examinations'!A:H, 8, FALSE)</f>
        <v>Yes</v>
      </c>
      <c r="H2327">
        <f>VLOOKUP($A2327, 'Medical Examinations'!A:J, 10, FALSE)</f>
        <v>1</v>
      </c>
      <c r="I2327" t="str">
        <f>VLOOKUP($A2327, 'Medical Examinations'!A:K, 11, FALSE)</f>
        <v>No</v>
      </c>
      <c r="J2327" t="str">
        <f>VLOOKUP($A2327, 'Medical Examinations'!A:B, 2, FALSE)</f>
        <v>Normal Weight</v>
      </c>
      <c r="K2327" t="str">
        <f>VLOOKUP($A2327, 'Medical Examinations'!A:D, 4, FALSE)</f>
        <v>Normal</v>
      </c>
    </row>
    <row r="2328" spans="1:11" ht="15.5" x14ac:dyDescent="0.35">
      <c r="A2328" s="1" t="s">
        <v>26</v>
      </c>
      <c r="B2328" t="str">
        <f>VLOOKUP($A2328, 'Customer Names'!A:D, 3, FALSE)</f>
        <v>Howell</v>
      </c>
      <c r="C2328">
        <f>VLOOKUP($A2328,'Medical Examinations'!A:C, 3, FALSE)</f>
        <v>21.77</v>
      </c>
      <c r="D2328" t="str">
        <f>VLOOKUP($A2328, 'Medical Examinations'!A:D, 4, FALSE)</f>
        <v>Diabetes</v>
      </c>
      <c r="E2328" t="str">
        <f>VLOOKUP($A2328, 'Medical Examinations'!A:F, 6, FALSE)</f>
        <v>No</v>
      </c>
      <c r="F2328" t="str">
        <f>VLOOKUP($A2328, 'Medical Examinations'!A:G, 7, FALSE)</f>
        <v>No</v>
      </c>
      <c r="G2328" t="str">
        <f>VLOOKUP($A2328, 'Medical Examinations'!A:H, 8, FALSE)</f>
        <v>No</v>
      </c>
      <c r="H2328" t="str">
        <f>VLOOKUP($A2328, 'Medical Examinations'!A:J, 10, FALSE)</f>
        <v>No major surgery</v>
      </c>
      <c r="I2328" t="str">
        <f>VLOOKUP($A2328, 'Medical Examinations'!A:K, 11, FALSE)</f>
        <v>No</v>
      </c>
      <c r="J2328" t="str">
        <f>VLOOKUP($A2328, 'Medical Examinations'!A:B, 2, FALSE)</f>
        <v>Normal Weight</v>
      </c>
      <c r="K2328" t="str">
        <f>VLOOKUP($A2328, 'Medical Examinations'!A:D, 4, FALSE)</f>
        <v>Diabetes</v>
      </c>
    </row>
    <row r="2329" spans="1:11" ht="15.5" x14ac:dyDescent="0.35">
      <c r="A2329" s="1" t="s">
        <v>25</v>
      </c>
      <c r="B2329" t="str">
        <f>VLOOKUP($A2329, 'Customer Names'!A:D, 3, FALSE)</f>
        <v>Avery</v>
      </c>
      <c r="C2329">
        <f>VLOOKUP($A2329,'Medical Examinations'!A:C, 3, FALSE)</f>
        <v>17.82</v>
      </c>
      <c r="D2329" t="str">
        <f>VLOOKUP($A2329, 'Medical Examinations'!A:D, 4, FALSE)</f>
        <v>Normal</v>
      </c>
      <c r="E2329" t="str">
        <f>VLOOKUP($A2329, 'Medical Examinations'!A:F, 6, FALSE)</f>
        <v>yes</v>
      </c>
      <c r="F2329" t="str">
        <f>VLOOKUP($A2329, 'Medical Examinations'!A:G, 7, FALSE)</f>
        <v>No</v>
      </c>
      <c r="G2329" t="str">
        <f>VLOOKUP($A2329, 'Medical Examinations'!A:H, 8, FALSE)</f>
        <v>No</v>
      </c>
      <c r="H2329">
        <f>VLOOKUP($A2329, 'Medical Examinations'!A:J, 10, FALSE)</f>
        <v>1</v>
      </c>
      <c r="I2329" t="str">
        <f>VLOOKUP($A2329, 'Medical Examinations'!A:K, 11, FALSE)</f>
        <v>No</v>
      </c>
      <c r="J2329" t="str">
        <f>VLOOKUP($A2329, 'Medical Examinations'!A:B, 2, FALSE)</f>
        <v>Underweight</v>
      </c>
      <c r="K2329" t="str">
        <f>VLOOKUP($A2329, 'Medical Examinations'!A:D, 4, FALSE)</f>
        <v>Normal</v>
      </c>
    </row>
    <row r="2330" spans="1:11" ht="15.5" x14ac:dyDescent="0.35">
      <c r="A2330" s="1" t="s">
        <v>24</v>
      </c>
      <c r="B2330" t="str">
        <f>VLOOKUP($A2330, 'Customer Names'!A:D, 3, FALSE)</f>
        <v>Bohinski</v>
      </c>
      <c r="C2330">
        <f>VLOOKUP($A2330,'Medical Examinations'!A:C, 3, FALSE)</f>
        <v>17.07</v>
      </c>
      <c r="D2330" t="str">
        <f>VLOOKUP($A2330, 'Medical Examinations'!A:D, 4, FALSE)</f>
        <v>Normal</v>
      </c>
      <c r="E2330" t="str">
        <f>VLOOKUP($A2330, 'Medical Examinations'!A:F, 6, FALSE)</f>
        <v>No</v>
      </c>
      <c r="F2330" t="str">
        <f>VLOOKUP($A2330, 'Medical Examinations'!A:G, 7, FALSE)</f>
        <v>No</v>
      </c>
      <c r="G2330" t="str">
        <f>VLOOKUP($A2330, 'Medical Examinations'!A:H, 8, FALSE)</f>
        <v>Yes</v>
      </c>
      <c r="H2330">
        <f>VLOOKUP($A2330, 'Medical Examinations'!A:J, 10, FALSE)</f>
        <v>1</v>
      </c>
      <c r="I2330" t="str">
        <f>VLOOKUP($A2330, 'Medical Examinations'!A:K, 11, FALSE)</f>
        <v>No</v>
      </c>
      <c r="J2330" t="str">
        <f>VLOOKUP($A2330, 'Medical Examinations'!A:B, 2, FALSE)</f>
        <v>Underweight</v>
      </c>
      <c r="K2330" t="str">
        <f>VLOOKUP($A2330, 'Medical Examinations'!A:D, 4, FALSE)</f>
        <v>Normal</v>
      </c>
    </row>
    <row r="2331" spans="1:11" ht="15.5" x14ac:dyDescent="0.35">
      <c r="A2331" s="1" t="s">
        <v>22</v>
      </c>
      <c r="B2331" t="str">
        <f>VLOOKUP($A2331, 'Customer Names'!A:D, 3, FALSE)</f>
        <v>Kohls</v>
      </c>
      <c r="C2331">
        <f>VLOOKUP($A2331,'Medical Examinations'!A:C, 3, FALSE)</f>
        <v>22.24</v>
      </c>
      <c r="D2331" t="str">
        <f>VLOOKUP($A2331, 'Medical Examinations'!A:D, 4, FALSE)</f>
        <v>Normal</v>
      </c>
      <c r="E2331" t="str">
        <f>VLOOKUP($A2331, 'Medical Examinations'!A:F, 6, FALSE)</f>
        <v>yes</v>
      </c>
      <c r="F2331" t="str">
        <f>VLOOKUP($A2331, 'Medical Examinations'!A:G, 7, FALSE)</f>
        <v>No</v>
      </c>
      <c r="G2331" t="str">
        <f>VLOOKUP($A2331, 'Medical Examinations'!A:H, 8, FALSE)</f>
        <v>No</v>
      </c>
      <c r="H2331" t="str">
        <f>VLOOKUP($A2331, 'Medical Examinations'!A:J, 10, FALSE)</f>
        <v>No major surgery</v>
      </c>
      <c r="I2331" t="str">
        <f>VLOOKUP($A2331, 'Medical Examinations'!A:K, 11, FALSE)</f>
        <v>No</v>
      </c>
      <c r="J2331" t="str">
        <f>VLOOKUP($A2331, 'Medical Examinations'!A:B, 2, FALSE)</f>
        <v>Normal Weight</v>
      </c>
      <c r="K2331" t="str">
        <f>VLOOKUP($A2331, 'Medical Examinations'!A:D, 4, FALSE)</f>
        <v>Normal</v>
      </c>
    </row>
    <row r="2332" spans="1:11" ht="15.5" x14ac:dyDescent="0.35">
      <c r="A2332" s="1" t="s">
        <v>21</v>
      </c>
      <c r="B2332" t="str">
        <f>VLOOKUP($A2332, 'Customer Names'!A:D, 3, FALSE)</f>
        <v>Brietzke</v>
      </c>
      <c r="C2332">
        <f>VLOOKUP($A2332,'Medical Examinations'!A:C, 3, FALSE)</f>
        <v>22.34</v>
      </c>
      <c r="D2332" t="str">
        <f>VLOOKUP($A2332, 'Medical Examinations'!A:D, 4, FALSE)</f>
        <v>Normal</v>
      </c>
      <c r="E2332" t="str">
        <f>VLOOKUP($A2332, 'Medical Examinations'!A:F, 6, FALSE)</f>
        <v>No</v>
      </c>
      <c r="F2332" t="str">
        <f>VLOOKUP($A2332, 'Medical Examinations'!A:G, 7, FALSE)</f>
        <v>No</v>
      </c>
      <c r="G2332" t="str">
        <f>VLOOKUP($A2332, 'Medical Examinations'!A:H, 8, FALSE)</f>
        <v>No</v>
      </c>
      <c r="H2332">
        <f>VLOOKUP($A2332, 'Medical Examinations'!A:J, 10, FALSE)</f>
        <v>1</v>
      </c>
      <c r="I2332" t="str">
        <f>VLOOKUP($A2332, 'Medical Examinations'!A:K, 11, FALSE)</f>
        <v>No</v>
      </c>
      <c r="J2332" t="str">
        <f>VLOOKUP($A2332, 'Medical Examinations'!A:B, 2, FALSE)</f>
        <v>Normal Weight</v>
      </c>
      <c r="K2332" t="str">
        <f>VLOOKUP($A2332, 'Medical Examinations'!A:D, 4, FALSE)</f>
        <v>Normal</v>
      </c>
    </row>
    <row r="2333" spans="1:11" ht="15.5" x14ac:dyDescent="0.35">
      <c r="A2333" s="1" t="s">
        <v>19</v>
      </c>
      <c r="B2333" t="str">
        <f>VLOOKUP($A2333, 'Customer Names'!A:D, 3, FALSE)</f>
        <v>Riveros Gonzalez</v>
      </c>
      <c r="C2333">
        <f>VLOOKUP($A2333,'Medical Examinations'!A:C, 3, FALSE)</f>
        <v>17.7</v>
      </c>
      <c r="D2333" t="str">
        <f>VLOOKUP($A2333, 'Medical Examinations'!A:D, 4, FALSE)</f>
        <v>Prediabetes</v>
      </c>
      <c r="E2333" t="str">
        <f>VLOOKUP($A2333, 'Medical Examinations'!A:F, 6, FALSE)</f>
        <v>No</v>
      </c>
      <c r="F2333" t="str">
        <f>VLOOKUP($A2333, 'Medical Examinations'!A:G, 7, FALSE)</f>
        <v>No</v>
      </c>
      <c r="G2333" t="str">
        <f>VLOOKUP($A2333, 'Medical Examinations'!A:H, 8, FALSE)</f>
        <v>No</v>
      </c>
      <c r="H2333">
        <f>VLOOKUP($A2333, 'Medical Examinations'!A:J, 10, FALSE)</f>
        <v>1</v>
      </c>
      <c r="I2333" t="str">
        <f>VLOOKUP($A2333, 'Medical Examinations'!A:K, 11, FALSE)</f>
        <v>No</v>
      </c>
      <c r="J2333" t="str">
        <f>VLOOKUP($A2333, 'Medical Examinations'!A:B, 2, FALSE)</f>
        <v>Underweight</v>
      </c>
      <c r="K2333" t="str">
        <f>VLOOKUP($A2333, 'Medical Examinations'!A:D, 4, FALSE)</f>
        <v>Prediabetes</v>
      </c>
    </row>
    <row r="2334" spans="1:11" ht="15.5" x14ac:dyDescent="0.35">
      <c r="A2334" s="1" t="s">
        <v>17</v>
      </c>
      <c r="B2334" t="str">
        <f>VLOOKUP($A2334, 'Customer Names'!A:D, 3, FALSE)</f>
        <v>Albano</v>
      </c>
      <c r="C2334">
        <f>VLOOKUP($A2334,'Medical Examinations'!A:C, 3, FALSE)</f>
        <v>16.47</v>
      </c>
      <c r="D2334" t="str">
        <f>VLOOKUP($A2334, 'Medical Examinations'!A:D, 4, FALSE)</f>
        <v>Prediabetes</v>
      </c>
      <c r="E2334" t="str">
        <f>VLOOKUP($A2334, 'Medical Examinations'!A:F, 6, FALSE)</f>
        <v>No</v>
      </c>
      <c r="F2334" t="str">
        <f>VLOOKUP($A2334, 'Medical Examinations'!A:G, 7, FALSE)</f>
        <v>No</v>
      </c>
      <c r="G2334" t="str">
        <f>VLOOKUP($A2334, 'Medical Examinations'!A:H, 8, FALSE)</f>
        <v>Yes</v>
      </c>
      <c r="H2334">
        <f>VLOOKUP($A2334, 'Medical Examinations'!A:J, 10, FALSE)</f>
        <v>1</v>
      </c>
      <c r="I2334" t="str">
        <f>VLOOKUP($A2334, 'Medical Examinations'!A:K, 11, FALSE)</f>
        <v>No</v>
      </c>
      <c r="J2334" t="str">
        <f>VLOOKUP($A2334, 'Medical Examinations'!A:B, 2, FALSE)</f>
        <v>Underweight</v>
      </c>
      <c r="K2334" t="str">
        <f>VLOOKUP($A2334, 'Medical Examinations'!A:D, 4, FALSE)</f>
        <v>Prediabetes</v>
      </c>
    </row>
    <row r="2335" spans="1:11" ht="15.5" x14ac:dyDescent="0.35">
      <c r="A2335" s="1" t="s">
        <v>14</v>
      </c>
      <c r="B2335" t="str">
        <f>VLOOKUP($A2335, 'Customer Names'!A:D, 3, FALSE)</f>
        <v>Rosendahl</v>
      </c>
      <c r="C2335">
        <f>VLOOKUP($A2335,'Medical Examinations'!A:C, 3, FALSE)</f>
        <v>17.600000000000001</v>
      </c>
      <c r="D2335" t="str">
        <f>VLOOKUP($A2335, 'Medical Examinations'!A:D, 4, FALSE)</f>
        <v>Normal</v>
      </c>
      <c r="E2335" t="str">
        <f>VLOOKUP($A2335, 'Medical Examinations'!A:F, 6, FALSE)</f>
        <v>No</v>
      </c>
      <c r="F2335" t="str">
        <f>VLOOKUP($A2335, 'Medical Examinations'!A:G, 7, FALSE)</f>
        <v>No</v>
      </c>
      <c r="G2335" t="str">
        <f>VLOOKUP($A2335, 'Medical Examinations'!A:H, 8, FALSE)</f>
        <v>No</v>
      </c>
      <c r="H2335">
        <f>VLOOKUP($A2335, 'Medical Examinations'!A:J, 10, FALSE)</f>
        <v>1</v>
      </c>
      <c r="I2335" t="str">
        <f>VLOOKUP($A2335, 'Medical Examinations'!A:K, 11, FALSE)</f>
        <v>No</v>
      </c>
      <c r="J2335" t="str">
        <f>VLOOKUP($A2335, 'Medical Examinations'!A:B, 2, FALSE)</f>
        <v>Underweight</v>
      </c>
      <c r="K2335" t="str">
        <f>VLOOKUP($A2335, 'Medical Examinations'!A:D, 4, FALSE)</f>
        <v>Normal</v>
      </c>
    </row>
    <row r="2336" spans="1:11" ht="15.5" x14ac:dyDescent="0.35">
      <c r="A2336" s="1" t="s">
        <v>9</v>
      </c>
      <c r="B2336" t="str">
        <f>VLOOKUP($A2336, 'Customer Names'!A:D, 3, FALSE)</f>
        <v>German</v>
      </c>
      <c r="C2336">
        <f>VLOOKUP($A2336,'Medical Examinations'!A:C, 3, FALSE)</f>
        <v>17.579999999999998</v>
      </c>
      <c r="D2336" t="str">
        <f>VLOOKUP($A2336, 'Medical Examinations'!A:D, 4, FALSE)</f>
        <v>Normal</v>
      </c>
      <c r="E2336" t="str">
        <f>VLOOKUP($A2336, 'Medical Examinations'!A:F, 6, FALSE)</f>
        <v>No</v>
      </c>
      <c r="F2336" t="str">
        <f>VLOOKUP($A2336, 'Medical Examinations'!A:G, 7, FALSE)</f>
        <v>No</v>
      </c>
      <c r="G2336" t="str">
        <f>VLOOKUP($A2336, 'Medical Examinations'!A:H, 8, FALSE)</f>
        <v>No</v>
      </c>
      <c r="H2336">
        <f>VLOOKUP($A2336, 'Medical Examinations'!A:J, 10, FALSE)</f>
        <v>1</v>
      </c>
      <c r="I2336" t="str">
        <f>VLOOKUP($A2336, 'Medical Examinations'!A:K, 11, FALSE)</f>
        <v>No</v>
      </c>
      <c r="J2336" t="str">
        <f>VLOOKUP($A2336, 'Medical Examinations'!A:B, 2, FALSE)</f>
        <v>Underweight</v>
      </c>
      <c r="K2336" t="str">
        <f>VLOOKUP($A2336, 'Medical Examinations'!A:D, 4, FALSE)</f>
        <v>Normal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Customer Names</vt:lpstr>
      <vt:lpstr>Medical Examinations</vt:lpstr>
      <vt:lpstr>Sheet2</vt:lpstr>
      <vt:lpstr>Hospitalisation Details</vt:lpstr>
      <vt:lpstr>Analysis</vt:lpstr>
      <vt:lpstr>Health 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2026-09-15T16:43:24Z</dcterms:modified>
</cp:coreProperties>
</file>